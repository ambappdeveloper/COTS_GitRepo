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a.muhd\Desktop\Work Files Updated\COTS - CIM Export &amp; Import Management System\Workshop Documents\Compliance\Stock Monitoring &amp; Reconcilliations\"/>
    </mc:Choice>
  </mc:AlternateContent>
  <xr:revisionPtr revIDLastSave="0" documentId="8_{EE389E1C-DF1E-4797-85FD-874C38D3C8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Receiving 23-24" sheetId="8" r:id="rId1"/>
    <sheet name="Define " sheetId="5" state="hidden" r:id="rId2"/>
    <sheet name="ERP Data" sheetId="3" r:id="rId3"/>
    <sheet name="Raw Receiving Ex Season 21-22" sheetId="1" state="hidden" r:id="rId4"/>
    <sheet name="Raw Receiving 22-23" sheetId="4" state="hidden" r:id="rId5"/>
  </sheets>
  <externalReferences>
    <externalReference r:id="rId6"/>
  </externalReferences>
  <definedNames>
    <definedName name="_xlnm._FilterDatabase" localSheetId="1" hidden="1">'Define '!$A$2:$B$111</definedName>
    <definedName name="_xlnm._FilterDatabase" localSheetId="4" hidden="1">'Raw Receiving 22-23'!$A$5:$K$32</definedName>
    <definedName name="_xlnm._FilterDatabase" localSheetId="3" hidden="1">'Raw Receiving Ex Season 21-22'!$B$5:$O$86</definedName>
    <definedName name="Facility">'[1]Define '!$A$1:$B$84</definedName>
    <definedName name="Query_from_CIM_1" localSheetId="2" hidden="1">'ERP Data'!$A$1:$O$4262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66" i="3" l="1"/>
  <c r="M8" i="8"/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M18" i="8"/>
  <c r="N18" i="8" s="1"/>
  <c r="M13" i="8"/>
  <c r="N13" i="8" s="1"/>
  <c r="M15" i="8"/>
  <c r="N15" i="8" s="1"/>
  <c r="M16" i="8"/>
  <c r="N16" i="8" s="1"/>
  <c r="M17" i="8"/>
  <c r="N17" i="8" s="1"/>
  <c r="M7" i="8" l="1"/>
  <c r="N7" i="8" s="1"/>
  <c r="M9" i="8" l="1"/>
  <c r="N9" i="8" s="1"/>
  <c r="M14" i="8" l="1"/>
  <c r="N14" i="8" s="1"/>
  <c r="M7" i="4"/>
  <c r="N8" i="8"/>
  <c r="M10" i="8"/>
  <c r="N10" i="8" s="1"/>
  <c r="M11" i="8"/>
  <c r="N11" i="8" s="1"/>
  <c r="M12" i="8"/>
  <c r="N12" i="8" s="1"/>
  <c r="M6" i="8"/>
  <c r="N6" i="8" s="1"/>
  <c r="M31" i="4"/>
  <c r="N31" i="4" s="1"/>
  <c r="M23" i="4" l="1"/>
  <c r="N23" i="4" s="1"/>
  <c r="M15" i="4"/>
  <c r="N15" i="4" s="1"/>
  <c r="M24" i="4" l="1"/>
  <c r="N24" i="4" s="1"/>
  <c r="M14" i="4"/>
  <c r="N14" i="4" s="1"/>
  <c r="M32" i="4"/>
  <c r="N32" i="4" s="1"/>
  <c r="M26" i="4" l="1"/>
  <c r="N26" i="4" s="1"/>
  <c r="M27" i="4"/>
  <c r="N27" i="4" s="1"/>
  <c r="M28" i="4"/>
  <c r="N28" i="4" s="1"/>
  <c r="M29" i="4"/>
  <c r="N29" i="4" s="1"/>
  <c r="M30" i="4"/>
  <c r="N30" i="4" s="1"/>
  <c r="M25" i="4"/>
  <c r="N25" i="4" s="1"/>
  <c r="O7" i="4"/>
  <c r="M21" i="4" l="1"/>
  <c r="N21" i="4" s="1"/>
  <c r="M22" i="4" l="1"/>
  <c r="N22" i="4" s="1"/>
  <c r="M20" i="4"/>
  <c r="N20" i="4" s="1"/>
  <c r="M19" i="4"/>
  <c r="N19" i="4" s="1"/>
  <c r="N7" i="4" l="1"/>
  <c r="M6" i="4"/>
  <c r="N6" i="4" s="1"/>
  <c r="M18" i="4" l="1"/>
  <c r="N18" i="4" s="1"/>
  <c r="M17" i="4"/>
  <c r="N17" i="4" s="1"/>
  <c r="M13" i="4"/>
  <c r="N13" i="4" s="1"/>
  <c r="M11" i="4" l="1"/>
  <c r="N11" i="4" s="1"/>
  <c r="M12" i="4"/>
  <c r="N12" i="4" s="1"/>
  <c r="M8" i="4" l="1"/>
  <c r="N8" i="4" s="1"/>
  <c r="M9" i="4"/>
  <c r="N9" i="4" s="1"/>
  <c r="M10" i="4"/>
  <c r="N10" i="4" s="1"/>
  <c r="M16" i="4"/>
  <c r="N16" i="4" s="1"/>
  <c r="M9" i="1"/>
  <c r="M6" i="1" l="1"/>
  <c r="N6" i="1" s="1"/>
  <c r="M7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N51" i="1" s="1"/>
  <c r="M52" i="1"/>
  <c r="M53" i="1"/>
  <c r="M54" i="1"/>
  <c r="M55" i="1"/>
  <c r="M56" i="1"/>
  <c r="M57" i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M67" i="1"/>
  <c r="M68" i="1"/>
  <c r="M69" i="1"/>
  <c r="N69" i="1" s="1"/>
  <c r="M70" i="1"/>
  <c r="N70" i="1" s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N21" i="1" l="1"/>
  <c r="N37" i="1"/>
  <c r="N13" i="1"/>
  <c r="N29" i="1"/>
  <c r="N45" i="1"/>
  <c r="N9" i="1"/>
  <c r="N17" i="1"/>
  <c r="N25" i="1"/>
  <c r="N33" i="1"/>
  <c r="N41" i="1"/>
  <c r="N49" i="1"/>
  <c r="N47" i="1"/>
  <c r="N77" i="1"/>
  <c r="N53" i="1"/>
  <c r="N27" i="1"/>
  <c r="N14" i="1"/>
  <c r="N8" i="1"/>
  <c r="N84" i="1"/>
  <c r="N68" i="1"/>
  <c r="N52" i="1"/>
  <c r="N20" i="1"/>
  <c r="N83" i="1"/>
  <c r="N38" i="1"/>
  <c r="N82" i="1"/>
  <c r="N74" i="1"/>
  <c r="N66" i="1"/>
  <c r="N50" i="1"/>
  <c r="N44" i="1"/>
  <c r="N31" i="1"/>
  <c r="N18" i="1"/>
  <c r="N12" i="1"/>
  <c r="N86" i="1"/>
  <c r="N28" i="1"/>
  <c r="N40" i="1"/>
  <c r="N76" i="1"/>
  <c r="N26" i="1"/>
  <c r="N7" i="1"/>
  <c r="N75" i="1"/>
  <c r="N67" i="1"/>
  <c r="N32" i="1"/>
  <c r="N19" i="1"/>
  <c r="N81" i="1"/>
  <c r="N73" i="1"/>
  <c r="N57" i="1"/>
  <c r="N43" i="1"/>
  <c r="N30" i="1"/>
  <c r="N24" i="1"/>
  <c r="N11" i="1"/>
  <c r="N78" i="1"/>
  <c r="N54" i="1"/>
  <c r="N34" i="1"/>
  <c r="N15" i="1"/>
  <c r="N85" i="1"/>
  <c r="N46" i="1"/>
  <c r="N39" i="1"/>
  <c r="N80" i="1"/>
  <c r="N72" i="1"/>
  <c r="N56" i="1"/>
  <c r="N42" i="1"/>
  <c r="N36" i="1"/>
  <c r="N23" i="1"/>
  <c r="N10" i="1"/>
  <c r="N79" i="1"/>
  <c r="N71" i="1"/>
  <c r="N55" i="1"/>
  <c r="N48" i="1"/>
  <c r="N35" i="1"/>
  <c r="N22" i="1"/>
  <c r="N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CIM" type="1" refreshedVersion="8" background="1" saveData="1">
    <dbPr connection="DSN=AMROS;UID=odbcqry;APP=Microsoft Office 2013;WSID=SYG-SIDG-WAHB;DATABASE=dalcim;LANGUAGE=us_english" command="SELECT poheadm.supplier, poheadm.date_entered, podetm.order_no, podetm.order_line_no, podetm.warehouse, podetm.product, podetm.description, podetm.unit_code, poheadm.buyer_id, poheadm.status, podetm.qty_ordered, podetm.qty_received, podetm.qty_invoiced, podetm.local_expect_cost, podetm.local_total_expect_x000d__x000a_FROM dalcim.scheme.podetm podetm, dalcim.scheme.poheadm poheadm_x000d__x000a_WHERE podetm.order_no = poheadm.order_no"/>
  </connection>
</connections>
</file>

<file path=xl/sharedStrings.xml><?xml version="1.0" encoding="utf-8"?>
<sst xmlns="http://schemas.openxmlformats.org/spreadsheetml/2006/main" count="39764" uniqueCount="3393">
  <si>
    <t>supplier</t>
  </si>
  <si>
    <t>date_entered</t>
  </si>
  <si>
    <t>order_no</t>
  </si>
  <si>
    <t>order_line_no</t>
  </si>
  <si>
    <t>warehouse</t>
  </si>
  <si>
    <t>product</t>
  </si>
  <si>
    <t>description</t>
  </si>
  <si>
    <t>unit_code</t>
  </si>
  <si>
    <t>qty_ordered</t>
  </si>
  <si>
    <t>qty_received</t>
  </si>
  <si>
    <t>qty_invoiced</t>
  </si>
  <si>
    <t>status</t>
  </si>
  <si>
    <t>buyer_id</t>
  </si>
  <si>
    <t>local_expect_cost</t>
  </si>
  <si>
    <t>local_total_expect</t>
  </si>
  <si>
    <t>Receipt Status</t>
  </si>
  <si>
    <t>Invoice Status</t>
  </si>
  <si>
    <t>Facility Name</t>
  </si>
  <si>
    <t>LOC01083</t>
  </si>
  <si>
    <t>000005</t>
  </si>
  <si>
    <t xml:space="preserve">   1</t>
  </si>
  <si>
    <t>CB</t>
  </si>
  <si>
    <t>GN1101</t>
  </si>
  <si>
    <t>GNS JV</t>
  </si>
  <si>
    <t>TON</t>
  </si>
  <si>
    <t>C</t>
  </si>
  <si>
    <t>suzan.r</t>
  </si>
  <si>
    <t>000006</t>
  </si>
  <si>
    <t>CH</t>
  </si>
  <si>
    <t>000007</t>
  </si>
  <si>
    <t>CK</t>
  </si>
  <si>
    <t>000008</t>
  </si>
  <si>
    <t>CM</t>
  </si>
  <si>
    <t>000009</t>
  </si>
  <si>
    <t>CO</t>
  </si>
  <si>
    <t>000010</t>
  </si>
  <si>
    <t>SG</t>
  </si>
  <si>
    <t>SM1101</t>
  </si>
  <si>
    <t>WHITE SESAME JV GDP</t>
  </si>
  <si>
    <t>000011</t>
  </si>
  <si>
    <t>SK</t>
  </si>
  <si>
    <t>SM1111</t>
  </si>
  <si>
    <t>Red Sesame JV RM</t>
  </si>
  <si>
    <t>000012</t>
  </si>
  <si>
    <t>SO</t>
  </si>
  <si>
    <t>000013</t>
  </si>
  <si>
    <t>SC</t>
  </si>
  <si>
    <t>SM1102</t>
  </si>
  <si>
    <t>WHITE SESAME JV NON</t>
  </si>
  <si>
    <t>LOC00965</t>
  </si>
  <si>
    <t>000014</t>
  </si>
  <si>
    <t/>
  </si>
  <si>
    <t>Finance Cost</t>
  </si>
  <si>
    <t>Finance cost-TAX&amp;SMO</t>
  </si>
  <si>
    <t>EACH</t>
  </si>
  <si>
    <t>000016</t>
  </si>
  <si>
    <t>SQ</t>
  </si>
  <si>
    <t>WT1001</t>
  </si>
  <si>
    <t>WATERMLON SED RM  JV</t>
  </si>
  <si>
    <t>9</t>
  </si>
  <si>
    <t>000018</t>
  </si>
  <si>
    <t>WT1101</t>
  </si>
  <si>
    <t>WATERMELON SED RM JV</t>
  </si>
  <si>
    <t>000019</t>
  </si>
  <si>
    <t>SB</t>
  </si>
  <si>
    <t>000020</t>
  </si>
  <si>
    <t>XP</t>
  </si>
  <si>
    <t>CO1001</t>
  </si>
  <si>
    <t>COTTON FG JV</t>
  </si>
  <si>
    <t>000021</t>
  </si>
  <si>
    <t>SN</t>
  </si>
  <si>
    <t xml:space="preserve">   2</t>
  </si>
  <si>
    <t>LOC01106</t>
  </si>
  <si>
    <t>000024</t>
  </si>
  <si>
    <t xml:space="preserve">   5</t>
  </si>
  <si>
    <t>Finance cost</t>
  </si>
  <si>
    <t xml:space="preserve">   6</t>
  </si>
  <si>
    <t>LOC01107</t>
  </si>
  <si>
    <t>000025</t>
  </si>
  <si>
    <t>Sifting Cost</t>
  </si>
  <si>
    <t>Handling Cost</t>
  </si>
  <si>
    <t>LOC01038</t>
  </si>
  <si>
    <t>000026</t>
  </si>
  <si>
    <t>Finance cost- invent</t>
  </si>
  <si>
    <t>LOC01003</t>
  </si>
  <si>
    <t>000031</t>
  </si>
  <si>
    <t>SM0102</t>
  </si>
  <si>
    <t>WHITE SESAME NON GDP</t>
  </si>
  <si>
    <t xml:space="preserve">   4</t>
  </si>
  <si>
    <t>Finance cost-Stowage</t>
  </si>
  <si>
    <t>LOC01102</t>
  </si>
  <si>
    <t>000022</t>
  </si>
  <si>
    <t>Manual Sifting</t>
  </si>
  <si>
    <t>LOC01027</t>
  </si>
  <si>
    <t>000023</t>
  </si>
  <si>
    <t>Crushing Cost</t>
  </si>
  <si>
    <t>Finance cost-weighin</t>
  </si>
  <si>
    <t>000028</t>
  </si>
  <si>
    <t>Finance cost-Sifting</t>
  </si>
  <si>
    <t>Finance cost-Invento</t>
  </si>
  <si>
    <t xml:space="preserve">   3</t>
  </si>
  <si>
    <t>000029</t>
  </si>
  <si>
    <t>SD</t>
  </si>
  <si>
    <t>CP0102</t>
  </si>
  <si>
    <t>CHICK PEAS CENTRALRM</t>
  </si>
  <si>
    <t>SF</t>
  </si>
  <si>
    <t>000030</t>
  </si>
  <si>
    <t>SL</t>
  </si>
  <si>
    <t>SM0111</t>
  </si>
  <si>
    <t>RED SESAME RM</t>
  </si>
  <si>
    <t>000032</t>
  </si>
  <si>
    <t>SP</t>
  </si>
  <si>
    <t>Re - Sifting</t>
  </si>
  <si>
    <t>LOC01113</t>
  </si>
  <si>
    <t>000033</t>
  </si>
  <si>
    <t>LOC00881</t>
  </si>
  <si>
    <t>000034</t>
  </si>
  <si>
    <t>Finance cost-sifting</t>
  </si>
  <si>
    <t>Manual sifting</t>
  </si>
  <si>
    <t>Finance cost-weghtin</t>
  </si>
  <si>
    <t>000035</t>
  </si>
  <si>
    <t>000036</t>
  </si>
  <si>
    <t>SM1002</t>
  </si>
  <si>
    <t>BAG50</t>
  </si>
  <si>
    <t>000038</t>
  </si>
  <si>
    <t>Sifting cost of chic</t>
  </si>
  <si>
    <t>Finance cost-handlin</t>
  </si>
  <si>
    <t>LOC01031</t>
  </si>
  <si>
    <t>000039</t>
  </si>
  <si>
    <t>000041</t>
  </si>
  <si>
    <t>TG0101</t>
  </si>
  <si>
    <t>GUM ARABIC TALH RM</t>
  </si>
  <si>
    <t>manal.m</t>
  </si>
  <si>
    <t>000042</t>
  </si>
  <si>
    <t>Finance cost-stamp</t>
  </si>
  <si>
    <t>000044</t>
  </si>
  <si>
    <t>Finance cost-Tanspor</t>
  </si>
  <si>
    <t>Finance cost-Handlin</t>
  </si>
  <si>
    <t>000043</t>
  </si>
  <si>
    <t>000040</t>
  </si>
  <si>
    <t>LOC01041</t>
  </si>
  <si>
    <t>000051</t>
  </si>
  <si>
    <t>000055</t>
  </si>
  <si>
    <t>Sifting cost</t>
  </si>
  <si>
    <t>OVE00544</t>
  </si>
  <si>
    <t>000068</t>
  </si>
  <si>
    <t>AA</t>
  </si>
  <si>
    <t>PB0288</t>
  </si>
  <si>
    <t>EXPORT EMP 60*105CM</t>
  </si>
  <si>
    <t>PIECE</t>
  </si>
  <si>
    <t>wigdan.m</t>
  </si>
  <si>
    <t>PB0289</t>
  </si>
  <si>
    <t>EXPORT EMP 65*105CM</t>
  </si>
  <si>
    <t>LOC00817</t>
  </si>
  <si>
    <t>000071</t>
  </si>
  <si>
    <t>GN0003</t>
  </si>
  <si>
    <t>GROUNDNUTS OIL</t>
  </si>
  <si>
    <t>PS000089</t>
  </si>
  <si>
    <t>000027</t>
  </si>
  <si>
    <t>000046</t>
  </si>
  <si>
    <t>LOC01161</t>
  </si>
  <si>
    <t>000075</t>
  </si>
  <si>
    <t>SH</t>
  </si>
  <si>
    <t>000056</t>
  </si>
  <si>
    <t>Inspection Fees</t>
  </si>
  <si>
    <t>000077</t>
  </si>
  <si>
    <t>CT</t>
  </si>
  <si>
    <t>GN0001</t>
  </si>
  <si>
    <t>000057</t>
  </si>
  <si>
    <t>Inspection fees</t>
  </si>
  <si>
    <t>000047</t>
  </si>
  <si>
    <t>000048</t>
  </si>
  <si>
    <t>Finance cost-Labor</t>
  </si>
  <si>
    <t>Finance cost-dischar</t>
  </si>
  <si>
    <t>Finance cost-Weighti</t>
  </si>
  <si>
    <t>Finance cost-Trans</t>
  </si>
  <si>
    <t>000049</t>
  </si>
  <si>
    <t>Finance cost-Casual</t>
  </si>
  <si>
    <t>Finance cost-Stitchi</t>
  </si>
  <si>
    <t>Finance cost-other c</t>
  </si>
  <si>
    <t>000050</t>
  </si>
  <si>
    <t>LOC01162</t>
  </si>
  <si>
    <t>000106</t>
  </si>
  <si>
    <t>Sifiting</t>
  </si>
  <si>
    <t>Sifting</t>
  </si>
  <si>
    <t>Mogarda &amp; Tasteef</t>
  </si>
  <si>
    <t>Mogarda RM</t>
  </si>
  <si>
    <t>LOC01180</t>
  </si>
  <si>
    <t>000067</t>
  </si>
  <si>
    <t>GN0205</t>
  </si>
  <si>
    <t>GNS HPS Pruchase Fin</t>
  </si>
  <si>
    <t>000108</t>
  </si>
  <si>
    <t>SY</t>
  </si>
  <si>
    <t>000073</t>
  </si>
  <si>
    <t>LOC01096</t>
  </si>
  <si>
    <t>000110</t>
  </si>
  <si>
    <t>SO0101</t>
  </si>
  <si>
    <t>SORGHUM NON GMO RM</t>
  </si>
  <si>
    <t>000111</t>
  </si>
  <si>
    <t>000066</t>
  </si>
  <si>
    <t>SS</t>
  </si>
  <si>
    <t>OVE00520</t>
  </si>
  <si>
    <t>000113</t>
  </si>
  <si>
    <t>AC</t>
  </si>
  <si>
    <t>OF0201</t>
  </si>
  <si>
    <t>Oil Flexi Tank</t>
  </si>
  <si>
    <t>SET</t>
  </si>
  <si>
    <t>osman.f</t>
  </si>
  <si>
    <t>LOC01155</t>
  </si>
  <si>
    <t>000098</t>
  </si>
  <si>
    <t>SZ</t>
  </si>
  <si>
    <t>000069</t>
  </si>
  <si>
    <t xml:space="preserve">   7</t>
  </si>
  <si>
    <t>000117</t>
  </si>
  <si>
    <t>CU</t>
  </si>
  <si>
    <t>000099</t>
  </si>
  <si>
    <t>000080</t>
  </si>
  <si>
    <t>000118</t>
  </si>
  <si>
    <t>EG</t>
  </si>
  <si>
    <t>GO0001</t>
  </si>
  <si>
    <t>YELLOW BEANS FG</t>
  </si>
  <si>
    <t>Gram</t>
  </si>
  <si>
    <t>000119</t>
  </si>
  <si>
    <t>000120</t>
  </si>
  <si>
    <t>LOC01191</t>
  </si>
  <si>
    <t>000123</t>
  </si>
  <si>
    <t>ST</t>
  </si>
  <si>
    <t>000124</t>
  </si>
  <si>
    <t>LOC01193</t>
  </si>
  <si>
    <t>000125</t>
  </si>
  <si>
    <t>SM0101</t>
  </si>
  <si>
    <t>WHITE SESAME GDP RM</t>
  </si>
  <si>
    <t>LOC01166</t>
  </si>
  <si>
    <t>000081</t>
  </si>
  <si>
    <t>000127</t>
  </si>
  <si>
    <t>LOC01165</t>
  </si>
  <si>
    <t>000112</t>
  </si>
  <si>
    <t>000128</t>
  </si>
  <si>
    <t>000129</t>
  </si>
  <si>
    <t>AG</t>
  </si>
  <si>
    <t>000097</t>
  </si>
  <si>
    <t>000095</t>
  </si>
  <si>
    <t>LOC00966</t>
  </si>
  <si>
    <t>000132</t>
  </si>
  <si>
    <t>CO0001</t>
  </si>
  <si>
    <t>COTTON FG</t>
  </si>
  <si>
    <t>000126</t>
  </si>
  <si>
    <t>Crushing</t>
  </si>
  <si>
    <t>LOC01196</t>
  </si>
  <si>
    <t>000137</t>
  </si>
  <si>
    <t>LOC01061</t>
  </si>
  <si>
    <t>000143</t>
  </si>
  <si>
    <t>LOC01189</t>
  </si>
  <si>
    <t>000102</t>
  </si>
  <si>
    <t>Handling FG</t>
  </si>
  <si>
    <t>Handling Finished Gd</t>
  </si>
  <si>
    <t>LOC01036</t>
  </si>
  <si>
    <t>000134</t>
  </si>
  <si>
    <t>000140</t>
  </si>
  <si>
    <t>SI</t>
  </si>
  <si>
    <t>LOC01199</t>
  </si>
  <si>
    <t>000144</t>
  </si>
  <si>
    <t>SSMO &amp; TAX</t>
  </si>
  <si>
    <t>TAX</t>
  </si>
  <si>
    <t>SSMO</t>
  </si>
  <si>
    <t>Zakat</t>
  </si>
  <si>
    <t>Crop Market Fees</t>
  </si>
  <si>
    <t>Packing</t>
  </si>
  <si>
    <t>SW</t>
  </si>
  <si>
    <t>LOC01057</t>
  </si>
  <si>
    <t>000146</t>
  </si>
  <si>
    <t>000121</t>
  </si>
  <si>
    <t>000122</t>
  </si>
  <si>
    <t>000142</t>
  </si>
  <si>
    <t>Finance cost-</t>
  </si>
  <si>
    <t>Mogarda &amp; Tasteef RM</t>
  </si>
  <si>
    <t>LOC01144</t>
  </si>
  <si>
    <t>000148</t>
  </si>
  <si>
    <t>Handling RM</t>
  </si>
  <si>
    <t>Handling Raw Materia</t>
  </si>
  <si>
    <t>000149</t>
  </si>
  <si>
    <t>CD</t>
  </si>
  <si>
    <t>LOC01201</t>
  </si>
  <si>
    <t>000151</t>
  </si>
  <si>
    <t>LOC01063</t>
  </si>
  <si>
    <t>000166</t>
  </si>
  <si>
    <t>FC</t>
  </si>
  <si>
    <t>GN0101</t>
  </si>
  <si>
    <t>GRN SEEDS _UNSHIELDE</t>
  </si>
  <si>
    <t>LOC01171</t>
  </si>
  <si>
    <t>000089</t>
  </si>
  <si>
    <t>000145</t>
  </si>
  <si>
    <t>000156</t>
  </si>
  <si>
    <t>000157</t>
  </si>
  <si>
    <t>PB0273</t>
  </si>
  <si>
    <t>SORGHUM FOR EXPORT</t>
  </si>
  <si>
    <t>000159</t>
  </si>
  <si>
    <t>000161</t>
  </si>
  <si>
    <t>000162</t>
  </si>
  <si>
    <t>SA</t>
  </si>
  <si>
    <t>PP0101</t>
  </si>
  <si>
    <t>PIGON PEAS JZRA RM</t>
  </si>
  <si>
    <t>000163</t>
  </si>
  <si>
    <t>LOC01151</t>
  </si>
  <si>
    <t>000130</t>
  </si>
  <si>
    <t>RD0001</t>
  </si>
  <si>
    <t>Rhodes HD</t>
  </si>
  <si>
    <t>000133</t>
  </si>
  <si>
    <t>LOC01147</t>
  </si>
  <si>
    <t>000160</t>
  </si>
  <si>
    <t>000164</t>
  </si>
  <si>
    <t>000165</t>
  </si>
  <si>
    <t>PB0290</t>
  </si>
  <si>
    <t>EXPORT EMP 70*125CM</t>
  </si>
  <si>
    <t>000138</t>
  </si>
  <si>
    <t>000141</t>
  </si>
  <si>
    <t>LOC01140</t>
  </si>
  <si>
    <t>000054</t>
  </si>
  <si>
    <t>Ginning Cost</t>
  </si>
  <si>
    <t>LOC01145</t>
  </si>
  <si>
    <t>000060</t>
  </si>
  <si>
    <t>CA</t>
  </si>
  <si>
    <t xml:space="preserve">   8</t>
  </si>
  <si>
    <t xml:space="preserve">   9</t>
  </si>
  <si>
    <t xml:space="preserve">  10</t>
  </si>
  <si>
    <t xml:space="preserve">  11</t>
  </si>
  <si>
    <t>000052</t>
  </si>
  <si>
    <t>HG1001</t>
  </si>
  <si>
    <t>Gum HASHAB FG JV</t>
  </si>
  <si>
    <t>000053</t>
  </si>
  <si>
    <t>TG1001</t>
  </si>
  <si>
    <t>Gum  Talha FG JV</t>
  </si>
  <si>
    <t>LOC01150</t>
  </si>
  <si>
    <t>000058</t>
  </si>
  <si>
    <t>000072</t>
  </si>
  <si>
    <t>SM</t>
  </si>
  <si>
    <t>000063</t>
  </si>
  <si>
    <t>000078</t>
  </si>
  <si>
    <t>000070</t>
  </si>
  <si>
    <t>000079</t>
  </si>
  <si>
    <t>GH</t>
  </si>
  <si>
    <t>CO1101</t>
  </si>
  <si>
    <t>COTTON FLOWER RM JV</t>
  </si>
  <si>
    <t>000082</t>
  </si>
  <si>
    <t>000083</t>
  </si>
  <si>
    <t>GNO_CRUSHED</t>
  </si>
  <si>
    <t>000085</t>
  </si>
  <si>
    <t>000087</t>
  </si>
  <si>
    <t>000088</t>
  </si>
  <si>
    <t>000059</t>
  </si>
  <si>
    <t>000074</t>
  </si>
  <si>
    <t>000076</t>
  </si>
  <si>
    <t>000150</t>
  </si>
  <si>
    <t>LOC00268</t>
  </si>
  <si>
    <t>000092</t>
  </si>
  <si>
    <t>PB0220</t>
  </si>
  <si>
    <t>JUMBO PP BAG</t>
  </si>
  <si>
    <t>LOC01172</t>
  </si>
  <si>
    <t>000093</t>
  </si>
  <si>
    <t>aram.m</t>
  </si>
  <si>
    <t>000096</t>
  </si>
  <si>
    <t>000004</t>
  </si>
  <si>
    <t>000084</t>
  </si>
  <si>
    <t>000090</t>
  </si>
  <si>
    <t>000091</t>
  </si>
  <si>
    <t>000062</t>
  </si>
  <si>
    <t>000064</t>
  </si>
  <si>
    <t>000086</t>
  </si>
  <si>
    <t>000061</t>
  </si>
  <si>
    <t>Transportation</t>
  </si>
  <si>
    <t>000065</t>
  </si>
  <si>
    <t>Sifiting and Packing</t>
  </si>
  <si>
    <t>Mogarda  RM</t>
  </si>
  <si>
    <t>Mogarda &amp; Tasteef FG</t>
  </si>
  <si>
    <t>000105</t>
  </si>
  <si>
    <t>000103</t>
  </si>
  <si>
    <t>000107</t>
  </si>
  <si>
    <t>000094</t>
  </si>
  <si>
    <t>Taxation</t>
  </si>
  <si>
    <t>Weighbridge Cost</t>
  </si>
  <si>
    <t>Courier Cost</t>
  </si>
  <si>
    <t>Benzene</t>
  </si>
  <si>
    <t>Quarantine Cost</t>
  </si>
  <si>
    <t>Rent Cost</t>
  </si>
  <si>
    <t>Re-packing</t>
  </si>
  <si>
    <t>000100</t>
  </si>
  <si>
    <t>000104</t>
  </si>
  <si>
    <t>000045</t>
  </si>
  <si>
    <t>LOC01149</t>
  </si>
  <si>
    <t>000101</t>
  </si>
  <si>
    <t>Local Transportation</t>
  </si>
  <si>
    <t>Local Chunting</t>
  </si>
  <si>
    <t>000037</t>
  </si>
  <si>
    <t>000109</t>
  </si>
  <si>
    <t>000114</t>
  </si>
  <si>
    <t>000115</t>
  </si>
  <si>
    <t>000116</t>
  </si>
  <si>
    <t>000147</t>
  </si>
  <si>
    <t>LOC01203</t>
  </si>
  <si>
    <t>000152</t>
  </si>
  <si>
    <t>LOC01202</t>
  </si>
  <si>
    <t>000153</t>
  </si>
  <si>
    <t>000154</t>
  </si>
  <si>
    <t>000170</t>
  </si>
  <si>
    <t>000178</t>
  </si>
  <si>
    <t>GI</t>
  </si>
  <si>
    <t>CO0101</t>
  </si>
  <si>
    <t>Cotton Flower RM</t>
  </si>
  <si>
    <t>LOC01054</t>
  </si>
  <si>
    <t>000180</t>
  </si>
  <si>
    <t>SV</t>
  </si>
  <si>
    <t>HG0001</t>
  </si>
  <si>
    <t>GUM ARABIC HASHAB FG</t>
  </si>
  <si>
    <t>LOC00670</t>
  </si>
  <si>
    <t>000189</t>
  </si>
  <si>
    <t>CB0301</t>
  </si>
  <si>
    <t>CARDBOARD PAPER</t>
  </si>
  <si>
    <t>ROLL</t>
  </si>
  <si>
    <t>bashir.y</t>
  </si>
  <si>
    <t>000192</t>
  </si>
  <si>
    <t>GN1001</t>
  </si>
  <si>
    <t>GROUNDNUTS OIL JV</t>
  </si>
  <si>
    <t>000191</t>
  </si>
  <si>
    <t>LOC01216</t>
  </si>
  <si>
    <t>000190</t>
  </si>
  <si>
    <t>000194</t>
  </si>
  <si>
    <t>000195</t>
  </si>
  <si>
    <t>000172</t>
  </si>
  <si>
    <t>LOC01212</t>
  </si>
  <si>
    <t>000173</t>
  </si>
  <si>
    <t>000174</t>
  </si>
  <si>
    <t>CS</t>
  </si>
  <si>
    <t>000179</t>
  </si>
  <si>
    <t>Stitching</t>
  </si>
  <si>
    <t>000176</t>
  </si>
  <si>
    <t>000181</t>
  </si>
  <si>
    <t>000183</t>
  </si>
  <si>
    <t>LOC01008</t>
  </si>
  <si>
    <t>000185</t>
  </si>
  <si>
    <t>Tasteef RM</t>
  </si>
  <si>
    <t>000186</t>
  </si>
  <si>
    <t>000197</t>
  </si>
  <si>
    <t>TG0001</t>
  </si>
  <si>
    <t>GUM ARABIC TALH FG</t>
  </si>
  <si>
    <t>000198</t>
  </si>
  <si>
    <t>000201</t>
  </si>
  <si>
    <t>000202</t>
  </si>
  <si>
    <t>000196</t>
  </si>
  <si>
    <t>000203</t>
  </si>
  <si>
    <t>000204</t>
  </si>
  <si>
    <t>000208</t>
  </si>
  <si>
    <t xml:space="preserve">  12</t>
  </si>
  <si>
    <t xml:space="preserve">  13</t>
  </si>
  <si>
    <t>000199</t>
  </si>
  <si>
    <t>000200</t>
  </si>
  <si>
    <t>000206</t>
  </si>
  <si>
    <t>000207</t>
  </si>
  <si>
    <t>000209</t>
  </si>
  <si>
    <t>000211</t>
  </si>
  <si>
    <t>000212</t>
  </si>
  <si>
    <t>000214</t>
  </si>
  <si>
    <t>000215</t>
  </si>
  <si>
    <t>LOC01237</t>
  </si>
  <si>
    <t>000217</t>
  </si>
  <si>
    <t>000218</t>
  </si>
  <si>
    <t>000135</t>
  </si>
  <si>
    <t>000136</t>
  </si>
  <si>
    <t>000131</t>
  </si>
  <si>
    <t>LOC00887</t>
  </si>
  <si>
    <t>000167</t>
  </si>
  <si>
    <t>000158</t>
  </si>
  <si>
    <t>GN1205</t>
  </si>
  <si>
    <t>GROUNDNUT SEEDS HPS</t>
  </si>
  <si>
    <t>000169</t>
  </si>
  <si>
    <t>WT0101</t>
  </si>
  <si>
    <t>WATERMELON SEED RM</t>
  </si>
  <si>
    <t>000171</t>
  </si>
  <si>
    <t>HG0202</t>
  </si>
  <si>
    <t>GUM ARABIC HASHAB RM</t>
  </si>
  <si>
    <t>000175</t>
  </si>
  <si>
    <t>CP0101</t>
  </si>
  <si>
    <t>CHICK PEAS WESTERNRM</t>
  </si>
  <si>
    <t>000168</t>
  </si>
  <si>
    <t>PB0110</t>
  </si>
  <si>
    <t>EXPORT EMP 35*70CM</t>
  </si>
  <si>
    <t>000177</t>
  </si>
  <si>
    <t>SM0121</t>
  </si>
  <si>
    <t>MXD SESAME RM</t>
  </si>
  <si>
    <t>000182</t>
  </si>
  <si>
    <t>000184</t>
  </si>
  <si>
    <t>000187</t>
  </si>
  <si>
    <t>LOC01219</t>
  </si>
  <si>
    <t>000188</t>
  </si>
  <si>
    <t>OVE00889</t>
  </si>
  <si>
    <t>000492</t>
  </si>
  <si>
    <t>LOC01236</t>
  </si>
  <si>
    <t>000213</t>
  </si>
  <si>
    <t>000219</t>
  </si>
  <si>
    <t>LOC01239</t>
  </si>
  <si>
    <t>000222</t>
  </si>
  <si>
    <t>LOC01080</t>
  </si>
  <si>
    <t>000226</t>
  </si>
  <si>
    <t>LOC01082</t>
  </si>
  <si>
    <t>000272</t>
  </si>
  <si>
    <t>000234</t>
  </si>
  <si>
    <t>LOC00376</t>
  </si>
  <si>
    <t>000284</t>
  </si>
  <si>
    <t xml:space="preserve">  26</t>
  </si>
  <si>
    <t xml:space="preserve">  27</t>
  </si>
  <si>
    <t xml:space="preserve">  28</t>
  </si>
  <si>
    <t xml:space="preserve">  29</t>
  </si>
  <si>
    <t xml:space="preserve">  30</t>
  </si>
  <si>
    <t xml:space="preserve">  31</t>
  </si>
  <si>
    <t xml:space="preserve">  32</t>
  </si>
  <si>
    <t>000286</t>
  </si>
  <si>
    <t>GN0002</t>
  </si>
  <si>
    <t>GROUNDNUTS CAKE FG</t>
  </si>
  <si>
    <t>000285</t>
  </si>
  <si>
    <t>GN1005</t>
  </si>
  <si>
    <t>000288</t>
  </si>
  <si>
    <t>000290</t>
  </si>
  <si>
    <t>LOC01261</t>
  </si>
  <si>
    <t>000259</t>
  </si>
  <si>
    <t>OVE00883</t>
  </si>
  <si>
    <t>000291</t>
  </si>
  <si>
    <t>000292</t>
  </si>
  <si>
    <t>GN0005</t>
  </si>
  <si>
    <t>000293</t>
  </si>
  <si>
    <t>000294</t>
  </si>
  <si>
    <t>RD0002</t>
  </si>
  <si>
    <t>EXTERNEL RHODES500KG</t>
  </si>
  <si>
    <t>BALE</t>
  </si>
  <si>
    <t>000312</t>
  </si>
  <si>
    <t>hiba.mof</t>
  </si>
  <si>
    <t>LOC01301</t>
  </si>
  <si>
    <t>000313</t>
  </si>
  <si>
    <t>LOC01307</t>
  </si>
  <si>
    <t>000314</t>
  </si>
  <si>
    <t>000316</t>
  </si>
  <si>
    <t>LOC01302</t>
  </si>
  <si>
    <t>000317</t>
  </si>
  <si>
    <t>000320</t>
  </si>
  <si>
    <t>LOC01300</t>
  </si>
  <si>
    <t>000322</t>
  </si>
  <si>
    <t>Tests for GNC-asvoc</t>
  </si>
  <si>
    <t>000323</t>
  </si>
  <si>
    <t>PRINTING TAGS</t>
  </si>
  <si>
    <t>000326</t>
  </si>
  <si>
    <t>CE</t>
  </si>
  <si>
    <t>000329</t>
  </si>
  <si>
    <t>000330</t>
  </si>
  <si>
    <t>000315</t>
  </si>
  <si>
    <t>RA</t>
  </si>
  <si>
    <t>SX</t>
  </si>
  <si>
    <t>000327</t>
  </si>
  <si>
    <t>000328</t>
  </si>
  <si>
    <t>000331</t>
  </si>
  <si>
    <t>000332</t>
  </si>
  <si>
    <t>000333</t>
  </si>
  <si>
    <t>000334</t>
  </si>
  <si>
    <t>LOG00090</t>
  </si>
  <si>
    <t>000336</t>
  </si>
  <si>
    <t>000337</t>
  </si>
  <si>
    <t>LOC01305</t>
  </si>
  <si>
    <t>000318</t>
  </si>
  <si>
    <t>000321</t>
  </si>
  <si>
    <t xml:space="preserve">  39</t>
  </si>
  <si>
    <t xml:space="preserve">  40</t>
  </si>
  <si>
    <t xml:space="preserve">  41</t>
  </si>
  <si>
    <t xml:space="preserve">  42</t>
  </si>
  <si>
    <t xml:space="preserve">  43</t>
  </si>
  <si>
    <t xml:space="preserve">  44</t>
  </si>
  <si>
    <t>000235</t>
  </si>
  <si>
    <t>000236</t>
  </si>
  <si>
    <t>000237</t>
  </si>
  <si>
    <t>noon.o</t>
  </si>
  <si>
    <t>LOC01258</t>
  </si>
  <si>
    <t>000239</t>
  </si>
  <si>
    <t>SR</t>
  </si>
  <si>
    <t>000248</t>
  </si>
  <si>
    <t>000249</t>
  </si>
  <si>
    <t>000251</t>
  </si>
  <si>
    <t>LOG00007</t>
  </si>
  <si>
    <t>000252</t>
  </si>
  <si>
    <t>000253</t>
  </si>
  <si>
    <t>000254</t>
  </si>
  <si>
    <t>000256</t>
  </si>
  <si>
    <t>000257</t>
  </si>
  <si>
    <t>000261</t>
  </si>
  <si>
    <t>000250</t>
  </si>
  <si>
    <t>000255</t>
  </si>
  <si>
    <t xml:space="preserve">  20</t>
  </si>
  <si>
    <t xml:space="preserve">  21</t>
  </si>
  <si>
    <t xml:space="preserve">  22</t>
  </si>
  <si>
    <t xml:space="preserve">  23</t>
  </si>
  <si>
    <t xml:space="preserve">  24</t>
  </si>
  <si>
    <t xml:space="preserve">  25</t>
  </si>
  <si>
    <t>LOC01262</t>
  </si>
  <si>
    <t>000260</t>
  </si>
  <si>
    <t>000264</t>
  </si>
  <si>
    <t>000266</t>
  </si>
  <si>
    <t>LOC01259</t>
  </si>
  <si>
    <t>000267</t>
  </si>
  <si>
    <t>PB0300</t>
  </si>
  <si>
    <t>PLASTIC COVERS</t>
  </si>
  <si>
    <t>000258</t>
  </si>
  <si>
    <t>Mogarda</t>
  </si>
  <si>
    <t>000262</t>
  </si>
  <si>
    <t>000268</t>
  </si>
  <si>
    <t>000287</t>
  </si>
  <si>
    <t>Inspection Expenses</t>
  </si>
  <si>
    <t>000238</t>
  </si>
  <si>
    <t>000324</t>
  </si>
  <si>
    <t>Printing Tags</t>
  </si>
  <si>
    <t xml:space="preserve">  14</t>
  </si>
  <si>
    <t xml:space="preserve">  15</t>
  </si>
  <si>
    <t>000342</t>
  </si>
  <si>
    <t>000341</t>
  </si>
  <si>
    <t>LOC01316</t>
  </si>
  <si>
    <t>000347</t>
  </si>
  <si>
    <t>HM</t>
  </si>
  <si>
    <t>HC</t>
  </si>
  <si>
    <t>000401</t>
  </si>
  <si>
    <t>000403</t>
  </si>
  <si>
    <t>Sifiting Gadarif S.</t>
  </si>
  <si>
    <t>Sifiting Gadarif S</t>
  </si>
  <si>
    <t>000402</t>
  </si>
  <si>
    <t>LOC01364</t>
  </si>
  <si>
    <t>000414</t>
  </si>
  <si>
    <t>RC</t>
  </si>
  <si>
    <t>000415</t>
  </si>
  <si>
    <t>000416</t>
  </si>
  <si>
    <t>LOC01333</t>
  </si>
  <si>
    <t>000417</t>
  </si>
  <si>
    <t>000396</t>
  </si>
  <si>
    <t>000404</t>
  </si>
  <si>
    <t>Sifiting Water Melon</t>
  </si>
  <si>
    <t>000400</t>
  </si>
  <si>
    <t>000371</t>
  </si>
  <si>
    <t>Sifiting of WSNG</t>
  </si>
  <si>
    <t>000412</t>
  </si>
  <si>
    <t>000418</t>
  </si>
  <si>
    <t>LOC01323</t>
  </si>
  <si>
    <t>000364</t>
  </si>
  <si>
    <t>000419</t>
  </si>
  <si>
    <t>000420</t>
  </si>
  <si>
    <t>000421</t>
  </si>
  <si>
    <t>000376</t>
  </si>
  <si>
    <t>000384</t>
  </si>
  <si>
    <t>000406</t>
  </si>
  <si>
    <t>000422</t>
  </si>
  <si>
    <t>000424</t>
  </si>
  <si>
    <t>LOC01332</t>
  </si>
  <si>
    <t>000426</t>
  </si>
  <si>
    <t>000429</t>
  </si>
  <si>
    <t>Sifiting of M.S</t>
  </si>
  <si>
    <t>000395</t>
  </si>
  <si>
    <t>Sifiting of W.M</t>
  </si>
  <si>
    <t>LOC01371</t>
  </si>
  <si>
    <t>000425</t>
  </si>
  <si>
    <t>AL</t>
  </si>
  <si>
    <t>MT1001</t>
  </si>
  <si>
    <t>MEAT BEEF FINISH JV</t>
  </si>
  <si>
    <t>KG</t>
  </si>
  <si>
    <t>000432</t>
  </si>
  <si>
    <t>000223</t>
  </si>
  <si>
    <t>000263</t>
  </si>
  <si>
    <t>000283</t>
  </si>
  <si>
    <t>000295</t>
  </si>
  <si>
    <t>LOC01284</t>
  </si>
  <si>
    <t>000296</t>
  </si>
  <si>
    <t>000433</t>
  </si>
  <si>
    <t>000372</t>
  </si>
  <si>
    <t>000435</t>
  </si>
  <si>
    <t>Ginning</t>
  </si>
  <si>
    <t>CG</t>
  </si>
  <si>
    <t>000423</t>
  </si>
  <si>
    <t>PrintingTags</t>
  </si>
  <si>
    <t>000464</t>
  </si>
  <si>
    <t>000465</t>
  </si>
  <si>
    <t>000352</t>
  </si>
  <si>
    <t>000490</t>
  </si>
  <si>
    <t>000445</t>
  </si>
  <si>
    <t>EXPORT EMP 70*120CM</t>
  </si>
  <si>
    <t>000467</t>
  </si>
  <si>
    <t>Crushing of GNS</t>
  </si>
  <si>
    <t>LOC01289</t>
  </si>
  <si>
    <t>000373</t>
  </si>
  <si>
    <t>000446</t>
  </si>
  <si>
    <t>LOC01375</t>
  </si>
  <si>
    <t>000434</t>
  </si>
  <si>
    <t>HG0101</t>
  </si>
  <si>
    <t>000480</t>
  </si>
  <si>
    <t>P</t>
  </si>
  <si>
    <t xml:space="preserve">  18</t>
  </si>
  <si>
    <t>000458</t>
  </si>
  <si>
    <t>000484</t>
  </si>
  <si>
    <t>AL0001</t>
  </si>
  <si>
    <t>ALFALFA</t>
  </si>
  <si>
    <t>000459</t>
  </si>
  <si>
    <t>Sifiting/W.M/Sayga</t>
  </si>
  <si>
    <t>Sifiting/Resifting</t>
  </si>
  <si>
    <t xml:space="preserve">  46</t>
  </si>
  <si>
    <t>LOC01431</t>
  </si>
  <si>
    <t>000508</t>
  </si>
  <si>
    <t>MT1002</t>
  </si>
  <si>
    <t>MEAT LAMB FG-JV</t>
  </si>
  <si>
    <t>hiba.n</t>
  </si>
  <si>
    <t>000509</t>
  </si>
  <si>
    <t>HB0001</t>
  </si>
  <si>
    <t>HIBISCUS FINISHED</t>
  </si>
  <si>
    <t>BAG</t>
  </si>
  <si>
    <t>000489</t>
  </si>
  <si>
    <t>000510</t>
  </si>
  <si>
    <t>sadam.h</t>
  </si>
  <si>
    <t>000512</t>
  </si>
  <si>
    <t>000505</t>
  </si>
  <si>
    <t>000513</t>
  </si>
  <si>
    <t>000514</t>
  </si>
  <si>
    <t>PRINTING TAGS/CP</t>
  </si>
  <si>
    <t>000515</t>
  </si>
  <si>
    <t>LOC01432</t>
  </si>
  <si>
    <t>000517</t>
  </si>
  <si>
    <t>GO</t>
  </si>
  <si>
    <t>YELLOW BEANS</t>
  </si>
  <si>
    <t>LOC01420</t>
  </si>
  <si>
    <t>000520</t>
  </si>
  <si>
    <t>LOC01433</t>
  </si>
  <si>
    <t>000516</t>
  </si>
  <si>
    <t>000533</t>
  </si>
  <si>
    <t>000519</t>
  </si>
  <si>
    <t>000521</t>
  </si>
  <si>
    <t>LOC01362</t>
  </si>
  <si>
    <t>000408</t>
  </si>
  <si>
    <t>Inspection Fees/RS</t>
  </si>
  <si>
    <t>LOC01418</t>
  </si>
  <si>
    <t>000496</t>
  </si>
  <si>
    <t>Sifiting/WSNG</t>
  </si>
  <si>
    <t>000525</t>
  </si>
  <si>
    <t>LOC01422</t>
  </si>
  <si>
    <t>000522</t>
  </si>
  <si>
    <t>000523</t>
  </si>
  <si>
    <t>000524</t>
  </si>
  <si>
    <t>000526</t>
  </si>
  <si>
    <t>sarah.s</t>
  </si>
  <si>
    <t>000527</t>
  </si>
  <si>
    <t>000528</t>
  </si>
  <si>
    <t>MT1003</t>
  </si>
  <si>
    <t>MEAT GOAT FG-JV</t>
  </si>
  <si>
    <t>000531</t>
  </si>
  <si>
    <t>000532</t>
  </si>
  <si>
    <t>000478</t>
  </si>
  <si>
    <t xml:space="preserve">  16</t>
  </si>
  <si>
    <t>VAT</t>
  </si>
  <si>
    <t>000216</t>
  </si>
  <si>
    <t>000220</t>
  </si>
  <si>
    <t>000221</t>
  </si>
  <si>
    <t>LOC01242</t>
  </si>
  <si>
    <t>000224</t>
  </si>
  <si>
    <t xml:space="preserve">  17</t>
  </si>
  <si>
    <t xml:space="preserve">  19</t>
  </si>
  <si>
    <t>000282</t>
  </si>
  <si>
    <t>000229</t>
  </si>
  <si>
    <t>000225</t>
  </si>
  <si>
    <t>000233</t>
  </si>
  <si>
    <t>LOC01249</t>
  </si>
  <si>
    <t>000230</t>
  </si>
  <si>
    <t>LOC01250</t>
  </si>
  <si>
    <t>000231</t>
  </si>
  <si>
    <t>Sifting &amp; Packing</t>
  </si>
  <si>
    <t>LOC01251</t>
  </si>
  <si>
    <t>000232</t>
  </si>
  <si>
    <t>000246</t>
  </si>
  <si>
    <t>000241</t>
  </si>
  <si>
    <t>000228</t>
  </si>
  <si>
    <t>HG0002</t>
  </si>
  <si>
    <t>GUM ARABIC HASHAB KI</t>
  </si>
  <si>
    <t>BAG25</t>
  </si>
  <si>
    <t>000243</t>
  </si>
  <si>
    <t>000244</t>
  </si>
  <si>
    <t>000245</t>
  </si>
  <si>
    <t>000529</t>
  </si>
  <si>
    <t>000530</t>
  </si>
  <si>
    <t>000453</t>
  </si>
  <si>
    <t>000534</t>
  </si>
  <si>
    <t>Packing/Sorghum/50Kg</t>
  </si>
  <si>
    <t>000535</t>
  </si>
  <si>
    <t>000536</t>
  </si>
  <si>
    <t>000538</t>
  </si>
  <si>
    <t>Sifiting of RS</t>
  </si>
  <si>
    <t>LOC01287</t>
  </si>
  <si>
    <t>000539</t>
  </si>
  <si>
    <t>Inspection Fees/WSNG</t>
  </si>
  <si>
    <t>WEIGH</t>
  </si>
  <si>
    <t>WEIGH FEES</t>
  </si>
  <si>
    <t>LOC01441</t>
  </si>
  <si>
    <t>000537</t>
  </si>
  <si>
    <t>CJ</t>
  </si>
  <si>
    <t>0005541</t>
  </si>
  <si>
    <t>Emirates Airlines</t>
  </si>
  <si>
    <t>000544</t>
  </si>
  <si>
    <t>LOC01443</t>
  </si>
  <si>
    <t>000546</t>
  </si>
  <si>
    <t>Sifiting/CP</t>
  </si>
  <si>
    <t>LOC01402</t>
  </si>
  <si>
    <t>000545</t>
  </si>
  <si>
    <t>Slaughtering</t>
  </si>
  <si>
    <t>000361</t>
  </si>
  <si>
    <t>Sifiting/GS</t>
  </si>
  <si>
    <t>000540</t>
  </si>
  <si>
    <t>000541</t>
  </si>
  <si>
    <t>PRINTING TAGS/WM</t>
  </si>
  <si>
    <t>LOC01392</t>
  </si>
  <si>
    <t>000551</t>
  </si>
  <si>
    <t>000552</t>
  </si>
  <si>
    <t>LOC01335</t>
  </si>
  <si>
    <t>000488</t>
  </si>
  <si>
    <t>000335</t>
  </si>
  <si>
    <t>NOTEPAD</t>
  </si>
  <si>
    <t>NOTEPAD FEES</t>
  </si>
  <si>
    <t>000344</t>
  </si>
  <si>
    <t>DAL00091</t>
  </si>
  <si>
    <t>000346</t>
  </si>
  <si>
    <t>CC</t>
  </si>
  <si>
    <t>000353</t>
  </si>
  <si>
    <t>CF</t>
  </si>
  <si>
    <t>000355</t>
  </si>
  <si>
    <t>000340</t>
  </si>
  <si>
    <t>LOC01313</t>
  </si>
  <si>
    <t>000338</t>
  </si>
  <si>
    <t>000311</t>
  </si>
  <si>
    <t>000354</t>
  </si>
  <si>
    <t>000343</t>
  </si>
  <si>
    <t>MG</t>
  </si>
  <si>
    <t>000349</t>
  </si>
  <si>
    <t>000350</t>
  </si>
  <si>
    <t>000351</t>
  </si>
  <si>
    <t>Prcie Different</t>
  </si>
  <si>
    <t>Price Different</t>
  </si>
  <si>
    <t>000356</t>
  </si>
  <si>
    <t>RD</t>
  </si>
  <si>
    <t>000366</t>
  </si>
  <si>
    <t>000367</t>
  </si>
  <si>
    <t>000365</t>
  </si>
  <si>
    <t>CL</t>
  </si>
  <si>
    <t>000550</t>
  </si>
  <si>
    <t>WEIGH FEES/GS to PZU</t>
  </si>
  <si>
    <t>000549</t>
  </si>
  <si>
    <t>000558</t>
  </si>
  <si>
    <t>000559</t>
  </si>
  <si>
    <t>000561</t>
  </si>
  <si>
    <t>000562</t>
  </si>
  <si>
    <t>LOC01449</t>
  </si>
  <si>
    <t>000556</t>
  </si>
  <si>
    <t>Sifiting of WT</t>
  </si>
  <si>
    <t>000289</t>
  </si>
  <si>
    <t>000297</t>
  </si>
  <si>
    <t>000300</t>
  </si>
  <si>
    <t xml:space="preserve">  33</t>
  </si>
  <si>
    <t>000299</t>
  </si>
  <si>
    <t xml:space="preserve">  34</t>
  </si>
  <si>
    <t xml:space="preserve">  35</t>
  </si>
  <si>
    <t xml:space="preserve">  36</t>
  </si>
  <si>
    <t xml:space="preserve">  37</t>
  </si>
  <si>
    <t xml:space="preserve">  38</t>
  </si>
  <si>
    <t>000304</t>
  </si>
  <si>
    <t>000305</t>
  </si>
  <si>
    <t>LOC01291</t>
  </si>
  <si>
    <t>000306</t>
  </si>
  <si>
    <t>000307</t>
  </si>
  <si>
    <t>000308</t>
  </si>
  <si>
    <t>000309</t>
  </si>
  <si>
    <t>PB0400</t>
  </si>
  <si>
    <t>MEAT BOX BODY</t>
  </si>
  <si>
    <t>PB0401</t>
  </si>
  <si>
    <t>MEAT BOX COVER</t>
  </si>
  <si>
    <t>000310</t>
  </si>
  <si>
    <t>000298</t>
  </si>
  <si>
    <t>000302</t>
  </si>
  <si>
    <t>000303</t>
  </si>
  <si>
    <t>000319</t>
  </si>
  <si>
    <t>000325</t>
  </si>
  <si>
    <t>000363</t>
  </si>
  <si>
    <t>Price different</t>
  </si>
  <si>
    <t>Sifiting RS/ Adil</t>
  </si>
  <si>
    <t>000383</t>
  </si>
  <si>
    <t>SU</t>
  </si>
  <si>
    <t>LOC01366</t>
  </si>
  <si>
    <t>000439</t>
  </si>
  <si>
    <t>000370</t>
  </si>
  <si>
    <t>RE</t>
  </si>
  <si>
    <t>Sifiting R.S/Adil</t>
  </si>
  <si>
    <t>000548</t>
  </si>
  <si>
    <t>LOC01442</t>
  </si>
  <si>
    <t>000557</t>
  </si>
  <si>
    <t>000375</t>
  </si>
  <si>
    <t>PRINTING TAGS/GS</t>
  </si>
  <si>
    <t>000555</t>
  </si>
  <si>
    <t>000554</t>
  </si>
  <si>
    <t>Sifiting/WT</t>
  </si>
  <si>
    <t>000565</t>
  </si>
  <si>
    <t>000388</t>
  </si>
  <si>
    <t>Sifiting of Raw WSNG</t>
  </si>
  <si>
    <t>000560</t>
  </si>
  <si>
    <t>000564</t>
  </si>
  <si>
    <t>LOC01459</t>
  </si>
  <si>
    <t>000568</t>
  </si>
  <si>
    <t>Sifiting of Raw CP</t>
  </si>
  <si>
    <t>RJ</t>
  </si>
  <si>
    <t>000569</t>
  </si>
  <si>
    <t>000357</t>
  </si>
  <si>
    <t>LOC01356</t>
  </si>
  <si>
    <t>000368</t>
  </si>
  <si>
    <t>000374</t>
  </si>
  <si>
    <t>000377</t>
  </si>
  <si>
    <t>000378</t>
  </si>
  <si>
    <t>000362</t>
  </si>
  <si>
    <t>000386</t>
  </si>
  <si>
    <t>RB</t>
  </si>
  <si>
    <t>LOC01334</t>
  </si>
  <si>
    <t>000391</t>
  </si>
  <si>
    <t>000394</t>
  </si>
  <si>
    <t>000397</t>
  </si>
  <si>
    <t>LOC01339</t>
  </si>
  <si>
    <t>000369</t>
  </si>
  <si>
    <t>CI</t>
  </si>
  <si>
    <t>000379</t>
  </si>
  <si>
    <t>Notepad fees</t>
  </si>
  <si>
    <t>000380</t>
  </si>
  <si>
    <t>000381</t>
  </si>
  <si>
    <t>000382</t>
  </si>
  <si>
    <t>Sifiting water melon</t>
  </si>
  <si>
    <t>000503</t>
  </si>
  <si>
    <t>GENERAL</t>
  </si>
  <si>
    <t>Exchange Rate Diff</t>
  </si>
  <si>
    <t>LOC01429</t>
  </si>
  <si>
    <t>000506</t>
  </si>
  <si>
    <t>Sifiting/RM/WSNG</t>
  </si>
  <si>
    <t>Sifiting/RM/RS/Sayga</t>
  </si>
  <si>
    <t>000576</t>
  </si>
  <si>
    <t>000574</t>
  </si>
  <si>
    <t>LOC01467</t>
  </si>
  <si>
    <t>000573</t>
  </si>
  <si>
    <t>PB0291</t>
  </si>
  <si>
    <t>LOCAL EMP 70*120 CM</t>
  </si>
  <si>
    <t>000577</t>
  </si>
  <si>
    <t>PRINTING TAGS/RS/Say</t>
  </si>
  <si>
    <t>PRINTING TAGS/CP/Say</t>
  </si>
  <si>
    <t>000566</t>
  </si>
  <si>
    <t>RD0003</t>
  </si>
  <si>
    <t>RHODES 400 KG</t>
  </si>
  <si>
    <t>000578</t>
  </si>
  <si>
    <t>PRINTING TAGS/WSNG</t>
  </si>
  <si>
    <t>PRINTING TAGS/Hibisc</t>
  </si>
  <si>
    <t>PRINTING TAGS/WM/CIM</t>
  </si>
  <si>
    <t>LOC01472</t>
  </si>
  <si>
    <t>000579</t>
  </si>
  <si>
    <t>RF</t>
  </si>
  <si>
    <t>000580</t>
  </si>
  <si>
    <t>LOC01473</t>
  </si>
  <si>
    <t>000581</t>
  </si>
  <si>
    <t>LOC01466</t>
  </si>
  <si>
    <t>000572</t>
  </si>
  <si>
    <t>PLASTIC SHEETS</t>
  </si>
  <si>
    <t>Dry Ice</t>
  </si>
  <si>
    <t>000567</t>
  </si>
  <si>
    <t>000582</t>
  </si>
  <si>
    <t>000583</t>
  </si>
  <si>
    <t>000584</t>
  </si>
  <si>
    <t>000585</t>
  </si>
  <si>
    <t>LOC01340</t>
  </si>
  <si>
    <t>000587</t>
  </si>
  <si>
    <t>000387</t>
  </si>
  <si>
    <t>LOC01357</t>
  </si>
  <si>
    <t>000398</t>
  </si>
  <si>
    <t>000405</t>
  </si>
  <si>
    <t>000385</t>
  </si>
  <si>
    <t>000409</t>
  </si>
  <si>
    <t>000410</t>
  </si>
  <si>
    <t>000411</t>
  </si>
  <si>
    <t>LOC01363</t>
  </si>
  <si>
    <t>000413</t>
  </si>
  <si>
    <t>RI</t>
  </si>
  <si>
    <t>RK</t>
  </si>
  <si>
    <t>000590</t>
  </si>
  <si>
    <t>LOC01481</t>
  </si>
  <si>
    <t>000592</t>
  </si>
  <si>
    <t>Sifiting of RM/WSNG</t>
  </si>
  <si>
    <t>000593</t>
  </si>
  <si>
    <t>LOC01482</t>
  </si>
  <si>
    <t>000594</t>
  </si>
  <si>
    <t>Sifiting of RM/RS</t>
  </si>
  <si>
    <t>LOC01483</t>
  </si>
  <si>
    <t>000595</t>
  </si>
  <si>
    <t>Sifiting RM/WSNG</t>
  </si>
  <si>
    <t>000596</t>
  </si>
  <si>
    <t>000599</t>
  </si>
  <si>
    <t>Inspection Fees/PP</t>
  </si>
  <si>
    <t>000600</t>
  </si>
  <si>
    <t>PRINTING TAGS/WSNG/S</t>
  </si>
  <si>
    <t>000601</t>
  </si>
  <si>
    <t>PRINTING TAGS/RS/S</t>
  </si>
  <si>
    <t>Manual Sifiting RM</t>
  </si>
  <si>
    <t>Packing of RM/WSNG</t>
  </si>
  <si>
    <t>000597</t>
  </si>
  <si>
    <t>Sifitingof RM/WSNG</t>
  </si>
  <si>
    <t>000589</t>
  </si>
  <si>
    <t>000598</t>
  </si>
  <si>
    <t>000604</t>
  </si>
  <si>
    <t>000602</t>
  </si>
  <si>
    <t>000603</t>
  </si>
  <si>
    <t>000605</t>
  </si>
  <si>
    <t>000606</t>
  </si>
  <si>
    <t>DAL00078</t>
  </si>
  <si>
    <t>000607</t>
  </si>
  <si>
    <t>MT0001</t>
  </si>
  <si>
    <t>MEAT BEEF FINISHED</t>
  </si>
  <si>
    <t>000608</t>
  </si>
  <si>
    <t>000609</t>
  </si>
  <si>
    <t>Sifiting RM/RS</t>
  </si>
  <si>
    <t>000612</t>
  </si>
  <si>
    <t>Inspection Fees/RM</t>
  </si>
  <si>
    <t>Vat for Inspection</t>
  </si>
  <si>
    <t>000621</t>
  </si>
  <si>
    <t>Crushing/RM/GNS</t>
  </si>
  <si>
    <t>LOC01320</t>
  </si>
  <si>
    <t>000623</t>
  </si>
  <si>
    <t>SP0301</t>
  </si>
  <si>
    <t>CARTON SEPERATOR</t>
  </si>
  <si>
    <t>000624</t>
  </si>
  <si>
    <t>000625</t>
  </si>
  <si>
    <t>HG0201</t>
  </si>
  <si>
    <t>000629</t>
  </si>
  <si>
    <t>Sifiting/RM/GNS/Say</t>
  </si>
  <si>
    <t>000469</t>
  </si>
  <si>
    <t>Sifiting M.S/Sayga</t>
  </si>
  <si>
    <t>LOC01393</t>
  </si>
  <si>
    <t>000470</t>
  </si>
  <si>
    <t>Crushing Arabic Gum</t>
  </si>
  <si>
    <t>Sifiting Arabic Gum</t>
  </si>
  <si>
    <t>LOC01398</t>
  </si>
  <si>
    <t>000471</t>
  </si>
  <si>
    <t>MT0002</t>
  </si>
  <si>
    <t>MEAT LAMB FG-CIM</t>
  </si>
  <si>
    <t>DAL00064</t>
  </si>
  <si>
    <t>000477</t>
  </si>
  <si>
    <t>Sifiting M.S Sayga</t>
  </si>
  <si>
    <t>Sifiting of WSNG(S.S</t>
  </si>
  <si>
    <t>000468</t>
  </si>
  <si>
    <t>Sifiting WSNG Sayga</t>
  </si>
  <si>
    <t>LOC01400</t>
  </si>
  <si>
    <t>000472</t>
  </si>
  <si>
    <t>000473</t>
  </si>
  <si>
    <t>000476</t>
  </si>
  <si>
    <t>000482</t>
  </si>
  <si>
    <t>LOC01397</t>
  </si>
  <si>
    <t>000485</t>
  </si>
  <si>
    <t>000491</t>
  </si>
  <si>
    <t>000620</t>
  </si>
  <si>
    <t>LOC01495</t>
  </si>
  <si>
    <t>000622</t>
  </si>
  <si>
    <t>WEIGH FEES/FG</t>
  </si>
  <si>
    <t>NOTEPAD FEES/FG</t>
  </si>
  <si>
    <t>PRINTING TAGS/FG/RS</t>
  </si>
  <si>
    <t>000628</t>
  </si>
  <si>
    <t>PRINTING TAGS/FG</t>
  </si>
  <si>
    <t>LOC01501</t>
  </si>
  <si>
    <t>000632</t>
  </si>
  <si>
    <t>000633</t>
  </si>
  <si>
    <t>000630</t>
  </si>
  <si>
    <t>000631</t>
  </si>
  <si>
    <t>000634</t>
  </si>
  <si>
    <t>000635</t>
  </si>
  <si>
    <t>LAB CHECK</t>
  </si>
  <si>
    <t>000636</t>
  </si>
  <si>
    <t>Sifiting/R.M/M.S</t>
  </si>
  <si>
    <t>000637</t>
  </si>
  <si>
    <t>000641</t>
  </si>
  <si>
    <t>000642</t>
  </si>
  <si>
    <t>Inspection Fees/GNS</t>
  </si>
  <si>
    <t>000431</t>
  </si>
  <si>
    <t>000437</t>
  </si>
  <si>
    <t>000438</t>
  </si>
  <si>
    <t>LOC01511</t>
  </si>
  <si>
    <t>000727</t>
  </si>
  <si>
    <t>MT1012</t>
  </si>
  <si>
    <t>MEAT LAMB JV</t>
  </si>
  <si>
    <t>HEAD</t>
  </si>
  <si>
    <t>000436</t>
  </si>
  <si>
    <t>EXPORT EMP 60*110CM</t>
  </si>
  <si>
    <t>LOC01355</t>
  </si>
  <si>
    <t>000392</t>
  </si>
  <si>
    <t>000441</t>
  </si>
  <si>
    <t>000442</t>
  </si>
  <si>
    <t>000443</t>
  </si>
  <si>
    <t>000440</t>
  </si>
  <si>
    <t>Crushing /GNS/JV S3</t>
  </si>
  <si>
    <t>Crushing of GNS/JVS3</t>
  </si>
  <si>
    <t>000448</t>
  </si>
  <si>
    <t>SM0302</t>
  </si>
  <si>
    <t>LOC01378</t>
  </si>
  <si>
    <t>000449</t>
  </si>
  <si>
    <t>000451</t>
  </si>
  <si>
    <t>000444</t>
  </si>
  <si>
    <t>000447</t>
  </si>
  <si>
    <t>000427</t>
  </si>
  <si>
    <t>LOC01329</t>
  </si>
  <si>
    <t>000428</t>
  </si>
  <si>
    <t>Sifiting-M.S-Sayga</t>
  </si>
  <si>
    <t>000450</t>
  </si>
  <si>
    <t>000452</t>
  </si>
  <si>
    <t>000454</t>
  </si>
  <si>
    <t>LOC01331</t>
  </si>
  <si>
    <t>000455</t>
  </si>
  <si>
    <t>LOC01510</t>
  </si>
  <si>
    <t>000849</t>
  </si>
  <si>
    <t>MT0302</t>
  </si>
  <si>
    <t>LAMB BOWELS</t>
  </si>
  <si>
    <t>LOC01541</t>
  </si>
  <si>
    <t>000831</t>
  </si>
  <si>
    <t>LOC00815</t>
  </si>
  <si>
    <t>000456</t>
  </si>
  <si>
    <t>000466</t>
  </si>
  <si>
    <t>000460</t>
  </si>
  <si>
    <t>Vat 17%</t>
  </si>
  <si>
    <t>LOC01384</t>
  </si>
  <si>
    <t>000461</t>
  </si>
  <si>
    <t>000462</t>
  </si>
  <si>
    <t>000463</t>
  </si>
  <si>
    <t>000481</t>
  </si>
  <si>
    <t>000483</t>
  </si>
  <si>
    <t>000474</t>
  </si>
  <si>
    <t>000475</t>
  </si>
  <si>
    <t>000486</t>
  </si>
  <si>
    <t>000638</t>
  </si>
  <si>
    <t>PRINTING TAGS/M.S/S</t>
  </si>
  <si>
    <t>000639</t>
  </si>
  <si>
    <t>PRINTING TAGS/GS/Say</t>
  </si>
  <si>
    <t>000640</t>
  </si>
  <si>
    <t>RL</t>
  </si>
  <si>
    <t>000644</t>
  </si>
  <si>
    <t>Inspection Fees/GS</t>
  </si>
  <si>
    <t>AS</t>
  </si>
  <si>
    <t>000649</t>
  </si>
  <si>
    <t>Inspection Fees/Sorg</t>
  </si>
  <si>
    <t>000615</t>
  </si>
  <si>
    <t>LOC01506</t>
  </si>
  <si>
    <t>000658</t>
  </si>
  <si>
    <t>000659</t>
  </si>
  <si>
    <t>GM</t>
  </si>
  <si>
    <t>000663</t>
  </si>
  <si>
    <t>PRINTING TAGS/FG/WSN</t>
  </si>
  <si>
    <t>000657</t>
  </si>
  <si>
    <t>000650</t>
  </si>
  <si>
    <t>000651</t>
  </si>
  <si>
    <t>Inspection Fees/R.S</t>
  </si>
  <si>
    <t>000652</t>
  </si>
  <si>
    <t>Inspection Fees/M.S</t>
  </si>
  <si>
    <t>000653</t>
  </si>
  <si>
    <t>Inspection Fees/W.M</t>
  </si>
  <si>
    <t>000654</t>
  </si>
  <si>
    <t>Inspection Fees/C.P</t>
  </si>
  <si>
    <t>000655</t>
  </si>
  <si>
    <t>Inspection Fees/Gum</t>
  </si>
  <si>
    <t>000656</t>
  </si>
  <si>
    <t>Sifiting/RM/WSNG/Say</t>
  </si>
  <si>
    <t>Sifiting/R.M/G.S</t>
  </si>
  <si>
    <t>PRINTING TAG/FG/RS</t>
  </si>
  <si>
    <t>000665</t>
  </si>
  <si>
    <t>Stitching/FG</t>
  </si>
  <si>
    <t>LOC01458</t>
  </si>
  <si>
    <t>000661</t>
  </si>
  <si>
    <t>000487</t>
  </si>
  <si>
    <t>RG</t>
  </si>
  <si>
    <t>000493</t>
  </si>
  <si>
    <t>000494</t>
  </si>
  <si>
    <t>000495</t>
  </si>
  <si>
    <t>Sifiting/RS/JV</t>
  </si>
  <si>
    <t>Sifiting/WSNG/Sayga</t>
  </si>
  <si>
    <t>000497</t>
  </si>
  <si>
    <t>000499</t>
  </si>
  <si>
    <t>000501</t>
  </si>
  <si>
    <t>000502</t>
  </si>
  <si>
    <t>Sifiting Kibbled Gum</t>
  </si>
  <si>
    <t>000507</t>
  </si>
  <si>
    <t>Sifiting W.M/Sayga</t>
  </si>
  <si>
    <t>000667</t>
  </si>
  <si>
    <t>000670</t>
  </si>
  <si>
    <t>CA0001</t>
  </si>
  <si>
    <t>CALVES</t>
  </si>
  <si>
    <t>000671</t>
  </si>
  <si>
    <t>LOC01330</t>
  </si>
  <si>
    <t>000672</t>
  </si>
  <si>
    <t>000673</t>
  </si>
  <si>
    <t>LOC01512</t>
  </si>
  <si>
    <t>000660</t>
  </si>
  <si>
    <t>000668</t>
  </si>
  <si>
    <t>000666</t>
  </si>
  <si>
    <t>000674</t>
  </si>
  <si>
    <t>000662</t>
  </si>
  <si>
    <t>000675</t>
  </si>
  <si>
    <t>000678</t>
  </si>
  <si>
    <t>000664</t>
  </si>
  <si>
    <t>000676</t>
  </si>
  <si>
    <t>Sifiting/RM/GumHashb</t>
  </si>
  <si>
    <t>000732</t>
  </si>
  <si>
    <t>LOC01514</t>
  </si>
  <si>
    <t>000677</t>
  </si>
  <si>
    <t>000684</t>
  </si>
  <si>
    <t>000504</t>
  </si>
  <si>
    <t xml:space="preserve">  45</t>
  </si>
  <si>
    <t>000680</t>
  </si>
  <si>
    <t>000681</t>
  </si>
  <si>
    <t>000611</t>
  </si>
  <si>
    <t>000683</t>
  </si>
  <si>
    <t>Sifiting/RM/WSNG/JV</t>
  </si>
  <si>
    <t>000682</t>
  </si>
  <si>
    <t>PRINTING TAGS/FG/MS</t>
  </si>
  <si>
    <t>LOC00060</t>
  </si>
  <si>
    <t>000695</t>
  </si>
  <si>
    <t>XI</t>
  </si>
  <si>
    <t>WS0001</t>
  </si>
  <si>
    <t>WHITE SUGAR</t>
  </si>
  <si>
    <t>ayat.b</t>
  </si>
  <si>
    <t>000690</t>
  </si>
  <si>
    <t>000691</t>
  </si>
  <si>
    <t>LOC01523</t>
  </si>
  <si>
    <t>000689</t>
  </si>
  <si>
    <t>000701</t>
  </si>
  <si>
    <t>000694</t>
  </si>
  <si>
    <t>LOC01529</t>
  </si>
  <si>
    <t>000700</t>
  </si>
  <si>
    <t>HS</t>
  </si>
  <si>
    <t>FM0001</t>
  </si>
  <si>
    <t>MANGO</t>
  </si>
  <si>
    <t>LOC01543</t>
  </si>
  <si>
    <t>000704</t>
  </si>
  <si>
    <t>000705</t>
  </si>
  <si>
    <t>000706</t>
  </si>
  <si>
    <t>LOC01496</t>
  </si>
  <si>
    <t>000696</t>
  </si>
  <si>
    <t>000698</t>
  </si>
  <si>
    <t>000702</t>
  </si>
  <si>
    <t>000693</t>
  </si>
  <si>
    <t>000707</t>
  </si>
  <si>
    <t>000708</t>
  </si>
  <si>
    <t>000709</t>
  </si>
  <si>
    <t>000710</t>
  </si>
  <si>
    <t>000711</t>
  </si>
  <si>
    <t>LOC01478</t>
  </si>
  <si>
    <t>000588</t>
  </si>
  <si>
    <t>000643</t>
  </si>
  <si>
    <t>000646</t>
  </si>
  <si>
    <t>000647</t>
  </si>
  <si>
    <t>000648</t>
  </si>
  <si>
    <t>Inspection Fees/Cott</t>
  </si>
  <si>
    <t>000712</t>
  </si>
  <si>
    <t>000720</t>
  </si>
  <si>
    <t>RM</t>
  </si>
  <si>
    <t>PP0102</t>
  </si>
  <si>
    <t>PIGON PEAS NEW HALFA</t>
  </si>
  <si>
    <t>000724</t>
  </si>
  <si>
    <t>000725</t>
  </si>
  <si>
    <t>000726</t>
  </si>
  <si>
    <t>000728</t>
  </si>
  <si>
    <t>000729</t>
  </si>
  <si>
    <t>000730</t>
  </si>
  <si>
    <t>000617</t>
  </si>
  <si>
    <t>PRINTING TAGS/FG/Cot</t>
  </si>
  <si>
    <t>000717</t>
  </si>
  <si>
    <t>000734</t>
  </si>
  <si>
    <t>000723</t>
  </si>
  <si>
    <t>PRINTING TAGS/FG/Gum</t>
  </si>
  <si>
    <t>WEIGH FEES/FG/GNC</t>
  </si>
  <si>
    <t>WEIGH FEES/FG/GNO</t>
  </si>
  <si>
    <t>Inspection Fees/MS</t>
  </si>
  <si>
    <t>000713</t>
  </si>
  <si>
    <t>000543</t>
  </si>
  <si>
    <t>PRINTING TAGS/HB</t>
  </si>
  <si>
    <t>000542</t>
  </si>
  <si>
    <t>000547</t>
  </si>
  <si>
    <t>PRINTING TAGS/RS</t>
  </si>
  <si>
    <t>Sifiting/RM/M.S</t>
  </si>
  <si>
    <t>WEIGH FEES/RM</t>
  </si>
  <si>
    <t>000719</t>
  </si>
  <si>
    <t>XK</t>
  </si>
  <si>
    <t>000741</t>
  </si>
  <si>
    <t>LOC01553</t>
  </si>
  <si>
    <t>000739</t>
  </si>
  <si>
    <t>GC</t>
  </si>
  <si>
    <t>000738</t>
  </si>
  <si>
    <t>000742</t>
  </si>
  <si>
    <t>000744</t>
  </si>
  <si>
    <t>000746</t>
  </si>
  <si>
    <t>Sifiting/RM/RS</t>
  </si>
  <si>
    <t>000756</t>
  </si>
  <si>
    <t>000757</t>
  </si>
  <si>
    <t>000686</t>
  </si>
  <si>
    <t>000747</t>
  </si>
  <si>
    <t>000748</t>
  </si>
  <si>
    <t>Sifiting/RM</t>
  </si>
  <si>
    <t>Packing/FG</t>
  </si>
  <si>
    <t>VAT 17%</t>
  </si>
  <si>
    <t>000749</t>
  </si>
  <si>
    <t>Transportation/RM</t>
  </si>
  <si>
    <t>TAX/FG</t>
  </si>
  <si>
    <t>SSMO/FG</t>
  </si>
  <si>
    <t>PB0260</t>
  </si>
  <si>
    <t>SUGAR EMPTY BAGS</t>
  </si>
  <si>
    <t>000745</t>
  </si>
  <si>
    <t>000758</t>
  </si>
  <si>
    <t>000736</t>
  </si>
  <si>
    <t>LOC01528</t>
  </si>
  <si>
    <t>000762</t>
  </si>
  <si>
    <t>PB0407</t>
  </si>
  <si>
    <t>LAMB GAUZE</t>
  </si>
  <si>
    <t>LOC01533</t>
  </si>
  <si>
    <t>000714</t>
  </si>
  <si>
    <t>WEIGH FEES FG</t>
  </si>
  <si>
    <t>000751</t>
  </si>
  <si>
    <t>000619</t>
  </si>
  <si>
    <t xml:space="preserve">  47</t>
  </si>
  <si>
    <t xml:space="preserve">  48</t>
  </si>
  <si>
    <t xml:space="preserve">  49</t>
  </si>
  <si>
    <t>000563</t>
  </si>
  <si>
    <t>Sifiting/WT/Manual</t>
  </si>
  <si>
    <t>Sifiting/GS/JV</t>
  </si>
  <si>
    <t>Sifiting of Raw RS</t>
  </si>
  <si>
    <t>LOC01464</t>
  </si>
  <si>
    <t>000570</t>
  </si>
  <si>
    <t>Ginning/Raw cotton</t>
  </si>
  <si>
    <t>000735</t>
  </si>
  <si>
    <t>Inspection Fees/GUM</t>
  </si>
  <si>
    <t>Inspection Fees/GNO</t>
  </si>
  <si>
    <t>Inspection Fees/HPS</t>
  </si>
  <si>
    <t>000765</t>
  </si>
  <si>
    <t>000777</t>
  </si>
  <si>
    <t>000715</t>
  </si>
  <si>
    <t>WS0002</t>
  </si>
  <si>
    <t>COKE SPECS SUGAR</t>
  </si>
  <si>
    <t>000771</t>
  </si>
  <si>
    <t>000755</t>
  </si>
  <si>
    <t>000785</t>
  </si>
  <si>
    <t>PRINTING TAGS\FG\GNC</t>
  </si>
  <si>
    <t>000740</t>
  </si>
  <si>
    <t>LOC01586</t>
  </si>
  <si>
    <t>000788</t>
  </si>
  <si>
    <t>Temp.Data Logger</t>
  </si>
  <si>
    <t>000787</t>
  </si>
  <si>
    <t>LOC01421</t>
  </si>
  <si>
    <t>000791</t>
  </si>
  <si>
    <t xml:space="preserve">  60</t>
  </si>
  <si>
    <t>GNS Crushing VAT RM</t>
  </si>
  <si>
    <t xml:space="preserve">  61</t>
  </si>
  <si>
    <t xml:space="preserve">  62</t>
  </si>
  <si>
    <t xml:space="preserve">  63</t>
  </si>
  <si>
    <t xml:space="preserve">  64</t>
  </si>
  <si>
    <t xml:space="preserve">  65</t>
  </si>
  <si>
    <t>Stitching FG</t>
  </si>
  <si>
    <t xml:space="preserve">  66</t>
  </si>
  <si>
    <t xml:space="preserve">  67</t>
  </si>
  <si>
    <t>WEIGH FEES RM</t>
  </si>
  <si>
    <t xml:space="preserve">  68</t>
  </si>
  <si>
    <t xml:space="preserve">  69</t>
  </si>
  <si>
    <t>Re-packing FG</t>
  </si>
  <si>
    <t>LOC01597</t>
  </si>
  <si>
    <t>000781</t>
  </si>
  <si>
    <t>Sifiting RM</t>
  </si>
  <si>
    <t>Inspect Fees/RM/MS</t>
  </si>
  <si>
    <t>LOC01532</t>
  </si>
  <si>
    <t>000699</t>
  </si>
  <si>
    <t>000697</t>
  </si>
  <si>
    <t>Sifiting/GNS/RM</t>
  </si>
  <si>
    <t>PB0402</t>
  </si>
  <si>
    <t>LAMB  GAUZE</t>
  </si>
  <si>
    <t>PB0403</t>
  </si>
  <si>
    <t>BEEF FRONT GAUZE</t>
  </si>
  <si>
    <t>PB0404</t>
  </si>
  <si>
    <t>BEEF REAR GAUZE</t>
  </si>
  <si>
    <t>000716</t>
  </si>
  <si>
    <t>000786</t>
  </si>
  <si>
    <t>Inspection FeesRM\PP</t>
  </si>
  <si>
    <t>000767</t>
  </si>
  <si>
    <t>Inspect Fees/FG/GNO</t>
  </si>
  <si>
    <t>Inspect Fees/RM/COTT</t>
  </si>
  <si>
    <t>000792</t>
  </si>
  <si>
    <t>Inspect Fees/RM/CP</t>
  </si>
  <si>
    <t>000793</t>
  </si>
  <si>
    <t>Inspect Fees/FG/SUG</t>
  </si>
  <si>
    <t>Inspect Fees/FG/HPS</t>
  </si>
  <si>
    <t>000790</t>
  </si>
  <si>
    <t>000780</t>
  </si>
  <si>
    <t xml:space="preserve">  71</t>
  </si>
  <si>
    <t xml:space="preserve">  72</t>
  </si>
  <si>
    <t xml:space="preserve">  73</t>
  </si>
  <si>
    <t xml:space="preserve">  74</t>
  </si>
  <si>
    <t xml:space="preserve">  75</t>
  </si>
  <si>
    <t>000794</t>
  </si>
  <si>
    <t>000798</t>
  </si>
  <si>
    <t>000779</t>
  </si>
  <si>
    <t>Inspect Fees/RM/GNS</t>
  </si>
  <si>
    <t>Inspect Fees/RM/GUM</t>
  </si>
  <si>
    <t>Inspect Fees/RM/SOR</t>
  </si>
  <si>
    <t>000795</t>
  </si>
  <si>
    <t>mohamd.e</t>
  </si>
  <si>
    <t>000800</t>
  </si>
  <si>
    <t>000802</t>
  </si>
  <si>
    <t>hytham.n</t>
  </si>
  <si>
    <t>000809</t>
  </si>
  <si>
    <t>000810</t>
  </si>
  <si>
    <t>000806</t>
  </si>
  <si>
    <t>PRINTING TAGS/GNC/FG</t>
  </si>
  <si>
    <t>000610</t>
  </si>
  <si>
    <t>LOC01480</t>
  </si>
  <si>
    <t>000613</t>
  </si>
  <si>
    <t>000614</t>
  </si>
  <si>
    <t>NOTEPAD FEES/RM</t>
  </si>
  <si>
    <t>Sifiting/FG/WSNG</t>
  </si>
  <si>
    <t>SSMO &amp; TAX/FG</t>
  </si>
  <si>
    <t>000627</t>
  </si>
  <si>
    <t>000799</t>
  </si>
  <si>
    <t>SE</t>
  </si>
  <si>
    <t>LOC01574</t>
  </si>
  <si>
    <t>000814</t>
  </si>
  <si>
    <t>000812</t>
  </si>
  <si>
    <t>Supervision&amp;Observer</t>
  </si>
  <si>
    <t>000776</t>
  </si>
  <si>
    <t>Sheep Feed</t>
  </si>
  <si>
    <t>000774</t>
  </si>
  <si>
    <t>000801</t>
  </si>
  <si>
    <t>RP</t>
  </si>
  <si>
    <t>000804</t>
  </si>
  <si>
    <t>000817</t>
  </si>
  <si>
    <t>LOC01620</t>
  </si>
  <si>
    <t>000819</t>
  </si>
  <si>
    <t>000825</t>
  </si>
  <si>
    <t>000826</t>
  </si>
  <si>
    <t>000827</t>
  </si>
  <si>
    <t>AN</t>
  </si>
  <si>
    <t>SH0001</t>
  </si>
  <si>
    <t>SHEEP</t>
  </si>
  <si>
    <t>PRINTING TAGS/MS/FG</t>
  </si>
  <si>
    <t>PRINT TAGS/WSNG/FG</t>
  </si>
  <si>
    <t>000811</t>
  </si>
  <si>
    <t>Inspect Fees/RM/PP</t>
  </si>
  <si>
    <t>Inspect Fees/RM/RS</t>
  </si>
  <si>
    <t>000820</t>
  </si>
  <si>
    <t>000822</t>
  </si>
  <si>
    <t>000828</t>
  </si>
  <si>
    <t>000829</t>
  </si>
  <si>
    <t>00801</t>
  </si>
  <si>
    <t>MT0012</t>
  </si>
  <si>
    <t>MEAT LAMB</t>
  </si>
  <si>
    <t>000830</t>
  </si>
  <si>
    <t>LOC00847</t>
  </si>
  <si>
    <t>000832</t>
  </si>
  <si>
    <t>PB0409</t>
  </si>
  <si>
    <t>ROPE - LAMB</t>
  </si>
  <si>
    <t>LOC00473</t>
  </si>
  <si>
    <t>000805</t>
  </si>
  <si>
    <t>PB0410</t>
  </si>
  <si>
    <t>TAPE</t>
  </si>
  <si>
    <t>000835</t>
  </si>
  <si>
    <t>000837</t>
  </si>
  <si>
    <t>PB0284</t>
  </si>
  <si>
    <t>EXPORT EMP 50*75CM</t>
  </si>
  <si>
    <t>PRINt TAGS//FG/GS</t>
  </si>
  <si>
    <t>LOC01634</t>
  </si>
  <si>
    <t>000841</t>
  </si>
  <si>
    <t>LOC01538</t>
  </si>
  <si>
    <t>000703</t>
  </si>
  <si>
    <t xml:space="preserve">  50</t>
  </si>
  <si>
    <t>000759</t>
  </si>
  <si>
    <t>PB0406</t>
  </si>
  <si>
    <t>BLEACHED LAMB GAUZE</t>
  </si>
  <si>
    <t>LOC01572</t>
  </si>
  <si>
    <t>000763</t>
  </si>
  <si>
    <t>Ginning RM/Gadarif</t>
  </si>
  <si>
    <t>Ginning/RM/Madani</t>
  </si>
  <si>
    <t>000840</t>
  </si>
  <si>
    <t>000843</t>
  </si>
  <si>
    <t>PRINTTAGS/FG/WSNG</t>
  </si>
  <si>
    <t>000924</t>
  </si>
  <si>
    <t>hisham.i</t>
  </si>
  <si>
    <t>000925</t>
  </si>
  <si>
    <t>shaza.m</t>
  </si>
  <si>
    <t>Inspect Fees/WSNG/RM</t>
  </si>
  <si>
    <t>000899</t>
  </si>
  <si>
    <t>Sifiting/WSNG/RM/P2</t>
  </si>
  <si>
    <t>000888</t>
  </si>
  <si>
    <t>Sifiting/RS/RM/P4</t>
  </si>
  <si>
    <t>000889</t>
  </si>
  <si>
    <t>000900</t>
  </si>
  <si>
    <t>000885</t>
  </si>
  <si>
    <t>000923</t>
  </si>
  <si>
    <t>000880</t>
  </si>
  <si>
    <t>LOC01635</t>
  </si>
  <si>
    <t>000927</t>
  </si>
  <si>
    <t>000920</t>
  </si>
  <si>
    <t>PRINTTAGS/RS/FG/P1</t>
  </si>
  <si>
    <t>000919</t>
  </si>
  <si>
    <t>PRINTTAGS/COTT/FG/P1</t>
  </si>
  <si>
    <t>000918</t>
  </si>
  <si>
    <t>PRINT TAGS/RS/FG/P2</t>
  </si>
  <si>
    <t>PRINTTAGS/RS/FG/P3</t>
  </si>
  <si>
    <t>PRINTTAGS/RS/FG/P4</t>
  </si>
  <si>
    <t>PRINTTAGS/RS/FG/P5</t>
  </si>
  <si>
    <t>PRINTTAGS/RS/FG/P6</t>
  </si>
  <si>
    <t>PRINTTAGS/RS/FG/P7</t>
  </si>
  <si>
    <t>NOTEPAD /RS/FG/P1</t>
  </si>
  <si>
    <t>Ins Fees/G.A.T/FG</t>
  </si>
  <si>
    <t>Sifiting/RS/RM/P5</t>
  </si>
  <si>
    <t>LOC01656</t>
  </si>
  <si>
    <t>000877</t>
  </si>
  <si>
    <t>Sifiting/RS/RM/P2</t>
  </si>
  <si>
    <t>000931</t>
  </si>
  <si>
    <t>Sifiting/RS/RM/P6</t>
  </si>
  <si>
    <t>Handl RM/Shifting/P2</t>
  </si>
  <si>
    <t>000895</t>
  </si>
  <si>
    <t>PRINT TAGS/RS/FG/P8</t>
  </si>
  <si>
    <t>PRINTTAGS/Cott/FG/P2</t>
  </si>
  <si>
    <t>000930</t>
  </si>
  <si>
    <t>000915</t>
  </si>
  <si>
    <t>Ins Fees/Cott/RM/DEC</t>
  </si>
  <si>
    <t>000912</t>
  </si>
  <si>
    <t>Ins Fees/RS/RM/DEC</t>
  </si>
  <si>
    <t>000898</t>
  </si>
  <si>
    <t>Ginning/Cotton/RM/P2</t>
  </si>
  <si>
    <t>Handling RM/P2</t>
  </si>
  <si>
    <t>Re-packing/P2</t>
  </si>
  <si>
    <t>WEIGH FEES/P2</t>
  </si>
  <si>
    <t>000938</t>
  </si>
  <si>
    <t>Ins Fees/HPS/FG/DEC</t>
  </si>
  <si>
    <t>000685</t>
  </si>
  <si>
    <t>000929</t>
  </si>
  <si>
    <t>000916</t>
  </si>
  <si>
    <t>Ins Fees/COTT/RM/FEB</t>
  </si>
  <si>
    <t>001010</t>
  </si>
  <si>
    <t>InsFees/MS/RM/FEB</t>
  </si>
  <si>
    <t>001049</t>
  </si>
  <si>
    <t>Insp Fees/GNO/FG/FEB</t>
  </si>
  <si>
    <t>Ins Fees/HPS/FG/FEB</t>
  </si>
  <si>
    <t>000913</t>
  </si>
  <si>
    <t>Ins Fees/WSNG/RM/FEB</t>
  </si>
  <si>
    <t>001009</t>
  </si>
  <si>
    <t>InsFees/SOR/RM/FEB</t>
  </si>
  <si>
    <t>001011</t>
  </si>
  <si>
    <t>InsFees/GNS/RM/FEB</t>
  </si>
  <si>
    <t>InsFees/RS/RM/FEB</t>
  </si>
  <si>
    <t>001038</t>
  </si>
  <si>
    <t>000884</t>
  </si>
  <si>
    <t>RT</t>
  </si>
  <si>
    <t>000955</t>
  </si>
  <si>
    <t>LOC01694</t>
  </si>
  <si>
    <t>001021</t>
  </si>
  <si>
    <t>Shelling</t>
  </si>
  <si>
    <t>Shelling/GNS/RM/P2</t>
  </si>
  <si>
    <t>Handling RM/GNS/P2</t>
  </si>
  <si>
    <t>Shelling/GNS/RM/P3</t>
  </si>
  <si>
    <t>Shelling/GNS/RM/P4</t>
  </si>
  <si>
    <t>000991</t>
  </si>
  <si>
    <t>Handling FG/SOR/P11</t>
  </si>
  <si>
    <t>Tran/SOR/FG/P11</t>
  </si>
  <si>
    <t>Stitching/SOR/FG/P11</t>
  </si>
  <si>
    <t>PRINTTAGS/COTT/FG/P7</t>
  </si>
  <si>
    <t>PRINTTAGS/COTT/FG/P8</t>
  </si>
  <si>
    <t>PRINTTAGS/RS/FG/P15</t>
  </si>
  <si>
    <t>001004</t>
  </si>
  <si>
    <t>PRINTTAGS/HPS/FG/P2</t>
  </si>
  <si>
    <t>PRINTTAGS/HPS/FG/P3</t>
  </si>
  <si>
    <t>PRINTBAGS/WSNG/FG/P1</t>
  </si>
  <si>
    <t>001066</t>
  </si>
  <si>
    <t>PRINTTAGS/GS/FG/P1</t>
  </si>
  <si>
    <t>PRINTTAGS/GS/FG/P2</t>
  </si>
  <si>
    <t>001067</t>
  </si>
  <si>
    <t>Sifiting/GS/RM/P1</t>
  </si>
  <si>
    <t>TAX/SOR/FG/P11</t>
  </si>
  <si>
    <t>Crop Market/FG/P11</t>
  </si>
  <si>
    <t>001072</t>
  </si>
  <si>
    <t>SSMO/GS/FG/P1</t>
  </si>
  <si>
    <t>Certificate/GS/FG/P1</t>
  </si>
  <si>
    <t>CERTIFICATE/GS/FG/P1</t>
  </si>
  <si>
    <t>Trans/GS/FG/P1</t>
  </si>
  <si>
    <t>001073</t>
  </si>
  <si>
    <t>WEIGHFEES/SOR/RM/P11</t>
  </si>
  <si>
    <t>NOTEPAD/SOR/FG/P11</t>
  </si>
  <si>
    <t>000731</t>
  </si>
  <si>
    <t>000733</t>
  </si>
  <si>
    <t>000807</t>
  </si>
  <si>
    <t>Sifiting/WSNG/RM/P11</t>
  </si>
  <si>
    <t>001048</t>
  </si>
  <si>
    <t>LOC01677</t>
  </si>
  <si>
    <t>000993</t>
  </si>
  <si>
    <t>Refinery Expenses</t>
  </si>
  <si>
    <t>PRINTTAGS/HPS/FG/P4</t>
  </si>
  <si>
    <t>001036</t>
  </si>
  <si>
    <t>Exchange Rate</t>
  </si>
  <si>
    <t>LOC01471</t>
  </si>
  <si>
    <t>001081</t>
  </si>
  <si>
    <t>000962</t>
  </si>
  <si>
    <t>LOC01676</t>
  </si>
  <si>
    <t>000994</t>
  </si>
  <si>
    <t>Yellow Beans Trans</t>
  </si>
  <si>
    <t>LOC01708</t>
  </si>
  <si>
    <t>001084</t>
  </si>
  <si>
    <t>Ins Fees/COTT/FG/P1</t>
  </si>
  <si>
    <t>PRINTTAGS/WSNG/FG/P3</t>
  </si>
  <si>
    <t>LOC01710</t>
  </si>
  <si>
    <t>001080</t>
  </si>
  <si>
    <t>AL0002</t>
  </si>
  <si>
    <t>ALFALFA 18KG</t>
  </si>
  <si>
    <t>Ins Fees/COTT/FG/P2</t>
  </si>
  <si>
    <t>Ins Fees/COTT/FG/P3</t>
  </si>
  <si>
    <t>Ins Fees/COTT/FG/P4</t>
  </si>
  <si>
    <t>Ins Fees/COTT/FG/P5</t>
  </si>
  <si>
    <t>Ins Fees/COTT/FG/P6</t>
  </si>
  <si>
    <t>Ins Fees/COTT/FG/P7</t>
  </si>
  <si>
    <t>Ina Fees/COTT/FG/P8</t>
  </si>
  <si>
    <t>Ins Fees/COTT/FG/P9</t>
  </si>
  <si>
    <t>LOC0903</t>
  </si>
  <si>
    <t>001077</t>
  </si>
  <si>
    <t>001083</t>
  </si>
  <si>
    <t>Shelling/GNS/FG/P7</t>
  </si>
  <si>
    <t>LOC01651</t>
  </si>
  <si>
    <t>000976</t>
  </si>
  <si>
    <t>ELECTRIC BILL/GNS/P5</t>
  </si>
  <si>
    <t>Shelling/GNS/FG/P5</t>
  </si>
  <si>
    <t>Shelling/GNS/FG/P6</t>
  </si>
  <si>
    <t>Sifiting/GS/RM/P2</t>
  </si>
  <si>
    <t>Handling RM/GS/P2</t>
  </si>
  <si>
    <t>LOC01693</t>
  </si>
  <si>
    <t>001078</t>
  </si>
  <si>
    <t>Sifiting/WSNG/RM/P1</t>
  </si>
  <si>
    <t>001079</t>
  </si>
  <si>
    <t>INDIAN WHITE SUGAR</t>
  </si>
  <si>
    <t>LOC0904</t>
  </si>
  <si>
    <t>001082</t>
  </si>
  <si>
    <t>Ginning/COTT/RM/AP1</t>
  </si>
  <si>
    <t>001053</t>
  </si>
  <si>
    <t>LOC01715</t>
  </si>
  <si>
    <t>001087</t>
  </si>
  <si>
    <t>Sorting</t>
  </si>
  <si>
    <t>Sorting/GNS/RM/P6</t>
  </si>
  <si>
    <t>VAT/GNS/3rd Qty/P6</t>
  </si>
  <si>
    <t>001088</t>
  </si>
  <si>
    <t>GradeFees/Cott/RM/P1</t>
  </si>
  <si>
    <t>Ins Fees/COTT/FG/P10</t>
  </si>
  <si>
    <t>Ins Fees/COTT/FG/P11</t>
  </si>
  <si>
    <t>Ins Fees/COTT/FG/P12</t>
  </si>
  <si>
    <t>LOC00453</t>
  </si>
  <si>
    <t>001086</t>
  </si>
  <si>
    <t>000939</t>
  </si>
  <si>
    <t>Ins Fees/GS/RM/MAR</t>
  </si>
  <si>
    <t>Ins Fees/GNO/FG/MAR</t>
  </si>
  <si>
    <t>Ins Fees/SOR/RM/MAR</t>
  </si>
  <si>
    <t>Ins Fees/GNS/RM/MAR</t>
  </si>
  <si>
    <t>Ins Fees/WSNG/RM/MAR</t>
  </si>
  <si>
    <t>Ins Fees/HPS/FG/MAR</t>
  </si>
  <si>
    <t>000687</t>
  </si>
  <si>
    <t>LOC01518</t>
  </si>
  <si>
    <t>000688</t>
  </si>
  <si>
    <t>PRINTING TAGS/FG/HPS</t>
  </si>
  <si>
    <t>PRINTING TAGS/FG/GS</t>
  </si>
  <si>
    <t>Supervision&amp;observer</t>
  </si>
  <si>
    <t>PRINT TAGS/FG/WSNG</t>
  </si>
  <si>
    <t>Ins Fees/RS/RM/MAR</t>
  </si>
  <si>
    <t>Ins Fees/COTT/RM/MAR</t>
  </si>
  <si>
    <t>001076</t>
  </si>
  <si>
    <t>Sifiting/RS/RM/P3</t>
  </si>
  <si>
    <t>Ins Fees/GNS/RM/Apr</t>
  </si>
  <si>
    <t>InsFees/GNS/RM/Apr</t>
  </si>
  <si>
    <t>DAL00086</t>
  </si>
  <si>
    <t>001106</t>
  </si>
  <si>
    <t>Feedlot - water well</t>
  </si>
  <si>
    <t>001108</t>
  </si>
  <si>
    <t>LOC01727</t>
  </si>
  <si>
    <t>001109</t>
  </si>
  <si>
    <t>PB0201</t>
  </si>
  <si>
    <t>UREA EMPTY BAGS</t>
  </si>
  <si>
    <t>PRINT Tag/GS/FG/P3</t>
  </si>
  <si>
    <t>PRINT TAGS/HPS/FG/P5</t>
  </si>
  <si>
    <t>PRINT TAGS/HPS/FG/P6</t>
  </si>
  <si>
    <t>000951</t>
  </si>
  <si>
    <t>001113</t>
  </si>
  <si>
    <t>Shelling/GNS/FG/P9</t>
  </si>
  <si>
    <t>LOC01646</t>
  </si>
  <si>
    <t>001119</t>
  </si>
  <si>
    <t>001121</t>
  </si>
  <si>
    <t>001122</t>
  </si>
  <si>
    <t>001123</t>
  </si>
  <si>
    <t>WS0008</t>
  </si>
  <si>
    <t>INDIAN LOW QUALITY S</t>
  </si>
  <si>
    <t>001124</t>
  </si>
  <si>
    <t>001125</t>
  </si>
  <si>
    <t>InsFees/PP/RM/MAY</t>
  </si>
  <si>
    <t>InsFees/Cott/RM/MAY</t>
  </si>
  <si>
    <t>001090</t>
  </si>
  <si>
    <t>RU</t>
  </si>
  <si>
    <t>InsFees/WSNG/RM/MAY</t>
  </si>
  <si>
    <t>InsFees/GNO/FG/MAY</t>
  </si>
  <si>
    <t>000989</t>
  </si>
  <si>
    <t>Sifiting/GS/RM/P3</t>
  </si>
  <si>
    <t>Handling RM/GS/P3</t>
  </si>
  <si>
    <t>Re-Sifting</t>
  </si>
  <si>
    <t>Re-Sifting/GS/RM/P3</t>
  </si>
  <si>
    <t>WEIGH FEES/GS/FG/P3</t>
  </si>
  <si>
    <t>001093</t>
  </si>
  <si>
    <t>Crushing/GNS/RM/P2</t>
  </si>
  <si>
    <t>Mogarda&amp;TasteefFG/P2</t>
  </si>
  <si>
    <t>Handling FG/GNC/P2</t>
  </si>
  <si>
    <t>Stitching/GNC/FG/P2</t>
  </si>
  <si>
    <t>WEIGH FEES/GNO/FG/P2</t>
  </si>
  <si>
    <t>Sifiting/WSNG/RM/P12</t>
  </si>
  <si>
    <t>InsFees/GS/FG/MAY</t>
  </si>
  <si>
    <t>001112</t>
  </si>
  <si>
    <t>000961</t>
  </si>
  <si>
    <t>PRINTTAGS/GS/FG/P3</t>
  </si>
  <si>
    <t>PRINTTAGS/GS/FG/P4</t>
  </si>
  <si>
    <t>InsFees/GS/RM/MAY</t>
  </si>
  <si>
    <t>Handling RM/GNS/P3</t>
  </si>
  <si>
    <t>Handling FG/GNC/P3</t>
  </si>
  <si>
    <t>Stitching/GNC/FG/P3</t>
  </si>
  <si>
    <t>WEIGH FEES/GNO/FG/P3</t>
  </si>
  <si>
    <t>LOC01738</t>
  </si>
  <si>
    <t>001132</t>
  </si>
  <si>
    <t>Sifiting/PP/RM/P1</t>
  </si>
  <si>
    <t>001133</t>
  </si>
  <si>
    <t>001138</t>
  </si>
  <si>
    <t>DAL00116</t>
  </si>
  <si>
    <t>001142</t>
  </si>
  <si>
    <t>GB</t>
  </si>
  <si>
    <t>000721</t>
  </si>
  <si>
    <t>000722</t>
  </si>
  <si>
    <t>000874</t>
  </si>
  <si>
    <t>001045</t>
  </si>
  <si>
    <t>001143</t>
  </si>
  <si>
    <t>001144</t>
  </si>
  <si>
    <t>PRINTTAGS/HPS/FG/P10</t>
  </si>
  <si>
    <t>PRINTTAGS/HPS/FG/P11</t>
  </si>
  <si>
    <t>PRINTTAGS/RS/FG/P16</t>
  </si>
  <si>
    <t>000958</t>
  </si>
  <si>
    <t>PRINTTAGS/GS/FG/P5</t>
  </si>
  <si>
    <t>Handling RM/GNS/P4</t>
  </si>
  <si>
    <t>Handling FG/GNC/P4</t>
  </si>
  <si>
    <t>MogardaTastef/GNC/P4</t>
  </si>
  <si>
    <t>LOC01556</t>
  </si>
  <si>
    <t>001137</t>
  </si>
  <si>
    <t>001145</t>
  </si>
  <si>
    <t>PRINTTAGS/MS/FG/P1</t>
  </si>
  <si>
    <t>Stitching/GNC/FG/P4</t>
  </si>
  <si>
    <t>WEIGHFEES/GNO/FG/P4</t>
  </si>
  <si>
    <t>001135</t>
  </si>
  <si>
    <t>InsFees/Cott/RM/JUNE</t>
  </si>
  <si>
    <t>InsFees/RS/RM/JUNE</t>
  </si>
  <si>
    <t>Sifiting/GS/RM/P4</t>
  </si>
  <si>
    <t>HandlingRM/GS/P4</t>
  </si>
  <si>
    <t>Re-Sifting/GS/RM/P4</t>
  </si>
  <si>
    <t>WEIGH FEES/GS/FG/P4</t>
  </si>
  <si>
    <t>001147</t>
  </si>
  <si>
    <t>RD0004</t>
  </si>
  <si>
    <t>RHODES 250KG</t>
  </si>
  <si>
    <t>001148</t>
  </si>
  <si>
    <t>001149</t>
  </si>
  <si>
    <t>001150</t>
  </si>
  <si>
    <t>InsFees/GNS/RM/JUNE</t>
  </si>
  <si>
    <t>001146</t>
  </si>
  <si>
    <t>InsFees/SOR/RM/JUNE</t>
  </si>
  <si>
    <t>InsFees/GNO/FG/JUNE</t>
  </si>
  <si>
    <t>InsFees/GS/RM/JUNE</t>
  </si>
  <si>
    <t>InsFees/GS/FG/JUNE</t>
  </si>
  <si>
    <t>InsFees/PP/RM/JUNE</t>
  </si>
  <si>
    <t>001151</t>
  </si>
  <si>
    <t>InsFees/Urea/FG/JUNE</t>
  </si>
  <si>
    <t>000996</t>
  </si>
  <si>
    <t>Sifiting/WSNG/RM/P6</t>
  </si>
  <si>
    <t>LOC01743</t>
  </si>
  <si>
    <t>001153</t>
  </si>
  <si>
    <t>Mogarda&amp;TasteefRM/P1</t>
  </si>
  <si>
    <t>Mogarda&amp;Tastef FG/P1</t>
  </si>
  <si>
    <t>Re-Sifting/GS/RM/P1</t>
  </si>
  <si>
    <t>001154</t>
  </si>
  <si>
    <t>WS0003</t>
  </si>
  <si>
    <t>EGYPTIAN WHAITE SUGA</t>
  </si>
  <si>
    <t>001155</t>
  </si>
  <si>
    <t>CropMarketFes/COT/P2</t>
  </si>
  <si>
    <t>TAX/COTTON/FG/P2</t>
  </si>
  <si>
    <t>TAX/COTT/FG/P2</t>
  </si>
  <si>
    <t>001156</t>
  </si>
  <si>
    <t>TAX/COTT/FG/P3</t>
  </si>
  <si>
    <t>CropMarketFes/COT/P3</t>
  </si>
  <si>
    <t>CropMarketFes/Cot/P3</t>
  </si>
  <si>
    <t>TAX/FG/COT/P3</t>
  </si>
  <si>
    <t>TAX/CottonSeed/FG/P3</t>
  </si>
  <si>
    <t>001158</t>
  </si>
  <si>
    <t>CARDBOARD PAPER 12mX</t>
  </si>
  <si>
    <t>001027</t>
  </si>
  <si>
    <t>Price Diff</t>
  </si>
  <si>
    <t>001159</t>
  </si>
  <si>
    <t>001160</t>
  </si>
  <si>
    <t>001161</t>
  </si>
  <si>
    <t>001162</t>
  </si>
  <si>
    <t>001163</t>
  </si>
  <si>
    <t>WS0004</t>
  </si>
  <si>
    <t>UAE WHAITE SUGAR</t>
  </si>
  <si>
    <t>000772</t>
  </si>
  <si>
    <t>PB0500</t>
  </si>
  <si>
    <t>20FT STD THERMAL LIN</t>
  </si>
  <si>
    <t>PB0501</t>
  </si>
  <si>
    <t>40FT STD THERMAL LIN</t>
  </si>
  <si>
    <t>000773</t>
  </si>
  <si>
    <t>OVE00860</t>
  </si>
  <si>
    <t>000775</t>
  </si>
  <si>
    <t>001157</t>
  </si>
  <si>
    <t>Sifiting/MS/RM/P1</t>
  </si>
  <si>
    <t>Handling RM/GNS/P6</t>
  </si>
  <si>
    <t>Handling FG/GNC/P6</t>
  </si>
  <si>
    <t>WEIGH FEES/GNO/FG/P6</t>
  </si>
  <si>
    <t>Stitching/GNC/FG/P6</t>
  </si>
  <si>
    <t>001166</t>
  </si>
  <si>
    <t>Sifiting/WM/RM/P1</t>
  </si>
  <si>
    <t>PRINTTAGS/GS/FG/P6</t>
  </si>
  <si>
    <t>PRINTTAGS/GS/FG/P7</t>
  </si>
  <si>
    <t>001117</t>
  </si>
  <si>
    <t>PRINTTAGS/PP/FG/P2</t>
  </si>
  <si>
    <t>000985</t>
  </si>
  <si>
    <t>Sorting/GNS/RM/P9</t>
  </si>
  <si>
    <t>001116</t>
  </si>
  <si>
    <t>Sheep Alfalf Feedlot</t>
  </si>
  <si>
    <t>Sifiting/WSNG/RM/P7</t>
  </si>
  <si>
    <t>001173</t>
  </si>
  <si>
    <t>PlantPro/GS/FG/P4</t>
  </si>
  <si>
    <t>001174</t>
  </si>
  <si>
    <t>Stitching/Urea/FG/P1</t>
  </si>
  <si>
    <t>Loading/COTT/FG/P4</t>
  </si>
  <si>
    <t>001167</t>
  </si>
  <si>
    <t>001168</t>
  </si>
  <si>
    <t>001169</t>
  </si>
  <si>
    <t>001170</t>
  </si>
  <si>
    <t>Stackin FG/COTT/P4</t>
  </si>
  <si>
    <t>Tran/COTT/FG/P4</t>
  </si>
  <si>
    <t>Threads/COTT/FG/P4</t>
  </si>
  <si>
    <t>CropMarktFe/COT/P4</t>
  </si>
  <si>
    <t>WEIGH FEES/GS/FG/P5</t>
  </si>
  <si>
    <t>Handling FG/COTT/P4</t>
  </si>
  <si>
    <t>Sifiting/WSNG/RM/P8</t>
  </si>
  <si>
    <t>TAX/SOR/FG/P6</t>
  </si>
  <si>
    <t>CropMarktFe/SOR/P6</t>
  </si>
  <si>
    <t>SSMO/GS/FG/P4</t>
  </si>
  <si>
    <t>BaleBelts/COTT/FG/P4</t>
  </si>
  <si>
    <t>TAX/COTT/FG/P4</t>
  </si>
  <si>
    <t>BaleBelts/COTT/FG/P5</t>
  </si>
  <si>
    <t>TAX/COTT/FG/P5</t>
  </si>
  <si>
    <t>CropMarktFe/COT/P5</t>
  </si>
  <si>
    <t>CropMarktFe/COTT/P5</t>
  </si>
  <si>
    <t>CropMarktFe/COT/P6</t>
  </si>
  <si>
    <t>TAX/COTT/FG/P6</t>
  </si>
  <si>
    <t>000872</t>
  </si>
  <si>
    <t>Sifiting/WSNG/FG/P4</t>
  </si>
  <si>
    <t>Sorting/GNS/RM/P10</t>
  </si>
  <si>
    <t>001175</t>
  </si>
  <si>
    <t>AL0004</t>
  </si>
  <si>
    <t>ALFALFA 500KG</t>
  </si>
  <si>
    <t>InsFees/COTT/RM/JULY</t>
  </si>
  <si>
    <t>InsFees/WSNG/RM/JULY</t>
  </si>
  <si>
    <t>InsFees/GNS/RM/JULY</t>
  </si>
  <si>
    <t>000766</t>
  </si>
  <si>
    <t>HG0005</t>
  </si>
  <si>
    <t>GUM ARABIC HASHAB CL</t>
  </si>
  <si>
    <t>LOC01081</t>
  </si>
  <si>
    <t>000768</t>
  </si>
  <si>
    <t>000764</t>
  </si>
  <si>
    <t>PRINTING TAGS\FG</t>
  </si>
  <si>
    <t>NOTEPAD FEES\FG</t>
  </si>
  <si>
    <t xml:space="preserve">  51</t>
  </si>
  <si>
    <t xml:space="preserve">  52</t>
  </si>
  <si>
    <t xml:space="preserve">  53</t>
  </si>
  <si>
    <t xml:space="preserve">  54</t>
  </si>
  <si>
    <t xml:space="preserve">  55</t>
  </si>
  <si>
    <t xml:space="preserve">  56</t>
  </si>
  <si>
    <t xml:space="preserve">  57</t>
  </si>
  <si>
    <t xml:space="preserve">  58</t>
  </si>
  <si>
    <t xml:space="preserve">  59</t>
  </si>
  <si>
    <t>000778</t>
  </si>
  <si>
    <t>000743</t>
  </si>
  <si>
    <t>Ginning/Sayga/Gadari</t>
  </si>
  <si>
    <t>000782</t>
  </si>
  <si>
    <t>Sifiting RM/MS</t>
  </si>
  <si>
    <t>000783</t>
  </si>
  <si>
    <t>Sifiting RM/CP</t>
  </si>
  <si>
    <t>000784</t>
  </si>
  <si>
    <t>001189</t>
  </si>
  <si>
    <t>001186</t>
  </si>
  <si>
    <t>LOC01721</t>
  </si>
  <si>
    <t>001190</t>
  </si>
  <si>
    <t>001191</t>
  </si>
  <si>
    <t>000750</t>
  </si>
  <si>
    <t>Zakat/RM</t>
  </si>
  <si>
    <t>000753</t>
  </si>
  <si>
    <t>Price Amendment</t>
  </si>
  <si>
    <t xml:space="preserve">  70</t>
  </si>
  <si>
    <t>Ins Fees/RM/WSNG</t>
  </si>
  <si>
    <t>Ins Fees/RM/MS</t>
  </si>
  <si>
    <t>000838</t>
  </si>
  <si>
    <t>000842</t>
  </si>
  <si>
    <t>000844</t>
  </si>
  <si>
    <t>000847</t>
  </si>
  <si>
    <t>000846</t>
  </si>
  <si>
    <t>000848</t>
  </si>
  <si>
    <t>Inspect Fees/RM/WSNG</t>
  </si>
  <si>
    <t>Inspect Fees/RM/GS</t>
  </si>
  <si>
    <t>000851</t>
  </si>
  <si>
    <t>Sifit/Recleaning/FG</t>
  </si>
  <si>
    <t>Sifiting/Cleaning/RM</t>
  </si>
  <si>
    <t>000856</t>
  </si>
  <si>
    <t>Ins Fees/Cott/RM</t>
  </si>
  <si>
    <t>Insp Fees/A.G.H/RM</t>
  </si>
  <si>
    <t>000852</t>
  </si>
  <si>
    <t>000855</t>
  </si>
  <si>
    <t>LOC01645</t>
  </si>
  <si>
    <t>000857</t>
  </si>
  <si>
    <t>WS0006</t>
  </si>
  <si>
    <t>White Sugar 10KG</t>
  </si>
  <si>
    <t>Insp Fees\A.G.T\FG</t>
  </si>
  <si>
    <t>Insp Fees\A.G.H\RM</t>
  </si>
  <si>
    <t>000859</t>
  </si>
  <si>
    <t>LOC01647</t>
  </si>
  <si>
    <t>000860</t>
  </si>
  <si>
    <t>Observer&amp;Supervision</t>
  </si>
  <si>
    <t>MT1301</t>
  </si>
  <si>
    <t>BEEF BOWELS  JV</t>
  </si>
  <si>
    <t>Insp Fees/A.G.T/FG</t>
  </si>
  <si>
    <t>LOC01633</t>
  </si>
  <si>
    <t>000853</t>
  </si>
  <si>
    <t>Insp Fees/RM/SORG</t>
  </si>
  <si>
    <t>Inspect Fees/RM/SORG</t>
  </si>
  <si>
    <t>Insp Fees/RM/COTTON</t>
  </si>
  <si>
    <t>Inspect Fees/RM/P.P</t>
  </si>
  <si>
    <t>000813</t>
  </si>
  <si>
    <t>Sifiting/RM/P.P</t>
  </si>
  <si>
    <t>000815</t>
  </si>
  <si>
    <t>000824</t>
  </si>
  <si>
    <t>000933</t>
  </si>
  <si>
    <t>000934</t>
  </si>
  <si>
    <t>000935</t>
  </si>
  <si>
    <t>000932</t>
  </si>
  <si>
    <t>Freight Service PCKG</t>
  </si>
  <si>
    <t>000936</t>
  </si>
  <si>
    <t>Ins Fees/WSNG/RM/DEC</t>
  </si>
  <si>
    <t>Ins Fees/GS/RM/DEC</t>
  </si>
  <si>
    <t>000942</t>
  </si>
  <si>
    <t>000907</t>
  </si>
  <si>
    <t>000944</t>
  </si>
  <si>
    <t>PRINTTAGS/WSNG/FG/P1</t>
  </si>
  <si>
    <t>PRINTTAGS/WSNG/FG/P2</t>
  </si>
  <si>
    <t>000945</t>
  </si>
  <si>
    <t>PRINTTAGS/WSNG/FG/P4</t>
  </si>
  <si>
    <t>PRINTTAGS/WSNG/FG/P5</t>
  </si>
  <si>
    <t>PRINTTAGS/WSNG/FG/P6</t>
  </si>
  <si>
    <t>000946</t>
  </si>
  <si>
    <t>PRINTTAGS/HPS/FG/P1</t>
  </si>
  <si>
    <t>000947</t>
  </si>
  <si>
    <t>PRINTTAGS/GS/FG</t>
  </si>
  <si>
    <t>000952</t>
  </si>
  <si>
    <t>000954</t>
  </si>
  <si>
    <t>001071</t>
  </si>
  <si>
    <t>AB</t>
  </si>
  <si>
    <t>000957</t>
  </si>
  <si>
    <t>000876</t>
  </si>
  <si>
    <t>Sifiting/WSNG/RM/P3</t>
  </si>
  <si>
    <t>000949</t>
  </si>
  <si>
    <t>000953</t>
  </si>
  <si>
    <t>000956</t>
  </si>
  <si>
    <t>Sifiting/RS/RM/P7</t>
  </si>
  <si>
    <t>PRINTING TAGS/GS/FG</t>
  </si>
  <si>
    <t>000977</t>
  </si>
  <si>
    <t>LOC01564</t>
  </si>
  <si>
    <t>001046</t>
  </si>
  <si>
    <t>LOC01687</t>
  </si>
  <si>
    <t>001012</t>
  </si>
  <si>
    <t>Sorting/GNS/RM/P2</t>
  </si>
  <si>
    <t>NOTEPAD/COTT/FG/P1</t>
  </si>
  <si>
    <t>PRINTTAGS/RS/FG/P11</t>
  </si>
  <si>
    <t>PRINTTAGS/RS/FG/P12</t>
  </si>
  <si>
    <t>PRINTTAGS/RS/FG/P13</t>
  </si>
  <si>
    <t>000990</t>
  </si>
  <si>
    <t>PRINTTAGS/GNS/FG/P2</t>
  </si>
  <si>
    <t>PRINTTAGS/GNS/FG/P3</t>
  </si>
  <si>
    <t>001050</t>
  </si>
  <si>
    <t>UR0001</t>
  </si>
  <si>
    <t>GRANULAR UREA</t>
  </si>
  <si>
    <t>001018</t>
  </si>
  <si>
    <t>Sifiting/RS/RM/P1</t>
  </si>
  <si>
    <t>001019</t>
  </si>
  <si>
    <t>PRINTTAGS/HPS/FG/P6</t>
  </si>
  <si>
    <t>001060</t>
  </si>
  <si>
    <t>PRINTTAGS/GNS/FG/P4</t>
  </si>
  <si>
    <t>PRINTTAGS/COTT/FG/P6</t>
  </si>
  <si>
    <t>NOTEPAD/COTT/FG/P2</t>
  </si>
  <si>
    <t>Ins Fees/SOR/RM/P7</t>
  </si>
  <si>
    <t>Packing/SOR/FG/P7</t>
  </si>
  <si>
    <t>VAT/P7</t>
  </si>
  <si>
    <t>Handling FG/SOR/P7</t>
  </si>
  <si>
    <t>PRINTTAGS/GNS/FG/P5</t>
  </si>
  <si>
    <t>000986</t>
  </si>
  <si>
    <t>Sifiting/SOR/RM/P7</t>
  </si>
  <si>
    <t>Sifiting/RS/RM/P10</t>
  </si>
  <si>
    <t>001020</t>
  </si>
  <si>
    <t>PRINTTAG/G.A.T/FG/P1</t>
  </si>
  <si>
    <t>000909</t>
  </si>
  <si>
    <t>AM</t>
  </si>
  <si>
    <t>001022</t>
  </si>
  <si>
    <t>001023</t>
  </si>
  <si>
    <t>000979</t>
  </si>
  <si>
    <t>000862</t>
  </si>
  <si>
    <t>000863</t>
  </si>
  <si>
    <t>000854</t>
  </si>
  <si>
    <t>000858</t>
  </si>
  <si>
    <t>Price Difference</t>
  </si>
  <si>
    <t>Shipping Expenses</t>
  </si>
  <si>
    <t>LOC0902</t>
  </si>
  <si>
    <t>000868</t>
  </si>
  <si>
    <t>000870</t>
  </si>
  <si>
    <t>000882</t>
  </si>
  <si>
    <t>LOC01657</t>
  </si>
  <si>
    <t>000881</t>
  </si>
  <si>
    <t>000864</t>
  </si>
  <si>
    <t>000865</t>
  </si>
  <si>
    <t>000866</t>
  </si>
  <si>
    <t>000871</t>
  </si>
  <si>
    <t>Insp.Fees/Cott/RM</t>
  </si>
  <si>
    <t>Insp Fees/WSNG/RM</t>
  </si>
  <si>
    <t>000867</t>
  </si>
  <si>
    <t>RR</t>
  </si>
  <si>
    <t>000869</t>
  </si>
  <si>
    <t>000873</t>
  </si>
  <si>
    <t>PRINTING TAG/WSNG/FG</t>
  </si>
  <si>
    <t>000883</t>
  </si>
  <si>
    <t>000879</t>
  </si>
  <si>
    <t>Sifitingl/WSNG/RM</t>
  </si>
  <si>
    <t>Handling RM/WSNG</t>
  </si>
  <si>
    <t>000894</t>
  </si>
  <si>
    <t>Price Adjustment</t>
  </si>
  <si>
    <t>Gining/Cotton/RM/P1</t>
  </si>
  <si>
    <t>LOC01655</t>
  </si>
  <si>
    <t>000903</t>
  </si>
  <si>
    <t>000906</t>
  </si>
  <si>
    <t>000908</t>
  </si>
  <si>
    <t>RQ</t>
  </si>
  <si>
    <t>000948</t>
  </si>
  <si>
    <t>Ins Fees/COTT/RM/NOV</t>
  </si>
  <si>
    <t>000875</t>
  </si>
  <si>
    <t>000878</t>
  </si>
  <si>
    <t>000901</t>
  </si>
  <si>
    <t>000905</t>
  </si>
  <si>
    <t>Ins Fees/WSNG/RM/NOV</t>
  </si>
  <si>
    <t>000904</t>
  </si>
  <si>
    <t>000914</t>
  </si>
  <si>
    <t>InsFees/G.A.H/FG/NOV</t>
  </si>
  <si>
    <t>Ins Fees/RS/RM/NOV</t>
  </si>
  <si>
    <t>Insp Fees/RS/RM/NOV</t>
  </si>
  <si>
    <t>LOC01671</t>
  </si>
  <si>
    <t>000959</t>
  </si>
  <si>
    <t>000967</t>
  </si>
  <si>
    <t>000970</t>
  </si>
  <si>
    <t>000973</t>
  </si>
  <si>
    <t>00975</t>
  </si>
  <si>
    <t>000975</t>
  </si>
  <si>
    <t>000980</t>
  </si>
  <si>
    <t>RS</t>
  </si>
  <si>
    <t>GN0111</t>
  </si>
  <si>
    <t>GROUNDNUTS IN SHELLS</t>
  </si>
  <si>
    <t>000981</t>
  </si>
  <si>
    <t>000983</t>
  </si>
  <si>
    <t>000972</t>
  </si>
  <si>
    <t>000974</t>
  </si>
  <si>
    <t>Sorting/GNS/RM/AP1</t>
  </si>
  <si>
    <t>Sifiting/RS/RM/P8</t>
  </si>
  <si>
    <t>Sifiting/WSNG/RM/P4</t>
  </si>
  <si>
    <t>PRINTTAGS/WSNG/FG/P7</t>
  </si>
  <si>
    <t>PRINTTAGS/HPS/FG/P5</t>
  </si>
  <si>
    <t>PRINTTAGS/GNS/FG/P1</t>
  </si>
  <si>
    <t>000984</t>
  </si>
  <si>
    <t>PRINTTAGS/RS/FG/P9</t>
  </si>
  <si>
    <t>PRINTTAGS/RS/FG/P10</t>
  </si>
  <si>
    <t>Sifting Exp/GS/FG/P1</t>
  </si>
  <si>
    <t>Mogarda&amp;Tasteef/P1</t>
  </si>
  <si>
    <t>000982</t>
  </si>
  <si>
    <t>000987</t>
  </si>
  <si>
    <t>000988</t>
  </si>
  <si>
    <t>SSMO/Sorgh/RM/P3</t>
  </si>
  <si>
    <t>Local Tran/GS/P13</t>
  </si>
  <si>
    <t>Stationary/GS/P13</t>
  </si>
  <si>
    <t>Stitching/GS/FG/P13</t>
  </si>
  <si>
    <t>000992</t>
  </si>
  <si>
    <t>000995</t>
  </si>
  <si>
    <t>001037</t>
  </si>
  <si>
    <t>PRINTAGS/WSNG/FG/P10</t>
  </si>
  <si>
    <t>Ginning/COTT/RM/P3</t>
  </si>
  <si>
    <t>Handling RM/P3</t>
  </si>
  <si>
    <t>Re-packing/P3</t>
  </si>
  <si>
    <t>WEIGH FEES/P3</t>
  </si>
  <si>
    <t>001005</t>
  </si>
  <si>
    <t>001007</t>
  </si>
  <si>
    <t>InsFees/SOR/RM/JAN</t>
  </si>
  <si>
    <t>LOC01681</t>
  </si>
  <si>
    <t>001000</t>
  </si>
  <si>
    <t>InsFees/GS/RM/JAN</t>
  </si>
  <si>
    <t>InsFees/GNS/RM/JAN</t>
  </si>
  <si>
    <t>Sifiting/WSNG/RM/P5</t>
  </si>
  <si>
    <t>CropMarketFees/FG/P3</t>
  </si>
  <si>
    <t>InsFees/RM/SOR/P4</t>
  </si>
  <si>
    <t>Handling RM/SOR/P4</t>
  </si>
  <si>
    <t>Packing/FG/SOR/P4</t>
  </si>
  <si>
    <t>Sifiting/RM/SOR/P4</t>
  </si>
  <si>
    <t>TAX/FG/SOR/P5</t>
  </si>
  <si>
    <t>Handling RM/SOR/P5</t>
  </si>
  <si>
    <t>VAT/17%/P5</t>
  </si>
  <si>
    <t>Sifiting/RS/RM/P9</t>
  </si>
  <si>
    <t>001016</t>
  </si>
  <si>
    <t>001001</t>
  </si>
  <si>
    <t>Sorting/GNS/RM/P3</t>
  </si>
  <si>
    <t>LOC01684</t>
  </si>
  <si>
    <t>001006</t>
  </si>
  <si>
    <t>PRINT TAGS/MS/FG/P2</t>
  </si>
  <si>
    <t>PRINTTAGS/WSNG/FG/P8</t>
  </si>
  <si>
    <t>PRINTTAGS/WSNG/FG/P9</t>
  </si>
  <si>
    <t>001017</t>
  </si>
  <si>
    <t>Sifiting/SOR/RM/P1</t>
  </si>
  <si>
    <t>PRINTTAGS/RS/FG/P14</t>
  </si>
  <si>
    <t>PRINTTAGS/COTT/FG/P3</t>
  </si>
  <si>
    <t>InsFees/MS/RM/JAN</t>
  </si>
  <si>
    <t>InsFees/WSNG/RM/JAN</t>
  </si>
  <si>
    <t>Sorting/GNS/RM/P1</t>
  </si>
  <si>
    <t>Ins Fees/HPS/FG/JAN</t>
  </si>
  <si>
    <t>InsFees/HPS/FG/JAN</t>
  </si>
  <si>
    <t>Ins Fees/COTT/RM/JAN</t>
  </si>
  <si>
    <t>InsFees/COTT/RM/JAN</t>
  </si>
  <si>
    <t>InsFees/COTT/FG/JAN</t>
  </si>
  <si>
    <t>InsFees/RS/RM/JAN</t>
  </si>
  <si>
    <t>Ins Fees/RS/RM/JAN</t>
  </si>
  <si>
    <t>001014</t>
  </si>
  <si>
    <t>001089</t>
  </si>
  <si>
    <t>001098</t>
  </si>
  <si>
    <t>UR0002</t>
  </si>
  <si>
    <t>GRANULAR UREA-TON</t>
  </si>
  <si>
    <t>GN</t>
  </si>
  <si>
    <t>001101</t>
  </si>
  <si>
    <t>Extension Certificat</t>
  </si>
  <si>
    <t>Shelling/GNS/FG/P8</t>
  </si>
  <si>
    <t>InFees/Cotton/RM/Apr</t>
  </si>
  <si>
    <t>001091</t>
  </si>
  <si>
    <t>001105</t>
  </si>
  <si>
    <t>Inspection Fees/GAT</t>
  </si>
  <si>
    <t>Ins Fees/GNO/FG/Apr</t>
  </si>
  <si>
    <t>Ins Fees/GS/RM/Apr</t>
  </si>
  <si>
    <t>Crushing/GNS/RM/P1</t>
  </si>
  <si>
    <t>Handling RM/GNS/P1</t>
  </si>
  <si>
    <t>Mogarda&amp;TasteefFG/P1</t>
  </si>
  <si>
    <t>Stitching/GNC/FG/P1</t>
  </si>
  <si>
    <t>001052</t>
  </si>
  <si>
    <t>WEIGH FEES/GNO/FG/P1</t>
  </si>
  <si>
    <t>001095</t>
  </si>
  <si>
    <t>001096</t>
  </si>
  <si>
    <t>LOC01668</t>
  </si>
  <si>
    <t>001097</t>
  </si>
  <si>
    <t>Sifiting/RM/WSNG/P1</t>
  </si>
  <si>
    <t>Storing</t>
  </si>
  <si>
    <t>Stor/SOR/RM/FEB/P7</t>
  </si>
  <si>
    <t>001047</t>
  </si>
  <si>
    <t>InsFees/SOR/RM/P10</t>
  </si>
  <si>
    <t>Packing/SOR/FG/P10</t>
  </si>
  <si>
    <t>Sifiting/SOR/RM/P10</t>
  </si>
  <si>
    <t>HandlRM/SOR/RM/P10</t>
  </si>
  <si>
    <t>VAT/SOR/P10</t>
  </si>
  <si>
    <t>Handling FG/SOR/P10</t>
  </si>
  <si>
    <t>LOC01698</t>
  </si>
  <si>
    <t>001028</t>
  </si>
  <si>
    <t>Shelling/GNS/FG/P1</t>
  </si>
  <si>
    <t>Storing/GNS/FG/P1</t>
  </si>
  <si>
    <t>001032</t>
  </si>
  <si>
    <t>001035</t>
  </si>
  <si>
    <t>001058</t>
  </si>
  <si>
    <t>001033</t>
  </si>
  <si>
    <t>001061</t>
  </si>
  <si>
    <t>Ginning/COTT/RM/P4</t>
  </si>
  <si>
    <t>Handling RM/P4</t>
  </si>
  <si>
    <t>Re-packing/P4</t>
  </si>
  <si>
    <t>WEIGH FEES/P4</t>
  </si>
  <si>
    <t>001051</t>
  </si>
  <si>
    <t>PB0301</t>
  </si>
  <si>
    <t>TRICOT COVER 60*170</t>
  </si>
  <si>
    <t>001040</t>
  </si>
  <si>
    <t>Sifiting/RS/RM/P11</t>
  </si>
  <si>
    <t>Ginning/COTT/RM/P5</t>
  </si>
  <si>
    <t>PRINTTAGS/GNS/FG/P6</t>
  </si>
  <si>
    <t>PRINTTAGS/GNS/FG/P7</t>
  </si>
  <si>
    <t>PRINTTAGS/GNS/FG/P8</t>
  </si>
  <si>
    <t>Photo Shoot Expenses</t>
  </si>
  <si>
    <t>001039</t>
  </si>
  <si>
    <t>Storing/GNS/RM/P3</t>
  </si>
  <si>
    <t>Handling RM/COTT/P5</t>
  </si>
  <si>
    <t>Handling RM/Cott/P5</t>
  </si>
  <si>
    <t>Re-packing/COTT/P5</t>
  </si>
  <si>
    <t>WEIGH FEES/COTT/P5</t>
  </si>
  <si>
    <t>001043</t>
  </si>
  <si>
    <t>Delinting</t>
  </si>
  <si>
    <t>Delnting/COTTSEED/P1</t>
  </si>
  <si>
    <t>Handl RM/COTTSEED/P1</t>
  </si>
  <si>
    <t>VAT/GNS/2nd Qty/P4</t>
  </si>
  <si>
    <t>Re-pack/COTTSEED/P1</t>
  </si>
  <si>
    <t>001055</t>
  </si>
  <si>
    <t>001056</t>
  </si>
  <si>
    <t>001057</t>
  </si>
  <si>
    <t>001059</t>
  </si>
  <si>
    <t>VAT/GNS/1st Qty/P4</t>
  </si>
  <si>
    <t>001063</t>
  </si>
  <si>
    <t>001064</t>
  </si>
  <si>
    <t>Sifiting/WSNG/RM/P10</t>
  </si>
  <si>
    <t>PRINTTAGS/COTT/FG/P4</t>
  </si>
  <si>
    <t>PRINTTAGS/COTT/FG/P5</t>
  </si>
  <si>
    <t>Handling RM/Coton/P8</t>
  </si>
  <si>
    <t>Repacking/RM/Cott/P8</t>
  </si>
  <si>
    <t>WEIGH FEES/Cotton/P8</t>
  </si>
  <si>
    <t>Local Tran/RM/Cot/P8</t>
  </si>
  <si>
    <t>Sifiting/RM/WM/P2</t>
  </si>
  <si>
    <t>001188</t>
  </si>
  <si>
    <t>001152</t>
  </si>
  <si>
    <t>Storing/SOR/FG/P5</t>
  </si>
  <si>
    <t>Fumigation</t>
  </si>
  <si>
    <t>Fumigation/SOR/FG/P5</t>
  </si>
  <si>
    <t>VAT/SOR/P5</t>
  </si>
  <si>
    <t>Tran/GS/FG/P2</t>
  </si>
  <si>
    <t>Tran/GS/FG/P3</t>
  </si>
  <si>
    <t>Handling FG/COTT/P1</t>
  </si>
  <si>
    <t>001041</t>
  </si>
  <si>
    <t>001042</t>
  </si>
  <si>
    <t>001103</t>
  </si>
  <si>
    <t>InsFees/RS/RM/Apr</t>
  </si>
  <si>
    <t>InsFees/R.S/RM/Apr</t>
  </si>
  <si>
    <t>InspFees/WSNG/RM/Apr</t>
  </si>
  <si>
    <t>In Fees/WSNG/RM/Apr</t>
  </si>
  <si>
    <t>Ins Fees/WSNG/RM/Apr</t>
  </si>
  <si>
    <t>InsFees/WSNG/RM/Apr</t>
  </si>
  <si>
    <t>001104</t>
  </si>
  <si>
    <t>feedlots land</t>
  </si>
  <si>
    <t>PRINT TAGS/HPS/FG/P7</t>
  </si>
  <si>
    <t>PRINT TAGS/HPS/FG/P8</t>
  </si>
  <si>
    <t>PRINT TAGS/HPS/FG/P9</t>
  </si>
  <si>
    <t>Sorting/GNS/RM/P5</t>
  </si>
  <si>
    <t>Sorting/GNS/RM/P7</t>
  </si>
  <si>
    <t>001044</t>
  </si>
  <si>
    <t>Sifiting/WSNG/RM/P9</t>
  </si>
  <si>
    <t>001111</t>
  </si>
  <si>
    <t>LOC01732</t>
  </si>
  <si>
    <t>001114</t>
  </si>
  <si>
    <t>Final Conformity</t>
  </si>
  <si>
    <t>Initial Conformity</t>
  </si>
  <si>
    <t>001115</t>
  </si>
  <si>
    <t>Crushing/GNS/RM/AP1</t>
  </si>
  <si>
    <t>PRINTTAGS/PP/FG/P1</t>
  </si>
  <si>
    <t>001164</t>
  </si>
  <si>
    <t>001141</t>
  </si>
  <si>
    <t>001172</t>
  </si>
  <si>
    <t>Crushing/GNS/RM/P3</t>
  </si>
  <si>
    <t>Sifiting/GS/RM/P5</t>
  </si>
  <si>
    <t>Handling RM/GS/P5</t>
  </si>
  <si>
    <t>Re-Sifting/GS/RM/P5</t>
  </si>
  <si>
    <t>LOC01704</t>
  </si>
  <si>
    <t>001054</t>
  </si>
  <si>
    <t>Sorting/GNS/RM/P4</t>
  </si>
  <si>
    <t>Sorting/GNS/RM/AP2</t>
  </si>
  <si>
    <t>001070</t>
  </si>
  <si>
    <t>001120</t>
  </si>
  <si>
    <t>001130</t>
  </si>
  <si>
    <t>001131</t>
  </si>
  <si>
    <t>001136</t>
  </si>
  <si>
    <t>001134</t>
  </si>
  <si>
    <t>001139</t>
  </si>
  <si>
    <t>JOHN DEERE COTTON</t>
  </si>
  <si>
    <t>InsFees/GNS/RM/MAY</t>
  </si>
  <si>
    <t>Ginning/COTT/RM/P2</t>
  </si>
  <si>
    <t>Sifiting/PP/RM/P2</t>
  </si>
  <si>
    <t>001128</t>
  </si>
  <si>
    <t>001129</t>
  </si>
  <si>
    <t>RN</t>
  </si>
  <si>
    <t>Sorting/GNS/RM/P8</t>
  </si>
  <si>
    <t>VAT/Cotton/P2</t>
  </si>
  <si>
    <t>Sifiting/WSNG/RM/AP2</t>
  </si>
  <si>
    <t>Sifiting/RS/RM/P13</t>
  </si>
  <si>
    <t>Crushing/GNS/RM/AP2</t>
  </si>
  <si>
    <t>Crushing/GNS/RM/P5</t>
  </si>
  <si>
    <t>InsFees/SOR/RM/JULY</t>
  </si>
  <si>
    <t>InsFees/GNO/FG/JULY</t>
  </si>
  <si>
    <t>InsFees/GS/RM/JULY</t>
  </si>
  <si>
    <t>InsFees/GS/FG/JULY</t>
  </si>
  <si>
    <t>InsFees/PP/RM/JULY</t>
  </si>
  <si>
    <t>InsFees/UREA/FG/JULY</t>
  </si>
  <si>
    <t>001176</t>
  </si>
  <si>
    <t>InsFees/WM/RM/JULY</t>
  </si>
  <si>
    <t>PRINTTAGS/HPS/FG/P12</t>
  </si>
  <si>
    <t>001177</t>
  </si>
  <si>
    <t>PRINTTAGS/WM/FG/P1</t>
  </si>
  <si>
    <t>InsFees/GAH/RM/JULY</t>
  </si>
  <si>
    <t>001178</t>
  </si>
  <si>
    <t>LOC01756</t>
  </si>
  <si>
    <t>001179</t>
  </si>
  <si>
    <t>Insp Fees/HPS/RM</t>
  </si>
  <si>
    <t>001180</t>
  </si>
  <si>
    <t>Insp Fees/GNS/RM</t>
  </si>
  <si>
    <t>001182</t>
  </si>
  <si>
    <t>Insp Fees/PP/RM</t>
  </si>
  <si>
    <t>Ginning/Cotton/RM/P7</t>
  </si>
  <si>
    <t>Handling RM/Coton/P7</t>
  </si>
  <si>
    <t>Handling RM/Cott/P7</t>
  </si>
  <si>
    <t>Repacking/RM/Cotn/P7</t>
  </si>
  <si>
    <t>WEIGH FEES/truck/P7</t>
  </si>
  <si>
    <t>WEIGH FEES/tared/P7</t>
  </si>
  <si>
    <t>Ginning/RM/Cotton/P7</t>
  </si>
  <si>
    <t>Re-packing/RM/P7</t>
  </si>
  <si>
    <t>001181</t>
  </si>
  <si>
    <t>001183</t>
  </si>
  <si>
    <t>Insp Fees/RS/RM</t>
  </si>
  <si>
    <t>001184</t>
  </si>
  <si>
    <t>Insp Fees/MS/RM</t>
  </si>
  <si>
    <t>001185</t>
  </si>
  <si>
    <t>Stitching/Urea/FG/P2</t>
  </si>
  <si>
    <t>Sifiting/PP/RM/P3</t>
  </si>
  <si>
    <t>Re-Sifting/GS/RM/P2</t>
  </si>
  <si>
    <t>WEIGH FEES/GS/FG/P2</t>
  </si>
  <si>
    <t>001062</t>
  </si>
  <si>
    <t>PRINTAGS/WSNG/FG/P11</t>
  </si>
  <si>
    <t>PRINTAGS/WSNG/FG/P12</t>
  </si>
  <si>
    <t>PRINTAGS/WSNG/FG/P13</t>
  </si>
  <si>
    <t>PRINTTAGS/RS/FG/P2</t>
  </si>
  <si>
    <t>PRINTTAGS/HPS/FG/P7</t>
  </si>
  <si>
    <t>PRINTTAGS/HPS/FG/P8</t>
  </si>
  <si>
    <t>001075</t>
  </si>
  <si>
    <t>Ginning/COTT/RM/P6</t>
  </si>
  <si>
    <t>Handling RM/COTT/P6</t>
  </si>
  <si>
    <t>Repacking/COTT/RM/P6</t>
  </si>
  <si>
    <t>WEIGH FEES/COTT/P6</t>
  </si>
  <si>
    <t>Sifiting/RS/RM/P12</t>
  </si>
  <si>
    <t>001187</t>
  </si>
  <si>
    <t>Ginning/RM/Cotton/P8</t>
  </si>
  <si>
    <t>Commodity</t>
  </si>
  <si>
    <t>Code</t>
  </si>
  <si>
    <t>Supplier</t>
  </si>
  <si>
    <t>PO#</t>
  </si>
  <si>
    <t>Line</t>
  </si>
  <si>
    <t>Status</t>
  </si>
  <si>
    <t>WSNG</t>
  </si>
  <si>
    <t>Alkhalifa</t>
  </si>
  <si>
    <t>Completed</t>
  </si>
  <si>
    <t>1,2</t>
  </si>
  <si>
    <t>M.Alhadi</t>
  </si>
  <si>
    <t>1,2,3</t>
  </si>
  <si>
    <t>1,2,3,7,8</t>
  </si>
  <si>
    <t>1,2,3,4,5,6,7</t>
  </si>
  <si>
    <t>MS</t>
  </si>
  <si>
    <t>Diac</t>
  </si>
  <si>
    <t>Diac/Omaraby</t>
  </si>
  <si>
    <t>1,2,3,4</t>
  </si>
  <si>
    <t>GI/Alfaw</t>
  </si>
  <si>
    <t>1,2,3,4,5,6,7,8</t>
  </si>
  <si>
    <t>HPS</t>
  </si>
  <si>
    <t>GS</t>
  </si>
  <si>
    <t>GNS</t>
  </si>
  <si>
    <t>1,2,3,4,5</t>
  </si>
  <si>
    <t>Sorghum</t>
  </si>
  <si>
    <t>GNO</t>
  </si>
  <si>
    <t>Albalola</t>
  </si>
  <si>
    <t>001195</t>
  </si>
  <si>
    <t>001196</t>
  </si>
  <si>
    <t>001197</t>
  </si>
  <si>
    <t>001198</t>
  </si>
  <si>
    <t>001194</t>
  </si>
  <si>
    <t>Sifiting/RM/WM/P3</t>
  </si>
  <si>
    <t>DAL00019</t>
  </si>
  <si>
    <t>001199</t>
  </si>
  <si>
    <t>001193</t>
  </si>
  <si>
    <t>Re-packing/PP/FG/P4</t>
  </si>
  <si>
    <t>Crushing/GNS/RM/P4</t>
  </si>
  <si>
    <t>Sorting/GNS/RM/P11</t>
  </si>
  <si>
    <t>001200</t>
  </si>
  <si>
    <t>WS0005</t>
  </si>
  <si>
    <t>KSA WHAITE SUGAR</t>
  </si>
  <si>
    <t>Storing/SOR/JUNE/FG</t>
  </si>
  <si>
    <t>Fumigation/SOR/FG/P7</t>
  </si>
  <si>
    <t>Storing/SOR/FG/July</t>
  </si>
  <si>
    <t>VAT/SOR/July/P7</t>
  </si>
  <si>
    <t>Storing/SOR/AUG/FG</t>
  </si>
  <si>
    <t>VAT/SOR/AUG/P7</t>
  </si>
  <si>
    <t>Sifiting/RS/RM/P14</t>
  </si>
  <si>
    <t>Re-packing/GS/FG/P3</t>
  </si>
  <si>
    <t>Sifiting/WSNG/RM/P13</t>
  </si>
  <si>
    <t>SSMO/GS/FG/P5</t>
  </si>
  <si>
    <t>PlantPro/GS/FG/P5</t>
  </si>
  <si>
    <t>Stitching/UREA/FG/P3</t>
  </si>
  <si>
    <t>InsFees/SOR/RM/AUG</t>
  </si>
  <si>
    <t>InsFees/COTT/RM/AUG</t>
  </si>
  <si>
    <t>InsFees/UREA/FG/AUG</t>
  </si>
  <si>
    <t>InsFees/Urea/FG/AUG</t>
  </si>
  <si>
    <t>InsFees/GS/RM/AUG</t>
  </si>
  <si>
    <t>InsFees/GNS/RM/AUG</t>
  </si>
  <si>
    <t>InsFees/WM/RM/AUG</t>
  </si>
  <si>
    <t>InsFees/GNO/FG/AUG</t>
  </si>
  <si>
    <t>InsFees/PP/RM/AUG</t>
  </si>
  <si>
    <t>InsFees/GAH/RM/AUG</t>
  </si>
  <si>
    <t>VAT/COTT/FG/P7</t>
  </si>
  <si>
    <t>001203</t>
  </si>
  <si>
    <t>001202</t>
  </si>
  <si>
    <t>LOC01744</t>
  </si>
  <si>
    <t>001204</t>
  </si>
  <si>
    <t>PRINTTAG/WSNG/FG/P14</t>
  </si>
  <si>
    <t>PRINTBAGS/GS/FG/P1</t>
  </si>
  <si>
    <t>PRINTTAGS/WM/FG/P2</t>
  </si>
  <si>
    <t>001207</t>
  </si>
  <si>
    <t>Repacking/COTT/RM/P8</t>
  </si>
  <si>
    <t>TAX/COTT/FG/P9</t>
  </si>
  <si>
    <t>CropMarktFes/COTT/P9</t>
  </si>
  <si>
    <t>Repacking/COTT/RM/P9</t>
  </si>
  <si>
    <t>001208</t>
  </si>
  <si>
    <t>InsFees/GS/FG/AUG</t>
  </si>
  <si>
    <t>InsFees/COTT/RM/SEP</t>
  </si>
  <si>
    <t>InsFees/COTT/FG/SEP</t>
  </si>
  <si>
    <t>InsFees/GNS/FG/SEP</t>
  </si>
  <si>
    <t>InsFees/SOR/FG/SEP</t>
  </si>
  <si>
    <t>InsFees/GS/RM/SEP</t>
  </si>
  <si>
    <t>InsFees/GS/FG/SEP</t>
  </si>
  <si>
    <t>InsFees/UREA/FG/SEP</t>
  </si>
  <si>
    <t>InsFees/GAH/RM/SEP</t>
  </si>
  <si>
    <t>InsFees/GAT/RM/SEP</t>
  </si>
  <si>
    <t>InsFees/WSNG/RM/SEP</t>
  </si>
  <si>
    <t>InsFees/GAT/RM/AUG</t>
  </si>
  <si>
    <t>001210</t>
  </si>
  <si>
    <t>Mogarda&amp;TasteefRM/P4</t>
  </si>
  <si>
    <t>HandlingFG/GS/P4</t>
  </si>
  <si>
    <t>Handling RM/GS/P4</t>
  </si>
  <si>
    <t>001211</t>
  </si>
  <si>
    <t>Storing/GNS/FG/P10</t>
  </si>
  <si>
    <t>001212</t>
  </si>
  <si>
    <t>001213</t>
  </si>
  <si>
    <t>Storing/SOR/SEP/FG</t>
  </si>
  <si>
    <t>Fumigation/SOR/FG/P8</t>
  </si>
  <si>
    <t>VAT/SOR/FG/P8</t>
  </si>
  <si>
    <t>Storing/SOR/MAY/FG</t>
  </si>
  <si>
    <t>Storing/SOR/JULY/FG</t>
  </si>
  <si>
    <t>Fumigtion/SOR/AUG/P8</t>
  </si>
  <si>
    <t>SSMO/GS/FG/P6</t>
  </si>
  <si>
    <t>PlantPro/GS/FG/P6</t>
  </si>
  <si>
    <t>HandlingFG/GS/P6</t>
  </si>
  <si>
    <t>Re-packing/GS/FG/P6</t>
  </si>
  <si>
    <t>Stitching/GS/FG/P6</t>
  </si>
  <si>
    <t>TasteefFG/GS/P6</t>
  </si>
  <si>
    <t>Rolling/GS/FG/P6</t>
  </si>
  <si>
    <t>001214</t>
  </si>
  <si>
    <t>001215</t>
  </si>
  <si>
    <t>Sifiting/RS/RM/P15</t>
  </si>
  <si>
    <t>GN0000</t>
  </si>
  <si>
    <t>1,2,3,4,5,6</t>
  </si>
  <si>
    <t>ERPSTATUS</t>
  </si>
  <si>
    <t>Variance</t>
  </si>
  <si>
    <t>GS/Grade2</t>
  </si>
  <si>
    <t>001216</t>
  </si>
  <si>
    <t>Others Service_PCKG_</t>
  </si>
  <si>
    <t>001217</t>
  </si>
  <si>
    <t>Commodities Processing Unit</t>
  </si>
  <si>
    <t>Raw Receiving &amp; Purchased Finished Commodities Delivery Report</t>
  </si>
  <si>
    <t>Season 2021-2022</t>
  </si>
  <si>
    <t>Alnazer Sifter</t>
  </si>
  <si>
    <t>Standard Weight Conversion Variance,the number of bags is the same in the system and report</t>
  </si>
  <si>
    <t>Abdallah Rabih</t>
  </si>
  <si>
    <t>Fathi ALjzoly</t>
  </si>
  <si>
    <t>Abdallah Abdelaziz</t>
  </si>
  <si>
    <t>Adil Abdelrhman</t>
  </si>
  <si>
    <t>Madani Collection Center</t>
  </si>
  <si>
    <t>Magdi Gournas</t>
  </si>
  <si>
    <t>Mohamed Karamallah</t>
  </si>
  <si>
    <t xml:space="preserve">Dal Agricutural Services </t>
  </si>
  <si>
    <t>DAL MICRO FINANCE</t>
  </si>
  <si>
    <t>Omer Abdelgadir</t>
  </si>
  <si>
    <t>Ali Yousif</t>
  </si>
  <si>
    <t>Alhadi Yousif</t>
  </si>
  <si>
    <t>Abdalla Abdelaziz</t>
  </si>
  <si>
    <t>Alam eldeen</t>
  </si>
  <si>
    <t>Adam Koko</t>
  </si>
  <si>
    <t>Abdalahrahman Musa</t>
  </si>
  <si>
    <t>Hassan Adlan</t>
  </si>
  <si>
    <t>Agro Bank SDN</t>
  </si>
  <si>
    <t>Sayed Araki</t>
  </si>
  <si>
    <t>Sayed Mustafa</t>
  </si>
  <si>
    <t>Mahaseelna Sifter &amp; Savola WH</t>
  </si>
  <si>
    <t xml:space="preserve">Seeds Sifter </t>
  </si>
  <si>
    <t xml:space="preserve">Mahaseelna,Alteital,Alnazer Sifter &amp; Savola WH </t>
  </si>
  <si>
    <t xml:space="preserve">Omdurman CIM WH </t>
  </si>
  <si>
    <t>Albiadier Sifter</t>
  </si>
  <si>
    <t>Albiadier Sifter &amp;  Seeds Sifter</t>
  </si>
  <si>
    <t>Mahaseelna &amp; Alnazer Sifter</t>
  </si>
  <si>
    <t>Khojali, Alnazer, Haitham,Mahaseelna &amp; Norris Sifter</t>
  </si>
  <si>
    <t>Alnazer Sifter &amp; Norris</t>
  </si>
  <si>
    <t>Seeds Sifter &amp; Alteital Sifter &amp; Alnazir Sifter</t>
  </si>
  <si>
    <t xml:space="preserve">GB/MSG Marngan - Madani </t>
  </si>
  <si>
    <t>GC/MSG Alhori - Gadarif</t>
  </si>
  <si>
    <t>GN/The Sudan Cotton CO.</t>
  </si>
  <si>
    <t>GI/Alam Aldeen</t>
  </si>
  <si>
    <t>GI/Ishraq Gin</t>
  </si>
  <si>
    <t>GI/Jamal Alkhier</t>
  </si>
  <si>
    <t>GI/Awad Khidier</t>
  </si>
  <si>
    <t xml:space="preserve">GI/Alrufaee </t>
  </si>
  <si>
    <t>GI/Mohamed Alkhier</t>
  </si>
  <si>
    <t>GI/Indian Gin</t>
  </si>
  <si>
    <t>XP/PZU WH</t>
  </si>
  <si>
    <t>AS/Savola WH</t>
  </si>
  <si>
    <t>RP/M.elhadi WH</t>
  </si>
  <si>
    <t>Alam eldeen WH</t>
  </si>
  <si>
    <t>Halaeeb sifter</t>
  </si>
  <si>
    <t>PZU WH</t>
  </si>
  <si>
    <t>Gadarif WH</t>
  </si>
  <si>
    <t xml:space="preserve">Gadarif WH </t>
  </si>
  <si>
    <t>SOPC, Karar &amp; Magzoub Sorter</t>
  </si>
  <si>
    <t>SOPC &amp; Magzoub Sorter</t>
  </si>
  <si>
    <t>Sabaloga GNS WH</t>
  </si>
  <si>
    <t>Magzoub Sorter</t>
  </si>
  <si>
    <t>ASVOC Crusher</t>
  </si>
  <si>
    <t>Magzoub  Sorter</t>
  </si>
  <si>
    <t>Adeeb Sheller</t>
  </si>
  <si>
    <t>SOPC Sorter</t>
  </si>
  <si>
    <t>Concrete Silo &amp; Gadarif WH</t>
  </si>
  <si>
    <t>Concrete Silo</t>
  </si>
  <si>
    <t>Altabeea &amp; Almwsali Crusher</t>
  </si>
  <si>
    <t>Altabeea, Almwsali,Noon &amp; Abu Omer Crusher</t>
  </si>
  <si>
    <t>Abu Omer,Noon &amp; Altabeea Crusher</t>
  </si>
  <si>
    <t>Abu omer &amp; Alfoul elmodams Crusher</t>
  </si>
  <si>
    <t>Abu omer ,Noon, Altabeea &amp; Alfoul elmodams Crusher</t>
  </si>
  <si>
    <t>Altabeea Crusher &amp; Alfoul Elmodmas</t>
  </si>
  <si>
    <t>Picker Sifter</t>
  </si>
  <si>
    <t>Alrahma Sifter</t>
  </si>
  <si>
    <t>001218</t>
  </si>
  <si>
    <t>001219</t>
  </si>
  <si>
    <t>001220</t>
  </si>
  <si>
    <t>Groundnuts in Shells</t>
  </si>
  <si>
    <t>Gum Arabic Hashab RM</t>
  </si>
  <si>
    <t>Gum Arabic Talha RM</t>
  </si>
  <si>
    <t>Gum Arabic Hashab Cleaned RM</t>
  </si>
  <si>
    <t>Cotton FG</t>
  </si>
  <si>
    <t>Pigeon Peas</t>
  </si>
  <si>
    <t>Watermelon Seed</t>
  </si>
  <si>
    <t>001222</t>
  </si>
  <si>
    <t>LOC01779</t>
  </si>
  <si>
    <t>001224</t>
  </si>
  <si>
    <t>Food Products</t>
  </si>
  <si>
    <t>OVE00910</t>
  </si>
  <si>
    <t>001221</t>
  </si>
  <si>
    <t>Received Quantity</t>
  </si>
  <si>
    <t>Product Code</t>
  </si>
  <si>
    <t>Purchasing Balance</t>
  </si>
  <si>
    <t>Total Purchased/MT</t>
  </si>
  <si>
    <t>Total Received/MT</t>
  </si>
  <si>
    <t>Receiving Location</t>
  </si>
  <si>
    <t>001228</t>
  </si>
  <si>
    <t>October expense</t>
  </si>
  <si>
    <t>Spare Parts</t>
  </si>
  <si>
    <t>weight bridg replace</t>
  </si>
  <si>
    <t>Digging a new well</t>
  </si>
  <si>
    <t>Sifiting/RS/RM/P16</t>
  </si>
  <si>
    <t>001227</t>
  </si>
  <si>
    <t>crop market registra</t>
  </si>
  <si>
    <t>Threads/Cott/FG/P10</t>
  </si>
  <si>
    <t>Bags/Cott/FG/P10</t>
  </si>
  <si>
    <t>Repacking/Cot/FG/P10</t>
  </si>
  <si>
    <t>MogardaRM/Cott/P10</t>
  </si>
  <si>
    <t>Ongoing</t>
  </si>
  <si>
    <t>Season 2022-2023</t>
  </si>
  <si>
    <t>Elkhalifa</t>
  </si>
  <si>
    <t xml:space="preserve">     Variance           </t>
  </si>
  <si>
    <t>001229</t>
  </si>
  <si>
    <t>ERP STATUS</t>
  </si>
  <si>
    <t>001230</t>
  </si>
  <si>
    <t>001231</t>
  </si>
  <si>
    <t>001232</t>
  </si>
  <si>
    <t>001234</t>
  </si>
  <si>
    <t>001235</t>
  </si>
  <si>
    <t>LOC01465</t>
  </si>
  <si>
    <t>001236</t>
  </si>
  <si>
    <t>Local Air Services</t>
  </si>
  <si>
    <t>001237</t>
  </si>
  <si>
    <t>001238</t>
  </si>
  <si>
    <t>001239</t>
  </si>
  <si>
    <t>001240</t>
  </si>
  <si>
    <t>001242</t>
  </si>
  <si>
    <t>001241</t>
  </si>
  <si>
    <t xml:space="preserve">Ongoing </t>
  </si>
  <si>
    <t>GS/Grade 2</t>
  </si>
  <si>
    <t>LOC01781</t>
  </si>
  <si>
    <t>001243</t>
  </si>
  <si>
    <t>Location</t>
  </si>
  <si>
    <t>Type</t>
  </si>
  <si>
    <t>JA</t>
  </si>
  <si>
    <t>Khartoum  - JV</t>
  </si>
  <si>
    <t>Not Active</t>
  </si>
  <si>
    <t>Virtual</t>
  </si>
  <si>
    <t>JC</t>
  </si>
  <si>
    <t>PZU - JV</t>
  </si>
  <si>
    <t>JG</t>
  </si>
  <si>
    <t>Gadarif -JV</t>
  </si>
  <si>
    <t>JN</t>
  </si>
  <si>
    <t>Nayala  - JV</t>
  </si>
  <si>
    <t>Obaid Gum Arabic Centre</t>
  </si>
  <si>
    <t>Cleaning &amp; Sorting</t>
  </si>
  <si>
    <t>Obaid</t>
  </si>
  <si>
    <t>Crusher KHA- Other</t>
  </si>
  <si>
    <t>Crusher</t>
  </si>
  <si>
    <t>Khartoum</t>
  </si>
  <si>
    <t>Crusher KHN Bitar</t>
  </si>
  <si>
    <t>Crusher - Al haramain</t>
  </si>
  <si>
    <t>Crusher KHN -ASVOC</t>
  </si>
  <si>
    <t>Crusher KHA- SMA</t>
  </si>
  <si>
    <t>Crusher OMD -Kambal</t>
  </si>
  <si>
    <t>Crusher - OMD -ADEEB</t>
  </si>
  <si>
    <t>Crusher Al-Teital -K</t>
  </si>
  <si>
    <t>CRUSHER ELBALOLA</t>
  </si>
  <si>
    <t xml:space="preserve">Alsultan Crushing </t>
  </si>
  <si>
    <t>Crusher Alm Eldin-KH</t>
  </si>
  <si>
    <t>Crusher Almosaly-ALB</t>
  </si>
  <si>
    <t>CRUSHER HASABO</t>
  </si>
  <si>
    <t>CRUSHI- OTACHO-BAGIR</t>
  </si>
  <si>
    <t>Crusher Al-AFIA</t>
  </si>
  <si>
    <t>ALNASRI / CRUSHING</t>
  </si>
  <si>
    <t>CRUSHER- MARHAB</t>
  </si>
  <si>
    <t>MSG GINNING MDANI</t>
  </si>
  <si>
    <t>Madani</t>
  </si>
  <si>
    <t>Ginning Al-Hasaheisa</t>
  </si>
  <si>
    <t>Ginning Nortix</t>
  </si>
  <si>
    <t>GINNING ISHRAG-MDNI</t>
  </si>
  <si>
    <t>MSG GINNING GDARIF</t>
  </si>
  <si>
    <t>Gadarif</t>
  </si>
  <si>
    <t>TG</t>
  </si>
  <si>
    <t xml:space="preserve">Gadarif In Transit </t>
  </si>
  <si>
    <t>In Transit - Gadarif to PZU</t>
  </si>
  <si>
    <t>G1</t>
  </si>
  <si>
    <t>IN TRASNIT - GADARIF</t>
  </si>
  <si>
    <t>In Transit - Intenal Gadarif</t>
  </si>
  <si>
    <t>In Transit - Gadarif Internal</t>
  </si>
  <si>
    <t>A1</t>
  </si>
  <si>
    <t>IN TRASNIT - KHRT</t>
  </si>
  <si>
    <t>In Transit - Internal KHT</t>
  </si>
  <si>
    <t>In Transit - Internal khartoum</t>
  </si>
  <si>
    <t>TC</t>
  </si>
  <si>
    <t xml:space="preserve">PZU In Transit </t>
  </si>
  <si>
    <t>In Transit - Internal PZU</t>
  </si>
  <si>
    <t>C1</t>
  </si>
  <si>
    <t xml:space="preserve">IN TRASNIT - KHT-Gadarif </t>
  </si>
  <si>
    <t>In Transit - KHT To Gadarif</t>
  </si>
  <si>
    <t>In Transit - Khartoum to Gadarif</t>
  </si>
  <si>
    <t>TA</t>
  </si>
  <si>
    <t>Khartoum In transit</t>
  </si>
  <si>
    <t>In Transit - KHT To PZU</t>
  </si>
  <si>
    <t>TN</t>
  </si>
  <si>
    <t>IMPORT-TRANSIT-NYALA</t>
  </si>
  <si>
    <t>In Transit - PZU to Nyala</t>
  </si>
  <si>
    <t>TO</t>
  </si>
  <si>
    <t>IMPORT-TRANSIT-OBAID</t>
  </si>
  <si>
    <t>In Transit - PZU to Obaid</t>
  </si>
  <si>
    <t>TI</t>
  </si>
  <si>
    <t>IMPORT-TRASNSIT-KHRT</t>
  </si>
  <si>
    <t>In Transit - PZU to OMD</t>
  </si>
  <si>
    <t>TS</t>
  </si>
  <si>
    <t>IMPOR TRANSIT SAFOLA</t>
  </si>
  <si>
    <t>In Transit - PZU to Safola</t>
  </si>
  <si>
    <t>IS</t>
  </si>
  <si>
    <t>In Transit Sales</t>
  </si>
  <si>
    <t>In Transit - PZU to Sales</t>
  </si>
  <si>
    <t>Virtual for Sales</t>
  </si>
  <si>
    <t>PA</t>
  </si>
  <si>
    <t>Packing KHA</t>
  </si>
  <si>
    <t>Processing Warehouse</t>
  </si>
  <si>
    <t>PC</t>
  </si>
  <si>
    <t>Packing PZU</t>
  </si>
  <si>
    <t>Port Sudan</t>
  </si>
  <si>
    <t>ALTILAL</t>
  </si>
  <si>
    <t>Sifter</t>
  </si>
  <si>
    <t>RH</t>
  </si>
  <si>
    <t>SIFTING GABBANI-OMRW</t>
  </si>
  <si>
    <t>-</t>
  </si>
  <si>
    <t>Sifter Gadarif -Copen</t>
  </si>
  <si>
    <t>5-STARS - GADARIF</t>
  </si>
  <si>
    <t>SIFITING ORGANICA</t>
  </si>
  <si>
    <t>SIFTER CONCRETE SILO</t>
  </si>
  <si>
    <t>SIFTER METALIC SILO</t>
  </si>
  <si>
    <t>CROPS MARKET-GDARIF</t>
  </si>
  <si>
    <t>RO</t>
  </si>
  <si>
    <t>FACILITY SURDAN</t>
  </si>
  <si>
    <t>FACILITY -ALMADINA</t>
  </si>
  <si>
    <t>Sifters KHA -Alsoug Almahaly</t>
  </si>
  <si>
    <t>Stuffing OMD-ALGOMIA</t>
  </si>
  <si>
    <t>Sifter OMD -Tayba</t>
  </si>
  <si>
    <t>Sifting OMD- Khalid</t>
  </si>
  <si>
    <t>Sifter KHA -CHU</t>
  </si>
  <si>
    <t xml:space="preserve">Sifter OMD -Alshafey </t>
  </si>
  <si>
    <t>Sifter OMD - Alhelaly</t>
  </si>
  <si>
    <t>Sifter OMD - Yara (AlNawris)</t>
  </si>
  <si>
    <t>Sifting OMD - YAGOUB</t>
  </si>
  <si>
    <t>Sifters Bahri-Libyan</t>
  </si>
  <si>
    <t>Sifters Mahasilna</t>
  </si>
  <si>
    <t>BAYADER SIFTER-OMD</t>
  </si>
  <si>
    <t>SJ</t>
  </si>
  <si>
    <t>Sifters OMD-M MUSA</t>
  </si>
  <si>
    <t>ALMARKAZI SIFTER-OMD</t>
  </si>
  <si>
    <t>Karrar Sorting and Sifting - OMD</t>
  </si>
  <si>
    <t>SIFTING- HASABO</t>
  </si>
  <si>
    <t>SFITER GUM Masaaie</t>
  </si>
  <si>
    <t>SFITER KH- SOBA</t>
  </si>
  <si>
    <t>SFITING-SAWARY-SOBA</t>
  </si>
  <si>
    <t>SIFTING HMA-SOBA</t>
  </si>
  <si>
    <t>EL Jizouli Sifter</t>
  </si>
  <si>
    <t>GREEN CROPS SIFTING</t>
  </si>
  <si>
    <t>SEEDS SIFTING FACILITY</t>
  </si>
  <si>
    <t>SIFTER - SAMELOMDRMA</t>
  </si>
  <si>
    <t>SIFTER- ALNAZER-OMDU</t>
  </si>
  <si>
    <t>SIFTER- ALNOR- OMDUR</t>
  </si>
  <si>
    <t>Magzoub Sorting - OMD</t>
  </si>
  <si>
    <t>Khojali Trading</t>
  </si>
  <si>
    <t>Khartoum - Omdurman</t>
  </si>
  <si>
    <t>Al Haitham</t>
  </si>
  <si>
    <t xml:space="preserve">Sifter PZU - Tabil </t>
  </si>
  <si>
    <t>Sifting ELKBIER PZU</t>
  </si>
  <si>
    <t>Sifting PZU-Al Jawhra</t>
  </si>
  <si>
    <t>SIFTER - SAN DA-PZU</t>
  </si>
  <si>
    <t>SIFTER GZ -PZU</t>
  </si>
  <si>
    <t>Alrahma</t>
  </si>
  <si>
    <t>SLAUGHTER HOUSE</t>
  </si>
  <si>
    <t>Slaughter House</t>
  </si>
  <si>
    <t>FACILITY-SCS-Horticu</t>
  </si>
  <si>
    <t>AP</t>
  </si>
  <si>
    <t xml:space="preserve">Air Port Stuffing </t>
  </si>
  <si>
    <t>Port Area</t>
  </si>
  <si>
    <t>XG</t>
  </si>
  <si>
    <t>Gadarif Import Warehouse</t>
  </si>
  <si>
    <t>Warehouse</t>
  </si>
  <si>
    <t>Khartoum Import Warehouse</t>
  </si>
  <si>
    <t>XB</t>
  </si>
  <si>
    <t xml:space="preserve">Al-Sabaloga WH D1 </t>
  </si>
  <si>
    <t>XC</t>
  </si>
  <si>
    <t xml:space="preserve">Al-Sabaloga WH D2 </t>
  </si>
  <si>
    <t>A4</t>
  </si>
  <si>
    <t>Inter segma Warehouse</t>
  </si>
  <si>
    <t>Virtual Warehouse</t>
  </si>
  <si>
    <t>NC</t>
  </si>
  <si>
    <t>NON CONFORMING WH</t>
  </si>
  <si>
    <t>CONTRACT FARMING WH</t>
  </si>
  <si>
    <t>NT</t>
  </si>
  <si>
    <t>NON CONFORMING TRANSPORT</t>
  </si>
  <si>
    <t>C4</t>
  </si>
  <si>
    <t xml:space="preserve">Gadarif Main Store </t>
  </si>
  <si>
    <t>Khtoum Main Warehouse</t>
  </si>
  <si>
    <t>SAVOLA W/H FOR EXPOR</t>
  </si>
  <si>
    <t>XD</t>
  </si>
  <si>
    <t xml:space="preserve">Al-Sabaloga WH C2 </t>
  </si>
  <si>
    <t>Livestock Barn</t>
  </si>
  <si>
    <t>Omdurman Commodites Warehouse</t>
  </si>
  <si>
    <t>XF</t>
  </si>
  <si>
    <t xml:space="preserve">PZU Stuffing </t>
  </si>
  <si>
    <t>XE</t>
  </si>
  <si>
    <t xml:space="preserve">Al-Sabaloga WH C1 </t>
  </si>
  <si>
    <t>XH</t>
  </si>
  <si>
    <t xml:space="preserve">Al-Sabaloga WH C3 </t>
  </si>
  <si>
    <t>PZU Packaging Warehouse</t>
  </si>
  <si>
    <t>XL</t>
  </si>
  <si>
    <t xml:space="preserve">Al-Sabaloga WH C4 </t>
  </si>
  <si>
    <t>XM</t>
  </si>
  <si>
    <t xml:space="preserve">Al-Sabaloga WH D3 </t>
  </si>
  <si>
    <t>XR</t>
  </si>
  <si>
    <t xml:space="preserve">Al-Sabaloga WH D4 </t>
  </si>
  <si>
    <t>XS</t>
  </si>
  <si>
    <t xml:space="preserve">Al-Sabaloga WH D5 </t>
  </si>
  <si>
    <t>XN</t>
  </si>
  <si>
    <t>Neyala Import Warehouse</t>
  </si>
  <si>
    <t>Nyala</t>
  </si>
  <si>
    <t>XO</t>
  </si>
  <si>
    <t>Obaid Import Warehouse</t>
  </si>
  <si>
    <t>XA</t>
  </si>
  <si>
    <t>PZU IMPORT WH</t>
  </si>
  <si>
    <t>Import Virtual Warehouse - PZU</t>
  </si>
  <si>
    <t>PZU Main Warehouse</t>
  </si>
  <si>
    <t>XW</t>
  </si>
  <si>
    <t>Wheat Imports Warehuse</t>
  </si>
  <si>
    <t>TF</t>
  </si>
  <si>
    <t>In Transit Gadarif – Imports</t>
  </si>
  <si>
    <t>In Transit - PZU To Gadarif</t>
  </si>
  <si>
    <t>XT</t>
  </si>
  <si>
    <t xml:space="preserve">Non Conformity Transport </t>
  </si>
  <si>
    <t>Virtual - Inventory</t>
  </si>
  <si>
    <t>Sabaloga Commodities Warehouse</t>
  </si>
  <si>
    <t>TB</t>
  </si>
  <si>
    <t>Obaid KHT In Transit</t>
  </si>
  <si>
    <t>In Transit - Obaid to KHT</t>
  </si>
  <si>
    <t xml:space="preserve">ADEEB SHELLER </t>
  </si>
  <si>
    <t>Sheller</t>
  </si>
  <si>
    <t>Neyala</t>
  </si>
  <si>
    <t xml:space="preserve">TEITAL SIFTING </t>
  </si>
  <si>
    <t>Khartoum North</t>
  </si>
  <si>
    <t>Location2</t>
  </si>
  <si>
    <t>SOPC Sifting &amp; Sorting</t>
  </si>
  <si>
    <t>TU</t>
  </si>
  <si>
    <t>IMPORT-TRANSIT-SINNAR</t>
  </si>
  <si>
    <t>In Transit - PZU to Sinnar</t>
  </si>
  <si>
    <t>SCC New Halfa Ginning</t>
  </si>
  <si>
    <t>New Halfa</t>
  </si>
  <si>
    <t>TY</t>
  </si>
  <si>
    <t>Transit-Nyala to KHT</t>
  </si>
  <si>
    <t>In Transit - Nyala to KHT</t>
  </si>
  <si>
    <t>XU</t>
  </si>
  <si>
    <t>Sinnar Import Warehouse</t>
  </si>
  <si>
    <t>Sinnar</t>
  </si>
  <si>
    <t>XV</t>
  </si>
  <si>
    <t>Safola  Import Warehouse - KHT</t>
  </si>
  <si>
    <t>Picker Sifting Facility</t>
  </si>
  <si>
    <t>Savola - Khartoum</t>
  </si>
  <si>
    <t>A2</t>
  </si>
  <si>
    <t>Meat Transit Internal Khartoum</t>
  </si>
  <si>
    <t>In Transit - Internal Khartoum</t>
  </si>
  <si>
    <t>XY</t>
  </si>
  <si>
    <t>Savola Import WH 2</t>
  </si>
  <si>
    <t>NM</t>
  </si>
  <si>
    <t>NC PerishableProduct</t>
  </si>
  <si>
    <t>RV</t>
  </si>
  <si>
    <t>Falcon Sifting</t>
  </si>
  <si>
    <t>XX</t>
  </si>
  <si>
    <t>Alsoug Alamhli Import WH</t>
  </si>
  <si>
    <t>XJ</t>
  </si>
  <si>
    <t>Madani Import Warehouse</t>
  </si>
  <si>
    <t>001244</t>
  </si>
  <si>
    <t>Sugar SSMO Conformit</t>
  </si>
  <si>
    <t>001245</t>
  </si>
  <si>
    <t>001246</t>
  </si>
  <si>
    <t>001247</t>
  </si>
  <si>
    <t>zeinab</t>
  </si>
  <si>
    <t>LOC01769</t>
  </si>
  <si>
    <t>001249</t>
  </si>
  <si>
    <t>001250</t>
  </si>
  <si>
    <t>InsFees/COTT/RM/OCT</t>
  </si>
  <si>
    <t>001251</t>
  </si>
  <si>
    <t>Supervision Fees</t>
  </si>
  <si>
    <t>SupFees/RS/RM/OCT</t>
  </si>
  <si>
    <t>001252</t>
  </si>
  <si>
    <t>Manual Cleaning</t>
  </si>
  <si>
    <t>ManulCleaning/GAH/P1</t>
  </si>
  <si>
    <t>InsFees/GNO/FG/OCT</t>
  </si>
  <si>
    <t>InsFees/SOR/RM/OCT</t>
  </si>
  <si>
    <t>InsFees/GS/RM/OCT</t>
  </si>
  <si>
    <t>InsFees/UREA/FG/OCT</t>
  </si>
  <si>
    <t>InsFees/GAH/RM/OCT</t>
  </si>
  <si>
    <t>InsFees/GAT/RM/OCT</t>
  </si>
  <si>
    <t>InsFees/RS/RM/OCT</t>
  </si>
  <si>
    <t>001253</t>
  </si>
  <si>
    <t>001254</t>
  </si>
  <si>
    <t>PRINTTAGS/CP/FG/P2</t>
  </si>
  <si>
    <t>GF</t>
  </si>
  <si>
    <t>Alfager Ginning</t>
  </si>
  <si>
    <t>Ginning Facility</t>
  </si>
  <si>
    <t>PRINTTAGS/CP/FG/P3</t>
  </si>
  <si>
    <t>PRINTTAGS/MS/FG/P9</t>
  </si>
  <si>
    <t>001256</t>
  </si>
  <si>
    <t>Ins Fees/COTT/FG/P13</t>
  </si>
  <si>
    <t>Ins Fees/COTT/FG/P14</t>
  </si>
  <si>
    <t>Ins Fees/COTT/FG/P15</t>
  </si>
  <si>
    <t>Ins Fees/COTT/FG/P16</t>
  </si>
  <si>
    <t>Ins Fees/COTT/FG/P17</t>
  </si>
  <si>
    <t>Ins Fees/COTT/FG/P18</t>
  </si>
  <si>
    <t>PRINTAGS/WSNG/FG/P22</t>
  </si>
  <si>
    <t>PRINTAGS/WSNG/FG/P23</t>
  </si>
  <si>
    <t>PRINTAGS/WSNG/FG/P24</t>
  </si>
  <si>
    <t>PRINT TAGS/RS/FG/P17</t>
  </si>
  <si>
    <t>Printing Bags</t>
  </si>
  <si>
    <t>Print Bags/GS/FG/P2</t>
  </si>
  <si>
    <t>Print Bags/GS/FG/P3</t>
  </si>
  <si>
    <t>AG/Gadarif WH</t>
  </si>
  <si>
    <t xml:space="preserve">AG/Gadarif WH </t>
  </si>
  <si>
    <t>Albalolas Crushers</t>
  </si>
  <si>
    <t>001255</t>
  </si>
  <si>
    <t>001260</t>
  </si>
  <si>
    <t>November expenses</t>
  </si>
  <si>
    <t>001261</t>
  </si>
  <si>
    <t>001262</t>
  </si>
  <si>
    <t>Jute Bags/Cott/FG/P8</t>
  </si>
  <si>
    <t>Threads/Cott/FG/P8</t>
  </si>
  <si>
    <t>Stationary/Cot/FG/P8</t>
  </si>
  <si>
    <t>Repacking/Cott/FG/P8</t>
  </si>
  <si>
    <t>Offload/Cott/FG/P8</t>
  </si>
  <si>
    <t>ReSorting/Cott/FG/P8</t>
  </si>
  <si>
    <t>001263</t>
  </si>
  <si>
    <t>001264</t>
  </si>
  <si>
    <t>001265</t>
  </si>
  <si>
    <t>LE0001</t>
  </si>
  <si>
    <t>LENTIL TAT 20KG</t>
  </si>
  <si>
    <t>LE0002</t>
  </si>
  <si>
    <t>LENTIL TABAGNA 20KG</t>
  </si>
  <si>
    <t>001266</t>
  </si>
  <si>
    <t>001267</t>
  </si>
  <si>
    <t>001268</t>
  </si>
  <si>
    <t>001269</t>
  </si>
  <si>
    <t>001270</t>
  </si>
  <si>
    <t>Alam eldin</t>
  </si>
  <si>
    <t>Alaam Crusher</t>
  </si>
  <si>
    <t>001272</t>
  </si>
  <si>
    <t>001271</t>
  </si>
  <si>
    <t>SSMO conformity</t>
  </si>
  <si>
    <t>Samel, Mahaseelna, Alnazer &amp; Magzoub Sifter</t>
  </si>
  <si>
    <t>001258</t>
  </si>
  <si>
    <t>PRINTTAGS/Cott/FG/P1</t>
  </si>
  <si>
    <t>PRINTTAGS/GS/FG/P8</t>
  </si>
  <si>
    <t>PRINTTAGS/GS/FG/P9</t>
  </si>
  <si>
    <t>001259</t>
  </si>
  <si>
    <t>001273</t>
  </si>
  <si>
    <t>001274</t>
  </si>
  <si>
    <t>GL</t>
  </si>
  <si>
    <t>Magdi Gornas</t>
  </si>
  <si>
    <t>MSG Ginner -New Halfa</t>
  </si>
  <si>
    <t>001275</t>
  </si>
  <si>
    <t>Insp iFees/WM/RM</t>
  </si>
  <si>
    <t>001276</t>
  </si>
  <si>
    <t>Ins Fees/Urea/FG</t>
  </si>
  <si>
    <t>001277</t>
  </si>
  <si>
    <t>Ins Fees/Sugar/FG</t>
  </si>
  <si>
    <t>001278</t>
  </si>
  <si>
    <t>InspectionFees/GS/FG</t>
  </si>
  <si>
    <t>001279</t>
  </si>
  <si>
    <t>Inspect Fees/SOR/FG</t>
  </si>
  <si>
    <t>001280</t>
  </si>
  <si>
    <t>InspectFees/Rice/FG</t>
  </si>
  <si>
    <t>SupFees/RS/RM/NOV</t>
  </si>
  <si>
    <t>001284</t>
  </si>
  <si>
    <t>Expenses Cost</t>
  </si>
  <si>
    <t>001281</t>
  </si>
  <si>
    <t>SupFees/GS/RM/NOV</t>
  </si>
  <si>
    <t>001282</t>
  </si>
  <si>
    <t>SupFees/Cott/RM/NOV</t>
  </si>
  <si>
    <t>001283</t>
  </si>
  <si>
    <t>SupFees/GNO/FG/NOV</t>
  </si>
  <si>
    <t>001285</t>
  </si>
  <si>
    <t>InsFees/GS/FG/NOV</t>
  </si>
  <si>
    <t>InsFees/SOR/FG/NOV</t>
  </si>
  <si>
    <t>InsFees/GAT/RM/NOV</t>
  </si>
  <si>
    <t>InsFees/UREA/FG/NOV</t>
  </si>
  <si>
    <t xml:space="preserve">MSG Ginning New Halfa </t>
  </si>
  <si>
    <t>001286</t>
  </si>
  <si>
    <t>001287</t>
  </si>
  <si>
    <t>001257</t>
  </si>
  <si>
    <t>InspectionFees/WM/RM</t>
  </si>
  <si>
    <t>Alam eldin WH</t>
  </si>
  <si>
    <t>001288</t>
  </si>
  <si>
    <t>LOC01791</t>
  </si>
  <si>
    <t>001290</t>
  </si>
  <si>
    <t>001291</t>
  </si>
  <si>
    <t>001292</t>
  </si>
  <si>
    <t>Noon Sorter</t>
  </si>
  <si>
    <t>Samel Sifter</t>
  </si>
  <si>
    <t xml:space="preserve">SOPC </t>
  </si>
  <si>
    <t>MSG Maringan &amp; Alfager Ginner - Madani</t>
  </si>
  <si>
    <t>001293</t>
  </si>
  <si>
    <t>Albiader Sifter</t>
  </si>
  <si>
    <t>001295</t>
  </si>
  <si>
    <t>001296</t>
  </si>
  <si>
    <t>001297</t>
  </si>
  <si>
    <t>WS</t>
  </si>
  <si>
    <t>SM0001</t>
  </si>
  <si>
    <t>Chad</t>
  </si>
  <si>
    <t>Moussa Mohd</t>
  </si>
  <si>
    <t>Abdelkareem Jour</t>
  </si>
  <si>
    <t>Mohd Abdelhadi</t>
  </si>
  <si>
    <t>Abdelkareem Hissein</t>
  </si>
  <si>
    <t>Sudan</t>
  </si>
  <si>
    <t>001294</t>
  </si>
  <si>
    <t>001298</t>
  </si>
  <si>
    <t>Factory Expenses</t>
  </si>
  <si>
    <t>001299</t>
  </si>
  <si>
    <t>001300</t>
  </si>
  <si>
    <t>001301</t>
  </si>
  <si>
    <t>001302</t>
  </si>
  <si>
    <t xml:space="preserve">Norris Sifter </t>
  </si>
  <si>
    <t>001303</t>
  </si>
  <si>
    <t>PB0272</t>
  </si>
  <si>
    <t>EMPTY PP BAG 75*120C</t>
  </si>
  <si>
    <t>001304</t>
  </si>
  <si>
    <t>Moussali Sifter</t>
  </si>
  <si>
    <t>001305</t>
  </si>
  <si>
    <t>LOG00098</t>
  </si>
  <si>
    <t>001306</t>
  </si>
  <si>
    <t>001307</t>
  </si>
  <si>
    <t>001309</t>
  </si>
  <si>
    <t>Handling RM/GS/P1</t>
  </si>
  <si>
    <t>WEIGH FEES/GS/FG/P1</t>
  </si>
  <si>
    <t>001310</t>
  </si>
  <si>
    <t>001308</t>
  </si>
  <si>
    <t>001312</t>
  </si>
  <si>
    <t>PRINTAGS/WSNG/FG/P1</t>
  </si>
  <si>
    <t>PRINTAGS/WSNG/FG/P2</t>
  </si>
  <si>
    <t>001313</t>
  </si>
  <si>
    <t>PRINTAGS/MS/FG/P1</t>
  </si>
  <si>
    <t>LOC01799</t>
  </si>
  <si>
    <t>001314</t>
  </si>
  <si>
    <t>001311</t>
  </si>
  <si>
    <t xml:space="preserve">                                           -   </t>
  </si>
  <si>
    <t>                              (3,053.48)</t>
  </si>
  <si>
    <t>                                 (646.74)</t>
  </si>
  <si>
    <t>                                 (149.06)</t>
  </si>
  <si>
    <t>001315</t>
  </si>
  <si>
    <t>Ginning/Cott/RM/P1</t>
  </si>
  <si>
    <t>001316</t>
  </si>
  <si>
    <t>001317</t>
  </si>
  <si>
    <t>001318</t>
  </si>
  <si>
    <t>001319</t>
  </si>
  <si>
    <t xml:space="preserve"> </t>
  </si>
  <si>
    <t>001321</t>
  </si>
  <si>
    <t>001322</t>
  </si>
  <si>
    <t>001323</t>
  </si>
  <si>
    <t>001324</t>
  </si>
  <si>
    <t>Price Differnce</t>
  </si>
  <si>
    <t>001320</t>
  </si>
  <si>
    <t xml:space="preserve">                        1,134.330 </t>
  </si>
  <si>
    <t xml:space="preserve"> 800 </t>
  </si>
  <si>
    <t>                                 (515.76)</t>
  </si>
  <si>
    <t>                                 (103.22)</t>
  </si>
  <si>
    <t>                                   (59.56)</t>
  </si>
  <si>
    <t>                                 (155.58)</t>
  </si>
  <si>
    <t>                                 (355.41)</t>
  </si>
  <si>
    <t xml:space="preserve"> Completed </t>
  </si>
  <si>
    <t xml:space="preserve"> Ongoing </t>
  </si>
  <si>
    <t>PZU</t>
  </si>
  <si>
    <t>Aljawhara Sifter</t>
  </si>
  <si>
    <t>WSNG/Eastern</t>
  </si>
  <si>
    <t>GDF</t>
  </si>
  <si>
    <t>M.Karamallah</t>
  </si>
  <si>
    <t>RX</t>
  </si>
  <si>
    <t>RW</t>
  </si>
  <si>
    <t>001331</t>
  </si>
  <si>
    <t>LOC01800</t>
  </si>
  <si>
    <t>001332</t>
  </si>
  <si>
    <t>Shelling/GNS/FG/AP1</t>
  </si>
  <si>
    <t>001333</t>
  </si>
  <si>
    <t>LOC01801</t>
  </si>
  <si>
    <t>001335</t>
  </si>
  <si>
    <t>001337</t>
  </si>
  <si>
    <t>001338</t>
  </si>
  <si>
    <t>001341</t>
  </si>
  <si>
    <t>001342</t>
  </si>
  <si>
    <t>001334</t>
  </si>
  <si>
    <t>RC0002</t>
  </si>
  <si>
    <t>RICE LONG TABGNA 20K</t>
  </si>
  <si>
    <t>PB0259</t>
  </si>
  <si>
    <t>RICE EMPTY BAGS</t>
  </si>
  <si>
    <t>001336</t>
  </si>
  <si>
    <t>001339</t>
  </si>
  <si>
    <t>001345</t>
  </si>
  <si>
    <t>001347</t>
  </si>
  <si>
    <t>001346</t>
  </si>
  <si>
    <t>WHITE CRYSTAL SUGAR</t>
  </si>
  <si>
    <t>LOC01803</t>
  </si>
  <si>
    <t>001343</t>
  </si>
  <si>
    <t>Ginning/COTT/RM/P1</t>
  </si>
  <si>
    <t>Handling RM/Cott/P1</t>
  </si>
  <si>
    <t>001344</t>
  </si>
  <si>
    <t>PRINTTAGS/HPS/FGP5</t>
  </si>
  <si>
    <t>NOTEPAD/Cott/FG/P3</t>
  </si>
  <si>
    <t>001352</t>
  </si>
  <si>
    <t>PrintBags/GS/FG/P1</t>
  </si>
  <si>
    <t>001353</t>
  </si>
  <si>
    <t>PrintBags/Urea/FG/P1</t>
  </si>
  <si>
    <t>001354</t>
  </si>
  <si>
    <t>001349</t>
  </si>
  <si>
    <t>Ginning/Cott/RM/P2</t>
  </si>
  <si>
    <t>RePacking/Cott/RM/P2</t>
  </si>
  <si>
    <t>InsFees/Cott/FG/P2</t>
  </si>
  <si>
    <t>001355</t>
  </si>
  <si>
    <t>001356</t>
  </si>
  <si>
    <t>001411</t>
  </si>
  <si>
    <t>001329</t>
  </si>
  <si>
    <t>SupFees/GNS/RM/FEB</t>
  </si>
  <si>
    <t>001414</t>
  </si>
  <si>
    <t>001415</t>
  </si>
  <si>
    <t>001416</t>
  </si>
  <si>
    <t>001417</t>
  </si>
  <si>
    <t>001418</t>
  </si>
  <si>
    <t>001419</t>
  </si>
  <si>
    <t>001408</t>
  </si>
  <si>
    <t>InsFees/UREA/FG/FEB</t>
  </si>
  <si>
    <t>001390</t>
  </si>
  <si>
    <t>SuperFes/Cott/RM/FEB</t>
  </si>
  <si>
    <t>SuperFees/RS/RM/FEB</t>
  </si>
  <si>
    <t>001327</t>
  </si>
  <si>
    <t>SuperFes/WSNG/RM/FEB</t>
  </si>
  <si>
    <t>001427</t>
  </si>
  <si>
    <t>001429</t>
  </si>
  <si>
    <t>001431</t>
  </si>
  <si>
    <t>SO0003</t>
  </si>
  <si>
    <t>SORGHUM NON GMO FG</t>
  </si>
  <si>
    <t>001432</t>
  </si>
  <si>
    <t>AL0003</t>
  </si>
  <si>
    <t>ALFALFA 400KG</t>
  </si>
  <si>
    <t>001430</t>
  </si>
  <si>
    <t>001434</t>
  </si>
  <si>
    <t>001436</t>
  </si>
  <si>
    <t>001437</t>
  </si>
  <si>
    <t>SSMO/GS/FG/P7</t>
  </si>
  <si>
    <t>HandlingFG/GS/P7</t>
  </si>
  <si>
    <t>001428</t>
  </si>
  <si>
    <t>CropMarktFes/Cot/P12</t>
  </si>
  <si>
    <t>CropMarktFes/Cot/P13</t>
  </si>
  <si>
    <t>TAX/Cott/FG/P13</t>
  </si>
  <si>
    <t>001439</t>
  </si>
  <si>
    <t>001438</t>
  </si>
  <si>
    <t>001440</t>
  </si>
  <si>
    <t>LOC01805</t>
  </si>
  <si>
    <t>001444</t>
  </si>
  <si>
    <t>001445</t>
  </si>
  <si>
    <t>LOC01828</t>
  </si>
  <si>
    <t>001447</t>
  </si>
  <si>
    <t>001448</t>
  </si>
  <si>
    <t>InspectFees/HPS/FG</t>
  </si>
  <si>
    <t>001449</t>
  </si>
  <si>
    <t>ManulClean/GAT/RM/P1</t>
  </si>
  <si>
    <t>001450</t>
  </si>
  <si>
    <t>ManualDry/GAH/RM/P1</t>
  </si>
  <si>
    <t>001362</t>
  </si>
  <si>
    <t>DA</t>
  </si>
  <si>
    <t>001441</t>
  </si>
  <si>
    <t>SupFees/Cott/RM/MAR</t>
  </si>
  <si>
    <t>InsFees/UREA/FG/MAR</t>
  </si>
  <si>
    <t>ManulClean/GAH/RM/P1</t>
  </si>
  <si>
    <t>LOC01829</t>
  </si>
  <si>
    <t>001452</t>
  </si>
  <si>
    <t>001453</t>
  </si>
  <si>
    <t>001454</t>
  </si>
  <si>
    <t>maarab.m</t>
  </si>
  <si>
    <t>LOC01094</t>
  </si>
  <si>
    <t>001462</t>
  </si>
  <si>
    <t>PS000081</t>
  </si>
  <si>
    <t>001466</t>
  </si>
  <si>
    <t>hamdi.m</t>
  </si>
  <si>
    <t>001467</t>
  </si>
  <si>
    <t>001478</t>
  </si>
  <si>
    <t>Cardboard Sheet</t>
  </si>
  <si>
    <t>FREIGHT SERVICE</t>
  </si>
  <si>
    <t>001481</t>
  </si>
  <si>
    <t>omer.o</t>
  </si>
  <si>
    <t>001482</t>
  </si>
  <si>
    <t>001484</t>
  </si>
  <si>
    <t>001490</t>
  </si>
  <si>
    <t>LOC01846</t>
  </si>
  <si>
    <t>001494</t>
  </si>
  <si>
    <t>001491</t>
  </si>
  <si>
    <t>LOC01798</t>
  </si>
  <si>
    <t>001492</t>
  </si>
  <si>
    <t>001495</t>
  </si>
  <si>
    <t>LOC00079</t>
  </si>
  <si>
    <t>001457</t>
  </si>
  <si>
    <t>SA0001</t>
  </si>
  <si>
    <t>Salt</t>
  </si>
  <si>
    <t>001461</t>
  </si>
  <si>
    <t>001468</t>
  </si>
  <si>
    <t>001469</t>
  </si>
  <si>
    <t>001470</t>
  </si>
  <si>
    <t>001474</t>
  </si>
  <si>
    <t>001475</t>
  </si>
  <si>
    <t>VALIDITY EXTENSION</t>
  </si>
  <si>
    <t>001480</t>
  </si>
  <si>
    <t>001483</t>
  </si>
  <si>
    <t>001446</t>
  </si>
  <si>
    <t>SuperFees/GNS/RM/MAR</t>
  </si>
  <si>
    <t>001330</t>
  </si>
  <si>
    <t>SupFees/HPS/FG/MAR</t>
  </si>
  <si>
    <t>001413</t>
  </si>
  <si>
    <t>SuperFees/SOR/RM/MAR</t>
  </si>
  <si>
    <t>001451</t>
  </si>
  <si>
    <t>TAX/PP/FG/P1</t>
  </si>
  <si>
    <t>Stitching/PP/FG/P2</t>
  </si>
  <si>
    <t>SuperFees/RS/RM/MAR</t>
  </si>
  <si>
    <t>SuperFes/WSNG/RM/MAR</t>
  </si>
  <si>
    <t>001328</t>
  </si>
  <si>
    <t>SuperFees/MS/RM/MAR</t>
  </si>
  <si>
    <t>SuperFees/GS/FG/MAR</t>
  </si>
  <si>
    <t>SuperFees/GS/RM/MAR</t>
  </si>
  <si>
    <t>001412</t>
  </si>
  <si>
    <t>SuperFees/PP/RM/MAR</t>
  </si>
  <si>
    <t>Shifting/PP/RM/P2</t>
  </si>
  <si>
    <t>001350</t>
  </si>
  <si>
    <t>LOC01430</t>
  </si>
  <si>
    <t>001363</t>
  </si>
  <si>
    <t>001365</t>
  </si>
  <si>
    <t>LOC01810</t>
  </si>
  <si>
    <t>001366</t>
  </si>
  <si>
    <t>001367</t>
  </si>
  <si>
    <t>RC0001</t>
  </si>
  <si>
    <t>RICE SHORT DALIAN25K</t>
  </si>
  <si>
    <t>PB0258</t>
  </si>
  <si>
    <t>RICE EMPTY BAGS 25KG</t>
  </si>
  <si>
    <t>001368</t>
  </si>
  <si>
    <t>001357</t>
  </si>
  <si>
    <t>001359</t>
  </si>
  <si>
    <t>001360</t>
  </si>
  <si>
    <t>001361</t>
  </si>
  <si>
    <t>PRINTTAGS/Cott/RM/P1</t>
  </si>
  <si>
    <t>001348</t>
  </si>
  <si>
    <t>001369</t>
  </si>
  <si>
    <t>001370</t>
  </si>
  <si>
    <t>001371</t>
  </si>
  <si>
    <t>001372</t>
  </si>
  <si>
    <t>001373</t>
  </si>
  <si>
    <t>001364</t>
  </si>
  <si>
    <t>001358</t>
  </si>
  <si>
    <t>001377</t>
  </si>
  <si>
    <t>001382</t>
  </si>
  <si>
    <t>LOC01802</t>
  </si>
  <si>
    <t>001381</t>
  </si>
  <si>
    <t>001388</t>
  </si>
  <si>
    <t>Operation expenses</t>
  </si>
  <si>
    <t>SupFees/Cott/RM/JAN</t>
  </si>
  <si>
    <t>WEIGH/PP/FG/P2</t>
  </si>
  <si>
    <t>Stacking</t>
  </si>
  <si>
    <t>Stacking/PP/FG/P2</t>
  </si>
  <si>
    <t>Loading/PP/FG/P2</t>
  </si>
  <si>
    <t>ReStackng/UREA/FG/P4</t>
  </si>
  <si>
    <t>Repacking/UREA/FG/P4</t>
  </si>
  <si>
    <t>SupFees/GNO/FG/MAR</t>
  </si>
  <si>
    <t>001458</t>
  </si>
  <si>
    <t>Sticker Label Emirat</t>
  </si>
  <si>
    <t>Freight Service_PCKG</t>
  </si>
  <si>
    <t>001471</t>
  </si>
  <si>
    <t>PSS00094</t>
  </si>
  <si>
    <t>001485</t>
  </si>
  <si>
    <t>001486</t>
  </si>
  <si>
    <t>PS000059</t>
  </si>
  <si>
    <t>001489</t>
  </si>
  <si>
    <t>001459</t>
  </si>
  <si>
    <t>001460</t>
  </si>
  <si>
    <t>001477</t>
  </si>
  <si>
    <t>001487</t>
  </si>
  <si>
    <t>001493</t>
  </si>
  <si>
    <t>001496</t>
  </si>
  <si>
    <t>001497</t>
  </si>
  <si>
    <t>001472</t>
  </si>
  <si>
    <t>LOC01844</t>
  </si>
  <si>
    <t>001488</t>
  </si>
  <si>
    <t>001498</t>
  </si>
  <si>
    <t>001473</t>
  </si>
  <si>
    <t>001375</t>
  </si>
  <si>
    <t>001378</t>
  </si>
  <si>
    <t>001379</t>
  </si>
  <si>
    <t>001380</t>
  </si>
  <si>
    <t>Rolling</t>
  </si>
  <si>
    <t>Rolling/GS/FG/P3</t>
  </si>
  <si>
    <t>Handling FG/GS/P3</t>
  </si>
  <si>
    <t>MogrdaTastefRM/GS/P3</t>
  </si>
  <si>
    <t>001391</t>
  </si>
  <si>
    <t>001396</t>
  </si>
  <si>
    <t>HandlingRM/Cott/P1</t>
  </si>
  <si>
    <t>Handling FG/Cott/P1</t>
  </si>
  <si>
    <t>Sifiting/MS/RM/P2</t>
  </si>
  <si>
    <t>001397</t>
  </si>
  <si>
    <t>001325</t>
  </si>
  <si>
    <t>SupFees/RS/RM/DEC</t>
  </si>
  <si>
    <t>SupFees/WSNG/RM/DEC</t>
  </si>
  <si>
    <t>SupFees/MS/RM/DEC</t>
  </si>
  <si>
    <t>SupFees/GS/FG/DEC</t>
  </si>
  <si>
    <t>SupFees/Cott/RM/DEC</t>
  </si>
  <si>
    <t>SupFees/GNO/FG/DEC</t>
  </si>
  <si>
    <t>SupFees/GNS/RM/DEC</t>
  </si>
  <si>
    <t>001326</t>
  </si>
  <si>
    <t>January Expenses</t>
  </si>
  <si>
    <t>SupFees/HPS/FG/DEC</t>
  </si>
  <si>
    <t>InsFees/GS/FG/DEC</t>
  </si>
  <si>
    <t>InsFees/UREA/FG/DEC</t>
  </si>
  <si>
    <t>001383</t>
  </si>
  <si>
    <t>SupFees/RS/RM/JAN</t>
  </si>
  <si>
    <t>SupFees/WSNG/RM/JAN</t>
  </si>
  <si>
    <t>SupFees/MS/RM/JAN</t>
  </si>
  <si>
    <t>SupFees/GS/FG/JAN</t>
  </si>
  <si>
    <t>SupFees/GS/RM/JAN</t>
  </si>
  <si>
    <t>001384</t>
  </si>
  <si>
    <t>PRINTTAGS/HPS/FG/P9</t>
  </si>
  <si>
    <t>PRINTTAGS/RS/FG/P8</t>
  </si>
  <si>
    <t>001385</t>
  </si>
  <si>
    <t>PRINTTAGS/MS/FG/P2</t>
  </si>
  <si>
    <t>SupFees/GNO/FG/JAN</t>
  </si>
  <si>
    <t>SupFees/GNS/RM/JAN</t>
  </si>
  <si>
    <t>001389</t>
  </si>
  <si>
    <t>SupFes/GNSSHELLS/JAN</t>
  </si>
  <si>
    <t>SupFees/HPS/FG/JAN</t>
  </si>
  <si>
    <t>001386</t>
  </si>
  <si>
    <t>001387</t>
  </si>
  <si>
    <t>InsFees/UREA/FG/JAN</t>
  </si>
  <si>
    <t>001392</t>
  </si>
  <si>
    <t>TAX/Cott/FG/P1</t>
  </si>
  <si>
    <t>TAX/Cott/RM/P1</t>
  </si>
  <si>
    <t>StateFees/Cott/FG/P1</t>
  </si>
  <si>
    <t>CropMarktFes/Cott/P1</t>
  </si>
  <si>
    <t>Bags/WhiteSeed/FG/P1</t>
  </si>
  <si>
    <t>001393</t>
  </si>
  <si>
    <t>Storing/SOR/OCT/P1</t>
  </si>
  <si>
    <t>Sorting/SOR/NOV/P1</t>
  </si>
  <si>
    <t>Storing/SOR/DEC/P1</t>
  </si>
  <si>
    <t>Fumigation/SOR/P1</t>
  </si>
  <si>
    <t>Storing/SOR/JAN/P1</t>
  </si>
  <si>
    <t>VAT/SOR/P1</t>
  </si>
  <si>
    <t>001394</t>
  </si>
  <si>
    <t>001395</t>
  </si>
  <si>
    <t>001398</t>
  </si>
  <si>
    <t>LOC01815</t>
  </si>
  <si>
    <t>001399</t>
  </si>
  <si>
    <t>Renovation Mwlh Farm</t>
  </si>
  <si>
    <t>001400</t>
  </si>
  <si>
    <t>HandlingRM/Cott/P2</t>
  </si>
  <si>
    <t>HandlingFG/Cott/P2</t>
  </si>
  <si>
    <t>PRINTTAGS/MS/FG/P3</t>
  </si>
  <si>
    <t>001405</t>
  </si>
  <si>
    <t>001407</t>
  </si>
  <si>
    <t>001409</t>
  </si>
  <si>
    <t>001410</t>
  </si>
  <si>
    <t>SuperFees/MS/RM/FEB</t>
  </si>
  <si>
    <t>SuperFees/GS/FG/FEB</t>
  </si>
  <si>
    <t>SuperFees/GS/RM/FEB</t>
  </si>
  <si>
    <t>SuperFees/PP/RM/FEB</t>
  </si>
  <si>
    <t>SupFees/GNO/FG/FEB</t>
  </si>
  <si>
    <t>SuperFees/GNS/RM/FEB</t>
  </si>
  <si>
    <t>SupFees/HPS/FG/FEB</t>
  </si>
  <si>
    <t>SuperFees/SOR/RM/FEB</t>
  </si>
  <si>
    <t>HandlingRM/GS/P2</t>
  </si>
  <si>
    <t>001421</t>
  </si>
  <si>
    <t>israbast</t>
  </si>
  <si>
    <t>001422</t>
  </si>
  <si>
    <t>001423</t>
  </si>
  <si>
    <t>001424</t>
  </si>
  <si>
    <t>Freezing service</t>
  </si>
  <si>
    <t>001425</t>
  </si>
  <si>
    <t>001426</t>
  </si>
  <si>
    <t>Meat Freezing Cost</t>
  </si>
  <si>
    <t>001433</t>
  </si>
  <si>
    <t>001435</t>
  </si>
  <si>
    <t>design Fee for Nyla</t>
  </si>
  <si>
    <t>Storing/SOR/FEB/P2</t>
  </si>
  <si>
    <t>VAT/SOR/FEB/P2</t>
  </si>
  <si>
    <t>HandlingRM/SOR/P2</t>
  </si>
  <si>
    <t>HandlingRM/SOR/P3</t>
  </si>
  <si>
    <t>Cotton - FG</t>
  </si>
  <si>
    <t>Awad Alkhider</t>
  </si>
  <si>
    <t>Wd Elmubarak Ginner</t>
  </si>
  <si>
    <t>PB0256</t>
  </si>
  <si>
    <t>Plastic Bags Lentil</t>
  </si>
  <si>
    <t>FA</t>
  </si>
  <si>
    <t>001500</t>
  </si>
  <si>
    <t>001499</t>
  </si>
  <si>
    <t>LE0003</t>
  </si>
  <si>
    <t>Lentil Armada 20KG</t>
  </si>
  <si>
    <t>WSNG/Western</t>
  </si>
  <si>
    <t>Ibrahim Alkhlifa</t>
  </si>
  <si>
    <t>Green Zone, Anvita Sifter</t>
  </si>
  <si>
    <t>Sanda Sifter</t>
  </si>
  <si>
    <t>001501</t>
  </si>
  <si>
    <t>001502</t>
  </si>
  <si>
    <t>001503</t>
  </si>
  <si>
    <t>Aljawhara Sifter,Anvita Sifter</t>
  </si>
  <si>
    <t>Season 2023-2024</t>
  </si>
  <si>
    <t>001504</t>
  </si>
  <si>
    <t>001506</t>
  </si>
  <si>
    <t>GS-Good Quality</t>
  </si>
  <si>
    <t>GS-Above Medium Quality</t>
  </si>
  <si>
    <t>GS-Medium Quality</t>
  </si>
  <si>
    <t>001508</t>
  </si>
  <si>
    <t>001507</t>
  </si>
  <si>
    <t>GNS-UNSHIELDE</t>
  </si>
  <si>
    <t>Almanagil</t>
  </si>
  <si>
    <t>Abdallah Albalola</t>
  </si>
  <si>
    <t>Albalola Sorter</t>
  </si>
  <si>
    <t>FB</t>
  </si>
  <si>
    <t>001510</t>
  </si>
  <si>
    <t>001511</t>
  </si>
  <si>
    <t xml:space="preserve">                 575.64 </t>
  </si>
  <si>
    <t xml:space="preserve">                      -   </t>
  </si>
  <si>
    <t xml:space="preserve">             1,000.00 </t>
  </si>
  <si>
    <t>                (537)</t>
  </si>
  <si>
    <t xml:space="preserve">             1,487.21 </t>
  </si>
  <si>
    <t>                (552)</t>
  </si>
  <si>
    <t xml:space="preserve">                 569.30 </t>
  </si>
  <si>
    <t xml:space="preserve">                 604.08 </t>
  </si>
  <si>
    <t xml:space="preserve">                 709.08 </t>
  </si>
  <si>
    <t xml:space="preserve">                 653.42 </t>
  </si>
  <si>
    <t xml:space="preserve">             1,726.78 </t>
  </si>
  <si>
    <t xml:space="preserve">             1,175.60 </t>
  </si>
  <si>
    <t xml:space="preserve">                 500.00 </t>
  </si>
  <si>
    <t>                (428)</t>
  </si>
  <si>
    <t xml:space="preserve">                 206.28 </t>
  </si>
  <si>
    <t xml:space="preserve">                 387.50 </t>
  </si>
  <si>
    <t xml:space="preserve">                   49.46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</si>
</sst>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_);_(* \(#,##0.000\);_(* &quot;-&quot;??_);_(@_)"/>
    <numFmt numFmtId="165" formatCode="_(* #,##0.000_);_(* \(#,##0.000\);_(* &quot;-&quot;???_);_(@_)"/>
    <numFmt numFmtId="166" formatCode="0.00_);\(0.00\)"/>
    <numFmt numFmtId="167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AA8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CE4D6"/>
        <bgColor indexed="64"/>
      </patternFill>
    </fill>
  </fills>
  <borders count="6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/>
      <top/>
      <bottom style="double">
        <color rgb="FF3F3F3F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9" fontId="1" fillId="0" borderId="0" applyFont="0" applyFill="0" applyBorder="0" applyAlignment="0" applyProtection="0"/>
    <xf numFmtId="0" fontId="1" fillId="37" borderId="0" applyNumberFormat="0" applyBorder="0" applyAlignment="0" applyProtection="0"/>
  </cellStyleXfs>
  <cellXfs count="375">
    <xf numFmtId="0" fontId="0" fillId="0" borderId="0" xfId="0"/>
    <xf numFmtId="22" fontId="0" fillId="0" borderId="0" xfId="0" applyNumberFormat="1"/>
    <xf numFmtId="43" fontId="0" fillId="0" borderId="0" xfId="1" applyFont="1"/>
    <xf numFmtId="0" fontId="0" fillId="3" borderId="0" xfId="0" applyFill="1"/>
    <xf numFmtId="0" fontId="0" fillId="5" borderId="0" xfId="0" applyFill="1"/>
    <xf numFmtId="164" fontId="0" fillId="5" borderId="0" xfId="1" applyNumberFormat="1" applyFont="1" applyFill="1"/>
    <xf numFmtId="0" fontId="4" fillId="6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164" fontId="6" fillId="4" borderId="12" xfId="1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0" fillId="5" borderId="6" xfId="0" applyFill="1" applyBorder="1"/>
    <xf numFmtId="0" fontId="9" fillId="5" borderId="1" xfId="2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7" fillId="8" borderId="18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5" borderId="8" xfId="0" applyFill="1" applyBorder="1"/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8" fillId="15" borderId="9" xfId="0" applyFont="1" applyFill="1" applyBorder="1" applyAlignment="1">
      <alignment horizontal="center" vertical="center"/>
    </xf>
    <xf numFmtId="0" fontId="0" fillId="0" borderId="8" xfId="0" applyBorder="1"/>
    <xf numFmtId="0" fontId="7" fillId="14" borderId="22" xfId="0" applyFont="1" applyFill="1" applyBorder="1" applyAlignment="1">
      <alignment horizontal="center" vertical="center"/>
    </xf>
    <xf numFmtId="0" fontId="7" fillId="14" borderId="26" xfId="0" applyFont="1" applyFill="1" applyBorder="1" applyAlignment="1">
      <alignment horizontal="center" vertical="center"/>
    </xf>
    <xf numFmtId="0" fontId="7" fillId="14" borderId="27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7" fillId="14" borderId="25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7" fillId="16" borderId="26" xfId="0" applyFont="1" applyFill="1" applyBorder="1" applyAlignment="1">
      <alignment horizontal="center" vertical="center"/>
    </xf>
    <xf numFmtId="0" fontId="8" fillId="17" borderId="9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horizontal="center" vertical="center"/>
    </xf>
    <xf numFmtId="0" fontId="7" fillId="16" borderId="25" xfId="0" applyFont="1" applyFill="1" applyBorder="1" applyAlignment="1">
      <alignment horizontal="center" vertical="center"/>
    </xf>
    <xf numFmtId="0" fontId="4" fillId="19" borderId="28" xfId="0" applyFont="1" applyFill="1" applyBorder="1" applyAlignment="1">
      <alignment horizontal="center" vertical="center"/>
    </xf>
    <xf numFmtId="0" fontId="7" fillId="19" borderId="26" xfId="0" applyFont="1" applyFill="1" applyBorder="1" applyAlignment="1">
      <alignment horizontal="center" vertical="center"/>
    </xf>
    <xf numFmtId="0" fontId="8" fillId="20" borderId="9" xfId="0" applyFont="1" applyFill="1" applyBorder="1" applyAlignment="1">
      <alignment horizontal="center" vertical="center"/>
    </xf>
    <xf numFmtId="0" fontId="4" fillId="19" borderId="29" xfId="0" applyFont="1" applyFill="1" applyBorder="1" applyAlignment="1">
      <alignment horizontal="center" vertical="center"/>
    </xf>
    <xf numFmtId="0" fontId="7" fillId="19" borderId="25" xfId="0" applyFont="1" applyFill="1" applyBorder="1" applyAlignment="1">
      <alignment horizontal="center" vertical="center"/>
    </xf>
    <xf numFmtId="0" fontId="7" fillId="21" borderId="16" xfId="0" applyFont="1" applyFill="1" applyBorder="1" applyAlignment="1">
      <alignment horizontal="center" vertical="center"/>
    </xf>
    <xf numFmtId="0" fontId="8" fillId="22" borderId="9" xfId="0" applyFont="1" applyFill="1" applyBorder="1" applyAlignment="1">
      <alignment horizontal="center" vertical="center"/>
    </xf>
    <xf numFmtId="0" fontId="7" fillId="21" borderId="18" xfId="0" applyFont="1" applyFill="1" applyBorder="1" applyAlignment="1">
      <alignment horizontal="center" vertical="center"/>
    </xf>
    <xf numFmtId="0" fontId="7" fillId="21" borderId="22" xfId="0" applyFont="1" applyFill="1" applyBorder="1" applyAlignment="1">
      <alignment horizontal="center" vertical="center"/>
    </xf>
    <xf numFmtId="0" fontId="7" fillId="23" borderId="26" xfId="0" applyFont="1" applyFill="1" applyBorder="1" applyAlignment="1">
      <alignment horizontal="center" vertical="center"/>
    </xf>
    <xf numFmtId="0" fontId="8" fillId="24" borderId="9" xfId="0" applyFont="1" applyFill="1" applyBorder="1" applyAlignment="1">
      <alignment horizontal="center" vertical="center"/>
    </xf>
    <xf numFmtId="0" fontId="7" fillId="23" borderId="24" xfId="0" applyFont="1" applyFill="1" applyBorder="1" applyAlignment="1">
      <alignment horizontal="center" vertical="center"/>
    </xf>
    <xf numFmtId="0" fontId="7" fillId="25" borderId="26" xfId="0" applyFont="1" applyFill="1" applyBorder="1" applyAlignment="1">
      <alignment horizontal="center" vertical="center"/>
    </xf>
    <xf numFmtId="0" fontId="8" fillId="26" borderId="9" xfId="0" applyFont="1" applyFill="1" applyBorder="1" applyAlignment="1">
      <alignment horizontal="center" vertical="center"/>
    </xf>
    <xf numFmtId="0" fontId="7" fillId="25" borderId="24" xfId="0" applyFont="1" applyFill="1" applyBorder="1" applyAlignment="1">
      <alignment horizontal="center" vertical="center"/>
    </xf>
    <xf numFmtId="0" fontId="8" fillId="26" borderId="6" xfId="0" applyFont="1" applyFill="1" applyBorder="1" applyAlignment="1">
      <alignment horizontal="center" vertical="center"/>
    </xf>
    <xf numFmtId="0" fontId="8" fillId="26" borderId="4" xfId="0" applyFont="1" applyFill="1" applyBorder="1" applyAlignment="1">
      <alignment horizontal="center" vertical="center"/>
    </xf>
    <xf numFmtId="0" fontId="7" fillId="25" borderId="25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/>
    </xf>
    <xf numFmtId="0" fontId="7" fillId="27" borderId="26" xfId="0" applyFont="1" applyFill="1" applyBorder="1" applyAlignment="1">
      <alignment horizontal="center" vertical="center"/>
    </xf>
    <xf numFmtId="0" fontId="8" fillId="28" borderId="9" xfId="0" applyFont="1" applyFill="1" applyBorder="1" applyAlignment="1">
      <alignment horizontal="center" vertical="center"/>
    </xf>
    <xf numFmtId="0" fontId="7" fillId="27" borderId="24" xfId="0" applyFont="1" applyFill="1" applyBorder="1" applyAlignment="1">
      <alignment horizontal="center" vertical="center"/>
    </xf>
    <xf numFmtId="0" fontId="7" fillId="27" borderId="25" xfId="0" applyFont="1" applyFill="1" applyBorder="1" applyAlignment="1">
      <alignment horizontal="center" vertical="center"/>
    </xf>
    <xf numFmtId="0" fontId="4" fillId="29" borderId="12" xfId="0" applyFont="1" applyFill="1" applyBorder="1" applyAlignment="1">
      <alignment horizontal="center" vertical="center"/>
    </xf>
    <xf numFmtId="0" fontId="7" fillId="29" borderId="23" xfId="0" applyFont="1" applyFill="1" applyBorder="1" applyAlignment="1">
      <alignment horizontal="center" vertical="center"/>
    </xf>
    <xf numFmtId="0" fontId="8" fillId="29" borderId="9" xfId="0" applyFont="1" applyFill="1" applyBorder="1" applyAlignment="1">
      <alignment horizontal="center" vertical="center"/>
    </xf>
    <xf numFmtId="164" fontId="0" fillId="5" borderId="0" xfId="0" applyNumberFormat="1" applyFill="1"/>
    <xf numFmtId="164" fontId="0" fillId="0" borderId="0" xfId="1" applyNumberFormat="1" applyFont="1"/>
    <xf numFmtId="0" fontId="8" fillId="0" borderId="6" xfId="0" applyFont="1" applyBorder="1" applyAlignment="1">
      <alignment horizontal="center" vertical="center"/>
    </xf>
    <xf numFmtId="0" fontId="9" fillId="5" borderId="34" xfId="2" applyFont="1" applyFill="1" applyBorder="1" applyAlignment="1">
      <alignment vertical="center"/>
    </xf>
    <xf numFmtId="0" fontId="9" fillId="5" borderId="37" xfId="2" applyFont="1" applyFill="1" applyBorder="1" applyAlignment="1">
      <alignment vertical="center"/>
    </xf>
    <xf numFmtId="0" fontId="0" fillId="0" borderId="19" xfId="0" applyBorder="1"/>
    <xf numFmtId="0" fontId="9" fillId="5" borderId="19" xfId="2" applyFont="1" applyFill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0" fontId="2" fillId="30" borderId="1" xfId="2" applyFill="1" applyAlignment="1">
      <alignment horizontal="center" vertical="center"/>
    </xf>
    <xf numFmtId="0" fontId="8" fillId="15" borderId="13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right" vertical="center"/>
    </xf>
    <xf numFmtId="0" fontId="8" fillId="11" borderId="9" xfId="0" applyFont="1" applyFill="1" applyBorder="1" applyAlignment="1">
      <alignment horizontal="right" vertical="center"/>
    </xf>
    <xf numFmtId="0" fontId="8" fillId="13" borderId="9" xfId="0" applyFont="1" applyFill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15" borderId="9" xfId="0" applyFont="1" applyFill="1" applyBorder="1" applyAlignment="1">
      <alignment horizontal="right" vertical="center"/>
    </xf>
    <xf numFmtId="0" fontId="8" fillId="15" borderId="6" xfId="0" applyFont="1" applyFill="1" applyBorder="1" applyAlignment="1">
      <alignment horizontal="right" vertical="center"/>
    </xf>
    <xf numFmtId="0" fontId="8" fillId="15" borderId="13" xfId="0" applyFont="1" applyFill="1" applyBorder="1" applyAlignment="1">
      <alignment horizontal="right" vertical="center"/>
    </xf>
    <xf numFmtId="0" fontId="8" fillId="17" borderId="9" xfId="0" applyFont="1" applyFill="1" applyBorder="1" applyAlignment="1">
      <alignment horizontal="right" vertical="center"/>
    </xf>
    <xf numFmtId="0" fontId="8" fillId="20" borderId="9" xfId="0" applyFont="1" applyFill="1" applyBorder="1" applyAlignment="1">
      <alignment horizontal="right" vertical="center"/>
    </xf>
    <xf numFmtId="0" fontId="8" fillId="22" borderId="9" xfId="0" applyFont="1" applyFill="1" applyBorder="1" applyAlignment="1">
      <alignment horizontal="right" vertical="center"/>
    </xf>
    <xf numFmtId="0" fontId="8" fillId="28" borderId="9" xfId="0" applyFont="1" applyFill="1" applyBorder="1" applyAlignment="1">
      <alignment horizontal="right" vertical="center"/>
    </xf>
    <xf numFmtId="0" fontId="8" fillId="29" borderId="9" xfId="0" applyFont="1" applyFill="1" applyBorder="1" applyAlignment="1">
      <alignment horizontal="right" vertical="center"/>
    </xf>
    <xf numFmtId="4" fontId="8" fillId="9" borderId="9" xfId="0" applyNumberFormat="1" applyFont="1" applyFill="1" applyBorder="1" applyAlignment="1">
      <alignment horizontal="right" vertical="center"/>
    </xf>
    <xf numFmtId="4" fontId="8" fillId="11" borderId="9" xfId="0" applyNumberFormat="1" applyFont="1" applyFill="1" applyBorder="1" applyAlignment="1">
      <alignment horizontal="right" vertical="center"/>
    </xf>
    <xf numFmtId="4" fontId="8" fillId="0" borderId="9" xfId="0" applyNumberFormat="1" applyFont="1" applyBorder="1" applyAlignment="1">
      <alignment horizontal="right" vertical="center"/>
    </xf>
    <xf numFmtId="4" fontId="8" fillId="20" borderId="9" xfId="0" applyNumberFormat="1" applyFont="1" applyFill="1" applyBorder="1" applyAlignment="1">
      <alignment horizontal="right" vertical="center"/>
    </xf>
    <xf numFmtId="4" fontId="8" fillId="22" borderId="9" xfId="0" applyNumberFormat="1" applyFont="1" applyFill="1" applyBorder="1" applyAlignment="1">
      <alignment horizontal="right" vertical="center"/>
    </xf>
    <xf numFmtId="4" fontId="8" fillId="24" borderId="9" xfId="0" applyNumberFormat="1" applyFont="1" applyFill="1" applyBorder="1" applyAlignment="1">
      <alignment horizontal="right" vertical="center"/>
    </xf>
    <xf numFmtId="4" fontId="8" fillId="26" borderId="9" xfId="0" applyNumberFormat="1" applyFont="1" applyFill="1" applyBorder="1" applyAlignment="1">
      <alignment horizontal="right" vertical="center"/>
    </xf>
    <xf numFmtId="166" fontId="0" fillId="5" borderId="0" xfId="1" applyNumberFormat="1" applyFont="1" applyFill="1"/>
    <xf numFmtId="166" fontId="6" fillId="4" borderId="14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43" fontId="8" fillId="9" borderId="9" xfId="1" applyFont="1" applyFill="1" applyBorder="1" applyAlignment="1">
      <alignment horizontal="right" vertical="center"/>
    </xf>
    <xf numFmtId="43" fontId="8" fillId="11" borderId="9" xfId="1" applyFont="1" applyFill="1" applyBorder="1" applyAlignment="1">
      <alignment horizontal="right" vertical="center"/>
    </xf>
    <xf numFmtId="43" fontId="8" fillId="13" borderId="9" xfId="1" applyFont="1" applyFill="1" applyBorder="1" applyAlignment="1">
      <alignment horizontal="right" vertical="center"/>
    </xf>
    <xf numFmtId="43" fontId="8" fillId="0" borderId="9" xfId="1" applyFont="1" applyBorder="1" applyAlignment="1">
      <alignment horizontal="right" vertical="center"/>
    </xf>
    <xf numFmtId="43" fontId="8" fillId="15" borderId="9" xfId="1" applyFont="1" applyFill="1" applyBorder="1" applyAlignment="1">
      <alignment horizontal="right" vertical="center"/>
    </xf>
    <xf numFmtId="43" fontId="8" fillId="15" borderId="6" xfId="1" applyFont="1" applyFill="1" applyBorder="1" applyAlignment="1">
      <alignment horizontal="right" vertical="center"/>
    </xf>
    <xf numFmtId="43" fontId="8" fillId="15" borderId="13" xfId="1" applyFont="1" applyFill="1" applyBorder="1" applyAlignment="1">
      <alignment horizontal="right" vertical="center"/>
    </xf>
    <xf numFmtId="43" fontId="8" fillId="17" borderId="9" xfId="1" applyFont="1" applyFill="1" applyBorder="1" applyAlignment="1">
      <alignment horizontal="right" vertical="center"/>
    </xf>
    <xf numFmtId="43" fontId="8" fillId="20" borderId="9" xfId="1" applyFont="1" applyFill="1" applyBorder="1" applyAlignment="1">
      <alignment horizontal="right" vertical="center"/>
    </xf>
    <xf numFmtId="43" fontId="8" fillId="22" borderId="9" xfId="1" applyFont="1" applyFill="1" applyBorder="1" applyAlignment="1">
      <alignment horizontal="right" vertical="center"/>
    </xf>
    <xf numFmtId="43" fontId="8" fillId="24" borderId="9" xfId="1" applyFont="1" applyFill="1" applyBorder="1" applyAlignment="1">
      <alignment horizontal="right" vertical="center"/>
    </xf>
    <xf numFmtId="43" fontId="8" fillId="26" borderId="9" xfId="1" applyFont="1" applyFill="1" applyBorder="1" applyAlignment="1">
      <alignment horizontal="right" vertical="center"/>
    </xf>
    <xf numFmtId="43" fontId="8" fillId="28" borderId="9" xfId="1" applyFont="1" applyFill="1" applyBorder="1" applyAlignment="1">
      <alignment horizontal="right" vertical="center"/>
    </xf>
    <xf numFmtId="43" fontId="8" fillId="29" borderId="9" xfId="1" applyFont="1" applyFill="1" applyBorder="1" applyAlignment="1">
      <alignment horizontal="right" vertical="center"/>
    </xf>
    <xf numFmtId="0" fontId="8" fillId="26" borderId="9" xfId="0" applyFont="1" applyFill="1" applyBorder="1" applyAlignment="1">
      <alignment horizontal="right" vertical="center"/>
    </xf>
    <xf numFmtId="0" fontId="8" fillId="9" borderId="13" xfId="0" applyFont="1" applyFill="1" applyBorder="1" applyAlignment="1">
      <alignment horizontal="center" vertical="center"/>
    </xf>
    <xf numFmtId="0" fontId="7" fillId="5" borderId="0" xfId="0" applyFont="1" applyFill="1"/>
    <xf numFmtId="43" fontId="7" fillId="8" borderId="42" xfId="1" applyFont="1" applyFill="1" applyBorder="1" applyAlignment="1">
      <alignment horizontal="center" vertical="center"/>
    </xf>
    <xf numFmtId="43" fontId="7" fillId="8" borderId="43" xfId="1" applyFont="1" applyFill="1" applyBorder="1" applyAlignment="1">
      <alignment horizontal="center" vertical="center"/>
    </xf>
    <xf numFmtId="43" fontId="7" fillId="8" borderId="44" xfId="1" applyFont="1" applyFill="1" applyBorder="1" applyAlignment="1">
      <alignment horizontal="center" vertical="center"/>
    </xf>
    <xf numFmtId="43" fontId="7" fillId="10" borderId="42" xfId="1" applyFont="1" applyFill="1" applyBorder="1" applyAlignment="1">
      <alignment horizontal="center" vertical="center"/>
    </xf>
    <xf numFmtId="43" fontId="7" fillId="10" borderId="43" xfId="1" applyFont="1" applyFill="1" applyBorder="1" applyAlignment="1">
      <alignment horizontal="center" vertical="center"/>
    </xf>
    <xf numFmtId="43" fontId="7" fillId="10" borderId="45" xfId="1" applyFont="1" applyFill="1" applyBorder="1" applyAlignment="1">
      <alignment horizontal="center" vertical="center"/>
    </xf>
    <xf numFmtId="43" fontId="7" fillId="12" borderId="46" xfId="1" applyFont="1" applyFill="1" applyBorder="1" applyAlignment="1">
      <alignment horizontal="center" vertical="center"/>
    </xf>
    <xf numFmtId="43" fontId="7" fillId="0" borderId="42" xfId="1" applyFont="1" applyFill="1" applyBorder="1" applyAlignment="1">
      <alignment horizontal="center" vertical="center"/>
    </xf>
    <xf numFmtId="43" fontId="7" fillId="0" borderId="43" xfId="1" applyFont="1" applyFill="1" applyBorder="1" applyAlignment="1">
      <alignment horizontal="center" vertical="center"/>
    </xf>
    <xf numFmtId="43" fontId="7" fillId="0" borderId="45" xfId="1" applyFont="1" applyFill="1" applyBorder="1" applyAlignment="1">
      <alignment horizontal="center" vertical="center"/>
    </xf>
    <xf numFmtId="43" fontId="7" fillId="14" borderId="42" xfId="1" applyFont="1" applyFill="1" applyBorder="1" applyAlignment="1">
      <alignment horizontal="center" vertical="center"/>
    </xf>
    <xf numFmtId="43" fontId="7" fillId="14" borderId="45" xfId="1" applyFont="1" applyFill="1" applyBorder="1" applyAlignment="1">
      <alignment horizontal="center" vertical="center"/>
    </xf>
    <xf numFmtId="43" fontId="7" fillId="14" borderId="47" xfId="1" applyFont="1" applyFill="1" applyBorder="1" applyAlignment="1">
      <alignment horizontal="center" vertical="center"/>
    </xf>
    <xf numFmtId="43" fontId="7" fillId="14" borderId="46" xfId="1" applyFont="1" applyFill="1" applyBorder="1" applyAlignment="1">
      <alignment horizontal="center" vertical="center"/>
    </xf>
    <xf numFmtId="43" fontId="7" fillId="16" borderId="42" xfId="1" applyFont="1" applyFill="1" applyBorder="1" applyAlignment="1">
      <alignment horizontal="center" vertical="center"/>
    </xf>
    <xf numFmtId="43" fontId="7" fillId="16" borderId="43" xfId="1" applyFont="1" applyFill="1" applyBorder="1" applyAlignment="1">
      <alignment horizontal="center" vertical="center"/>
    </xf>
    <xf numFmtId="43" fontId="7" fillId="16" borderId="45" xfId="1" applyFont="1" applyFill="1" applyBorder="1" applyAlignment="1">
      <alignment horizontal="center" vertical="center"/>
    </xf>
    <xf numFmtId="43" fontId="7" fillId="19" borderId="42" xfId="1" applyFont="1" applyFill="1" applyBorder="1" applyAlignment="1">
      <alignment horizontal="center" vertical="center"/>
    </xf>
    <xf numFmtId="43" fontId="7" fillId="19" borderId="45" xfId="1" applyFont="1" applyFill="1" applyBorder="1" applyAlignment="1">
      <alignment horizontal="center" vertical="center"/>
    </xf>
    <xf numFmtId="43" fontId="7" fillId="21" borderId="42" xfId="1" applyFont="1" applyFill="1" applyBorder="1" applyAlignment="1">
      <alignment horizontal="center" vertical="center"/>
    </xf>
    <xf numFmtId="43" fontId="7" fillId="21" borderId="43" xfId="1" applyFont="1" applyFill="1" applyBorder="1" applyAlignment="1">
      <alignment horizontal="center" vertical="center"/>
    </xf>
    <xf numFmtId="43" fontId="7" fillId="21" borderId="45" xfId="1" applyFont="1" applyFill="1" applyBorder="1" applyAlignment="1">
      <alignment horizontal="center" vertical="center"/>
    </xf>
    <xf numFmtId="0" fontId="7" fillId="23" borderId="42" xfId="0" applyFont="1" applyFill="1" applyBorder="1" applyAlignment="1">
      <alignment horizontal="center" vertical="center"/>
    </xf>
    <xf numFmtId="0" fontId="7" fillId="23" borderId="43" xfId="0" applyFont="1" applyFill="1" applyBorder="1" applyAlignment="1">
      <alignment horizontal="center" vertical="center"/>
    </xf>
    <xf numFmtId="43" fontId="7" fillId="25" borderId="42" xfId="1" applyFont="1" applyFill="1" applyBorder="1" applyAlignment="1">
      <alignment horizontal="center" vertical="center"/>
    </xf>
    <xf numFmtId="43" fontId="7" fillId="25" borderId="43" xfId="1" applyFont="1" applyFill="1" applyBorder="1" applyAlignment="1">
      <alignment horizontal="center" vertical="center"/>
    </xf>
    <xf numFmtId="43" fontId="7" fillId="25" borderId="45" xfId="1" applyFont="1" applyFill="1" applyBorder="1" applyAlignment="1">
      <alignment horizontal="center" vertical="center"/>
    </xf>
    <xf numFmtId="43" fontId="7" fillId="27" borderId="42" xfId="1" applyFont="1" applyFill="1" applyBorder="1" applyAlignment="1">
      <alignment horizontal="center" vertical="center"/>
    </xf>
    <xf numFmtId="43" fontId="7" fillId="27" borderId="43" xfId="1" applyFont="1" applyFill="1" applyBorder="1" applyAlignment="1">
      <alignment horizontal="center" vertical="center"/>
    </xf>
    <xf numFmtId="43" fontId="7" fillId="27" borderId="45" xfId="1" applyFont="1" applyFill="1" applyBorder="1" applyAlignment="1">
      <alignment horizontal="center" vertical="center"/>
    </xf>
    <xf numFmtId="43" fontId="7" fillId="29" borderId="46" xfId="1" applyFont="1" applyFill="1" applyBorder="1" applyAlignment="1">
      <alignment horizontal="center" vertical="center"/>
    </xf>
    <xf numFmtId="164" fontId="7" fillId="8" borderId="48" xfId="1" applyNumberFormat="1" applyFont="1" applyFill="1" applyBorder="1" applyAlignment="1">
      <alignment horizontal="right" vertical="center"/>
    </xf>
    <xf numFmtId="164" fontId="7" fillId="8" borderId="19" xfId="1" applyNumberFormat="1" applyFont="1" applyFill="1" applyBorder="1" applyAlignment="1">
      <alignment horizontal="right" vertical="center"/>
    </xf>
    <xf numFmtId="164" fontId="7" fillId="8" borderId="49" xfId="1" applyNumberFormat="1" applyFont="1" applyFill="1" applyBorder="1" applyAlignment="1">
      <alignment horizontal="right" vertical="center"/>
    </xf>
    <xf numFmtId="164" fontId="7" fillId="10" borderId="48" xfId="1" applyNumberFormat="1" applyFont="1" applyFill="1" applyBorder="1" applyAlignment="1">
      <alignment horizontal="right" vertical="center"/>
    </xf>
    <xf numFmtId="164" fontId="7" fillId="10" borderId="19" xfId="1" applyNumberFormat="1" applyFont="1" applyFill="1" applyBorder="1" applyAlignment="1">
      <alignment horizontal="right" vertical="center"/>
    </xf>
    <xf numFmtId="164" fontId="7" fillId="10" borderId="50" xfId="1" applyNumberFormat="1" applyFont="1" applyFill="1" applyBorder="1" applyAlignment="1">
      <alignment horizontal="right" vertical="center"/>
    </xf>
    <xf numFmtId="164" fontId="7" fillId="12" borderId="51" xfId="1" applyNumberFormat="1" applyFont="1" applyFill="1" applyBorder="1" applyAlignment="1">
      <alignment horizontal="right" vertical="center"/>
    </xf>
    <xf numFmtId="164" fontId="7" fillId="0" borderId="48" xfId="1" applyNumberFormat="1" applyFont="1" applyFill="1" applyBorder="1" applyAlignment="1">
      <alignment horizontal="right" vertical="center"/>
    </xf>
    <xf numFmtId="164" fontId="7" fillId="0" borderId="19" xfId="1" applyNumberFormat="1" applyFont="1" applyFill="1" applyBorder="1" applyAlignment="1">
      <alignment horizontal="right" vertical="center"/>
    </xf>
    <xf numFmtId="164" fontId="7" fillId="0" borderId="50" xfId="1" applyNumberFormat="1" applyFont="1" applyFill="1" applyBorder="1" applyAlignment="1">
      <alignment horizontal="right" vertical="center"/>
    </xf>
    <xf numFmtId="164" fontId="7" fillId="14" borderId="48" xfId="1" applyNumberFormat="1" applyFont="1" applyFill="1" applyBorder="1" applyAlignment="1">
      <alignment horizontal="right" vertical="center"/>
    </xf>
    <xf numFmtId="164" fontId="7" fillId="14" borderId="50" xfId="1" applyNumberFormat="1" applyFont="1" applyFill="1" applyBorder="1" applyAlignment="1">
      <alignment horizontal="right" vertical="center"/>
    </xf>
    <xf numFmtId="164" fontId="7" fillId="14" borderId="52" xfId="1" applyNumberFormat="1" applyFont="1" applyFill="1" applyBorder="1" applyAlignment="1">
      <alignment horizontal="right" vertical="center"/>
    </xf>
    <xf numFmtId="164" fontId="7" fillId="14" borderId="51" xfId="1" applyNumberFormat="1" applyFont="1" applyFill="1" applyBorder="1" applyAlignment="1">
      <alignment horizontal="right" vertical="center"/>
    </xf>
    <xf numFmtId="164" fontId="7" fillId="16" borderId="48" xfId="1" applyNumberFormat="1" applyFont="1" applyFill="1" applyBorder="1" applyAlignment="1">
      <alignment horizontal="right" vertical="center"/>
    </xf>
    <xf numFmtId="164" fontId="7" fillId="16" borderId="19" xfId="1" applyNumberFormat="1" applyFont="1" applyFill="1" applyBorder="1" applyAlignment="1">
      <alignment horizontal="right" vertical="center"/>
    </xf>
    <xf numFmtId="164" fontId="7" fillId="16" borderId="50" xfId="1" applyNumberFormat="1" applyFont="1" applyFill="1" applyBorder="1" applyAlignment="1">
      <alignment horizontal="right" vertical="center"/>
    </xf>
    <xf numFmtId="164" fontId="7" fillId="19" borderId="48" xfId="1" applyNumberFormat="1" applyFont="1" applyFill="1" applyBorder="1" applyAlignment="1">
      <alignment horizontal="right" vertical="center"/>
    </xf>
    <xf numFmtId="164" fontId="7" fillId="19" borderId="50" xfId="1" applyNumberFormat="1" applyFont="1" applyFill="1" applyBorder="1" applyAlignment="1">
      <alignment horizontal="right" vertical="center"/>
    </xf>
    <xf numFmtId="164" fontId="7" fillId="21" borderId="48" xfId="1" applyNumberFormat="1" applyFont="1" applyFill="1" applyBorder="1" applyAlignment="1">
      <alignment horizontal="right" vertical="center"/>
    </xf>
    <xf numFmtId="164" fontId="7" fillId="21" borderId="19" xfId="1" applyNumberFormat="1" applyFont="1" applyFill="1" applyBorder="1" applyAlignment="1">
      <alignment horizontal="right" vertical="center"/>
    </xf>
    <xf numFmtId="164" fontId="7" fillId="21" borderId="50" xfId="1" applyNumberFormat="1" applyFont="1" applyFill="1" applyBorder="1" applyAlignment="1">
      <alignment horizontal="right" vertical="center"/>
    </xf>
    <xf numFmtId="164" fontId="7" fillId="23" borderId="48" xfId="1" applyNumberFormat="1" applyFont="1" applyFill="1" applyBorder="1" applyAlignment="1">
      <alignment horizontal="right" vertical="center"/>
    </xf>
    <xf numFmtId="164" fontId="7" fillId="23" borderId="19" xfId="1" applyNumberFormat="1" applyFont="1" applyFill="1" applyBorder="1" applyAlignment="1">
      <alignment horizontal="right" vertical="center"/>
    </xf>
    <xf numFmtId="164" fontId="7" fillId="25" borderId="48" xfId="1" applyNumberFormat="1" applyFont="1" applyFill="1" applyBorder="1" applyAlignment="1">
      <alignment horizontal="right" vertical="center"/>
    </xf>
    <xf numFmtId="164" fontId="7" fillId="25" borderId="19" xfId="1" applyNumberFormat="1" applyFont="1" applyFill="1" applyBorder="1" applyAlignment="1">
      <alignment horizontal="right" vertical="center"/>
    </xf>
    <xf numFmtId="164" fontId="7" fillId="25" borderId="50" xfId="1" applyNumberFormat="1" applyFont="1" applyFill="1" applyBorder="1" applyAlignment="1">
      <alignment horizontal="right" vertical="center"/>
    </xf>
    <xf numFmtId="164" fontId="7" fillId="27" borderId="48" xfId="1" applyNumberFormat="1" applyFont="1" applyFill="1" applyBorder="1" applyAlignment="1">
      <alignment horizontal="right" vertical="center"/>
    </xf>
    <xf numFmtId="164" fontId="7" fillId="27" borderId="19" xfId="1" applyNumberFormat="1" applyFont="1" applyFill="1" applyBorder="1" applyAlignment="1">
      <alignment horizontal="right" vertical="center"/>
    </xf>
    <xf numFmtId="164" fontId="7" fillId="27" borderId="50" xfId="1" applyNumberFormat="1" applyFont="1" applyFill="1" applyBorder="1" applyAlignment="1">
      <alignment horizontal="right" vertical="center"/>
    </xf>
    <xf numFmtId="164" fontId="7" fillId="29" borderId="51" xfId="1" applyNumberFormat="1" applyFont="1" applyFill="1" applyBorder="1" applyAlignment="1">
      <alignment horizontal="right" vertical="center"/>
    </xf>
    <xf numFmtId="0" fontId="4" fillId="31" borderId="53" xfId="0" applyFont="1" applyFill="1" applyBorder="1" applyAlignment="1">
      <alignment horizontal="center" vertical="center"/>
    </xf>
    <xf numFmtId="0" fontId="7" fillId="31" borderId="51" xfId="0" applyFont="1" applyFill="1" applyBorder="1" applyAlignment="1">
      <alignment horizontal="center" vertical="center"/>
    </xf>
    <xf numFmtId="0" fontId="2" fillId="0" borderId="0" xfId="2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0" fontId="2" fillId="30" borderId="19" xfId="2" applyFill="1" applyBorder="1" applyAlignment="1">
      <alignment vertical="center"/>
    </xf>
    <xf numFmtId="0" fontId="4" fillId="4" borderId="14" xfId="0" applyFont="1" applyFill="1" applyBorder="1" applyAlignment="1">
      <alignment horizontal="center" vertical="center" wrapText="1"/>
    </xf>
    <xf numFmtId="0" fontId="2" fillId="30" borderId="19" xfId="2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8" fillId="20" borderId="20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8" fillId="20" borderId="17" xfId="0" applyFont="1" applyFill="1" applyBorder="1" applyAlignment="1">
      <alignment horizontal="center" vertical="center"/>
    </xf>
    <xf numFmtId="0" fontId="8" fillId="20" borderId="6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33" borderId="0" xfId="0" applyFill="1"/>
    <xf numFmtId="0" fontId="2" fillId="34" borderId="54" xfId="0" applyFont="1" applyFill="1" applyBorder="1"/>
    <xf numFmtId="0" fontId="2" fillId="34" borderId="55" xfId="0" applyFont="1" applyFill="1" applyBorder="1"/>
    <xf numFmtId="0" fontId="0" fillId="35" borderId="0" xfId="0" applyFill="1"/>
    <xf numFmtId="9" fontId="0" fillId="0" borderId="56" xfId="3" applyFont="1" applyBorder="1" applyAlignment="1"/>
    <xf numFmtId="9" fontId="0" fillId="0" borderId="0" xfId="3" applyFont="1" applyBorder="1" applyAlignment="1"/>
    <xf numFmtId="0" fontId="8" fillId="32" borderId="13" xfId="0" applyFon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7" fontId="0" fillId="5" borderId="0" xfId="0" applyNumberFormat="1" applyFill="1"/>
    <xf numFmtId="167" fontId="2" fillId="30" borderId="19" xfId="2" applyNumberFormat="1" applyFill="1" applyBorder="1" applyAlignment="1">
      <alignment horizontal="center" vertical="center"/>
    </xf>
    <xf numFmtId="167" fontId="0" fillId="0" borderId="19" xfId="0" applyNumberFormat="1" applyBorder="1" applyAlignment="1">
      <alignment horizontal="center" vertical="center"/>
    </xf>
    <xf numFmtId="167" fontId="0" fillId="0" borderId="0" xfId="0" applyNumberFormat="1"/>
    <xf numFmtId="0" fontId="8" fillId="36" borderId="9" xfId="0" applyFont="1" applyFill="1" applyBorder="1" applyAlignment="1">
      <alignment horizontal="center" vertical="center"/>
    </xf>
    <xf numFmtId="0" fontId="11" fillId="35" borderId="0" xfId="0" applyFont="1" applyFill="1"/>
    <xf numFmtId="43" fontId="0" fillId="0" borderId="56" xfId="1" applyFont="1" applyBorder="1" applyAlignment="1"/>
    <xf numFmtId="0" fontId="8" fillId="38" borderId="9" xfId="0" applyFont="1" applyFill="1" applyBorder="1" applyAlignment="1">
      <alignment horizontal="center" vertical="center"/>
    </xf>
    <xf numFmtId="0" fontId="13" fillId="31" borderId="5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8" fillId="32" borderId="13" xfId="0" applyFont="1" applyFill="1" applyBorder="1" applyAlignment="1">
      <alignment horizontal="right" vertical="center"/>
    </xf>
    <xf numFmtId="0" fontId="8" fillId="26" borderId="13" xfId="0" applyFont="1" applyFill="1" applyBorder="1" applyAlignment="1">
      <alignment horizontal="right" vertical="center"/>
    </xf>
    <xf numFmtId="0" fontId="8" fillId="38" borderId="9" xfId="0" applyFont="1" applyFill="1" applyBorder="1" applyAlignment="1">
      <alignment horizontal="right" vertical="center"/>
    </xf>
    <xf numFmtId="164" fontId="0" fillId="0" borderId="0" xfId="0" applyNumberFormat="1"/>
    <xf numFmtId="43" fontId="0" fillId="0" borderId="0" xfId="0" applyNumberFormat="1"/>
    <xf numFmtId="0" fontId="8" fillId="20" borderId="6" xfId="0" applyFont="1" applyFill="1" applyBorder="1" applyAlignment="1">
      <alignment horizontal="right" vertical="center"/>
    </xf>
    <xf numFmtId="4" fontId="8" fillId="32" borderId="13" xfId="0" applyNumberFormat="1" applyFont="1" applyFill="1" applyBorder="1" applyAlignment="1">
      <alignment horizontal="right" vertical="center"/>
    </xf>
    <xf numFmtId="4" fontId="8" fillId="36" borderId="9" xfId="0" applyNumberFormat="1" applyFont="1" applyFill="1" applyBorder="1" applyAlignment="1">
      <alignment horizontal="right" vertical="center"/>
    </xf>
    <xf numFmtId="3" fontId="8" fillId="26" borderId="9" xfId="0" applyNumberFormat="1" applyFont="1" applyFill="1" applyBorder="1" applyAlignment="1">
      <alignment horizontal="right" vertical="center"/>
    </xf>
    <xf numFmtId="3" fontId="8" fillId="0" borderId="9" xfId="0" applyNumberFormat="1" applyFont="1" applyBorder="1" applyAlignment="1">
      <alignment horizontal="right" vertical="center"/>
    </xf>
    <xf numFmtId="3" fontId="8" fillId="9" borderId="9" xfId="0" applyNumberFormat="1" applyFont="1" applyFill="1" applyBorder="1" applyAlignment="1">
      <alignment horizontal="right" vertical="center"/>
    </xf>
    <xf numFmtId="3" fontId="8" fillId="36" borderId="9" xfId="0" applyNumberFormat="1" applyFont="1" applyFill="1" applyBorder="1" applyAlignment="1">
      <alignment horizontal="right" vertical="center"/>
    </xf>
    <xf numFmtId="2" fontId="8" fillId="38" borderId="9" xfId="0" applyNumberFormat="1" applyFont="1" applyFill="1" applyBorder="1" applyAlignment="1">
      <alignment horizontal="right" vertical="center"/>
    </xf>
    <xf numFmtId="0" fontId="15" fillId="39" borderId="9" xfId="0" applyFont="1" applyFill="1" applyBorder="1" applyAlignment="1">
      <alignment horizontal="center" vertical="center"/>
    </xf>
    <xf numFmtId="0" fontId="14" fillId="39" borderId="9" xfId="0" applyFont="1" applyFill="1" applyBorder="1" applyAlignment="1">
      <alignment horizontal="center" vertical="center"/>
    </xf>
    <xf numFmtId="0" fontId="15" fillId="39" borderId="9" xfId="0" applyFont="1" applyFill="1" applyBorder="1" applyAlignment="1">
      <alignment horizontal="right" vertical="center"/>
    </xf>
    <xf numFmtId="0" fontId="15" fillId="40" borderId="9" xfId="0" applyFont="1" applyFill="1" applyBorder="1" applyAlignment="1">
      <alignment horizontal="center" vertical="center"/>
    </xf>
    <xf numFmtId="0" fontId="14" fillId="40" borderId="9" xfId="0" applyFont="1" applyFill="1" applyBorder="1" applyAlignment="1">
      <alignment horizontal="center" vertical="center"/>
    </xf>
    <xf numFmtId="0" fontId="15" fillId="40" borderId="9" xfId="0" applyFont="1" applyFill="1" applyBorder="1" applyAlignment="1">
      <alignment horizontal="right" vertical="center"/>
    </xf>
    <xf numFmtId="0" fontId="15" fillId="40" borderId="9" xfId="0" applyFont="1" applyFill="1" applyBorder="1" applyAlignment="1">
      <alignment vertical="center"/>
    </xf>
    <xf numFmtId="0" fontId="15" fillId="13" borderId="9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right" vertical="center"/>
    </xf>
    <xf numFmtId="0" fontId="15" fillId="13" borderId="9" xfId="0" applyFont="1" applyFill="1" applyBorder="1" applyAlignment="1">
      <alignment vertical="center"/>
    </xf>
    <xf numFmtId="0" fontId="14" fillId="20" borderId="20" xfId="0" applyFont="1" applyFill="1" applyBorder="1" applyAlignment="1">
      <alignment horizontal="center" vertical="center"/>
    </xf>
    <xf numFmtId="0" fontId="15" fillId="20" borderId="9" xfId="0" applyFont="1" applyFill="1" applyBorder="1" applyAlignment="1">
      <alignment horizontal="center" vertical="center"/>
    </xf>
    <xf numFmtId="0" fontId="14" fillId="20" borderId="9" xfId="0" applyFont="1" applyFill="1" applyBorder="1" applyAlignment="1">
      <alignment horizontal="center" vertical="center"/>
    </xf>
    <xf numFmtId="0" fontId="15" fillId="20" borderId="9" xfId="0" applyFont="1" applyFill="1" applyBorder="1" applyAlignment="1">
      <alignment horizontal="right" vertical="center"/>
    </xf>
    <xf numFmtId="0" fontId="15" fillId="20" borderId="9" xfId="0" applyFont="1" applyFill="1" applyBorder="1" applyAlignment="1">
      <alignment vertical="center"/>
    </xf>
    <xf numFmtId="0" fontId="15" fillId="36" borderId="9" xfId="0" applyFont="1" applyFill="1" applyBorder="1" applyAlignment="1">
      <alignment horizontal="center" vertical="center"/>
    </xf>
    <xf numFmtId="0" fontId="14" fillId="36" borderId="9" xfId="0" applyFont="1" applyFill="1" applyBorder="1" applyAlignment="1">
      <alignment horizontal="center" vertical="center"/>
    </xf>
    <xf numFmtId="0" fontId="15" fillId="36" borderId="9" xfId="0" applyFont="1" applyFill="1" applyBorder="1" applyAlignment="1">
      <alignment horizontal="right" vertical="center"/>
    </xf>
    <xf numFmtId="0" fontId="15" fillId="36" borderId="9" xfId="0" applyFont="1" applyFill="1" applyBorder="1" applyAlignment="1">
      <alignment vertical="center"/>
    </xf>
    <xf numFmtId="0" fontId="14" fillId="40" borderId="9" xfId="0" applyFont="1" applyFill="1" applyBorder="1" applyAlignment="1">
      <alignment vertical="center"/>
    </xf>
    <xf numFmtId="0" fontId="14" fillId="13" borderId="9" xfId="0" applyFont="1" applyFill="1" applyBorder="1" applyAlignment="1">
      <alignment vertical="center"/>
    </xf>
    <xf numFmtId="4" fontId="14" fillId="20" borderId="9" xfId="0" applyNumberFormat="1" applyFont="1" applyFill="1" applyBorder="1" applyAlignment="1">
      <alignment vertical="center"/>
    </xf>
    <xf numFmtId="0" fontId="18" fillId="39" borderId="9" xfId="0" applyFont="1" applyFill="1" applyBorder="1" applyAlignment="1">
      <alignment horizontal="center" vertical="center"/>
    </xf>
    <xf numFmtId="0" fontId="17" fillId="39" borderId="9" xfId="0" applyFont="1" applyFill="1" applyBorder="1" applyAlignment="1">
      <alignment horizontal="center" vertical="center"/>
    </xf>
    <xf numFmtId="0" fontId="14" fillId="20" borderId="12" xfId="0" applyFont="1" applyFill="1" applyBorder="1" applyAlignment="1">
      <alignment horizontal="center" vertical="center"/>
    </xf>
    <xf numFmtId="0" fontId="17" fillId="36" borderId="9" xfId="0" applyFont="1" applyFill="1" applyBorder="1" applyAlignment="1">
      <alignment horizontal="center" vertical="center"/>
    </xf>
    <xf numFmtId="0" fontId="18" fillId="36" borderId="9" xfId="0" applyFont="1" applyFill="1" applyBorder="1" applyAlignment="1">
      <alignment horizontal="center" vertical="center"/>
    </xf>
    <xf numFmtId="0" fontId="18" fillId="40" borderId="9" xfId="0" applyFont="1" applyFill="1" applyBorder="1" applyAlignment="1">
      <alignment horizontal="center" vertical="center"/>
    </xf>
    <xf numFmtId="0" fontId="17" fillId="39" borderId="9" xfId="0" applyFont="1" applyFill="1" applyBorder="1" applyAlignment="1">
      <alignment vertical="center"/>
    </xf>
    <xf numFmtId="0" fontId="18" fillId="39" borderId="9" xfId="0" applyFont="1" applyFill="1" applyBorder="1" applyAlignment="1">
      <alignment vertical="center"/>
    </xf>
    <xf numFmtId="0" fontId="18" fillId="40" borderId="9" xfId="0" applyFont="1" applyFill="1" applyBorder="1" applyAlignment="1">
      <alignment vertical="center"/>
    </xf>
    <xf numFmtId="0" fontId="18" fillId="36" borderId="9" xfId="0" applyFont="1" applyFill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4" fillId="20" borderId="9" xfId="0" applyFont="1" applyFill="1" applyBorder="1" applyAlignment="1">
      <alignment horizontal="right" vertical="center"/>
    </xf>
    <xf numFmtId="43" fontId="15" fillId="20" borderId="9" xfId="1" applyFont="1" applyFill="1" applyBorder="1" applyAlignment="1">
      <alignment vertical="center"/>
    </xf>
    <xf numFmtId="0" fontId="14" fillId="36" borderId="9" xfId="0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13" borderId="12" xfId="0" applyFont="1" applyFill="1" applyBorder="1" applyAlignment="1">
      <alignment horizontal="center" vertical="center"/>
    </xf>
    <xf numFmtId="0" fontId="14" fillId="40" borderId="12" xfId="0" applyFont="1" applyFill="1" applyBorder="1" applyAlignment="1">
      <alignment horizontal="center" vertical="center"/>
    </xf>
    <xf numFmtId="0" fontId="14" fillId="40" borderId="20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vertical="center"/>
    </xf>
    <xf numFmtId="4" fontId="15" fillId="11" borderId="9" xfId="0" applyNumberFormat="1" applyFont="1" applyFill="1" applyBorder="1" applyAlignment="1">
      <alignment horizontal="right" vertical="center"/>
    </xf>
    <xf numFmtId="0" fontId="15" fillId="11" borderId="9" xfId="0" applyFont="1" applyFill="1" applyBorder="1" applyAlignment="1">
      <alignment horizontal="right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2" fillId="30" borderId="57" xfId="2" applyFill="1" applyBorder="1" applyAlignment="1">
      <alignment horizontal="center" vertical="center"/>
    </xf>
    <xf numFmtId="0" fontId="2" fillId="30" borderId="58" xfId="2" applyFill="1" applyBorder="1" applyAlignment="1">
      <alignment horizontal="center" vertical="center"/>
    </xf>
    <xf numFmtId="0" fontId="2" fillId="30" borderId="59" xfId="2" applyFill="1" applyBorder="1" applyAlignment="1">
      <alignment horizontal="center" vertical="center"/>
    </xf>
    <xf numFmtId="0" fontId="2" fillId="30" borderId="60" xfId="2" applyFill="1" applyBorder="1" applyAlignment="1">
      <alignment horizontal="center" vertical="center"/>
    </xf>
    <xf numFmtId="0" fontId="2" fillId="30" borderId="61" xfId="2" applyFill="1" applyBorder="1" applyAlignment="1">
      <alignment horizontal="center" vertical="center"/>
    </xf>
    <xf numFmtId="0" fontId="2" fillId="30" borderId="21" xfId="2" applyFill="1" applyBorder="1" applyAlignment="1">
      <alignment horizontal="center" vertical="center"/>
    </xf>
    <xf numFmtId="0" fontId="14" fillId="36" borderId="15" xfId="0" applyFont="1" applyFill="1" applyBorder="1" applyAlignment="1">
      <alignment horizontal="center" vertical="center"/>
    </xf>
    <xf numFmtId="0" fontId="14" fillId="36" borderId="17" xfId="0" applyFont="1" applyFill="1" applyBorder="1" applyAlignment="1">
      <alignment horizontal="center" vertical="center"/>
    </xf>
    <xf numFmtId="0" fontId="14" fillId="36" borderId="20" xfId="0" applyFont="1" applyFill="1" applyBorder="1" applyAlignment="1">
      <alignment horizontal="center" vertical="center"/>
    </xf>
    <xf numFmtId="0" fontId="14" fillId="39" borderId="15" xfId="0" applyFont="1" applyFill="1" applyBorder="1" applyAlignment="1">
      <alignment horizontal="center" vertical="center"/>
    </xf>
    <xf numFmtId="0" fontId="14" fillId="39" borderId="2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165" fontId="9" fillId="5" borderId="10" xfId="2" applyNumberFormat="1" applyFont="1" applyFill="1" applyBorder="1" applyAlignment="1">
      <alignment horizontal="center" vertical="center"/>
    </xf>
    <xf numFmtId="165" fontId="9" fillId="5" borderId="11" xfId="2" applyNumberFormat="1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center" vertical="center"/>
    </xf>
    <xf numFmtId="0" fontId="4" fillId="27" borderId="17" xfId="0" applyFont="1" applyFill="1" applyBorder="1" applyAlignment="1">
      <alignment horizontal="center" vertical="center"/>
    </xf>
    <xf numFmtId="0" fontId="4" fillId="27" borderId="20" xfId="0" applyFont="1" applyFill="1" applyBorder="1" applyAlignment="1">
      <alignment horizontal="center" vertical="center"/>
    </xf>
    <xf numFmtId="0" fontId="4" fillId="21" borderId="32" xfId="0" applyFont="1" applyFill="1" applyBorder="1" applyAlignment="1">
      <alignment horizontal="center" vertical="center"/>
    </xf>
    <xf numFmtId="0" fontId="4" fillId="21" borderId="20" xfId="0" applyFont="1" applyFill="1" applyBorder="1" applyAlignment="1">
      <alignment horizontal="center" vertical="center"/>
    </xf>
    <xf numFmtId="0" fontId="4" fillId="25" borderId="15" xfId="0" applyFont="1" applyFill="1" applyBorder="1" applyAlignment="1">
      <alignment horizontal="center" vertical="center"/>
    </xf>
    <xf numFmtId="0" fontId="4" fillId="25" borderId="17" xfId="0" applyFont="1" applyFill="1" applyBorder="1" applyAlignment="1">
      <alignment horizontal="center" vertical="center"/>
    </xf>
    <xf numFmtId="0" fontId="4" fillId="25" borderId="20" xfId="0" applyFont="1" applyFill="1" applyBorder="1" applyAlignment="1">
      <alignment horizontal="center" vertical="center"/>
    </xf>
    <xf numFmtId="0" fontId="4" fillId="23" borderId="15" xfId="0" applyFont="1" applyFill="1" applyBorder="1" applyAlignment="1">
      <alignment horizontal="center" vertical="center"/>
    </xf>
    <xf numFmtId="0" fontId="4" fillId="23" borderId="17" xfId="0" applyFont="1" applyFill="1" applyBorder="1" applyAlignment="1">
      <alignment horizontal="center" vertical="center"/>
    </xf>
    <xf numFmtId="0" fontId="4" fillId="23" borderId="20" xfId="0" applyFont="1" applyFill="1" applyBorder="1" applyAlignment="1">
      <alignment horizontal="center" vertical="center"/>
    </xf>
    <xf numFmtId="0" fontId="4" fillId="21" borderId="30" xfId="0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18" borderId="33" xfId="0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" fillId="30" borderId="38" xfId="2" applyFill="1" applyBorder="1" applyAlignment="1">
      <alignment horizontal="center" vertical="center"/>
    </xf>
    <xf numFmtId="0" fontId="2" fillId="30" borderId="40" xfId="2" applyFill="1" applyBorder="1" applyAlignment="1">
      <alignment horizontal="center" vertical="center"/>
    </xf>
    <xf numFmtId="0" fontId="2" fillId="30" borderId="39" xfId="2" applyFill="1" applyBorder="1" applyAlignment="1">
      <alignment horizontal="center" vertical="center"/>
    </xf>
    <xf numFmtId="0" fontId="2" fillId="30" borderId="35" xfId="2" applyFill="1" applyBorder="1" applyAlignment="1">
      <alignment horizontal="center" vertical="center"/>
    </xf>
    <xf numFmtId="0" fontId="2" fillId="30" borderId="41" xfId="2" applyFill="1" applyBorder="1" applyAlignment="1">
      <alignment horizontal="center" vertical="center"/>
    </xf>
    <xf numFmtId="0" fontId="2" fillId="30" borderId="36" xfId="2" applyFill="1" applyBorder="1" applyAlignment="1">
      <alignment horizontal="center" vertical="center"/>
    </xf>
    <xf numFmtId="0" fontId="2" fillId="30" borderId="10" xfId="2" applyFill="1" applyBorder="1" applyAlignment="1">
      <alignment horizontal="center" vertical="center"/>
    </xf>
    <xf numFmtId="0" fontId="2" fillId="30" borderId="11" xfId="2" applyFill="1" applyBorder="1" applyAlignment="1">
      <alignment horizontal="center" vertical="center"/>
    </xf>
    <xf numFmtId="0" fontId="2" fillId="30" borderId="19" xfId="2" applyFill="1" applyBorder="1" applyAlignment="1">
      <alignment horizontal="center" vertical="center"/>
    </xf>
    <xf numFmtId="0" fontId="5" fillId="26" borderId="15" xfId="0" applyFont="1" applyFill="1" applyBorder="1" applyAlignment="1">
      <alignment horizontal="center" vertical="center"/>
    </xf>
    <xf numFmtId="0" fontId="5" fillId="26" borderId="17" xfId="0" applyFont="1" applyFill="1" applyBorder="1" applyAlignment="1">
      <alignment horizontal="center" vertical="center"/>
    </xf>
    <xf numFmtId="0" fontId="5" fillId="26" borderId="20" xfId="0" applyFont="1" applyFill="1" applyBorder="1" applyAlignment="1">
      <alignment horizontal="center" vertical="center"/>
    </xf>
    <xf numFmtId="0" fontId="12" fillId="26" borderId="15" xfId="0" applyFont="1" applyFill="1" applyBorder="1" applyAlignment="1">
      <alignment horizontal="center" vertical="center"/>
    </xf>
    <xf numFmtId="0" fontId="12" fillId="26" borderId="17" xfId="0" applyFont="1" applyFill="1" applyBorder="1" applyAlignment="1">
      <alignment horizontal="center" vertical="center"/>
    </xf>
    <xf numFmtId="0" fontId="12" fillId="26" borderId="20" xfId="0" applyFont="1" applyFill="1" applyBorder="1" applyAlignment="1">
      <alignment horizontal="center" vertical="center"/>
    </xf>
    <xf numFmtId="0" fontId="12" fillId="20" borderId="15" xfId="0" applyFont="1" applyFill="1" applyBorder="1" applyAlignment="1">
      <alignment horizontal="center" vertical="center"/>
    </xf>
    <xf numFmtId="0" fontId="12" fillId="20" borderId="20" xfId="0" applyFont="1" applyFill="1" applyBorder="1" applyAlignment="1">
      <alignment horizontal="center" vertical="center"/>
    </xf>
    <xf numFmtId="0" fontId="5" fillId="38" borderId="15" xfId="0" applyFont="1" applyFill="1" applyBorder="1" applyAlignment="1">
      <alignment horizontal="center" vertical="center"/>
    </xf>
    <xf numFmtId="0" fontId="5" fillId="38" borderId="17" xfId="0" applyFont="1" applyFill="1" applyBorder="1" applyAlignment="1">
      <alignment horizontal="center" vertical="center"/>
    </xf>
    <xf numFmtId="0" fontId="5" fillId="38" borderId="20" xfId="0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/>
    </xf>
    <xf numFmtId="0" fontId="12" fillId="38" borderId="17" xfId="0" applyFont="1" applyFill="1" applyBorder="1" applyAlignment="1">
      <alignment horizontal="center" vertical="center"/>
    </xf>
    <xf numFmtId="0" fontId="12" fillId="38" borderId="20" xfId="0" applyFont="1" applyFill="1" applyBorder="1" applyAlignment="1">
      <alignment horizontal="center" vertical="center"/>
    </xf>
    <xf numFmtId="0" fontId="0" fillId="37" borderId="56" xfId="4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2" borderId="15" xfId="0" applyFont="1" applyFill="1" applyBorder="1" applyAlignment="1">
      <alignment horizontal="center" vertical="center"/>
    </xf>
    <xf numFmtId="0" fontId="5" fillId="22" borderId="20" xfId="0" applyFont="1" applyFill="1" applyBorder="1" applyAlignment="1">
      <alignment horizontal="center" vertical="center"/>
    </xf>
    <xf numFmtId="0" fontId="12" fillId="22" borderId="15" xfId="0" applyFont="1" applyFill="1" applyBorder="1" applyAlignment="1">
      <alignment horizontal="center" vertical="center"/>
    </xf>
    <xf numFmtId="0" fontId="12" fillId="22" borderId="20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20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17" borderId="15" xfId="0" applyFont="1" applyFill="1" applyBorder="1" applyAlignment="1">
      <alignment horizontal="center" vertical="center"/>
    </xf>
    <xf numFmtId="0" fontId="12" fillId="17" borderId="20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</cellXfs>
  <cellStyles count="5">
    <cellStyle name="40% - Accent1" xfId="4" builtinId="31"/>
    <cellStyle name="Check Cell" xfId="2" builtinId="23"/>
    <cellStyle name="Comma" xfId="1" builtinId="3"/>
    <cellStyle name="Normal" xfId="0" builtinId="0"/>
    <cellStyle name="Percent" xfId="3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dd/mm/yyyy\ h:mm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fawaz.kabeir/Desktop/All%20Product%20Codes.xlsx" TargetMode="External"/><Relationship Id="rId1" Type="http://schemas.openxmlformats.org/officeDocument/2006/relationships/externalLinkPath" Target="/Users/fawaz.kabeir/Desktop/All%20Product%20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fine "/>
      <sheetName val="All Products"/>
    </sheetNames>
    <sheetDataSet>
      <sheetData sheetId="0" refreshError="1">
        <row r="1">
          <cell r="A1" t="str">
            <v>warehouse</v>
          </cell>
          <cell r="B1" t="str">
            <v>Location</v>
          </cell>
        </row>
        <row r="2">
          <cell r="A2" t="str">
            <v>AG</v>
          </cell>
          <cell r="B2" t="str">
            <v>Gadarif Warehouse</v>
          </cell>
        </row>
        <row r="3">
          <cell r="A3" t="str">
            <v>CA</v>
          </cell>
          <cell r="B3" t="str">
            <v>Crusher KHA- Other</v>
          </cell>
        </row>
        <row r="4">
          <cell r="A4" t="str">
            <v>CB</v>
          </cell>
          <cell r="B4" t="str">
            <v>Crusher KHN Bitar</v>
          </cell>
        </row>
        <row r="5">
          <cell r="A5" t="str">
            <v>CC</v>
          </cell>
          <cell r="B5" t="str">
            <v>Crusher PZU</v>
          </cell>
        </row>
        <row r="6">
          <cell r="A6" t="str">
            <v>CH</v>
          </cell>
          <cell r="B6" t="str">
            <v>Crusher KHN -ASVOC</v>
          </cell>
        </row>
        <row r="7">
          <cell r="A7" t="str">
            <v>CK</v>
          </cell>
          <cell r="B7" t="str">
            <v>Crusher KHA- SMA</v>
          </cell>
        </row>
        <row r="8">
          <cell r="A8" t="str">
            <v>CM</v>
          </cell>
          <cell r="B8" t="str">
            <v>Crusher OMD -Kambal</v>
          </cell>
        </row>
        <row r="9">
          <cell r="A9" t="str">
            <v>CO</v>
          </cell>
          <cell r="B9" t="str">
            <v>Crusher - OMD -ADEEB</v>
          </cell>
        </row>
        <row r="10">
          <cell r="A10" t="str">
            <v>PA</v>
          </cell>
          <cell r="B10" t="str">
            <v>Packing KHA</v>
          </cell>
        </row>
        <row r="11">
          <cell r="A11" t="str">
            <v>PC</v>
          </cell>
          <cell r="B11" t="str">
            <v>Packing PZU</v>
          </cell>
        </row>
        <row r="12">
          <cell r="A12" t="str">
            <v>SA</v>
          </cell>
          <cell r="B12" t="str">
            <v>Sifter KHA -Alsoug Almahly</v>
          </cell>
        </row>
        <row r="13">
          <cell r="A13" t="str">
            <v>SB</v>
          </cell>
          <cell r="B13" t="str">
            <v>Sifter OMD-ALGOMIA</v>
          </cell>
        </row>
        <row r="14">
          <cell r="A14" t="str">
            <v>SC</v>
          </cell>
          <cell r="B14" t="str">
            <v xml:space="preserve">Sifter PZU - Tabil </v>
          </cell>
        </row>
        <row r="15">
          <cell r="A15" t="str">
            <v>SD</v>
          </cell>
          <cell r="B15" t="str">
            <v>Sifter OMD -Tayba</v>
          </cell>
        </row>
        <row r="16">
          <cell r="A16" t="str">
            <v>SE</v>
          </cell>
          <cell r="B16" t="str">
            <v xml:space="preserve">Sifter PZU ELKHBIER </v>
          </cell>
        </row>
        <row r="17">
          <cell r="A17" t="str">
            <v>SF</v>
          </cell>
          <cell r="B17" t="str">
            <v>Sifter OMD- Khalid</v>
          </cell>
        </row>
        <row r="18">
          <cell r="A18" t="str">
            <v>SG</v>
          </cell>
          <cell r="B18" t="str">
            <v>Sifter Gadarif -Copen</v>
          </cell>
        </row>
        <row r="19">
          <cell r="A19" t="str">
            <v>SK</v>
          </cell>
          <cell r="B19" t="str">
            <v>Sifter KHA -CHU</v>
          </cell>
        </row>
        <row r="20">
          <cell r="A20" t="str">
            <v>SL</v>
          </cell>
          <cell r="B20" t="str">
            <v>Sifter OMD-ALShaikh</v>
          </cell>
        </row>
        <row r="21">
          <cell r="A21" t="str">
            <v>SM</v>
          </cell>
          <cell r="B21" t="str">
            <v xml:space="preserve">Sifter OMD -Alshafie </v>
          </cell>
        </row>
        <row r="22">
          <cell r="A22" t="str">
            <v>SN</v>
          </cell>
          <cell r="B22" t="str">
            <v>Sifter OMD - Alhelaly</v>
          </cell>
        </row>
        <row r="23">
          <cell r="A23" t="str">
            <v>SO</v>
          </cell>
          <cell r="B23" t="str">
            <v>Sifter OMD - Yara</v>
          </cell>
        </row>
        <row r="24">
          <cell r="A24" t="str">
            <v>SP</v>
          </cell>
          <cell r="B24" t="str">
            <v>Sifter PZU-Al Jawhra</v>
          </cell>
        </row>
        <row r="25">
          <cell r="A25" t="str">
            <v>SQ</v>
          </cell>
          <cell r="B25" t="str">
            <v>Sifting OMD - YAGOUB</v>
          </cell>
        </row>
        <row r="26">
          <cell r="A26" t="str">
            <v>SR</v>
          </cell>
          <cell r="B26" t="str">
            <v>Sifter KHA - Globals</v>
          </cell>
        </row>
        <row r="27">
          <cell r="A27" t="str">
            <v>TA</v>
          </cell>
          <cell r="B27" t="str">
            <v>Khartoum In transit</v>
          </cell>
        </row>
        <row r="28">
          <cell r="A28" t="str">
            <v>TC</v>
          </cell>
          <cell r="B28" t="str">
            <v xml:space="preserve">PZU In Transit </v>
          </cell>
        </row>
        <row r="29">
          <cell r="A29" t="str">
            <v>TG</v>
          </cell>
          <cell r="B29" t="str">
            <v xml:space="preserve">Gadarif In Transit </v>
          </cell>
        </row>
        <row r="30">
          <cell r="A30" t="str">
            <v>XF</v>
          </cell>
          <cell r="B30" t="str">
            <v xml:space="preserve">PZU Stuffing Warehouse </v>
          </cell>
        </row>
        <row r="31">
          <cell r="A31" t="str">
            <v>XP</v>
          </cell>
          <cell r="B31" t="str">
            <v>PZU Main Warehouse</v>
          </cell>
        </row>
        <row r="32">
          <cell r="A32" t="str">
            <v>AA</v>
          </cell>
          <cell r="B32" t="str">
            <v xml:space="preserve">Khartoum Main Warehouse </v>
          </cell>
        </row>
        <row r="33">
          <cell r="A33" t="str">
            <v>AC</v>
          </cell>
          <cell r="B33" t="str">
            <v xml:space="preserve">Port Sudan Main Store </v>
          </cell>
        </row>
        <row r="34">
          <cell r="A34" t="str">
            <v>GB</v>
          </cell>
          <cell r="B34" t="str">
            <v>Ginning Bagair</v>
          </cell>
        </row>
        <row r="35">
          <cell r="A35" t="str">
            <v>GH</v>
          </cell>
          <cell r="B35" t="str">
            <v>Ginning Hashisa</v>
          </cell>
        </row>
        <row r="36">
          <cell r="A36" t="str">
            <v>GM</v>
          </cell>
          <cell r="B36" t="str">
            <v>Ginning Madni</v>
          </cell>
        </row>
        <row r="37">
          <cell r="A37" t="str">
            <v>SH</v>
          </cell>
          <cell r="B37" t="str">
            <v xml:space="preserve">Sifter -KHA Mahasilna </v>
          </cell>
        </row>
        <row r="38">
          <cell r="A38" t="str">
            <v>SI</v>
          </cell>
          <cell r="B38" t="str">
            <v>Sifter Bahri-Libyan</v>
          </cell>
        </row>
        <row r="39">
          <cell r="A39" t="str">
            <v>JA</v>
          </cell>
          <cell r="B39" t="str">
            <v xml:space="preserve">W/H Row Khartoum - JV </v>
          </cell>
        </row>
        <row r="40">
          <cell r="A40" t="str">
            <v>JC</v>
          </cell>
          <cell r="B40" t="str">
            <v xml:space="preserve">W/H Row PZU - JV </v>
          </cell>
        </row>
        <row r="41">
          <cell r="A41" t="str">
            <v>JG</v>
          </cell>
          <cell r="B41" t="str">
            <v xml:space="preserve">W/H Row Gadarif - JV </v>
          </cell>
        </row>
        <row r="42">
          <cell r="A42" t="str">
            <v>JN</v>
          </cell>
          <cell r="B42" t="str">
            <v xml:space="preserve">W/H Row Nayala - JV </v>
          </cell>
        </row>
        <row r="43">
          <cell r="A43" t="str">
            <v>A1</v>
          </cell>
          <cell r="B43" t="str">
            <v>Khartoum In Transit PPBags</v>
          </cell>
        </row>
        <row r="44">
          <cell r="A44" t="str">
            <v>G1</v>
          </cell>
          <cell r="B44" t="str">
            <v>Gadarif In Transit PPBags</v>
          </cell>
        </row>
        <row r="45">
          <cell r="A45" t="str">
            <v>C1</v>
          </cell>
          <cell r="B45" t="str">
            <v>Port Sudan Intransit PPBags</v>
          </cell>
        </row>
        <row r="46">
          <cell r="A46" t="str">
            <v>A4</v>
          </cell>
          <cell r="B46" t="str">
            <v xml:space="preserve">Inter Segment Warehouse </v>
          </cell>
        </row>
        <row r="47">
          <cell r="A47" t="str">
            <v>NC</v>
          </cell>
          <cell r="B47" t="str">
            <v xml:space="preserve">NON Conforming </v>
          </cell>
        </row>
        <row r="48">
          <cell r="A48" t="str">
            <v>CT</v>
          </cell>
          <cell r="B48" t="str">
            <v xml:space="preserve">Crusher -KHN-  Al-Teital </v>
          </cell>
        </row>
        <row r="49">
          <cell r="A49" t="str">
            <v>SY</v>
          </cell>
          <cell r="B49" t="str">
            <v xml:space="preserve">Sifter Bayader- OMD </v>
          </cell>
        </row>
        <row r="50">
          <cell r="A50" t="str">
            <v>SZ</v>
          </cell>
          <cell r="B50" t="str">
            <v>Sifter Almarkzi-OMD</v>
          </cell>
        </row>
        <row r="51">
          <cell r="A51" t="str">
            <v>SS</v>
          </cell>
          <cell r="B51" t="str">
            <v>Sifter -Gadrif Organica</v>
          </cell>
        </row>
        <row r="52">
          <cell r="A52" t="str">
            <v>EG</v>
          </cell>
          <cell r="B52" t="str">
            <v>Export Yellow Beans</v>
          </cell>
        </row>
        <row r="53">
          <cell r="A53" t="str">
            <v>SJ</v>
          </cell>
          <cell r="B53" t="str">
            <v xml:space="preserve">New Sifter </v>
          </cell>
        </row>
        <row r="54">
          <cell r="A54" t="str">
            <v>ST</v>
          </cell>
          <cell r="B54" t="str">
            <v xml:space="preserve">Sifter -OMD - KARAR </v>
          </cell>
        </row>
        <row r="55">
          <cell r="A55" t="str">
            <v>CU</v>
          </cell>
          <cell r="B55" t="str">
            <v>Crusher -OMA- Elbalola</v>
          </cell>
        </row>
        <row r="56">
          <cell r="A56" t="str">
            <v>SW</v>
          </cell>
          <cell r="B56" t="str">
            <v>Sifter -KHA Hassabo</v>
          </cell>
        </row>
      </sheetData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CIM_1" connectionId="1" xr16:uid="{00000000-0016-0000-0200-000001000000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supplier" tableColumnId="1"/>
      <queryTableField id="2" name="date_entered" tableColumnId="2"/>
      <queryTableField id="3" name="order_no" tableColumnId="3"/>
      <queryTableField id="4" name="order_line_no" tableColumnId="4"/>
      <queryTableField id="5" name="warehouse" tableColumnId="5"/>
      <queryTableField id="6" name="product" tableColumnId="6"/>
      <queryTableField id="7" name="description" tableColumnId="7"/>
      <queryTableField id="8" name="unit_code" tableColumnId="8"/>
      <queryTableField id="9" name="qty_ordered" tableColumnId="9"/>
      <queryTableField id="10" name="qty_received" tableColumnId="10"/>
      <queryTableField id="11" name="qty_invoiced" tableColumnId="11"/>
      <queryTableField id="14" name="status" tableColumnId="14"/>
      <queryTableField id="15" name="buyer_id" tableColumnId="15"/>
      <queryTableField id="16" name="local_expect_cost" tableColumnId="16"/>
      <queryTableField id="17" name="local_total_expect" tableColumnId="17"/>
      <queryTableField id="13" dataBound="0" tableColumnId="12"/>
      <queryTableField id="12" dataBound="0" tableColumnId="13"/>
      <queryTableField id="18" dataBound="0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D145" totalsRowShown="0" headerRowDxfId="15" dataDxfId="13" headerRowBorderDxfId="14" tableBorderDxfId="12">
  <autoFilter ref="A2:D145" xr:uid="{00000000-0009-0000-0100-000002000000}"/>
  <tableColumns count="4">
    <tableColumn id="1" xr3:uid="{00000000-0010-0000-0000-000001000000}" name="warehouse" dataDxfId="11"/>
    <tableColumn id="2" xr3:uid="{00000000-0010-0000-0000-000002000000}" name="Location" dataDxfId="10"/>
    <tableColumn id="3" xr3:uid="{00000000-0010-0000-0000-000003000000}" name="Type" dataDxfId="9"/>
    <tableColumn id="4" xr3:uid="{00000000-0010-0000-0000-000004000000}" name="Location2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" displayName="T" ref="A1:R4263" tableType="queryTable" totalsRowCount="1">
  <autoFilter ref="A1:R4262" xr:uid="{00000000-0009-0000-0100-000001000000}"/>
  <tableColumns count="18">
    <tableColumn id="1" xr3:uid="{00000000-0010-0000-0200-000001000000}" uniqueName="1" name="supplier" queryTableFieldId="1"/>
    <tableColumn id="2" xr3:uid="{00000000-0010-0000-0200-000002000000}" uniqueName="2" name="date_entered" queryTableFieldId="2" dataDxfId="7" totalsRowDxfId="6"/>
    <tableColumn id="3" xr3:uid="{00000000-0010-0000-0200-000003000000}" uniqueName="3" name="order_no" queryTableFieldId="3"/>
    <tableColumn id="4" xr3:uid="{00000000-0010-0000-0200-000004000000}" uniqueName="4" name="order_line_no" queryTableFieldId="4"/>
    <tableColumn id="5" xr3:uid="{00000000-0010-0000-0200-000005000000}" uniqueName="5" name="warehouse" queryTableFieldId="5"/>
    <tableColumn id="6" xr3:uid="{00000000-0010-0000-0200-000006000000}" uniqueName="6" name="product" queryTableFieldId="6"/>
    <tableColumn id="7" xr3:uid="{00000000-0010-0000-0200-000007000000}" uniqueName="7" name="description" queryTableFieldId="7"/>
    <tableColumn id="8" xr3:uid="{00000000-0010-0000-0200-000008000000}" uniqueName="8" name="unit_code" queryTableFieldId="8"/>
    <tableColumn id="9" xr3:uid="{00000000-0010-0000-0200-000009000000}" uniqueName="9" name="qty_ordered" queryTableFieldId="9"/>
    <tableColumn id="10" xr3:uid="{00000000-0010-0000-0200-00000A000000}" uniqueName="10" name="qty_received" queryTableFieldId="10"/>
    <tableColumn id="11" xr3:uid="{00000000-0010-0000-0200-00000B000000}" uniqueName="11" name="qty_invoiced" queryTableFieldId="11"/>
    <tableColumn id="14" xr3:uid="{00000000-0010-0000-0200-00000E000000}" uniqueName="14" name="status" queryTableFieldId="14"/>
    <tableColumn id="15" xr3:uid="{00000000-0010-0000-0200-00000F000000}" uniqueName="15" name="buyer_id" queryTableFieldId="15"/>
    <tableColumn id="16" xr3:uid="{00000000-0010-0000-0200-000010000000}" uniqueName="16" name="local_expect_cost" queryTableFieldId="16"/>
    <tableColumn id="17" xr3:uid="{00000000-0010-0000-0200-000011000000}" uniqueName="17" name="local_total_expect" queryTableFieldId="17"/>
    <tableColumn id="12" xr3:uid="{00000000-0010-0000-0200-00000C000000}" uniqueName="12" name="Receipt Status" queryTableFieldId="13" dataDxfId="5" totalsRowDxfId="4">
      <calculatedColumnFormula>IF(T[[#This Row],[qty_ordered]]&lt;&gt;T[[#This Row],[qty_received]],IF(T[[#This Row],[qty_received]]&gt;0,"Partial Received","Not Receviced"),"FullyReceived")</calculatedColumnFormula>
    </tableColumn>
    <tableColumn id="13" xr3:uid="{00000000-0010-0000-0200-00000D000000}" uniqueName="13" name="Invoice Status" queryTableFieldId="12" dataDxfId="3" totalsRowDxfId="2">
      <calculatedColumnFormula>IF(T[[#This Row],[qty_received]]&lt;&gt;T[[#This Row],[qty_invoiced]],IF(T[[#This Row],[qty_invoiced]]&gt;0,"Partial Invoiced","Not Invoiced"),"Fully Invoiced")</calculatedColumnFormula>
    </tableColumn>
    <tableColumn id="18" xr3:uid="{00000000-0010-0000-0200-000012000000}" uniqueName="18" name="Facility Name" queryTableFieldId="18" dataDxfId="1" totalsRowDxfId="0">
      <calculatedColumnFormula>IFERROR(VLOOKUP(T[[#This Row],[warehouse]],Table2[],2,FALSE),"--")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120C-315E-4CC1-A24E-2255313E8DD7}">
  <dimension ref="A1:N22"/>
  <sheetViews>
    <sheetView tabSelected="1" zoomScale="54" zoomScaleNormal="100" workbookViewId="0">
      <selection activeCell="M6" sqref="M6"/>
    </sheetView>
  </sheetViews>
  <sheetFormatPr defaultRowHeight="15" x14ac:dyDescent="0.25"/>
  <cols>
    <col min="1" max="1" width="24.7109375" bestFit="1" customWidth="1"/>
    <col min="2" max="2" width="10.7109375" customWidth="1"/>
    <col min="3" max="3" width="18" customWidth="1"/>
    <col min="4" max="4" width="20.7109375" customWidth="1"/>
    <col min="5" max="5" width="9.7109375" customWidth="1"/>
    <col min="6" max="6" width="10.7109375" customWidth="1"/>
    <col min="7" max="7" width="26.5703125" bestFit="1" customWidth="1"/>
    <col min="8" max="8" width="20.7109375" customWidth="1"/>
    <col min="9" max="9" width="26.140625" customWidth="1"/>
    <col min="10" max="10" width="22.28515625" customWidth="1"/>
    <col min="11" max="11" width="15.7109375" customWidth="1"/>
    <col min="12" max="12" width="13.7109375" customWidth="1"/>
    <col min="13" max="13" width="18.28515625" customWidth="1"/>
    <col min="14" max="14" width="15.5703125" bestFit="1" customWidth="1"/>
  </cols>
  <sheetData>
    <row r="1" spans="1:14" ht="18.75" x14ac:dyDescent="0.25">
      <c r="A1" s="294" t="s">
        <v>2466</v>
      </c>
      <c r="B1" s="295"/>
      <c r="C1" s="295"/>
      <c r="D1" s="295"/>
      <c r="E1" s="295"/>
      <c r="F1" s="295"/>
      <c r="G1" s="295"/>
      <c r="H1" s="295"/>
      <c r="I1" s="295"/>
      <c r="J1" s="295"/>
      <c r="K1" s="296"/>
      <c r="L1" s="4"/>
      <c r="M1" s="209"/>
      <c r="N1" s="4"/>
    </row>
    <row r="2" spans="1:14" ht="18.75" x14ac:dyDescent="0.25">
      <c r="A2" s="297" t="s">
        <v>2467</v>
      </c>
      <c r="B2" s="298"/>
      <c r="C2" s="298"/>
      <c r="D2" s="298"/>
      <c r="E2" s="298"/>
      <c r="F2" s="298"/>
      <c r="G2" s="298"/>
      <c r="H2" s="298"/>
      <c r="I2" s="298"/>
      <c r="J2" s="298"/>
      <c r="K2" s="299"/>
      <c r="L2" s="4"/>
      <c r="M2" s="209"/>
      <c r="N2" s="4"/>
    </row>
    <row r="3" spans="1:14" ht="19.5" thickBot="1" x14ac:dyDescent="0.3">
      <c r="A3" s="300" t="s">
        <v>3361</v>
      </c>
      <c r="B3" s="301"/>
      <c r="C3" s="301"/>
      <c r="D3" s="301"/>
      <c r="E3" s="301"/>
      <c r="F3" s="301"/>
      <c r="G3" s="301"/>
      <c r="H3" s="301"/>
      <c r="I3" s="301"/>
      <c r="J3" s="301"/>
      <c r="K3" s="302"/>
      <c r="L3" s="283" t="s">
        <v>2576</v>
      </c>
      <c r="M3" s="284"/>
      <c r="N3" s="285"/>
    </row>
    <row r="4" spans="1:14" ht="15.75" thickBot="1" x14ac:dyDescent="0.3">
      <c r="A4" s="4"/>
      <c r="B4" s="4"/>
      <c r="C4" s="4"/>
      <c r="D4" s="4"/>
      <c r="E4" s="4"/>
      <c r="F4" s="4"/>
      <c r="G4" s="4"/>
      <c r="H4" s="5"/>
      <c r="I4" s="5"/>
      <c r="J4" s="103"/>
      <c r="K4" s="4"/>
      <c r="L4" s="286"/>
      <c r="M4" s="287"/>
      <c r="N4" s="288"/>
    </row>
    <row r="5" spans="1:14" ht="19.899999999999999" customHeight="1" thickBot="1" x14ac:dyDescent="0.3">
      <c r="A5" s="6" t="s">
        <v>2344</v>
      </c>
      <c r="B5" s="7" t="s">
        <v>2345</v>
      </c>
      <c r="C5" s="7" t="s">
        <v>2595</v>
      </c>
      <c r="D5" s="8" t="s">
        <v>2346</v>
      </c>
      <c r="E5" s="8" t="s">
        <v>2347</v>
      </c>
      <c r="F5" s="9" t="s">
        <v>2348</v>
      </c>
      <c r="G5" s="8" t="s">
        <v>2558</v>
      </c>
      <c r="H5" s="10" t="s">
        <v>2557</v>
      </c>
      <c r="I5" s="10" t="s">
        <v>2556</v>
      </c>
      <c r="J5" s="104" t="s">
        <v>2555</v>
      </c>
      <c r="K5" s="190" t="s">
        <v>2349</v>
      </c>
      <c r="L5" s="191" t="s">
        <v>2554</v>
      </c>
      <c r="M5" s="210" t="s">
        <v>2553</v>
      </c>
      <c r="N5" s="189" t="s">
        <v>2574</v>
      </c>
    </row>
    <row r="6" spans="1:14" ht="15.75" thickBot="1" x14ac:dyDescent="0.3">
      <c r="A6" s="292" t="s">
        <v>2068</v>
      </c>
      <c r="B6" s="234" t="s">
        <v>108</v>
      </c>
      <c r="C6" s="235" t="s">
        <v>3028</v>
      </c>
      <c r="D6" s="234" t="s">
        <v>2473</v>
      </c>
      <c r="E6" s="235">
        <v>1480</v>
      </c>
      <c r="F6" s="235">
        <v>1</v>
      </c>
      <c r="G6" s="234" t="s">
        <v>3029</v>
      </c>
      <c r="H6" s="263">
        <v>575.64</v>
      </c>
      <c r="I6" s="236" t="s">
        <v>3376</v>
      </c>
      <c r="J6" s="257" t="s">
        <v>3377</v>
      </c>
      <c r="K6" s="264" t="s">
        <v>2571</v>
      </c>
      <c r="L6" s="78" t="s">
        <v>108</v>
      </c>
      <c r="M6" s="78">
        <f>SUM(SUMIFS(T[qty_received],T[order_no],E6))</f>
        <v>622.54</v>
      </c>
      <c r="N6" s="78">
        <f t="shared" ref="N6:N17" si="0">M6-H6</f>
        <v>46.9</v>
      </c>
    </row>
    <row r="7" spans="1:14" ht="15.75" thickBot="1" x14ac:dyDescent="0.3">
      <c r="A7" s="293"/>
      <c r="B7" s="234" t="s">
        <v>108</v>
      </c>
      <c r="C7" s="235" t="s">
        <v>3028</v>
      </c>
      <c r="D7" s="257" t="s">
        <v>3354</v>
      </c>
      <c r="E7" s="258">
        <v>1496</v>
      </c>
      <c r="F7" s="235">
        <v>1</v>
      </c>
      <c r="G7" s="234" t="s">
        <v>3356</v>
      </c>
      <c r="H7" s="263">
        <v>463.18</v>
      </c>
      <c r="I7" s="236" t="s">
        <v>3378</v>
      </c>
      <c r="J7" s="257" t="s">
        <v>3379</v>
      </c>
      <c r="K7" s="264" t="s">
        <v>2571</v>
      </c>
      <c r="L7" s="78" t="s">
        <v>108</v>
      </c>
      <c r="M7" s="78">
        <f>SUM(SUMIFS(T[qty_received],T[order_no],E7))</f>
        <v>463.18</v>
      </c>
      <c r="N7" s="78">
        <f t="shared" si="0"/>
        <v>0</v>
      </c>
    </row>
    <row r="8" spans="1:14" ht="15.75" thickBot="1" x14ac:dyDescent="0.3">
      <c r="A8" s="273" t="s">
        <v>3030</v>
      </c>
      <c r="B8" s="237" t="s">
        <v>86</v>
      </c>
      <c r="C8" s="238" t="s">
        <v>3028</v>
      </c>
      <c r="D8" s="237" t="s">
        <v>2473</v>
      </c>
      <c r="E8" s="238">
        <v>1482</v>
      </c>
      <c r="F8" s="238" t="s">
        <v>2353</v>
      </c>
      <c r="G8" s="237" t="s">
        <v>3360</v>
      </c>
      <c r="H8" s="254">
        <v>1504.16</v>
      </c>
      <c r="I8" s="239" t="s">
        <v>3380</v>
      </c>
      <c r="J8" s="262" t="s">
        <v>3381</v>
      </c>
      <c r="K8" s="265" t="s">
        <v>2571</v>
      </c>
      <c r="L8" s="78" t="s">
        <v>86</v>
      </c>
      <c r="M8" s="78">
        <f>SUM(SUMIFS(T[qty_received],T[order_no],E8))</f>
        <v>1510.94</v>
      </c>
      <c r="N8" s="78">
        <f t="shared" si="0"/>
        <v>6.7799999999999701</v>
      </c>
    </row>
    <row r="9" spans="1:14" ht="15.75" thickBot="1" x14ac:dyDescent="0.3">
      <c r="A9" s="274" t="s">
        <v>3353</v>
      </c>
      <c r="B9" s="237" t="s">
        <v>86</v>
      </c>
      <c r="C9" s="238" t="s">
        <v>3028</v>
      </c>
      <c r="D9" s="237" t="s">
        <v>2473</v>
      </c>
      <c r="E9" s="238">
        <v>1487</v>
      </c>
      <c r="F9" s="237">
        <v>1</v>
      </c>
      <c r="G9" s="237" t="s">
        <v>3029</v>
      </c>
      <c r="H9" s="254">
        <v>604.08000000000004</v>
      </c>
      <c r="I9" s="239" t="s">
        <v>3382</v>
      </c>
      <c r="J9" s="237" t="s">
        <v>3377</v>
      </c>
      <c r="K9" s="240" t="s">
        <v>2571</v>
      </c>
      <c r="L9" s="78" t="s">
        <v>86</v>
      </c>
      <c r="M9" s="78">
        <f>SUM(SUMIFS(T[qty_received],T[order_no],E9))</f>
        <v>604.08000000000004</v>
      </c>
      <c r="N9" s="78">
        <f t="shared" si="0"/>
        <v>0</v>
      </c>
    </row>
    <row r="10" spans="1:14" ht="15.75" thickBot="1" x14ac:dyDescent="0.3">
      <c r="A10" s="272" t="s">
        <v>2358</v>
      </c>
      <c r="B10" s="241" t="s">
        <v>486</v>
      </c>
      <c r="C10" s="242" t="s">
        <v>3028</v>
      </c>
      <c r="D10" s="241" t="s">
        <v>2473</v>
      </c>
      <c r="E10" s="242">
        <v>1483</v>
      </c>
      <c r="F10" s="242" t="s">
        <v>2353</v>
      </c>
      <c r="G10" s="241" t="s">
        <v>3355</v>
      </c>
      <c r="H10" s="255">
        <v>1362.5</v>
      </c>
      <c r="I10" s="243" t="s">
        <v>3383</v>
      </c>
      <c r="J10" s="241" t="s">
        <v>3377</v>
      </c>
      <c r="K10" s="244" t="s">
        <v>2571</v>
      </c>
      <c r="L10" s="78" t="s">
        <v>486</v>
      </c>
      <c r="M10" s="78">
        <f>SUM(SUMIFS(T[qty_received],T[order_no],E10))</f>
        <v>1362.5</v>
      </c>
      <c r="N10" s="78">
        <f t="shared" si="0"/>
        <v>0</v>
      </c>
    </row>
    <row r="11" spans="1:14" ht="15.75" thickBot="1" x14ac:dyDescent="0.3">
      <c r="A11" s="245" t="s">
        <v>3364</v>
      </c>
      <c r="B11" s="281" t="s">
        <v>230</v>
      </c>
      <c r="C11" s="247" t="s">
        <v>3031</v>
      </c>
      <c r="D11" s="246" t="s">
        <v>3032</v>
      </c>
      <c r="E11" s="247">
        <v>1481</v>
      </c>
      <c r="F11" s="247">
        <v>1</v>
      </c>
      <c r="G11" s="246" t="s">
        <v>2517</v>
      </c>
      <c r="H11" s="256">
        <v>1726.78</v>
      </c>
      <c r="I11" s="248" t="s">
        <v>3384</v>
      </c>
      <c r="J11" s="246" t="s">
        <v>3377</v>
      </c>
      <c r="K11" s="249" t="s">
        <v>2571</v>
      </c>
      <c r="L11" s="78" t="s">
        <v>230</v>
      </c>
      <c r="M11" s="78">
        <f>SUM(SUMIFS(T[qty_received],T[order_no],E11))</f>
        <v>1836.5</v>
      </c>
      <c r="N11" s="78">
        <f t="shared" si="0"/>
        <v>109.72</v>
      </c>
    </row>
    <row r="12" spans="1:14" ht="15.75" thickBot="1" x14ac:dyDescent="0.3">
      <c r="A12" s="245" t="s">
        <v>3365</v>
      </c>
      <c r="B12" s="281" t="s">
        <v>230</v>
      </c>
      <c r="C12" s="247" t="s">
        <v>3031</v>
      </c>
      <c r="D12" s="246" t="s">
        <v>3032</v>
      </c>
      <c r="E12" s="247">
        <v>1486</v>
      </c>
      <c r="F12" s="247">
        <v>1</v>
      </c>
      <c r="G12" s="246" t="s">
        <v>2517</v>
      </c>
      <c r="H12" s="256">
        <v>1175.5999999999999</v>
      </c>
      <c r="I12" s="248" t="s">
        <v>3385</v>
      </c>
      <c r="J12" s="246" t="s">
        <v>3377</v>
      </c>
      <c r="K12" s="249" t="s">
        <v>2571</v>
      </c>
      <c r="L12" s="78" t="s">
        <v>230</v>
      </c>
      <c r="M12" s="78">
        <f>SUM(SUMIFS(T[qty_received],T[order_no],E12))</f>
        <v>1175.5999999999999</v>
      </c>
      <c r="N12" s="78">
        <f t="shared" si="0"/>
        <v>0</v>
      </c>
    </row>
    <row r="13" spans="1:14" ht="15.75" thickBot="1" x14ac:dyDescent="0.3">
      <c r="A13" s="259" t="s">
        <v>3366</v>
      </c>
      <c r="B13" s="281" t="s">
        <v>230</v>
      </c>
      <c r="C13" s="247" t="s">
        <v>3031</v>
      </c>
      <c r="D13" s="246" t="s">
        <v>3032</v>
      </c>
      <c r="E13" s="247">
        <v>1504</v>
      </c>
      <c r="F13" s="247">
        <v>1</v>
      </c>
      <c r="G13" s="246" t="s">
        <v>2517</v>
      </c>
      <c r="H13" s="268">
        <v>71.91</v>
      </c>
      <c r="I13" s="248" t="s">
        <v>3386</v>
      </c>
      <c r="J13" s="269" t="s">
        <v>3377</v>
      </c>
      <c r="K13" s="249" t="s">
        <v>2571</v>
      </c>
      <c r="L13" s="78" t="s">
        <v>230</v>
      </c>
      <c r="M13" s="78">
        <f>SUM(SUMIFS(T[qty_received],T[order_no],E13))</f>
        <v>71.91</v>
      </c>
      <c r="N13" s="78">
        <f t="shared" ref="N13" si="1">M13-H13</f>
        <v>0</v>
      </c>
    </row>
    <row r="14" spans="1:14" ht="15.75" thickBot="1" x14ac:dyDescent="0.3">
      <c r="A14" s="289" t="s">
        <v>3343</v>
      </c>
      <c r="B14" s="281" t="s">
        <v>244</v>
      </c>
      <c r="C14" s="251" t="s">
        <v>2630</v>
      </c>
      <c r="D14" s="250" t="s">
        <v>2480</v>
      </c>
      <c r="E14" s="260">
        <v>1497</v>
      </c>
      <c r="F14" s="251">
        <v>1</v>
      </c>
      <c r="G14" s="250" t="s">
        <v>3345</v>
      </c>
      <c r="H14" s="270">
        <v>206.28</v>
      </c>
      <c r="I14" s="252" t="s">
        <v>3387</v>
      </c>
      <c r="J14" s="250" t="s">
        <v>3377</v>
      </c>
      <c r="K14" s="253" t="s">
        <v>2571</v>
      </c>
      <c r="L14" s="78" t="s">
        <v>244</v>
      </c>
      <c r="M14" s="78">
        <f>SUM(SUMIFS(T[qty_received],T[order_no],E14))</f>
        <v>206.28</v>
      </c>
      <c r="N14" s="78">
        <f t="shared" si="0"/>
        <v>0</v>
      </c>
    </row>
    <row r="15" spans="1:14" ht="15.75" thickBot="1" x14ac:dyDescent="0.3">
      <c r="A15" s="290"/>
      <c r="B15" s="281" t="s">
        <v>244</v>
      </c>
      <c r="C15" s="251" t="s">
        <v>2630</v>
      </c>
      <c r="D15" s="250" t="s">
        <v>2480</v>
      </c>
      <c r="E15" s="260">
        <v>1498</v>
      </c>
      <c r="F15" s="251">
        <v>1</v>
      </c>
      <c r="G15" s="250" t="s">
        <v>3344</v>
      </c>
      <c r="H15" s="270">
        <v>387.5</v>
      </c>
      <c r="I15" s="252" t="s">
        <v>3388</v>
      </c>
      <c r="J15" s="261" t="s">
        <v>3389</v>
      </c>
      <c r="K15" s="266" t="s">
        <v>2571</v>
      </c>
      <c r="L15" s="78" t="s">
        <v>244</v>
      </c>
      <c r="M15" s="78">
        <f>SUM(SUMIFS(T[qty_received],T[order_no],E15))</f>
        <v>387.5</v>
      </c>
      <c r="N15" s="78">
        <f t="shared" si="0"/>
        <v>0</v>
      </c>
    </row>
    <row r="16" spans="1:14" ht="15.75" thickBot="1" x14ac:dyDescent="0.3">
      <c r="A16" s="290"/>
      <c r="B16" s="281" t="s">
        <v>244</v>
      </c>
      <c r="C16" s="251" t="s">
        <v>2630</v>
      </c>
      <c r="D16" s="250" t="s">
        <v>2480</v>
      </c>
      <c r="E16" s="260">
        <v>1502</v>
      </c>
      <c r="F16" s="251">
        <v>1</v>
      </c>
      <c r="G16" s="250" t="s">
        <v>3345</v>
      </c>
      <c r="H16" s="270">
        <v>49.46</v>
      </c>
      <c r="I16" s="252" t="s">
        <v>3390</v>
      </c>
      <c r="J16" s="267" t="s">
        <v>3377</v>
      </c>
      <c r="K16" s="266" t="s">
        <v>2352</v>
      </c>
      <c r="L16" s="78" t="s">
        <v>244</v>
      </c>
      <c r="M16" s="78">
        <f>SUM(SUMIFS(T[qty_received],T[order_no],E16))</f>
        <v>49.46</v>
      </c>
      <c r="N16" s="78">
        <f t="shared" si="0"/>
        <v>0</v>
      </c>
    </row>
    <row r="17" spans="1:14" ht="15.75" thickBot="1" x14ac:dyDescent="0.3">
      <c r="A17" s="291"/>
      <c r="B17" s="281" t="s">
        <v>244</v>
      </c>
      <c r="C17" s="251" t="s">
        <v>2630</v>
      </c>
      <c r="D17" s="250" t="s">
        <v>2480</v>
      </c>
      <c r="E17" s="260">
        <v>1503</v>
      </c>
      <c r="F17" s="251">
        <v>1</v>
      </c>
      <c r="G17" s="250" t="s">
        <v>3345</v>
      </c>
      <c r="H17" s="270">
        <v>252.31</v>
      </c>
      <c r="I17" s="252" t="s">
        <v>3391</v>
      </c>
      <c r="J17" s="267" t="s">
        <v>3377</v>
      </c>
      <c r="K17" s="266" t="s">
        <v>2352</v>
      </c>
      <c r="L17" s="78" t="s">
        <v>244</v>
      </c>
      <c r="M17" s="78">
        <f>SUM(SUMIFS(T[qty_received],T[order_no],E17))</f>
        <v>252.31</v>
      </c>
      <c r="N17" s="78">
        <f t="shared" si="0"/>
        <v>0</v>
      </c>
    </row>
    <row r="18" spans="1:14" ht="15.75" thickBot="1" x14ac:dyDescent="0.3">
      <c r="A18" s="275" t="s">
        <v>3369</v>
      </c>
      <c r="B18" s="282" t="s">
        <v>287</v>
      </c>
      <c r="C18" s="277" t="s">
        <v>3370</v>
      </c>
      <c r="D18" s="276" t="s">
        <v>3371</v>
      </c>
      <c r="E18" s="277">
        <v>1507</v>
      </c>
      <c r="F18" s="277">
        <v>1</v>
      </c>
      <c r="G18" s="276" t="s">
        <v>3372</v>
      </c>
      <c r="H18" s="280">
        <v>601.21</v>
      </c>
      <c r="I18" s="279" t="s">
        <v>3392</v>
      </c>
      <c r="J18" s="276" t="s">
        <v>3377</v>
      </c>
      <c r="K18" s="278" t="s">
        <v>2352</v>
      </c>
      <c r="L18" s="78" t="s">
        <v>287</v>
      </c>
      <c r="M18" s="78">
        <f>SUM(SUMIFS(T[qty_received],T[order_no],E18))</f>
        <v>0</v>
      </c>
      <c r="N18" s="78">
        <f t="shared" ref="N18" si="2">M18-H18</f>
        <v>-601.21</v>
      </c>
    </row>
    <row r="21" spans="1:14" x14ac:dyDescent="0.25">
      <c r="I21" s="271"/>
    </row>
    <row r="22" spans="1:14" x14ac:dyDescent="0.25">
      <c r="I22" s="271"/>
    </row>
  </sheetData>
  <mergeCells count="6">
    <mergeCell ref="L3:N4"/>
    <mergeCell ref="A14:A17"/>
    <mergeCell ref="A6:A7"/>
    <mergeCell ref="A1:K1"/>
    <mergeCell ref="A2:K2"/>
    <mergeCell ref="A3:K3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zoomScaleNormal="100" workbookViewId="0">
      <selection activeCell="B80" sqref="B80"/>
    </sheetView>
  </sheetViews>
  <sheetFormatPr defaultRowHeight="15" x14ac:dyDescent="0.25"/>
  <cols>
    <col min="1" max="1" width="13" customWidth="1"/>
    <col min="2" max="2" width="34.42578125" customWidth="1"/>
    <col min="3" max="3" width="25.28515625" customWidth="1"/>
    <col min="4" max="4" width="29.140625" bestFit="1" customWidth="1"/>
  </cols>
  <sheetData>
    <row r="1" spans="1:4" x14ac:dyDescent="0.25">
      <c r="A1" t="s">
        <v>3012</v>
      </c>
    </row>
    <row r="2" spans="1:4" x14ac:dyDescent="0.25">
      <c r="A2" s="201" t="s">
        <v>4</v>
      </c>
      <c r="B2" s="202" t="s">
        <v>2595</v>
      </c>
      <c r="C2" s="202" t="s">
        <v>2596</v>
      </c>
      <c r="D2" s="202" t="s">
        <v>2801</v>
      </c>
    </row>
    <row r="3" spans="1:4" x14ac:dyDescent="0.25">
      <c r="A3" s="200" t="s">
        <v>2597</v>
      </c>
      <c r="B3" s="200" t="s">
        <v>2598</v>
      </c>
      <c r="C3" s="203" t="s">
        <v>2599</v>
      </c>
      <c r="D3" s="203" t="s">
        <v>2600</v>
      </c>
    </row>
    <row r="4" spans="1:4" x14ac:dyDescent="0.25">
      <c r="A4" s="200" t="s">
        <v>2601</v>
      </c>
      <c r="B4" s="200" t="s">
        <v>2602</v>
      </c>
      <c r="C4" s="203" t="s">
        <v>2599</v>
      </c>
      <c r="D4" s="203" t="s">
        <v>2600</v>
      </c>
    </row>
    <row r="5" spans="1:4" x14ac:dyDescent="0.25">
      <c r="A5" s="200" t="s">
        <v>2603</v>
      </c>
      <c r="B5" s="200" t="s">
        <v>2604</v>
      </c>
      <c r="C5" s="203" t="s">
        <v>2599</v>
      </c>
      <c r="D5" s="203" t="s">
        <v>2600</v>
      </c>
    </row>
    <row r="6" spans="1:4" x14ac:dyDescent="0.25">
      <c r="A6" s="200" t="s">
        <v>2605</v>
      </c>
      <c r="B6" s="200" t="s">
        <v>2606</v>
      </c>
      <c r="C6" s="203" t="s">
        <v>2599</v>
      </c>
      <c r="D6" s="203" t="s">
        <v>2600</v>
      </c>
    </row>
    <row r="7" spans="1:4" x14ac:dyDescent="0.25">
      <c r="A7" s="203" t="s">
        <v>1430</v>
      </c>
      <c r="B7" s="203" t="s">
        <v>2607</v>
      </c>
      <c r="C7" s="203" t="s">
        <v>2608</v>
      </c>
      <c r="D7" s="203" t="s">
        <v>2609</v>
      </c>
    </row>
    <row r="8" spans="1:4" x14ac:dyDescent="0.25">
      <c r="A8" s="200" t="s">
        <v>321</v>
      </c>
      <c r="B8" s="200" t="s">
        <v>2610</v>
      </c>
      <c r="C8" s="203" t="s">
        <v>2611</v>
      </c>
      <c r="D8" s="203" t="s">
        <v>2612</v>
      </c>
    </row>
    <row r="9" spans="1:4" x14ac:dyDescent="0.25">
      <c r="A9" s="200" t="s">
        <v>21</v>
      </c>
      <c r="B9" s="200" t="s">
        <v>2613</v>
      </c>
      <c r="C9" s="203" t="s">
        <v>2611</v>
      </c>
      <c r="D9" s="203" t="s">
        <v>2612</v>
      </c>
    </row>
    <row r="10" spans="1:4" x14ac:dyDescent="0.25">
      <c r="A10" s="200" t="s">
        <v>823</v>
      </c>
      <c r="B10" s="200" t="s">
        <v>2614</v>
      </c>
      <c r="C10" s="203" t="s">
        <v>2611</v>
      </c>
      <c r="D10" s="203" t="s">
        <v>2612</v>
      </c>
    </row>
    <row r="11" spans="1:4" x14ac:dyDescent="0.25">
      <c r="A11" s="200" t="s">
        <v>28</v>
      </c>
      <c r="B11" s="200" t="s">
        <v>2615</v>
      </c>
      <c r="C11" s="203" t="s">
        <v>2611</v>
      </c>
      <c r="D11" s="203" t="s">
        <v>2612</v>
      </c>
    </row>
    <row r="12" spans="1:4" x14ac:dyDescent="0.25">
      <c r="A12" s="200" t="s">
        <v>30</v>
      </c>
      <c r="B12" s="200" t="s">
        <v>2616</v>
      </c>
      <c r="C12" s="203" t="s">
        <v>2611</v>
      </c>
      <c r="D12" s="203" t="s">
        <v>2612</v>
      </c>
    </row>
    <row r="13" spans="1:4" x14ac:dyDescent="0.25">
      <c r="A13" s="200" t="s">
        <v>32</v>
      </c>
      <c r="B13" s="200" t="s">
        <v>2617</v>
      </c>
      <c r="C13" s="203" t="s">
        <v>2611</v>
      </c>
      <c r="D13" s="203" t="s">
        <v>2612</v>
      </c>
    </row>
    <row r="14" spans="1:4" x14ac:dyDescent="0.25">
      <c r="A14" s="200" t="s">
        <v>34</v>
      </c>
      <c r="B14" s="200" t="s">
        <v>2618</v>
      </c>
      <c r="C14" s="203" t="s">
        <v>2611</v>
      </c>
      <c r="D14" s="203" t="s">
        <v>2612</v>
      </c>
    </row>
    <row r="15" spans="1:4" x14ac:dyDescent="0.25">
      <c r="A15" s="200" t="s">
        <v>166</v>
      </c>
      <c r="B15" s="200" t="s">
        <v>2619</v>
      </c>
      <c r="C15" s="203" t="s">
        <v>2611</v>
      </c>
      <c r="D15" s="203" t="s">
        <v>2612</v>
      </c>
    </row>
    <row r="16" spans="1:4" x14ac:dyDescent="0.25">
      <c r="A16" s="200" t="s">
        <v>214</v>
      </c>
      <c r="B16" s="200" t="s">
        <v>2620</v>
      </c>
      <c r="C16" s="203" t="s">
        <v>2611</v>
      </c>
      <c r="D16" s="203" t="s">
        <v>2612</v>
      </c>
    </row>
    <row r="17" spans="1:4" x14ac:dyDescent="0.25">
      <c r="A17" s="200" t="s">
        <v>431</v>
      </c>
      <c r="B17" s="200" t="s">
        <v>2621</v>
      </c>
      <c r="C17" s="203" t="s">
        <v>2611</v>
      </c>
      <c r="D17" s="203" t="s">
        <v>2612</v>
      </c>
    </row>
    <row r="18" spans="1:4" x14ac:dyDescent="0.25">
      <c r="A18" s="200" t="s">
        <v>281</v>
      </c>
      <c r="B18" s="200" t="s">
        <v>2622</v>
      </c>
      <c r="C18" s="203" t="s">
        <v>2611</v>
      </c>
      <c r="D18" s="203" t="s">
        <v>2612</v>
      </c>
    </row>
    <row r="19" spans="1:4" x14ac:dyDescent="0.25">
      <c r="A19" s="200" t="s">
        <v>548</v>
      </c>
      <c r="B19" s="200" t="s">
        <v>2623</v>
      </c>
      <c r="C19" s="203" t="s">
        <v>2611</v>
      </c>
      <c r="D19" s="203" t="s">
        <v>2612</v>
      </c>
    </row>
    <row r="20" spans="1:4" x14ac:dyDescent="0.25">
      <c r="A20" s="200" t="s">
        <v>825</v>
      </c>
      <c r="B20" s="200" t="s">
        <v>2624</v>
      </c>
      <c r="C20" s="203" t="s">
        <v>2611</v>
      </c>
      <c r="D20" s="203" t="s">
        <v>2612</v>
      </c>
    </row>
    <row r="21" spans="1:4" x14ac:dyDescent="0.25">
      <c r="A21" s="200" t="s">
        <v>675</v>
      </c>
      <c r="B21" s="200" t="s">
        <v>2625</v>
      </c>
      <c r="C21" s="203" t="s">
        <v>2611</v>
      </c>
      <c r="D21" s="203" t="s">
        <v>2612</v>
      </c>
    </row>
    <row r="22" spans="1:4" x14ac:dyDescent="0.25">
      <c r="A22" s="200" t="s">
        <v>925</v>
      </c>
      <c r="B22" s="200" t="s">
        <v>2626</v>
      </c>
      <c r="C22" s="203" t="s">
        <v>2611</v>
      </c>
      <c r="D22" s="203" t="s">
        <v>2612</v>
      </c>
    </row>
    <row r="23" spans="1:4" x14ac:dyDescent="0.25">
      <c r="A23" s="203" t="s">
        <v>844</v>
      </c>
      <c r="B23" s="203" t="s">
        <v>2627</v>
      </c>
      <c r="C23" s="203" t="s">
        <v>2611</v>
      </c>
      <c r="D23" s="203" t="s">
        <v>2612</v>
      </c>
    </row>
    <row r="24" spans="1:4" x14ac:dyDescent="0.25">
      <c r="A24" s="203" t="s">
        <v>797</v>
      </c>
      <c r="B24" s="203" t="s">
        <v>2628</v>
      </c>
      <c r="C24" s="203" t="s">
        <v>2611</v>
      </c>
      <c r="D24" s="203" t="s">
        <v>2612</v>
      </c>
    </row>
    <row r="25" spans="1:4" x14ac:dyDescent="0.25">
      <c r="A25" s="200" t="s">
        <v>1730</v>
      </c>
      <c r="B25" s="200" t="s">
        <v>2629</v>
      </c>
      <c r="C25" s="203" t="s">
        <v>674</v>
      </c>
      <c r="D25" s="203" t="s">
        <v>2630</v>
      </c>
    </row>
    <row r="26" spans="1:4" x14ac:dyDescent="0.25">
      <c r="A26" s="200" t="s">
        <v>340</v>
      </c>
      <c r="B26" s="200" t="s">
        <v>2631</v>
      </c>
      <c r="C26" s="203" t="s">
        <v>674</v>
      </c>
      <c r="D26" s="203" t="s">
        <v>2630</v>
      </c>
    </row>
    <row r="27" spans="1:4" x14ac:dyDescent="0.25">
      <c r="A27" s="200" t="s">
        <v>1149</v>
      </c>
      <c r="B27" s="200" t="s">
        <v>2632</v>
      </c>
      <c r="C27" s="203" t="s">
        <v>674</v>
      </c>
      <c r="D27" s="203" t="s">
        <v>2630</v>
      </c>
    </row>
    <row r="28" spans="1:4" x14ac:dyDescent="0.25">
      <c r="A28" s="200" t="s">
        <v>405</v>
      </c>
      <c r="B28" s="200" t="s">
        <v>2633</v>
      </c>
      <c r="C28" s="203" t="s">
        <v>674</v>
      </c>
      <c r="D28" s="203" t="s">
        <v>2630</v>
      </c>
    </row>
    <row r="29" spans="1:4" x14ac:dyDescent="0.25">
      <c r="A29" s="200" t="s">
        <v>1289</v>
      </c>
      <c r="B29" s="200" t="s">
        <v>2634</v>
      </c>
      <c r="C29" s="203" t="s">
        <v>674</v>
      </c>
      <c r="D29" s="203" t="s">
        <v>2635</v>
      </c>
    </row>
    <row r="30" spans="1:4" x14ac:dyDescent="0.25">
      <c r="A30" s="200" t="s">
        <v>2636</v>
      </c>
      <c r="B30" s="200" t="s">
        <v>2637</v>
      </c>
      <c r="C30" s="203" t="s">
        <v>2638</v>
      </c>
      <c r="D30" s="203" t="s">
        <v>2638</v>
      </c>
    </row>
    <row r="31" spans="1:4" x14ac:dyDescent="0.25">
      <c r="A31" s="200" t="s">
        <v>2639</v>
      </c>
      <c r="B31" s="200" t="s">
        <v>2640</v>
      </c>
      <c r="C31" s="203" t="s">
        <v>2641</v>
      </c>
      <c r="D31" s="203" t="s">
        <v>2642</v>
      </c>
    </row>
    <row r="32" spans="1:4" x14ac:dyDescent="0.25">
      <c r="A32" s="200" t="s">
        <v>2643</v>
      </c>
      <c r="B32" s="200" t="s">
        <v>2644</v>
      </c>
      <c r="C32" s="203" t="s">
        <v>2645</v>
      </c>
      <c r="D32" s="203" t="s">
        <v>2646</v>
      </c>
    </row>
    <row r="33" spans="1:4" x14ac:dyDescent="0.25">
      <c r="A33" s="200" t="s">
        <v>2647</v>
      </c>
      <c r="B33" s="200" t="s">
        <v>2648</v>
      </c>
      <c r="C33" s="203" t="s">
        <v>2649</v>
      </c>
      <c r="D33" s="203" t="s">
        <v>2649</v>
      </c>
    </row>
    <row r="34" spans="1:4" x14ac:dyDescent="0.25">
      <c r="A34" s="200" t="s">
        <v>2650</v>
      </c>
      <c r="B34" s="200" t="s">
        <v>2651</v>
      </c>
      <c r="C34" s="203" t="s">
        <v>2652</v>
      </c>
      <c r="D34" s="203" t="s">
        <v>2653</v>
      </c>
    </row>
    <row r="35" spans="1:4" x14ac:dyDescent="0.25">
      <c r="A35" s="200" t="s">
        <v>2654</v>
      </c>
      <c r="B35" s="200" t="s">
        <v>2655</v>
      </c>
      <c r="C35" s="203" t="s">
        <v>2656</v>
      </c>
      <c r="D35" s="203" t="s">
        <v>2656</v>
      </c>
    </row>
    <row r="36" spans="1:4" x14ac:dyDescent="0.25">
      <c r="A36" s="200" t="s">
        <v>2786</v>
      </c>
      <c r="B36" s="200" t="s">
        <v>2787</v>
      </c>
      <c r="C36" s="203" t="s">
        <v>2788</v>
      </c>
      <c r="D36" s="203" t="s">
        <v>2788</v>
      </c>
    </row>
    <row r="37" spans="1:4" x14ac:dyDescent="0.25">
      <c r="A37" s="203" t="s">
        <v>2663</v>
      </c>
      <c r="B37" s="203" t="s">
        <v>2664</v>
      </c>
      <c r="C37" s="203" t="s">
        <v>2665</v>
      </c>
      <c r="D37" s="203" t="s">
        <v>2665</v>
      </c>
    </row>
    <row r="38" spans="1:4" x14ac:dyDescent="0.25">
      <c r="A38" s="203" t="s">
        <v>2657</v>
      </c>
      <c r="B38" s="203" t="s">
        <v>2658</v>
      </c>
      <c r="C38" s="203" t="s">
        <v>2659</v>
      </c>
      <c r="D38" s="203" t="s">
        <v>2659</v>
      </c>
    </row>
    <row r="39" spans="1:4" x14ac:dyDescent="0.25">
      <c r="A39" s="203" t="s">
        <v>2660</v>
      </c>
      <c r="B39" s="203" t="s">
        <v>2661</v>
      </c>
      <c r="C39" s="203" t="s">
        <v>2662</v>
      </c>
      <c r="D39" s="203" t="s">
        <v>2662</v>
      </c>
    </row>
    <row r="40" spans="1:4" x14ac:dyDescent="0.25">
      <c r="A40" s="203" t="s">
        <v>2669</v>
      </c>
      <c r="B40" s="203" t="s">
        <v>2670</v>
      </c>
      <c r="C40" s="203" t="s">
        <v>2671</v>
      </c>
      <c r="D40" s="203" t="s">
        <v>2671</v>
      </c>
    </row>
    <row r="41" spans="1:4" x14ac:dyDescent="0.25">
      <c r="A41" s="203" t="s">
        <v>723</v>
      </c>
      <c r="B41" s="200" t="s">
        <v>724</v>
      </c>
      <c r="C41" s="203" t="s">
        <v>2672</v>
      </c>
      <c r="D41" s="203" t="s">
        <v>2600</v>
      </c>
    </row>
    <row r="42" spans="1:4" x14ac:dyDescent="0.25">
      <c r="A42" s="200" t="s">
        <v>2673</v>
      </c>
      <c r="B42" s="200" t="s">
        <v>2674</v>
      </c>
      <c r="C42" s="203" t="s">
        <v>2675</v>
      </c>
      <c r="D42" s="203" t="s">
        <v>2612</v>
      </c>
    </row>
    <row r="43" spans="1:4" x14ac:dyDescent="0.25">
      <c r="A43" s="200" t="s">
        <v>2676</v>
      </c>
      <c r="B43" s="200" t="s">
        <v>2677</v>
      </c>
      <c r="C43" s="203" t="s">
        <v>2675</v>
      </c>
      <c r="D43" s="203" t="s">
        <v>2678</v>
      </c>
    </row>
    <row r="44" spans="1:4" x14ac:dyDescent="0.25">
      <c r="A44" s="200" t="s">
        <v>840</v>
      </c>
      <c r="B44" s="200" t="s">
        <v>2679</v>
      </c>
      <c r="C44" s="203" t="s">
        <v>2680</v>
      </c>
      <c r="D44" s="203">
        <v>0</v>
      </c>
    </row>
    <row r="45" spans="1:4" x14ac:dyDescent="0.25">
      <c r="A45" s="203" t="s">
        <v>2681</v>
      </c>
      <c r="B45" s="203" t="s">
        <v>2682</v>
      </c>
      <c r="C45" s="203" t="s">
        <v>2680</v>
      </c>
      <c r="D45" s="203" t="s">
        <v>2683</v>
      </c>
    </row>
    <row r="46" spans="1:4" x14ac:dyDescent="0.25">
      <c r="A46" s="200" t="s">
        <v>36</v>
      </c>
      <c r="B46" s="200" t="s">
        <v>2684</v>
      </c>
      <c r="C46" s="203" t="s">
        <v>2680</v>
      </c>
      <c r="D46" s="203" t="s">
        <v>2635</v>
      </c>
    </row>
    <row r="47" spans="1:4" x14ac:dyDescent="0.25">
      <c r="A47" s="200" t="s">
        <v>578</v>
      </c>
      <c r="B47" s="200" t="s">
        <v>2685</v>
      </c>
      <c r="C47" s="203" t="s">
        <v>2680</v>
      </c>
      <c r="D47" s="203" t="s">
        <v>2635</v>
      </c>
    </row>
    <row r="48" spans="1:4" x14ac:dyDescent="0.25">
      <c r="A48" s="200" t="s">
        <v>200</v>
      </c>
      <c r="B48" s="200" t="s">
        <v>2686</v>
      </c>
      <c r="C48" s="203" t="s">
        <v>2680</v>
      </c>
      <c r="D48" s="203" t="s">
        <v>2635</v>
      </c>
    </row>
    <row r="49" spans="1:4" x14ac:dyDescent="0.25">
      <c r="A49" s="200" t="s">
        <v>621</v>
      </c>
      <c r="B49" s="200" t="s">
        <v>2687</v>
      </c>
      <c r="C49" s="203" t="s">
        <v>2680</v>
      </c>
      <c r="D49" s="203" t="s">
        <v>2635</v>
      </c>
    </row>
    <row r="50" spans="1:4" x14ac:dyDescent="0.25">
      <c r="A50" s="200" t="s">
        <v>620</v>
      </c>
      <c r="B50" s="200" t="s">
        <v>2688</v>
      </c>
      <c r="C50" s="203" t="s">
        <v>2680</v>
      </c>
      <c r="D50" s="203" t="s">
        <v>2635</v>
      </c>
    </row>
    <row r="51" spans="1:4" x14ac:dyDescent="0.25">
      <c r="A51" s="203" t="s">
        <v>833</v>
      </c>
      <c r="B51" s="203" t="s">
        <v>2689</v>
      </c>
      <c r="C51" s="203" t="s">
        <v>2680</v>
      </c>
      <c r="D51" s="203" t="s">
        <v>2635</v>
      </c>
    </row>
    <row r="52" spans="1:4" x14ac:dyDescent="0.25">
      <c r="A52" s="203" t="s">
        <v>2690</v>
      </c>
      <c r="B52" s="203" t="s">
        <v>2691</v>
      </c>
      <c r="C52" s="203" t="s">
        <v>2680</v>
      </c>
      <c r="D52" s="203" t="s">
        <v>2635</v>
      </c>
    </row>
    <row r="53" spans="1:4" x14ac:dyDescent="0.25">
      <c r="A53" s="203" t="s">
        <v>2284</v>
      </c>
      <c r="B53" s="203" t="s">
        <v>2692</v>
      </c>
      <c r="C53" s="203" t="s">
        <v>2680</v>
      </c>
      <c r="D53" s="203" t="s">
        <v>2635</v>
      </c>
    </row>
    <row r="54" spans="1:4" x14ac:dyDescent="0.25">
      <c r="A54" s="200" t="s">
        <v>299</v>
      </c>
      <c r="B54" s="200" t="s">
        <v>2693</v>
      </c>
      <c r="C54" s="203" t="s">
        <v>2680</v>
      </c>
      <c r="D54" s="203" t="s">
        <v>2612</v>
      </c>
    </row>
    <row r="55" spans="1:4" x14ac:dyDescent="0.25">
      <c r="A55" s="200" t="s">
        <v>64</v>
      </c>
      <c r="B55" s="200" t="s">
        <v>2694</v>
      </c>
      <c r="C55" s="203" t="s">
        <v>2680</v>
      </c>
      <c r="D55" s="203" t="s">
        <v>2612</v>
      </c>
    </row>
    <row r="56" spans="1:4" x14ac:dyDescent="0.25">
      <c r="A56" s="200" t="s">
        <v>102</v>
      </c>
      <c r="B56" s="200" t="s">
        <v>2695</v>
      </c>
      <c r="C56" s="203" t="s">
        <v>2680</v>
      </c>
      <c r="D56" s="203" t="s">
        <v>2612</v>
      </c>
    </row>
    <row r="57" spans="1:4" x14ac:dyDescent="0.25">
      <c r="A57" s="200" t="s">
        <v>105</v>
      </c>
      <c r="B57" s="200" t="s">
        <v>2696</v>
      </c>
      <c r="C57" s="203" t="s">
        <v>2680</v>
      </c>
      <c r="D57" s="203" t="s">
        <v>2612</v>
      </c>
    </row>
    <row r="58" spans="1:4" x14ac:dyDescent="0.25">
      <c r="A58" s="200" t="s">
        <v>40</v>
      </c>
      <c r="B58" s="200" t="s">
        <v>2697</v>
      </c>
      <c r="C58" s="203" t="s">
        <v>2680</v>
      </c>
      <c r="D58" s="203" t="s">
        <v>2612</v>
      </c>
    </row>
    <row r="59" spans="1:4" x14ac:dyDescent="0.25">
      <c r="A59" s="200" t="s">
        <v>107</v>
      </c>
      <c r="B59" s="200" t="s">
        <v>2698</v>
      </c>
      <c r="C59" s="203" t="s">
        <v>2680</v>
      </c>
      <c r="D59" s="203" t="s">
        <v>2612</v>
      </c>
    </row>
    <row r="60" spans="1:4" x14ac:dyDescent="0.25">
      <c r="A60" s="200" t="s">
        <v>335</v>
      </c>
      <c r="B60" s="200" t="s">
        <v>2698</v>
      </c>
      <c r="C60" s="203" t="s">
        <v>2680</v>
      </c>
      <c r="D60" s="203" t="s">
        <v>2612</v>
      </c>
    </row>
    <row r="61" spans="1:4" x14ac:dyDescent="0.25">
      <c r="A61" s="200" t="s">
        <v>70</v>
      </c>
      <c r="B61" s="200" t="s">
        <v>2698</v>
      </c>
      <c r="C61" s="203" t="s">
        <v>2680</v>
      </c>
      <c r="D61" s="203" t="s">
        <v>2612</v>
      </c>
    </row>
    <row r="62" spans="1:4" x14ac:dyDescent="0.25">
      <c r="A62" s="200" t="s">
        <v>70</v>
      </c>
      <c r="B62" s="200" t="s">
        <v>2699</v>
      </c>
      <c r="C62" s="203" t="s">
        <v>2680</v>
      </c>
      <c r="D62" s="203" t="s">
        <v>2612</v>
      </c>
    </row>
    <row r="63" spans="1:4" x14ac:dyDescent="0.25">
      <c r="A63" s="200" t="s">
        <v>44</v>
      </c>
      <c r="B63" s="200" t="s">
        <v>2700</v>
      </c>
      <c r="C63" s="203" t="s">
        <v>2680</v>
      </c>
      <c r="D63" s="203" t="s">
        <v>2612</v>
      </c>
    </row>
    <row r="64" spans="1:4" x14ac:dyDescent="0.25">
      <c r="A64" s="200" t="s">
        <v>56</v>
      </c>
      <c r="B64" s="200" t="s">
        <v>2701</v>
      </c>
      <c r="C64" s="203" t="s">
        <v>2680</v>
      </c>
      <c r="D64" s="203" t="s">
        <v>2612</v>
      </c>
    </row>
    <row r="65" spans="1:4" x14ac:dyDescent="0.25">
      <c r="A65" s="200" t="s">
        <v>259</v>
      </c>
      <c r="B65" s="200" t="s">
        <v>2702</v>
      </c>
      <c r="C65" s="203" t="s">
        <v>2680</v>
      </c>
      <c r="D65" s="203" t="s">
        <v>2612</v>
      </c>
    </row>
    <row r="66" spans="1:4" x14ac:dyDescent="0.25">
      <c r="A66" s="200" t="s">
        <v>162</v>
      </c>
      <c r="B66" s="200" t="s">
        <v>2703</v>
      </c>
      <c r="C66" s="203" t="s">
        <v>2680</v>
      </c>
      <c r="D66" s="203" t="s">
        <v>2612</v>
      </c>
    </row>
    <row r="67" spans="1:4" x14ac:dyDescent="0.25">
      <c r="A67" s="200" t="s">
        <v>192</v>
      </c>
      <c r="B67" s="200" t="s">
        <v>2704</v>
      </c>
      <c r="C67" s="203" t="s">
        <v>2680</v>
      </c>
      <c r="D67" s="203" t="s">
        <v>2612</v>
      </c>
    </row>
    <row r="68" spans="1:4" x14ac:dyDescent="0.25">
      <c r="A68" s="200" t="s">
        <v>2705</v>
      </c>
      <c r="B68" s="200" t="s">
        <v>2706</v>
      </c>
      <c r="C68" s="203" t="s">
        <v>2680</v>
      </c>
      <c r="D68" s="203" t="s">
        <v>2612</v>
      </c>
    </row>
    <row r="69" spans="1:4" x14ac:dyDescent="0.25">
      <c r="A69" s="200" t="s">
        <v>210</v>
      </c>
      <c r="B69" s="200" t="s">
        <v>2707</v>
      </c>
      <c r="C69" s="203" t="s">
        <v>2680</v>
      </c>
      <c r="D69" s="203" t="s">
        <v>2612</v>
      </c>
    </row>
    <row r="70" spans="1:4" x14ac:dyDescent="0.25">
      <c r="A70" s="200" t="s">
        <v>226</v>
      </c>
      <c r="B70" s="200" t="s">
        <v>2708</v>
      </c>
      <c r="C70" s="203" t="s">
        <v>2680</v>
      </c>
      <c r="D70" s="203" t="s">
        <v>2612</v>
      </c>
    </row>
    <row r="71" spans="1:4" x14ac:dyDescent="0.25">
      <c r="A71" s="200" t="s">
        <v>268</v>
      </c>
      <c r="B71" s="200" t="s">
        <v>2709</v>
      </c>
      <c r="C71" s="203" t="s">
        <v>2680</v>
      </c>
      <c r="D71" s="203" t="s">
        <v>2612</v>
      </c>
    </row>
    <row r="72" spans="1:4" x14ac:dyDescent="0.25">
      <c r="A72" s="200" t="s">
        <v>410</v>
      </c>
      <c r="B72" s="200" t="s">
        <v>2710</v>
      </c>
      <c r="C72" s="203" t="s">
        <v>2680</v>
      </c>
      <c r="D72" s="203" t="s">
        <v>2612</v>
      </c>
    </row>
    <row r="73" spans="1:4" x14ac:dyDescent="0.25">
      <c r="A73" s="200" t="s">
        <v>410</v>
      </c>
      <c r="B73" s="200" t="s">
        <v>2711</v>
      </c>
      <c r="C73" s="203" t="s">
        <v>2680</v>
      </c>
      <c r="D73" s="203" t="s">
        <v>2612</v>
      </c>
    </row>
    <row r="74" spans="1:4" x14ac:dyDescent="0.25">
      <c r="A74" s="200" t="s">
        <v>886</v>
      </c>
      <c r="B74" s="200" t="s">
        <v>2712</v>
      </c>
      <c r="C74" s="203" t="s">
        <v>2680</v>
      </c>
      <c r="D74" s="203" t="s">
        <v>2612</v>
      </c>
    </row>
    <row r="75" spans="1:4" x14ac:dyDescent="0.25">
      <c r="A75" s="200" t="s">
        <v>553</v>
      </c>
      <c r="B75" s="200" t="s">
        <v>2713</v>
      </c>
      <c r="C75" s="203" t="s">
        <v>2680</v>
      </c>
      <c r="D75" s="203" t="s">
        <v>2612</v>
      </c>
    </row>
    <row r="76" spans="1:4" x14ac:dyDescent="0.25">
      <c r="A76" s="200" t="s">
        <v>629</v>
      </c>
      <c r="B76" s="200" t="s">
        <v>2802</v>
      </c>
      <c r="C76" s="203" t="s">
        <v>2680</v>
      </c>
      <c r="D76" s="203" t="s">
        <v>2612</v>
      </c>
    </row>
    <row r="77" spans="1:4" x14ac:dyDescent="0.25">
      <c r="A77" s="200" t="s">
        <v>1173</v>
      </c>
      <c r="B77" s="200" t="s">
        <v>2714</v>
      </c>
      <c r="C77" s="203" t="s">
        <v>2680</v>
      </c>
      <c r="D77" s="203" t="s">
        <v>2612</v>
      </c>
    </row>
    <row r="78" spans="1:4" x14ac:dyDescent="0.25">
      <c r="A78" s="203" t="s">
        <v>890</v>
      </c>
      <c r="B78" s="200" t="s">
        <v>2715</v>
      </c>
      <c r="C78" s="203" t="s">
        <v>2680</v>
      </c>
      <c r="D78" s="203" t="s">
        <v>2612</v>
      </c>
    </row>
    <row r="79" spans="1:4" x14ac:dyDescent="0.25">
      <c r="A79" s="203" t="s">
        <v>957</v>
      </c>
      <c r="B79" s="200" t="s">
        <v>2716</v>
      </c>
      <c r="C79" s="203" t="s">
        <v>2680</v>
      </c>
      <c r="D79" s="203" t="s">
        <v>2612</v>
      </c>
    </row>
    <row r="80" spans="1:4" x14ac:dyDescent="0.25">
      <c r="A80" s="203" t="s">
        <v>982</v>
      </c>
      <c r="B80" s="203" t="s">
        <v>2717</v>
      </c>
      <c r="C80" s="203" t="s">
        <v>2680</v>
      </c>
      <c r="D80" s="203" t="s">
        <v>2612</v>
      </c>
    </row>
    <row r="81" spans="1:4" x14ac:dyDescent="0.25">
      <c r="A81" s="203" t="s">
        <v>908</v>
      </c>
      <c r="B81" s="203" t="s">
        <v>2718</v>
      </c>
      <c r="C81" s="203" t="s">
        <v>2680</v>
      </c>
      <c r="D81" s="203" t="s">
        <v>2612</v>
      </c>
    </row>
    <row r="82" spans="1:4" x14ac:dyDescent="0.25">
      <c r="A82" s="203" t="s">
        <v>983</v>
      </c>
      <c r="B82" s="203" t="s">
        <v>2719</v>
      </c>
      <c r="C82" s="203" t="s">
        <v>2680</v>
      </c>
      <c r="D82" s="203" t="s">
        <v>2612</v>
      </c>
    </row>
    <row r="83" spans="1:4" x14ac:dyDescent="0.25">
      <c r="A83" s="203" t="s">
        <v>1139</v>
      </c>
      <c r="B83" s="203" t="s">
        <v>2720</v>
      </c>
      <c r="C83" s="203" t="s">
        <v>2680</v>
      </c>
      <c r="D83" s="203" t="s">
        <v>2612</v>
      </c>
    </row>
    <row r="84" spans="1:4" x14ac:dyDescent="0.25">
      <c r="A84" s="203" t="s">
        <v>2047</v>
      </c>
      <c r="B84" s="203" t="s">
        <v>2721</v>
      </c>
      <c r="C84" s="203" t="s">
        <v>2680</v>
      </c>
      <c r="D84" s="203" t="s">
        <v>2722</v>
      </c>
    </row>
    <row r="85" spans="1:4" x14ac:dyDescent="0.25">
      <c r="A85" s="203" t="s">
        <v>2032</v>
      </c>
      <c r="B85" s="203" t="s">
        <v>2723</v>
      </c>
      <c r="C85" s="203" t="s">
        <v>2680</v>
      </c>
      <c r="D85" s="203" t="s">
        <v>2722</v>
      </c>
    </row>
    <row r="86" spans="1:4" x14ac:dyDescent="0.25">
      <c r="A86" s="200" t="s">
        <v>46</v>
      </c>
      <c r="B86" s="200" t="s">
        <v>2724</v>
      </c>
      <c r="C86" s="203" t="s">
        <v>2680</v>
      </c>
      <c r="D86" s="203" t="s">
        <v>2678</v>
      </c>
    </row>
    <row r="87" spans="1:4" x14ac:dyDescent="0.25">
      <c r="A87" s="200" t="s">
        <v>1421</v>
      </c>
      <c r="B87" s="200" t="s">
        <v>2725</v>
      </c>
      <c r="C87" s="203" t="s">
        <v>2680</v>
      </c>
      <c r="D87" s="203" t="s">
        <v>2678</v>
      </c>
    </row>
    <row r="88" spans="1:4" x14ac:dyDescent="0.25">
      <c r="A88" s="200" t="s">
        <v>1421</v>
      </c>
      <c r="B88" s="200" t="s">
        <v>2696</v>
      </c>
      <c r="C88" s="203" t="s">
        <v>2680</v>
      </c>
      <c r="D88" s="203" t="s">
        <v>2678</v>
      </c>
    </row>
    <row r="89" spans="1:4" x14ac:dyDescent="0.25">
      <c r="A89" s="200" t="s">
        <v>111</v>
      </c>
      <c r="B89" s="200" t="s">
        <v>2726</v>
      </c>
      <c r="C89" s="203" t="s">
        <v>2680</v>
      </c>
      <c r="D89" s="203" t="s">
        <v>2678</v>
      </c>
    </row>
    <row r="90" spans="1:4" x14ac:dyDescent="0.25">
      <c r="A90" s="200" t="s">
        <v>552</v>
      </c>
      <c r="B90" s="200" t="s">
        <v>2727</v>
      </c>
      <c r="C90" s="203" t="s">
        <v>2680</v>
      </c>
      <c r="D90" s="203" t="s">
        <v>2678</v>
      </c>
    </row>
    <row r="91" spans="1:4" x14ac:dyDescent="0.25">
      <c r="A91" s="200" t="s">
        <v>918</v>
      </c>
      <c r="B91" s="200" t="s">
        <v>2728</v>
      </c>
      <c r="C91" s="203" t="s">
        <v>2680</v>
      </c>
      <c r="D91" s="203" t="s">
        <v>2678</v>
      </c>
    </row>
    <row r="92" spans="1:4" x14ac:dyDescent="0.25">
      <c r="A92" s="203" t="s">
        <v>1258</v>
      </c>
      <c r="B92" s="203" t="s">
        <v>2729</v>
      </c>
      <c r="C92" s="203" t="s">
        <v>2680</v>
      </c>
      <c r="D92" s="203" t="s">
        <v>2678</v>
      </c>
    </row>
    <row r="93" spans="1:4" x14ac:dyDescent="0.25">
      <c r="A93" s="200" t="s">
        <v>660</v>
      </c>
      <c r="B93" s="200" t="s">
        <v>2730</v>
      </c>
      <c r="C93" s="203" t="s">
        <v>2731</v>
      </c>
      <c r="D93" s="203" t="s">
        <v>2612</v>
      </c>
    </row>
    <row r="94" spans="1:4" x14ac:dyDescent="0.25">
      <c r="A94" s="203" t="s">
        <v>1232</v>
      </c>
      <c r="B94" s="203" t="s">
        <v>2732</v>
      </c>
      <c r="C94" s="203" t="s">
        <v>1641</v>
      </c>
      <c r="D94" s="203" t="s">
        <v>2612</v>
      </c>
    </row>
    <row r="95" spans="1:4" x14ac:dyDescent="0.25">
      <c r="A95" s="200" t="s">
        <v>2733</v>
      </c>
      <c r="B95" s="200" t="s">
        <v>2734</v>
      </c>
      <c r="C95" s="203" t="s">
        <v>2735</v>
      </c>
      <c r="D95" s="203" t="s">
        <v>2612</v>
      </c>
    </row>
    <row r="96" spans="1:4" x14ac:dyDescent="0.25">
      <c r="A96" s="203" t="s">
        <v>2666</v>
      </c>
      <c r="B96" s="203" t="s">
        <v>2667</v>
      </c>
      <c r="C96" s="203" t="s">
        <v>2668</v>
      </c>
      <c r="D96" s="203" t="s">
        <v>2668</v>
      </c>
    </row>
    <row r="97" spans="1:4" x14ac:dyDescent="0.25">
      <c r="A97" s="203" t="s">
        <v>2803</v>
      </c>
      <c r="B97" s="203" t="s">
        <v>2804</v>
      </c>
      <c r="C97" s="203" t="s">
        <v>2805</v>
      </c>
      <c r="D97" s="203" t="s">
        <v>2805</v>
      </c>
    </row>
    <row r="98" spans="1:4" x14ac:dyDescent="0.25">
      <c r="A98" s="200" t="s">
        <v>2740</v>
      </c>
      <c r="B98" s="200" t="s">
        <v>2741</v>
      </c>
      <c r="C98" s="203" t="s">
        <v>2738</v>
      </c>
      <c r="D98" s="203" t="s">
        <v>2722</v>
      </c>
    </row>
    <row r="99" spans="1:4" x14ac:dyDescent="0.25">
      <c r="A99" s="200" t="s">
        <v>2742</v>
      </c>
      <c r="B99" s="200" t="s">
        <v>2743</v>
      </c>
      <c r="C99" s="203" t="s">
        <v>2738</v>
      </c>
      <c r="D99" s="203" t="s">
        <v>2722</v>
      </c>
    </row>
    <row r="100" spans="1:4" x14ac:dyDescent="0.25">
      <c r="A100" s="200" t="s">
        <v>2744</v>
      </c>
      <c r="B100" s="200" t="s">
        <v>2745</v>
      </c>
      <c r="C100" s="203" t="s">
        <v>2746</v>
      </c>
      <c r="D100" s="203" t="s">
        <v>2600</v>
      </c>
    </row>
    <row r="101" spans="1:4" x14ac:dyDescent="0.25">
      <c r="A101" s="200" t="s">
        <v>2747</v>
      </c>
      <c r="B101" s="200" t="s">
        <v>2748</v>
      </c>
      <c r="C101" s="203" t="s">
        <v>2746</v>
      </c>
      <c r="D101" s="203" t="s">
        <v>2600</v>
      </c>
    </row>
    <row r="102" spans="1:4" x14ac:dyDescent="0.25">
      <c r="A102" s="200" t="s">
        <v>286</v>
      </c>
      <c r="B102" s="200" t="s">
        <v>2749</v>
      </c>
      <c r="C102" s="203" t="s">
        <v>2746</v>
      </c>
      <c r="D102" s="203" t="s">
        <v>2600</v>
      </c>
    </row>
    <row r="103" spans="1:4" x14ac:dyDescent="0.25">
      <c r="A103" s="200" t="s">
        <v>2750</v>
      </c>
      <c r="B103" s="200" t="s">
        <v>2751</v>
      </c>
      <c r="C103" s="203" t="s">
        <v>2746</v>
      </c>
      <c r="D103" s="203" t="s">
        <v>2600</v>
      </c>
    </row>
    <row r="104" spans="1:4" x14ac:dyDescent="0.25">
      <c r="A104" s="203" t="s">
        <v>2752</v>
      </c>
      <c r="B104" s="203" t="s">
        <v>2745</v>
      </c>
      <c r="C104" s="203" t="s">
        <v>2746</v>
      </c>
      <c r="D104" s="203" t="s">
        <v>2600</v>
      </c>
    </row>
    <row r="105" spans="1:4" x14ac:dyDescent="0.25">
      <c r="A105" s="200" t="s">
        <v>239</v>
      </c>
      <c r="B105" s="200" t="s">
        <v>2753</v>
      </c>
      <c r="C105" s="203" t="s">
        <v>2738</v>
      </c>
      <c r="D105" s="203" t="s">
        <v>2635</v>
      </c>
    </row>
    <row r="106" spans="1:4" x14ac:dyDescent="0.25">
      <c r="A106" s="200" t="s">
        <v>146</v>
      </c>
      <c r="B106" s="200" t="s">
        <v>2754</v>
      </c>
      <c r="C106" s="203" t="s">
        <v>2738</v>
      </c>
      <c r="D106" s="203" t="s">
        <v>2612</v>
      </c>
    </row>
    <row r="107" spans="1:4" x14ac:dyDescent="0.25">
      <c r="A107" s="203" t="s">
        <v>1142</v>
      </c>
      <c r="B107" s="203" t="s">
        <v>2755</v>
      </c>
      <c r="C107" s="203" t="s">
        <v>2738</v>
      </c>
      <c r="D107" s="203" t="s">
        <v>2612</v>
      </c>
    </row>
    <row r="108" spans="1:4" x14ac:dyDescent="0.25">
      <c r="A108" s="200" t="s">
        <v>2756</v>
      </c>
      <c r="B108" s="200" t="s">
        <v>2757</v>
      </c>
      <c r="C108" s="203" t="s">
        <v>2738</v>
      </c>
      <c r="D108" s="203" t="s">
        <v>2722</v>
      </c>
    </row>
    <row r="109" spans="1:4" x14ac:dyDescent="0.25">
      <c r="A109" s="203" t="s">
        <v>1438</v>
      </c>
      <c r="B109" s="203" t="s">
        <v>2758</v>
      </c>
      <c r="C109" s="203" t="s">
        <v>2738</v>
      </c>
      <c r="D109" s="203" t="s">
        <v>2612</v>
      </c>
    </row>
    <row r="110" spans="1:4" x14ac:dyDescent="0.25">
      <c r="A110" s="203" t="s">
        <v>2009</v>
      </c>
      <c r="B110" s="203" t="s">
        <v>2759</v>
      </c>
      <c r="C110" s="203" t="s">
        <v>2738</v>
      </c>
      <c r="D110" s="203" t="s">
        <v>2722</v>
      </c>
    </row>
    <row r="111" spans="1:4" x14ac:dyDescent="0.25">
      <c r="A111" s="200" t="s">
        <v>2760</v>
      </c>
      <c r="B111" s="200" t="s">
        <v>2761</v>
      </c>
      <c r="C111" s="203" t="s">
        <v>2735</v>
      </c>
      <c r="D111" s="203" t="s">
        <v>2678</v>
      </c>
    </row>
    <row r="112" spans="1:4" x14ac:dyDescent="0.25">
      <c r="A112" s="200" t="s">
        <v>2762</v>
      </c>
      <c r="B112" s="200" t="s">
        <v>2763</v>
      </c>
      <c r="C112" s="203" t="s">
        <v>2738</v>
      </c>
      <c r="D112" s="203" t="s">
        <v>2722</v>
      </c>
    </row>
    <row r="113" spans="1:4" x14ac:dyDescent="0.25">
      <c r="A113" s="200" t="s">
        <v>2764</v>
      </c>
      <c r="B113" s="200" t="s">
        <v>2765</v>
      </c>
      <c r="C113" s="203" t="s">
        <v>2738</v>
      </c>
      <c r="D113" s="203" t="s">
        <v>2722</v>
      </c>
    </row>
    <row r="114" spans="1:4" x14ac:dyDescent="0.25">
      <c r="A114" s="200" t="s">
        <v>203</v>
      </c>
      <c r="B114" s="200" t="s">
        <v>2766</v>
      </c>
      <c r="C114" s="203" t="s">
        <v>2738</v>
      </c>
      <c r="D114" s="203" t="s">
        <v>2678</v>
      </c>
    </row>
    <row r="115" spans="1:4" x14ac:dyDescent="0.25">
      <c r="A115" s="203" t="s">
        <v>2767</v>
      </c>
      <c r="B115" s="203" t="s">
        <v>2768</v>
      </c>
      <c r="C115" s="203" t="s">
        <v>2738</v>
      </c>
      <c r="D115" s="203" t="s">
        <v>2722</v>
      </c>
    </row>
    <row r="116" spans="1:4" x14ac:dyDescent="0.25">
      <c r="A116" s="203" t="s">
        <v>2769</v>
      </c>
      <c r="B116" s="203" t="s">
        <v>2770</v>
      </c>
      <c r="C116" s="203" t="s">
        <v>2738</v>
      </c>
      <c r="D116" s="203" t="s">
        <v>2722</v>
      </c>
    </row>
    <row r="117" spans="1:4" x14ac:dyDescent="0.25">
      <c r="A117" s="203" t="s">
        <v>2771</v>
      </c>
      <c r="B117" s="203" t="s">
        <v>2772</v>
      </c>
      <c r="C117" s="203" t="s">
        <v>2738</v>
      </c>
      <c r="D117" s="203" t="s">
        <v>2722</v>
      </c>
    </row>
    <row r="118" spans="1:4" x14ac:dyDescent="0.25">
      <c r="A118" s="203" t="s">
        <v>2773</v>
      </c>
      <c r="B118" s="203" t="s">
        <v>2774</v>
      </c>
      <c r="C118" s="203" t="s">
        <v>2738</v>
      </c>
      <c r="D118" s="203" t="s">
        <v>2722</v>
      </c>
    </row>
    <row r="119" spans="1:4" x14ac:dyDescent="0.25">
      <c r="A119" s="200" t="s">
        <v>2780</v>
      </c>
      <c r="B119" s="200" t="s">
        <v>2781</v>
      </c>
      <c r="C119" s="203" t="s">
        <v>2738</v>
      </c>
      <c r="D119" s="203" t="s">
        <v>2678</v>
      </c>
    </row>
    <row r="120" spans="1:4" x14ac:dyDescent="0.25">
      <c r="A120" s="200" t="s">
        <v>2736</v>
      </c>
      <c r="B120" s="200" t="s">
        <v>2737</v>
      </c>
      <c r="C120" s="203" t="s">
        <v>2738</v>
      </c>
      <c r="D120" s="203" t="s">
        <v>2635</v>
      </c>
    </row>
    <row r="121" spans="1:4" x14ac:dyDescent="0.25">
      <c r="A121" s="203" t="s">
        <v>1220</v>
      </c>
      <c r="B121" s="203" t="s">
        <v>2782</v>
      </c>
      <c r="C121" s="203" t="s">
        <v>2746</v>
      </c>
      <c r="D121" s="203" t="s">
        <v>2678</v>
      </c>
    </row>
    <row r="122" spans="1:4" x14ac:dyDescent="0.25">
      <c r="A122" s="203" t="s">
        <v>1285</v>
      </c>
      <c r="B122" s="203" t="s">
        <v>2739</v>
      </c>
      <c r="C122" s="203" t="s">
        <v>2738</v>
      </c>
      <c r="D122" s="203" t="s">
        <v>2722</v>
      </c>
    </row>
    <row r="123" spans="1:4" x14ac:dyDescent="0.25">
      <c r="A123" s="200" t="s">
        <v>66</v>
      </c>
      <c r="B123" s="200" t="s">
        <v>2783</v>
      </c>
      <c r="C123" s="203" t="s">
        <v>2738</v>
      </c>
      <c r="D123" s="203" t="s">
        <v>2678</v>
      </c>
    </row>
    <row r="124" spans="1:4" x14ac:dyDescent="0.25">
      <c r="A124" s="203" t="s">
        <v>2775</v>
      </c>
      <c r="B124" s="203" t="s">
        <v>2776</v>
      </c>
      <c r="C124" s="203" t="s">
        <v>2738</v>
      </c>
      <c r="D124" s="203" t="s">
        <v>2777</v>
      </c>
    </row>
    <row r="125" spans="1:4" x14ac:dyDescent="0.25">
      <c r="A125" s="203" t="s">
        <v>2778</v>
      </c>
      <c r="B125" s="203" t="s">
        <v>2779</v>
      </c>
      <c r="C125" s="203" t="s">
        <v>2738</v>
      </c>
      <c r="D125" s="203" t="s">
        <v>2609</v>
      </c>
    </row>
    <row r="126" spans="1:4" x14ac:dyDescent="0.25">
      <c r="A126" s="203" t="s">
        <v>2789</v>
      </c>
      <c r="B126" s="203" t="s">
        <v>2790</v>
      </c>
      <c r="C126" s="203" t="s">
        <v>2746</v>
      </c>
      <c r="D126" s="203" t="s">
        <v>2791</v>
      </c>
    </row>
    <row r="127" spans="1:4" x14ac:dyDescent="0.25">
      <c r="A127" s="200" t="s">
        <v>1965</v>
      </c>
      <c r="B127" s="200" t="s">
        <v>2792</v>
      </c>
      <c r="C127" s="203" t="s">
        <v>2738</v>
      </c>
      <c r="D127" s="203" t="s">
        <v>2722</v>
      </c>
    </row>
    <row r="128" spans="1:4" x14ac:dyDescent="0.25">
      <c r="A128" s="203" t="s">
        <v>2793</v>
      </c>
      <c r="B128" s="203" t="s">
        <v>2794</v>
      </c>
      <c r="C128" s="203" t="s">
        <v>2795</v>
      </c>
      <c r="D128" s="203" t="s">
        <v>2795</v>
      </c>
    </row>
    <row r="129" spans="1:4" x14ac:dyDescent="0.25">
      <c r="A129" s="200" t="s">
        <v>2068</v>
      </c>
      <c r="B129" s="203" t="s">
        <v>2796</v>
      </c>
      <c r="C129" s="203" t="s">
        <v>2797</v>
      </c>
      <c r="D129" s="203" t="s">
        <v>2798</v>
      </c>
    </row>
    <row r="130" spans="1:4" x14ac:dyDescent="0.25">
      <c r="A130" s="203" t="s">
        <v>1551</v>
      </c>
      <c r="B130" s="200" t="s">
        <v>2799</v>
      </c>
      <c r="C130" s="203" t="s">
        <v>2680</v>
      </c>
      <c r="D130" s="203" t="s">
        <v>2800</v>
      </c>
    </row>
    <row r="131" spans="1:4" x14ac:dyDescent="0.25">
      <c r="A131" s="203" t="s">
        <v>2145</v>
      </c>
      <c r="B131" s="203" t="s">
        <v>2806</v>
      </c>
      <c r="C131" s="203" t="s">
        <v>674</v>
      </c>
      <c r="D131" s="203" t="s">
        <v>2807</v>
      </c>
    </row>
    <row r="132" spans="1:4" x14ac:dyDescent="0.25">
      <c r="A132" s="203" t="s">
        <v>2808</v>
      </c>
      <c r="B132" s="203" t="s">
        <v>2809</v>
      </c>
      <c r="C132" s="203" t="s">
        <v>2810</v>
      </c>
      <c r="D132" s="203" t="s">
        <v>2810</v>
      </c>
    </row>
    <row r="133" spans="1:4" x14ac:dyDescent="0.25">
      <c r="A133" s="203" t="s">
        <v>2811</v>
      </c>
      <c r="B133" s="203" t="s">
        <v>2812</v>
      </c>
      <c r="C133" s="203" t="s">
        <v>2738</v>
      </c>
      <c r="D133" s="203" t="s">
        <v>2813</v>
      </c>
    </row>
    <row r="134" spans="1:4" x14ac:dyDescent="0.25">
      <c r="A134" s="203" t="s">
        <v>2814</v>
      </c>
      <c r="B134" s="203" t="s">
        <v>2815</v>
      </c>
      <c r="C134" s="203" t="s">
        <v>2738</v>
      </c>
      <c r="D134" s="203" t="s">
        <v>2612</v>
      </c>
    </row>
    <row r="135" spans="1:4" x14ac:dyDescent="0.25">
      <c r="A135" s="203" t="s">
        <v>2784</v>
      </c>
      <c r="B135" s="203" t="s">
        <v>2785</v>
      </c>
      <c r="C135" s="203" t="s">
        <v>2746</v>
      </c>
      <c r="D135" s="203" t="s">
        <v>2600</v>
      </c>
    </row>
    <row r="136" spans="1:4" x14ac:dyDescent="0.25">
      <c r="A136" s="203" t="s">
        <v>1697</v>
      </c>
      <c r="B136" s="203" t="s">
        <v>2816</v>
      </c>
      <c r="C136" s="203" t="s">
        <v>2680</v>
      </c>
      <c r="D136" s="203" t="s">
        <v>2817</v>
      </c>
    </row>
    <row r="137" spans="1:4" x14ac:dyDescent="0.25">
      <c r="A137" s="203" t="s">
        <v>2818</v>
      </c>
      <c r="B137" s="203" t="s">
        <v>2819</v>
      </c>
      <c r="C137" s="203" t="s">
        <v>2820</v>
      </c>
      <c r="D137" s="203" t="s">
        <v>2820</v>
      </c>
    </row>
    <row r="138" spans="1:4" x14ac:dyDescent="0.25">
      <c r="A138" s="203" t="s">
        <v>2821</v>
      </c>
      <c r="B138" s="203" t="s">
        <v>2822</v>
      </c>
      <c r="C138" s="203" t="s">
        <v>2738</v>
      </c>
      <c r="D138" s="203" t="s">
        <v>2612</v>
      </c>
    </row>
    <row r="139" spans="1:4" x14ac:dyDescent="0.25">
      <c r="A139" s="203" t="s">
        <v>2823</v>
      </c>
      <c r="B139" s="203" t="s">
        <v>2824</v>
      </c>
      <c r="C139" s="203" t="s">
        <v>2746</v>
      </c>
      <c r="D139" s="203" t="s">
        <v>2600</v>
      </c>
    </row>
    <row r="140" spans="1:4" x14ac:dyDescent="0.25">
      <c r="A140" s="203" t="s">
        <v>2825</v>
      </c>
      <c r="B140" s="203" t="s">
        <v>2826</v>
      </c>
      <c r="C140" s="203" t="s">
        <v>2680</v>
      </c>
      <c r="D140" s="203" t="s">
        <v>2635</v>
      </c>
    </row>
    <row r="141" spans="1:4" x14ac:dyDescent="0.25">
      <c r="A141" s="203" t="s">
        <v>2827</v>
      </c>
      <c r="B141" s="203" t="s">
        <v>2828</v>
      </c>
      <c r="C141" s="203" t="s">
        <v>2738</v>
      </c>
      <c r="D141" s="203" t="s">
        <v>2612</v>
      </c>
    </row>
    <row r="142" spans="1:4" x14ac:dyDescent="0.25">
      <c r="A142" s="203" t="s">
        <v>2829</v>
      </c>
      <c r="B142" s="203" t="s">
        <v>2830</v>
      </c>
      <c r="C142" s="203" t="s">
        <v>2738</v>
      </c>
      <c r="D142" s="203" t="s">
        <v>2630</v>
      </c>
    </row>
    <row r="143" spans="1:4" x14ac:dyDescent="0.25">
      <c r="A143" s="203" t="s">
        <v>2857</v>
      </c>
      <c r="B143" s="203" t="s">
        <v>2858</v>
      </c>
      <c r="C143" s="203" t="s">
        <v>2859</v>
      </c>
      <c r="D143" s="203" t="s">
        <v>2630</v>
      </c>
    </row>
    <row r="144" spans="1:4" x14ac:dyDescent="0.25">
      <c r="A144" s="214" t="s">
        <v>2915</v>
      </c>
      <c r="B144" s="214" t="s">
        <v>2944</v>
      </c>
      <c r="C144" s="203" t="s">
        <v>2859</v>
      </c>
      <c r="D144" s="214" t="s">
        <v>2807</v>
      </c>
    </row>
    <row r="145" spans="1:4" x14ac:dyDescent="0.25">
      <c r="A145" s="214"/>
      <c r="B145" s="214"/>
      <c r="C145" s="214"/>
      <c r="D145" s="2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66"/>
  <sheetViews>
    <sheetView zoomScale="90" zoomScaleNormal="90" workbookViewId="0">
      <selection activeCell="C1" sqref="C1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5703125" bestFit="1" customWidth="1"/>
    <col min="4" max="4" width="15.7109375" bestFit="1" customWidth="1"/>
    <col min="5" max="5" width="13.28515625" bestFit="1" customWidth="1"/>
    <col min="6" max="6" width="20.5703125" bestFit="1" customWidth="1"/>
    <col min="7" max="7" width="24.5703125" bestFit="1" customWidth="1"/>
    <col min="8" max="8" width="12.28515625" bestFit="1" customWidth="1"/>
    <col min="9" max="9" width="14.42578125" bestFit="1" customWidth="1"/>
    <col min="10" max="10" width="14.85546875" bestFit="1" customWidth="1"/>
    <col min="11" max="11" width="14.7109375" bestFit="1" customWidth="1"/>
    <col min="12" max="12" width="8.85546875" bestFit="1" customWidth="1"/>
    <col min="13" max="13" width="11.28515625" bestFit="1" customWidth="1"/>
    <col min="14" max="14" width="19.140625" bestFit="1" customWidth="1"/>
    <col min="15" max="15" width="19.7109375" bestFit="1" customWidth="1"/>
    <col min="16" max="16" width="16.140625" bestFit="1" customWidth="1"/>
    <col min="17" max="17" width="15.7109375" bestFit="1" customWidth="1"/>
    <col min="18" max="18" width="33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43270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6000</v>
      </c>
      <c r="J2">
        <v>6000</v>
      </c>
      <c r="K2">
        <v>6000</v>
      </c>
      <c r="L2" t="s">
        <v>25</v>
      </c>
      <c r="M2" t="s">
        <v>26</v>
      </c>
      <c r="N2">
        <v>18500</v>
      </c>
      <c r="O2">
        <v>111000000</v>
      </c>
      <c r="P2" t="str">
        <f>IF(T[[#This Row],[qty_ordered]]&lt;&gt;T[[#This Row],[qty_received]],IF(T[[#This Row],[qty_received]]&gt;0,"Partial Received","Not Receviced"),"FullyReceived")</f>
        <v>FullyReceived</v>
      </c>
      <c r="Q2" t="str">
        <f>IF(T[[#This Row],[qty_received]]&lt;&gt;T[[#This Row],[qty_invoiced]],IF(T[[#This Row],[qty_invoiced]]&gt;0,"Partial Invoiced","Not Invoiced"),"Fully Invoiced")</f>
        <v>Fully Invoiced</v>
      </c>
      <c r="R2" t="str">
        <f>IFERROR(VLOOKUP(T[[#This Row],[warehouse]],Table2[],2,FALSE),"--")</f>
        <v>Crusher KHN Bitar</v>
      </c>
    </row>
    <row r="3" spans="1:18" x14ac:dyDescent="0.25">
      <c r="A3" t="s">
        <v>18</v>
      </c>
      <c r="B3" s="1">
        <v>43270</v>
      </c>
      <c r="C3" t="s">
        <v>27</v>
      </c>
      <c r="D3" t="s">
        <v>20</v>
      </c>
      <c r="E3" t="s">
        <v>28</v>
      </c>
      <c r="F3" t="s">
        <v>22</v>
      </c>
      <c r="G3" t="s">
        <v>23</v>
      </c>
      <c r="H3" t="s">
        <v>24</v>
      </c>
      <c r="I3">
        <v>6000</v>
      </c>
      <c r="J3">
        <v>4761.1400000000003</v>
      </c>
      <c r="K3">
        <v>4761.1400000000003</v>
      </c>
      <c r="L3" t="s">
        <v>25</v>
      </c>
      <c r="M3" t="s">
        <v>26</v>
      </c>
      <c r="N3">
        <v>18500</v>
      </c>
      <c r="O3">
        <v>88081090</v>
      </c>
      <c r="P3" t="str">
        <f>IF(T[[#This Row],[qty_ordered]]&lt;&gt;T[[#This Row],[qty_received]],IF(T[[#This Row],[qty_received]]&gt;0,"Partial Received","Not Receviced"),"FullyReceived")</f>
        <v>Partial Received</v>
      </c>
      <c r="Q3" t="str">
        <f>IF(T[[#This Row],[qty_received]]&lt;&gt;T[[#This Row],[qty_invoiced]],IF(T[[#This Row],[qty_invoiced]]&gt;0,"Partial Invoiced","Not Invoiced"),"Fully Invoiced")</f>
        <v>Fully Invoiced</v>
      </c>
      <c r="R3" t="str">
        <f>IFERROR(VLOOKUP(T[[#This Row],[warehouse]],Table2[],2,FALSE),"--")</f>
        <v>Crusher KHN -ASVOC</v>
      </c>
    </row>
    <row r="4" spans="1:18" x14ac:dyDescent="0.25">
      <c r="A4" t="s">
        <v>18</v>
      </c>
      <c r="B4" s="1">
        <v>43270</v>
      </c>
      <c r="C4" t="s">
        <v>29</v>
      </c>
      <c r="D4" t="s">
        <v>20</v>
      </c>
      <c r="E4" t="s">
        <v>30</v>
      </c>
      <c r="F4" t="s">
        <v>22</v>
      </c>
      <c r="G4" t="s">
        <v>23</v>
      </c>
      <c r="H4" t="s">
        <v>24</v>
      </c>
      <c r="I4">
        <v>4000</v>
      </c>
      <c r="J4">
        <v>2572.4</v>
      </c>
      <c r="K4">
        <v>2572.4</v>
      </c>
      <c r="L4" t="s">
        <v>25</v>
      </c>
      <c r="M4" t="s">
        <v>26</v>
      </c>
      <c r="N4">
        <v>18500</v>
      </c>
      <c r="O4">
        <v>47589400</v>
      </c>
      <c r="P4" t="str">
        <f>IF(T[[#This Row],[qty_ordered]]&lt;&gt;T[[#This Row],[qty_received]],IF(T[[#This Row],[qty_received]]&gt;0,"Partial Received","Not Receviced"),"FullyReceived")</f>
        <v>Partial Received</v>
      </c>
      <c r="Q4" t="str">
        <f>IF(T[[#This Row],[qty_received]]&lt;&gt;T[[#This Row],[qty_invoiced]],IF(T[[#This Row],[qty_invoiced]]&gt;0,"Partial Invoiced","Not Invoiced"),"Fully Invoiced")</f>
        <v>Fully Invoiced</v>
      </c>
      <c r="R4" t="str">
        <f>IFERROR(VLOOKUP(T[[#This Row],[warehouse]],Table2[],2,FALSE),"--")</f>
        <v>Crusher KHA- SMA</v>
      </c>
    </row>
    <row r="5" spans="1:18" x14ac:dyDescent="0.25">
      <c r="A5" t="s">
        <v>18</v>
      </c>
      <c r="B5" s="1">
        <v>43270</v>
      </c>
      <c r="C5" t="s">
        <v>31</v>
      </c>
      <c r="D5" t="s">
        <v>20</v>
      </c>
      <c r="E5" t="s">
        <v>32</v>
      </c>
      <c r="F5" t="s">
        <v>22</v>
      </c>
      <c r="G5" t="s">
        <v>23</v>
      </c>
      <c r="H5" t="s">
        <v>24</v>
      </c>
      <c r="I5">
        <v>1432.69</v>
      </c>
      <c r="J5">
        <v>1432.69</v>
      </c>
      <c r="K5">
        <v>1432.69</v>
      </c>
      <c r="L5" t="s">
        <v>25</v>
      </c>
      <c r="M5" t="s">
        <v>26</v>
      </c>
      <c r="N5">
        <v>18500</v>
      </c>
      <c r="O5">
        <v>26504765</v>
      </c>
      <c r="P5" t="str">
        <f>IF(T[[#This Row],[qty_ordered]]&lt;&gt;T[[#This Row],[qty_received]],IF(T[[#This Row],[qty_received]]&gt;0,"Partial Received","Not Receviced"),"FullyReceived")</f>
        <v>FullyReceived</v>
      </c>
      <c r="Q5" t="str">
        <f>IF(T[[#This Row],[qty_received]]&lt;&gt;T[[#This Row],[qty_invoiced]],IF(T[[#This Row],[qty_invoiced]]&gt;0,"Partial Invoiced","Not Invoiced"),"Fully Invoiced")</f>
        <v>Fully Invoiced</v>
      </c>
      <c r="R5" t="str">
        <f>IFERROR(VLOOKUP(T[[#This Row],[warehouse]],Table2[],2,FALSE),"--")</f>
        <v>Crusher OMD -Kambal</v>
      </c>
    </row>
    <row r="6" spans="1:18" x14ac:dyDescent="0.25">
      <c r="A6" t="s">
        <v>18</v>
      </c>
      <c r="B6" s="1">
        <v>43270</v>
      </c>
      <c r="C6" t="s">
        <v>33</v>
      </c>
      <c r="D6" t="s">
        <v>20</v>
      </c>
      <c r="E6" t="s">
        <v>34</v>
      </c>
      <c r="F6" t="s">
        <v>22</v>
      </c>
      <c r="G6" t="s">
        <v>23</v>
      </c>
      <c r="H6" t="s">
        <v>24</v>
      </c>
      <c r="I6">
        <v>493.45</v>
      </c>
      <c r="J6">
        <v>493.45</v>
      </c>
      <c r="K6">
        <v>493.45</v>
      </c>
      <c r="L6" t="s">
        <v>25</v>
      </c>
      <c r="M6" t="s">
        <v>26</v>
      </c>
      <c r="N6">
        <v>18500</v>
      </c>
      <c r="O6">
        <v>9128825</v>
      </c>
      <c r="P6" t="str">
        <f>IF(T[[#This Row],[qty_ordered]]&lt;&gt;T[[#This Row],[qty_received]],IF(T[[#This Row],[qty_received]]&gt;0,"Partial Received","Not Receviced"),"FullyReceived")</f>
        <v>FullyReceived</v>
      </c>
      <c r="Q6" t="str">
        <f>IF(T[[#This Row],[qty_received]]&lt;&gt;T[[#This Row],[qty_invoiced]],IF(T[[#This Row],[qty_invoiced]]&gt;0,"Partial Invoiced","Not Invoiced"),"Fully Invoiced")</f>
        <v>Fully Invoiced</v>
      </c>
      <c r="R6" t="str">
        <f>IFERROR(VLOOKUP(T[[#This Row],[warehouse]],Table2[],2,FALSE),"--")</f>
        <v>Crusher - OMD -ADEEB</v>
      </c>
    </row>
    <row r="7" spans="1:18" x14ac:dyDescent="0.25">
      <c r="A7" t="s">
        <v>18</v>
      </c>
      <c r="B7" s="1">
        <v>43270</v>
      </c>
      <c r="C7" t="s">
        <v>35</v>
      </c>
      <c r="D7" t="s">
        <v>20</v>
      </c>
      <c r="E7" t="s">
        <v>36</v>
      </c>
      <c r="F7" t="s">
        <v>37</v>
      </c>
      <c r="G7" t="s">
        <v>38</v>
      </c>
      <c r="H7" t="s">
        <v>24</v>
      </c>
      <c r="I7">
        <v>10000</v>
      </c>
      <c r="J7">
        <v>7979.63</v>
      </c>
      <c r="K7">
        <v>7979.63</v>
      </c>
      <c r="L7" t="s">
        <v>25</v>
      </c>
      <c r="M7" t="s">
        <v>26</v>
      </c>
      <c r="N7">
        <v>30301</v>
      </c>
      <c r="O7">
        <v>241790768.63</v>
      </c>
      <c r="P7" t="str">
        <f>IF(T[[#This Row],[qty_ordered]]&lt;&gt;T[[#This Row],[qty_received]],IF(T[[#This Row],[qty_received]]&gt;0,"Partial Received","Not Receviced"),"FullyReceived")</f>
        <v>Partial Received</v>
      </c>
      <c r="Q7" t="str">
        <f>IF(T[[#This Row],[qty_received]]&lt;&gt;T[[#This Row],[qty_invoiced]],IF(T[[#This Row],[qty_invoiced]]&gt;0,"Partial Invoiced","Not Invoiced"),"Fully Invoiced")</f>
        <v>Fully Invoiced</v>
      </c>
      <c r="R7" t="str">
        <f>IFERROR(VLOOKUP(T[[#This Row],[warehouse]],Table2[],2,FALSE),"--")</f>
        <v>Sifter Gadarif -Copen</v>
      </c>
    </row>
    <row r="8" spans="1:18" x14ac:dyDescent="0.25">
      <c r="A8" t="s">
        <v>18</v>
      </c>
      <c r="B8" s="1">
        <v>43270</v>
      </c>
      <c r="C8" t="s">
        <v>39</v>
      </c>
      <c r="D8" t="s">
        <v>20</v>
      </c>
      <c r="E8" t="s">
        <v>40</v>
      </c>
      <c r="F8" t="s">
        <v>41</v>
      </c>
      <c r="G8" t="s">
        <v>42</v>
      </c>
      <c r="H8" t="s">
        <v>24</v>
      </c>
      <c r="I8">
        <v>2000</v>
      </c>
      <c r="J8">
        <v>1704.76</v>
      </c>
      <c r="K8">
        <v>1704.76</v>
      </c>
      <c r="L8" t="s">
        <v>25</v>
      </c>
      <c r="M8" t="s">
        <v>26</v>
      </c>
      <c r="N8">
        <v>27536</v>
      </c>
      <c r="O8">
        <v>46942271.359999999</v>
      </c>
      <c r="P8" t="str">
        <f>IF(T[[#This Row],[qty_ordered]]&lt;&gt;T[[#This Row],[qty_received]],IF(T[[#This Row],[qty_received]]&gt;0,"Partial Received","Not Receviced"),"FullyReceived")</f>
        <v>Partial Received</v>
      </c>
      <c r="Q8" t="str">
        <f>IF(T[[#This Row],[qty_received]]&lt;&gt;T[[#This Row],[qty_invoiced]],IF(T[[#This Row],[qty_invoiced]]&gt;0,"Partial Invoiced","Not Invoiced"),"Fully Invoiced")</f>
        <v>Fully Invoiced</v>
      </c>
      <c r="R8" t="str">
        <f>IFERROR(VLOOKUP(T[[#This Row],[warehouse]],Table2[],2,FALSE),"--")</f>
        <v>Sifter KHA -CHU</v>
      </c>
    </row>
    <row r="9" spans="1:18" x14ac:dyDescent="0.25">
      <c r="A9" t="s">
        <v>18</v>
      </c>
      <c r="B9" s="1">
        <v>43270</v>
      </c>
      <c r="C9" t="s">
        <v>43</v>
      </c>
      <c r="D9" t="s">
        <v>20</v>
      </c>
      <c r="E9" t="s">
        <v>44</v>
      </c>
      <c r="F9" t="s">
        <v>41</v>
      </c>
      <c r="G9" t="s">
        <v>42</v>
      </c>
      <c r="H9" t="s">
        <v>24</v>
      </c>
      <c r="I9">
        <v>750</v>
      </c>
      <c r="J9">
        <v>297.85000000000002</v>
      </c>
      <c r="K9">
        <v>297.85000000000002</v>
      </c>
      <c r="L9" t="s">
        <v>25</v>
      </c>
      <c r="M9" t="s">
        <v>26</v>
      </c>
      <c r="N9">
        <v>27536</v>
      </c>
      <c r="O9">
        <v>8201597.5999999996</v>
      </c>
      <c r="P9" t="str">
        <f>IF(T[[#This Row],[qty_ordered]]&lt;&gt;T[[#This Row],[qty_received]],IF(T[[#This Row],[qty_received]]&gt;0,"Partial Received","Not Receviced"),"FullyReceived")</f>
        <v>Partial Received</v>
      </c>
      <c r="Q9" t="str">
        <f>IF(T[[#This Row],[qty_received]]&lt;&gt;T[[#This Row],[qty_invoiced]],IF(T[[#This Row],[qty_invoiced]]&gt;0,"Partial Invoiced","Not Invoiced"),"Fully Invoiced")</f>
        <v>Fully Invoiced</v>
      </c>
      <c r="R9" t="str">
        <f>IFERROR(VLOOKUP(T[[#This Row],[warehouse]],Table2[],2,FALSE),"--")</f>
        <v>Sifter OMD - Yara (AlNawris)</v>
      </c>
    </row>
    <row r="10" spans="1:18" x14ac:dyDescent="0.25">
      <c r="A10" t="s">
        <v>18</v>
      </c>
      <c r="B10" s="1">
        <v>43270</v>
      </c>
      <c r="C10" t="s">
        <v>45</v>
      </c>
      <c r="D10" t="s">
        <v>20</v>
      </c>
      <c r="E10" t="s">
        <v>46</v>
      </c>
      <c r="F10" t="s">
        <v>47</v>
      </c>
      <c r="G10" t="s">
        <v>48</v>
      </c>
      <c r="H10" t="s">
        <v>24</v>
      </c>
      <c r="I10">
        <v>7500</v>
      </c>
      <c r="J10">
        <v>5713.52</v>
      </c>
      <c r="K10">
        <v>5713.52</v>
      </c>
      <c r="L10" t="s">
        <v>25</v>
      </c>
      <c r="M10" t="s">
        <v>26</v>
      </c>
      <c r="N10">
        <v>30855</v>
      </c>
      <c r="O10">
        <v>176290659.59999999</v>
      </c>
      <c r="P10" t="str">
        <f>IF(T[[#This Row],[qty_ordered]]&lt;&gt;T[[#This Row],[qty_received]],IF(T[[#This Row],[qty_received]]&gt;0,"Partial Received","Not Receviced"),"FullyReceived")</f>
        <v>Partial Received</v>
      </c>
      <c r="Q10" t="str">
        <f>IF(T[[#This Row],[qty_received]]&lt;&gt;T[[#This Row],[qty_invoiced]],IF(T[[#This Row],[qty_invoiced]]&gt;0,"Partial Invoiced","Not Invoiced"),"Fully Invoiced")</f>
        <v>Fully Invoiced</v>
      </c>
      <c r="R10" t="str">
        <f>IFERROR(VLOOKUP(T[[#This Row],[warehouse]],Table2[],2,FALSE),"--")</f>
        <v xml:space="preserve">Sifter PZU - Tabil </v>
      </c>
    </row>
    <row r="11" spans="1:18" x14ac:dyDescent="0.25">
      <c r="A11" t="s">
        <v>49</v>
      </c>
      <c r="B11" s="1">
        <v>43286</v>
      </c>
      <c r="C11" t="s">
        <v>50</v>
      </c>
      <c r="D11" t="s">
        <v>20</v>
      </c>
      <c r="E11" t="s">
        <v>51</v>
      </c>
      <c r="F11" t="s">
        <v>52</v>
      </c>
      <c r="G11" t="s">
        <v>53</v>
      </c>
      <c r="H11" t="s">
        <v>54</v>
      </c>
      <c r="I11">
        <v>1</v>
      </c>
      <c r="J11">
        <v>0</v>
      </c>
      <c r="K11">
        <v>1</v>
      </c>
      <c r="L11" t="s">
        <v>25</v>
      </c>
      <c r="M11" t="s">
        <v>26</v>
      </c>
      <c r="N11">
        <v>379276</v>
      </c>
      <c r="O11">
        <v>0</v>
      </c>
      <c r="P11" t="str">
        <f>IF(T[[#This Row],[qty_ordered]]&lt;&gt;T[[#This Row],[qty_received]],IF(T[[#This Row],[qty_received]]&gt;0,"Partial Received","Not Receviced"),"FullyReceived")</f>
        <v>Not Receviced</v>
      </c>
      <c r="Q11" t="str">
        <f>IF(T[[#This Row],[qty_received]]&lt;&gt;T[[#This Row],[qty_invoiced]],IF(T[[#This Row],[qty_invoiced]]&gt;0,"Partial Invoiced","Not Invoiced"),"Fully Invoiced")</f>
        <v>Partial Invoiced</v>
      </c>
      <c r="R11" t="str">
        <f>IFERROR(VLOOKUP(T[[#This Row],[warehouse]],Table2[],2,FALSE),"--")</f>
        <v>--</v>
      </c>
    </row>
    <row r="12" spans="1:18" x14ac:dyDescent="0.25">
      <c r="A12" t="s">
        <v>18</v>
      </c>
      <c r="B12" s="1">
        <v>43290</v>
      </c>
      <c r="C12" t="s">
        <v>55</v>
      </c>
      <c r="D12" t="s">
        <v>20</v>
      </c>
      <c r="E12" t="s">
        <v>56</v>
      </c>
      <c r="F12" t="s">
        <v>57</v>
      </c>
      <c r="G12" t="s">
        <v>58</v>
      </c>
      <c r="H12" t="s">
        <v>24</v>
      </c>
      <c r="I12">
        <v>5</v>
      </c>
      <c r="J12">
        <v>0</v>
      </c>
      <c r="K12">
        <v>0</v>
      </c>
      <c r="L12" t="s">
        <v>59</v>
      </c>
      <c r="M12" t="s">
        <v>26</v>
      </c>
      <c r="N12">
        <v>360000</v>
      </c>
      <c r="O12">
        <v>0</v>
      </c>
      <c r="P12" t="str">
        <f>IF(T[[#This Row],[qty_ordered]]&lt;&gt;T[[#This Row],[qty_received]],IF(T[[#This Row],[qty_received]]&gt;0,"Partial Received","Not Receviced"),"FullyReceived")</f>
        <v>Not Receviced</v>
      </c>
      <c r="Q12" t="str">
        <f>IF(T[[#This Row],[qty_received]]&lt;&gt;T[[#This Row],[qty_invoiced]],IF(T[[#This Row],[qty_invoiced]]&gt;0,"Partial Invoiced","Not Invoiced"),"Fully Invoiced")</f>
        <v>Fully Invoiced</v>
      </c>
      <c r="R12" t="str">
        <f>IFERROR(VLOOKUP(T[[#This Row],[warehouse]],Table2[],2,FALSE),"--")</f>
        <v>Sifting OMD - YAGOUB</v>
      </c>
    </row>
    <row r="13" spans="1:18" x14ac:dyDescent="0.25">
      <c r="A13" t="s">
        <v>18</v>
      </c>
      <c r="B13" s="1">
        <v>43291</v>
      </c>
      <c r="C13" t="s">
        <v>60</v>
      </c>
      <c r="D13" t="s">
        <v>20</v>
      </c>
      <c r="E13" t="s">
        <v>56</v>
      </c>
      <c r="F13" t="s">
        <v>61</v>
      </c>
      <c r="G13" t="s">
        <v>62</v>
      </c>
      <c r="H13" t="s">
        <v>24</v>
      </c>
      <c r="I13">
        <v>100</v>
      </c>
      <c r="J13">
        <v>94.68</v>
      </c>
      <c r="K13">
        <v>94.68</v>
      </c>
      <c r="L13" t="s">
        <v>25</v>
      </c>
      <c r="M13" t="s">
        <v>26</v>
      </c>
      <c r="N13">
        <v>18000</v>
      </c>
      <c r="O13">
        <v>1704240</v>
      </c>
      <c r="P13" t="str">
        <f>IF(T[[#This Row],[qty_ordered]]&lt;&gt;T[[#This Row],[qty_received]],IF(T[[#This Row],[qty_received]]&gt;0,"Partial Received","Not Receviced"),"FullyReceived")</f>
        <v>Partial Received</v>
      </c>
      <c r="Q13" t="str">
        <f>IF(T[[#This Row],[qty_received]]&lt;&gt;T[[#This Row],[qty_invoiced]],IF(T[[#This Row],[qty_invoiced]]&gt;0,"Partial Invoiced","Not Invoiced"),"Fully Invoiced")</f>
        <v>Fully Invoiced</v>
      </c>
      <c r="R13" t="str">
        <f>IFERROR(VLOOKUP(T[[#This Row],[warehouse]],Table2[],2,FALSE),"--")</f>
        <v>Sifting OMD - YAGOUB</v>
      </c>
    </row>
    <row r="14" spans="1:18" x14ac:dyDescent="0.25">
      <c r="A14" t="s">
        <v>18</v>
      </c>
      <c r="B14" s="1">
        <v>43291</v>
      </c>
      <c r="C14" t="s">
        <v>63</v>
      </c>
      <c r="D14" t="s">
        <v>20</v>
      </c>
      <c r="E14" t="s">
        <v>64</v>
      </c>
      <c r="F14" t="s">
        <v>61</v>
      </c>
      <c r="G14" t="s">
        <v>62</v>
      </c>
      <c r="H14" t="s">
        <v>24</v>
      </c>
      <c r="I14">
        <v>450</v>
      </c>
      <c r="J14">
        <v>423.66</v>
      </c>
      <c r="K14">
        <v>423.66</v>
      </c>
      <c r="L14" t="s">
        <v>25</v>
      </c>
      <c r="M14" t="s">
        <v>26</v>
      </c>
      <c r="N14">
        <v>18000</v>
      </c>
      <c r="O14">
        <v>7625880</v>
      </c>
      <c r="P14" t="str">
        <f>IF(T[[#This Row],[qty_ordered]]&lt;&gt;T[[#This Row],[qty_received]],IF(T[[#This Row],[qty_received]]&gt;0,"Partial Received","Not Receviced"),"FullyReceived")</f>
        <v>Partial Received</v>
      </c>
      <c r="Q14" t="str">
        <f>IF(T[[#This Row],[qty_received]]&lt;&gt;T[[#This Row],[qty_invoiced]],IF(T[[#This Row],[qty_invoiced]]&gt;0,"Partial Invoiced","Not Invoiced"),"Fully Invoiced")</f>
        <v>Fully Invoiced</v>
      </c>
      <c r="R14" t="str">
        <f>IFERROR(VLOOKUP(T[[#This Row],[warehouse]],Table2[],2,FALSE),"--")</f>
        <v>Stuffing OMD-ALGOMIA</v>
      </c>
    </row>
    <row r="15" spans="1:18" x14ac:dyDescent="0.25">
      <c r="A15" t="s">
        <v>18</v>
      </c>
      <c r="B15" s="1">
        <v>43291</v>
      </c>
      <c r="C15" t="s">
        <v>65</v>
      </c>
      <c r="D15" t="s">
        <v>20</v>
      </c>
      <c r="E15" t="s">
        <v>66</v>
      </c>
      <c r="F15" t="s">
        <v>67</v>
      </c>
      <c r="G15" t="s">
        <v>68</v>
      </c>
      <c r="H15" t="s">
        <v>24</v>
      </c>
      <c r="I15">
        <v>2500</v>
      </c>
      <c r="J15">
        <v>2202.3000000000002</v>
      </c>
      <c r="K15">
        <v>2220.3000000000002</v>
      </c>
      <c r="L15" t="s">
        <v>25</v>
      </c>
      <c r="M15" t="s">
        <v>26</v>
      </c>
      <c r="N15">
        <v>43000</v>
      </c>
      <c r="O15">
        <v>94698900</v>
      </c>
      <c r="P15" t="str">
        <f>IF(T[[#This Row],[qty_ordered]]&lt;&gt;T[[#This Row],[qty_received]],IF(T[[#This Row],[qty_received]]&gt;0,"Partial Received","Not Receviced"),"FullyReceived")</f>
        <v>Partial Received</v>
      </c>
      <c r="Q15" t="str">
        <f>IF(T[[#This Row],[qty_received]]&lt;&gt;T[[#This Row],[qty_invoiced]],IF(T[[#This Row],[qty_invoiced]]&gt;0,"Partial Invoiced","Not Invoiced"),"Fully Invoiced")</f>
        <v>Partial Invoiced</v>
      </c>
      <c r="R15" t="str">
        <f>IFERROR(VLOOKUP(T[[#This Row],[warehouse]],Table2[],2,FALSE),"--")</f>
        <v>PZU Main Warehouse</v>
      </c>
    </row>
    <row r="16" spans="1:18" x14ac:dyDescent="0.25">
      <c r="A16" t="s">
        <v>18</v>
      </c>
      <c r="B16" s="1">
        <v>43307</v>
      </c>
      <c r="C16" t="s">
        <v>69</v>
      </c>
      <c r="D16" t="s">
        <v>20</v>
      </c>
      <c r="E16" t="s">
        <v>70</v>
      </c>
      <c r="F16" t="s">
        <v>61</v>
      </c>
      <c r="G16" t="s">
        <v>62</v>
      </c>
      <c r="H16" t="s">
        <v>24</v>
      </c>
      <c r="I16">
        <v>50</v>
      </c>
      <c r="J16">
        <v>39.19</v>
      </c>
      <c r="K16">
        <v>39.19</v>
      </c>
      <c r="L16" t="s">
        <v>25</v>
      </c>
      <c r="M16" t="s">
        <v>26</v>
      </c>
      <c r="N16">
        <v>18000</v>
      </c>
      <c r="O16">
        <v>705420</v>
      </c>
      <c r="P16" t="str">
        <f>IF(T[[#This Row],[qty_ordered]]&lt;&gt;T[[#This Row],[qty_received]],IF(T[[#This Row],[qty_received]]&gt;0,"Partial Received","Not Receviced"),"FullyReceived")</f>
        <v>Partial Received</v>
      </c>
      <c r="Q16" t="str">
        <f>IF(T[[#This Row],[qty_received]]&lt;&gt;T[[#This Row],[qty_invoiced]],IF(T[[#This Row],[qty_invoiced]]&gt;0,"Partial Invoiced","Not Invoiced"),"Fully Invoiced")</f>
        <v>Fully Invoiced</v>
      </c>
      <c r="R16" t="str">
        <f>IFERROR(VLOOKUP(T[[#This Row],[warehouse]],Table2[],2,FALSE),"--")</f>
        <v xml:space="preserve">Sifter OMD -Alshafey </v>
      </c>
    </row>
    <row r="17" spans="1:18" x14ac:dyDescent="0.25">
      <c r="A17" t="s">
        <v>18</v>
      </c>
      <c r="B17" s="1">
        <v>43270</v>
      </c>
      <c r="C17" t="s">
        <v>19</v>
      </c>
      <c r="D17" t="s">
        <v>71</v>
      </c>
      <c r="E17" t="s">
        <v>21</v>
      </c>
      <c r="F17" t="s">
        <v>22</v>
      </c>
      <c r="G17" t="s">
        <v>23</v>
      </c>
      <c r="H17" t="s">
        <v>24</v>
      </c>
      <c r="I17">
        <v>2000</v>
      </c>
      <c r="J17">
        <v>1781.4</v>
      </c>
      <c r="K17">
        <v>1781.4</v>
      </c>
      <c r="L17" t="s">
        <v>25</v>
      </c>
      <c r="M17" t="s">
        <v>26</v>
      </c>
      <c r="N17">
        <v>18500</v>
      </c>
      <c r="O17">
        <v>32955900</v>
      </c>
      <c r="P17" t="str">
        <f>IF(T[[#This Row],[qty_ordered]]&lt;&gt;T[[#This Row],[qty_received]],IF(T[[#This Row],[qty_received]]&gt;0,"Partial Received","Not Receviced"),"FullyReceived")</f>
        <v>Partial Received</v>
      </c>
      <c r="Q17" t="str">
        <f>IF(T[[#This Row],[qty_received]]&lt;&gt;T[[#This Row],[qty_invoiced]],IF(T[[#This Row],[qty_invoiced]]&gt;0,"Partial Invoiced","Not Invoiced"),"Fully Invoiced")</f>
        <v>Fully Invoiced</v>
      </c>
      <c r="R17" t="str">
        <f>IFERROR(VLOOKUP(T[[#This Row],[warehouse]],Table2[],2,FALSE),"--")</f>
        <v>Crusher KHN Bitar</v>
      </c>
    </row>
    <row r="18" spans="1:18" x14ac:dyDescent="0.25">
      <c r="A18" t="s">
        <v>72</v>
      </c>
      <c r="B18" s="1">
        <v>43319</v>
      </c>
      <c r="C18" t="s">
        <v>73</v>
      </c>
      <c r="D18" t="s">
        <v>74</v>
      </c>
      <c r="E18" t="s">
        <v>51</v>
      </c>
      <c r="F18" t="s">
        <v>52</v>
      </c>
      <c r="G18" t="s">
        <v>75</v>
      </c>
      <c r="H18" t="s">
        <v>54</v>
      </c>
      <c r="I18">
        <v>389</v>
      </c>
      <c r="J18">
        <v>0</v>
      </c>
      <c r="K18">
        <v>1</v>
      </c>
      <c r="L18" t="s">
        <v>25</v>
      </c>
      <c r="M18" t="s">
        <v>26</v>
      </c>
      <c r="N18">
        <v>80</v>
      </c>
      <c r="O18">
        <v>0</v>
      </c>
      <c r="P18" t="str">
        <f>IF(T[[#This Row],[qty_ordered]]&lt;&gt;T[[#This Row],[qty_received]],IF(T[[#This Row],[qty_received]]&gt;0,"Partial Received","Not Receviced"),"FullyReceived")</f>
        <v>Not Receviced</v>
      </c>
      <c r="Q18" t="str">
        <f>IF(T[[#This Row],[qty_received]]&lt;&gt;T[[#This Row],[qty_invoiced]],IF(T[[#This Row],[qty_invoiced]]&gt;0,"Partial Invoiced","Not Invoiced"),"Fully Invoiced")</f>
        <v>Partial Invoiced</v>
      </c>
      <c r="R18" t="str">
        <f>IFERROR(VLOOKUP(T[[#This Row],[warehouse]],Table2[],2,FALSE),"--")</f>
        <v>--</v>
      </c>
    </row>
    <row r="19" spans="1:18" x14ac:dyDescent="0.25">
      <c r="A19" t="s">
        <v>72</v>
      </c>
      <c r="B19" s="1">
        <v>43319</v>
      </c>
      <c r="C19" t="s">
        <v>73</v>
      </c>
      <c r="D19" t="s">
        <v>76</v>
      </c>
      <c r="E19" t="s">
        <v>51</v>
      </c>
      <c r="F19" t="s">
        <v>52</v>
      </c>
      <c r="G19" t="s">
        <v>75</v>
      </c>
      <c r="H19" t="s">
        <v>54</v>
      </c>
      <c r="I19">
        <v>25</v>
      </c>
      <c r="J19">
        <v>0</v>
      </c>
      <c r="K19">
        <v>1</v>
      </c>
      <c r="L19" t="s">
        <v>25</v>
      </c>
      <c r="M19" t="s">
        <v>26</v>
      </c>
      <c r="N19">
        <v>80</v>
      </c>
      <c r="O19">
        <v>0</v>
      </c>
      <c r="P19" t="str">
        <f>IF(T[[#This Row],[qty_ordered]]&lt;&gt;T[[#This Row],[qty_received]],IF(T[[#This Row],[qty_received]]&gt;0,"Partial Received","Not Receviced"),"FullyReceived")</f>
        <v>Not Receviced</v>
      </c>
      <c r="Q19" t="str">
        <f>IF(T[[#This Row],[qty_received]]&lt;&gt;T[[#This Row],[qty_invoiced]],IF(T[[#This Row],[qty_invoiced]]&gt;0,"Partial Invoiced","Not Invoiced"),"Fully Invoiced")</f>
        <v>Partial Invoiced</v>
      </c>
      <c r="R19" t="str">
        <f>IFERROR(VLOOKUP(T[[#This Row],[warehouse]],Table2[],2,FALSE),"--")</f>
        <v>--</v>
      </c>
    </row>
    <row r="20" spans="1:18" x14ac:dyDescent="0.25">
      <c r="A20" t="s">
        <v>77</v>
      </c>
      <c r="B20" s="1">
        <v>43319</v>
      </c>
      <c r="C20" t="s">
        <v>78</v>
      </c>
      <c r="D20" t="s">
        <v>20</v>
      </c>
      <c r="E20" t="s">
        <v>51</v>
      </c>
      <c r="F20" t="s">
        <v>52</v>
      </c>
      <c r="G20" t="s">
        <v>79</v>
      </c>
      <c r="H20" t="s">
        <v>54</v>
      </c>
      <c r="I20">
        <v>150</v>
      </c>
      <c r="J20">
        <v>0</v>
      </c>
      <c r="K20">
        <v>1</v>
      </c>
      <c r="L20" t="s">
        <v>25</v>
      </c>
      <c r="M20" t="s">
        <v>26</v>
      </c>
      <c r="N20">
        <v>420</v>
      </c>
      <c r="O20">
        <v>0</v>
      </c>
      <c r="P20" t="str">
        <f>IF(T[[#This Row],[qty_ordered]]&lt;&gt;T[[#This Row],[qty_received]],IF(T[[#This Row],[qty_received]]&gt;0,"Partial Received","Not Receviced"),"FullyReceived")</f>
        <v>Not Receviced</v>
      </c>
      <c r="Q20" t="str">
        <f>IF(T[[#This Row],[qty_received]]&lt;&gt;T[[#This Row],[qty_invoiced]],IF(T[[#This Row],[qty_invoiced]]&gt;0,"Partial Invoiced","Not Invoiced"),"Fully Invoiced")</f>
        <v>Partial Invoiced</v>
      </c>
      <c r="R20" t="str">
        <f>IFERROR(VLOOKUP(T[[#This Row],[warehouse]],Table2[],2,FALSE),"--")</f>
        <v>--</v>
      </c>
    </row>
    <row r="21" spans="1:18" x14ac:dyDescent="0.25">
      <c r="A21" t="s">
        <v>77</v>
      </c>
      <c r="B21" s="1">
        <v>43319</v>
      </c>
      <c r="C21" t="s">
        <v>78</v>
      </c>
      <c r="D21" t="s">
        <v>71</v>
      </c>
      <c r="E21" t="s">
        <v>51</v>
      </c>
      <c r="F21" t="s">
        <v>52</v>
      </c>
      <c r="G21" t="s">
        <v>80</v>
      </c>
      <c r="H21" t="s">
        <v>54</v>
      </c>
      <c r="I21">
        <v>1000</v>
      </c>
      <c r="J21">
        <v>0</v>
      </c>
      <c r="K21">
        <v>1</v>
      </c>
      <c r="L21" t="s">
        <v>25</v>
      </c>
      <c r="M21" t="s">
        <v>26</v>
      </c>
      <c r="N21">
        <v>2.5</v>
      </c>
      <c r="O21">
        <v>0</v>
      </c>
      <c r="P21" t="str">
        <f>IF(T[[#This Row],[qty_ordered]]&lt;&gt;T[[#This Row],[qty_received]],IF(T[[#This Row],[qty_received]]&gt;0,"Partial Received","Not Receviced"),"FullyReceived")</f>
        <v>Not Receviced</v>
      </c>
      <c r="Q21" t="str">
        <f>IF(T[[#This Row],[qty_received]]&lt;&gt;T[[#This Row],[qty_invoiced]],IF(T[[#This Row],[qty_invoiced]]&gt;0,"Partial Invoiced","Not Invoiced"),"Fully Invoiced")</f>
        <v>Partial Invoiced</v>
      </c>
      <c r="R21" t="str">
        <f>IFERROR(VLOOKUP(T[[#This Row],[warehouse]],Table2[],2,FALSE),"--")</f>
        <v>--</v>
      </c>
    </row>
    <row r="22" spans="1:18" x14ac:dyDescent="0.25">
      <c r="A22" t="s">
        <v>81</v>
      </c>
      <c r="B22" s="1">
        <v>43320</v>
      </c>
      <c r="C22" t="s">
        <v>82</v>
      </c>
      <c r="D22" t="s">
        <v>20</v>
      </c>
      <c r="E22" t="s">
        <v>51</v>
      </c>
      <c r="F22" t="s">
        <v>52</v>
      </c>
      <c r="G22" t="s">
        <v>79</v>
      </c>
      <c r="H22" t="s">
        <v>54</v>
      </c>
      <c r="I22">
        <v>67</v>
      </c>
      <c r="J22">
        <v>0</v>
      </c>
      <c r="K22">
        <v>1</v>
      </c>
      <c r="L22" t="s">
        <v>25</v>
      </c>
      <c r="M22" t="s">
        <v>26</v>
      </c>
      <c r="N22">
        <v>340</v>
      </c>
      <c r="O22">
        <v>0</v>
      </c>
      <c r="P22" t="str">
        <f>IF(T[[#This Row],[qty_ordered]]&lt;&gt;T[[#This Row],[qty_received]],IF(T[[#This Row],[qty_received]]&gt;0,"Partial Received","Not Receviced"),"FullyReceived")</f>
        <v>Not Receviced</v>
      </c>
      <c r="Q22" t="str">
        <f>IF(T[[#This Row],[qty_received]]&lt;&gt;T[[#This Row],[qty_invoiced]],IF(T[[#This Row],[qty_invoiced]]&gt;0,"Partial Invoiced","Not Invoiced"),"Fully Invoiced")</f>
        <v>Partial Invoiced</v>
      </c>
      <c r="R22" t="str">
        <f>IFERROR(VLOOKUP(T[[#This Row],[warehouse]],Table2[],2,FALSE),"--")</f>
        <v>--</v>
      </c>
    </row>
    <row r="23" spans="1:18" x14ac:dyDescent="0.25">
      <c r="A23" t="s">
        <v>81</v>
      </c>
      <c r="B23" s="1">
        <v>43320</v>
      </c>
      <c r="C23" t="s">
        <v>82</v>
      </c>
      <c r="D23" t="s">
        <v>71</v>
      </c>
      <c r="E23" t="s">
        <v>51</v>
      </c>
      <c r="F23" t="s">
        <v>52</v>
      </c>
      <c r="G23" t="s">
        <v>83</v>
      </c>
      <c r="H23" t="s">
        <v>54</v>
      </c>
      <c r="I23">
        <v>70</v>
      </c>
      <c r="J23">
        <v>0</v>
      </c>
      <c r="K23">
        <v>1</v>
      </c>
      <c r="L23" t="s">
        <v>25</v>
      </c>
      <c r="M23" t="s">
        <v>26</v>
      </c>
      <c r="N23">
        <v>250</v>
      </c>
      <c r="O23">
        <v>0</v>
      </c>
      <c r="P23" t="str">
        <f>IF(T[[#This Row],[qty_ordered]]&lt;&gt;T[[#This Row],[qty_received]],IF(T[[#This Row],[qty_received]]&gt;0,"Partial Received","Not Receviced"),"FullyReceived")</f>
        <v>Not Receviced</v>
      </c>
      <c r="Q23" t="str">
        <f>IF(T[[#This Row],[qty_received]]&lt;&gt;T[[#This Row],[qty_invoiced]],IF(T[[#This Row],[qty_invoiced]]&gt;0,"Partial Invoiced","Not Invoiced"),"Fully Invoiced")</f>
        <v>Partial Invoiced</v>
      </c>
      <c r="R23" t="str">
        <f>IFERROR(VLOOKUP(T[[#This Row],[warehouse]],Table2[],2,FALSE),"--")</f>
        <v>--</v>
      </c>
    </row>
    <row r="24" spans="1:18" x14ac:dyDescent="0.25">
      <c r="A24" t="s">
        <v>84</v>
      </c>
      <c r="B24" s="1">
        <v>43326</v>
      </c>
      <c r="C24" t="s">
        <v>85</v>
      </c>
      <c r="D24" t="s">
        <v>20</v>
      </c>
      <c r="E24" t="s">
        <v>46</v>
      </c>
      <c r="F24" t="s">
        <v>86</v>
      </c>
      <c r="G24" t="s">
        <v>87</v>
      </c>
      <c r="H24" t="s">
        <v>24</v>
      </c>
      <c r="I24">
        <v>505</v>
      </c>
      <c r="J24">
        <v>504.6</v>
      </c>
      <c r="K24">
        <v>504.6</v>
      </c>
      <c r="L24" t="s">
        <v>25</v>
      </c>
      <c r="M24" t="s">
        <v>26</v>
      </c>
      <c r="N24">
        <v>60855.54</v>
      </c>
      <c r="O24">
        <v>30707705.484000001</v>
      </c>
      <c r="P24" t="str">
        <f>IF(T[[#This Row],[qty_ordered]]&lt;&gt;T[[#This Row],[qty_received]],IF(T[[#This Row],[qty_received]]&gt;0,"Partial Received","Not Receviced"),"FullyReceived")</f>
        <v>Partial Received</v>
      </c>
      <c r="Q24" t="str">
        <f>IF(T[[#This Row],[qty_received]]&lt;&gt;T[[#This Row],[qty_invoiced]],IF(T[[#This Row],[qty_invoiced]]&gt;0,"Partial Invoiced","Not Invoiced"),"Fully Invoiced")</f>
        <v>Fully Invoiced</v>
      </c>
      <c r="R24" t="str">
        <f>IFERROR(VLOOKUP(T[[#This Row],[warehouse]],Table2[],2,FALSE),"--")</f>
        <v xml:space="preserve">Sifter PZU - Tabil </v>
      </c>
    </row>
    <row r="25" spans="1:18" x14ac:dyDescent="0.25">
      <c r="A25" t="s">
        <v>81</v>
      </c>
      <c r="B25" s="1">
        <v>43320</v>
      </c>
      <c r="C25" t="s">
        <v>82</v>
      </c>
      <c r="D25" t="s">
        <v>88</v>
      </c>
      <c r="E25" t="s">
        <v>51</v>
      </c>
      <c r="F25" t="s">
        <v>52</v>
      </c>
      <c r="G25" t="s">
        <v>89</v>
      </c>
      <c r="H25" t="s">
        <v>54</v>
      </c>
      <c r="I25">
        <v>70</v>
      </c>
      <c r="J25">
        <v>0</v>
      </c>
      <c r="K25">
        <v>1</v>
      </c>
      <c r="L25" t="s">
        <v>25</v>
      </c>
      <c r="M25" t="s">
        <v>26</v>
      </c>
      <c r="N25">
        <v>190</v>
      </c>
      <c r="O25">
        <v>0</v>
      </c>
      <c r="P25" t="str">
        <f>IF(T[[#This Row],[qty_ordered]]&lt;&gt;T[[#This Row],[qty_received]],IF(T[[#This Row],[qty_received]]&gt;0,"Partial Received","Not Receviced"),"FullyReceived")</f>
        <v>Not Receviced</v>
      </c>
      <c r="Q25" t="str">
        <f>IF(T[[#This Row],[qty_received]]&lt;&gt;T[[#This Row],[qty_invoiced]],IF(T[[#This Row],[qty_invoiced]]&gt;0,"Partial Invoiced","Not Invoiced"),"Fully Invoiced")</f>
        <v>Partial Invoiced</v>
      </c>
      <c r="R25" t="str">
        <f>IFERROR(VLOOKUP(T[[#This Row],[warehouse]],Table2[],2,FALSE),"--")</f>
        <v>--</v>
      </c>
    </row>
    <row r="26" spans="1:18" x14ac:dyDescent="0.25">
      <c r="A26" t="s">
        <v>90</v>
      </c>
      <c r="B26" s="1">
        <v>43311</v>
      </c>
      <c r="C26" t="s">
        <v>91</v>
      </c>
      <c r="D26" t="s">
        <v>20</v>
      </c>
      <c r="E26" t="s">
        <v>51</v>
      </c>
      <c r="F26" t="s">
        <v>52</v>
      </c>
      <c r="G26" t="s">
        <v>79</v>
      </c>
      <c r="H26" t="s">
        <v>54</v>
      </c>
      <c r="I26">
        <v>94.68</v>
      </c>
      <c r="J26">
        <v>0</v>
      </c>
      <c r="K26">
        <v>1</v>
      </c>
      <c r="L26" t="s">
        <v>25</v>
      </c>
      <c r="M26" t="s">
        <v>26</v>
      </c>
      <c r="N26">
        <v>400</v>
      </c>
      <c r="O26">
        <v>0</v>
      </c>
      <c r="P26" t="str">
        <f>IF(T[[#This Row],[qty_ordered]]&lt;&gt;T[[#This Row],[qty_received]],IF(T[[#This Row],[qty_received]]&gt;0,"Partial Received","Not Receviced"),"FullyReceived")</f>
        <v>Not Receviced</v>
      </c>
      <c r="Q26" t="str">
        <f>IF(T[[#This Row],[qty_received]]&lt;&gt;T[[#This Row],[qty_invoiced]],IF(T[[#This Row],[qty_invoiced]]&gt;0,"Partial Invoiced","Not Invoiced"),"Fully Invoiced")</f>
        <v>Partial Invoiced</v>
      </c>
      <c r="R26" t="str">
        <f>IFERROR(VLOOKUP(T[[#This Row],[warehouse]],Table2[],2,FALSE),"--")</f>
        <v>--</v>
      </c>
    </row>
    <row r="27" spans="1:18" x14ac:dyDescent="0.25">
      <c r="A27" t="s">
        <v>90</v>
      </c>
      <c r="B27" s="1">
        <v>43311</v>
      </c>
      <c r="C27" t="s">
        <v>91</v>
      </c>
      <c r="D27" t="s">
        <v>71</v>
      </c>
      <c r="E27" t="s">
        <v>51</v>
      </c>
      <c r="F27" t="s">
        <v>52</v>
      </c>
      <c r="G27" t="s">
        <v>92</v>
      </c>
      <c r="H27" t="s">
        <v>54</v>
      </c>
      <c r="I27">
        <v>1</v>
      </c>
      <c r="J27">
        <v>0</v>
      </c>
      <c r="K27">
        <v>1</v>
      </c>
      <c r="L27" t="s">
        <v>25</v>
      </c>
      <c r="M27" t="s">
        <v>26</v>
      </c>
      <c r="N27">
        <v>1190</v>
      </c>
      <c r="O27">
        <v>0</v>
      </c>
      <c r="P27" t="str">
        <f>IF(T[[#This Row],[qty_ordered]]&lt;&gt;T[[#This Row],[qty_received]],IF(T[[#This Row],[qty_received]]&gt;0,"Partial Received","Not Receviced"),"FullyReceived")</f>
        <v>Not Receviced</v>
      </c>
      <c r="Q27" t="str">
        <f>IF(T[[#This Row],[qty_received]]&lt;&gt;T[[#This Row],[qty_invoiced]],IF(T[[#This Row],[qty_invoiced]]&gt;0,"Partial Invoiced","Not Invoiced"),"Fully Invoiced")</f>
        <v>Partial Invoiced</v>
      </c>
      <c r="R27" t="str">
        <f>IFERROR(VLOOKUP(T[[#This Row],[warehouse]],Table2[],2,FALSE),"--")</f>
        <v>--</v>
      </c>
    </row>
    <row r="28" spans="1:18" x14ac:dyDescent="0.25">
      <c r="A28" t="s">
        <v>93</v>
      </c>
      <c r="B28" s="1">
        <v>43311</v>
      </c>
      <c r="C28" t="s">
        <v>94</v>
      </c>
      <c r="D28" t="s">
        <v>20</v>
      </c>
      <c r="E28" t="s">
        <v>51</v>
      </c>
      <c r="F28" t="s">
        <v>52</v>
      </c>
      <c r="G28" t="s">
        <v>95</v>
      </c>
      <c r="H28" t="s">
        <v>54</v>
      </c>
      <c r="I28">
        <v>2000</v>
      </c>
      <c r="J28">
        <v>0</v>
      </c>
      <c r="K28">
        <v>1</v>
      </c>
      <c r="L28" t="s">
        <v>25</v>
      </c>
      <c r="M28" t="s">
        <v>26</v>
      </c>
      <c r="N28">
        <v>1260</v>
      </c>
      <c r="O28">
        <v>0</v>
      </c>
      <c r="P28" t="str">
        <f>IF(T[[#This Row],[qty_ordered]]&lt;&gt;T[[#This Row],[qty_received]],IF(T[[#This Row],[qty_received]]&gt;0,"Partial Received","Not Receviced"),"FullyReceived")</f>
        <v>Not Receviced</v>
      </c>
      <c r="Q28" t="str">
        <f>IF(T[[#This Row],[qty_received]]&lt;&gt;T[[#This Row],[qty_invoiced]],IF(T[[#This Row],[qty_invoiced]]&gt;0,"Partial Invoiced","Not Invoiced"),"Fully Invoiced")</f>
        <v>Partial Invoiced</v>
      </c>
      <c r="R28" t="str">
        <f>IFERROR(VLOOKUP(T[[#This Row],[warehouse]],Table2[],2,FALSE),"--")</f>
        <v>--</v>
      </c>
    </row>
    <row r="29" spans="1:18" x14ac:dyDescent="0.25">
      <c r="A29" t="s">
        <v>18</v>
      </c>
      <c r="B29" s="1">
        <v>43291</v>
      </c>
      <c r="C29" t="s">
        <v>65</v>
      </c>
      <c r="D29" t="s">
        <v>71</v>
      </c>
      <c r="E29" t="s">
        <v>66</v>
      </c>
      <c r="F29" t="s">
        <v>67</v>
      </c>
      <c r="G29" t="s">
        <v>68</v>
      </c>
      <c r="H29" t="s">
        <v>24</v>
      </c>
      <c r="I29">
        <v>700</v>
      </c>
      <c r="J29">
        <v>700</v>
      </c>
      <c r="K29">
        <v>700</v>
      </c>
      <c r="L29" t="s">
        <v>25</v>
      </c>
      <c r="M29" t="s">
        <v>26</v>
      </c>
      <c r="N29">
        <v>7525</v>
      </c>
      <c r="O29">
        <v>5267500</v>
      </c>
      <c r="P29" t="str">
        <f>IF(T[[#This Row],[qty_ordered]]&lt;&gt;T[[#This Row],[qty_received]],IF(T[[#This Row],[qty_received]]&gt;0,"Partial Received","Not Receviced"),"FullyReceived")</f>
        <v>FullyReceived</v>
      </c>
      <c r="Q29" t="str">
        <f>IF(T[[#This Row],[qty_received]]&lt;&gt;T[[#This Row],[qty_invoiced]],IF(T[[#This Row],[qty_invoiced]]&gt;0,"Partial Invoiced","Not Invoiced"),"Fully Invoiced")</f>
        <v>Fully Invoiced</v>
      </c>
      <c r="R29" t="str">
        <f>IFERROR(VLOOKUP(T[[#This Row],[warehouse]],Table2[],2,FALSE),"--")</f>
        <v>PZU Main Warehouse</v>
      </c>
    </row>
    <row r="30" spans="1:18" x14ac:dyDescent="0.25">
      <c r="A30" t="s">
        <v>81</v>
      </c>
      <c r="B30" s="1">
        <v>43320</v>
      </c>
      <c r="C30" t="s">
        <v>82</v>
      </c>
      <c r="D30" t="s">
        <v>74</v>
      </c>
      <c r="E30" t="s">
        <v>51</v>
      </c>
      <c r="F30" t="s">
        <v>52</v>
      </c>
      <c r="G30" t="s">
        <v>96</v>
      </c>
      <c r="H30" t="s">
        <v>54</v>
      </c>
      <c r="I30">
        <v>3</v>
      </c>
      <c r="J30">
        <v>0</v>
      </c>
      <c r="K30">
        <v>1</v>
      </c>
      <c r="L30" t="s">
        <v>25</v>
      </c>
      <c r="M30" t="s">
        <v>26</v>
      </c>
      <c r="N30">
        <v>1167</v>
      </c>
      <c r="O30">
        <v>0</v>
      </c>
      <c r="P30" t="str">
        <f>IF(T[[#This Row],[qty_ordered]]&lt;&gt;T[[#This Row],[qty_received]],IF(T[[#This Row],[qty_received]]&gt;0,"Partial Received","Not Receviced"),"FullyReceived")</f>
        <v>Not Receviced</v>
      </c>
      <c r="Q30" t="str">
        <f>IF(T[[#This Row],[qty_received]]&lt;&gt;T[[#This Row],[qty_invoiced]],IF(T[[#This Row],[qty_invoiced]]&gt;0,"Partial Invoiced","Not Invoiced"),"Fully Invoiced")</f>
        <v>Partial Invoiced</v>
      </c>
      <c r="R30" t="str">
        <f>IFERROR(VLOOKUP(T[[#This Row],[warehouse]],Table2[],2,FALSE),"--")</f>
        <v>--</v>
      </c>
    </row>
    <row r="31" spans="1:18" x14ac:dyDescent="0.25">
      <c r="A31" t="s">
        <v>81</v>
      </c>
      <c r="B31" s="1">
        <v>43324</v>
      </c>
      <c r="C31" t="s">
        <v>97</v>
      </c>
      <c r="D31" t="s">
        <v>20</v>
      </c>
      <c r="E31" t="s">
        <v>51</v>
      </c>
      <c r="F31" t="s">
        <v>52</v>
      </c>
      <c r="G31" t="s">
        <v>98</v>
      </c>
      <c r="H31" t="s">
        <v>54</v>
      </c>
      <c r="I31">
        <v>402.74</v>
      </c>
      <c r="J31">
        <v>0</v>
      </c>
      <c r="K31">
        <v>1</v>
      </c>
      <c r="L31" t="s">
        <v>25</v>
      </c>
      <c r="M31" t="s">
        <v>26</v>
      </c>
      <c r="N31">
        <v>340</v>
      </c>
      <c r="O31">
        <v>0</v>
      </c>
      <c r="P31" t="str">
        <f>IF(T[[#This Row],[qty_ordered]]&lt;&gt;T[[#This Row],[qty_received]],IF(T[[#This Row],[qty_received]]&gt;0,"Partial Received","Not Receviced"),"FullyReceived")</f>
        <v>Not Receviced</v>
      </c>
      <c r="Q31" t="str">
        <f>IF(T[[#This Row],[qty_received]]&lt;&gt;T[[#This Row],[qty_invoiced]],IF(T[[#This Row],[qty_invoiced]]&gt;0,"Partial Invoiced","Not Invoiced"),"Fully Invoiced")</f>
        <v>Partial Invoiced</v>
      </c>
      <c r="R31" t="str">
        <f>IFERROR(VLOOKUP(T[[#This Row],[warehouse]],Table2[],2,FALSE),"--")</f>
        <v>--</v>
      </c>
    </row>
    <row r="32" spans="1:18" x14ac:dyDescent="0.25">
      <c r="A32" t="s">
        <v>81</v>
      </c>
      <c r="B32" s="1">
        <v>43324</v>
      </c>
      <c r="C32" t="s">
        <v>97</v>
      </c>
      <c r="D32" t="s">
        <v>71</v>
      </c>
      <c r="E32" t="s">
        <v>51</v>
      </c>
      <c r="F32" t="s">
        <v>52</v>
      </c>
      <c r="G32" t="s">
        <v>99</v>
      </c>
      <c r="H32" t="s">
        <v>54</v>
      </c>
      <c r="I32">
        <v>202</v>
      </c>
      <c r="J32">
        <v>0</v>
      </c>
      <c r="K32">
        <v>1</v>
      </c>
      <c r="L32" t="s">
        <v>25</v>
      </c>
      <c r="M32" t="s">
        <v>26</v>
      </c>
      <c r="N32">
        <v>250</v>
      </c>
      <c r="O32">
        <v>0</v>
      </c>
      <c r="P32" t="str">
        <f>IF(T[[#This Row],[qty_ordered]]&lt;&gt;T[[#This Row],[qty_received]],IF(T[[#This Row],[qty_received]]&gt;0,"Partial Received","Not Receviced"),"FullyReceived")</f>
        <v>Not Receviced</v>
      </c>
      <c r="Q32" t="str">
        <f>IF(T[[#This Row],[qty_received]]&lt;&gt;T[[#This Row],[qty_invoiced]],IF(T[[#This Row],[qty_invoiced]]&gt;0,"Partial Invoiced","Not Invoiced"),"Fully Invoiced")</f>
        <v>Partial Invoiced</v>
      </c>
      <c r="R32" t="str">
        <f>IFERROR(VLOOKUP(T[[#This Row],[warehouse]],Table2[],2,FALSE),"--")</f>
        <v>--</v>
      </c>
    </row>
    <row r="33" spans="1:18" x14ac:dyDescent="0.25">
      <c r="A33" t="s">
        <v>81</v>
      </c>
      <c r="B33" s="1">
        <v>43324</v>
      </c>
      <c r="C33" t="s">
        <v>97</v>
      </c>
      <c r="D33" t="s">
        <v>100</v>
      </c>
      <c r="E33" t="s">
        <v>51</v>
      </c>
      <c r="F33" t="s">
        <v>52</v>
      </c>
      <c r="G33" t="s">
        <v>89</v>
      </c>
      <c r="H33" t="s">
        <v>54</v>
      </c>
      <c r="I33">
        <v>66.11</v>
      </c>
      <c r="J33">
        <v>0</v>
      </c>
      <c r="K33">
        <v>1</v>
      </c>
      <c r="L33" t="s">
        <v>25</v>
      </c>
      <c r="M33" t="s">
        <v>26</v>
      </c>
      <c r="N33">
        <v>180</v>
      </c>
      <c r="O33">
        <v>0</v>
      </c>
      <c r="P33" t="str">
        <f>IF(T[[#This Row],[qty_ordered]]&lt;&gt;T[[#This Row],[qty_received]],IF(T[[#This Row],[qty_received]]&gt;0,"Partial Received","Not Receviced"),"FullyReceived")</f>
        <v>Not Receviced</v>
      </c>
      <c r="Q33" t="str">
        <f>IF(T[[#This Row],[qty_received]]&lt;&gt;T[[#This Row],[qty_invoiced]],IF(T[[#This Row],[qty_invoiced]]&gt;0,"Partial Invoiced","Not Invoiced"),"Fully Invoiced")</f>
        <v>Partial Invoiced</v>
      </c>
      <c r="R33" t="str">
        <f>IFERROR(VLOOKUP(T[[#This Row],[warehouse]],Table2[],2,FALSE),"--")</f>
        <v>--</v>
      </c>
    </row>
    <row r="34" spans="1:18" x14ac:dyDescent="0.25">
      <c r="A34" t="s">
        <v>84</v>
      </c>
      <c r="B34" s="1">
        <v>43326</v>
      </c>
      <c r="C34" t="s">
        <v>101</v>
      </c>
      <c r="D34" t="s">
        <v>20</v>
      </c>
      <c r="E34" t="s">
        <v>102</v>
      </c>
      <c r="F34" t="s">
        <v>103</v>
      </c>
      <c r="G34" t="s">
        <v>104</v>
      </c>
      <c r="H34" t="s">
        <v>24</v>
      </c>
      <c r="I34">
        <v>336.61</v>
      </c>
      <c r="J34">
        <v>336.61</v>
      </c>
      <c r="K34">
        <v>336.61</v>
      </c>
      <c r="L34" t="s">
        <v>25</v>
      </c>
      <c r="M34" t="s">
        <v>26</v>
      </c>
      <c r="N34">
        <v>18378.55</v>
      </c>
      <c r="O34">
        <v>6186403.7154999999</v>
      </c>
      <c r="P34" t="str">
        <f>IF(T[[#This Row],[qty_ordered]]&lt;&gt;T[[#This Row],[qty_received]],IF(T[[#This Row],[qty_received]]&gt;0,"Partial Received","Not Receviced"),"FullyReceived")</f>
        <v>FullyReceived</v>
      </c>
      <c r="Q34" t="str">
        <f>IF(T[[#This Row],[qty_received]]&lt;&gt;T[[#This Row],[qty_invoiced]],IF(T[[#This Row],[qty_invoiced]]&gt;0,"Partial Invoiced","Not Invoiced"),"Fully Invoiced")</f>
        <v>Fully Invoiced</v>
      </c>
      <c r="R34" t="str">
        <f>IFERROR(VLOOKUP(T[[#This Row],[warehouse]],Table2[],2,FALSE),"--")</f>
        <v>Sifter OMD -Tayba</v>
      </c>
    </row>
    <row r="35" spans="1:18" x14ac:dyDescent="0.25">
      <c r="A35" t="s">
        <v>84</v>
      </c>
      <c r="B35" s="1">
        <v>43326</v>
      </c>
      <c r="C35" t="s">
        <v>101</v>
      </c>
      <c r="D35" t="s">
        <v>71</v>
      </c>
      <c r="E35" t="s">
        <v>105</v>
      </c>
      <c r="F35" t="s">
        <v>103</v>
      </c>
      <c r="G35" t="s">
        <v>104</v>
      </c>
      <c r="H35" t="s">
        <v>24</v>
      </c>
      <c r="I35">
        <v>306.673</v>
      </c>
      <c r="J35">
        <v>306.67</v>
      </c>
      <c r="K35">
        <v>306.673</v>
      </c>
      <c r="L35" t="s">
        <v>25</v>
      </c>
      <c r="M35" t="s">
        <v>26</v>
      </c>
      <c r="N35">
        <v>18378.55</v>
      </c>
      <c r="O35">
        <v>5636149.9285000004</v>
      </c>
      <c r="P35" t="str">
        <f>IF(T[[#This Row],[qty_ordered]]&lt;&gt;T[[#This Row],[qty_received]],IF(T[[#This Row],[qty_received]]&gt;0,"Partial Received","Not Receviced"),"FullyReceived")</f>
        <v>Partial Received</v>
      </c>
      <c r="Q35" t="str">
        <f>IF(T[[#This Row],[qty_received]]&lt;&gt;T[[#This Row],[qty_invoiced]],IF(T[[#This Row],[qty_invoiced]]&gt;0,"Partial Invoiced","Not Invoiced"),"Fully Invoiced")</f>
        <v>Partial Invoiced</v>
      </c>
      <c r="R35" t="str">
        <f>IFERROR(VLOOKUP(T[[#This Row],[warehouse]],Table2[],2,FALSE),"--")</f>
        <v>Sifting OMD- Khalid</v>
      </c>
    </row>
    <row r="36" spans="1:18" x14ac:dyDescent="0.25">
      <c r="A36" t="s">
        <v>84</v>
      </c>
      <c r="B36" s="1">
        <v>43326</v>
      </c>
      <c r="C36" t="s">
        <v>106</v>
      </c>
      <c r="D36" t="s">
        <v>20</v>
      </c>
      <c r="E36" t="s">
        <v>107</v>
      </c>
      <c r="F36" t="s">
        <v>108</v>
      </c>
      <c r="G36" t="s">
        <v>109</v>
      </c>
      <c r="H36" t="s">
        <v>24</v>
      </c>
      <c r="I36">
        <v>199.61699999999999</v>
      </c>
      <c r="J36">
        <v>199.61699999999999</v>
      </c>
      <c r="K36">
        <v>199.61699999999999</v>
      </c>
      <c r="L36" t="s">
        <v>25</v>
      </c>
      <c r="M36" t="s">
        <v>26</v>
      </c>
      <c r="N36">
        <v>47695</v>
      </c>
      <c r="O36">
        <v>9520732.8149999995</v>
      </c>
      <c r="P36" t="str">
        <f>IF(T[[#This Row],[qty_ordered]]&lt;&gt;T[[#This Row],[qty_received]],IF(T[[#This Row],[qty_received]]&gt;0,"Partial Received","Not Receviced"),"FullyReceived")</f>
        <v>FullyReceived</v>
      </c>
      <c r="Q36" t="str">
        <f>IF(T[[#This Row],[qty_received]]&lt;&gt;T[[#This Row],[qty_invoiced]],IF(T[[#This Row],[qty_invoiced]]&gt;0,"Partial Invoiced","Not Invoiced"),"Fully Invoiced")</f>
        <v>Fully Invoiced</v>
      </c>
      <c r="R36" t="str">
        <f>IFERROR(VLOOKUP(T[[#This Row],[warehouse]],Table2[],2,FALSE),"--")</f>
        <v xml:space="preserve">Sifter OMD -Alshafey </v>
      </c>
    </row>
    <row r="37" spans="1:18" x14ac:dyDescent="0.25">
      <c r="A37" t="s">
        <v>18</v>
      </c>
      <c r="B37" s="1">
        <v>43346</v>
      </c>
      <c r="C37" t="s">
        <v>110</v>
      </c>
      <c r="D37" t="s">
        <v>20</v>
      </c>
      <c r="E37" t="s">
        <v>111</v>
      </c>
      <c r="F37" t="s">
        <v>47</v>
      </c>
      <c r="G37" t="s">
        <v>48</v>
      </c>
      <c r="H37" t="s">
        <v>24</v>
      </c>
      <c r="I37">
        <v>3000</v>
      </c>
      <c r="J37">
        <v>2337.48</v>
      </c>
      <c r="K37">
        <v>2337.48</v>
      </c>
      <c r="L37" t="s">
        <v>25</v>
      </c>
      <c r="M37" t="s">
        <v>26</v>
      </c>
      <c r="N37">
        <v>30855</v>
      </c>
      <c r="O37">
        <v>72122945.400000006</v>
      </c>
      <c r="P37" t="str">
        <f>IF(T[[#This Row],[qty_ordered]]&lt;&gt;T[[#This Row],[qty_received]],IF(T[[#This Row],[qty_received]]&gt;0,"Partial Received","Not Receviced"),"FullyReceived")</f>
        <v>Partial Received</v>
      </c>
      <c r="Q37" t="str">
        <f>IF(T[[#This Row],[qty_received]]&lt;&gt;T[[#This Row],[qty_invoiced]],IF(T[[#This Row],[qty_invoiced]]&gt;0,"Partial Invoiced","Not Invoiced"),"Fully Invoiced")</f>
        <v>Fully Invoiced</v>
      </c>
      <c r="R37" t="str">
        <f>IFERROR(VLOOKUP(T[[#This Row],[warehouse]],Table2[],2,FALSE),"--")</f>
        <v>Sifting PZU-Al Jawhra</v>
      </c>
    </row>
    <row r="38" spans="1:18" x14ac:dyDescent="0.25">
      <c r="A38" t="s">
        <v>72</v>
      </c>
      <c r="B38" s="1">
        <v>43319</v>
      </c>
      <c r="C38" t="s">
        <v>73</v>
      </c>
      <c r="D38" t="s">
        <v>20</v>
      </c>
      <c r="E38" t="s">
        <v>51</v>
      </c>
      <c r="F38" t="s">
        <v>52</v>
      </c>
      <c r="G38" t="s">
        <v>79</v>
      </c>
      <c r="H38" t="s">
        <v>54</v>
      </c>
      <c r="I38">
        <v>419.4</v>
      </c>
      <c r="J38">
        <v>0</v>
      </c>
      <c r="K38">
        <v>1</v>
      </c>
      <c r="L38" t="s">
        <v>25</v>
      </c>
      <c r="M38" t="s">
        <v>26</v>
      </c>
      <c r="N38">
        <v>370</v>
      </c>
      <c r="O38">
        <v>0</v>
      </c>
      <c r="P38" t="str">
        <f>IF(T[[#This Row],[qty_ordered]]&lt;&gt;T[[#This Row],[qty_received]],IF(T[[#This Row],[qty_received]]&gt;0,"Partial Received","Not Receviced"),"FullyReceived")</f>
        <v>Not Receviced</v>
      </c>
      <c r="Q38" t="str">
        <f>IF(T[[#This Row],[qty_received]]&lt;&gt;T[[#This Row],[qty_invoiced]],IF(T[[#This Row],[qty_invoiced]]&gt;0,"Partial Invoiced","Not Invoiced"),"Fully Invoiced")</f>
        <v>Partial Invoiced</v>
      </c>
      <c r="R38" t="str">
        <f>IFERROR(VLOOKUP(T[[#This Row],[warehouse]],Table2[],2,FALSE),"--")</f>
        <v>--</v>
      </c>
    </row>
    <row r="39" spans="1:18" x14ac:dyDescent="0.25">
      <c r="A39" t="s">
        <v>72</v>
      </c>
      <c r="B39" s="1">
        <v>43319</v>
      </c>
      <c r="C39" t="s">
        <v>73</v>
      </c>
      <c r="D39" t="s">
        <v>71</v>
      </c>
      <c r="E39" t="s">
        <v>51</v>
      </c>
      <c r="F39" t="s">
        <v>52</v>
      </c>
      <c r="G39" t="s">
        <v>112</v>
      </c>
      <c r="H39" t="s">
        <v>54</v>
      </c>
      <c r="I39">
        <v>25</v>
      </c>
      <c r="J39">
        <v>0</v>
      </c>
      <c r="K39">
        <v>1</v>
      </c>
      <c r="L39" t="s">
        <v>25</v>
      </c>
      <c r="M39" t="s">
        <v>26</v>
      </c>
      <c r="N39">
        <v>370</v>
      </c>
      <c r="O39">
        <v>0</v>
      </c>
      <c r="P39" t="str">
        <f>IF(T[[#This Row],[qty_ordered]]&lt;&gt;T[[#This Row],[qty_received]],IF(T[[#This Row],[qty_received]]&gt;0,"Partial Received","Not Receviced"),"FullyReceived")</f>
        <v>Not Receviced</v>
      </c>
      <c r="Q39" t="str">
        <f>IF(T[[#This Row],[qty_received]]&lt;&gt;T[[#This Row],[qty_invoiced]],IF(T[[#This Row],[qty_invoiced]]&gt;0,"Partial Invoiced","Not Invoiced"),"Fully Invoiced")</f>
        <v>Partial Invoiced</v>
      </c>
      <c r="R39" t="str">
        <f>IFERROR(VLOOKUP(T[[#This Row],[warehouse]],Table2[],2,FALSE),"--")</f>
        <v>--</v>
      </c>
    </row>
    <row r="40" spans="1:18" x14ac:dyDescent="0.25">
      <c r="A40" t="s">
        <v>72</v>
      </c>
      <c r="B40" s="1">
        <v>43319</v>
      </c>
      <c r="C40" t="s">
        <v>73</v>
      </c>
      <c r="D40" t="s">
        <v>100</v>
      </c>
      <c r="E40" t="s">
        <v>51</v>
      </c>
      <c r="F40" t="s">
        <v>52</v>
      </c>
      <c r="G40" t="s">
        <v>80</v>
      </c>
      <c r="H40" t="s">
        <v>54</v>
      </c>
      <c r="I40">
        <v>423.66</v>
      </c>
      <c r="J40">
        <v>0</v>
      </c>
      <c r="K40">
        <v>1</v>
      </c>
      <c r="L40" t="s">
        <v>25</v>
      </c>
      <c r="M40" t="s">
        <v>26</v>
      </c>
      <c r="N40">
        <v>80</v>
      </c>
      <c r="O40">
        <v>0</v>
      </c>
      <c r="P40" t="str">
        <f>IF(T[[#This Row],[qty_ordered]]&lt;&gt;T[[#This Row],[qty_received]],IF(T[[#This Row],[qty_received]]&gt;0,"Partial Received","Not Receviced"),"FullyReceived")</f>
        <v>Not Receviced</v>
      </c>
      <c r="Q40" t="str">
        <f>IF(T[[#This Row],[qty_received]]&lt;&gt;T[[#This Row],[qty_invoiced]],IF(T[[#This Row],[qty_invoiced]]&gt;0,"Partial Invoiced","Not Invoiced"),"Fully Invoiced")</f>
        <v>Partial Invoiced</v>
      </c>
      <c r="R40" t="str">
        <f>IFERROR(VLOOKUP(T[[#This Row],[warehouse]],Table2[],2,FALSE),"--")</f>
        <v>--</v>
      </c>
    </row>
    <row r="41" spans="1:18" x14ac:dyDescent="0.25">
      <c r="A41" t="s">
        <v>72</v>
      </c>
      <c r="B41" s="1">
        <v>43319</v>
      </c>
      <c r="C41" t="s">
        <v>73</v>
      </c>
      <c r="D41" t="s">
        <v>88</v>
      </c>
      <c r="E41" t="s">
        <v>51</v>
      </c>
      <c r="F41" t="s">
        <v>52</v>
      </c>
      <c r="G41" t="s">
        <v>75</v>
      </c>
      <c r="H41" t="s">
        <v>54</v>
      </c>
      <c r="I41">
        <v>423.66</v>
      </c>
      <c r="J41">
        <v>0</v>
      </c>
      <c r="K41">
        <v>1</v>
      </c>
      <c r="L41" t="s">
        <v>25</v>
      </c>
      <c r="M41" t="s">
        <v>26</v>
      </c>
      <c r="N41">
        <v>300</v>
      </c>
      <c r="O41">
        <v>0</v>
      </c>
      <c r="P41" t="str">
        <f>IF(T[[#This Row],[qty_ordered]]&lt;&gt;T[[#This Row],[qty_received]],IF(T[[#This Row],[qty_received]]&gt;0,"Partial Received","Not Receviced"),"FullyReceived")</f>
        <v>Not Receviced</v>
      </c>
      <c r="Q41" t="str">
        <f>IF(T[[#This Row],[qty_received]]&lt;&gt;T[[#This Row],[qty_invoiced]],IF(T[[#This Row],[qty_invoiced]]&gt;0,"Partial Invoiced","Not Invoiced"),"Fully Invoiced")</f>
        <v>Partial Invoiced</v>
      </c>
      <c r="R41" t="str">
        <f>IFERROR(VLOOKUP(T[[#This Row],[warehouse]],Table2[],2,FALSE),"--")</f>
        <v>--</v>
      </c>
    </row>
    <row r="42" spans="1:18" x14ac:dyDescent="0.25">
      <c r="A42" t="s">
        <v>113</v>
      </c>
      <c r="B42" s="1">
        <v>43348</v>
      </c>
      <c r="C42" t="s">
        <v>114</v>
      </c>
      <c r="D42" t="s">
        <v>20</v>
      </c>
      <c r="E42" t="s">
        <v>51</v>
      </c>
      <c r="F42" t="s">
        <v>52</v>
      </c>
      <c r="G42" t="s">
        <v>98</v>
      </c>
      <c r="H42" t="s">
        <v>54</v>
      </c>
      <c r="I42">
        <v>201.24</v>
      </c>
      <c r="J42">
        <v>0</v>
      </c>
      <c r="K42">
        <v>1</v>
      </c>
      <c r="L42" t="s">
        <v>25</v>
      </c>
      <c r="M42" t="s">
        <v>26</v>
      </c>
      <c r="N42">
        <v>350</v>
      </c>
      <c r="O42">
        <v>0</v>
      </c>
      <c r="P42" t="str">
        <f>IF(T[[#This Row],[qty_ordered]]&lt;&gt;T[[#This Row],[qty_received]],IF(T[[#This Row],[qty_received]]&gt;0,"Partial Received","Not Receviced"),"FullyReceived")</f>
        <v>Not Receviced</v>
      </c>
      <c r="Q42" t="str">
        <f>IF(T[[#This Row],[qty_received]]&lt;&gt;T[[#This Row],[qty_invoiced]],IF(T[[#This Row],[qty_invoiced]]&gt;0,"Partial Invoiced","Not Invoiced"),"Fully Invoiced")</f>
        <v>Partial Invoiced</v>
      </c>
      <c r="R42" t="str">
        <f>IFERROR(VLOOKUP(T[[#This Row],[warehouse]],Table2[],2,FALSE),"--")</f>
        <v>--</v>
      </c>
    </row>
    <row r="43" spans="1:18" x14ac:dyDescent="0.25">
      <c r="A43" t="s">
        <v>115</v>
      </c>
      <c r="B43" s="1">
        <v>43348</v>
      </c>
      <c r="C43" t="s">
        <v>116</v>
      </c>
      <c r="D43" t="s">
        <v>20</v>
      </c>
      <c r="E43" t="s">
        <v>51</v>
      </c>
      <c r="F43" t="s">
        <v>52</v>
      </c>
      <c r="G43" t="s">
        <v>117</v>
      </c>
      <c r="H43" t="s">
        <v>54</v>
      </c>
      <c r="I43">
        <v>39.19</v>
      </c>
      <c r="J43">
        <v>0</v>
      </c>
      <c r="K43">
        <v>1</v>
      </c>
      <c r="L43" t="s">
        <v>25</v>
      </c>
      <c r="M43" t="s">
        <v>26</v>
      </c>
      <c r="N43">
        <v>390</v>
      </c>
      <c r="O43">
        <v>0</v>
      </c>
      <c r="P43" t="str">
        <f>IF(T[[#This Row],[qty_ordered]]&lt;&gt;T[[#This Row],[qty_received]],IF(T[[#This Row],[qty_received]]&gt;0,"Partial Received","Not Receviced"),"FullyReceived")</f>
        <v>Not Receviced</v>
      </c>
      <c r="Q43" t="str">
        <f>IF(T[[#This Row],[qty_received]]&lt;&gt;T[[#This Row],[qty_invoiced]],IF(T[[#This Row],[qty_invoiced]]&gt;0,"Partial Invoiced","Not Invoiced"),"Fully Invoiced")</f>
        <v>Partial Invoiced</v>
      </c>
      <c r="R43" t="str">
        <f>IFERROR(VLOOKUP(T[[#This Row],[warehouse]],Table2[],2,FALSE),"--")</f>
        <v>--</v>
      </c>
    </row>
    <row r="44" spans="1:18" x14ac:dyDescent="0.25">
      <c r="A44" t="s">
        <v>115</v>
      </c>
      <c r="B44" s="1">
        <v>43348</v>
      </c>
      <c r="C44" t="s">
        <v>116</v>
      </c>
      <c r="D44" t="s">
        <v>71</v>
      </c>
      <c r="E44" t="s">
        <v>51</v>
      </c>
      <c r="F44" t="s">
        <v>52</v>
      </c>
      <c r="G44" t="s">
        <v>118</v>
      </c>
      <c r="H44" t="s">
        <v>54</v>
      </c>
      <c r="I44">
        <v>98</v>
      </c>
      <c r="J44">
        <v>0</v>
      </c>
      <c r="K44">
        <v>1</v>
      </c>
      <c r="L44" t="s">
        <v>25</v>
      </c>
      <c r="M44" t="s">
        <v>26</v>
      </c>
      <c r="N44">
        <v>20</v>
      </c>
      <c r="O44">
        <v>0</v>
      </c>
      <c r="P44" t="str">
        <f>IF(T[[#This Row],[qty_ordered]]&lt;&gt;T[[#This Row],[qty_received]],IF(T[[#This Row],[qty_received]]&gt;0,"Partial Received","Not Receviced"),"FullyReceived")</f>
        <v>Not Receviced</v>
      </c>
      <c r="Q44" t="str">
        <f>IF(T[[#This Row],[qty_received]]&lt;&gt;T[[#This Row],[qty_invoiced]],IF(T[[#This Row],[qty_invoiced]]&gt;0,"Partial Invoiced","Not Invoiced"),"Fully Invoiced")</f>
        <v>Partial Invoiced</v>
      </c>
      <c r="R44" t="str">
        <f>IFERROR(VLOOKUP(T[[#This Row],[warehouse]],Table2[],2,FALSE),"--")</f>
        <v>--</v>
      </c>
    </row>
    <row r="45" spans="1:18" x14ac:dyDescent="0.25">
      <c r="A45" t="s">
        <v>115</v>
      </c>
      <c r="B45" s="1">
        <v>43348</v>
      </c>
      <c r="C45" t="s">
        <v>116</v>
      </c>
      <c r="D45" t="s">
        <v>100</v>
      </c>
      <c r="E45" t="s">
        <v>51</v>
      </c>
      <c r="F45" t="s">
        <v>52</v>
      </c>
      <c r="G45" t="s">
        <v>119</v>
      </c>
      <c r="H45" t="s">
        <v>54</v>
      </c>
      <c r="I45">
        <v>3</v>
      </c>
      <c r="J45">
        <v>0</v>
      </c>
      <c r="K45">
        <v>1</v>
      </c>
      <c r="L45" t="s">
        <v>25</v>
      </c>
      <c r="M45" t="s">
        <v>26</v>
      </c>
      <c r="N45">
        <v>130</v>
      </c>
      <c r="O45">
        <v>0</v>
      </c>
      <c r="P45" t="str">
        <f>IF(T[[#This Row],[qty_ordered]]&lt;&gt;T[[#This Row],[qty_received]],IF(T[[#This Row],[qty_received]]&gt;0,"Partial Received","Not Receviced"),"FullyReceived")</f>
        <v>Not Receviced</v>
      </c>
      <c r="Q45" t="str">
        <f>IF(T[[#This Row],[qty_received]]&lt;&gt;T[[#This Row],[qty_invoiced]],IF(T[[#This Row],[qty_invoiced]]&gt;0,"Partial Invoiced","Not Invoiced"),"Fully Invoiced")</f>
        <v>Partial Invoiced</v>
      </c>
      <c r="R45" t="str">
        <f>IFERROR(VLOOKUP(T[[#This Row],[warehouse]],Table2[],2,FALSE),"--")</f>
        <v>--</v>
      </c>
    </row>
    <row r="46" spans="1:18" x14ac:dyDescent="0.25">
      <c r="A46" t="s">
        <v>115</v>
      </c>
      <c r="B46" s="1">
        <v>43348</v>
      </c>
      <c r="C46" t="s">
        <v>120</v>
      </c>
      <c r="D46" t="s">
        <v>20</v>
      </c>
      <c r="E46" t="s">
        <v>51</v>
      </c>
      <c r="F46" t="s">
        <v>52</v>
      </c>
      <c r="G46" t="s">
        <v>98</v>
      </c>
      <c r="H46" t="s">
        <v>54</v>
      </c>
      <c r="I46">
        <v>15.42</v>
      </c>
      <c r="J46">
        <v>0</v>
      </c>
      <c r="K46">
        <v>1</v>
      </c>
      <c r="L46" t="s">
        <v>25</v>
      </c>
      <c r="M46" t="s">
        <v>26</v>
      </c>
      <c r="N46">
        <v>390</v>
      </c>
      <c r="O46">
        <v>0</v>
      </c>
      <c r="P46" t="str">
        <f>IF(T[[#This Row],[qty_ordered]]&lt;&gt;T[[#This Row],[qty_received]],IF(T[[#This Row],[qty_received]]&gt;0,"Partial Received","Not Receviced"),"FullyReceived")</f>
        <v>Not Receviced</v>
      </c>
      <c r="Q46" t="str">
        <f>IF(T[[#This Row],[qty_received]]&lt;&gt;T[[#This Row],[qty_invoiced]],IF(T[[#This Row],[qty_invoiced]]&gt;0,"Partial Invoiced","Not Invoiced"),"Fully Invoiced")</f>
        <v>Partial Invoiced</v>
      </c>
      <c r="R46" t="str">
        <f>IFERROR(VLOOKUP(T[[#This Row],[warehouse]],Table2[],2,FALSE),"--")</f>
        <v>--</v>
      </c>
    </row>
    <row r="47" spans="1:18" x14ac:dyDescent="0.25">
      <c r="A47" t="s">
        <v>18</v>
      </c>
      <c r="B47" s="1">
        <v>43353</v>
      </c>
      <c r="C47" t="s">
        <v>121</v>
      </c>
      <c r="D47" t="s">
        <v>20</v>
      </c>
      <c r="E47" t="s">
        <v>66</v>
      </c>
      <c r="F47" t="s">
        <v>122</v>
      </c>
      <c r="G47" t="s">
        <v>48</v>
      </c>
      <c r="H47" t="s">
        <v>123</v>
      </c>
      <c r="I47">
        <v>10000</v>
      </c>
      <c r="J47">
        <v>3999</v>
      </c>
      <c r="K47">
        <v>3999</v>
      </c>
      <c r="L47" t="s">
        <v>25</v>
      </c>
      <c r="M47" t="s">
        <v>26</v>
      </c>
      <c r="N47">
        <v>1652</v>
      </c>
      <c r="O47">
        <v>6606348</v>
      </c>
      <c r="P47" t="str">
        <f>IF(T[[#This Row],[qty_ordered]]&lt;&gt;T[[#This Row],[qty_received]],IF(T[[#This Row],[qty_received]]&gt;0,"Partial Received","Not Receviced"),"FullyReceived")</f>
        <v>Partial Received</v>
      </c>
      <c r="Q47" t="str">
        <f>IF(T[[#This Row],[qty_received]]&lt;&gt;T[[#This Row],[qty_invoiced]],IF(T[[#This Row],[qty_invoiced]]&gt;0,"Partial Invoiced","Not Invoiced"),"Fully Invoiced")</f>
        <v>Fully Invoiced</v>
      </c>
      <c r="R47" t="str">
        <f>IFERROR(VLOOKUP(T[[#This Row],[warehouse]],Table2[],2,FALSE),"--")</f>
        <v>PZU Main Warehouse</v>
      </c>
    </row>
    <row r="48" spans="1:18" x14ac:dyDescent="0.25">
      <c r="A48" t="s">
        <v>84</v>
      </c>
      <c r="B48" s="1">
        <v>43326</v>
      </c>
      <c r="C48" t="s">
        <v>101</v>
      </c>
      <c r="D48" t="s">
        <v>100</v>
      </c>
      <c r="E48" t="s">
        <v>107</v>
      </c>
      <c r="F48" t="s">
        <v>103</v>
      </c>
      <c r="G48" t="s">
        <v>104</v>
      </c>
      <c r="H48" t="s">
        <v>24</v>
      </c>
      <c r="I48">
        <v>196.72</v>
      </c>
      <c r="J48">
        <v>196.72</v>
      </c>
      <c r="K48">
        <v>196.72</v>
      </c>
      <c r="L48" t="s">
        <v>25</v>
      </c>
      <c r="M48" t="s">
        <v>26</v>
      </c>
      <c r="N48">
        <v>18378.55</v>
      </c>
      <c r="O48">
        <v>3615428.3560000001</v>
      </c>
      <c r="P48" t="str">
        <f>IF(T[[#This Row],[qty_ordered]]&lt;&gt;T[[#This Row],[qty_received]],IF(T[[#This Row],[qty_received]]&gt;0,"Partial Received","Not Receviced"),"FullyReceived")</f>
        <v>FullyReceived</v>
      </c>
      <c r="Q48" t="str">
        <f>IF(T[[#This Row],[qty_received]]&lt;&gt;T[[#This Row],[qty_invoiced]],IF(T[[#This Row],[qty_invoiced]]&gt;0,"Partial Invoiced","Not Invoiced"),"Fully Invoiced")</f>
        <v>Fully Invoiced</v>
      </c>
      <c r="R48" t="str">
        <f>IFERROR(VLOOKUP(T[[#This Row],[warehouse]],Table2[],2,FALSE),"--")</f>
        <v xml:space="preserve">Sifter OMD -Alshafey </v>
      </c>
    </row>
    <row r="49" spans="1:18" x14ac:dyDescent="0.25">
      <c r="A49" t="s">
        <v>77</v>
      </c>
      <c r="B49" s="1">
        <v>43361</v>
      </c>
      <c r="C49" t="s">
        <v>124</v>
      </c>
      <c r="D49" t="s">
        <v>20</v>
      </c>
      <c r="E49" t="s">
        <v>51</v>
      </c>
      <c r="F49" t="s">
        <v>52</v>
      </c>
      <c r="G49" t="s">
        <v>125</v>
      </c>
      <c r="H49" t="s">
        <v>54</v>
      </c>
      <c r="I49">
        <v>159.85</v>
      </c>
      <c r="J49">
        <v>0</v>
      </c>
      <c r="K49">
        <v>1</v>
      </c>
      <c r="L49" t="s">
        <v>25</v>
      </c>
      <c r="M49" t="s">
        <v>26</v>
      </c>
      <c r="N49">
        <v>420</v>
      </c>
      <c r="O49">
        <v>0</v>
      </c>
      <c r="P49" t="str">
        <f>IF(T[[#This Row],[qty_ordered]]&lt;&gt;T[[#This Row],[qty_received]],IF(T[[#This Row],[qty_received]]&gt;0,"Partial Received","Not Receviced"),"FullyReceived")</f>
        <v>Not Receviced</v>
      </c>
      <c r="Q49" t="str">
        <f>IF(T[[#This Row],[qty_received]]&lt;&gt;T[[#This Row],[qty_invoiced]],IF(T[[#This Row],[qty_invoiced]]&gt;0,"Partial Invoiced","Not Invoiced"),"Fully Invoiced")</f>
        <v>Partial Invoiced</v>
      </c>
      <c r="R49" t="str">
        <f>IFERROR(VLOOKUP(T[[#This Row],[warehouse]],Table2[],2,FALSE),"--")</f>
        <v>--</v>
      </c>
    </row>
    <row r="50" spans="1:18" x14ac:dyDescent="0.25">
      <c r="A50" t="s">
        <v>77</v>
      </c>
      <c r="B50" s="1">
        <v>43361</v>
      </c>
      <c r="C50" t="s">
        <v>124</v>
      </c>
      <c r="D50" t="s">
        <v>71</v>
      </c>
      <c r="E50" t="s">
        <v>51</v>
      </c>
      <c r="F50" t="s">
        <v>52</v>
      </c>
      <c r="G50" t="s">
        <v>126</v>
      </c>
      <c r="H50" t="s">
        <v>54</v>
      </c>
      <c r="I50">
        <v>1936</v>
      </c>
      <c r="J50">
        <v>0</v>
      </c>
      <c r="K50">
        <v>1</v>
      </c>
      <c r="L50" t="s">
        <v>25</v>
      </c>
      <c r="M50" t="s">
        <v>26</v>
      </c>
      <c r="N50">
        <v>2.5</v>
      </c>
      <c r="O50">
        <v>0</v>
      </c>
      <c r="P50" t="str">
        <f>IF(T[[#This Row],[qty_ordered]]&lt;&gt;T[[#This Row],[qty_received]],IF(T[[#This Row],[qty_received]]&gt;0,"Partial Received","Not Receviced"),"FullyReceived")</f>
        <v>Not Receviced</v>
      </c>
      <c r="Q50" t="str">
        <f>IF(T[[#This Row],[qty_received]]&lt;&gt;T[[#This Row],[qty_invoiced]],IF(T[[#This Row],[qty_invoiced]]&gt;0,"Partial Invoiced","Not Invoiced"),"Fully Invoiced")</f>
        <v>Partial Invoiced</v>
      </c>
      <c r="R50" t="str">
        <f>IFERROR(VLOOKUP(T[[#This Row],[warehouse]],Table2[],2,FALSE),"--")</f>
        <v>--</v>
      </c>
    </row>
    <row r="51" spans="1:18" x14ac:dyDescent="0.25">
      <c r="A51" t="s">
        <v>127</v>
      </c>
      <c r="B51" s="1">
        <v>43361</v>
      </c>
      <c r="C51" t="s">
        <v>128</v>
      </c>
      <c r="D51" t="s">
        <v>20</v>
      </c>
      <c r="E51" t="s">
        <v>51</v>
      </c>
      <c r="F51" t="s">
        <v>52</v>
      </c>
      <c r="G51" t="s">
        <v>117</v>
      </c>
      <c r="H51" t="s">
        <v>54</v>
      </c>
      <c r="I51">
        <v>339.85</v>
      </c>
      <c r="J51">
        <v>0</v>
      </c>
      <c r="K51">
        <v>1</v>
      </c>
      <c r="L51" t="s">
        <v>25</v>
      </c>
      <c r="M51" t="s">
        <v>26</v>
      </c>
      <c r="N51">
        <v>480</v>
      </c>
      <c r="O51">
        <v>0</v>
      </c>
      <c r="P51" t="str">
        <f>IF(T[[#This Row],[qty_ordered]]&lt;&gt;T[[#This Row],[qty_received]],IF(T[[#This Row],[qty_received]]&gt;0,"Partial Received","Not Receviced"),"FullyReceived")</f>
        <v>Not Receviced</v>
      </c>
      <c r="Q51" t="str">
        <f>IF(T[[#This Row],[qty_received]]&lt;&gt;T[[#This Row],[qty_invoiced]],IF(T[[#This Row],[qty_invoiced]]&gt;0,"Partial Invoiced","Not Invoiced"),"Fully Invoiced")</f>
        <v>Partial Invoiced</v>
      </c>
      <c r="R51" t="str">
        <f>IFERROR(VLOOKUP(T[[#This Row],[warehouse]],Table2[],2,FALSE),"--")</f>
        <v>--</v>
      </c>
    </row>
    <row r="52" spans="1:18" x14ac:dyDescent="0.25">
      <c r="A52" t="s">
        <v>84</v>
      </c>
      <c r="B52" s="1">
        <v>43362</v>
      </c>
      <c r="C52" t="s">
        <v>129</v>
      </c>
      <c r="D52" t="s">
        <v>20</v>
      </c>
      <c r="E52" t="s">
        <v>66</v>
      </c>
      <c r="F52" t="s">
        <v>130</v>
      </c>
      <c r="G52" t="s">
        <v>131</v>
      </c>
      <c r="H52" t="s">
        <v>24</v>
      </c>
      <c r="I52">
        <v>238.78</v>
      </c>
      <c r="J52">
        <v>238.78</v>
      </c>
      <c r="K52">
        <v>238.78</v>
      </c>
      <c r="L52" t="s">
        <v>25</v>
      </c>
      <c r="M52" t="s">
        <v>132</v>
      </c>
      <c r="N52">
        <v>26380</v>
      </c>
      <c r="O52">
        <v>6299016.4000000004</v>
      </c>
      <c r="P52" t="str">
        <f>IF(T[[#This Row],[qty_ordered]]&lt;&gt;T[[#This Row],[qty_received]],IF(T[[#This Row],[qty_received]]&gt;0,"Partial Received","Not Receviced"),"FullyReceived")</f>
        <v>FullyReceived</v>
      </c>
      <c r="Q52" t="str">
        <f>IF(T[[#This Row],[qty_received]]&lt;&gt;T[[#This Row],[qty_invoiced]],IF(T[[#This Row],[qty_invoiced]]&gt;0,"Partial Invoiced","Not Invoiced"),"Fully Invoiced")</f>
        <v>Fully Invoiced</v>
      </c>
      <c r="R52" t="str">
        <f>IFERROR(VLOOKUP(T[[#This Row],[warehouse]],Table2[],2,FALSE),"--")</f>
        <v>PZU Main Warehouse</v>
      </c>
    </row>
    <row r="53" spans="1:18" x14ac:dyDescent="0.25">
      <c r="A53" t="s">
        <v>49</v>
      </c>
      <c r="B53" s="1">
        <v>43369</v>
      </c>
      <c r="C53" t="s">
        <v>133</v>
      </c>
      <c r="D53" t="s">
        <v>20</v>
      </c>
      <c r="E53" t="s">
        <v>51</v>
      </c>
      <c r="F53" t="s">
        <v>52</v>
      </c>
      <c r="G53" t="s">
        <v>134</v>
      </c>
      <c r="H53" t="s">
        <v>54</v>
      </c>
      <c r="I53">
        <v>11111</v>
      </c>
      <c r="J53">
        <v>0</v>
      </c>
      <c r="K53">
        <v>1</v>
      </c>
      <c r="L53" t="s">
        <v>25</v>
      </c>
      <c r="M53" t="s">
        <v>26</v>
      </c>
      <c r="N53">
        <v>8</v>
      </c>
      <c r="O53">
        <v>0</v>
      </c>
      <c r="P53" t="str">
        <f>IF(T[[#This Row],[qty_ordered]]&lt;&gt;T[[#This Row],[qty_received]],IF(T[[#This Row],[qty_received]]&gt;0,"Partial Received","Not Receviced"),"FullyReceived")</f>
        <v>Not Receviced</v>
      </c>
      <c r="Q53" t="str">
        <f>IF(T[[#This Row],[qty_received]]&lt;&gt;T[[#This Row],[qty_invoiced]],IF(T[[#This Row],[qty_invoiced]]&gt;0,"Partial Invoiced","Not Invoiced"),"Fully Invoiced")</f>
        <v>Partial Invoiced</v>
      </c>
      <c r="R53" t="str">
        <f>IFERROR(VLOOKUP(T[[#This Row],[warehouse]],Table2[],2,FALSE),"--")</f>
        <v>--</v>
      </c>
    </row>
    <row r="54" spans="1:18" x14ac:dyDescent="0.25">
      <c r="A54" t="s">
        <v>49</v>
      </c>
      <c r="B54" s="1">
        <v>43373</v>
      </c>
      <c r="C54" t="s">
        <v>135</v>
      </c>
      <c r="D54" t="s">
        <v>20</v>
      </c>
      <c r="E54" t="s">
        <v>51</v>
      </c>
      <c r="F54" t="s">
        <v>52</v>
      </c>
      <c r="G54" t="s">
        <v>136</v>
      </c>
      <c r="H54" t="s">
        <v>54</v>
      </c>
      <c r="I54">
        <v>280</v>
      </c>
      <c r="J54">
        <v>0</v>
      </c>
      <c r="K54">
        <v>1</v>
      </c>
      <c r="L54" t="s">
        <v>25</v>
      </c>
      <c r="M54" t="s">
        <v>26</v>
      </c>
      <c r="N54">
        <v>4</v>
      </c>
      <c r="O54">
        <v>0</v>
      </c>
      <c r="P54" t="str">
        <f>IF(T[[#This Row],[qty_ordered]]&lt;&gt;T[[#This Row],[qty_received]],IF(T[[#This Row],[qty_received]]&gt;0,"Partial Received","Not Receviced"),"FullyReceived")</f>
        <v>Not Receviced</v>
      </c>
      <c r="Q54" t="str">
        <f>IF(T[[#This Row],[qty_received]]&lt;&gt;T[[#This Row],[qty_invoiced]],IF(T[[#This Row],[qty_invoiced]]&gt;0,"Partial Invoiced","Not Invoiced"),"Fully Invoiced")</f>
        <v>Partial Invoiced</v>
      </c>
      <c r="R54" t="str">
        <f>IFERROR(VLOOKUP(T[[#This Row],[warehouse]],Table2[],2,FALSE),"--")</f>
        <v>--</v>
      </c>
    </row>
    <row r="55" spans="1:18" x14ac:dyDescent="0.25">
      <c r="A55" t="s">
        <v>49</v>
      </c>
      <c r="B55" s="1">
        <v>43373</v>
      </c>
      <c r="C55" t="s">
        <v>135</v>
      </c>
      <c r="D55" t="s">
        <v>71</v>
      </c>
      <c r="E55" t="s">
        <v>51</v>
      </c>
      <c r="F55" t="s">
        <v>52</v>
      </c>
      <c r="G55" t="s">
        <v>137</v>
      </c>
      <c r="H55" t="s">
        <v>54</v>
      </c>
      <c r="I55">
        <v>280</v>
      </c>
      <c r="J55">
        <v>0</v>
      </c>
      <c r="K55">
        <v>1</v>
      </c>
      <c r="L55" t="s">
        <v>25</v>
      </c>
      <c r="M55" t="s">
        <v>26</v>
      </c>
      <c r="N55">
        <v>2.5</v>
      </c>
      <c r="O55">
        <v>0</v>
      </c>
      <c r="P55" t="str">
        <f>IF(T[[#This Row],[qty_ordered]]&lt;&gt;T[[#This Row],[qty_received]],IF(T[[#This Row],[qty_received]]&gt;0,"Partial Received","Not Receviced"),"FullyReceived")</f>
        <v>Not Receviced</v>
      </c>
      <c r="Q55" t="str">
        <f>IF(T[[#This Row],[qty_received]]&lt;&gt;T[[#This Row],[qty_invoiced]],IF(T[[#This Row],[qty_invoiced]]&gt;0,"Partial Invoiced","Not Invoiced"),"Fully Invoiced")</f>
        <v>Partial Invoiced</v>
      </c>
      <c r="R55" t="str">
        <f>IFERROR(VLOOKUP(T[[#This Row],[warehouse]],Table2[],2,FALSE),"--")</f>
        <v>--</v>
      </c>
    </row>
    <row r="56" spans="1:18" x14ac:dyDescent="0.25">
      <c r="A56" t="s">
        <v>113</v>
      </c>
      <c r="B56" s="1">
        <v>43369</v>
      </c>
      <c r="C56" t="s">
        <v>138</v>
      </c>
      <c r="D56" t="s">
        <v>20</v>
      </c>
      <c r="E56" t="s">
        <v>51</v>
      </c>
      <c r="F56" t="s">
        <v>52</v>
      </c>
      <c r="G56" t="s">
        <v>98</v>
      </c>
      <c r="H56" t="s">
        <v>54</v>
      </c>
      <c r="I56">
        <v>350</v>
      </c>
      <c r="J56">
        <v>0</v>
      </c>
      <c r="K56">
        <v>1</v>
      </c>
      <c r="L56" t="s">
        <v>25</v>
      </c>
      <c r="M56" t="s">
        <v>26</v>
      </c>
      <c r="N56">
        <v>460</v>
      </c>
      <c r="O56">
        <v>0</v>
      </c>
      <c r="P56" t="str">
        <f>IF(T[[#This Row],[qty_ordered]]&lt;&gt;T[[#This Row],[qty_received]],IF(T[[#This Row],[qty_received]]&gt;0,"Partial Received","Not Receviced"),"FullyReceived")</f>
        <v>Not Receviced</v>
      </c>
      <c r="Q56" t="str">
        <f>IF(T[[#This Row],[qty_received]]&lt;&gt;T[[#This Row],[qty_invoiced]],IF(T[[#This Row],[qty_invoiced]]&gt;0,"Partial Invoiced","Not Invoiced"),"Fully Invoiced")</f>
        <v>Partial Invoiced</v>
      </c>
      <c r="R56" t="str">
        <f>IFERROR(VLOOKUP(T[[#This Row],[warehouse]],Table2[],2,FALSE),"--")</f>
        <v>--</v>
      </c>
    </row>
    <row r="57" spans="1:18" x14ac:dyDescent="0.25">
      <c r="A57" t="s">
        <v>84</v>
      </c>
      <c r="B57" s="1">
        <v>43362</v>
      </c>
      <c r="C57" t="s">
        <v>139</v>
      </c>
      <c r="D57" t="s">
        <v>71</v>
      </c>
      <c r="E57" t="s">
        <v>105</v>
      </c>
      <c r="F57" t="s">
        <v>103</v>
      </c>
      <c r="G57" t="s">
        <v>104</v>
      </c>
      <c r="H57" t="s">
        <v>24</v>
      </c>
      <c r="I57">
        <v>98.894000000000005</v>
      </c>
      <c r="J57">
        <v>98.894000000000005</v>
      </c>
      <c r="K57">
        <v>98.894000000000005</v>
      </c>
      <c r="L57" t="s">
        <v>25</v>
      </c>
      <c r="M57" t="s">
        <v>132</v>
      </c>
      <c r="N57">
        <v>17280</v>
      </c>
      <c r="O57">
        <v>1708888.32</v>
      </c>
      <c r="P57" t="str">
        <f>IF(T[[#This Row],[qty_ordered]]&lt;&gt;T[[#This Row],[qty_received]],IF(T[[#This Row],[qty_received]]&gt;0,"Partial Received","Not Receviced"),"FullyReceived")</f>
        <v>FullyReceived</v>
      </c>
      <c r="Q57" t="str">
        <f>IF(T[[#This Row],[qty_received]]&lt;&gt;T[[#This Row],[qty_invoiced]],IF(T[[#This Row],[qty_invoiced]]&gt;0,"Partial Invoiced","Not Invoiced"),"Fully Invoiced")</f>
        <v>Fully Invoiced</v>
      </c>
      <c r="R57" t="str">
        <f>IFERROR(VLOOKUP(T[[#This Row],[warehouse]],Table2[],2,FALSE),"--")</f>
        <v>Sifting OMD- Khalid</v>
      </c>
    </row>
    <row r="58" spans="1:18" x14ac:dyDescent="0.25">
      <c r="A58" t="s">
        <v>84</v>
      </c>
      <c r="B58" s="1">
        <v>43326</v>
      </c>
      <c r="C58" t="s">
        <v>101</v>
      </c>
      <c r="D58" t="s">
        <v>88</v>
      </c>
      <c r="E58" t="s">
        <v>51</v>
      </c>
      <c r="F58" t="s">
        <v>52</v>
      </c>
      <c r="G58" t="s">
        <v>53</v>
      </c>
      <c r="H58" t="s">
        <v>54</v>
      </c>
      <c r="I58">
        <v>1</v>
      </c>
      <c r="J58">
        <v>0</v>
      </c>
      <c r="K58">
        <v>1</v>
      </c>
      <c r="L58" t="s">
        <v>25</v>
      </c>
      <c r="M58" t="s">
        <v>26</v>
      </c>
      <c r="N58">
        <v>81013</v>
      </c>
      <c r="O58">
        <v>0</v>
      </c>
      <c r="P58" t="str">
        <f>IF(T[[#This Row],[qty_ordered]]&lt;&gt;T[[#This Row],[qty_received]],IF(T[[#This Row],[qty_received]]&gt;0,"Partial Received","Not Receviced"),"FullyReceived")</f>
        <v>Not Receviced</v>
      </c>
      <c r="Q58" t="str">
        <f>IF(T[[#This Row],[qty_received]]&lt;&gt;T[[#This Row],[qty_invoiced]],IF(T[[#This Row],[qty_invoiced]]&gt;0,"Partial Invoiced","Not Invoiced"),"Fully Invoiced")</f>
        <v>Partial Invoiced</v>
      </c>
      <c r="R58" t="str">
        <f>IFERROR(VLOOKUP(T[[#This Row],[warehouse]],Table2[],2,FALSE),"--")</f>
        <v>--</v>
      </c>
    </row>
    <row r="59" spans="1:18" x14ac:dyDescent="0.25">
      <c r="A59" t="s">
        <v>84</v>
      </c>
      <c r="B59" s="1">
        <v>43362</v>
      </c>
      <c r="C59" t="s">
        <v>139</v>
      </c>
      <c r="D59" t="s">
        <v>100</v>
      </c>
      <c r="E59" t="s">
        <v>70</v>
      </c>
      <c r="F59" t="s">
        <v>103</v>
      </c>
      <c r="G59" t="s">
        <v>104</v>
      </c>
      <c r="H59" t="s">
        <v>24</v>
      </c>
      <c r="I59">
        <v>9.7439999999999998</v>
      </c>
      <c r="J59">
        <v>9.7439999999999998</v>
      </c>
      <c r="K59">
        <v>9.7439999999999998</v>
      </c>
      <c r="L59" t="s">
        <v>25</v>
      </c>
      <c r="M59" t="s">
        <v>132</v>
      </c>
      <c r="N59">
        <v>18079.79</v>
      </c>
      <c r="O59">
        <v>176169.47375999999</v>
      </c>
      <c r="P59" t="str">
        <f>IF(T[[#This Row],[qty_ordered]]&lt;&gt;T[[#This Row],[qty_received]],IF(T[[#This Row],[qty_received]]&gt;0,"Partial Received","Not Receviced"),"FullyReceived")</f>
        <v>FullyReceived</v>
      </c>
      <c r="Q59" t="str">
        <f>IF(T[[#This Row],[qty_received]]&lt;&gt;T[[#This Row],[qty_invoiced]],IF(T[[#This Row],[qty_invoiced]]&gt;0,"Partial Invoiced","Not Invoiced"),"Fully Invoiced")</f>
        <v>Fully Invoiced</v>
      </c>
      <c r="R59" t="str">
        <f>IFERROR(VLOOKUP(T[[#This Row],[warehouse]],Table2[],2,FALSE),"--")</f>
        <v xml:space="preserve">Sifter OMD -Alshafey </v>
      </c>
    </row>
    <row r="60" spans="1:18" x14ac:dyDescent="0.25">
      <c r="A60" t="s">
        <v>84</v>
      </c>
      <c r="B60" s="1">
        <v>43362</v>
      </c>
      <c r="C60" t="s">
        <v>139</v>
      </c>
      <c r="D60" t="s">
        <v>88</v>
      </c>
      <c r="E60" t="s">
        <v>70</v>
      </c>
      <c r="F60" t="s">
        <v>103</v>
      </c>
      <c r="G60" t="s">
        <v>104</v>
      </c>
      <c r="H60" t="s">
        <v>24</v>
      </c>
      <c r="I60">
        <v>10.42</v>
      </c>
      <c r="J60">
        <v>10.42</v>
      </c>
      <c r="K60">
        <v>10.42</v>
      </c>
      <c r="L60" t="s">
        <v>25</v>
      </c>
      <c r="M60" t="s">
        <v>132</v>
      </c>
      <c r="N60">
        <v>19819.89</v>
      </c>
      <c r="O60">
        <v>206523.25380000001</v>
      </c>
      <c r="P60" t="str">
        <f>IF(T[[#This Row],[qty_ordered]]&lt;&gt;T[[#This Row],[qty_received]],IF(T[[#This Row],[qty_received]]&gt;0,"Partial Received","Not Receviced"),"FullyReceived")</f>
        <v>FullyReceived</v>
      </c>
      <c r="Q60" t="str">
        <f>IF(T[[#This Row],[qty_received]]&lt;&gt;T[[#This Row],[qty_invoiced]],IF(T[[#This Row],[qty_invoiced]]&gt;0,"Partial Invoiced","Not Invoiced"),"Fully Invoiced")</f>
        <v>Fully Invoiced</v>
      </c>
      <c r="R60" t="str">
        <f>IFERROR(VLOOKUP(T[[#This Row],[warehouse]],Table2[],2,FALSE),"--")</f>
        <v xml:space="preserve">Sifter OMD -Alshafey </v>
      </c>
    </row>
    <row r="61" spans="1:18" x14ac:dyDescent="0.25">
      <c r="A61" t="s">
        <v>140</v>
      </c>
      <c r="B61" s="1">
        <v>43398</v>
      </c>
      <c r="C61" t="s">
        <v>141</v>
      </c>
      <c r="D61" t="s">
        <v>20</v>
      </c>
      <c r="E61" t="s">
        <v>51</v>
      </c>
      <c r="F61" t="s">
        <v>52</v>
      </c>
      <c r="G61" t="s">
        <v>75</v>
      </c>
      <c r="H61" t="s">
        <v>54</v>
      </c>
      <c r="I61">
        <v>1965</v>
      </c>
      <c r="J61">
        <v>0</v>
      </c>
      <c r="K61">
        <v>1</v>
      </c>
      <c r="L61" t="s">
        <v>25</v>
      </c>
      <c r="M61" t="s">
        <v>26</v>
      </c>
      <c r="N61">
        <v>5</v>
      </c>
      <c r="O61">
        <v>0</v>
      </c>
      <c r="P61" t="str">
        <f>IF(T[[#This Row],[qty_ordered]]&lt;&gt;T[[#This Row],[qty_received]],IF(T[[#This Row],[qty_received]]&gt;0,"Partial Received","Not Receviced"),"FullyReceived")</f>
        <v>Not Receviced</v>
      </c>
      <c r="Q61" t="str">
        <f>IF(T[[#This Row],[qty_received]]&lt;&gt;T[[#This Row],[qty_invoiced]],IF(T[[#This Row],[qty_invoiced]]&gt;0,"Partial Invoiced","Not Invoiced"),"Fully Invoiced")</f>
        <v>Partial Invoiced</v>
      </c>
      <c r="R61" t="str">
        <f>IFERROR(VLOOKUP(T[[#This Row],[warehouse]],Table2[],2,FALSE),"--")</f>
        <v>--</v>
      </c>
    </row>
    <row r="62" spans="1:18" x14ac:dyDescent="0.25">
      <c r="A62" t="s">
        <v>84</v>
      </c>
      <c r="B62" s="1">
        <v>43362</v>
      </c>
      <c r="C62" t="s">
        <v>139</v>
      </c>
      <c r="D62" t="s">
        <v>20</v>
      </c>
      <c r="E62" t="s">
        <v>107</v>
      </c>
      <c r="F62" t="s">
        <v>103</v>
      </c>
      <c r="G62" t="s">
        <v>104</v>
      </c>
      <c r="H62" t="s">
        <v>24</v>
      </c>
      <c r="I62">
        <v>151.05000000000001</v>
      </c>
      <c r="J62">
        <v>151.05000000000001</v>
      </c>
      <c r="K62">
        <v>151.05000000000001</v>
      </c>
      <c r="L62" t="s">
        <v>25</v>
      </c>
      <c r="M62" t="s">
        <v>132</v>
      </c>
      <c r="N62">
        <v>17280</v>
      </c>
      <c r="O62">
        <v>2610144</v>
      </c>
      <c r="P62" t="str">
        <f>IF(T[[#This Row],[qty_ordered]]&lt;&gt;T[[#This Row],[qty_received]],IF(T[[#This Row],[qty_received]]&gt;0,"Partial Received","Not Receviced"),"FullyReceived")</f>
        <v>FullyReceived</v>
      </c>
      <c r="Q62" t="str">
        <f>IF(T[[#This Row],[qty_received]]&lt;&gt;T[[#This Row],[qty_invoiced]],IF(T[[#This Row],[qty_invoiced]]&gt;0,"Partial Invoiced","Not Invoiced"),"Fully Invoiced")</f>
        <v>Fully Invoiced</v>
      </c>
      <c r="R62" t="str">
        <f>IFERROR(VLOOKUP(T[[#This Row],[warehouse]],Table2[],2,FALSE),"--")</f>
        <v xml:space="preserve">Sifter OMD -Alshafey </v>
      </c>
    </row>
    <row r="63" spans="1:18" x14ac:dyDescent="0.25">
      <c r="A63" t="s">
        <v>84</v>
      </c>
      <c r="B63" s="1">
        <v>43326</v>
      </c>
      <c r="C63" t="s">
        <v>85</v>
      </c>
      <c r="D63" t="s">
        <v>71</v>
      </c>
      <c r="E63" t="s">
        <v>51</v>
      </c>
      <c r="F63" t="s">
        <v>52</v>
      </c>
      <c r="G63" t="s">
        <v>53</v>
      </c>
      <c r="H63" t="s">
        <v>54</v>
      </c>
      <c r="I63">
        <v>1</v>
      </c>
      <c r="J63">
        <v>0</v>
      </c>
      <c r="K63">
        <v>1</v>
      </c>
      <c r="L63" t="s">
        <v>25</v>
      </c>
      <c r="M63" t="s">
        <v>26</v>
      </c>
      <c r="N63">
        <v>21120</v>
      </c>
      <c r="O63">
        <v>0</v>
      </c>
      <c r="P63" t="str">
        <f>IF(T[[#This Row],[qty_ordered]]&lt;&gt;T[[#This Row],[qty_received]],IF(T[[#This Row],[qty_received]]&gt;0,"Partial Received","Not Receviced"),"FullyReceived")</f>
        <v>Not Receviced</v>
      </c>
      <c r="Q63" t="str">
        <f>IF(T[[#This Row],[qty_received]]&lt;&gt;T[[#This Row],[qty_invoiced]],IF(T[[#This Row],[qty_invoiced]]&gt;0,"Partial Invoiced","Not Invoiced"),"Fully Invoiced")</f>
        <v>Partial Invoiced</v>
      </c>
      <c r="R63" t="str">
        <f>IFERROR(VLOOKUP(T[[#This Row],[warehouse]],Table2[],2,FALSE),"--")</f>
        <v>--</v>
      </c>
    </row>
    <row r="64" spans="1:18" x14ac:dyDescent="0.25">
      <c r="A64" t="s">
        <v>140</v>
      </c>
      <c r="B64" s="1">
        <v>43398</v>
      </c>
      <c r="C64" t="s">
        <v>141</v>
      </c>
      <c r="D64" t="s">
        <v>71</v>
      </c>
      <c r="E64" t="s">
        <v>51</v>
      </c>
      <c r="F64" t="s">
        <v>52</v>
      </c>
      <c r="G64" t="s">
        <v>75</v>
      </c>
      <c r="H64" t="s">
        <v>54</v>
      </c>
      <c r="I64">
        <v>56</v>
      </c>
      <c r="J64">
        <v>0</v>
      </c>
      <c r="K64">
        <v>1</v>
      </c>
      <c r="L64" t="s">
        <v>25</v>
      </c>
      <c r="M64" t="s">
        <v>26</v>
      </c>
      <c r="N64">
        <v>5</v>
      </c>
      <c r="O64">
        <v>0</v>
      </c>
      <c r="P64" t="str">
        <f>IF(T[[#This Row],[qty_ordered]]&lt;&gt;T[[#This Row],[qty_received]],IF(T[[#This Row],[qty_received]]&gt;0,"Partial Received","Not Receviced"),"FullyReceived")</f>
        <v>Not Receviced</v>
      </c>
      <c r="Q64" t="str">
        <f>IF(T[[#This Row],[qty_received]]&lt;&gt;T[[#This Row],[qty_invoiced]],IF(T[[#This Row],[qty_invoiced]]&gt;0,"Partial Invoiced","Not Invoiced"),"Fully Invoiced")</f>
        <v>Partial Invoiced</v>
      </c>
      <c r="R64" t="str">
        <f>IFERROR(VLOOKUP(T[[#This Row],[warehouse]],Table2[],2,FALSE),"--")</f>
        <v>--</v>
      </c>
    </row>
    <row r="65" spans="1:18" x14ac:dyDescent="0.25">
      <c r="A65" t="s">
        <v>113</v>
      </c>
      <c r="B65" s="1">
        <v>43409</v>
      </c>
      <c r="C65" t="s">
        <v>142</v>
      </c>
      <c r="D65" t="s">
        <v>20</v>
      </c>
      <c r="E65" t="s">
        <v>51</v>
      </c>
      <c r="F65" t="s">
        <v>52</v>
      </c>
      <c r="G65" t="s">
        <v>143</v>
      </c>
      <c r="H65" t="s">
        <v>54</v>
      </c>
      <c r="I65">
        <v>65.75</v>
      </c>
      <c r="J65">
        <v>0</v>
      </c>
      <c r="K65">
        <v>1</v>
      </c>
      <c r="L65" t="s">
        <v>25</v>
      </c>
      <c r="M65" t="s">
        <v>26</v>
      </c>
      <c r="N65">
        <v>460</v>
      </c>
      <c r="O65">
        <v>0</v>
      </c>
      <c r="P65" t="str">
        <f>IF(T[[#This Row],[qty_ordered]]&lt;&gt;T[[#This Row],[qty_received]],IF(T[[#This Row],[qty_received]]&gt;0,"Partial Received","Not Receviced"),"FullyReceived")</f>
        <v>Not Receviced</v>
      </c>
      <c r="Q65" t="str">
        <f>IF(T[[#This Row],[qty_received]]&lt;&gt;T[[#This Row],[qty_invoiced]],IF(T[[#This Row],[qty_invoiced]]&gt;0,"Partial Invoiced","Not Invoiced"),"Fully Invoiced")</f>
        <v>Partial Invoiced</v>
      </c>
      <c r="R65" t="str">
        <f>IFERROR(VLOOKUP(T[[#This Row],[warehouse]],Table2[],2,FALSE),"--")</f>
        <v>--</v>
      </c>
    </row>
    <row r="66" spans="1:18" x14ac:dyDescent="0.25">
      <c r="A66" t="s">
        <v>113</v>
      </c>
      <c r="B66" s="1">
        <v>43409</v>
      </c>
      <c r="C66" t="s">
        <v>142</v>
      </c>
      <c r="D66" t="s">
        <v>71</v>
      </c>
      <c r="E66" t="s">
        <v>51</v>
      </c>
      <c r="F66" t="s">
        <v>52</v>
      </c>
      <c r="G66" t="s">
        <v>92</v>
      </c>
      <c r="H66" t="s">
        <v>54</v>
      </c>
      <c r="I66">
        <v>745</v>
      </c>
      <c r="J66">
        <v>0</v>
      </c>
      <c r="K66">
        <v>1</v>
      </c>
      <c r="L66" t="s">
        <v>25</v>
      </c>
      <c r="M66" t="s">
        <v>26</v>
      </c>
      <c r="N66">
        <v>23</v>
      </c>
      <c r="O66">
        <v>0</v>
      </c>
      <c r="P66" t="str">
        <f>IF(T[[#This Row],[qty_ordered]]&lt;&gt;T[[#This Row],[qty_received]],IF(T[[#This Row],[qty_received]]&gt;0,"Partial Received","Not Receviced"),"FullyReceived")</f>
        <v>Not Receviced</v>
      </c>
      <c r="Q66" t="str">
        <f>IF(T[[#This Row],[qty_received]]&lt;&gt;T[[#This Row],[qty_invoiced]],IF(T[[#This Row],[qty_invoiced]]&gt;0,"Partial Invoiced","Not Invoiced"),"Fully Invoiced")</f>
        <v>Partial Invoiced</v>
      </c>
      <c r="R66" t="str">
        <f>IFERROR(VLOOKUP(T[[#This Row],[warehouse]],Table2[],2,FALSE),"--")</f>
        <v>--</v>
      </c>
    </row>
    <row r="67" spans="1:18" x14ac:dyDescent="0.25">
      <c r="A67" t="s">
        <v>18</v>
      </c>
      <c r="B67" s="1">
        <v>43270</v>
      </c>
      <c r="C67" t="s">
        <v>43</v>
      </c>
      <c r="D67" t="s">
        <v>71</v>
      </c>
      <c r="E67" t="s">
        <v>46</v>
      </c>
      <c r="F67" t="s">
        <v>41</v>
      </c>
      <c r="G67" t="s">
        <v>42</v>
      </c>
      <c r="H67" t="s">
        <v>24</v>
      </c>
      <c r="I67">
        <v>190</v>
      </c>
      <c r="J67">
        <v>189.14</v>
      </c>
      <c r="K67">
        <v>189.14</v>
      </c>
      <c r="L67" t="s">
        <v>25</v>
      </c>
      <c r="M67" t="s">
        <v>26</v>
      </c>
      <c r="N67">
        <v>27536</v>
      </c>
      <c r="O67">
        <v>5208159.04</v>
      </c>
      <c r="P67" t="str">
        <f>IF(T[[#This Row],[qty_ordered]]&lt;&gt;T[[#This Row],[qty_received]],IF(T[[#This Row],[qty_received]]&gt;0,"Partial Received","Not Receviced"),"FullyReceived")</f>
        <v>Partial Received</v>
      </c>
      <c r="Q67" t="str">
        <f>IF(T[[#This Row],[qty_received]]&lt;&gt;T[[#This Row],[qty_invoiced]],IF(T[[#This Row],[qty_invoiced]]&gt;0,"Partial Invoiced","Not Invoiced"),"Fully Invoiced")</f>
        <v>Fully Invoiced</v>
      </c>
      <c r="R67" t="str">
        <f>IFERROR(VLOOKUP(T[[#This Row],[warehouse]],Table2[],2,FALSE),"--")</f>
        <v xml:space="preserve">Sifter PZU - Tabil </v>
      </c>
    </row>
    <row r="68" spans="1:18" x14ac:dyDescent="0.25">
      <c r="A68" t="s">
        <v>144</v>
      </c>
      <c r="B68" s="1">
        <v>43437</v>
      </c>
      <c r="C68" t="s">
        <v>145</v>
      </c>
      <c r="D68" t="s">
        <v>20</v>
      </c>
      <c r="E68" t="s">
        <v>146</v>
      </c>
      <c r="F68" t="s">
        <v>147</v>
      </c>
      <c r="G68" t="s">
        <v>148</v>
      </c>
      <c r="H68" t="s">
        <v>149</v>
      </c>
      <c r="I68">
        <v>97000</v>
      </c>
      <c r="J68">
        <v>97000</v>
      </c>
      <c r="K68">
        <v>91500</v>
      </c>
      <c r="L68" t="s">
        <v>25</v>
      </c>
      <c r="M68" t="s">
        <v>150</v>
      </c>
      <c r="N68">
        <v>395.505</v>
      </c>
      <c r="O68">
        <v>1023156</v>
      </c>
      <c r="P68" t="str">
        <f>IF(T[[#This Row],[qty_ordered]]&lt;&gt;T[[#This Row],[qty_received]],IF(T[[#This Row],[qty_received]]&gt;0,"Partial Received","Not Receviced"),"FullyReceived")</f>
        <v>FullyReceived</v>
      </c>
      <c r="Q68" t="str">
        <f>IF(T[[#This Row],[qty_received]]&lt;&gt;T[[#This Row],[qty_invoiced]],IF(T[[#This Row],[qty_invoiced]]&gt;0,"Partial Invoiced","Not Invoiced"),"Fully Invoiced")</f>
        <v>Partial Invoiced</v>
      </c>
      <c r="R68" t="str">
        <f>IFERROR(VLOOKUP(T[[#This Row],[warehouse]],Table2[],2,FALSE),"--")</f>
        <v>Khtoum Main Warehouse</v>
      </c>
    </row>
    <row r="69" spans="1:18" x14ac:dyDescent="0.25">
      <c r="A69" t="s">
        <v>144</v>
      </c>
      <c r="B69" s="1">
        <v>43437</v>
      </c>
      <c r="C69" t="s">
        <v>145</v>
      </c>
      <c r="D69" t="s">
        <v>71</v>
      </c>
      <c r="E69" t="s">
        <v>146</v>
      </c>
      <c r="F69" t="s">
        <v>151</v>
      </c>
      <c r="G69" t="s">
        <v>152</v>
      </c>
      <c r="H69" t="s">
        <v>149</v>
      </c>
      <c r="I69">
        <v>100000</v>
      </c>
      <c r="J69">
        <v>78000</v>
      </c>
      <c r="K69">
        <v>78000</v>
      </c>
      <c r="L69" t="s">
        <v>25</v>
      </c>
      <c r="M69" t="s">
        <v>150</v>
      </c>
      <c r="N69">
        <v>12.528</v>
      </c>
      <c r="O69">
        <v>953424</v>
      </c>
      <c r="P69" t="str">
        <f>IF(T[[#This Row],[qty_ordered]]&lt;&gt;T[[#This Row],[qty_received]],IF(T[[#This Row],[qty_received]]&gt;0,"Partial Received","Not Receviced"),"FullyReceived")</f>
        <v>Partial Received</v>
      </c>
      <c r="Q69" t="str">
        <f>IF(T[[#This Row],[qty_received]]&lt;&gt;T[[#This Row],[qty_invoiced]],IF(T[[#This Row],[qty_invoiced]]&gt;0,"Partial Invoiced","Not Invoiced"),"Fully Invoiced")</f>
        <v>Fully Invoiced</v>
      </c>
      <c r="R69" t="str">
        <f>IFERROR(VLOOKUP(T[[#This Row],[warehouse]],Table2[],2,FALSE),"--")</f>
        <v>Khtoum Main Warehouse</v>
      </c>
    </row>
    <row r="70" spans="1:18" x14ac:dyDescent="0.25">
      <c r="A70" t="s">
        <v>84</v>
      </c>
      <c r="B70" s="1">
        <v>43362</v>
      </c>
      <c r="C70" t="s">
        <v>129</v>
      </c>
      <c r="D70" t="s">
        <v>71</v>
      </c>
      <c r="E70" t="s">
        <v>51</v>
      </c>
      <c r="F70" t="s">
        <v>52</v>
      </c>
      <c r="G70" t="s">
        <v>53</v>
      </c>
      <c r="H70" t="s">
        <v>54</v>
      </c>
      <c r="I70">
        <v>1</v>
      </c>
      <c r="J70">
        <v>0</v>
      </c>
      <c r="K70">
        <v>1</v>
      </c>
      <c r="L70" t="s">
        <v>25</v>
      </c>
      <c r="M70" t="s">
        <v>132</v>
      </c>
      <c r="N70">
        <v>714600</v>
      </c>
      <c r="O70">
        <v>0</v>
      </c>
      <c r="P70" t="str">
        <f>IF(T[[#This Row],[qty_ordered]]&lt;&gt;T[[#This Row],[qty_received]],IF(T[[#This Row],[qty_received]]&gt;0,"Partial Received","Not Receviced"),"FullyReceived")</f>
        <v>Not Receviced</v>
      </c>
      <c r="Q70" t="str">
        <f>IF(T[[#This Row],[qty_received]]&lt;&gt;T[[#This Row],[qty_invoiced]],IF(T[[#This Row],[qty_invoiced]]&gt;0,"Partial Invoiced","Not Invoiced"),"Fully Invoiced")</f>
        <v>Partial Invoiced</v>
      </c>
      <c r="R70" t="str">
        <f>IFERROR(VLOOKUP(T[[#This Row],[warehouse]],Table2[],2,FALSE),"--")</f>
        <v>--</v>
      </c>
    </row>
    <row r="71" spans="1:18" x14ac:dyDescent="0.25">
      <c r="A71" t="s">
        <v>153</v>
      </c>
      <c r="B71" s="1">
        <v>43440</v>
      </c>
      <c r="C71" t="s">
        <v>154</v>
      </c>
      <c r="D71" t="s">
        <v>20</v>
      </c>
      <c r="E71" t="s">
        <v>21</v>
      </c>
      <c r="F71" t="s">
        <v>155</v>
      </c>
      <c r="G71" t="s">
        <v>156</v>
      </c>
      <c r="H71" t="s">
        <v>24</v>
      </c>
      <c r="I71">
        <v>300</v>
      </c>
      <c r="J71">
        <v>0</v>
      </c>
      <c r="K71">
        <v>0</v>
      </c>
      <c r="L71" t="s">
        <v>25</v>
      </c>
      <c r="M71" t="s">
        <v>26</v>
      </c>
      <c r="N71">
        <v>65120</v>
      </c>
      <c r="O71">
        <v>0</v>
      </c>
      <c r="P71" t="str">
        <f>IF(T[[#This Row],[qty_ordered]]&lt;&gt;T[[#This Row],[qty_received]],IF(T[[#This Row],[qty_received]]&gt;0,"Partial Received","Not Receviced"),"FullyReceived")</f>
        <v>Not Receviced</v>
      </c>
      <c r="Q71" t="str">
        <f>IF(T[[#This Row],[qty_received]]&lt;&gt;T[[#This Row],[qty_invoiced]],IF(T[[#This Row],[qty_invoiced]]&gt;0,"Partial Invoiced","Not Invoiced"),"Fully Invoiced")</f>
        <v>Fully Invoiced</v>
      </c>
      <c r="R71" t="str">
        <f>IFERROR(VLOOKUP(T[[#This Row],[warehouse]],Table2[],2,FALSE),"--")</f>
        <v>Crusher KHN Bitar</v>
      </c>
    </row>
    <row r="72" spans="1:18" x14ac:dyDescent="0.25">
      <c r="A72" t="s">
        <v>157</v>
      </c>
      <c r="B72" s="1">
        <v>43446</v>
      </c>
      <c r="C72" t="s">
        <v>158</v>
      </c>
      <c r="D72" t="s">
        <v>20</v>
      </c>
      <c r="E72" t="s">
        <v>51</v>
      </c>
      <c r="F72" t="s">
        <v>52</v>
      </c>
      <c r="G72" t="s">
        <v>75</v>
      </c>
      <c r="H72" t="s">
        <v>54</v>
      </c>
      <c r="I72">
        <v>233</v>
      </c>
      <c r="J72">
        <v>0</v>
      </c>
      <c r="K72">
        <v>1</v>
      </c>
      <c r="L72" t="s">
        <v>25</v>
      </c>
      <c r="M72" t="s">
        <v>26</v>
      </c>
      <c r="N72">
        <v>300</v>
      </c>
      <c r="O72">
        <v>0</v>
      </c>
      <c r="P72" t="str">
        <f>IF(T[[#This Row],[qty_ordered]]&lt;&gt;T[[#This Row],[qty_received]],IF(T[[#This Row],[qty_received]]&gt;0,"Partial Received","Not Receviced"),"FullyReceived")</f>
        <v>Not Receviced</v>
      </c>
      <c r="Q72" t="str">
        <f>IF(T[[#This Row],[qty_received]]&lt;&gt;T[[#This Row],[qty_invoiced]],IF(T[[#This Row],[qty_invoiced]]&gt;0,"Partial Invoiced","Not Invoiced"),"Fully Invoiced")</f>
        <v>Partial Invoiced</v>
      </c>
      <c r="R72" t="str">
        <f>IFERROR(VLOOKUP(T[[#This Row],[warehouse]],Table2[],2,FALSE),"--")</f>
        <v>--</v>
      </c>
    </row>
    <row r="73" spans="1:18" x14ac:dyDescent="0.25">
      <c r="A73" t="s">
        <v>157</v>
      </c>
      <c r="B73" s="1">
        <v>43446</v>
      </c>
      <c r="C73" t="s">
        <v>158</v>
      </c>
      <c r="D73" t="s">
        <v>71</v>
      </c>
      <c r="E73" t="s">
        <v>51</v>
      </c>
      <c r="F73" t="s">
        <v>52</v>
      </c>
      <c r="G73" t="s">
        <v>75</v>
      </c>
      <c r="H73" t="s">
        <v>54</v>
      </c>
      <c r="I73">
        <v>120</v>
      </c>
      <c r="J73">
        <v>0</v>
      </c>
      <c r="K73">
        <v>1</v>
      </c>
      <c r="L73" t="s">
        <v>25</v>
      </c>
      <c r="M73" t="s">
        <v>26</v>
      </c>
      <c r="N73">
        <v>300</v>
      </c>
      <c r="O73">
        <v>0</v>
      </c>
      <c r="P73" t="str">
        <f>IF(T[[#This Row],[qty_ordered]]&lt;&gt;T[[#This Row],[qty_received]],IF(T[[#This Row],[qty_received]]&gt;0,"Partial Received","Not Receviced"),"FullyReceived")</f>
        <v>Not Receviced</v>
      </c>
      <c r="Q73" t="str">
        <f>IF(T[[#This Row],[qty_received]]&lt;&gt;T[[#This Row],[qty_invoiced]],IF(T[[#This Row],[qty_invoiced]]&gt;0,"Partial Invoiced","Not Invoiced"),"Fully Invoiced")</f>
        <v>Partial Invoiced</v>
      </c>
      <c r="R73" t="str">
        <f>IFERROR(VLOOKUP(T[[#This Row],[warehouse]],Table2[],2,FALSE),"--")</f>
        <v>--</v>
      </c>
    </row>
    <row r="74" spans="1:18" x14ac:dyDescent="0.25">
      <c r="A74" t="s">
        <v>77</v>
      </c>
      <c r="B74" s="1">
        <v>43377</v>
      </c>
      <c r="C74" t="s">
        <v>159</v>
      </c>
      <c r="D74" t="s">
        <v>20</v>
      </c>
      <c r="E74" t="s">
        <v>51</v>
      </c>
      <c r="F74" t="s">
        <v>52</v>
      </c>
      <c r="G74" t="s">
        <v>117</v>
      </c>
      <c r="H74" t="s">
        <v>54</v>
      </c>
      <c r="I74">
        <v>99.83</v>
      </c>
      <c r="J74">
        <v>0</v>
      </c>
      <c r="K74">
        <v>1</v>
      </c>
      <c r="L74" t="s">
        <v>25</v>
      </c>
      <c r="M74" t="s">
        <v>26</v>
      </c>
      <c r="N74">
        <v>500</v>
      </c>
      <c r="O74">
        <v>0</v>
      </c>
      <c r="P74" t="str">
        <f>IF(T[[#This Row],[qty_ordered]]&lt;&gt;T[[#This Row],[qty_received]],IF(T[[#This Row],[qty_received]]&gt;0,"Partial Received","Not Receviced"),"FullyReceived")</f>
        <v>Not Receviced</v>
      </c>
      <c r="Q74" t="str">
        <f>IF(T[[#This Row],[qty_received]]&lt;&gt;T[[#This Row],[qty_invoiced]],IF(T[[#This Row],[qty_invoiced]]&gt;0,"Partial Invoiced","Not Invoiced"),"Fully Invoiced")</f>
        <v>Partial Invoiced</v>
      </c>
      <c r="R74" t="str">
        <f>IFERROR(VLOOKUP(T[[#This Row],[warehouse]],Table2[],2,FALSE),"--")</f>
        <v>--</v>
      </c>
    </row>
    <row r="75" spans="1:18" x14ac:dyDescent="0.25">
      <c r="A75" t="s">
        <v>77</v>
      </c>
      <c r="B75" s="1">
        <v>43377</v>
      </c>
      <c r="C75" t="s">
        <v>159</v>
      </c>
      <c r="D75" t="s">
        <v>71</v>
      </c>
      <c r="E75" t="s">
        <v>51</v>
      </c>
      <c r="F75" t="s">
        <v>52</v>
      </c>
      <c r="G75" t="s">
        <v>126</v>
      </c>
      <c r="H75" t="s">
        <v>54</v>
      </c>
      <c r="I75">
        <v>936</v>
      </c>
      <c r="J75">
        <v>0</v>
      </c>
      <c r="K75">
        <v>1</v>
      </c>
      <c r="L75" t="s">
        <v>25</v>
      </c>
      <c r="M75" t="s">
        <v>26</v>
      </c>
      <c r="N75">
        <v>2.5</v>
      </c>
      <c r="O75">
        <v>0</v>
      </c>
      <c r="P75" t="str">
        <f>IF(T[[#This Row],[qty_ordered]]&lt;&gt;T[[#This Row],[qty_received]],IF(T[[#This Row],[qty_received]]&gt;0,"Partial Received","Not Receviced"),"FullyReceived")</f>
        <v>Not Receviced</v>
      </c>
      <c r="Q75" t="str">
        <f>IF(T[[#This Row],[qty_received]]&lt;&gt;T[[#This Row],[qty_invoiced]],IF(T[[#This Row],[qty_invoiced]]&gt;0,"Partial Invoiced","Not Invoiced"),"Fully Invoiced")</f>
        <v>Partial Invoiced</v>
      </c>
      <c r="R75" t="str">
        <f>IFERROR(VLOOKUP(T[[#This Row],[warehouse]],Table2[],2,FALSE),"--")</f>
        <v>--</v>
      </c>
    </row>
    <row r="76" spans="1:18" x14ac:dyDescent="0.25">
      <c r="A76" t="s">
        <v>93</v>
      </c>
      <c r="B76" s="1">
        <v>43311</v>
      </c>
      <c r="C76" t="s">
        <v>94</v>
      </c>
      <c r="D76" t="s">
        <v>71</v>
      </c>
      <c r="E76" t="s">
        <v>51</v>
      </c>
      <c r="F76" t="s">
        <v>52</v>
      </c>
      <c r="G76" t="s">
        <v>75</v>
      </c>
      <c r="H76" t="s">
        <v>54</v>
      </c>
      <c r="I76">
        <v>175</v>
      </c>
      <c r="J76">
        <v>0</v>
      </c>
      <c r="K76">
        <v>1</v>
      </c>
      <c r="L76" t="s">
        <v>25</v>
      </c>
      <c r="M76" t="s">
        <v>26</v>
      </c>
      <c r="N76">
        <v>1260</v>
      </c>
      <c r="O76">
        <v>0</v>
      </c>
      <c r="P76" t="str">
        <f>IF(T[[#This Row],[qty_ordered]]&lt;&gt;T[[#This Row],[qty_received]],IF(T[[#This Row],[qty_received]]&gt;0,"Partial Received","Not Receviced"),"FullyReceived")</f>
        <v>Not Receviced</v>
      </c>
      <c r="Q76" t="str">
        <f>IF(T[[#This Row],[qty_received]]&lt;&gt;T[[#This Row],[qty_invoiced]],IF(T[[#This Row],[qty_invoiced]]&gt;0,"Partial Invoiced","Not Invoiced"),"Fully Invoiced")</f>
        <v>Partial Invoiced</v>
      </c>
      <c r="R76" t="str">
        <f>IFERROR(VLOOKUP(T[[#This Row],[warehouse]],Table2[],2,FALSE),"--")</f>
        <v>--</v>
      </c>
    </row>
    <row r="77" spans="1:18" x14ac:dyDescent="0.25">
      <c r="A77" t="s">
        <v>160</v>
      </c>
      <c r="B77" s="1">
        <v>43452</v>
      </c>
      <c r="C77" t="s">
        <v>161</v>
      </c>
      <c r="D77" t="s">
        <v>20</v>
      </c>
      <c r="E77" t="s">
        <v>162</v>
      </c>
      <c r="F77" t="s">
        <v>47</v>
      </c>
      <c r="G77" t="s">
        <v>48</v>
      </c>
      <c r="H77" t="s">
        <v>24</v>
      </c>
      <c r="I77">
        <v>3627.19</v>
      </c>
      <c r="J77">
        <v>3627.19</v>
      </c>
      <c r="K77">
        <v>3627.19</v>
      </c>
      <c r="L77" t="s">
        <v>25</v>
      </c>
      <c r="M77" t="s">
        <v>26</v>
      </c>
      <c r="N77">
        <v>30855</v>
      </c>
      <c r="O77">
        <v>111916947.45</v>
      </c>
      <c r="P77" t="str">
        <f>IF(T[[#This Row],[qty_ordered]]&lt;&gt;T[[#This Row],[qty_received]],IF(T[[#This Row],[qty_received]]&gt;0,"Partial Received","Not Receviced"),"FullyReceived")</f>
        <v>FullyReceived</v>
      </c>
      <c r="Q77" t="str">
        <f>IF(T[[#This Row],[qty_received]]&lt;&gt;T[[#This Row],[qty_invoiced]],IF(T[[#This Row],[qty_invoiced]]&gt;0,"Partial Invoiced","Not Invoiced"),"Fully Invoiced")</f>
        <v>Fully Invoiced</v>
      </c>
      <c r="R77" t="str">
        <f>IFERROR(VLOOKUP(T[[#This Row],[warehouse]],Table2[],2,FALSE),"--")</f>
        <v>Sifters Mahasilna</v>
      </c>
    </row>
    <row r="78" spans="1:18" x14ac:dyDescent="0.25">
      <c r="A78" t="s">
        <v>84</v>
      </c>
      <c r="B78" s="1">
        <v>43417</v>
      </c>
      <c r="C78" t="s">
        <v>163</v>
      </c>
      <c r="D78" t="s">
        <v>71</v>
      </c>
      <c r="E78" t="s">
        <v>51</v>
      </c>
      <c r="F78" t="s">
        <v>52</v>
      </c>
      <c r="G78" t="s">
        <v>164</v>
      </c>
      <c r="H78" t="s">
        <v>54</v>
      </c>
      <c r="I78">
        <v>20600</v>
      </c>
      <c r="J78">
        <v>0</v>
      </c>
      <c r="K78">
        <v>1</v>
      </c>
      <c r="L78" t="s">
        <v>25</v>
      </c>
      <c r="M78" t="s">
        <v>26</v>
      </c>
      <c r="N78">
        <v>1</v>
      </c>
      <c r="O78">
        <v>0</v>
      </c>
      <c r="P78" t="str">
        <f>IF(T[[#This Row],[qty_ordered]]&lt;&gt;T[[#This Row],[qty_received]],IF(T[[#This Row],[qty_received]]&gt;0,"Partial Received","Not Receviced"),"FullyReceived")</f>
        <v>Not Receviced</v>
      </c>
      <c r="Q78" t="str">
        <f>IF(T[[#This Row],[qty_received]]&lt;&gt;T[[#This Row],[qty_invoiced]],IF(T[[#This Row],[qty_invoiced]]&gt;0,"Partial Invoiced","Not Invoiced"),"Fully Invoiced")</f>
        <v>Partial Invoiced</v>
      </c>
      <c r="R78" t="str">
        <f>IFERROR(VLOOKUP(T[[#This Row],[warehouse]],Table2[],2,FALSE),"--")</f>
        <v>--</v>
      </c>
    </row>
    <row r="79" spans="1:18" x14ac:dyDescent="0.25">
      <c r="A79" t="s">
        <v>84</v>
      </c>
      <c r="B79" s="1">
        <v>43417</v>
      </c>
      <c r="C79" t="s">
        <v>163</v>
      </c>
      <c r="D79" t="s">
        <v>100</v>
      </c>
      <c r="E79" t="s">
        <v>51</v>
      </c>
      <c r="F79" t="s">
        <v>52</v>
      </c>
      <c r="G79" t="s">
        <v>164</v>
      </c>
      <c r="H79" t="s">
        <v>54</v>
      </c>
      <c r="I79">
        <v>11130</v>
      </c>
      <c r="J79">
        <v>0</v>
      </c>
      <c r="K79">
        <v>1</v>
      </c>
      <c r="L79" t="s">
        <v>25</v>
      </c>
      <c r="M79" t="s">
        <v>26</v>
      </c>
      <c r="N79">
        <v>1</v>
      </c>
      <c r="O79">
        <v>0</v>
      </c>
      <c r="P79" t="str">
        <f>IF(T[[#This Row],[qty_ordered]]&lt;&gt;T[[#This Row],[qty_received]],IF(T[[#This Row],[qty_received]]&gt;0,"Partial Received","Not Receviced"),"FullyReceived")</f>
        <v>Not Receviced</v>
      </c>
      <c r="Q79" t="str">
        <f>IF(T[[#This Row],[qty_received]]&lt;&gt;T[[#This Row],[qty_invoiced]],IF(T[[#This Row],[qty_invoiced]]&gt;0,"Partial Invoiced","Not Invoiced"),"Fully Invoiced")</f>
        <v>Partial Invoiced</v>
      </c>
      <c r="R79" t="str">
        <f>IFERROR(VLOOKUP(T[[#This Row],[warehouse]],Table2[],2,FALSE),"--")</f>
        <v>--</v>
      </c>
    </row>
    <row r="80" spans="1:18" x14ac:dyDescent="0.25">
      <c r="A80" t="s">
        <v>153</v>
      </c>
      <c r="B80" s="1">
        <v>43454</v>
      </c>
      <c r="C80" t="s">
        <v>165</v>
      </c>
      <c r="D80" t="s">
        <v>20</v>
      </c>
      <c r="E80" t="s">
        <v>166</v>
      </c>
      <c r="F80" t="s">
        <v>167</v>
      </c>
      <c r="G80" t="s">
        <v>156</v>
      </c>
      <c r="H80" t="s">
        <v>24</v>
      </c>
      <c r="I80">
        <v>231.34</v>
      </c>
      <c r="J80">
        <v>231.34</v>
      </c>
      <c r="K80">
        <v>231.34</v>
      </c>
      <c r="L80" t="s">
        <v>25</v>
      </c>
      <c r="M80" t="s">
        <v>26</v>
      </c>
      <c r="N80">
        <v>63500</v>
      </c>
      <c r="O80">
        <v>14690090</v>
      </c>
      <c r="P80" t="str">
        <f>IF(T[[#This Row],[qty_ordered]]&lt;&gt;T[[#This Row],[qty_received]],IF(T[[#This Row],[qty_received]]&gt;0,"Partial Received","Not Receviced"),"FullyReceived")</f>
        <v>FullyReceived</v>
      </c>
      <c r="Q80" t="str">
        <f>IF(T[[#This Row],[qty_received]]&lt;&gt;T[[#This Row],[qty_invoiced]],IF(T[[#This Row],[qty_invoiced]]&gt;0,"Partial Invoiced","Not Invoiced"),"Fully Invoiced")</f>
        <v>Fully Invoiced</v>
      </c>
      <c r="R80" t="str">
        <f>IFERROR(VLOOKUP(T[[#This Row],[warehouse]],Table2[],2,FALSE),"--")</f>
        <v>Crusher Al-Teital -K</v>
      </c>
    </row>
    <row r="81" spans="1:18" x14ac:dyDescent="0.25">
      <c r="A81" t="s">
        <v>84</v>
      </c>
      <c r="B81" s="1">
        <v>43417</v>
      </c>
      <c r="C81" t="s">
        <v>168</v>
      </c>
      <c r="D81" t="s">
        <v>20</v>
      </c>
      <c r="E81" t="s">
        <v>51</v>
      </c>
      <c r="F81" t="s">
        <v>52</v>
      </c>
      <c r="G81" t="s">
        <v>169</v>
      </c>
      <c r="H81" t="s">
        <v>54</v>
      </c>
      <c r="I81">
        <v>21888</v>
      </c>
      <c r="J81">
        <v>0</v>
      </c>
      <c r="K81">
        <v>1</v>
      </c>
      <c r="L81" t="s">
        <v>25</v>
      </c>
      <c r="M81" t="s">
        <v>26</v>
      </c>
      <c r="N81">
        <v>1</v>
      </c>
      <c r="O81">
        <v>0</v>
      </c>
      <c r="P81" t="str">
        <f>IF(T[[#This Row],[qty_ordered]]&lt;&gt;T[[#This Row],[qty_received]],IF(T[[#This Row],[qty_received]]&gt;0,"Partial Received","Not Receviced"),"FullyReceived")</f>
        <v>Not Receviced</v>
      </c>
      <c r="Q81" t="str">
        <f>IF(T[[#This Row],[qty_received]]&lt;&gt;T[[#This Row],[qty_invoiced]],IF(T[[#This Row],[qty_invoiced]]&gt;0,"Partial Invoiced","Not Invoiced"),"Fully Invoiced")</f>
        <v>Partial Invoiced</v>
      </c>
      <c r="R81" t="str">
        <f>IFERROR(VLOOKUP(T[[#This Row],[warehouse]],Table2[],2,FALSE),"--")</f>
        <v>--</v>
      </c>
    </row>
    <row r="82" spans="1:18" x14ac:dyDescent="0.25">
      <c r="A82" t="s">
        <v>157</v>
      </c>
      <c r="B82" s="1">
        <v>43446</v>
      </c>
      <c r="C82" t="s">
        <v>158</v>
      </c>
      <c r="D82" t="s">
        <v>100</v>
      </c>
      <c r="E82" t="s">
        <v>51</v>
      </c>
      <c r="F82" t="s">
        <v>52</v>
      </c>
      <c r="G82" t="s">
        <v>75</v>
      </c>
      <c r="H82" t="s">
        <v>54</v>
      </c>
      <c r="I82">
        <v>65</v>
      </c>
      <c r="J82">
        <v>0</v>
      </c>
      <c r="K82">
        <v>1</v>
      </c>
      <c r="L82" t="s">
        <v>25</v>
      </c>
      <c r="M82" t="s">
        <v>26</v>
      </c>
      <c r="N82">
        <v>300</v>
      </c>
      <c r="O82">
        <v>0</v>
      </c>
      <c r="P82" t="str">
        <f>IF(T[[#This Row],[qty_ordered]]&lt;&gt;T[[#This Row],[qty_received]],IF(T[[#This Row],[qty_received]]&gt;0,"Partial Received","Not Receviced"),"FullyReceived")</f>
        <v>Not Receviced</v>
      </c>
      <c r="Q82" t="str">
        <f>IF(T[[#This Row],[qty_received]]&lt;&gt;T[[#This Row],[qty_invoiced]],IF(T[[#This Row],[qty_invoiced]]&gt;0,"Partial Invoiced","Not Invoiced"),"Fully Invoiced")</f>
        <v>Partial Invoiced</v>
      </c>
      <c r="R82" t="str">
        <f>IFERROR(VLOOKUP(T[[#This Row],[warehouse]],Table2[],2,FALSE),"--")</f>
        <v>--</v>
      </c>
    </row>
    <row r="83" spans="1:18" x14ac:dyDescent="0.25">
      <c r="A83" t="s">
        <v>157</v>
      </c>
      <c r="B83" s="1">
        <v>43446</v>
      </c>
      <c r="C83" t="s">
        <v>158</v>
      </c>
      <c r="D83" t="s">
        <v>88</v>
      </c>
      <c r="E83" t="s">
        <v>51</v>
      </c>
      <c r="F83" t="s">
        <v>52</v>
      </c>
      <c r="G83" t="s">
        <v>75</v>
      </c>
      <c r="H83" t="s">
        <v>54</v>
      </c>
      <c r="I83">
        <v>427</v>
      </c>
      <c r="J83">
        <v>0</v>
      </c>
      <c r="K83">
        <v>1</v>
      </c>
      <c r="L83" t="s">
        <v>25</v>
      </c>
      <c r="M83" t="s">
        <v>26</v>
      </c>
      <c r="N83">
        <v>300</v>
      </c>
      <c r="O83">
        <v>0</v>
      </c>
      <c r="P83" t="str">
        <f>IF(T[[#This Row],[qty_ordered]]&lt;&gt;T[[#This Row],[qty_received]],IF(T[[#This Row],[qty_received]]&gt;0,"Partial Received","Not Receviced"),"FullyReceived")</f>
        <v>Not Receviced</v>
      </c>
      <c r="Q83" t="str">
        <f>IF(T[[#This Row],[qty_received]]&lt;&gt;T[[#This Row],[qty_invoiced]],IF(T[[#This Row],[qty_invoiced]]&gt;0,"Partial Invoiced","Not Invoiced"),"Fully Invoiced")</f>
        <v>Partial Invoiced</v>
      </c>
      <c r="R83" t="str">
        <f>IFERROR(VLOOKUP(T[[#This Row],[warehouse]],Table2[],2,FALSE),"--")</f>
        <v>--</v>
      </c>
    </row>
    <row r="84" spans="1:18" x14ac:dyDescent="0.25">
      <c r="A84" t="s">
        <v>157</v>
      </c>
      <c r="B84" s="1">
        <v>43446</v>
      </c>
      <c r="C84" t="s">
        <v>158</v>
      </c>
      <c r="D84" t="s">
        <v>74</v>
      </c>
      <c r="E84" t="s">
        <v>51</v>
      </c>
      <c r="F84" t="s">
        <v>52</v>
      </c>
      <c r="G84" t="s">
        <v>75</v>
      </c>
      <c r="H84" t="s">
        <v>54</v>
      </c>
      <c r="I84">
        <v>190</v>
      </c>
      <c r="J84">
        <v>0</v>
      </c>
      <c r="K84">
        <v>1</v>
      </c>
      <c r="L84" t="s">
        <v>25</v>
      </c>
      <c r="M84" t="s">
        <v>26</v>
      </c>
      <c r="N84">
        <v>250</v>
      </c>
      <c r="O84">
        <v>0</v>
      </c>
      <c r="P84" t="str">
        <f>IF(T[[#This Row],[qty_ordered]]&lt;&gt;T[[#This Row],[qty_received]],IF(T[[#This Row],[qty_received]]&gt;0,"Partial Received","Not Receviced"),"FullyReceived")</f>
        <v>Not Receviced</v>
      </c>
      <c r="Q84" t="str">
        <f>IF(T[[#This Row],[qty_received]]&lt;&gt;T[[#This Row],[qty_invoiced]],IF(T[[#This Row],[qty_invoiced]]&gt;0,"Partial Invoiced","Not Invoiced"),"Fully Invoiced")</f>
        <v>Partial Invoiced</v>
      </c>
      <c r="R84" t="str">
        <f>IFERROR(VLOOKUP(T[[#This Row],[warehouse]],Table2[],2,FALSE),"--")</f>
        <v>--</v>
      </c>
    </row>
    <row r="85" spans="1:18" x14ac:dyDescent="0.25">
      <c r="A85" t="s">
        <v>157</v>
      </c>
      <c r="B85" s="1">
        <v>43446</v>
      </c>
      <c r="C85" t="s">
        <v>158</v>
      </c>
      <c r="D85" t="s">
        <v>76</v>
      </c>
      <c r="E85" t="s">
        <v>51</v>
      </c>
      <c r="F85" t="s">
        <v>52</v>
      </c>
      <c r="G85" t="s">
        <v>75</v>
      </c>
      <c r="H85" t="s">
        <v>54</v>
      </c>
      <c r="I85">
        <v>2</v>
      </c>
      <c r="J85">
        <v>0</v>
      </c>
      <c r="K85">
        <v>1</v>
      </c>
      <c r="L85" t="s">
        <v>25</v>
      </c>
      <c r="M85" t="s">
        <v>26</v>
      </c>
      <c r="N85">
        <v>400</v>
      </c>
      <c r="O85">
        <v>0</v>
      </c>
      <c r="P85" t="str">
        <f>IF(T[[#This Row],[qty_ordered]]&lt;&gt;T[[#This Row],[qty_received]],IF(T[[#This Row],[qty_received]]&gt;0,"Partial Received","Not Receviced"),"FullyReceived")</f>
        <v>Not Receviced</v>
      </c>
      <c r="Q85" t="str">
        <f>IF(T[[#This Row],[qty_received]]&lt;&gt;T[[#This Row],[qty_invoiced]],IF(T[[#This Row],[qty_invoiced]]&gt;0,"Partial Invoiced","Not Invoiced"),"Fully Invoiced")</f>
        <v>Partial Invoiced</v>
      </c>
      <c r="R85" t="str">
        <f>IFERROR(VLOOKUP(T[[#This Row],[warehouse]],Table2[],2,FALSE),"--")</f>
        <v>--</v>
      </c>
    </row>
    <row r="86" spans="1:18" x14ac:dyDescent="0.25">
      <c r="A86" t="s">
        <v>84</v>
      </c>
      <c r="B86" s="1">
        <v>43384</v>
      </c>
      <c r="C86" t="s">
        <v>170</v>
      </c>
      <c r="D86" t="s">
        <v>20</v>
      </c>
      <c r="E86" t="s">
        <v>46</v>
      </c>
      <c r="F86" t="s">
        <v>86</v>
      </c>
      <c r="G86" t="s">
        <v>87</v>
      </c>
      <c r="H86" t="s">
        <v>24</v>
      </c>
      <c r="I86">
        <v>95.01</v>
      </c>
      <c r="J86">
        <v>95.01</v>
      </c>
      <c r="K86">
        <v>95.01</v>
      </c>
      <c r="L86" t="s">
        <v>25</v>
      </c>
      <c r="M86" t="s">
        <v>132</v>
      </c>
      <c r="N86">
        <v>64256.58</v>
      </c>
      <c r="O86">
        <v>6105017.6657999996</v>
      </c>
      <c r="P86" t="str">
        <f>IF(T[[#This Row],[qty_ordered]]&lt;&gt;T[[#This Row],[qty_received]],IF(T[[#This Row],[qty_received]]&gt;0,"Partial Received","Not Receviced"),"FullyReceived")</f>
        <v>FullyReceived</v>
      </c>
      <c r="Q86" t="str">
        <f>IF(T[[#This Row],[qty_received]]&lt;&gt;T[[#This Row],[qty_invoiced]],IF(T[[#This Row],[qty_invoiced]]&gt;0,"Partial Invoiced","Not Invoiced"),"Fully Invoiced")</f>
        <v>Fully Invoiced</v>
      </c>
      <c r="R86" t="str">
        <f>IFERROR(VLOOKUP(T[[#This Row],[warehouse]],Table2[],2,FALSE),"--")</f>
        <v xml:space="preserve">Sifter PZU - Tabil </v>
      </c>
    </row>
    <row r="87" spans="1:18" x14ac:dyDescent="0.25">
      <c r="A87" t="s">
        <v>140</v>
      </c>
      <c r="B87" s="1">
        <v>43394</v>
      </c>
      <c r="C87" t="s">
        <v>171</v>
      </c>
      <c r="D87" t="s">
        <v>20</v>
      </c>
      <c r="E87" t="s">
        <v>51</v>
      </c>
      <c r="F87" t="s">
        <v>52</v>
      </c>
      <c r="G87" t="s">
        <v>137</v>
      </c>
      <c r="H87" t="s">
        <v>54</v>
      </c>
      <c r="I87">
        <v>2800</v>
      </c>
      <c r="J87">
        <v>0</v>
      </c>
      <c r="K87">
        <v>1</v>
      </c>
      <c r="L87" t="s">
        <v>25</v>
      </c>
      <c r="M87" t="s">
        <v>26</v>
      </c>
      <c r="N87">
        <v>3</v>
      </c>
      <c r="O87">
        <v>0</v>
      </c>
      <c r="P87" t="str">
        <f>IF(T[[#This Row],[qty_ordered]]&lt;&gt;T[[#This Row],[qty_received]],IF(T[[#This Row],[qty_received]]&gt;0,"Partial Received","Not Receviced"),"FullyReceived")</f>
        <v>Not Receviced</v>
      </c>
      <c r="Q87" t="str">
        <f>IF(T[[#This Row],[qty_received]]&lt;&gt;T[[#This Row],[qty_invoiced]],IF(T[[#This Row],[qty_invoiced]]&gt;0,"Partial Invoiced","Not Invoiced"),"Fully Invoiced")</f>
        <v>Partial Invoiced</v>
      </c>
      <c r="R87" t="str">
        <f>IFERROR(VLOOKUP(T[[#This Row],[warehouse]],Table2[],2,FALSE),"--")</f>
        <v>--</v>
      </c>
    </row>
    <row r="88" spans="1:18" x14ac:dyDescent="0.25">
      <c r="A88" t="s">
        <v>140</v>
      </c>
      <c r="B88" s="1">
        <v>43394</v>
      </c>
      <c r="C88" t="s">
        <v>171</v>
      </c>
      <c r="D88" t="s">
        <v>71</v>
      </c>
      <c r="E88" t="s">
        <v>51</v>
      </c>
      <c r="F88" t="s">
        <v>52</v>
      </c>
      <c r="G88" t="s">
        <v>172</v>
      </c>
      <c r="H88" t="s">
        <v>54</v>
      </c>
      <c r="I88">
        <v>890</v>
      </c>
      <c r="J88">
        <v>0</v>
      </c>
      <c r="K88">
        <v>1</v>
      </c>
      <c r="L88" t="s">
        <v>25</v>
      </c>
      <c r="M88" t="s">
        <v>26</v>
      </c>
      <c r="N88">
        <v>1</v>
      </c>
      <c r="O88">
        <v>0</v>
      </c>
      <c r="P88" t="str">
        <f>IF(T[[#This Row],[qty_ordered]]&lt;&gt;T[[#This Row],[qty_received]],IF(T[[#This Row],[qty_received]]&gt;0,"Partial Received","Not Receviced"),"FullyReceived")</f>
        <v>Not Receviced</v>
      </c>
      <c r="Q88" t="str">
        <f>IF(T[[#This Row],[qty_received]]&lt;&gt;T[[#This Row],[qty_invoiced]],IF(T[[#This Row],[qty_invoiced]]&gt;0,"Partial Invoiced","Not Invoiced"),"Fully Invoiced")</f>
        <v>Partial Invoiced</v>
      </c>
      <c r="R88" t="str">
        <f>IFERROR(VLOOKUP(T[[#This Row],[warehouse]],Table2[],2,FALSE),"--")</f>
        <v>--</v>
      </c>
    </row>
    <row r="89" spans="1:18" x14ac:dyDescent="0.25">
      <c r="A89" t="s">
        <v>140</v>
      </c>
      <c r="B89" s="1">
        <v>43394</v>
      </c>
      <c r="C89" t="s">
        <v>171</v>
      </c>
      <c r="D89" t="s">
        <v>100</v>
      </c>
      <c r="E89" t="s">
        <v>51</v>
      </c>
      <c r="F89" t="s">
        <v>52</v>
      </c>
      <c r="G89" t="s">
        <v>173</v>
      </c>
      <c r="H89" t="s">
        <v>54</v>
      </c>
      <c r="I89">
        <v>677</v>
      </c>
      <c r="J89">
        <v>0</v>
      </c>
      <c r="K89">
        <v>1</v>
      </c>
      <c r="L89" t="s">
        <v>25</v>
      </c>
      <c r="M89" t="s">
        <v>26</v>
      </c>
      <c r="N89">
        <v>5</v>
      </c>
      <c r="O89">
        <v>0</v>
      </c>
      <c r="P89" t="str">
        <f>IF(T[[#This Row],[qty_ordered]]&lt;&gt;T[[#This Row],[qty_received]],IF(T[[#This Row],[qty_received]]&gt;0,"Partial Received","Not Receviced"),"FullyReceived")</f>
        <v>Not Receviced</v>
      </c>
      <c r="Q89" t="str">
        <f>IF(T[[#This Row],[qty_received]]&lt;&gt;T[[#This Row],[qty_invoiced]],IF(T[[#This Row],[qty_invoiced]]&gt;0,"Partial Invoiced","Not Invoiced"),"Fully Invoiced")</f>
        <v>Partial Invoiced</v>
      </c>
      <c r="R89" t="str">
        <f>IFERROR(VLOOKUP(T[[#This Row],[warehouse]],Table2[],2,FALSE),"--")</f>
        <v>--</v>
      </c>
    </row>
    <row r="90" spans="1:18" x14ac:dyDescent="0.25">
      <c r="A90" t="s">
        <v>140</v>
      </c>
      <c r="B90" s="1">
        <v>43394</v>
      </c>
      <c r="C90" t="s">
        <v>171</v>
      </c>
      <c r="D90" t="s">
        <v>88</v>
      </c>
      <c r="E90" t="s">
        <v>51</v>
      </c>
      <c r="F90" t="s">
        <v>52</v>
      </c>
      <c r="G90" t="s">
        <v>174</v>
      </c>
      <c r="H90" t="s">
        <v>54</v>
      </c>
      <c r="I90">
        <v>960</v>
      </c>
      <c r="J90">
        <v>0</v>
      </c>
      <c r="K90">
        <v>1</v>
      </c>
      <c r="L90" t="s">
        <v>25</v>
      </c>
      <c r="M90" t="s">
        <v>26</v>
      </c>
      <c r="N90">
        <v>1</v>
      </c>
      <c r="O90">
        <v>0</v>
      </c>
      <c r="P90" t="str">
        <f>IF(T[[#This Row],[qty_ordered]]&lt;&gt;T[[#This Row],[qty_received]],IF(T[[#This Row],[qty_received]]&gt;0,"Partial Received","Not Receviced"),"FullyReceived")</f>
        <v>Not Receviced</v>
      </c>
      <c r="Q90" t="str">
        <f>IF(T[[#This Row],[qty_received]]&lt;&gt;T[[#This Row],[qty_invoiced]],IF(T[[#This Row],[qty_invoiced]]&gt;0,"Partial Invoiced","Not Invoiced"),"Fully Invoiced")</f>
        <v>Partial Invoiced</v>
      </c>
      <c r="R90" t="str">
        <f>IFERROR(VLOOKUP(T[[#This Row],[warehouse]],Table2[],2,FALSE),"--")</f>
        <v>--</v>
      </c>
    </row>
    <row r="91" spans="1:18" x14ac:dyDescent="0.25">
      <c r="A91" t="s">
        <v>140</v>
      </c>
      <c r="B91" s="1">
        <v>43394</v>
      </c>
      <c r="C91" t="s">
        <v>171</v>
      </c>
      <c r="D91" t="s">
        <v>74</v>
      </c>
      <c r="E91" t="s">
        <v>51</v>
      </c>
      <c r="F91" t="s">
        <v>52</v>
      </c>
      <c r="G91" t="s">
        <v>175</v>
      </c>
      <c r="H91" t="s">
        <v>54</v>
      </c>
      <c r="I91">
        <v>160</v>
      </c>
      <c r="J91">
        <v>0</v>
      </c>
      <c r="K91">
        <v>1</v>
      </c>
      <c r="L91" t="s">
        <v>25</v>
      </c>
      <c r="M91" t="s">
        <v>26</v>
      </c>
      <c r="N91">
        <v>1</v>
      </c>
      <c r="O91">
        <v>0</v>
      </c>
      <c r="P91" t="str">
        <f>IF(T[[#This Row],[qty_ordered]]&lt;&gt;T[[#This Row],[qty_received]],IF(T[[#This Row],[qty_received]]&gt;0,"Partial Received","Not Receviced"),"FullyReceived")</f>
        <v>Not Receviced</v>
      </c>
      <c r="Q91" t="str">
        <f>IF(T[[#This Row],[qty_received]]&lt;&gt;T[[#This Row],[qty_invoiced]],IF(T[[#This Row],[qty_invoiced]]&gt;0,"Partial Invoiced","Not Invoiced"),"Fully Invoiced")</f>
        <v>Partial Invoiced</v>
      </c>
      <c r="R91" t="str">
        <f>IFERROR(VLOOKUP(T[[#This Row],[warehouse]],Table2[],2,FALSE),"--")</f>
        <v>--</v>
      </c>
    </row>
    <row r="92" spans="1:18" x14ac:dyDescent="0.25">
      <c r="A92" t="s">
        <v>140</v>
      </c>
      <c r="B92" s="1">
        <v>43394</v>
      </c>
      <c r="C92" t="s">
        <v>176</v>
      </c>
      <c r="D92" t="s">
        <v>20</v>
      </c>
      <c r="E92" t="s">
        <v>51</v>
      </c>
      <c r="F92" t="s">
        <v>52</v>
      </c>
      <c r="G92" t="s">
        <v>137</v>
      </c>
      <c r="H92" t="s">
        <v>54</v>
      </c>
      <c r="I92">
        <v>6000</v>
      </c>
      <c r="J92">
        <v>0</v>
      </c>
      <c r="K92">
        <v>1</v>
      </c>
      <c r="L92" t="s">
        <v>25</v>
      </c>
      <c r="M92" t="s">
        <v>26</v>
      </c>
      <c r="N92">
        <v>5</v>
      </c>
      <c r="O92">
        <v>0</v>
      </c>
      <c r="P92" t="str">
        <f>IF(T[[#This Row],[qty_ordered]]&lt;&gt;T[[#This Row],[qty_received]],IF(T[[#This Row],[qty_received]]&gt;0,"Partial Received","Not Receviced"),"FullyReceived")</f>
        <v>Not Receviced</v>
      </c>
      <c r="Q92" t="str">
        <f>IF(T[[#This Row],[qty_received]]&lt;&gt;T[[#This Row],[qty_invoiced]],IF(T[[#This Row],[qty_invoiced]]&gt;0,"Partial Invoiced","Not Invoiced"),"Fully Invoiced")</f>
        <v>Partial Invoiced</v>
      </c>
      <c r="R92" t="str">
        <f>IFERROR(VLOOKUP(T[[#This Row],[warehouse]],Table2[],2,FALSE),"--")</f>
        <v>--</v>
      </c>
    </row>
    <row r="93" spans="1:18" x14ac:dyDescent="0.25">
      <c r="A93" t="s">
        <v>140</v>
      </c>
      <c r="B93" s="1">
        <v>43394</v>
      </c>
      <c r="C93" t="s">
        <v>176</v>
      </c>
      <c r="D93" t="s">
        <v>71</v>
      </c>
      <c r="E93" t="s">
        <v>51</v>
      </c>
      <c r="F93" t="s">
        <v>52</v>
      </c>
      <c r="G93" t="s">
        <v>137</v>
      </c>
      <c r="H93" t="s">
        <v>54</v>
      </c>
      <c r="I93">
        <v>5000</v>
      </c>
      <c r="J93">
        <v>0</v>
      </c>
      <c r="K93">
        <v>1</v>
      </c>
      <c r="L93" t="s">
        <v>25</v>
      </c>
      <c r="M93" t="s">
        <v>26</v>
      </c>
      <c r="N93">
        <v>3</v>
      </c>
      <c r="O93">
        <v>0</v>
      </c>
      <c r="P93" t="str">
        <f>IF(T[[#This Row],[qty_ordered]]&lt;&gt;T[[#This Row],[qty_received]],IF(T[[#This Row],[qty_received]]&gt;0,"Partial Received","Not Receviced"),"FullyReceived")</f>
        <v>Not Receviced</v>
      </c>
      <c r="Q93" t="str">
        <f>IF(T[[#This Row],[qty_received]]&lt;&gt;T[[#This Row],[qty_invoiced]],IF(T[[#This Row],[qty_invoiced]]&gt;0,"Partial Invoiced","Not Invoiced"),"Fully Invoiced")</f>
        <v>Partial Invoiced</v>
      </c>
      <c r="R93" t="str">
        <f>IFERROR(VLOOKUP(T[[#This Row],[warehouse]],Table2[],2,FALSE),"--")</f>
        <v>--</v>
      </c>
    </row>
    <row r="94" spans="1:18" x14ac:dyDescent="0.25">
      <c r="A94" t="s">
        <v>140</v>
      </c>
      <c r="B94" s="1">
        <v>43394</v>
      </c>
      <c r="C94" t="s">
        <v>176</v>
      </c>
      <c r="D94" t="s">
        <v>100</v>
      </c>
      <c r="E94" t="s">
        <v>51</v>
      </c>
      <c r="F94" t="s">
        <v>52</v>
      </c>
      <c r="G94" t="s">
        <v>177</v>
      </c>
      <c r="H94" t="s">
        <v>54</v>
      </c>
      <c r="I94">
        <v>200</v>
      </c>
      <c r="J94">
        <v>0</v>
      </c>
      <c r="K94">
        <v>1</v>
      </c>
      <c r="L94" t="s">
        <v>25</v>
      </c>
      <c r="M94" t="s">
        <v>26</v>
      </c>
      <c r="N94">
        <v>150</v>
      </c>
      <c r="O94">
        <v>0</v>
      </c>
      <c r="P94" t="str">
        <f>IF(T[[#This Row],[qty_ordered]]&lt;&gt;T[[#This Row],[qty_received]],IF(T[[#This Row],[qty_received]]&gt;0,"Partial Received","Not Receviced"),"FullyReceived")</f>
        <v>Not Receviced</v>
      </c>
      <c r="Q94" t="str">
        <f>IF(T[[#This Row],[qty_received]]&lt;&gt;T[[#This Row],[qty_invoiced]],IF(T[[#This Row],[qty_invoiced]]&gt;0,"Partial Invoiced","Not Invoiced"),"Fully Invoiced")</f>
        <v>Partial Invoiced</v>
      </c>
      <c r="R94" t="str">
        <f>IFERROR(VLOOKUP(T[[#This Row],[warehouse]],Table2[],2,FALSE),"--")</f>
        <v>--</v>
      </c>
    </row>
    <row r="95" spans="1:18" x14ac:dyDescent="0.25">
      <c r="A95" t="s">
        <v>140</v>
      </c>
      <c r="B95" s="1">
        <v>43394</v>
      </c>
      <c r="C95" t="s">
        <v>176</v>
      </c>
      <c r="D95" t="s">
        <v>88</v>
      </c>
      <c r="E95" t="s">
        <v>51</v>
      </c>
      <c r="F95" t="s">
        <v>52</v>
      </c>
      <c r="G95" t="s">
        <v>178</v>
      </c>
      <c r="H95" t="s">
        <v>54</v>
      </c>
      <c r="I95">
        <v>20000</v>
      </c>
      <c r="J95">
        <v>0</v>
      </c>
      <c r="K95">
        <v>1</v>
      </c>
      <c r="L95" t="s">
        <v>25</v>
      </c>
      <c r="M95" t="s">
        <v>26</v>
      </c>
      <c r="N95">
        <v>1</v>
      </c>
      <c r="O95">
        <v>0</v>
      </c>
      <c r="P95" t="str">
        <f>IF(T[[#This Row],[qty_ordered]]&lt;&gt;T[[#This Row],[qty_received]],IF(T[[#This Row],[qty_received]]&gt;0,"Partial Received","Not Receviced"),"FullyReceived")</f>
        <v>Not Receviced</v>
      </c>
      <c r="Q95" t="str">
        <f>IF(T[[#This Row],[qty_received]]&lt;&gt;T[[#This Row],[qty_invoiced]],IF(T[[#This Row],[qty_invoiced]]&gt;0,"Partial Invoiced","Not Invoiced"),"Fully Invoiced")</f>
        <v>Partial Invoiced</v>
      </c>
      <c r="R95" t="str">
        <f>IFERROR(VLOOKUP(T[[#This Row],[warehouse]],Table2[],2,FALSE),"--")</f>
        <v>--</v>
      </c>
    </row>
    <row r="96" spans="1:18" x14ac:dyDescent="0.25">
      <c r="A96" t="s">
        <v>140</v>
      </c>
      <c r="B96" s="1">
        <v>43394</v>
      </c>
      <c r="C96" t="s">
        <v>176</v>
      </c>
      <c r="D96" t="s">
        <v>74</v>
      </c>
      <c r="E96" t="s">
        <v>51</v>
      </c>
      <c r="F96" t="s">
        <v>52</v>
      </c>
      <c r="G96" t="s">
        <v>179</v>
      </c>
      <c r="H96" t="s">
        <v>54</v>
      </c>
      <c r="I96">
        <v>50000</v>
      </c>
      <c r="J96">
        <v>0</v>
      </c>
      <c r="K96">
        <v>1</v>
      </c>
      <c r="L96" t="s">
        <v>25</v>
      </c>
      <c r="M96" t="s">
        <v>26</v>
      </c>
      <c r="N96">
        <v>1</v>
      </c>
      <c r="O96">
        <v>0</v>
      </c>
      <c r="P96" t="str">
        <f>IF(T[[#This Row],[qty_ordered]]&lt;&gt;T[[#This Row],[qty_received]],IF(T[[#This Row],[qty_received]]&gt;0,"Partial Received","Not Receviced"),"FullyReceived")</f>
        <v>Not Receviced</v>
      </c>
      <c r="Q96" t="str">
        <f>IF(T[[#This Row],[qty_received]]&lt;&gt;T[[#This Row],[qty_invoiced]],IF(T[[#This Row],[qty_invoiced]]&gt;0,"Partial Invoiced","Not Invoiced"),"Fully Invoiced")</f>
        <v>Partial Invoiced</v>
      </c>
      <c r="R96" t="str">
        <f>IFERROR(VLOOKUP(T[[#This Row],[warehouse]],Table2[],2,FALSE),"--")</f>
        <v>--</v>
      </c>
    </row>
    <row r="97" spans="1:18" x14ac:dyDescent="0.25">
      <c r="A97" t="s">
        <v>115</v>
      </c>
      <c r="B97" s="1">
        <v>43396</v>
      </c>
      <c r="C97" t="s">
        <v>180</v>
      </c>
      <c r="D97" t="s">
        <v>20</v>
      </c>
      <c r="E97" t="s">
        <v>51</v>
      </c>
      <c r="F97" t="s">
        <v>52</v>
      </c>
      <c r="G97" t="s">
        <v>75</v>
      </c>
      <c r="H97" t="s">
        <v>54</v>
      </c>
      <c r="I97">
        <v>20.36</v>
      </c>
      <c r="J97">
        <v>0</v>
      </c>
      <c r="K97">
        <v>1</v>
      </c>
      <c r="L97" t="s">
        <v>25</v>
      </c>
      <c r="M97" t="s">
        <v>26</v>
      </c>
      <c r="N97">
        <v>57.76</v>
      </c>
      <c r="O97">
        <v>0</v>
      </c>
      <c r="P97" t="str">
        <f>IF(T[[#This Row],[qty_ordered]]&lt;&gt;T[[#This Row],[qty_received]],IF(T[[#This Row],[qty_received]]&gt;0,"Partial Received","Not Receviced"),"FullyReceived")</f>
        <v>Not Receviced</v>
      </c>
      <c r="Q97" t="str">
        <f>IF(T[[#This Row],[qty_received]]&lt;&gt;T[[#This Row],[qty_invoiced]],IF(T[[#This Row],[qty_invoiced]]&gt;0,"Partial Invoiced","Not Invoiced"),"Fully Invoiced")</f>
        <v>Partial Invoiced</v>
      </c>
      <c r="R97" t="str">
        <f>IFERROR(VLOOKUP(T[[#This Row],[warehouse]],Table2[],2,FALSE),"--")</f>
        <v>--</v>
      </c>
    </row>
    <row r="98" spans="1:18" x14ac:dyDescent="0.25">
      <c r="A98" t="s">
        <v>181</v>
      </c>
      <c r="B98" s="1">
        <v>43481</v>
      </c>
      <c r="C98" t="s">
        <v>182</v>
      </c>
      <c r="D98" t="s">
        <v>20</v>
      </c>
      <c r="E98" t="s">
        <v>51</v>
      </c>
      <c r="F98" t="s">
        <v>183</v>
      </c>
      <c r="G98" t="s">
        <v>184</v>
      </c>
      <c r="H98" t="s">
        <v>54</v>
      </c>
      <c r="I98">
        <v>500</v>
      </c>
      <c r="J98">
        <v>0</v>
      </c>
      <c r="K98">
        <v>1</v>
      </c>
      <c r="L98" t="s">
        <v>25</v>
      </c>
      <c r="M98" t="s">
        <v>26</v>
      </c>
      <c r="N98">
        <v>480</v>
      </c>
      <c r="O98">
        <v>0</v>
      </c>
      <c r="P98" t="str">
        <f>IF(T[[#This Row],[qty_ordered]]&lt;&gt;T[[#This Row],[qty_received]],IF(T[[#This Row],[qty_received]]&gt;0,"Partial Received","Not Receviced"),"FullyReceived")</f>
        <v>Not Receviced</v>
      </c>
      <c r="Q98" t="str">
        <f>IF(T[[#This Row],[qty_received]]&lt;&gt;T[[#This Row],[qty_invoiced]],IF(T[[#This Row],[qty_invoiced]]&gt;0,"Partial Invoiced","Not Invoiced"),"Fully Invoiced")</f>
        <v>Partial Invoiced</v>
      </c>
      <c r="R98" t="str">
        <f>IFERROR(VLOOKUP(T[[#This Row],[warehouse]],Table2[],2,FALSE),"--")</f>
        <v>--</v>
      </c>
    </row>
    <row r="99" spans="1:18" x14ac:dyDescent="0.25">
      <c r="A99" t="s">
        <v>181</v>
      </c>
      <c r="B99" s="1">
        <v>43481</v>
      </c>
      <c r="C99" t="s">
        <v>182</v>
      </c>
      <c r="D99" t="s">
        <v>71</v>
      </c>
      <c r="E99" t="s">
        <v>51</v>
      </c>
      <c r="F99" t="s">
        <v>185</v>
      </c>
      <c r="G99" t="s">
        <v>186</v>
      </c>
      <c r="H99" t="s">
        <v>54</v>
      </c>
      <c r="I99">
        <v>812</v>
      </c>
      <c r="J99">
        <v>0</v>
      </c>
      <c r="K99">
        <v>1</v>
      </c>
      <c r="L99" t="s">
        <v>25</v>
      </c>
      <c r="M99" t="s">
        <v>26</v>
      </c>
      <c r="N99">
        <v>9.6059999999999999</v>
      </c>
      <c r="O99">
        <v>0</v>
      </c>
      <c r="P99" t="str">
        <f>IF(T[[#This Row],[qty_ordered]]&lt;&gt;T[[#This Row],[qty_received]],IF(T[[#This Row],[qty_received]]&gt;0,"Partial Received","Not Receviced"),"FullyReceived")</f>
        <v>Not Receviced</v>
      </c>
      <c r="Q99" t="str">
        <f>IF(T[[#This Row],[qty_received]]&lt;&gt;T[[#This Row],[qty_invoiced]],IF(T[[#This Row],[qty_invoiced]]&gt;0,"Partial Invoiced","Not Invoiced"),"Fully Invoiced")</f>
        <v>Partial Invoiced</v>
      </c>
      <c r="R99" t="str">
        <f>IFERROR(VLOOKUP(T[[#This Row],[warehouse]],Table2[],2,FALSE),"--")</f>
        <v>--</v>
      </c>
    </row>
    <row r="100" spans="1:18" x14ac:dyDescent="0.25">
      <c r="A100" t="s">
        <v>187</v>
      </c>
      <c r="B100" s="1">
        <v>43487</v>
      </c>
      <c r="C100" t="s">
        <v>188</v>
      </c>
      <c r="D100" t="s">
        <v>20</v>
      </c>
      <c r="E100" t="s">
        <v>66</v>
      </c>
      <c r="F100" t="s">
        <v>189</v>
      </c>
      <c r="G100" t="s">
        <v>190</v>
      </c>
      <c r="H100" t="s">
        <v>24</v>
      </c>
      <c r="I100">
        <v>515.78</v>
      </c>
      <c r="J100">
        <v>515.78</v>
      </c>
      <c r="K100">
        <v>515.78</v>
      </c>
      <c r="L100" t="s">
        <v>25</v>
      </c>
      <c r="M100" t="s">
        <v>132</v>
      </c>
      <c r="N100">
        <v>43500</v>
      </c>
      <c r="O100">
        <v>22436430</v>
      </c>
      <c r="P100" t="str">
        <f>IF(T[[#This Row],[qty_ordered]]&lt;&gt;T[[#This Row],[qty_received]],IF(T[[#This Row],[qty_received]]&gt;0,"Partial Received","Not Receviced"),"FullyReceived")</f>
        <v>FullyReceived</v>
      </c>
      <c r="Q100" t="str">
        <f>IF(T[[#This Row],[qty_received]]&lt;&gt;T[[#This Row],[qty_invoiced]],IF(T[[#This Row],[qty_invoiced]]&gt;0,"Partial Invoiced","Not Invoiced"),"Fully Invoiced")</f>
        <v>Fully Invoiced</v>
      </c>
      <c r="R100" t="str">
        <f>IFERROR(VLOOKUP(T[[#This Row],[warehouse]],Table2[],2,FALSE),"--")</f>
        <v>PZU Main Warehouse</v>
      </c>
    </row>
    <row r="101" spans="1:18" x14ac:dyDescent="0.25">
      <c r="A101" t="s">
        <v>84</v>
      </c>
      <c r="B101" s="1">
        <v>43486</v>
      </c>
      <c r="C101" t="s">
        <v>191</v>
      </c>
      <c r="D101" t="s">
        <v>20</v>
      </c>
      <c r="E101" t="s">
        <v>192</v>
      </c>
      <c r="F101" t="s">
        <v>108</v>
      </c>
      <c r="G101" t="s">
        <v>109</v>
      </c>
      <c r="H101" t="s">
        <v>24</v>
      </c>
      <c r="I101">
        <v>311.47000000000003</v>
      </c>
      <c r="J101">
        <v>0</v>
      </c>
      <c r="K101">
        <v>0</v>
      </c>
      <c r="L101" t="s">
        <v>59</v>
      </c>
      <c r="M101" t="s">
        <v>26</v>
      </c>
      <c r="N101">
        <v>34567.5</v>
      </c>
      <c r="O101">
        <v>0</v>
      </c>
      <c r="P101" t="str">
        <f>IF(T[[#This Row],[qty_ordered]]&lt;&gt;T[[#This Row],[qty_received]],IF(T[[#This Row],[qty_received]]&gt;0,"Partial Received","Not Receviced"),"FullyReceived")</f>
        <v>Not Receviced</v>
      </c>
      <c r="Q101" t="str">
        <f>IF(T[[#This Row],[qty_received]]&lt;&gt;T[[#This Row],[qty_invoiced]],IF(T[[#This Row],[qty_invoiced]]&gt;0,"Partial Invoiced","Not Invoiced"),"Fully Invoiced")</f>
        <v>Fully Invoiced</v>
      </c>
      <c r="R101" t="str">
        <f>IFERROR(VLOOKUP(T[[#This Row],[warehouse]],Table2[],2,FALSE),"--")</f>
        <v>BAYADER SIFTER-OMD</v>
      </c>
    </row>
    <row r="102" spans="1:18" x14ac:dyDescent="0.25">
      <c r="A102" t="s">
        <v>84</v>
      </c>
      <c r="B102" s="1">
        <v>43446</v>
      </c>
      <c r="C102" t="s">
        <v>193</v>
      </c>
      <c r="D102" t="s">
        <v>100</v>
      </c>
      <c r="E102" t="s">
        <v>66</v>
      </c>
      <c r="F102" t="s">
        <v>108</v>
      </c>
      <c r="G102" t="s">
        <v>109</v>
      </c>
      <c r="H102" t="s">
        <v>24</v>
      </c>
      <c r="I102">
        <v>44.26</v>
      </c>
      <c r="J102">
        <v>44.26</v>
      </c>
      <c r="K102">
        <v>44.26</v>
      </c>
      <c r="L102" t="s">
        <v>25</v>
      </c>
      <c r="M102" t="s">
        <v>132</v>
      </c>
      <c r="N102">
        <v>71200</v>
      </c>
      <c r="O102">
        <v>3151312</v>
      </c>
      <c r="P102" t="str">
        <f>IF(T[[#This Row],[qty_ordered]]&lt;&gt;T[[#This Row],[qty_received]],IF(T[[#This Row],[qty_received]]&gt;0,"Partial Received","Not Receviced"),"FullyReceived")</f>
        <v>FullyReceived</v>
      </c>
      <c r="Q102" t="str">
        <f>IF(T[[#This Row],[qty_received]]&lt;&gt;T[[#This Row],[qty_invoiced]],IF(T[[#This Row],[qty_invoiced]]&gt;0,"Partial Invoiced","Not Invoiced"),"Fully Invoiced")</f>
        <v>Fully Invoiced</v>
      </c>
      <c r="R102" t="str">
        <f>IFERROR(VLOOKUP(T[[#This Row],[warehouse]],Table2[],2,FALSE),"--")</f>
        <v>PZU Main Warehouse</v>
      </c>
    </row>
    <row r="103" spans="1:18" x14ac:dyDescent="0.25">
      <c r="A103" t="s">
        <v>84</v>
      </c>
      <c r="B103" s="1">
        <v>43446</v>
      </c>
      <c r="C103" t="s">
        <v>193</v>
      </c>
      <c r="D103" t="s">
        <v>88</v>
      </c>
      <c r="E103" t="s">
        <v>146</v>
      </c>
      <c r="F103" t="s">
        <v>108</v>
      </c>
      <c r="G103" t="s">
        <v>109</v>
      </c>
      <c r="H103" t="s">
        <v>24</v>
      </c>
      <c r="I103">
        <v>40.700000000000003</v>
      </c>
      <c r="J103">
        <v>40.700000000000003</v>
      </c>
      <c r="K103">
        <v>40.700000000000003</v>
      </c>
      <c r="L103" t="s">
        <v>25</v>
      </c>
      <c r="M103" t="s">
        <v>132</v>
      </c>
      <c r="N103">
        <v>34567.5</v>
      </c>
      <c r="O103">
        <v>2904433.85</v>
      </c>
      <c r="P103" t="str">
        <f>IF(T[[#This Row],[qty_ordered]]&lt;&gt;T[[#This Row],[qty_received]],IF(T[[#This Row],[qty_received]]&gt;0,"Partial Received","Not Receviced"),"FullyReceived")</f>
        <v>FullyReceived</v>
      </c>
      <c r="Q103" t="str">
        <f>IF(T[[#This Row],[qty_received]]&lt;&gt;T[[#This Row],[qty_invoiced]],IF(T[[#This Row],[qty_invoiced]]&gt;0,"Partial Invoiced","Not Invoiced"),"Fully Invoiced")</f>
        <v>Fully Invoiced</v>
      </c>
      <c r="R103" t="str">
        <f>IFERROR(VLOOKUP(T[[#This Row],[warehouse]],Table2[],2,FALSE),"--")</f>
        <v>Khtoum Main Warehouse</v>
      </c>
    </row>
    <row r="104" spans="1:18" x14ac:dyDescent="0.25">
      <c r="A104" t="s">
        <v>194</v>
      </c>
      <c r="B104" s="1">
        <v>43489</v>
      </c>
      <c r="C104" t="s">
        <v>195</v>
      </c>
      <c r="D104" t="s">
        <v>20</v>
      </c>
      <c r="E104" t="s">
        <v>66</v>
      </c>
      <c r="F104" t="s">
        <v>196</v>
      </c>
      <c r="G104" t="s">
        <v>197</v>
      </c>
      <c r="H104" t="s">
        <v>24</v>
      </c>
      <c r="I104">
        <v>5</v>
      </c>
      <c r="J104">
        <v>5</v>
      </c>
      <c r="K104">
        <v>5</v>
      </c>
      <c r="L104" t="s">
        <v>25</v>
      </c>
      <c r="M104" t="s">
        <v>26</v>
      </c>
      <c r="N104">
        <v>12600</v>
      </c>
      <c r="O104">
        <v>63000</v>
      </c>
      <c r="P104" t="str">
        <f>IF(T[[#This Row],[qty_ordered]]&lt;&gt;T[[#This Row],[qty_received]],IF(T[[#This Row],[qty_received]]&gt;0,"Partial Received","Not Receviced"),"FullyReceived")</f>
        <v>FullyReceived</v>
      </c>
      <c r="Q104" t="str">
        <f>IF(T[[#This Row],[qty_received]]&lt;&gt;T[[#This Row],[qty_invoiced]],IF(T[[#This Row],[qty_invoiced]]&gt;0,"Partial Invoiced","Not Invoiced"),"Fully Invoiced")</f>
        <v>Fully Invoiced</v>
      </c>
      <c r="R104" t="str">
        <f>IFERROR(VLOOKUP(T[[#This Row],[warehouse]],Table2[],2,FALSE),"--")</f>
        <v>PZU Main Warehouse</v>
      </c>
    </row>
    <row r="105" spans="1:18" x14ac:dyDescent="0.25">
      <c r="A105" t="s">
        <v>84</v>
      </c>
      <c r="B105" s="1">
        <v>43489</v>
      </c>
      <c r="C105" t="s">
        <v>198</v>
      </c>
      <c r="D105" t="s">
        <v>20</v>
      </c>
      <c r="E105" t="s">
        <v>66</v>
      </c>
      <c r="F105" t="s">
        <v>189</v>
      </c>
      <c r="G105" t="s">
        <v>190</v>
      </c>
      <c r="H105" t="s">
        <v>24</v>
      </c>
      <c r="I105">
        <v>688.36</v>
      </c>
      <c r="J105">
        <v>612.16</v>
      </c>
      <c r="K105">
        <v>612.16</v>
      </c>
      <c r="L105" t="s">
        <v>25</v>
      </c>
      <c r="M105" t="s">
        <v>26</v>
      </c>
      <c r="N105">
        <v>44000</v>
      </c>
      <c r="O105">
        <v>26935040</v>
      </c>
      <c r="P105" t="str">
        <f>IF(T[[#This Row],[qty_ordered]]&lt;&gt;T[[#This Row],[qty_received]],IF(T[[#This Row],[qty_received]]&gt;0,"Partial Received","Not Receviced"),"FullyReceived")</f>
        <v>Partial Received</v>
      </c>
      <c r="Q105" t="str">
        <f>IF(T[[#This Row],[qty_received]]&lt;&gt;T[[#This Row],[qty_invoiced]],IF(T[[#This Row],[qty_invoiced]]&gt;0,"Partial Invoiced","Not Invoiced"),"Fully Invoiced")</f>
        <v>Fully Invoiced</v>
      </c>
      <c r="R105" t="str">
        <f>IFERROR(VLOOKUP(T[[#This Row],[warehouse]],Table2[],2,FALSE),"--")</f>
        <v>PZU Main Warehouse</v>
      </c>
    </row>
    <row r="106" spans="1:18" x14ac:dyDescent="0.25">
      <c r="A106" t="s">
        <v>160</v>
      </c>
      <c r="B106" s="1">
        <v>43478</v>
      </c>
      <c r="C106" t="s">
        <v>199</v>
      </c>
      <c r="D106" t="s">
        <v>71</v>
      </c>
      <c r="E106" t="s">
        <v>200</v>
      </c>
      <c r="F106" t="s">
        <v>37</v>
      </c>
      <c r="G106" t="s">
        <v>38</v>
      </c>
      <c r="H106" t="s">
        <v>24</v>
      </c>
      <c r="I106">
        <v>3000</v>
      </c>
      <c r="J106">
        <v>265.86</v>
      </c>
      <c r="K106">
        <v>265.86</v>
      </c>
      <c r="L106" t="s">
        <v>25</v>
      </c>
      <c r="M106" t="s">
        <v>26</v>
      </c>
      <c r="N106">
        <v>82383.5</v>
      </c>
      <c r="O106">
        <v>21902477.309999999</v>
      </c>
      <c r="P106" t="str">
        <f>IF(T[[#This Row],[qty_ordered]]&lt;&gt;T[[#This Row],[qty_received]],IF(T[[#This Row],[qty_received]]&gt;0,"Partial Received","Not Receviced"),"FullyReceived")</f>
        <v>Partial Received</v>
      </c>
      <c r="Q106" t="str">
        <f>IF(T[[#This Row],[qty_received]]&lt;&gt;T[[#This Row],[qty_invoiced]],IF(T[[#This Row],[qty_invoiced]]&gt;0,"Partial Invoiced","Not Invoiced"),"Fully Invoiced")</f>
        <v>Fully Invoiced</v>
      </c>
      <c r="R106" t="str">
        <f>IFERROR(VLOOKUP(T[[#This Row],[warehouse]],Table2[],2,FALSE),"--")</f>
        <v>SIFITING ORGANICA</v>
      </c>
    </row>
    <row r="107" spans="1:18" x14ac:dyDescent="0.25">
      <c r="A107" t="s">
        <v>201</v>
      </c>
      <c r="B107" s="1">
        <v>43492</v>
      </c>
      <c r="C107" t="s">
        <v>202</v>
      </c>
      <c r="D107" t="s">
        <v>20</v>
      </c>
      <c r="E107" t="s">
        <v>203</v>
      </c>
      <c r="F107" t="s">
        <v>204</v>
      </c>
      <c r="G107" t="s">
        <v>205</v>
      </c>
      <c r="H107" t="s">
        <v>206</v>
      </c>
      <c r="I107">
        <v>480</v>
      </c>
      <c r="J107">
        <v>320</v>
      </c>
      <c r="K107">
        <v>320</v>
      </c>
      <c r="L107" t="s">
        <v>25</v>
      </c>
      <c r="M107" t="s">
        <v>207</v>
      </c>
      <c r="N107">
        <v>23105.25</v>
      </c>
      <c r="O107">
        <v>6478920</v>
      </c>
      <c r="P107" t="str">
        <f>IF(T[[#This Row],[qty_ordered]]&lt;&gt;T[[#This Row],[qty_received]],IF(T[[#This Row],[qty_received]]&gt;0,"Partial Received","Not Receviced"),"FullyReceived")</f>
        <v>Partial Received</v>
      </c>
      <c r="Q107" t="str">
        <f>IF(T[[#This Row],[qty_received]]&lt;&gt;T[[#This Row],[qty_invoiced]],IF(T[[#This Row],[qty_invoiced]]&gt;0,"Partial Invoiced","Not Invoiced"),"Fully Invoiced")</f>
        <v>Fully Invoiced</v>
      </c>
      <c r="R107" t="str">
        <f>IFERROR(VLOOKUP(T[[#This Row],[warehouse]],Table2[],2,FALSE),"--")</f>
        <v>PZU Packaging Warehouse</v>
      </c>
    </row>
    <row r="108" spans="1:18" x14ac:dyDescent="0.25">
      <c r="A108" t="s">
        <v>208</v>
      </c>
      <c r="B108" s="1">
        <v>43478</v>
      </c>
      <c r="C108" t="s">
        <v>209</v>
      </c>
      <c r="D108" t="s">
        <v>71</v>
      </c>
      <c r="E108" t="s">
        <v>51</v>
      </c>
      <c r="F108" t="s">
        <v>52</v>
      </c>
      <c r="G108" t="s">
        <v>75</v>
      </c>
      <c r="H108" t="s">
        <v>54</v>
      </c>
      <c r="I108">
        <v>125282</v>
      </c>
      <c r="J108">
        <v>0</v>
      </c>
      <c r="K108">
        <v>0</v>
      </c>
      <c r="L108" t="s">
        <v>59</v>
      </c>
      <c r="M108" t="s">
        <v>26</v>
      </c>
      <c r="N108">
        <v>30.0001</v>
      </c>
      <c r="O108">
        <v>0</v>
      </c>
      <c r="P108" t="str">
        <f>IF(T[[#This Row],[qty_ordered]]&lt;&gt;T[[#This Row],[qty_received]],IF(T[[#This Row],[qty_received]]&gt;0,"Partial Received","Not Receviced"),"FullyReceived")</f>
        <v>Not Receviced</v>
      </c>
      <c r="Q108" t="str">
        <f>IF(T[[#This Row],[qty_received]]&lt;&gt;T[[#This Row],[qty_invoiced]],IF(T[[#This Row],[qty_invoiced]]&gt;0,"Partial Invoiced","Not Invoiced"),"Fully Invoiced")</f>
        <v>Fully Invoiced</v>
      </c>
      <c r="R108" t="str">
        <f>IFERROR(VLOOKUP(T[[#This Row],[warehouse]],Table2[],2,FALSE),"--")</f>
        <v>--</v>
      </c>
    </row>
    <row r="109" spans="1:18" x14ac:dyDescent="0.25">
      <c r="A109" t="s">
        <v>208</v>
      </c>
      <c r="B109" s="1">
        <v>43478</v>
      </c>
      <c r="C109" t="s">
        <v>209</v>
      </c>
      <c r="D109" t="s">
        <v>100</v>
      </c>
      <c r="E109" t="s">
        <v>51</v>
      </c>
      <c r="F109" t="s">
        <v>52</v>
      </c>
      <c r="G109" t="s">
        <v>75</v>
      </c>
      <c r="H109" t="s">
        <v>54</v>
      </c>
      <c r="I109">
        <v>1</v>
      </c>
      <c r="J109">
        <v>0</v>
      </c>
      <c r="K109">
        <v>0</v>
      </c>
      <c r="L109" t="s">
        <v>59</v>
      </c>
      <c r="M109" t="s">
        <v>26</v>
      </c>
      <c r="N109">
        <v>15000</v>
      </c>
      <c r="O109">
        <v>0</v>
      </c>
      <c r="P109" t="str">
        <f>IF(T[[#This Row],[qty_ordered]]&lt;&gt;T[[#This Row],[qty_received]],IF(T[[#This Row],[qty_received]]&gt;0,"Partial Received","Not Receviced"),"FullyReceived")</f>
        <v>Not Receviced</v>
      </c>
      <c r="Q109" t="str">
        <f>IF(T[[#This Row],[qty_received]]&lt;&gt;T[[#This Row],[qty_invoiced]],IF(T[[#This Row],[qty_invoiced]]&gt;0,"Partial Invoiced","Not Invoiced"),"Fully Invoiced")</f>
        <v>Fully Invoiced</v>
      </c>
      <c r="R109" t="str">
        <f>IFERROR(VLOOKUP(T[[#This Row],[warehouse]],Table2[],2,FALSE),"--")</f>
        <v>--</v>
      </c>
    </row>
    <row r="110" spans="1:18" x14ac:dyDescent="0.25">
      <c r="A110" t="s">
        <v>84</v>
      </c>
      <c r="B110" s="1">
        <v>43446</v>
      </c>
      <c r="C110" t="s">
        <v>193</v>
      </c>
      <c r="D110" t="s">
        <v>71</v>
      </c>
      <c r="E110" t="s">
        <v>210</v>
      </c>
      <c r="F110" t="s">
        <v>108</v>
      </c>
      <c r="G110" t="s">
        <v>109</v>
      </c>
      <c r="H110" t="s">
        <v>24</v>
      </c>
      <c r="I110">
        <v>117.07</v>
      </c>
      <c r="J110">
        <v>117.07</v>
      </c>
      <c r="K110">
        <v>117.07</v>
      </c>
      <c r="L110" t="s">
        <v>25</v>
      </c>
      <c r="M110" t="s">
        <v>132</v>
      </c>
      <c r="N110">
        <v>34567.5</v>
      </c>
      <c r="O110">
        <v>8863624.6500000004</v>
      </c>
      <c r="P110" t="str">
        <f>IF(T[[#This Row],[qty_ordered]]&lt;&gt;T[[#This Row],[qty_received]],IF(T[[#This Row],[qty_received]]&gt;0,"Partial Received","Not Receviced"),"FullyReceived")</f>
        <v>FullyReceived</v>
      </c>
      <c r="Q110" t="str">
        <f>IF(T[[#This Row],[qty_received]]&lt;&gt;T[[#This Row],[qty_invoiced]],IF(T[[#This Row],[qty_invoiced]]&gt;0,"Partial Invoiced","Not Invoiced"),"Fully Invoiced")</f>
        <v>Fully Invoiced</v>
      </c>
      <c r="R110" t="str">
        <f>IFERROR(VLOOKUP(T[[#This Row],[warehouse]],Table2[],2,FALSE),"--")</f>
        <v>ALMARKAZI SIFTER-OMD</v>
      </c>
    </row>
    <row r="111" spans="1:18" x14ac:dyDescent="0.25">
      <c r="A111" t="s">
        <v>144</v>
      </c>
      <c r="B111" s="1">
        <v>43437</v>
      </c>
      <c r="C111" t="s">
        <v>211</v>
      </c>
      <c r="D111" t="s">
        <v>71</v>
      </c>
      <c r="E111" t="s">
        <v>203</v>
      </c>
      <c r="F111" t="s">
        <v>147</v>
      </c>
      <c r="G111" t="s">
        <v>148</v>
      </c>
      <c r="H111" t="s">
        <v>149</v>
      </c>
      <c r="I111">
        <v>43000</v>
      </c>
      <c r="J111">
        <v>43000</v>
      </c>
      <c r="K111">
        <v>43000</v>
      </c>
      <c r="L111" t="s">
        <v>25</v>
      </c>
      <c r="M111" t="s">
        <v>150</v>
      </c>
      <c r="N111">
        <v>12.528</v>
      </c>
      <c r="O111">
        <v>538704</v>
      </c>
      <c r="P111" t="str">
        <f>IF(T[[#This Row],[qty_ordered]]&lt;&gt;T[[#This Row],[qty_received]],IF(T[[#This Row],[qty_received]]&gt;0,"Partial Received","Not Receviced"),"FullyReceived")</f>
        <v>FullyReceived</v>
      </c>
      <c r="Q111" t="str">
        <f>IF(T[[#This Row],[qty_received]]&lt;&gt;T[[#This Row],[qty_invoiced]],IF(T[[#This Row],[qty_invoiced]]&gt;0,"Partial Invoiced","Not Invoiced"),"Fully Invoiced")</f>
        <v>Fully Invoiced</v>
      </c>
      <c r="R111" t="str">
        <f>IFERROR(VLOOKUP(T[[#This Row],[warehouse]],Table2[],2,FALSE),"--")</f>
        <v>PZU Packaging Warehouse</v>
      </c>
    </row>
    <row r="112" spans="1:18" x14ac:dyDescent="0.25">
      <c r="A112" t="s">
        <v>208</v>
      </c>
      <c r="B112" s="1">
        <v>43478</v>
      </c>
      <c r="C112" t="s">
        <v>209</v>
      </c>
      <c r="D112" t="s">
        <v>88</v>
      </c>
      <c r="E112" t="s">
        <v>51</v>
      </c>
      <c r="F112" t="s">
        <v>52</v>
      </c>
      <c r="G112" t="s">
        <v>75</v>
      </c>
      <c r="H112" t="s">
        <v>54</v>
      </c>
      <c r="I112">
        <v>1</v>
      </c>
      <c r="J112">
        <v>0</v>
      </c>
      <c r="K112">
        <v>0</v>
      </c>
      <c r="L112" t="s">
        <v>59</v>
      </c>
      <c r="M112" t="s">
        <v>26</v>
      </c>
      <c r="N112">
        <v>6500</v>
      </c>
      <c r="O112">
        <v>0</v>
      </c>
      <c r="P112" t="str">
        <f>IF(T[[#This Row],[qty_ordered]]&lt;&gt;T[[#This Row],[qty_received]],IF(T[[#This Row],[qty_received]]&gt;0,"Partial Received","Not Receviced"),"FullyReceived")</f>
        <v>Not Receviced</v>
      </c>
      <c r="Q112" t="str">
        <f>IF(T[[#This Row],[qty_received]]&lt;&gt;T[[#This Row],[qty_invoiced]],IF(T[[#This Row],[qty_invoiced]]&gt;0,"Partial Invoiced","Not Invoiced"),"Fully Invoiced")</f>
        <v>Fully Invoiced</v>
      </c>
      <c r="R112" t="str">
        <f>IFERROR(VLOOKUP(T[[#This Row],[warehouse]],Table2[],2,FALSE),"--")</f>
        <v>--</v>
      </c>
    </row>
    <row r="113" spans="1:18" x14ac:dyDescent="0.25">
      <c r="A113" t="s">
        <v>208</v>
      </c>
      <c r="B113" s="1">
        <v>43478</v>
      </c>
      <c r="C113" t="s">
        <v>209</v>
      </c>
      <c r="D113" t="s">
        <v>74</v>
      </c>
      <c r="E113" t="s">
        <v>51</v>
      </c>
      <c r="F113" t="s">
        <v>52</v>
      </c>
      <c r="G113" t="s">
        <v>75</v>
      </c>
      <c r="H113" t="s">
        <v>54</v>
      </c>
      <c r="I113">
        <v>1</v>
      </c>
      <c r="J113">
        <v>0</v>
      </c>
      <c r="K113">
        <v>0</v>
      </c>
      <c r="L113" t="s">
        <v>59</v>
      </c>
      <c r="M113" t="s">
        <v>26</v>
      </c>
      <c r="N113">
        <v>31875</v>
      </c>
      <c r="O113">
        <v>0</v>
      </c>
      <c r="P113" t="str">
        <f>IF(T[[#This Row],[qty_ordered]]&lt;&gt;T[[#This Row],[qty_received]],IF(T[[#This Row],[qty_received]]&gt;0,"Partial Received","Not Receviced"),"FullyReceived")</f>
        <v>Not Receviced</v>
      </c>
      <c r="Q113" t="str">
        <f>IF(T[[#This Row],[qty_received]]&lt;&gt;T[[#This Row],[qty_invoiced]],IF(T[[#This Row],[qty_invoiced]]&gt;0,"Partial Invoiced","Not Invoiced"),"Fully Invoiced")</f>
        <v>Fully Invoiced</v>
      </c>
      <c r="R113" t="str">
        <f>IFERROR(VLOOKUP(T[[#This Row],[warehouse]],Table2[],2,FALSE),"--")</f>
        <v>--</v>
      </c>
    </row>
    <row r="114" spans="1:18" x14ac:dyDescent="0.25">
      <c r="A114" t="s">
        <v>208</v>
      </c>
      <c r="B114" s="1">
        <v>43478</v>
      </c>
      <c r="C114" t="s">
        <v>209</v>
      </c>
      <c r="D114" t="s">
        <v>76</v>
      </c>
      <c r="E114" t="s">
        <v>51</v>
      </c>
      <c r="F114" t="s">
        <v>52</v>
      </c>
      <c r="G114" t="s">
        <v>75</v>
      </c>
      <c r="H114" t="s">
        <v>54</v>
      </c>
      <c r="I114">
        <v>1</v>
      </c>
      <c r="J114">
        <v>0</v>
      </c>
      <c r="K114">
        <v>0</v>
      </c>
      <c r="L114" t="s">
        <v>59</v>
      </c>
      <c r="M114" t="s">
        <v>26</v>
      </c>
      <c r="N114">
        <v>114000</v>
      </c>
      <c r="O114">
        <v>0</v>
      </c>
      <c r="P114" t="str">
        <f>IF(T[[#This Row],[qty_ordered]]&lt;&gt;T[[#This Row],[qty_received]],IF(T[[#This Row],[qty_received]]&gt;0,"Partial Received","Not Receviced"),"FullyReceived")</f>
        <v>Not Receviced</v>
      </c>
      <c r="Q114" t="str">
        <f>IF(T[[#This Row],[qty_received]]&lt;&gt;T[[#This Row],[qty_invoiced]],IF(T[[#This Row],[qty_invoiced]]&gt;0,"Partial Invoiced","Not Invoiced"),"Fully Invoiced")</f>
        <v>Fully Invoiced</v>
      </c>
      <c r="R114" t="str">
        <f>IFERROR(VLOOKUP(T[[#This Row],[warehouse]],Table2[],2,FALSE),"--")</f>
        <v>--</v>
      </c>
    </row>
    <row r="115" spans="1:18" x14ac:dyDescent="0.25">
      <c r="A115" t="s">
        <v>208</v>
      </c>
      <c r="B115" s="1">
        <v>43478</v>
      </c>
      <c r="C115" t="s">
        <v>209</v>
      </c>
      <c r="D115" t="s">
        <v>212</v>
      </c>
      <c r="E115" t="s">
        <v>51</v>
      </c>
      <c r="F115" t="s">
        <v>52</v>
      </c>
      <c r="G115" t="s">
        <v>75</v>
      </c>
      <c r="H115" t="s">
        <v>54</v>
      </c>
      <c r="I115">
        <v>125.282</v>
      </c>
      <c r="J115">
        <v>0</v>
      </c>
      <c r="K115">
        <v>0</v>
      </c>
      <c r="L115" t="s">
        <v>59</v>
      </c>
      <c r="M115" t="s">
        <v>26</v>
      </c>
      <c r="N115">
        <v>2000</v>
      </c>
      <c r="O115">
        <v>0</v>
      </c>
      <c r="P115" t="str">
        <f>IF(T[[#This Row],[qty_ordered]]&lt;&gt;T[[#This Row],[qty_received]],IF(T[[#This Row],[qty_received]]&gt;0,"Partial Received","Not Receviced"),"FullyReceived")</f>
        <v>Not Receviced</v>
      </c>
      <c r="Q115" t="str">
        <f>IF(T[[#This Row],[qty_received]]&lt;&gt;T[[#This Row],[qty_invoiced]],IF(T[[#This Row],[qty_invoiced]]&gt;0,"Partial Invoiced","Not Invoiced"),"Fully Invoiced")</f>
        <v>Fully Invoiced</v>
      </c>
      <c r="R115" t="str">
        <f>IFERROR(VLOOKUP(T[[#This Row],[warehouse]],Table2[],2,FALSE),"--")</f>
        <v>--</v>
      </c>
    </row>
    <row r="116" spans="1:18" x14ac:dyDescent="0.25">
      <c r="A116" t="s">
        <v>84</v>
      </c>
      <c r="B116" s="1">
        <v>43495</v>
      </c>
      <c r="C116" t="s">
        <v>213</v>
      </c>
      <c r="D116" t="s">
        <v>20</v>
      </c>
      <c r="E116" t="s">
        <v>214</v>
      </c>
      <c r="F116" t="s">
        <v>167</v>
      </c>
      <c r="G116" t="s">
        <v>156</v>
      </c>
      <c r="H116" t="s">
        <v>24</v>
      </c>
      <c r="I116">
        <v>440</v>
      </c>
      <c r="J116">
        <v>440</v>
      </c>
      <c r="K116">
        <v>440</v>
      </c>
      <c r="L116" t="s">
        <v>25</v>
      </c>
      <c r="M116" t="s">
        <v>26</v>
      </c>
      <c r="N116">
        <v>67450</v>
      </c>
      <c r="O116">
        <v>29678000</v>
      </c>
      <c r="P116" t="str">
        <f>IF(T[[#This Row],[qty_ordered]]&lt;&gt;T[[#This Row],[qty_received]],IF(T[[#This Row],[qty_received]]&gt;0,"Partial Received","Not Receviced"),"FullyReceived")</f>
        <v>FullyReceived</v>
      </c>
      <c r="Q116" t="str">
        <f>IF(T[[#This Row],[qty_received]]&lt;&gt;T[[#This Row],[qty_invoiced]],IF(T[[#This Row],[qty_invoiced]]&gt;0,"Partial Invoiced","Not Invoiced"),"Fully Invoiced")</f>
        <v>Fully Invoiced</v>
      </c>
      <c r="R116" t="str">
        <f>IFERROR(VLOOKUP(T[[#This Row],[warehouse]],Table2[],2,FALSE),"--")</f>
        <v>CRUSHER ELBALOLA</v>
      </c>
    </row>
    <row r="117" spans="1:18" x14ac:dyDescent="0.25">
      <c r="A117" t="s">
        <v>208</v>
      </c>
      <c r="B117" s="1">
        <v>43478</v>
      </c>
      <c r="C117" t="s">
        <v>215</v>
      </c>
      <c r="D117" t="s">
        <v>71</v>
      </c>
      <c r="E117" t="s">
        <v>51</v>
      </c>
      <c r="F117" t="s">
        <v>52</v>
      </c>
      <c r="G117" t="s">
        <v>75</v>
      </c>
      <c r="H117" t="s">
        <v>54</v>
      </c>
      <c r="I117">
        <v>120000</v>
      </c>
      <c r="J117">
        <v>0</v>
      </c>
      <c r="K117">
        <v>0</v>
      </c>
      <c r="L117" t="s">
        <v>59</v>
      </c>
      <c r="M117" t="s">
        <v>26</v>
      </c>
      <c r="N117">
        <v>30</v>
      </c>
      <c r="O117">
        <v>0</v>
      </c>
      <c r="P117" t="str">
        <f>IF(T[[#This Row],[qty_ordered]]&lt;&gt;T[[#This Row],[qty_received]],IF(T[[#This Row],[qty_received]]&gt;0,"Partial Received","Not Receviced"),"FullyReceived")</f>
        <v>Not Receviced</v>
      </c>
      <c r="Q117" t="str">
        <f>IF(T[[#This Row],[qty_received]]&lt;&gt;T[[#This Row],[qty_invoiced]],IF(T[[#This Row],[qty_invoiced]]&gt;0,"Partial Invoiced","Not Invoiced"),"Fully Invoiced")</f>
        <v>Fully Invoiced</v>
      </c>
      <c r="R117" t="str">
        <f>IFERROR(VLOOKUP(T[[#This Row],[warehouse]],Table2[],2,FALSE),"--")</f>
        <v>--</v>
      </c>
    </row>
    <row r="118" spans="1:18" x14ac:dyDescent="0.25">
      <c r="A118" t="s">
        <v>208</v>
      </c>
      <c r="B118" s="1">
        <v>43478</v>
      </c>
      <c r="C118" t="s">
        <v>215</v>
      </c>
      <c r="D118" t="s">
        <v>100</v>
      </c>
      <c r="E118" t="s">
        <v>51</v>
      </c>
      <c r="F118" t="s">
        <v>52</v>
      </c>
      <c r="G118" t="s">
        <v>75</v>
      </c>
      <c r="H118" t="s">
        <v>54</v>
      </c>
      <c r="I118">
        <v>120</v>
      </c>
      <c r="J118">
        <v>0</v>
      </c>
      <c r="K118">
        <v>0</v>
      </c>
      <c r="L118" t="s">
        <v>59</v>
      </c>
      <c r="M118" t="s">
        <v>26</v>
      </c>
      <c r="N118">
        <v>2000</v>
      </c>
      <c r="O118">
        <v>0</v>
      </c>
      <c r="P118" t="str">
        <f>IF(T[[#This Row],[qty_ordered]]&lt;&gt;T[[#This Row],[qty_received]],IF(T[[#This Row],[qty_received]]&gt;0,"Partial Received","Not Receviced"),"FullyReceived")</f>
        <v>Not Receviced</v>
      </c>
      <c r="Q118" t="str">
        <f>IF(T[[#This Row],[qty_received]]&lt;&gt;T[[#This Row],[qty_invoiced]],IF(T[[#This Row],[qty_invoiced]]&gt;0,"Partial Invoiced","Not Invoiced"),"Fully Invoiced")</f>
        <v>Fully Invoiced</v>
      </c>
      <c r="R118" t="str">
        <f>IFERROR(VLOOKUP(T[[#This Row],[warehouse]],Table2[],2,FALSE),"--")</f>
        <v>--</v>
      </c>
    </row>
    <row r="119" spans="1:18" x14ac:dyDescent="0.25">
      <c r="A119" t="s">
        <v>208</v>
      </c>
      <c r="B119" s="1">
        <v>43478</v>
      </c>
      <c r="C119" t="s">
        <v>215</v>
      </c>
      <c r="D119" t="s">
        <v>88</v>
      </c>
      <c r="E119" t="s">
        <v>51</v>
      </c>
      <c r="F119" t="s">
        <v>52</v>
      </c>
      <c r="G119" t="s">
        <v>75</v>
      </c>
      <c r="H119" t="s">
        <v>54</v>
      </c>
      <c r="I119">
        <v>1</v>
      </c>
      <c r="J119">
        <v>0</v>
      </c>
      <c r="K119">
        <v>0</v>
      </c>
      <c r="L119" t="s">
        <v>59</v>
      </c>
      <c r="M119" t="s">
        <v>26</v>
      </c>
      <c r="N119">
        <v>15000</v>
      </c>
      <c r="O119">
        <v>0</v>
      </c>
      <c r="P119" t="str">
        <f>IF(T[[#This Row],[qty_ordered]]&lt;&gt;T[[#This Row],[qty_received]],IF(T[[#This Row],[qty_received]]&gt;0,"Partial Received","Not Receviced"),"FullyReceived")</f>
        <v>Not Receviced</v>
      </c>
      <c r="Q119" t="str">
        <f>IF(T[[#This Row],[qty_received]]&lt;&gt;T[[#This Row],[qty_invoiced]],IF(T[[#This Row],[qty_invoiced]]&gt;0,"Partial Invoiced","Not Invoiced"),"Fully Invoiced")</f>
        <v>Fully Invoiced</v>
      </c>
      <c r="R119" t="str">
        <f>IFERROR(VLOOKUP(T[[#This Row],[warehouse]],Table2[],2,FALSE),"--")</f>
        <v>--</v>
      </c>
    </row>
    <row r="120" spans="1:18" x14ac:dyDescent="0.25">
      <c r="A120" t="s">
        <v>208</v>
      </c>
      <c r="B120" s="1">
        <v>43478</v>
      </c>
      <c r="C120" t="s">
        <v>215</v>
      </c>
      <c r="D120" t="s">
        <v>74</v>
      </c>
      <c r="E120" t="s">
        <v>51</v>
      </c>
      <c r="F120" t="s">
        <v>52</v>
      </c>
      <c r="G120" t="s">
        <v>75</v>
      </c>
      <c r="H120" t="s">
        <v>54</v>
      </c>
      <c r="I120">
        <v>1</v>
      </c>
      <c r="J120">
        <v>0</v>
      </c>
      <c r="K120">
        <v>0</v>
      </c>
      <c r="L120" t="s">
        <v>59</v>
      </c>
      <c r="M120" t="s">
        <v>26</v>
      </c>
      <c r="N120">
        <v>6500</v>
      </c>
      <c r="O120">
        <v>0</v>
      </c>
      <c r="P120" t="str">
        <f>IF(T[[#This Row],[qty_ordered]]&lt;&gt;T[[#This Row],[qty_received]],IF(T[[#This Row],[qty_received]]&gt;0,"Partial Received","Not Receviced"),"FullyReceived")</f>
        <v>Not Receviced</v>
      </c>
      <c r="Q120" t="str">
        <f>IF(T[[#This Row],[qty_received]]&lt;&gt;T[[#This Row],[qty_invoiced]],IF(T[[#This Row],[qty_invoiced]]&gt;0,"Partial Invoiced","Not Invoiced"),"Fully Invoiced")</f>
        <v>Fully Invoiced</v>
      </c>
      <c r="R120" t="str">
        <f>IFERROR(VLOOKUP(T[[#This Row],[warehouse]],Table2[],2,FALSE),"--")</f>
        <v>--</v>
      </c>
    </row>
    <row r="121" spans="1:18" x14ac:dyDescent="0.25">
      <c r="A121" t="s">
        <v>208</v>
      </c>
      <c r="B121" s="1">
        <v>43478</v>
      </c>
      <c r="C121" t="s">
        <v>215</v>
      </c>
      <c r="D121" t="s">
        <v>76</v>
      </c>
      <c r="E121" t="s">
        <v>51</v>
      </c>
      <c r="F121" t="s">
        <v>52</v>
      </c>
      <c r="G121" t="s">
        <v>75</v>
      </c>
      <c r="H121" t="s">
        <v>54</v>
      </c>
      <c r="I121">
        <v>1</v>
      </c>
      <c r="J121">
        <v>0</v>
      </c>
      <c r="K121">
        <v>0</v>
      </c>
      <c r="L121" t="s">
        <v>59</v>
      </c>
      <c r="M121" t="s">
        <v>26</v>
      </c>
      <c r="N121">
        <v>32000</v>
      </c>
      <c r="O121">
        <v>0</v>
      </c>
      <c r="P121" t="str">
        <f>IF(T[[#This Row],[qty_ordered]]&lt;&gt;T[[#This Row],[qty_received]],IF(T[[#This Row],[qty_received]]&gt;0,"Partial Received","Not Receviced"),"FullyReceived")</f>
        <v>Not Receviced</v>
      </c>
      <c r="Q121" t="str">
        <f>IF(T[[#This Row],[qty_received]]&lt;&gt;T[[#This Row],[qty_invoiced]],IF(T[[#This Row],[qty_invoiced]]&gt;0,"Partial Invoiced","Not Invoiced"),"Fully Invoiced")</f>
        <v>Fully Invoiced</v>
      </c>
      <c r="R121" t="str">
        <f>IFERROR(VLOOKUP(T[[#This Row],[warehouse]],Table2[],2,FALSE),"--")</f>
        <v>--</v>
      </c>
    </row>
    <row r="122" spans="1:18" x14ac:dyDescent="0.25">
      <c r="A122" t="s">
        <v>160</v>
      </c>
      <c r="B122" s="1">
        <v>43457</v>
      </c>
      <c r="C122" t="s">
        <v>216</v>
      </c>
      <c r="D122" t="s">
        <v>71</v>
      </c>
      <c r="E122" t="s">
        <v>146</v>
      </c>
      <c r="F122" t="s">
        <v>47</v>
      </c>
      <c r="G122" t="s">
        <v>48</v>
      </c>
      <c r="H122" t="s">
        <v>24</v>
      </c>
      <c r="I122">
        <v>75</v>
      </c>
      <c r="J122">
        <v>72.921999999999997</v>
      </c>
      <c r="K122">
        <v>72.92</v>
      </c>
      <c r="L122" t="s">
        <v>25</v>
      </c>
      <c r="M122" t="s">
        <v>26</v>
      </c>
      <c r="N122">
        <v>30855</v>
      </c>
      <c r="O122">
        <v>2250008.31</v>
      </c>
      <c r="P122" t="str">
        <f>IF(T[[#This Row],[qty_ordered]]&lt;&gt;T[[#This Row],[qty_received]],IF(T[[#This Row],[qty_received]]&gt;0,"Partial Received","Not Receviced"),"FullyReceived")</f>
        <v>Partial Received</v>
      </c>
      <c r="Q122" t="str">
        <f>IF(T[[#This Row],[qty_received]]&lt;&gt;T[[#This Row],[qty_invoiced]],IF(T[[#This Row],[qty_invoiced]]&gt;0,"Partial Invoiced","Not Invoiced"),"Fully Invoiced")</f>
        <v>Partial Invoiced</v>
      </c>
      <c r="R122" t="str">
        <f>IFERROR(VLOOKUP(T[[#This Row],[warehouse]],Table2[],2,FALSE),"--")</f>
        <v>Khtoum Main Warehouse</v>
      </c>
    </row>
    <row r="123" spans="1:18" x14ac:dyDescent="0.25">
      <c r="A123" t="s">
        <v>208</v>
      </c>
      <c r="B123" s="1">
        <v>43478</v>
      </c>
      <c r="C123" t="s">
        <v>215</v>
      </c>
      <c r="D123" t="s">
        <v>212</v>
      </c>
      <c r="E123" t="s">
        <v>51</v>
      </c>
      <c r="F123" t="s">
        <v>52</v>
      </c>
      <c r="G123" t="s">
        <v>75</v>
      </c>
      <c r="H123" t="s">
        <v>54</v>
      </c>
      <c r="I123">
        <v>1</v>
      </c>
      <c r="J123">
        <v>0</v>
      </c>
      <c r="K123">
        <v>0</v>
      </c>
      <c r="L123" t="s">
        <v>59</v>
      </c>
      <c r="M123" t="s">
        <v>26</v>
      </c>
      <c r="N123">
        <v>124000</v>
      </c>
      <c r="O123">
        <v>0</v>
      </c>
      <c r="P123" t="str">
        <f>IF(T[[#This Row],[qty_ordered]]&lt;&gt;T[[#This Row],[qty_received]],IF(T[[#This Row],[qty_received]]&gt;0,"Partial Received","Not Receviced"),"FullyReceived")</f>
        <v>Not Receviced</v>
      </c>
      <c r="Q123" t="str">
        <f>IF(T[[#This Row],[qty_received]]&lt;&gt;T[[#This Row],[qty_invoiced]],IF(T[[#This Row],[qty_invoiced]]&gt;0,"Partial Invoiced","Not Invoiced"),"Fully Invoiced")</f>
        <v>Fully Invoiced</v>
      </c>
      <c r="R123" t="str">
        <f>IFERROR(VLOOKUP(T[[#This Row],[warehouse]],Table2[],2,FALSE),"--")</f>
        <v>--</v>
      </c>
    </row>
    <row r="124" spans="1:18" x14ac:dyDescent="0.25">
      <c r="A124" t="s">
        <v>208</v>
      </c>
      <c r="B124" s="1">
        <v>43496</v>
      </c>
      <c r="C124" t="s">
        <v>217</v>
      </c>
      <c r="D124" t="s">
        <v>20</v>
      </c>
      <c r="E124" t="s">
        <v>218</v>
      </c>
      <c r="F124" t="s">
        <v>219</v>
      </c>
      <c r="G124" t="s">
        <v>220</v>
      </c>
      <c r="H124" t="s">
        <v>221</v>
      </c>
      <c r="I124">
        <v>140000</v>
      </c>
      <c r="J124">
        <v>0</v>
      </c>
      <c r="K124">
        <v>0</v>
      </c>
      <c r="L124" t="s">
        <v>59</v>
      </c>
      <c r="M124" t="s">
        <v>26</v>
      </c>
      <c r="N124">
        <v>2500</v>
      </c>
      <c r="O124">
        <v>0</v>
      </c>
      <c r="P124" t="str">
        <f>IF(T[[#This Row],[qty_ordered]]&lt;&gt;T[[#This Row],[qty_received]],IF(T[[#This Row],[qty_received]]&gt;0,"Partial Received","Not Receviced"),"FullyReceived")</f>
        <v>Not Receviced</v>
      </c>
      <c r="Q124" t="str">
        <f>IF(T[[#This Row],[qty_received]]&lt;&gt;T[[#This Row],[qty_invoiced]],IF(T[[#This Row],[qty_invoiced]]&gt;0,"Partial Invoiced","Not Invoiced"),"Fully Invoiced")</f>
        <v>Fully Invoiced</v>
      </c>
      <c r="R124" t="str">
        <f>IFERROR(VLOOKUP(T[[#This Row],[warehouse]],Table2[],2,FALSE),"--")</f>
        <v>--</v>
      </c>
    </row>
    <row r="125" spans="1:18" x14ac:dyDescent="0.25">
      <c r="A125" t="s">
        <v>208</v>
      </c>
      <c r="B125" s="1">
        <v>43496</v>
      </c>
      <c r="C125" t="s">
        <v>222</v>
      </c>
      <c r="D125" t="s">
        <v>20</v>
      </c>
      <c r="E125" t="s">
        <v>218</v>
      </c>
      <c r="F125" t="s">
        <v>219</v>
      </c>
      <c r="G125" t="s">
        <v>220</v>
      </c>
      <c r="H125" t="s">
        <v>221</v>
      </c>
      <c r="I125">
        <v>8000</v>
      </c>
      <c r="J125">
        <v>0</v>
      </c>
      <c r="K125">
        <v>0</v>
      </c>
      <c r="L125" t="s">
        <v>59</v>
      </c>
      <c r="M125" t="s">
        <v>26</v>
      </c>
      <c r="N125">
        <v>2500</v>
      </c>
      <c r="O125">
        <v>0</v>
      </c>
      <c r="P125" t="str">
        <f>IF(T[[#This Row],[qty_ordered]]&lt;&gt;T[[#This Row],[qty_received]],IF(T[[#This Row],[qty_received]]&gt;0,"Partial Received","Not Receviced"),"FullyReceived")</f>
        <v>Not Receviced</v>
      </c>
      <c r="Q125" t="str">
        <f>IF(T[[#This Row],[qty_received]]&lt;&gt;T[[#This Row],[qty_invoiced]],IF(T[[#This Row],[qty_invoiced]]&gt;0,"Partial Invoiced","Not Invoiced"),"Fully Invoiced")</f>
        <v>Fully Invoiced</v>
      </c>
      <c r="R125" t="str">
        <f>IFERROR(VLOOKUP(T[[#This Row],[warehouse]],Table2[],2,FALSE),"--")</f>
        <v>--</v>
      </c>
    </row>
    <row r="126" spans="1:18" x14ac:dyDescent="0.25">
      <c r="A126" t="s">
        <v>208</v>
      </c>
      <c r="B126" s="1">
        <v>43496</v>
      </c>
      <c r="C126" t="s">
        <v>223</v>
      </c>
      <c r="D126" t="s">
        <v>20</v>
      </c>
      <c r="E126" t="s">
        <v>218</v>
      </c>
      <c r="F126" t="s">
        <v>219</v>
      </c>
      <c r="G126" t="s">
        <v>220</v>
      </c>
      <c r="H126" t="s">
        <v>221</v>
      </c>
      <c r="I126">
        <v>80000</v>
      </c>
      <c r="J126">
        <v>0</v>
      </c>
      <c r="K126">
        <v>0</v>
      </c>
      <c r="L126" t="s">
        <v>59</v>
      </c>
      <c r="M126" t="s">
        <v>26</v>
      </c>
      <c r="N126">
        <v>2500</v>
      </c>
      <c r="O126">
        <v>0</v>
      </c>
      <c r="P126" t="str">
        <f>IF(T[[#This Row],[qty_ordered]]&lt;&gt;T[[#This Row],[qty_received]],IF(T[[#This Row],[qty_received]]&gt;0,"Partial Received","Not Receviced"),"FullyReceived")</f>
        <v>Not Receviced</v>
      </c>
      <c r="Q126" t="str">
        <f>IF(T[[#This Row],[qty_received]]&lt;&gt;T[[#This Row],[qty_invoiced]],IF(T[[#This Row],[qty_invoiced]]&gt;0,"Partial Invoiced","Not Invoiced"),"Fully Invoiced")</f>
        <v>Fully Invoiced</v>
      </c>
      <c r="R126" t="str">
        <f>IFERROR(VLOOKUP(T[[#This Row],[warehouse]],Table2[],2,FALSE),"--")</f>
        <v>--</v>
      </c>
    </row>
    <row r="127" spans="1:18" x14ac:dyDescent="0.25">
      <c r="A127" t="s">
        <v>224</v>
      </c>
      <c r="B127" s="1">
        <v>43496</v>
      </c>
      <c r="C127" t="s">
        <v>225</v>
      </c>
      <c r="D127" t="s">
        <v>20</v>
      </c>
      <c r="E127" t="s">
        <v>51</v>
      </c>
      <c r="F127" t="s">
        <v>183</v>
      </c>
      <c r="G127" t="s">
        <v>183</v>
      </c>
      <c r="H127" t="s">
        <v>54</v>
      </c>
      <c r="I127">
        <v>600.44000000000005</v>
      </c>
      <c r="J127">
        <v>0</v>
      </c>
      <c r="K127">
        <v>1</v>
      </c>
      <c r="L127" t="s">
        <v>25</v>
      </c>
      <c r="M127" t="s">
        <v>26</v>
      </c>
      <c r="N127">
        <v>575</v>
      </c>
      <c r="O127">
        <v>0</v>
      </c>
      <c r="P127" t="str">
        <f>IF(T[[#This Row],[qty_ordered]]&lt;&gt;T[[#This Row],[qty_received]],IF(T[[#This Row],[qty_received]]&gt;0,"Partial Received","Not Receviced"),"FullyReceived")</f>
        <v>Not Receviced</v>
      </c>
      <c r="Q127" t="str">
        <f>IF(T[[#This Row],[qty_received]]&lt;&gt;T[[#This Row],[qty_invoiced]],IF(T[[#This Row],[qty_invoiced]]&gt;0,"Partial Invoiced","Not Invoiced"),"Fully Invoiced")</f>
        <v>Partial Invoiced</v>
      </c>
      <c r="R127" t="str">
        <f>IFERROR(VLOOKUP(T[[#This Row],[warehouse]],Table2[],2,FALSE),"--")</f>
        <v>--</v>
      </c>
    </row>
    <row r="128" spans="1:18" x14ac:dyDescent="0.25">
      <c r="A128" t="s">
        <v>84</v>
      </c>
      <c r="B128" s="1">
        <v>43446</v>
      </c>
      <c r="C128" t="s">
        <v>193</v>
      </c>
      <c r="D128" t="s">
        <v>74</v>
      </c>
      <c r="E128" t="s">
        <v>226</v>
      </c>
      <c r="F128" t="s">
        <v>108</v>
      </c>
      <c r="G128" t="s">
        <v>109</v>
      </c>
      <c r="H128" t="s">
        <v>24</v>
      </c>
      <c r="I128">
        <v>506.12</v>
      </c>
      <c r="J128">
        <v>506.12</v>
      </c>
      <c r="K128">
        <v>506.12</v>
      </c>
      <c r="L128" t="s">
        <v>25</v>
      </c>
      <c r="M128" t="s">
        <v>132</v>
      </c>
      <c r="N128">
        <v>71200</v>
      </c>
      <c r="O128">
        <v>0</v>
      </c>
      <c r="P128" t="str">
        <f>IF(T[[#This Row],[qty_ordered]]&lt;&gt;T[[#This Row],[qty_received]],IF(T[[#This Row],[qty_received]]&gt;0,"Partial Received","Not Receviced"),"FullyReceived")</f>
        <v>FullyReceived</v>
      </c>
      <c r="Q128" t="str">
        <f>IF(T[[#This Row],[qty_received]]&lt;&gt;T[[#This Row],[qty_invoiced]],IF(T[[#This Row],[qty_invoiced]]&gt;0,"Partial Invoiced","Not Invoiced"),"Fully Invoiced")</f>
        <v>Fully Invoiced</v>
      </c>
      <c r="R128" t="str">
        <f>IFERROR(VLOOKUP(T[[#This Row],[warehouse]],Table2[],2,FALSE),"--")</f>
        <v>Karrar Sorting and Sifting - OMD</v>
      </c>
    </row>
    <row r="129" spans="1:18" x14ac:dyDescent="0.25">
      <c r="A129" t="s">
        <v>160</v>
      </c>
      <c r="B129" s="1">
        <v>43499</v>
      </c>
      <c r="C129" t="s">
        <v>227</v>
      </c>
      <c r="D129" t="s">
        <v>71</v>
      </c>
      <c r="E129" t="s">
        <v>192</v>
      </c>
      <c r="F129" t="s">
        <v>47</v>
      </c>
      <c r="G129" t="s">
        <v>48</v>
      </c>
      <c r="H129" t="s">
        <v>24</v>
      </c>
      <c r="I129">
        <v>800</v>
      </c>
      <c r="J129">
        <v>354.4</v>
      </c>
      <c r="K129">
        <v>354.4</v>
      </c>
      <c r="L129" t="s">
        <v>25</v>
      </c>
      <c r="M129" t="s">
        <v>26</v>
      </c>
      <c r="N129">
        <v>30855</v>
      </c>
      <c r="O129">
        <v>10935012</v>
      </c>
      <c r="P129" t="str">
        <f>IF(T[[#This Row],[qty_ordered]]&lt;&gt;T[[#This Row],[qty_received]],IF(T[[#This Row],[qty_received]]&gt;0,"Partial Received","Not Receviced"),"FullyReceived")</f>
        <v>Partial Received</v>
      </c>
      <c r="Q129" t="str">
        <f>IF(T[[#This Row],[qty_received]]&lt;&gt;T[[#This Row],[qty_invoiced]],IF(T[[#This Row],[qty_invoiced]]&gt;0,"Partial Invoiced","Not Invoiced"),"Fully Invoiced")</f>
        <v>Fully Invoiced</v>
      </c>
      <c r="R129" t="str">
        <f>IFERROR(VLOOKUP(T[[#This Row],[warehouse]],Table2[],2,FALSE),"--")</f>
        <v>BAYADER SIFTER-OMD</v>
      </c>
    </row>
    <row r="130" spans="1:18" x14ac:dyDescent="0.25">
      <c r="A130" t="s">
        <v>228</v>
      </c>
      <c r="B130" s="1">
        <v>43500</v>
      </c>
      <c r="C130" t="s">
        <v>229</v>
      </c>
      <c r="D130" t="s">
        <v>20</v>
      </c>
      <c r="E130" t="s">
        <v>36</v>
      </c>
      <c r="F130" t="s">
        <v>230</v>
      </c>
      <c r="G130" t="s">
        <v>231</v>
      </c>
      <c r="H130" t="s">
        <v>24</v>
      </c>
      <c r="I130">
        <v>214.99</v>
      </c>
      <c r="J130">
        <v>214.99</v>
      </c>
      <c r="K130">
        <v>214.99</v>
      </c>
      <c r="L130" t="s">
        <v>25</v>
      </c>
      <c r="M130" t="s">
        <v>132</v>
      </c>
      <c r="N130">
        <v>100792.5</v>
      </c>
      <c r="O130">
        <v>21669379.574999999</v>
      </c>
      <c r="P130" t="str">
        <f>IF(T[[#This Row],[qty_ordered]]&lt;&gt;T[[#This Row],[qty_received]],IF(T[[#This Row],[qty_received]]&gt;0,"Partial Received","Not Receviced"),"FullyReceived")</f>
        <v>FullyReceived</v>
      </c>
      <c r="Q130" t="str">
        <f>IF(T[[#This Row],[qty_received]]&lt;&gt;T[[#This Row],[qty_invoiced]],IF(T[[#This Row],[qty_invoiced]]&gt;0,"Partial Invoiced","Not Invoiced"),"Fully Invoiced")</f>
        <v>Fully Invoiced</v>
      </c>
      <c r="R130" t="str">
        <f>IFERROR(VLOOKUP(T[[#This Row],[warehouse]],Table2[],2,FALSE),"--")</f>
        <v>Sifter Gadarif -Copen</v>
      </c>
    </row>
    <row r="131" spans="1:18" x14ac:dyDescent="0.25">
      <c r="A131" t="s">
        <v>232</v>
      </c>
      <c r="B131" s="1">
        <v>43458</v>
      </c>
      <c r="C131" t="s">
        <v>233</v>
      </c>
      <c r="D131" t="s">
        <v>71</v>
      </c>
      <c r="E131" t="s">
        <v>46</v>
      </c>
      <c r="F131" t="s">
        <v>108</v>
      </c>
      <c r="G131" t="s">
        <v>109</v>
      </c>
      <c r="H131" t="s">
        <v>24</v>
      </c>
      <c r="I131">
        <v>488.76</v>
      </c>
      <c r="J131">
        <v>488.76</v>
      </c>
      <c r="K131">
        <v>488.76</v>
      </c>
      <c r="L131" t="s">
        <v>25</v>
      </c>
      <c r="M131" t="s">
        <v>132</v>
      </c>
      <c r="N131">
        <v>34567.5</v>
      </c>
      <c r="O131">
        <v>16895211.300000001</v>
      </c>
      <c r="P131" t="str">
        <f>IF(T[[#This Row],[qty_ordered]]&lt;&gt;T[[#This Row],[qty_received]],IF(T[[#This Row],[qty_received]]&gt;0,"Partial Received","Not Receviced"),"FullyReceived")</f>
        <v>FullyReceived</v>
      </c>
      <c r="Q131" t="str">
        <f>IF(T[[#This Row],[qty_received]]&lt;&gt;T[[#This Row],[qty_invoiced]],IF(T[[#This Row],[qty_invoiced]]&gt;0,"Partial Invoiced","Not Invoiced"),"Fully Invoiced")</f>
        <v>Fully Invoiced</v>
      </c>
      <c r="R131" t="str">
        <f>IFERROR(VLOOKUP(T[[#This Row],[warehouse]],Table2[],2,FALSE),"--")</f>
        <v xml:space="preserve">Sifter PZU - Tabil </v>
      </c>
    </row>
    <row r="132" spans="1:18" x14ac:dyDescent="0.25">
      <c r="A132" t="s">
        <v>144</v>
      </c>
      <c r="B132" s="1">
        <v>43500</v>
      </c>
      <c r="C132" t="s">
        <v>234</v>
      </c>
      <c r="D132" t="s">
        <v>20</v>
      </c>
      <c r="E132" t="s">
        <v>146</v>
      </c>
      <c r="F132" t="s">
        <v>147</v>
      </c>
      <c r="G132" t="s">
        <v>148</v>
      </c>
      <c r="H132" t="s">
        <v>149</v>
      </c>
      <c r="I132">
        <v>102000</v>
      </c>
      <c r="J132">
        <v>63600</v>
      </c>
      <c r="K132">
        <v>63600</v>
      </c>
      <c r="L132" t="s">
        <v>25</v>
      </c>
      <c r="M132" t="s">
        <v>150</v>
      </c>
      <c r="N132">
        <v>13.62</v>
      </c>
      <c r="O132">
        <v>843912</v>
      </c>
      <c r="P132" t="str">
        <f>IF(T[[#This Row],[qty_ordered]]&lt;&gt;T[[#This Row],[qty_received]],IF(T[[#This Row],[qty_received]]&gt;0,"Partial Received","Not Receviced"),"FullyReceived")</f>
        <v>Partial Received</v>
      </c>
      <c r="Q132" t="str">
        <f>IF(T[[#This Row],[qty_received]]&lt;&gt;T[[#This Row],[qty_invoiced]],IF(T[[#This Row],[qty_invoiced]]&gt;0,"Partial Invoiced","Not Invoiced"),"Fully Invoiced")</f>
        <v>Fully Invoiced</v>
      </c>
      <c r="R132" t="str">
        <f>IFERROR(VLOOKUP(T[[#This Row],[warehouse]],Table2[],2,FALSE),"--")</f>
        <v>Khtoum Main Warehouse</v>
      </c>
    </row>
    <row r="133" spans="1:18" x14ac:dyDescent="0.25">
      <c r="A133" t="s">
        <v>144</v>
      </c>
      <c r="B133" s="1">
        <v>43500</v>
      </c>
      <c r="C133" t="s">
        <v>234</v>
      </c>
      <c r="D133" t="s">
        <v>71</v>
      </c>
      <c r="E133" t="s">
        <v>146</v>
      </c>
      <c r="F133" t="s">
        <v>151</v>
      </c>
      <c r="G133" t="s">
        <v>152</v>
      </c>
      <c r="H133" t="s">
        <v>149</v>
      </c>
      <c r="I133">
        <v>84000</v>
      </c>
      <c r="J133">
        <v>84000</v>
      </c>
      <c r="K133">
        <v>84000</v>
      </c>
      <c r="L133" t="s">
        <v>25</v>
      </c>
      <c r="M133" t="s">
        <v>150</v>
      </c>
      <c r="N133">
        <v>13.62</v>
      </c>
      <c r="O133">
        <v>1133199</v>
      </c>
      <c r="P133" t="str">
        <f>IF(T[[#This Row],[qty_ordered]]&lt;&gt;T[[#This Row],[qty_received]],IF(T[[#This Row],[qty_received]]&gt;0,"Partial Received","Not Receviced"),"FullyReceived")</f>
        <v>FullyReceived</v>
      </c>
      <c r="Q133" t="str">
        <f>IF(T[[#This Row],[qty_received]]&lt;&gt;T[[#This Row],[qty_invoiced]],IF(T[[#This Row],[qty_invoiced]]&gt;0,"Partial Invoiced","Not Invoiced"),"Fully Invoiced")</f>
        <v>Fully Invoiced</v>
      </c>
      <c r="R133" t="str">
        <f>IFERROR(VLOOKUP(T[[#This Row],[warehouse]],Table2[],2,FALSE),"--")</f>
        <v>Khtoum Main Warehouse</v>
      </c>
    </row>
    <row r="134" spans="1:18" x14ac:dyDescent="0.25">
      <c r="A134" t="s">
        <v>235</v>
      </c>
      <c r="B134" s="1">
        <v>43492</v>
      </c>
      <c r="C134" t="s">
        <v>236</v>
      </c>
      <c r="D134" t="s">
        <v>20</v>
      </c>
      <c r="E134" t="s">
        <v>51</v>
      </c>
      <c r="F134" t="s">
        <v>52</v>
      </c>
      <c r="G134" t="s">
        <v>75</v>
      </c>
      <c r="H134" t="s">
        <v>54</v>
      </c>
      <c r="I134">
        <v>10000</v>
      </c>
      <c r="J134">
        <v>0</v>
      </c>
      <c r="K134">
        <v>1</v>
      </c>
      <c r="L134" t="s">
        <v>25</v>
      </c>
      <c r="M134" t="s">
        <v>26</v>
      </c>
      <c r="N134">
        <v>2.95</v>
      </c>
      <c r="O134">
        <v>0</v>
      </c>
      <c r="P134" t="str">
        <f>IF(T[[#This Row],[qty_ordered]]&lt;&gt;T[[#This Row],[qty_received]],IF(T[[#This Row],[qty_received]]&gt;0,"Partial Received","Not Receviced"),"FullyReceived")</f>
        <v>Not Receviced</v>
      </c>
      <c r="Q134" t="str">
        <f>IF(T[[#This Row],[qty_received]]&lt;&gt;T[[#This Row],[qty_invoiced]],IF(T[[#This Row],[qty_invoiced]]&gt;0,"Partial Invoiced","Not Invoiced"),"Fully Invoiced")</f>
        <v>Partial Invoiced</v>
      </c>
      <c r="R134" t="str">
        <f>IFERROR(VLOOKUP(T[[#This Row],[warehouse]],Table2[],2,FALSE),"--")</f>
        <v>--</v>
      </c>
    </row>
    <row r="135" spans="1:18" x14ac:dyDescent="0.25">
      <c r="A135" t="s">
        <v>153</v>
      </c>
      <c r="B135" s="1">
        <v>43440</v>
      </c>
      <c r="C135" t="s">
        <v>154</v>
      </c>
      <c r="D135" t="s">
        <v>71</v>
      </c>
      <c r="E135" t="s">
        <v>21</v>
      </c>
      <c r="F135" t="s">
        <v>167</v>
      </c>
      <c r="G135" t="s">
        <v>156</v>
      </c>
      <c r="H135" t="s">
        <v>24</v>
      </c>
      <c r="I135">
        <v>300</v>
      </c>
      <c r="J135">
        <v>254.66</v>
      </c>
      <c r="K135">
        <v>254.66</v>
      </c>
      <c r="L135" t="s">
        <v>25</v>
      </c>
      <c r="M135" t="s">
        <v>26</v>
      </c>
      <c r="N135">
        <v>65120</v>
      </c>
      <c r="O135">
        <v>16583459.199999999</v>
      </c>
      <c r="P135" t="str">
        <f>IF(T[[#This Row],[qty_ordered]]&lt;&gt;T[[#This Row],[qty_received]],IF(T[[#This Row],[qty_received]]&gt;0,"Partial Received","Not Receviced"),"FullyReceived")</f>
        <v>Partial Received</v>
      </c>
      <c r="Q135" t="str">
        <f>IF(T[[#This Row],[qty_received]]&lt;&gt;T[[#This Row],[qty_invoiced]],IF(T[[#This Row],[qty_invoiced]]&gt;0,"Partial Invoiced","Not Invoiced"),"Fully Invoiced")</f>
        <v>Fully Invoiced</v>
      </c>
      <c r="R135" t="str">
        <f>IFERROR(VLOOKUP(T[[#This Row],[warehouse]],Table2[],2,FALSE),"--")</f>
        <v>Crusher KHN Bitar</v>
      </c>
    </row>
    <row r="136" spans="1:18" x14ac:dyDescent="0.25">
      <c r="A136" t="s">
        <v>144</v>
      </c>
      <c r="B136" s="1">
        <v>43500</v>
      </c>
      <c r="C136" t="s">
        <v>237</v>
      </c>
      <c r="D136" t="s">
        <v>20</v>
      </c>
      <c r="E136" t="s">
        <v>203</v>
      </c>
      <c r="F136" t="s">
        <v>147</v>
      </c>
      <c r="G136" t="s">
        <v>148</v>
      </c>
      <c r="H136" t="s">
        <v>149</v>
      </c>
      <c r="I136">
        <v>48000</v>
      </c>
      <c r="J136">
        <v>30000</v>
      </c>
      <c r="K136">
        <v>30000</v>
      </c>
      <c r="L136" t="s">
        <v>25</v>
      </c>
      <c r="M136" t="s">
        <v>150</v>
      </c>
      <c r="N136">
        <v>14.61</v>
      </c>
      <c r="O136">
        <v>424980</v>
      </c>
      <c r="P136" t="str">
        <f>IF(T[[#This Row],[qty_ordered]]&lt;&gt;T[[#This Row],[qty_received]],IF(T[[#This Row],[qty_received]]&gt;0,"Partial Received","Not Receviced"),"FullyReceived")</f>
        <v>Partial Received</v>
      </c>
      <c r="Q136" t="str">
        <f>IF(T[[#This Row],[qty_received]]&lt;&gt;T[[#This Row],[qty_invoiced]],IF(T[[#This Row],[qty_invoiced]]&gt;0,"Partial Invoiced","Not Invoiced"),"Fully Invoiced")</f>
        <v>Fully Invoiced</v>
      </c>
      <c r="R136" t="str">
        <f>IFERROR(VLOOKUP(T[[#This Row],[warehouse]],Table2[],2,FALSE),"--")</f>
        <v>PZU Packaging Warehouse</v>
      </c>
    </row>
    <row r="137" spans="1:18" x14ac:dyDescent="0.25">
      <c r="A137" t="s">
        <v>144</v>
      </c>
      <c r="B137" s="1">
        <v>43500</v>
      </c>
      <c r="C137" t="s">
        <v>237</v>
      </c>
      <c r="D137" t="s">
        <v>71</v>
      </c>
      <c r="E137" t="s">
        <v>203</v>
      </c>
      <c r="F137" t="s">
        <v>151</v>
      </c>
      <c r="G137" t="s">
        <v>152</v>
      </c>
      <c r="H137" t="s">
        <v>149</v>
      </c>
      <c r="I137">
        <v>24000</v>
      </c>
      <c r="J137">
        <v>24000</v>
      </c>
      <c r="K137">
        <v>24000</v>
      </c>
      <c r="L137" t="s">
        <v>25</v>
      </c>
      <c r="M137" t="s">
        <v>150</v>
      </c>
      <c r="N137">
        <v>13.74</v>
      </c>
      <c r="O137">
        <v>340740</v>
      </c>
      <c r="P137" t="str">
        <f>IF(T[[#This Row],[qty_ordered]]&lt;&gt;T[[#This Row],[qty_received]],IF(T[[#This Row],[qty_received]]&gt;0,"Partial Received","Not Receviced"),"FullyReceived")</f>
        <v>FullyReceived</v>
      </c>
      <c r="Q137" t="str">
        <f>IF(T[[#This Row],[qty_received]]&lt;&gt;T[[#This Row],[qty_invoiced]],IF(T[[#This Row],[qty_invoiced]]&gt;0,"Partial Invoiced","Not Invoiced"),"Fully Invoiced")</f>
        <v>Fully Invoiced</v>
      </c>
      <c r="R137" t="str">
        <f>IFERROR(VLOOKUP(T[[#This Row],[warehouse]],Table2[],2,FALSE),"--")</f>
        <v>PZU Packaging Warehouse</v>
      </c>
    </row>
    <row r="138" spans="1:18" x14ac:dyDescent="0.25">
      <c r="A138" t="s">
        <v>144</v>
      </c>
      <c r="B138" s="1">
        <v>43500</v>
      </c>
      <c r="C138" t="s">
        <v>238</v>
      </c>
      <c r="D138" t="s">
        <v>20</v>
      </c>
      <c r="E138" t="s">
        <v>239</v>
      </c>
      <c r="F138" t="s">
        <v>147</v>
      </c>
      <c r="G138" t="s">
        <v>148</v>
      </c>
      <c r="H138" t="s">
        <v>149</v>
      </c>
      <c r="I138">
        <v>78000</v>
      </c>
      <c r="J138">
        <v>60000</v>
      </c>
      <c r="K138">
        <v>60000</v>
      </c>
      <c r="L138" t="s">
        <v>25</v>
      </c>
      <c r="M138" t="s">
        <v>150</v>
      </c>
      <c r="N138">
        <v>12.69</v>
      </c>
      <c r="O138">
        <v>761400</v>
      </c>
      <c r="P138" t="str">
        <f>IF(T[[#This Row],[qty_ordered]]&lt;&gt;T[[#This Row],[qty_received]],IF(T[[#This Row],[qty_received]]&gt;0,"Partial Received","Not Receviced"),"FullyReceived")</f>
        <v>Partial Received</v>
      </c>
      <c r="Q138" t="str">
        <f>IF(T[[#This Row],[qty_received]]&lt;&gt;T[[#This Row],[qty_invoiced]],IF(T[[#This Row],[qty_invoiced]]&gt;0,"Partial Invoiced","Not Invoiced"),"Fully Invoiced")</f>
        <v>Fully Invoiced</v>
      </c>
      <c r="R138" t="str">
        <f>IFERROR(VLOOKUP(T[[#This Row],[warehouse]],Table2[],2,FALSE),"--")</f>
        <v xml:space="preserve">Gadarif Main Store </v>
      </c>
    </row>
    <row r="139" spans="1:18" x14ac:dyDescent="0.25">
      <c r="A139" t="s">
        <v>187</v>
      </c>
      <c r="B139" s="1">
        <v>43478</v>
      </c>
      <c r="C139" t="s">
        <v>240</v>
      </c>
      <c r="D139" t="s">
        <v>71</v>
      </c>
      <c r="E139" t="s">
        <v>46</v>
      </c>
      <c r="F139" t="s">
        <v>108</v>
      </c>
      <c r="G139" t="s">
        <v>109</v>
      </c>
      <c r="H139" t="s">
        <v>24</v>
      </c>
      <c r="I139">
        <v>400</v>
      </c>
      <c r="J139">
        <v>378.56</v>
      </c>
      <c r="K139">
        <v>378.56</v>
      </c>
      <c r="L139" t="s">
        <v>25</v>
      </c>
      <c r="M139" t="s">
        <v>26</v>
      </c>
      <c r="N139">
        <v>75650</v>
      </c>
      <c r="O139">
        <v>13085872.800000001</v>
      </c>
      <c r="P139" t="str">
        <f>IF(T[[#This Row],[qty_ordered]]&lt;&gt;T[[#This Row],[qty_received]],IF(T[[#This Row],[qty_received]]&gt;0,"Partial Received","Not Receviced"),"FullyReceived")</f>
        <v>Partial Received</v>
      </c>
      <c r="Q139" t="str">
        <f>IF(T[[#This Row],[qty_received]]&lt;&gt;T[[#This Row],[qty_invoiced]],IF(T[[#This Row],[qty_invoiced]]&gt;0,"Partial Invoiced","Not Invoiced"),"Fully Invoiced")</f>
        <v>Fully Invoiced</v>
      </c>
      <c r="R139" t="str">
        <f>IFERROR(VLOOKUP(T[[#This Row],[warehouse]],Table2[],2,FALSE),"--")</f>
        <v xml:space="preserve">Sifter PZU - Tabil </v>
      </c>
    </row>
    <row r="140" spans="1:18" x14ac:dyDescent="0.25">
      <c r="A140" t="s">
        <v>187</v>
      </c>
      <c r="B140" s="1">
        <v>43475</v>
      </c>
      <c r="C140" t="s">
        <v>241</v>
      </c>
      <c r="D140" t="s">
        <v>71</v>
      </c>
      <c r="E140" t="s">
        <v>111</v>
      </c>
      <c r="F140" t="s">
        <v>86</v>
      </c>
      <c r="G140" t="s">
        <v>87</v>
      </c>
      <c r="H140" t="s">
        <v>24</v>
      </c>
      <c r="I140">
        <v>800</v>
      </c>
      <c r="J140">
        <v>762.52</v>
      </c>
      <c r="K140">
        <v>762.52</v>
      </c>
      <c r="L140" t="s">
        <v>25</v>
      </c>
      <c r="M140" t="s">
        <v>26</v>
      </c>
      <c r="N140">
        <v>82325</v>
      </c>
      <c r="O140">
        <v>28224677.800000001</v>
      </c>
      <c r="P140" t="str">
        <f>IF(T[[#This Row],[qty_ordered]]&lt;&gt;T[[#This Row],[qty_received]],IF(T[[#This Row],[qty_received]]&gt;0,"Partial Received","Not Receviced"),"FullyReceived")</f>
        <v>Partial Received</v>
      </c>
      <c r="Q140" t="str">
        <f>IF(T[[#This Row],[qty_received]]&lt;&gt;T[[#This Row],[qty_invoiced]],IF(T[[#This Row],[qty_invoiced]]&gt;0,"Partial Invoiced","Not Invoiced"),"Fully Invoiced")</f>
        <v>Fully Invoiced</v>
      </c>
      <c r="R140" t="str">
        <f>IFERROR(VLOOKUP(T[[#This Row],[warehouse]],Table2[],2,FALSE),"--")</f>
        <v>Sifting PZU-Al Jawhra</v>
      </c>
    </row>
    <row r="141" spans="1:18" x14ac:dyDescent="0.25">
      <c r="A141" t="s">
        <v>242</v>
      </c>
      <c r="B141" s="1">
        <v>43501</v>
      </c>
      <c r="C141" t="s">
        <v>243</v>
      </c>
      <c r="D141" t="s">
        <v>20</v>
      </c>
      <c r="E141" t="s">
        <v>66</v>
      </c>
      <c r="F141" t="s">
        <v>244</v>
      </c>
      <c r="G141" t="s">
        <v>245</v>
      </c>
      <c r="H141" t="s">
        <v>24</v>
      </c>
      <c r="I141">
        <v>1230.7</v>
      </c>
      <c r="J141">
        <v>1230.7</v>
      </c>
      <c r="K141">
        <v>1230.7</v>
      </c>
      <c r="L141" t="s">
        <v>25</v>
      </c>
      <c r="M141" t="s">
        <v>132</v>
      </c>
      <c r="N141">
        <v>97000</v>
      </c>
      <c r="O141">
        <v>119377900</v>
      </c>
      <c r="P141" t="str">
        <f>IF(T[[#This Row],[qty_ordered]]&lt;&gt;T[[#This Row],[qty_received]],IF(T[[#This Row],[qty_received]]&gt;0,"Partial Received","Not Receviced"),"FullyReceived")</f>
        <v>FullyReceived</v>
      </c>
      <c r="Q141" t="str">
        <f>IF(T[[#This Row],[qty_received]]&lt;&gt;T[[#This Row],[qty_invoiced]],IF(T[[#This Row],[qty_invoiced]]&gt;0,"Partial Invoiced","Not Invoiced"),"Fully Invoiced")</f>
        <v>Fully Invoiced</v>
      </c>
      <c r="R141" t="str">
        <f>IFERROR(VLOOKUP(T[[#This Row],[warehouse]],Table2[],2,FALSE),"--")</f>
        <v>PZU Main Warehouse</v>
      </c>
    </row>
    <row r="142" spans="1:18" x14ac:dyDescent="0.25">
      <c r="A142" t="s">
        <v>140</v>
      </c>
      <c r="B142" s="1">
        <v>43507</v>
      </c>
      <c r="C142" t="s">
        <v>246</v>
      </c>
      <c r="D142" t="s">
        <v>20</v>
      </c>
      <c r="E142" t="s">
        <v>51</v>
      </c>
      <c r="F142" t="s">
        <v>247</v>
      </c>
      <c r="G142" t="s">
        <v>247</v>
      </c>
      <c r="H142" t="s">
        <v>54</v>
      </c>
      <c r="I142">
        <v>572.86300000000006</v>
      </c>
      <c r="J142">
        <v>0</v>
      </c>
      <c r="K142">
        <v>1</v>
      </c>
      <c r="L142" t="s">
        <v>25</v>
      </c>
      <c r="M142" t="s">
        <v>26</v>
      </c>
      <c r="N142">
        <v>1100</v>
      </c>
      <c r="O142">
        <v>0</v>
      </c>
      <c r="P142" t="str">
        <f>IF(T[[#This Row],[qty_ordered]]&lt;&gt;T[[#This Row],[qty_received]],IF(T[[#This Row],[qty_received]]&gt;0,"Partial Received","Not Receviced"),"FullyReceived")</f>
        <v>Not Receviced</v>
      </c>
      <c r="Q142" t="str">
        <f>IF(T[[#This Row],[qty_received]]&lt;&gt;T[[#This Row],[qty_invoiced]],IF(T[[#This Row],[qty_invoiced]]&gt;0,"Partial Invoiced","Not Invoiced"),"Fully Invoiced")</f>
        <v>Partial Invoiced</v>
      </c>
      <c r="R142" t="str">
        <f>IFERROR(VLOOKUP(T[[#This Row],[warehouse]],Table2[],2,FALSE),"--")</f>
        <v>--</v>
      </c>
    </row>
    <row r="143" spans="1:18" x14ac:dyDescent="0.25">
      <c r="A143" t="s">
        <v>140</v>
      </c>
      <c r="B143" s="1">
        <v>43507</v>
      </c>
      <c r="C143" t="s">
        <v>246</v>
      </c>
      <c r="D143" t="s">
        <v>71</v>
      </c>
      <c r="E143" t="s">
        <v>51</v>
      </c>
      <c r="F143" t="s">
        <v>247</v>
      </c>
      <c r="G143" t="s">
        <v>247</v>
      </c>
      <c r="H143" t="s">
        <v>54</v>
      </c>
      <c r="I143">
        <v>50.125</v>
      </c>
      <c r="J143">
        <v>0</v>
      </c>
      <c r="K143">
        <v>1</v>
      </c>
      <c r="L143" t="s">
        <v>25</v>
      </c>
      <c r="M143" t="s">
        <v>26</v>
      </c>
      <c r="N143">
        <v>1400</v>
      </c>
      <c r="O143">
        <v>0</v>
      </c>
      <c r="P143" t="str">
        <f>IF(T[[#This Row],[qty_ordered]]&lt;&gt;T[[#This Row],[qty_received]],IF(T[[#This Row],[qty_received]]&gt;0,"Partial Received","Not Receviced"),"FullyReceived")</f>
        <v>Not Receviced</v>
      </c>
      <c r="Q143" t="str">
        <f>IF(T[[#This Row],[qty_received]]&lt;&gt;T[[#This Row],[qty_invoiced]],IF(T[[#This Row],[qty_invoiced]]&gt;0,"Partial Invoiced","Not Invoiced"),"Fully Invoiced")</f>
        <v>Partial Invoiced</v>
      </c>
      <c r="R143" t="str">
        <f>IFERROR(VLOOKUP(T[[#This Row],[warehouse]],Table2[],2,FALSE),"--")</f>
        <v>--</v>
      </c>
    </row>
    <row r="144" spans="1:18" x14ac:dyDescent="0.25">
      <c r="A144" t="s">
        <v>248</v>
      </c>
      <c r="B144" s="1">
        <v>43507</v>
      </c>
      <c r="C144" t="s">
        <v>249</v>
      </c>
      <c r="D144" t="s">
        <v>20</v>
      </c>
      <c r="E144" t="s">
        <v>51</v>
      </c>
      <c r="F144" t="s">
        <v>52</v>
      </c>
      <c r="G144" t="s">
        <v>75</v>
      </c>
      <c r="H144" t="s">
        <v>54</v>
      </c>
      <c r="I144">
        <v>12000</v>
      </c>
      <c r="J144">
        <v>0</v>
      </c>
      <c r="K144">
        <v>1</v>
      </c>
      <c r="L144" t="s">
        <v>25</v>
      </c>
      <c r="M144" t="s">
        <v>26</v>
      </c>
      <c r="N144">
        <v>2.5</v>
      </c>
      <c r="O144">
        <v>0</v>
      </c>
      <c r="P144" t="str">
        <f>IF(T[[#This Row],[qty_ordered]]&lt;&gt;T[[#This Row],[qty_received]],IF(T[[#This Row],[qty_received]]&gt;0,"Partial Received","Not Receviced"),"FullyReceived")</f>
        <v>Not Receviced</v>
      </c>
      <c r="Q144" t="str">
        <f>IF(T[[#This Row],[qty_received]]&lt;&gt;T[[#This Row],[qty_invoiced]],IF(T[[#This Row],[qty_invoiced]]&gt;0,"Partial Invoiced","Not Invoiced"),"Fully Invoiced")</f>
        <v>Partial Invoiced</v>
      </c>
      <c r="R144" t="str">
        <f>IFERROR(VLOOKUP(T[[#This Row],[warehouse]],Table2[],2,FALSE),"--")</f>
        <v>--</v>
      </c>
    </row>
    <row r="145" spans="1:18" x14ac:dyDescent="0.25">
      <c r="A145" t="s">
        <v>250</v>
      </c>
      <c r="B145" s="1">
        <v>43509</v>
      </c>
      <c r="C145" t="s">
        <v>251</v>
      </c>
      <c r="D145" t="s">
        <v>20</v>
      </c>
      <c r="E145" t="s">
        <v>66</v>
      </c>
      <c r="F145" t="s">
        <v>196</v>
      </c>
      <c r="G145" t="s">
        <v>197</v>
      </c>
      <c r="H145" t="s">
        <v>24</v>
      </c>
      <c r="I145">
        <v>3509.18</v>
      </c>
      <c r="J145">
        <v>3509.18</v>
      </c>
      <c r="K145">
        <v>3509.18</v>
      </c>
      <c r="L145" t="s">
        <v>25</v>
      </c>
      <c r="M145" t="s">
        <v>132</v>
      </c>
      <c r="N145">
        <v>13650</v>
      </c>
      <c r="O145">
        <v>47900307</v>
      </c>
      <c r="P145" t="str">
        <f>IF(T[[#This Row],[qty_ordered]]&lt;&gt;T[[#This Row],[qty_received]],IF(T[[#This Row],[qty_received]]&gt;0,"Partial Received","Not Receviced"),"FullyReceived")</f>
        <v>FullyReceived</v>
      </c>
      <c r="Q145" t="str">
        <f>IF(T[[#This Row],[qty_received]]&lt;&gt;T[[#This Row],[qty_invoiced]],IF(T[[#This Row],[qty_invoiced]]&gt;0,"Partial Invoiced","Not Invoiced"),"Fully Invoiced")</f>
        <v>Fully Invoiced</v>
      </c>
      <c r="R145" t="str">
        <f>IFERROR(VLOOKUP(T[[#This Row],[warehouse]],Table2[],2,FALSE),"--")</f>
        <v>PZU Main Warehouse</v>
      </c>
    </row>
    <row r="146" spans="1:18" x14ac:dyDescent="0.25">
      <c r="A146" t="s">
        <v>252</v>
      </c>
      <c r="B146" s="1">
        <v>43489</v>
      </c>
      <c r="C146" t="s">
        <v>253</v>
      </c>
      <c r="D146" t="s">
        <v>76</v>
      </c>
      <c r="E146" t="s">
        <v>51</v>
      </c>
      <c r="F146" t="s">
        <v>254</v>
      </c>
      <c r="G146" t="s">
        <v>255</v>
      </c>
      <c r="H146" t="s">
        <v>54</v>
      </c>
      <c r="I146">
        <v>14000</v>
      </c>
      <c r="J146">
        <v>0</v>
      </c>
      <c r="K146">
        <v>1</v>
      </c>
      <c r="L146" t="s">
        <v>25</v>
      </c>
      <c r="M146" t="s">
        <v>26</v>
      </c>
      <c r="N146">
        <v>3</v>
      </c>
      <c r="O146">
        <v>0</v>
      </c>
      <c r="P146" t="str">
        <f>IF(T[[#This Row],[qty_ordered]]&lt;&gt;T[[#This Row],[qty_received]],IF(T[[#This Row],[qty_received]]&gt;0,"Partial Received","Not Receviced"),"FullyReceived")</f>
        <v>Not Receviced</v>
      </c>
      <c r="Q146" t="str">
        <f>IF(T[[#This Row],[qty_received]]&lt;&gt;T[[#This Row],[qty_invoiced]],IF(T[[#This Row],[qty_invoiced]]&gt;0,"Partial Invoiced","Not Invoiced"),"Fully Invoiced")</f>
        <v>Partial Invoiced</v>
      </c>
      <c r="R146" t="str">
        <f>IFERROR(VLOOKUP(T[[#This Row],[warehouse]],Table2[],2,FALSE),"--")</f>
        <v>--</v>
      </c>
    </row>
    <row r="147" spans="1:18" x14ac:dyDescent="0.25">
      <c r="A147" t="s">
        <v>256</v>
      </c>
      <c r="B147" s="1">
        <v>43502</v>
      </c>
      <c r="C147" t="s">
        <v>257</v>
      </c>
      <c r="D147" t="s">
        <v>20</v>
      </c>
      <c r="E147" t="s">
        <v>51</v>
      </c>
      <c r="F147" t="s">
        <v>52</v>
      </c>
      <c r="G147" t="s">
        <v>53</v>
      </c>
      <c r="H147" t="s">
        <v>54</v>
      </c>
      <c r="I147">
        <v>20000</v>
      </c>
      <c r="J147">
        <v>0</v>
      </c>
      <c r="K147">
        <v>0</v>
      </c>
      <c r="L147" t="s">
        <v>59</v>
      </c>
      <c r="M147" t="s">
        <v>26</v>
      </c>
      <c r="N147">
        <v>70</v>
      </c>
      <c r="O147">
        <v>0</v>
      </c>
      <c r="P147" t="str">
        <f>IF(T[[#This Row],[qty_ordered]]&lt;&gt;T[[#This Row],[qty_received]],IF(T[[#This Row],[qty_received]]&gt;0,"Partial Received","Not Receviced"),"FullyReceived")</f>
        <v>Not Receviced</v>
      </c>
      <c r="Q147" t="str">
        <f>IF(T[[#This Row],[qty_received]]&lt;&gt;T[[#This Row],[qty_invoiced]],IF(T[[#This Row],[qty_invoiced]]&gt;0,"Partial Invoiced","Not Invoiced"),"Fully Invoiced")</f>
        <v>Fully Invoiced</v>
      </c>
      <c r="R147" t="str">
        <f>IFERROR(VLOOKUP(T[[#This Row],[warehouse]],Table2[],2,FALSE),"--")</f>
        <v>--</v>
      </c>
    </row>
    <row r="148" spans="1:18" x14ac:dyDescent="0.25">
      <c r="A148" t="s">
        <v>160</v>
      </c>
      <c r="B148" s="1">
        <v>43507</v>
      </c>
      <c r="C148" t="s">
        <v>258</v>
      </c>
      <c r="D148" t="s">
        <v>20</v>
      </c>
      <c r="E148" t="s">
        <v>162</v>
      </c>
      <c r="F148" t="s">
        <v>41</v>
      </c>
      <c r="G148" t="s">
        <v>42</v>
      </c>
      <c r="H148" t="s">
        <v>24</v>
      </c>
      <c r="I148">
        <v>2000</v>
      </c>
      <c r="J148">
        <v>1798.91</v>
      </c>
      <c r="K148">
        <v>1798.91</v>
      </c>
      <c r="L148" t="s">
        <v>25</v>
      </c>
      <c r="M148" t="s">
        <v>26</v>
      </c>
      <c r="N148">
        <v>82325</v>
      </c>
      <c r="O148">
        <v>148095265.75</v>
      </c>
      <c r="P148" t="str">
        <f>IF(T[[#This Row],[qty_ordered]]&lt;&gt;T[[#This Row],[qty_received]],IF(T[[#This Row],[qty_received]]&gt;0,"Partial Received","Not Receviced"),"FullyReceived")</f>
        <v>Partial Received</v>
      </c>
      <c r="Q148" t="str">
        <f>IF(T[[#This Row],[qty_received]]&lt;&gt;T[[#This Row],[qty_invoiced]],IF(T[[#This Row],[qty_invoiced]]&gt;0,"Partial Invoiced","Not Invoiced"),"Fully Invoiced")</f>
        <v>Fully Invoiced</v>
      </c>
      <c r="R148" t="str">
        <f>IFERROR(VLOOKUP(T[[#This Row],[warehouse]],Table2[],2,FALSE),"--")</f>
        <v>Sifters Mahasilna</v>
      </c>
    </row>
    <row r="149" spans="1:18" x14ac:dyDescent="0.25">
      <c r="A149" t="s">
        <v>160</v>
      </c>
      <c r="B149" s="1">
        <v>43507</v>
      </c>
      <c r="C149" t="s">
        <v>258</v>
      </c>
      <c r="D149" t="s">
        <v>71</v>
      </c>
      <c r="E149" t="s">
        <v>259</v>
      </c>
      <c r="F149" t="s">
        <v>41</v>
      </c>
      <c r="G149" t="s">
        <v>42</v>
      </c>
      <c r="H149" t="s">
        <v>24</v>
      </c>
      <c r="I149">
        <v>1000</v>
      </c>
      <c r="J149">
        <v>827.72</v>
      </c>
      <c r="K149">
        <v>827.72</v>
      </c>
      <c r="L149" t="s">
        <v>25</v>
      </c>
      <c r="M149" t="s">
        <v>26</v>
      </c>
      <c r="N149">
        <v>82325</v>
      </c>
      <c r="O149">
        <v>68142049</v>
      </c>
      <c r="P149" t="str">
        <f>IF(T[[#This Row],[qty_ordered]]&lt;&gt;T[[#This Row],[qty_received]],IF(T[[#This Row],[qty_received]]&gt;0,"Partial Received","Not Receviced"),"FullyReceived")</f>
        <v>Partial Received</v>
      </c>
      <c r="Q149" t="str">
        <f>IF(T[[#This Row],[qty_received]]&lt;&gt;T[[#This Row],[qty_invoiced]],IF(T[[#This Row],[qty_invoiced]]&gt;0,"Partial Invoiced","Not Invoiced"),"Fully Invoiced")</f>
        <v>Fully Invoiced</v>
      </c>
      <c r="R149" t="str">
        <f>IFERROR(VLOOKUP(T[[#This Row],[warehouse]],Table2[],2,FALSE),"--")</f>
        <v>Sifters Bahri-Libyan</v>
      </c>
    </row>
    <row r="150" spans="1:18" x14ac:dyDescent="0.25">
      <c r="A150" t="s">
        <v>260</v>
      </c>
      <c r="B150" s="1">
        <v>43510</v>
      </c>
      <c r="C150" t="s">
        <v>261</v>
      </c>
      <c r="D150" t="s">
        <v>20</v>
      </c>
      <c r="E150" t="s">
        <v>51</v>
      </c>
      <c r="F150" t="s">
        <v>52</v>
      </c>
      <c r="G150" t="s">
        <v>75</v>
      </c>
      <c r="H150" t="s">
        <v>54</v>
      </c>
      <c r="I150">
        <v>1</v>
      </c>
      <c r="J150">
        <v>0</v>
      </c>
      <c r="K150">
        <v>1</v>
      </c>
      <c r="L150" t="s">
        <v>25</v>
      </c>
      <c r="M150" t="s">
        <v>26</v>
      </c>
      <c r="N150">
        <v>2895651</v>
      </c>
      <c r="O150">
        <v>0</v>
      </c>
      <c r="P150" t="str">
        <f>IF(T[[#This Row],[qty_ordered]]&lt;&gt;T[[#This Row],[qty_received]],IF(T[[#This Row],[qty_received]]&gt;0,"Partial Received","Not Receviced"),"FullyReceived")</f>
        <v>Not Receviced</v>
      </c>
      <c r="Q150" t="str">
        <f>IF(T[[#This Row],[qty_received]]&lt;&gt;T[[#This Row],[qty_invoiced]],IF(T[[#This Row],[qty_invoiced]]&gt;0,"Partial Invoiced","Not Invoiced"),"Fully Invoiced")</f>
        <v>Partial Invoiced</v>
      </c>
      <c r="R150" t="str">
        <f>IFERROR(VLOOKUP(T[[#This Row],[warehouse]],Table2[],2,FALSE),"--")</f>
        <v>--</v>
      </c>
    </row>
    <row r="151" spans="1:18" x14ac:dyDescent="0.25">
      <c r="A151" t="s">
        <v>260</v>
      </c>
      <c r="B151" s="1">
        <v>43510</v>
      </c>
      <c r="C151" t="s">
        <v>261</v>
      </c>
      <c r="D151" t="s">
        <v>71</v>
      </c>
      <c r="E151" t="s">
        <v>51</v>
      </c>
      <c r="F151" t="s">
        <v>262</v>
      </c>
      <c r="G151" t="s">
        <v>263</v>
      </c>
      <c r="H151" t="s">
        <v>54</v>
      </c>
      <c r="I151">
        <v>1</v>
      </c>
      <c r="J151">
        <v>0</v>
      </c>
      <c r="K151">
        <v>1</v>
      </c>
      <c r="L151" t="s">
        <v>25</v>
      </c>
      <c r="M151" t="s">
        <v>26</v>
      </c>
      <c r="N151">
        <v>160000</v>
      </c>
      <c r="O151">
        <v>0</v>
      </c>
      <c r="P151" t="str">
        <f>IF(T[[#This Row],[qty_ordered]]&lt;&gt;T[[#This Row],[qty_received]],IF(T[[#This Row],[qty_received]]&gt;0,"Partial Received","Not Receviced"),"FullyReceived")</f>
        <v>Not Receviced</v>
      </c>
      <c r="Q151" t="str">
        <f>IF(T[[#This Row],[qty_received]]&lt;&gt;T[[#This Row],[qty_invoiced]],IF(T[[#This Row],[qty_invoiced]]&gt;0,"Partial Invoiced","Not Invoiced"),"Fully Invoiced")</f>
        <v>Partial Invoiced</v>
      </c>
      <c r="R151" t="str">
        <f>IFERROR(VLOOKUP(T[[#This Row],[warehouse]],Table2[],2,FALSE),"--")</f>
        <v>--</v>
      </c>
    </row>
    <row r="152" spans="1:18" x14ac:dyDescent="0.25">
      <c r="A152" t="s">
        <v>260</v>
      </c>
      <c r="B152" s="1">
        <v>43510</v>
      </c>
      <c r="C152" t="s">
        <v>261</v>
      </c>
      <c r="D152" t="s">
        <v>100</v>
      </c>
      <c r="E152" t="s">
        <v>51</v>
      </c>
      <c r="F152" t="s">
        <v>262</v>
      </c>
      <c r="G152" t="s">
        <v>264</v>
      </c>
      <c r="H152" t="s">
        <v>54</v>
      </c>
      <c r="I152">
        <v>1</v>
      </c>
      <c r="J152">
        <v>0</v>
      </c>
      <c r="K152">
        <v>1</v>
      </c>
      <c r="L152" t="s">
        <v>25</v>
      </c>
      <c r="M152" t="s">
        <v>26</v>
      </c>
      <c r="N152">
        <v>336000</v>
      </c>
      <c r="O152">
        <v>0</v>
      </c>
      <c r="P152" t="str">
        <f>IF(T[[#This Row],[qty_ordered]]&lt;&gt;T[[#This Row],[qty_received]],IF(T[[#This Row],[qty_received]]&gt;0,"Partial Received","Not Receviced"),"FullyReceived")</f>
        <v>Not Receviced</v>
      </c>
      <c r="Q152" t="str">
        <f>IF(T[[#This Row],[qty_received]]&lt;&gt;T[[#This Row],[qty_invoiced]],IF(T[[#This Row],[qty_invoiced]]&gt;0,"Partial Invoiced","Not Invoiced"),"Fully Invoiced")</f>
        <v>Partial Invoiced</v>
      </c>
      <c r="R152" t="str">
        <f>IFERROR(VLOOKUP(T[[#This Row],[warehouse]],Table2[],2,FALSE),"--")</f>
        <v>--</v>
      </c>
    </row>
    <row r="153" spans="1:18" x14ac:dyDescent="0.25">
      <c r="A153" t="s">
        <v>260</v>
      </c>
      <c r="B153" s="1">
        <v>43510</v>
      </c>
      <c r="C153" t="s">
        <v>261</v>
      </c>
      <c r="D153" t="s">
        <v>88</v>
      </c>
      <c r="E153" t="s">
        <v>51</v>
      </c>
      <c r="F153" t="s">
        <v>265</v>
      </c>
      <c r="G153" t="s">
        <v>265</v>
      </c>
      <c r="H153" t="s">
        <v>54</v>
      </c>
      <c r="I153">
        <v>1</v>
      </c>
      <c r="J153">
        <v>0</v>
      </c>
      <c r="K153">
        <v>1</v>
      </c>
      <c r="L153" t="s">
        <v>25</v>
      </c>
      <c r="M153" t="s">
        <v>26</v>
      </c>
      <c r="N153">
        <v>2792000</v>
      </c>
      <c r="O153">
        <v>0</v>
      </c>
      <c r="P153" t="str">
        <f>IF(T[[#This Row],[qty_ordered]]&lt;&gt;T[[#This Row],[qty_received]],IF(T[[#This Row],[qty_received]]&gt;0,"Partial Received","Not Receviced"),"FullyReceived")</f>
        <v>Not Receviced</v>
      </c>
      <c r="Q153" t="str">
        <f>IF(T[[#This Row],[qty_received]]&lt;&gt;T[[#This Row],[qty_invoiced]],IF(T[[#This Row],[qty_invoiced]]&gt;0,"Partial Invoiced","Not Invoiced"),"Fully Invoiced")</f>
        <v>Partial Invoiced</v>
      </c>
      <c r="R153" t="str">
        <f>IFERROR(VLOOKUP(T[[#This Row],[warehouse]],Table2[],2,FALSE),"--")</f>
        <v>--</v>
      </c>
    </row>
    <row r="154" spans="1:18" x14ac:dyDescent="0.25">
      <c r="A154" t="s">
        <v>260</v>
      </c>
      <c r="B154" s="1">
        <v>43510</v>
      </c>
      <c r="C154" t="s">
        <v>261</v>
      </c>
      <c r="D154" t="s">
        <v>74</v>
      </c>
      <c r="E154" t="s">
        <v>51</v>
      </c>
      <c r="F154" t="s">
        <v>266</v>
      </c>
      <c r="G154" t="s">
        <v>266</v>
      </c>
      <c r="H154" t="s">
        <v>54</v>
      </c>
      <c r="I154">
        <v>1</v>
      </c>
      <c r="J154">
        <v>0</v>
      </c>
      <c r="K154">
        <v>1</v>
      </c>
      <c r="L154" t="s">
        <v>25</v>
      </c>
      <c r="M154" t="s">
        <v>26</v>
      </c>
      <c r="N154">
        <v>1232000</v>
      </c>
      <c r="O154">
        <v>0</v>
      </c>
      <c r="P154" t="str">
        <f>IF(T[[#This Row],[qty_ordered]]&lt;&gt;T[[#This Row],[qty_received]],IF(T[[#This Row],[qty_received]]&gt;0,"Partial Received","Not Receviced"),"FullyReceived")</f>
        <v>Not Receviced</v>
      </c>
      <c r="Q154" t="str">
        <f>IF(T[[#This Row],[qty_received]]&lt;&gt;T[[#This Row],[qty_invoiced]],IF(T[[#This Row],[qty_invoiced]]&gt;0,"Partial Invoiced","Not Invoiced"),"Fully Invoiced")</f>
        <v>Partial Invoiced</v>
      </c>
      <c r="R154" t="str">
        <f>IFERROR(VLOOKUP(T[[#This Row],[warehouse]],Table2[],2,FALSE),"--")</f>
        <v>--</v>
      </c>
    </row>
    <row r="155" spans="1:18" x14ac:dyDescent="0.25">
      <c r="A155" t="s">
        <v>260</v>
      </c>
      <c r="B155" s="1">
        <v>43510</v>
      </c>
      <c r="C155" t="s">
        <v>261</v>
      </c>
      <c r="D155" t="s">
        <v>76</v>
      </c>
      <c r="E155" t="s">
        <v>51</v>
      </c>
      <c r="F155" t="s">
        <v>267</v>
      </c>
      <c r="G155" t="s">
        <v>267</v>
      </c>
      <c r="H155" t="s">
        <v>54</v>
      </c>
      <c r="I155">
        <v>1</v>
      </c>
      <c r="J155">
        <v>0</v>
      </c>
      <c r="K155">
        <v>1</v>
      </c>
      <c r="L155" t="s">
        <v>25</v>
      </c>
      <c r="M155" t="s">
        <v>26</v>
      </c>
      <c r="N155">
        <v>108108</v>
      </c>
      <c r="O155">
        <v>0</v>
      </c>
      <c r="P155" t="str">
        <f>IF(T[[#This Row],[qty_ordered]]&lt;&gt;T[[#This Row],[qty_received]],IF(T[[#This Row],[qty_received]]&gt;0,"Partial Received","Not Receviced"),"FullyReceived")</f>
        <v>Not Receviced</v>
      </c>
      <c r="Q155" t="str">
        <f>IF(T[[#This Row],[qty_received]]&lt;&gt;T[[#This Row],[qty_invoiced]],IF(T[[#This Row],[qty_invoiced]]&gt;0,"Partial Invoiced","Not Invoiced"),"Fully Invoiced")</f>
        <v>Partial Invoiced</v>
      </c>
      <c r="R155" t="str">
        <f>IFERROR(VLOOKUP(T[[#This Row],[warehouse]],Table2[],2,FALSE),"--")</f>
        <v>--</v>
      </c>
    </row>
    <row r="156" spans="1:18" x14ac:dyDescent="0.25">
      <c r="A156" t="s">
        <v>187</v>
      </c>
      <c r="B156" s="1">
        <v>43478</v>
      </c>
      <c r="C156" t="s">
        <v>240</v>
      </c>
      <c r="D156" t="s">
        <v>88</v>
      </c>
      <c r="E156" t="s">
        <v>268</v>
      </c>
      <c r="F156" t="s">
        <v>108</v>
      </c>
      <c r="G156" t="s">
        <v>109</v>
      </c>
      <c r="H156" t="s">
        <v>24</v>
      </c>
      <c r="I156">
        <v>800</v>
      </c>
      <c r="J156">
        <v>524.91</v>
      </c>
      <c r="K156">
        <v>524.91</v>
      </c>
      <c r="L156" t="s">
        <v>25</v>
      </c>
      <c r="M156" t="s">
        <v>26</v>
      </c>
      <c r="N156">
        <v>75650</v>
      </c>
      <c r="O156">
        <v>39709441.5</v>
      </c>
      <c r="P156" t="str">
        <f>IF(T[[#This Row],[qty_ordered]]&lt;&gt;T[[#This Row],[qty_received]],IF(T[[#This Row],[qty_received]]&gt;0,"Partial Received","Not Receviced"),"FullyReceived")</f>
        <v>Partial Received</v>
      </c>
      <c r="Q156" t="str">
        <f>IF(T[[#This Row],[qty_received]]&lt;&gt;T[[#This Row],[qty_invoiced]],IF(T[[#This Row],[qty_invoiced]]&gt;0,"Partial Invoiced","Not Invoiced"),"Fully Invoiced")</f>
        <v>Fully Invoiced</v>
      </c>
      <c r="R156" t="str">
        <f>IFERROR(VLOOKUP(T[[#This Row],[warehouse]],Table2[],2,FALSE),"--")</f>
        <v>SIFTING- HASABO</v>
      </c>
    </row>
    <row r="157" spans="1:18" x14ac:dyDescent="0.25">
      <c r="A157" t="s">
        <v>269</v>
      </c>
      <c r="B157" s="1">
        <v>43513</v>
      </c>
      <c r="C157" t="s">
        <v>270</v>
      </c>
      <c r="D157" t="s">
        <v>20</v>
      </c>
      <c r="E157" t="s">
        <v>51</v>
      </c>
      <c r="F157" t="s">
        <v>183</v>
      </c>
      <c r="G157" t="s">
        <v>183</v>
      </c>
      <c r="H157" t="s">
        <v>54</v>
      </c>
      <c r="I157">
        <v>705.51</v>
      </c>
      <c r="J157">
        <v>0</v>
      </c>
      <c r="K157">
        <v>1</v>
      </c>
      <c r="L157" t="s">
        <v>25</v>
      </c>
      <c r="M157" t="s">
        <v>26</v>
      </c>
      <c r="N157">
        <v>400</v>
      </c>
      <c r="O157">
        <v>0</v>
      </c>
      <c r="P157" t="str">
        <f>IF(T[[#This Row],[qty_ordered]]&lt;&gt;T[[#This Row],[qty_received]],IF(T[[#This Row],[qty_received]]&gt;0,"Partial Received","Not Receviced"),"FullyReceived")</f>
        <v>Not Receviced</v>
      </c>
      <c r="Q157" t="str">
        <f>IF(T[[#This Row],[qty_received]]&lt;&gt;T[[#This Row],[qty_invoiced]],IF(T[[#This Row],[qty_invoiced]]&gt;0,"Partial Invoiced","Not Invoiced"),"Fully Invoiced")</f>
        <v>Partial Invoiced</v>
      </c>
      <c r="R157" t="str">
        <f>IFERROR(VLOOKUP(T[[#This Row],[warehouse]],Table2[],2,FALSE),"--")</f>
        <v>--</v>
      </c>
    </row>
    <row r="158" spans="1:18" x14ac:dyDescent="0.25">
      <c r="A158" t="s">
        <v>81</v>
      </c>
      <c r="B158" s="1">
        <v>43496</v>
      </c>
      <c r="C158" t="s">
        <v>271</v>
      </c>
      <c r="D158" t="s">
        <v>20</v>
      </c>
      <c r="E158" t="s">
        <v>51</v>
      </c>
      <c r="F158" t="s">
        <v>183</v>
      </c>
      <c r="G158" t="s">
        <v>183</v>
      </c>
      <c r="H158" t="s">
        <v>54</v>
      </c>
      <c r="I158">
        <v>130.38999999999999</v>
      </c>
      <c r="J158">
        <v>0</v>
      </c>
      <c r="K158">
        <v>1</v>
      </c>
      <c r="L158" t="s">
        <v>25</v>
      </c>
      <c r="M158" t="s">
        <v>26</v>
      </c>
      <c r="N158">
        <v>500</v>
      </c>
      <c r="O158">
        <v>0</v>
      </c>
      <c r="P158" t="str">
        <f>IF(T[[#This Row],[qty_ordered]]&lt;&gt;T[[#This Row],[qty_received]],IF(T[[#This Row],[qty_received]]&gt;0,"Partial Received","Not Receviced"),"FullyReceived")</f>
        <v>Not Receviced</v>
      </c>
      <c r="Q158" t="str">
        <f>IF(T[[#This Row],[qty_received]]&lt;&gt;T[[#This Row],[qty_invoiced]],IF(T[[#This Row],[qty_invoiced]]&gt;0,"Partial Invoiced","Not Invoiced"),"Fully Invoiced")</f>
        <v>Partial Invoiced</v>
      </c>
      <c r="R158" t="str">
        <f>IFERROR(VLOOKUP(T[[#This Row],[warehouse]],Table2[],2,FALSE),"--")</f>
        <v>--</v>
      </c>
    </row>
    <row r="159" spans="1:18" x14ac:dyDescent="0.25">
      <c r="A159" t="s">
        <v>81</v>
      </c>
      <c r="B159" s="1">
        <v>43496</v>
      </c>
      <c r="C159" t="s">
        <v>272</v>
      </c>
      <c r="D159" t="s">
        <v>20</v>
      </c>
      <c r="E159" t="s">
        <v>51</v>
      </c>
      <c r="F159" t="s">
        <v>183</v>
      </c>
      <c r="G159" t="s">
        <v>183</v>
      </c>
      <c r="H159" t="s">
        <v>54</v>
      </c>
      <c r="I159">
        <v>515.09</v>
      </c>
      <c r="J159">
        <v>0</v>
      </c>
      <c r="K159">
        <v>1</v>
      </c>
      <c r="L159" t="s">
        <v>25</v>
      </c>
      <c r="M159" t="s">
        <v>26</v>
      </c>
      <c r="N159">
        <v>500</v>
      </c>
      <c r="O159">
        <v>0</v>
      </c>
      <c r="P159" t="str">
        <f>IF(T[[#This Row],[qty_ordered]]&lt;&gt;T[[#This Row],[qty_received]],IF(T[[#This Row],[qty_received]]&gt;0,"Partial Received","Not Receviced"),"FullyReceived")</f>
        <v>Not Receviced</v>
      </c>
      <c r="Q159" t="str">
        <f>IF(T[[#This Row],[qty_received]]&lt;&gt;T[[#This Row],[qty_invoiced]],IF(T[[#This Row],[qty_invoiced]]&gt;0,"Partial Invoiced","Not Invoiced"),"Fully Invoiced")</f>
        <v>Partial Invoiced</v>
      </c>
      <c r="R159" t="str">
        <f>IFERROR(VLOOKUP(T[[#This Row],[warehouse]],Table2[],2,FALSE),"--")</f>
        <v>--</v>
      </c>
    </row>
    <row r="160" spans="1:18" x14ac:dyDescent="0.25">
      <c r="A160" t="s">
        <v>228</v>
      </c>
      <c r="B160" s="1">
        <v>43507</v>
      </c>
      <c r="C160" t="s">
        <v>273</v>
      </c>
      <c r="D160" t="s">
        <v>20</v>
      </c>
      <c r="E160" t="s">
        <v>239</v>
      </c>
      <c r="F160" t="s">
        <v>196</v>
      </c>
      <c r="G160" t="s">
        <v>197</v>
      </c>
      <c r="H160" t="s">
        <v>24</v>
      </c>
      <c r="I160">
        <v>14678.2</v>
      </c>
      <c r="J160">
        <v>14678.2</v>
      </c>
      <c r="K160">
        <v>14678.2</v>
      </c>
      <c r="L160" t="s">
        <v>25</v>
      </c>
      <c r="M160" t="s">
        <v>132</v>
      </c>
      <c r="N160">
        <v>12600</v>
      </c>
      <c r="O160">
        <v>184945320</v>
      </c>
      <c r="P160" t="str">
        <f>IF(T[[#This Row],[qty_ordered]]&lt;&gt;T[[#This Row],[qty_received]],IF(T[[#This Row],[qty_received]]&gt;0,"Partial Received","Not Receviced"),"FullyReceived")</f>
        <v>FullyReceived</v>
      </c>
      <c r="Q160" t="str">
        <f>IF(T[[#This Row],[qty_received]]&lt;&gt;T[[#This Row],[qty_invoiced]],IF(T[[#This Row],[qty_invoiced]]&gt;0,"Partial Invoiced","Not Invoiced"),"Fully Invoiced")</f>
        <v>Fully Invoiced</v>
      </c>
      <c r="R160" t="str">
        <f>IFERROR(VLOOKUP(T[[#This Row],[warehouse]],Table2[],2,FALSE),"--")</f>
        <v xml:space="preserve">Gadarif Main Store </v>
      </c>
    </row>
    <row r="161" spans="1:18" x14ac:dyDescent="0.25">
      <c r="A161" t="s">
        <v>269</v>
      </c>
      <c r="B161" s="1">
        <v>43513</v>
      </c>
      <c r="C161" t="s">
        <v>270</v>
      </c>
      <c r="D161" t="s">
        <v>71</v>
      </c>
      <c r="E161" t="s">
        <v>51</v>
      </c>
      <c r="F161" t="s">
        <v>183</v>
      </c>
      <c r="G161" t="s">
        <v>183</v>
      </c>
      <c r="H161" t="s">
        <v>54</v>
      </c>
      <c r="I161">
        <v>1</v>
      </c>
      <c r="J161">
        <v>0</v>
      </c>
      <c r="K161">
        <v>1</v>
      </c>
      <c r="L161" t="s">
        <v>25</v>
      </c>
      <c r="M161" t="s">
        <v>26</v>
      </c>
      <c r="N161">
        <v>11640</v>
      </c>
      <c r="O161">
        <v>0</v>
      </c>
      <c r="P161" t="str">
        <f>IF(T[[#This Row],[qty_ordered]]&lt;&gt;T[[#This Row],[qty_received]],IF(T[[#This Row],[qty_received]]&gt;0,"Partial Received","Not Receviced"),"FullyReceived")</f>
        <v>Not Receviced</v>
      </c>
      <c r="Q161" t="str">
        <f>IF(T[[#This Row],[qty_received]]&lt;&gt;T[[#This Row],[qty_invoiced]],IF(T[[#This Row],[qty_invoiced]]&gt;0,"Partial Invoiced","Not Invoiced"),"Fully Invoiced")</f>
        <v>Partial Invoiced</v>
      </c>
      <c r="R161" t="str">
        <f>IFERROR(VLOOKUP(T[[#This Row],[warehouse]],Table2[],2,FALSE),"--")</f>
        <v>--</v>
      </c>
    </row>
    <row r="162" spans="1:18" x14ac:dyDescent="0.25">
      <c r="A162" t="s">
        <v>269</v>
      </c>
      <c r="B162" s="1">
        <v>43513</v>
      </c>
      <c r="C162" t="s">
        <v>270</v>
      </c>
      <c r="D162" t="s">
        <v>100</v>
      </c>
      <c r="E162" t="s">
        <v>51</v>
      </c>
      <c r="F162" t="s">
        <v>52</v>
      </c>
      <c r="G162" t="s">
        <v>274</v>
      </c>
      <c r="H162" t="s">
        <v>54</v>
      </c>
      <c r="I162" s="2">
        <v>1</v>
      </c>
      <c r="J162">
        <v>0</v>
      </c>
      <c r="K162">
        <v>1</v>
      </c>
      <c r="L162" t="s">
        <v>25</v>
      </c>
      <c r="M162" t="s">
        <v>26</v>
      </c>
      <c r="N162">
        <v>260</v>
      </c>
      <c r="O162">
        <v>0</v>
      </c>
      <c r="P162" t="str">
        <f>IF(T[[#This Row],[qty_ordered]]&lt;&gt;T[[#This Row],[qty_received]],IF(T[[#This Row],[qty_received]]&gt;0,"Partial Received","Not Receviced"),"FullyReceived")</f>
        <v>Not Receviced</v>
      </c>
      <c r="Q162" t="str">
        <f>IF(T[[#This Row],[qty_received]]&lt;&gt;T[[#This Row],[qty_invoiced]],IF(T[[#This Row],[qty_invoiced]]&gt;0,"Partial Invoiced","Not Invoiced"),"Fully Invoiced")</f>
        <v>Partial Invoiced</v>
      </c>
      <c r="R162" t="str">
        <f>IFERROR(VLOOKUP(T[[#This Row],[warehouse]],Table2[],2,FALSE),"--")</f>
        <v>--</v>
      </c>
    </row>
    <row r="163" spans="1:18" x14ac:dyDescent="0.25">
      <c r="A163" t="s">
        <v>269</v>
      </c>
      <c r="B163" s="1">
        <v>43513</v>
      </c>
      <c r="C163" t="s">
        <v>270</v>
      </c>
      <c r="D163" t="s">
        <v>88</v>
      </c>
      <c r="E163" t="s">
        <v>51</v>
      </c>
      <c r="F163" t="s">
        <v>185</v>
      </c>
      <c r="G163" t="s">
        <v>275</v>
      </c>
      <c r="H163" t="s">
        <v>54</v>
      </c>
      <c r="I163">
        <v>1</v>
      </c>
      <c r="J163">
        <v>0</v>
      </c>
      <c r="K163">
        <v>1</v>
      </c>
      <c r="L163" t="s">
        <v>25</v>
      </c>
      <c r="M163" t="s">
        <v>26</v>
      </c>
      <c r="N163">
        <v>2805</v>
      </c>
      <c r="O163">
        <v>0</v>
      </c>
      <c r="P163" t="str">
        <f>IF(T[[#This Row],[qty_ordered]]&lt;&gt;T[[#This Row],[qty_received]],IF(T[[#This Row],[qty_received]]&gt;0,"Partial Received","Not Receviced"),"FullyReceived")</f>
        <v>Not Receviced</v>
      </c>
      <c r="Q163" t="str">
        <f>IF(T[[#This Row],[qty_received]]&lt;&gt;T[[#This Row],[qty_invoiced]],IF(T[[#This Row],[qty_invoiced]]&gt;0,"Partial Invoiced","Not Invoiced"),"Fully Invoiced")</f>
        <v>Partial Invoiced</v>
      </c>
      <c r="R163" t="str">
        <f>IFERROR(VLOOKUP(T[[#This Row],[warehouse]],Table2[],2,FALSE),"--")</f>
        <v>--</v>
      </c>
    </row>
    <row r="164" spans="1:18" x14ac:dyDescent="0.25">
      <c r="A164" t="s">
        <v>276</v>
      </c>
      <c r="B164" s="1">
        <v>43514</v>
      </c>
      <c r="C164" t="s">
        <v>277</v>
      </c>
      <c r="D164" t="s">
        <v>20</v>
      </c>
      <c r="E164" t="s">
        <v>51</v>
      </c>
      <c r="F164" t="s">
        <v>278</v>
      </c>
      <c r="G164" t="s">
        <v>279</v>
      </c>
      <c r="H164" t="s">
        <v>54</v>
      </c>
      <c r="I164">
        <v>25000</v>
      </c>
      <c r="J164">
        <v>0</v>
      </c>
      <c r="K164">
        <v>0</v>
      </c>
      <c r="L164" t="s">
        <v>59</v>
      </c>
      <c r="M164" t="s">
        <v>26</v>
      </c>
      <c r="N164">
        <v>5</v>
      </c>
      <c r="O164">
        <v>0</v>
      </c>
      <c r="P164" t="str">
        <f>IF(T[[#This Row],[qty_ordered]]&lt;&gt;T[[#This Row],[qty_received]],IF(T[[#This Row],[qty_received]]&gt;0,"Partial Received","Not Receviced"),"FullyReceived")</f>
        <v>Not Receviced</v>
      </c>
      <c r="Q164" t="str">
        <f>IF(T[[#This Row],[qty_received]]&lt;&gt;T[[#This Row],[qty_invoiced]],IF(T[[#This Row],[qty_invoiced]]&gt;0,"Partial Invoiced","Not Invoiced"),"Fully Invoiced")</f>
        <v>Fully Invoiced</v>
      </c>
      <c r="R164" t="str">
        <f>IFERROR(VLOOKUP(T[[#This Row],[warehouse]],Table2[],2,FALSE),"--")</f>
        <v>--</v>
      </c>
    </row>
    <row r="165" spans="1:18" x14ac:dyDescent="0.25">
      <c r="A165" t="s">
        <v>276</v>
      </c>
      <c r="B165" s="1">
        <v>43514</v>
      </c>
      <c r="C165" t="s">
        <v>277</v>
      </c>
      <c r="D165" t="s">
        <v>71</v>
      </c>
      <c r="E165" t="s">
        <v>51</v>
      </c>
      <c r="F165" t="s">
        <v>262</v>
      </c>
      <c r="G165" t="s">
        <v>264</v>
      </c>
      <c r="H165" t="s">
        <v>54</v>
      </c>
      <c r="I165">
        <v>25000</v>
      </c>
      <c r="J165">
        <v>0</v>
      </c>
      <c r="K165">
        <v>0</v>
      </c>
      <c r="L165" t="s">
        <v>59</v>
      </c>
      <c r="M165" t="s">
        <v>26</v>
      </c>
      <c r="N165">
        <v>5</v>
      </c>
      <c r="O165">
        <v>0</v>
      </c>
      <c r="P165" t="str">
        <f>IF(T[[#This Row],[qty_ordered]]&lt;&gt;T[[#This Row],[qty_received]],IF(T[[#This Row],[qty_received]]&gt;0,"Partial Received","Not Receviced"),"FullyReceived")</f>
        <v>Not Receviced</v>
      </c>
      <c r="Q165" t="str">
        <f>IF(T[[#This Row],[qty_received]]&lt;&gt;T[[#This Row],[qty_invoiced]],IF(T[[#This Row],[qty_invoiced]]&gt;0,"Partial Invoiced","Not Invoiced"),"Fully Invoiced")</f>
        <v>Fully Invoiced</v>
      </c>
      <c r="R165" t="str">
        <f>IFERROR(VLOOKUP(T[[#This Row],[warehouse]],Table2[],2,FALSE),"--")</f>
        <v>--</v>
      </c>
    </row>
    <row r="166" spans="1:18" x14ac:dyDescent="0.25">
      <c r="A166" t="s">
        <v>153</v>
      </c>
      <c r="B166" s="1">
        <v>43514</v>
      </c>
      <c r="C166" t="s">
        <v>280</v>
      </c>
      <c r="D166" t="s">
        <v>20</v>
      </c>
      <c r="E166" t="s">
        <v>281</v>
      </c>
      <c r="F166" t="s">
        <v>167</v>
      </c>
      <c r="G166" t="s">
        <v>156</v>
      </c>
      <c r="H166" t="s">
        <v>24</v>
      </c>
      <c r="I166">
        <v>1000</v>
      </c>
      <c r="J166">
        <v>407.4</v>
      </c>
      <c r="K166">
        <v>407.4</v>
      </c>
      <c r="L166" t="s">
        <v>25</v>
      </c>
      <c r="M166" t="s">
        <v>132</v>
      </c>
      <c r="N166">
        <v>85000</v>
      </c>
      <c r="O166">
        <v>34629000</v>
      </c>
      <c r="P166" t="str">
        <f>IF(T[[#This Row],[qty_ordered]]&lt;&gt;T[[#This Row],[qty_received]],IF(T[[#This Row],[qty_received]]&gt;0,"Partial Received","Not Receviced"),"FullyReceived")</f>
        <v>Partial Received</v>
      </c>
      <c r="Q166" t="str">
        <f>IF(T[[#This Row],[qty_received]]&lt;&gt;T[[#This Row],[qty_invoiced]],IF(T[[#This Row],[qty_invoiced]]&gt;0,"Partial Invoiced","Not Invoiced"),"Fully Invoiced")</f>
        <v>Fully Invoiced</v>
      </c>
      <c r="R166" t="str">
        <f>IFERROR(VLOOKUP(T[[#This Row],[warehouse]],Table2[],2,FALSE),"--")</f>
        <v>Crusher Alm Eldin-KH</v>
      </c>
    </row>
    <row r="167" spans="1:18" x14ac:dyDescent="0.25">
      <c r="A167" t="s">
        <v>282</v>
      </c>
      <c r="B167" s="1">
        <v>43515</v>
      </c>
      <c r="C167" t="s">
        <v>283</v>
      </c>
      <c r="D167" t="s">
        <v>20</v>
      </c>
      <c r="E167" t="s">
        <v>51</v>
      </c>
      <c r="F167" t="s">
        <v>183</v>
      </c>
      <c r="G167" t="s">
        <v>183</v>
      </c>
      <c r="H167" t="s">
        <v>54</v>
      </c>
      <c r="I167">
        <v>75</v>
      </c>
      <c r="J167">
        <v>0</v>
      </c>
      <c r="K167">
        <v>1</v>
      </c>
      <c r="L167" t="s">
        <v>25</v>
      </c>
      <c r="M167" t="s">
        <v>26</v>
      </c>
      <c r="N167">
        <v>331.3</v>
      </c>
      <c r="O167">
        <v>0</v>
      </c>
      <c r="P167" t="str">
        <f>IF(T[[#This Row],[qty_ordered]]&lt;&gt;T[[#This Row],[qty_received]],IF(T[[#This Row],[qty_received]]&gt;0,"Partial Received","Not Receviced"),"FullyReceived")</f>
        <v>Not Receviced</v>
      </c>
      <c r="Q167" t="str">
        <f>IF(T[[#This Row],[qty_received]]&lt;&gt;T[[#This Row],[qty_invoiced]],IF(T[[#This Row],[qty_invoiced]]&gt;0,"Partial Invoiced","Not Invoiced"),"Fully Invoiced")</f>
        <v>Partial Invoiced</v>
      </c>
      <c r="R167" t="str">
        <f>IFERROR(VLOOKUP(T[[#This Row],[warehouse]],Table2[],2,FALSE),"--")</f>
        <v>--</v>
      </c>
    </row>
    <row r="168" spans="1:18" x14ac:dyDescent="0.25">
      <c r="A168" t="s">
        <v>84</v>
      </c>
      <c r="B168" s="1">
        <v>43446</v>
      </c>
      <c r="C168" t="s">
        <v>193</v>
      </c>
      <c r="D168" t="s">
        <v>76</v>
      </c>
      <c r="E168" t="s">
        <v>226</v>
      </c>
      <c r="F168" t="s">
        <v>108</v>
      </c>
      <c r="G168" t="s">
        <v>109</v>
      </c>
      <c r="H168" t="s">
        <v>24</v>
      </c>
      <c r="I168">
        <v>30.13</v>
      </c>
      <c r="J168">
        <v>30.13</v>
      </c>
      <c r="K168">
        <v>30.13</v>
      </c>
      <c r="L168" t="s">
        <v>25</v>
      </c>
      <c r="M168" t="s">
        <v>132</v>
      </c>
      <c r="N168">
        <v>34567.5</v>
      </c>
      <c r="O168">
        <v>2158443.7000000002</v>
      </c>
      <c r="P168" t="str">
        <f>IF(T[[#This Row],[qty_ordered]]&lt;&gt;T[[#This Row],[qty_received]],IF(T[[#This Row],[qty_received]]&gt;0,"Partial Received","Not Receviced"),"FullyReceived")</f>
        <v>FullyReceived</v>
      </c>
      <c r="Q168" t="str">
        <f>IF(T[[#This Row],[qty_received]]&lt;&gt;T[[#This Row],[qty_invoiced]],IF(T[[#This Row],[qty_invoiced]]&gt;0,"Partial Invoiced","Not Invoiced"),"Fully Invoiced")</f>
        <v>Fully Invoiced</v>
      </c>
      <c r="R168" t="str">
        <f>IFERROR(VLOOKUP(T[[#This Row],[warehouse]],Table2[],2,FALSE),"--")</f>
        <v>Karrar Sorting and Sifting - OMD</v>
      </c>
    </row>
    <row r="169" spans="1:18" x14ac:dyDescent="0.25">
      <c r="A169" t="s">
        <v>284</v>
      </c>
      <c r="B169" s="1">
        <v>43530</v>
      </c>
      <c r="C169" t="s">
        <v>285</v>
      </c>
      <c r="D169" t="s">
        <v>20</v>
      </c>
      <c r="E169" t="s">
        <v>286</v>
      </c>
      <c r="F169" t="s">
        <v>287</v>
      </c>
      <c r="G169" t="s">
        <v>288</v>
      </c>
      <c r="H169" t="s">
        <v>24</v>
      </c>
      <c r="I169">
        <v>210</v>
      </c>
      <c r="J169">
        <v>203.9</v>
      </c>
      <c r="K169">
        <v>203.9</v>
      </c>
      <c r="L169" t="s">
        <v>25</v>
      </c>
      <c r="M169" t="s">
        <v>26</v>
      </c>
      <c r="N169">
        <v>31400</v>
      </c>
      <c r="O169">
        <v>6402460</v>
      </c>
      <c r="P169" t="str">
        <f>IF(T[[#This Row],[qty_ordered]]&lt;&gt;T[[#This Row],[qty_received]],IF(T[[#This Row],[qty_received]]&gt;0,"Partial Received","Not Receviced"),"FullyReceived")</f>
        <v>Partial Received</v>
      </c>
      <c r="Q169" t="str">
        <f>IF(T[[#This Row],[qty_received]]&lt;&gt;T[[#This Row],[qty_invoiced]],IF(T[[#This Row],[qty_invoiced]]&gt;0,"Partial Invoiced","Not Invoiced"),"Fully Invoiced")</f>
        <v>Fully Invoiced</v>
      </c>
      <c r="R169" t="str">
        <f>IFERROR(VLOOKUP(T[[#This Row],[warehouse]],Table2[],2,FALSE),"--")</f>
        <v>CONTRACT FARMING WH</v>
      </c>
    </row>
    <row r="170" spans="1:18" x14ac:dyDescent="0.25">
      <c r="A170" t="s">
        <v>160</v>
      </c>
      <c r="B170" s="1">
        <v>43499</v>
      </c>
      <c r="C170" t="s">
        <v>227</v>
      </c>
      <c r="D170" t="s">
        <v>20</v>
      </c>
      <c r="E170" t="s">
        <v>44</v>
      </c>
      <c r="F170" t="s">
        <v>47</v>
      </c>
      <c r="G170" t="s">
        <v>48</v>
      </c>
      <c r="H170" t="s">
        <v>24</v>
      </c>
      <c r="I170">
        <v>400</v>
      </c>
      <c r="J170">
        <v>220.34</v>
      </c>
      <c r="K170">
        <v>220.34</v>
      </c>
      <c r="L170" t="s">
        <v>25</v>
      </c>
      <c r="M170" t="s">
        <v>26</v>
      </c>
      <c r="N170">
        <v>30855</v>
      </c>
      <c r="O170">
        <v>6798590.7000000002</v>
      </c>
      <c r="P170" t="str">
        <f>IF(T[[#This Row],[qty_ordered]]&lt;&gt;T[[#This Row],[qty_received]],IF(T[[#This Row],[qty_received]]&gt;0,"Partial Received","Not Receviced"),"FullyReceived")</f>
        <v>Partial Received</v>
      </c>
      <c r="Q170" t="str">
        <f>IF(T[[#This Row],[qty_received]]&lt;&gt;T[[#This Row],[qty_invoiced]],IF(T[[#This Row],[qty_invoiced]]&gt;0,"Partial Invoiced","Not Invoiced"),"Fully Invoiced")</f>
        <v>Fully Invoiced</v>
      </c>
      <c r="R170" t="str">
        <f>IFERROR(VLOOKUP(T[[#This Row],[warehouse]],Table2[],2,FALSE),"--")</f>
        <v>Sifter OMD - Yara (AlNawris)</v>
      </c>
    </row>
    <row r="171" spans="1:18" x14ac:dyDescent="0.25">
      <c r="A171" t="s">
        <v>289</v>
      </c>
      <c r="B171" s="1">
        <v>43465</v>
      </c>
      <c r="C171" t="s">
        <v>290</v>
      </c>
      <c r="D171" t="s">
        <v>71</v>
      </c>
      <c r="E171" t="s">
        <v>66</v>
      </c>
      <c r="F171" t="s">
        <v>86</v>
      </c>
      <c r="G171" t="s">
        <v>87</v>
      </c>
      <c r="H171" t="s">
        <v>24</v>
      </c>
      <c r="I171">
        <v>1000</v>
      </c>
      <c r="J171">
        <v>626.66</v>
      </c>
      <c r="K171">
        <v>626.66</v>
      </c>
      <c r="L171" t="s">
        <v>25</v>
      </c>
      <c r="M171" t="s">
        <v>26</v>
      </c>
      <c r="N171">
        <v>91488.6</v>
      </c>
      <c r="O171">
        <v>57332246.075999998</v>
      </c>
      <c r="P171" t="str">
        <f>IF(T[[#This Row],[qty_ordered]]&lt;&gt;T[[#This Row],[qty_received]],IF(T[[#This Row],[qty_received]]&gt;0,"Partial Received","Not Receviced"),"FullyReceived")</f>
        <v>Partial Received</v>
      </c>
      <c r="Q171" t="str">
        <f>IF(T[[#This Row],[qty_received]]&lt;&gt;T[[#This Row],[qty_invoiced]],IF(T[[#This Row],[qty_invoiced]]&gt;0,"Partial Invoiced","Not Invoiced"),"Fully Invoiced")</f>
        <v>Fully Invoiced</v>
      </c>
      <c r="R171" t="str">
        <f>IFERROR(VLOOKUP(T[[#This Row],[warehouse]],Table2[],2,FALSE),"--")</f>
        <v>PZU Main Warehouse</v>
      </c>
    </row>
    <row r="172" spans="1:18" x14ac:dyDescent="0.25">
      <c r="A172" t="s">
        <v>289</v>
      </c>
      <c r="B172" s="1">
        <v>43465</v>
      </c>
      <c r="C172" t="s">
        <v>290</v>
      </c>
      <c r="D172" t="s">
        <v>100</v>
      </c>
      <c r="E172" t="s">
        <v>111</v>
      </c>
      <c r="F172" t="s">
        <v>86</v>
      </c>
      <c r="G172" t="s">
        <v>87</v>
      </c>
      <c r="H172" t="s">
        <v>24</v>
      </c>
      <c r="I172">
        <v>347.3</v>
      </c>
      <c r="J172">
        <v>347.3</v>
      </c>
      <c r="K172">
        <v>347.3</v>
      </c>
      <c r="L172" t="s">
        <v>25</v>
      </c>
      <c r="M172" t="s">
        <v>26</v>
      </c>
      <c r="N172">
        <v>91488.6</v>
      </c>
      <c r="O172">
        <v>31773990.780000001</v>
      </c>
      <c r="P172" t="str">
        <f>IF(T[[#This Row],[qty_ordered]]&lt;&gt;T[[#This Row],[qty_received]],IF(T[[#This Row],[qty_received]]&gt;0,"Partial Received","Not Receviced"),"FullyReceived")</f>
        <v>FullyReceived</v>
      </c>
      <c r="Q172" t="str">
        <f>IF(T[[#This Row],[qty_received]]&lt;&gt;T[[#This Row],[qty_invoiced]],IF(T[[#This Row],[qty_invoiced]]&gt;0,"Partial Invoiced","Not Invoiced"),"Fully Invoiced")</f>
        <v>Fully Invoiced</v>
      </c>
      <c r="R172" t="str">
        <f>IFERROR(VLOOKUP(T[[#This Row],[warehouse]],Table2[],2,FALSE),"--")</f>
        <v>Sifting PZU-Al Jawhra</v>
      </c>
    </row>
    <row r="173" spans="1:18" x14ac:dyDescent="0.25">
      <c r="A173" t="s">
        <v>224</v>
      </c>
      <c r="B173" s="1">
        <v>43513</v>
      </c>
      <c r="C173" t="s">
        <v>291</v>
      </c>
      <c r="D173" t="s">
        <v>20</v>
      </c>
      <c r="E173" t="s">
        <v>51</v>
      </c>
      <c r="F173" t="s">
        <v>183</v>
      </c>
      <c r="G173" t="s">
        <v>183</v>
      </c>
      <c r="H173" t="s">
        <v>54</v>
      </c>
      <c r="I173">
        <v>354.4</v>
      </c>
      <c r="J173">
        <v>0</v>
      </c>
      <c r="K173">
        <v>1</v>
      </c>
      <c r="L173" t="s">
        <v>25</v>
      </c>
      <c r="M173" t="s">
        <v>26</v>
      </c>
      <c r="N173">
        <v>575</v>
      </c>
      <c r="O173">
        <v>0</v>
      </c>
      <c r="P173" t="str">
        <f>IF(T[[#This Row],[qty_ordered]]&lt;&gt;T[[#This Row],[qty_received]],IF(T[[#This Row],[qty_received]]&gt;0,"Partial Received","Not Receviced"),"FullyReceived")</f>
        <v>Not Receviced</v>
      </c>
      <c r="Q173" t="str">
        <f>IF(T[[#This Row],[qty_received]]&lt;&gt;T[[#This Row],[qty_invoiced]],IF(T[[#This Row],[qty_invoiced]]&gt;0,"Partial Invoiced","Not Invoiced"),"Fully Invoiced")</f>
        <v>Partial Invoiced</v>
      </c>
      <c r="R173" t="str">
        <f>IFERROR(VLOOKUP(T[[#This Row],[warehouse]],Table2[],2,FALSE),"--")</f>
        <v>--</v>
      </c>
    </row>
    <row r="174" spans="1:18" x14ac:dyDescent="0.25">
      <c r="A174" t="s">
        <v>160</v>
      </c>
      <c r="B174" s="1">
        <v>43517</v>
      </c>
      <c r="C174" t="s">
        <v>292</v>
      </c>
      <c r="D174" t="s">
        <v>100</v>
      </c>
      <c r="E174" t="s">
        <v>239</v>
      </c>
      <c r="F174" t="s">
        <v>37</v>
      </c>
      <c r="G174" t="s">
        <v>38</v>
      </c>
      <c r="H174" t="s">
        <v>24</v>
      </c>
      <c r="I174">
        <v>776.32</v>
      </c>
      <c r="J174">
        <v>776.32</v>
      </c>
      <c r="K174">
        <v>776.32</v>
      </c>
      <c r="L174" t="s">
        <v>25</v>
      </c>
      <c r="M174" t="s">
        <v>26</v>
      </c>
      <c r="N174">
        <v>111250</v>
      </c>
      <c r="O174">
        <v>86365600</v>
      </c>
      <c r="P174" t="str">
        <f>IF(T[[#This Row],[qty_ordered]]&lt;&gt;T[[#This Row],[qty_received]],IF(T[[#This Row],[qty_received]]&gt;0,"Partial Received","Not Receviced"),"FullyReceived")</f>
        <v>FullyReceived</v>
      </c>
      <c r="Q174" t="str">
        <f>IF(T[[#This Row],[qty_received]]&lt;&gt;T[[#This Row],[qty_invoiced]],IF(T[[#This Row],[qty_invoiced]]&gt;0,"Partial Invoiced","Not Invoiced"),"Fully Invoiced")</f>
        <v>Fully Invoiced</v>
      </c>
      <c r="R174" t="str">
        <f>IFERROR(VLOOKUP(T[[#This Row],[warehouse]],Table2[],2,FALSE),"--")</f>
        <v xml:space="preserve">Gadarif Main Store </v>
      </c>
    </row>
    <row r="175" spans="1:18" x14ac:dyDescent="0.25">
      <c r="A175" t="s">
        <v>144</v>
      </c>
      <c r="B175" s="1">
        <v>43517</v>
      </c>
      <c r="C175" t="s">
        <v>293</v>
      </c>
      <c r="D175" t="s">
        <v>20</v>
      </c>
      <c r="E175" t="s">
        <v>203</v>
      </c>
      <c r="F175" t="s">
        <v>294</v>
      </c>
      <c r="G175" t="s">
        <v>295</v>
      </c>
      <c r="H175" t="s">
        <v>149</v>
      </c>
      <c r="I175">
        <v>204000</v>
      </c>
      <c r="J175">
        <v>0</v>
      </c>
      <c r="K175">
        <v>0</v>
      </c>
      <c r="L175" t="s">
        <v>25</v>
      </c>
      <c r="M175" t="s">
        <v>150</v>
      </c>
      <c r="N175">
        <v>12.69</v>
      </c>
      <c r="O175">
        <v>0</v>
      </c>
      <c r="P175" t="str">
        <f>IF(T[[#This Row],[qty_ordered]]&lt;&gt;T[[#This Row],[qty_received]],IF(T[[#This Row],[qty_received]]&gt;0,"Partial Received","Not Receviced"),"FullyReceived")</f>
        <v>Not Receviced</v>
      </c>
      <c r="Q175" t="str">
        <f>IF(T[[#This Row],[qty_received]]&lt;&gt;T[[#This Row],[qty_invoiced]],IF(T[[#This Row],[qty_invoiced]]&gt;0,"Partial Invoiced","Not Invoiced"),"Fully Invoiced")</f>
        <v>Fully Invoiced</v>
      </c>
      <c r="R175" t="str">
        <f>IFERROR(VLOOKUP(T[[#This Row],[warehouse]],Table2[],2,FALSE),"--")</f>
        <v>PZU Packaging Warehouse</v>
      </c>
    </row>
    <row r="176" spans="1:18" x14ac:dyDescent="0.25">
      <c r="A176" t="s">
        <v>260</v>
      </c>
      <c r="B176" s="1">
        <v>43523</v>
      </c>
      <c r="C176" t="s">
        <v>296</v>
      </c>
      <c r="D176" t="s">
        <v>20</v>
      </c>
      <c r="E176" t="s">
        <v>51</v>
      </c>
      <c r="F176" t="s">
        <v>278</v>
      </c>
      <c r="G176" t="s">
        <v>279</v>
      </c>
      <c r="H176" t="s">
        <v>54</v>
      </c>
      <c r="I176">
        <v>1</v>
      </c>
      <c r="J176">
        <v>0</v>
      </c>
      <c r="K176">
        <v>1</v>
      </c>
      <c r="L176" t="s">
        <v>25</v>
      </c>
      <c r="M176" t="s">
        <v>26</v>
      </c>
      <c r="N176">
        <v>400000</v>
      </c>
      <c r="O176">
        <v>0</v>
      </c>
      <c r="P176" t="str">
        <f>IF(T[[#This Row],[qty_ordered]]&lt;&gt;T[[#This Row],[qty_received]],IF(T[[#This Row],[qty_received]]&gt;0,"Partial Received","Not Receviced"),"FullyReceived")</f>
        <v>Not Receviced</v>
      </c>
      <c r="Q176" t="str">
        <f>IF(T[[#This Row],[qty_received]]&lt;&gt;T[[#This Row],[qty_invoiced]],IF(T[[#This Row],[qty_invoiced]]&gt;0,"Partial Invoiced","Not Invoiced"),"Fully Invoiced")</f>
        <v>Partial Invoiced</v>
      </c>
      <c r="R176" t="str">
        <f>IFERROR(VLOOKUP(T[[#This Row],[warehouse]],Table2[],2,FALSE),"--")</f>
        <v>--</v>
      </c>
    </row>
    <row r="177" spans="1:18" x14ac:dyDescent="0.25">
      <c r="A177" t="s">
        <v>260</v>
      </c>
      <c r="B177" s="1">
        <v>43523</v>
      </c>
      <c r="C177" t="s">
        <v>296</v>
      </c>
      <c r="D177" t="s">
        <v>100</v>
      </c>
      <c r="E177" t="s">
        <v>51</v>
      </c>
      <c r="F177" t="s">
        <v>52</v>
      </c>
      <c r="G177" t="s">
        <v>75</v>
      </c>
      <c r="H177" t="s">
        <v>54</v>
      </c>
      <c r="I177">
        <v>1</v>
      </c>
      <c r="J177">
        <v>0</v>
      </c>
      <c r="K177">
        <v>1</v>
      </c>
      <c r="L177" t="s">
        <v>25</v>
      </c>
      <c r="M177" t="s">
        <v>26</v>
      </c>
      <c r="N177">
        <v>800000</v>
      </c>
      <c r="O177">
        <v>0</v>
      </c>
      <c r="P177" t="str">
        <f>IF(T[[#This Row],[qty_ordered]]&lt;&gt;T[[#This Row],[qty_received]],IF(T[[#This Row],[qty_received]]&gt;0,"Partial Received","Not Receviced"),"FullyReceived")</f>
        <v>Not Receviced</v>
      </c>
      <c r="Q177" t="str">
        <f>IF(T[[#This Row],[qty_received]]&lt;&gt;T[[#This Row],[qty_invoiced]],IF(T[[#This Row],[qty_invoiced]]&gt;0,"Partial Invoiced","Not Invoiced"),"Fully Invoiced")</f>
        <v>Partial Invoiced</v>
      </c>
      <c r="R177" t="str">
        <f>IFERROR(VLOOKUP(T[[#This Row],[warehouse]],Table2[],2,FALSE),"--")</f>
        <v>--</v>
      </c>
    </row>
    <row r="178" spans="1:18" x14ac:dyDescent="0.25">
      <c r="A178" t="s">
        <v>153</v>
      </c>
      <c r="B178" s="1">
        <v>43528</v>
      </c>
      <c r="C178" t="s">
        <v>297</v>
      </c>
      <c r="D178" t="s">
        <v>20</v>
      </c>
      <c r="E178" t="s">
        <v>214</v>
      </c>
      <c r="F178" t="s">
        <v>167</v>
      </c>
      <c r="G178" t="s">
        <v>156</v>
      </c>
      <c r="H178" t="s">
        <v>24</v>
      </c>
      <c r="I178">
        <v>1096.1300000000001</v>
      </c>
      <c r="J178">
        <v>1096.1300000000001</v>
      </c>
      <c r="K178">
        <v>1096.1300000000001</v>
      </c>
      <c r="L178" t="s">
        <v>25</v>
      </c>
      <c r="M178" t="s">
        <v>26</v>
      </c>
      <c r="N178">
        <v>75000</v>
      </c>
      <c r="O178">
        <v>82209750</v>
      </c>
      <c r="P178" t="str">
        <f>IF(T[[#This Row],[qty_ordered]]&lt;&gt;T[[#This Row],[qty_received]],IF(T[[#This Row],[qty_received]]&gt;0,"Partial Received","Not Receviced"),"FullyReceived")</f>
        <v>FullyReceived</v>
      </c>
      <c r="Q178" t="str">
        <f>IF(T[[#This Row],[qty_received]]&lt;&gt;T[[#This Row],[qty_invoiced]],IF(T[[#This Row],[qty_invoiced]]&gt;0,"Partial Invoiced","Not Invoiced"),"Fully Invoiced")</f>
        <v>Fully Invoiced</v>
      </c>
      <c r="R178" t="str">
        <f>IFERROR(VLOOKUP(T[[#This Row],[warehouse]],Table2[],2,FALSE),"--")</f>
        <v>CRUSHER ELBALOLA</v>
      </c>
    </row>
    <row r="179" spans="1:18" x14ac:dyDescent="0.25">
      <c r="A179" t="s">
        <v>84</v>
      </c>
      <c r="B179" s="1">
        <v>43528</v>
      </c>
      <c r="C179" t="s">
        <v>298</v>
      </c>
      <c r="D179" t="s">
        <v>20</v>
      </c>
      <c r="E179" t="s">
        <v>299</v>
      </c>
      <c r="F179" t="s">
        <v>300</v>
      </c>
      <c r="G179" t="s">
        <v>301</v>
      </c>
      <c r="H179" t="s">
        <v>24</v>
      </c>
      <c r="I179">
        <v>333</v>
      </c>
      <c r="J179">
        <v>97.88</v>
      </c>
      <c r="K179">
        <v>97.88</v>
      </c>
      <c r="L179" t="s">
        <v>25</v>
      </c>
      <c r="M179" t="s">
        <v>132</v>
      </c>
      <c r="N179">
        <v>30000</v>
      </c>
      <c r="O179">
        <v>2936400</v>
      </c>
      <c r="P179" t="str">
        <f>IF(T[[#This Row],[qty_ordered]]&lt;&gt;T[[#This Row],[qty_received]],IF(T[[#This Row],[qty_received]]&gt;0,"Partial Received","Not Receviced"),"FullyReceived")</f>
        <v>Partial Received</v>
      </c>
      <c r="Q179" t="str">
        <f>IF(T[[#This Row],[qty_received]]&lt;&gt;T[[#This Row],[qty_invoiced]],IF(T[[#This Row],[qty_invoiced]]&gt;0,"Partial Invoiced","Not Invoiced"),"Fully Invoiced")</f>
        <v>Fully Invoiced</v>
      </c>
      <c r="R179" t="str">
        <f>IFERROR(VLOOKUP(T[[#This Row],[warehouse]],Table2[],2,FALSE),"--")</f>
        <v>Sifters KHA -Alsoug Almahaly</v>
      </c>
    </row>
    <row r="180" spans="1:18" x14ac:dyDescent="0.25">
      <c r="A180" t="s">
        <v>144</v>
      </c>
      <c r="B180" s="1">
        <v>43528</v>
      </c>
      <c r="C180" t="s">
        <v>302</v>
      </c>
      <c r="D180" t="s">
        <v>20</v>
      </c>
      <c r="E180" t="s">
        <v>146</v>
      </c>
      <c r="F180" t="s">
        <v>147</v>
      </c>
      <c r="G180" t="s">
        <v>148</v>
      </c>
      <c r="H180" t="s">
        <v>149</v>
      </c>
      <c r="I180">
        <v>102000</v>
      </c>
      <c r="J180">
        <v>0</v>
      </c>
      <c r="K180">
        <v>0</v>
      </c>
      <c r="L180" t="s">
        <v>25</v>
      </c>
      <c r="M180" t="s">
        <v>150</v>
      </c>
      <c r="N180">
        <v>15.18</v>
      </c>
      <c r="O180">
        <v>0</v>
      </c>
      <c r="P180" t="str">
        <f>IF(T[[#This Row],[qty_ordered]]&lt;&gt;T[[#This Row],[qty_received]],IF(T[[#This Row],[qty_received]]&gt;0,"Partial Received","Not Receviced"),"FullyReceived")</f>
        <v>Not Receviced</v>
      </c>
      <c r="Q180" t="str">
        <f>IF(T[[#This Row],[qty_received]]&lt;&gt;T[[#This Row],[qty_invoiced]],IF(T[[#This Row],[qty_invoiced]]&gt;0,"Partial Invoiced","Not Invoiced"),"Fully Invoiced")</f>
        <v>Fully Invoiced</v>
      </c>
      <c r="R180" t="str">
        <f>IFERROR(VLOOKUP(T[[#This Row],[warehouse]],Table2[],2,FALSE),"--")</f>
        <v>Khtoum Main Warehouse</v>
      </c>
    </row>
    <row r="181" spans="1:18" x14ac:dyDescent="0.25">
      <c r="A181" t="s">
        <v>144</v>
      </c>
      <c r="B181" s="1">
        <v>43528</v>
      </c>
      <c r="C181" t="s">
        <v>302</v>
      </c>
      <c r="D181" t="s">
        <v>71</v>
      </c>
      <c r="E181" t="s">
        <v>146</v>
      </c>
      <c r="F181" t="s">
        <v>151</v>
      </c>
      <c r="G181" t="s">
        <v>152</v>
      </c>
      <c r="H181" t="s">
        <v>149</v>
      </c>
      <c r="I181">
        <v>72000</v>
      </c>
      <c r="J181">
        <v>0</v>
      </c>
      <c r="K181">
        <v>0</v>
      </c>
      <c r="L181" t="s">
        <v>25</v>
      </c>
      <c r="M181" t="s">
        <v>150</v>
      </c>
      <c r="N181">
        <v>14.747999999999999</v>
      </c>
      <c r="O181">
        <v>0</v>
      </c>
      <c r="P181" t="str">
        <f>IF(T[[#This Row],[qty_ordered]]&lt;&gt;T[[#This Row],[qty_received]],IF(T[[#This Row],[qty_received]]&gt;0,"Partial Received","Not Receviced"),"FullyReceived")</f>
        <v>Not Receviced</v>
      </c>
      <c r="Q181" t="str">
        <f>IF(T[[#This Row],[qty_received]]&lt;&gt;T[[#This Row],[qty_invoiced]],IF(T[[#This Row],[qty_invoiced]]&gt;0,"Partial Invoiced","Not Invoiced"),"Fully Invoiced")</f>
        <v>Fully Invoiced</v>
      </c>
      <c r="R181" t="str">
        <f>IFERROR(VLOOKUP(T[[#This Row],[warehouse]],Table2[],2,FALSE),"--")</f>
        <v>Khtoum Main Warehouse</v>
      </c>
    </row>
    <row r="182" spans="1:18" x14ac:dyDescent="0.25">
      <c r="A182" t="s">
        <v>303</v>
      </c>
      <c r="B182" s="1">
        <v>43500</v>
      </c>
      <c r="C182" t="s">
        <v>304</v>
      </c>
      <c r="D182" t="s">
        <v>20</v>
      </c>
      <c r="E182" t="s">
        <v>66</v>
      </c>
      <c r="F182" t="s">
        <v>305</v>
      </c>
      <c r="G182" t="s">
        <v>306</v>
      </c>
      <c r="H182" t="s">
        <v>24</v>
      </c>
      <c r="I182">
        <v>4379.04</v>
      </c>
      <c r="J182">
        <v>4379.04</v>
      </c>
      <c r="K182">
        <v>4379.04</v>
      </c>
      <c r="L182" t="s">
        <v>25</v>
      </c>
      <c r="M182" t="s">
        <v>26</v>
      </c>
      <c r="N182">
        <v>10000</v>
      </c>
      <c r="O182">
        <v>43790400</v>
      </c>
      <c r="P182" t="str">
        <f>IF(T[[#This Row],[qty_ordered]]&lt;&gt;T[[#This Row],[qty_received]],IF(T[[#This Row],[qty_received]]&gt;0,"Partial Received","Not Receviced"),"FullyReceived")</f>
        <v>FullyReceived</v>
      </c>
      <c r="Q182" t="str">
        <f>IF(T[[#This Row],[qty_received]]&lt;&gt;T[[#This Row],[qty_invoiced]],IF(T[[#This Row],[qty_invoiced]]&gt;0,"Partial Invoiced","Not Invoiced"),"Fully Invoiced")</f>
        <v>Fully Invoiced</v>
      </c>
      <c r="R182" t="str">
        <f>IFERROR(VLOOKUP(T[[#This Row],[warehouse]],Table2[],2,FALSE),"--")</f>
        <v>PZU Main Warehouse</v>
      </c>
    </row>
    <row r="183" spans="1:18" x14ac:dyDescent="0.25">
      <c r="A183" t="s">
        <v>49</v>
      </c>
      <c r="B183" s="1">
        <v>43501</v>
      </c>
      <c r="C183" t="s">
        <v>307</v>
      </c>
      <c r="D183" t="s">
        <v>20</v>
      </c>
      <c r="E183" t="s">
        <v>51</v>
      </c>
      <c r="F183" t="s">
        <v>52</v>
      </c>
      <c r="G183" t="s">
        <v>53</v>
      </c>
      <c r="H183" t="s">
        <v>54</v>
      </c>
      <c r="I183">
        <v>2000</v>
      </c>
      <c r="J183">
        <v>0</v>
      </c>
      <c r="K183">
        <v>0</v>
      </c>
      <c r="L183" t="s">
        <v>25</v>
      </c>
      <c r="M183" t="s">
        <v>26</v>
      </c>
      <c r="N183">
        <v>70</v>
      </c>
      <c r="O183">
        <v>0</v>
      </c>
      <c r="P183" t="str">
        <f>IF(T[[#This Row],[qty_ordered]]&lt;&gt;T[[#This Row],[qty_received]],IF(T[[#This Row],[qty_received]]&gt;0,"Partial Received","Not Receviced"),"FullyReceived")</f>
        <v>Not Receviced</v>
      </c>
      <c r="Q183" t="str">
        <f>IF(T[[#This Row],[qty_received]]&lt;&gt;T[[#This Row],[qty_invoiced]],IF(T[[#This Row],[qty_invoiced]]&gt;0,"Partial Invoiced","Not Invoiced"),"Fully Invoiced")</f>
        <v>Fully Invoiced</v>
      </c>
      <c r="R183" t="str">
        <f>IFERROR(VLOOKUP(T[[#This Row],[warehouse]],Table2[],2,FALSE),"--")</f>
        <v>--</v>
      </c>
    </row>
    <row r="184" spans="1:18" x14ac:dyDescent="0.25">
      <c r="A184" t="s">
        <v>289</v>
      </c>
      <c r="B184" s="1">
        <v>43465</v>
      </c>
      <c r="C184" t="s">
        <v>290</v>
      </c>
      <c r="D184" t="s">
        <v>88</v>
      </c>
      <c r="E184" t="s">
        <v>146</v>
      </c>
      <c r="F184" t="s">
        <v>86</v>
      </c>
      <c r="G184" t="s">
        <v>87</v>
      </c>
      <c r="H184" t="s">
        <v>24</v>
      </c>
      <c r="I184">
        <v>32.479999999999997</v>
      </c>
      <c r="J184">
        <v>32.479999999999997</v>
      </c>
      <c r="K184">
        <v>32.479999999999997</v>
      </c>
      <c r="L184" t="s">
        <v>25</v>
      </c>
      <c r="M184" t="s">
        <v>26</v>
      </c>
      <c r="N184">
        <v>91488.6</v>
      </c>
      <c r="O184">
        <v>2971549.7280000001</v>
      </c>
      <c r="P184" t="str">
        <f>IF(T[[#This Row],[qty_ordered]]&lt;&gt;T[[#This Row],[qty_received]],IF(T[[#This Row],[qty_received]]&gt;0,"Partial Received","Not Receviced"),"FullyReceived")</f>
        <v>FullyReceived</v>
      </c>
      <c r="Q184" t="str">
        <f>IF(T[[#This Row],[qty_received]]&lt;&gt;T[[#This Row],[qty_invoiced]],IF(T[[#This Row],[qty_invoiced]]&gt;0,"Partial Invoiced","Not Invoiced"),"Fully Invoiced")</f>
        <v>Fully Invoiced</v>
      </c>
      <c r="R184" t="str">
        <f>IFERROR(VLOOKUP(T[[#This Row],[warehouse]],Table2[],2,FALSE),"--")</f>
        <v>Khtoum Main Warehouse</v>
      </c>
    </row>
    <row r="185" spans="1:18" x14ac:dyDescent="0.25">
      <c r="A185" t="s">
        <v>260</v>
      </c>
      <c r="B185" s="1">
        <v>43523</v>
      </c>
      <c r="C185" t="s">
        <v>296</v>
      </c>
      <c r="D185" t="s">
        <v>71</v>
      </c>
      <c r="E185" t="s">
        <v>51</v>
      </c>
      <c r="F185" t="s">
        <v>278</v>
      </c>
      <c r="G185" t="s">
        <v>279</v>
      </c>
      <c r="H185" t="s">
        <v>54</v>
      </c>
      <c r="I185">
        <v>1</v>
      </c>
      <c r="J185">
        <v>0</v>
      </c>
      <c r="K185">
        <v>1</v>
      </c>
      <c r="L185" t="s">
        <v>25</v>
      </c>
      <c r="M185" t="s">
        <v>26</v>
      </c>
      <c r="N185">
        <v>230000</v>
      </c>
      <c r="O185">
        <v>0</v>
      </c>
      <c r="P185" t="str">
        <f>IF(T[[#This Row],[qty_ordered]]&lt;&gt;T[[#This Row],[qty_received]],IF(T[[#This Row],[qty_received]]&gt;0,"Partial Received","Not Receviced"),"FullyReceived")</f>
        <v>Not Receviced</v>
      </c>
      <c r="Q185" t="str">
        <f>IF(T[[#This Row],[qty_received]]&lt;&gt;T[[#This Row],[qty_invoiced]],IF(T[[#This Row],[qty_invoiced]]&gt;0,"Partial Invoiced","Not Invoiced"),"Fully Invoiced")</f>
        <v>Partial Invoiced</v>
      </c>
      <c r="R185" t="str">
        <f>IFERROR(VLOOKUP(T[[#This Row],[warehouse]],Table2[],2,FALSE),"--")</f>
        <v>--</v>
      </c>
    </row>
    <row r="186" spans="1:18" x14ac:dyDescent="0.25">
      <c r="A186" t="s">
        <v>308</v>
      </c>
      <c r="B186" s="1">
        <v>43523</v>
      </c>
      <c r="C186" t="s">
        <v>309</v>
      </c>
      <c r="D186" t="s">
        <v>20</v>
      </c>
      <c r="E186" t="s">
        <v>51</v>
      </c>
      <c r="F186" t="s">
        <v>278</v>
      </c>
      <c r="G186" t="s">
        <v>279</v>
      </c>
      <c r="H186" t="s">
        <v>54</v>
      </c>
      <c r="I186">
        <v>1</v>
      </c>
      <c r="J186">
        <v>0</v>
      </c>
      <c r="K186">
        <v>0</v>
      </c>
      <c r="L186" t="s">
        <v>59</v>
      </c>
      <c r="M186" t="s">
        <v>26</v>
      </c>
      <c r="N186">
        <v>500000</v>
      </c>
      <c r="O186">
        <v>0</v>
      </c>
      <c r="P186" t="str">
        <f>IF(T[[#This Row],[qty_ordered]]&lt;&gt;T[[#This Row],[qty_received]],IF(T[[#This Row],[qty_received]]&gt;0,"Partial Received","Not Receviced"),"FullyReceived")</f>
        <v>Not Receviced</v>
      </c>
      <c r="Q186" t="str">
        <f>IF(T[[#This Row],[qty_received]]&lt;&gt;T[[#This Row],[qty_invoiced]],IF(T[[#This Row],[qty_invoiced]]&gt;0,"Partial Invoiced","Not Invoiced"),"Fully Invoiced")</f>
        <v>Fully Invoiced</v>
      </c>
      <c r="R186" t="str">
        <f>IFERROR(VLOOKUP(T[[#This Row],[warehouse]],Table2[],2,FALSE),"--")</f>
        <v>--</v>
      </c>
    </row>
    <row r="187" spans="1:18" x14ac:dyDescent="0.25">
      <c r="A187" t="s">
        <v>308</v>
      </c>
      <c r="B187" s="1">
        <v>43523</v>
      </c>
      <c r="C187" t="s">
        <v>309</v>
      </c>
      <c r="D187" t="s">
        <v>71</v>
      </c>
      <c r="E187" t="s">
        <v>51</v>
      </c>
      <c r="F187" t="s">
        <v>278</v>
      </c>
      <c r="G187" t="s">
        <v>279</v>
      </c>
      <c r="H187" t="s">
        <v>54</v>
      </c>
      <c r="I187">
        <v>1</v>
      </c>
      <c r="J187">
        <v>0</v>
      </c>
      <c r="K187">
        <v>0</v>
      </c>
      <c r="L187" t="s">
        <v>59</v>
      </c>
      <c r="M187" t="s">
        <v>26</v>
      </c>
      <c r="N187">
        <v>400000</v>
      </c>
      <c r="O187">
        <v>0</v>
      </c>
      <c r="P187" t="str">
        <f>IF(T[[#This Row],[qty_ordered]]&lt;&gt;T[[#This Row],[qty_received]],IF(T[[#This Row],[qty_received]]&gt;0,"Partial Received","Not Receviced"),"FullyReceived")</f>
        <v>Not Receviced</v>
      </c>
      <c r="Q187" t="str">
        <f>IF(T[[#This Row],[qty_received]]&lt;&gt;T[[#This Row],[qty_invoiced]],IF(T[[#This Row],[qty_invoiced]]&gt;0,"Partial Invoiced","Not Invoiced"),"Fully Invoiced")</f>
        <v>Fully Invoiced</v>
      </c>
      <c r="R187" t="str">
        <f>IFERROR(VLOOKUP(T[[#This Row],[warehouse]],Table2[],2,FALSE),"--")</f>
        <v>--</v>
      </c>
    </row>
    <row r="188" spans="1:18" x14ac:dyDescent="0.25">
      <c r="A188" t="s">
        <v>144</v>
      </c>
      <c r="B188" s="1">
        <v>43528</v>
      </c>
      <c r="C188" t="s">
        <v>310</v>
      </c>
      <c r="D188" t="s">
        <v>20</v>
      </c>
      <c r="E188" t="s">
        <v>203</v>
      </c>
      <c r="F188" t="s">
        <v>147</v>
      </c>
      <c r="G188" t="s">
        <v>148</v>
      </c>
      <c r="H188" t="s">
        <v>149</v>
      </c>
      <c r="I188">
        <v>90000</v>
      </c>
      <c r="J188">
        <v>0</v>
      </c>
      <c r="K188">
        <v>0</v>
      </c>
      <c r="L188" t="s">
        <v>25</v>
      </c>
      <c r="M188" t="s">
        <v>150</v>
      </c>
      <c r="N188">
        <v>15.18</v>
      </c>
      <c r="O188">
        <v>0</v>
      </c>
      <c r="P188" t="str">
        <f>IF(T[[#This Row],[qty_ordered]]&lt;&gt;T[[#This Row],[qty_received]],IF(T[[#This Row],[qty_received]]&gt;0,"Partial Received","Not Receviced"),"FullyReceived")</f>
        <v>Not Receviced</v>
      </c>
      <c r="Q188" t="str">
        <f>IF(T[[#This Row],[qty_received]]&lt;&gt;T[[#This Row],[qty_invoiced]],IF(T[[#This Row],[qty_invoiced]]&gt;0,"Partial Invoiced","Not Invoiced"),"Fully Invoiced")</f>
        <v>Fully Invoiced</v>
      </c>
      <c r="R188" t="str">
        <f>IFERROR(VLOOKUP(T[[#This Row],[warehouse]],Table2[],2,FALSE),"--")</f>
        <v>PZU Packaging Warehouse</v>
      </c>
    </row>
    <row r="189" spans="1:18" x14ac:dyDescent="0.25">
      <c r="A189" t="s">
        <v>144</v>
      </c>
      <c r="B189" s="1">
        <v>43528</v>
      </c>
      <c r="C189" t="s">
        <v>310</v>
      </c>
      <c r="D189" t="s">
        <v>71</v>
      </c>
      <c r="E189" t="s">
        <v>203</v>
      </c>
      <c r="F189" t="s">
        <v>151</v>
      </c>
      <c r="G189" t="s">
        <v>152</v>
      </c>
      <c r="H189" t="s">
        <v>149</v>
      </c>
      <c r="I189">
        <v>21000</v>
      </c>
      <c r="J189">
        <v>0</v>
      </c>
      <c r="K189">
        <v>0</v>
      </c>
      <c r="L189" t="s">
        <v>25</v>
      </c>
      <c r="M189" t="s">
        <v>150</v>
      </c>
      <c r="N189">
        <v>14.747999999999999</v>
      </c>
      <c r="O189">
        <v>0</v>
      </c>
      <c r="P189" t="str">
        <f>IF(T[[#This Row],[qty_ordered]]&lt;&gt;T[[#This Row],[qty_received]],IF(T[[#This Row],[qty_received]]&gt;0,"Partial Received","Not Receviced"),"FullyReceived")</f>
        <v>Not Receviced</v>
      </c>
      <c r="Q189" t="str">
        <f>IF(T[[#This Row],[qty_received]]&lt;&gt;T[[#This Row],[qty_invoiced]],IF(T[[#This Row],[qty_invoiced]]&gt;0,"Partial Invoiced","Not Invoiced"),"Fully Invoiced")</f>
        <v>Fully Invoiced</v>
      </c>
      <c r="R189" t="str">
        <f>IFERROR(VLOOKUP(T[[#This Row],[warehouse]],Table2[],2,FALSE),"--")</f>
        <v>PZU Packaging Warehouse</v>
      </c>
    </row>
    <row r="190" spans="1:18" x14ac:dyDescent="0.25">
      <c r="A190" t="s">
        <v>144</v>
      </c>
      <c r="B190" s="1">
        <v>43528</v>
      </c>
      <c r="C190" t="s">
        <v>311</v>
      </c>
      <c r="D190" t="s">
        <v>20</v>
      </c>
      <c r="E190" t="s">
        <v>239</v>
      </c>
      <c r="F190" t="s">
        <v>147</v>
      </c>
      <c r="G190" t="s">
        <v>148</v>
      </c>
      <c r="H190" t="s">
        <v>149</v>
      </c>
      <c r="I190">
        <v>42000</v>
      </c>
      <c r="J190">
        <v>0</v>
      </c>
      <c r="K190">
        <v>0</v>
      </c>
      <c r="L190" t="s">
        <v>25</v>
      </c>
      <c r="M190" t="s">
        <v>150</v>
      </c>
      <c r="N190">
        <v>15.18</v>
      </c>
      <c r="O190">
        <v>0</v>
      </c>
      <c r="P190" t="str">
        <f>IF(T[[#This Row],[qty_ordered]]&lt;&gt;T[[#This Row],[qty_received]],IF(T[[#This Row],[qty_received]]&gt;0,"Partial Received","Not Receviced"),"FullyReceived")</f>
        <v>Not Receviced</v>
      </c>
      <c r="Q190" t="str">
        <f>IF(T[[#This Row],[qty_received]]&lt;&gt;T[[#This Row],[qty_invoiced]],IF(T[[#This Row],[qty_invoiced]]&gt;0,"Partial Invoiced","Not Invoiced"),"Fully Invoiced")</f>
        <v>Fully Invoiced</v>
      </c>
      <c r="R190" t="str">
        <f>IFERROR(VLOOKUP(T[[#This Row],[warehouse]],Table2[],2,FALSE),"--")</f>
        <v xml:space="preserve">Gadarif Main Store </v>
      </c>
    </row>
    <row r="191" spans="1:18" x14ac:dyDescent="0.25">
      <c r="A191" t="s">
        <v>144</v>
      </c>
      <c r="B191" s="1">
        <v>43528</v>
      </c>
      <c r="C191" t="s">
        <v>302</v>
      </c>
      <c r="D191" t="s">
        <v>100</v>
      </c>
      <c r="E191" t="s">
        <v>146</v>
      </c>
      <c r="F191" t="s">
        <v>312</v>
      </c>
      <c r="G191" t="s">
        <v>313</v>
      </c>
      <c r="H191" t="s">
        <v>149</v>
      </c>
      <c r="I191" s="2">
        <v>30000</v>
      </c>
      <c r="J191">
        <v>0</v>
      </c>
      <c r="K191">
        <v>0</v>
      </c>
      <c r="L191" t="s">
        <v>25</v>
      </c>
      <c r="M191" t="s">
        <v>150</v>
      </c>
      <c r="N191">
        <v>14.747999999999999</v>
      </c>
      <c r="O191">
        <v>0</v>
      </c>
      <c r="P191" t="str">
        <f>IF(T[[#This Row],[qty_ordered]]&lt;&gt;T[[#This Row],[qty_received]],IF(T[[#This Row],[qty_received]]&gt;0,"Partial Received","Not Receviced"),"FullyReceived")</f>
        <v>Not Receviced</v>
      </c>
      <c r="Q191" t="str">
        <f>IF(T[[#This Row],[qty_received]]&lt;&gt;T[[#This Row],[qty_invoiced]],IF(T[[#This Row],[qty_invoiced]]&gt;0,"Partial Invoiced","Not Invoiced"),"Fully Invoiced")</f>
        <v>Fully Invoiced</v>
      </c>
      <c r="R191" t="str">
        <f>IFERROR(VLOOKUP(T[[#This Row],[warehouse]],Table2[],2,FALSE),"--")</f>
        <v>Khtoum Main Warehouse</v>
      </c>
    </row>
    <row r="192" spans="1:18" x14ac:dyDescent="0.25">
      <c r="A192" t="s">
        <v>248</v>
      </c>
      <c r="B192" s="1">
        <v>43507</v>
      </c>
      <c r="C192" t="s">
        <v>314</v>
      </c>
      <c r="D192" t="s">
        <v>71</v>
      </c>
      <c r="E192" t="s">
        <v>51</v>
      </c>
      <c r="F192" t="s">
        <v>52</v>
      </c>
      <c r="G192" t="s">
        <v>75</v>
      </c>
      <c r="H192" t="s">
        <v>54</v>
      </c>
      <c r="I192" s="2">
        <v>4500</v>
      </c>
      <c r="J192">
        <v>0</v>
      </c>
      <c r="K192">
        <v>1</v>
      </c>
      <c r="L192" t="s">
        <v>25</v>
      </c>
      <c r="M192" t="s">
        <v>26</v>
      </c>
      <c r="N192">
        <v>2.8</v>
      </c>
      <c r="O192">
        <v>0</v>
      </c>
      <c r="P192" t="str">
        <f>IF(T[[#This Row],[qty_ordered]]&lt;&gt;T[[#This Row],[qty_received]],IF(T[[#This Row],[qty_received]]&gt;0,"Partial Received","Not Receviced"),"FullyReceived")</f>
        <v>Not Receviced</v>
      </c>
      <c r="Q192" t="str">
        <f>IF(T[[#This Row],[qty_received]]&lt;&gt;T[[#This Row],[qty_invoiced]],IF(T[[#This Row],[qty_invoiced]]&gt;0,"Partial Invoiced","Not Invoiced"),"Fully Invoiced")</f>
        <v>Partial Invoiced</v>
      </c>
      <c r="R192" t="str">
        <f>IFERROR(VLOOKUP(T[[#This Row],[warehouse]],Table2[],2,FALSE),"--")</f>
        <v>--</v>
      </c>
    </row>
    <row r="193" spans="1:18" x14ac:dyDescent="0.25">
      <c r="A193" t="s">
        <v>248</v>
      </c>
      <c r="B193" s="1">
        <v>43507</v>
      </c>
      <c r="C193" t="s">
        <v>315</v>
      </c>
      <c r="D193" t="s">
        <v>100</v>
      </c>
      <c r="E193" t="s">
        <v>51</v>
      </c>
      <c r="F193" t="s">
        <v>52</v>
      </c>
      <c r="G193" t="s">
        <v>75</v>
      </c>
      <c r="H193" t="s">
        <v>54</v>
      </c>
      <c r="I193">
        <v>10000</v>
      </c>
      <c r="J193">
        <v>0</v>
      </c>
      <c r="K193">
        <v>1</v>
      </c>
      <c r="L193" t="s">
        <v>25</v>
      </c>
      <c r="M193" t="s">
        <v>26</v>
      </c>
      <c r="N193">
        <v>2.8</v>
      </c>
      <c r="O193">
        <v>0</v>
      </c>
      <c r="P193" t="str">
        <f>IF(T[[#This Row],[qty_ordered]]&lt;&gt;T[[#This Row],[qty_received]],IF(T[[#This Row],[qty_received]]&gt;0,"Partial Received","Not Receviced"),"FullyReceived")</f>
        <v>Not Receviced</v>
      </c>
      <c r="Q193" t="str">
        <f>IF(T[[#This Row],[qty_received]]&lt;&gt;T[[#This Row],[qty_invoiced]],IF(T[[#This Row],[qty_invoiced]]&gt;0,"Partial Invoiced","Not Invoiced"),"Fully Invoiced")</f>
        <v>Partial Invoiced</v>
      </c>
      <c r="R193" t="str">
        <f>IFERROR(VLOOKUP(T[[#This Row],[warehouse]],Table2[],2,FALSE),"--")</f>
        <v>--</v>
      </c>
    </row>
    <row r="194" spans="1:18" x14ac:dyDescent="0.25">
      <c r="A194" t="s">
        <v>115</v>
      </c>
      <c r="B194" s="1">
        <v>43396</v>
      </c>
      <c r="C194" t="s">
        <v>180</v>
      </c>
      <c r="D194" t="s">
        <v>71</v>
      </c>
      <c r="E194" t="s">
        <v>51</v>
      </c>
      <c r="F194" t="s">
        <v>52</v>
      </c>
      <c r="G194" t="s">
        <v>75</v>
      </c>
      <c r="H194" t="s">
        <v>54</v>
      </c>
      <c r="I194">
        <v>20.36</v>
      </c>
      <c r="J194">
        <v>0</v>
      </c>
      <c r="K194">
        <v>1</v>
      </c>
      <c r="L194" t="s">
        <v>25</v>
      </c>
      <c r="M194" t="s">
        <v>26</v>
      </c>
      <c r="N194">
        <v>200</v>
      </c>
      <c r="O194">
        <v>0</v>
      </c>
      <c r="P194" t="str">
        <f>IF(T[[#This Row],[qty_ordered]]&lt;&gt;T[[#This Row],[qty_received]],IF(T[[#This Row],[qty_received]]&gt;0,"Partial Received","Not Receviced"),"FullyReceived")</f>
        <v>Not Receviced</v>
      </c>
      <c r="Q194" t="str">
        <f>IF(T[[#This Row],[qty_received]]&lt;&gt;T[[#This Row],[qty_invoiced]],IF(T[[#This Row],[qty_invoiced]]&gt;0,"Partial Invoiced","Not Invoiced"),"Fully Invoiced")</f>
        <v>Partial Invoiced</v>
      </c>
      <c r="R194" t="str">
        <f>IFERROR(VLOOKUP(T[[#This Row],[warehouse]],Table2[],2,FALSE),"--")</f>
        <v>--</v>
      </c>
    </row>
    <row r="195" spans="1:18" x14ac:dyDescent="0.25">
      <c r="A195" t="s">
        <v>115</v>
      </c>
      <c r="B195" s="1">
        <v>43396</v>
      </c>
      <c r="C195" t="s">
        <v>180</v>
      </c>
      <c r="D195" t="s">
        <v>100</v>
      </c>
      <c r="E195" t="s">
        <v>51</v>
      </c>
      <c r="F195" t="s">
        <v>52</v>
      </c>
      <c r="G195" t="s">
        <v>75</v>
      </c>
      <c r="H195" t="s">
        <v>54</v>
      </c>
      <c r="I195">
        <v>20.36</v>
      </c>
      <c r="J195">
        <v>0</v>
      </c>
      <c r="K195">
        <v>1</v>
      </c>
      <c r="L195" t="s">
        <v>25</v>
      </c>
      <c r="M195" t="s">
        <v>26</v>
      </c>
      <c r="N195">
        <v>450</v>
      </c>
      <c r="O195">
        <v>0</v>
      </c>
      <c r="P195" t="str">
        <f>IF(T[[#This Row],[qty_ordered]]&lt;&gt;T[[#This Row],[qty_received]],IF(T[[#This Row],[qty_received]]&gt;0,"Partial Received","Not Receviced"),"FullyReceived")</f>
        <v>Not Receviced</v>
      </c>
      <c r="Q195" t="str">
        <f>IF(T[[#This Row],[qty_received]]&lt;&gt;T[[#This Row],[qty_invoiced]],IF(T[[#This Row],[qty_invoiced]]&gt;0,"Partial Invoiced","Not Invoiced"),"Fully Invoiced")</f>
        <v>Partial Invoiced</v>
      </c>
      <c r="R195" t="str">
        <f>IFERROR(VLOOKUP(T[[#This Row],[warehouse]],Table2[],2,FALSE),"--")</f>
        <v>--</v>
      </c>
    </row>
    <row r="196" spans="1:18" x14ac:dyDescent="0.25">
      <c r="A196" t="s">
        <v>115</v>
      </c>
      <c r="B196" s="1">
        <v>43396</v>
      </c>
      <c r="C196" t="s">
        <v>180</v>
      </c>
      <c r="D196" t="s">
        <v>88</v>
      </c>
      <c r="E196" t="s">
        <v>51</v>
      </c>
      <c r="F196" t="s">
        <v>52</v>
      </c>
      <c r="G196" t="s">
        <v>75</v>
      </c>
      <c r="H196" t="s">
        <v>54</v>
      </c>
      <c r="I196">
        <v>10.7</v>
      </c>
      <c r="J196">
        <v>0</v>
      </c>
      <c r="K196">
        <v>1</v>
      </c>
      <c r="L196" t="s">
        <v>25</v>
      </c>
      <c r="M196" t="s">
        <v>26</v>
      </c>
      <c r="N196">
        <v>450</v>
      </c>
      <c r="O196">
        <v>0</v>
      </c>
      <c r="P196" t="str">
        <f>IF(T[[#This Row],[qty_ordered]]&lt;&gt;T[[#This Row],[qty_received]],IF(T[[#This Row],[qty_received]]&gt;0,"Partial Received","Not Receviced"),"FullyReceived")</f>
        <v>Not Receviced</v>
      </c>
      <c r="Q196" t="str">
        <f>IF(T[[#This Row],[qty_received]]&lt;&gt;T[[#This Row],[qty_invoiced]],IF(T[[#This Row],[qty_invoiced]]&gt;0,"Partial Invoiced","Not Invoiced"),"Fully Invoiced")</f>
        <v>Partial Invoiced</v>
      </c>
      <c r="R196" t="str">
        <f>IFERROR(VLOOKUP(T[[#This Row],[warehouse]],Table2[],2,FALSE),"--")</f>
        <v>--</v>
      </c>
    </row>
    <row r="197" spans="1:18" x14ac:dyDescent="0.25">
      <c r="A197" t="s">
        <v>115</v>
      </c>
      <c r="B197" s="1">
        <v>43396</v>
      </c>
      <c r="C197" t="s">
        <v>180</v>
      </c>
      <c r="D197" t="s">
        <v>74</v>
      </c>
      <c r="E197" t="s">
        <v>51</v>
      </c>
      <c r="F197" t="s">
        <v>52</v>
      </c>
      <c r="G197" t="s">
        <v>75</v>
      </c>
      <c r="H197" t="s">
        <v>54</v>
      </c>
      <c r="I197">
        <v>28.05</v>
      </c>
      <c r="J197">
        <v>0</v>
      </c>
      <c r="K197">
        <v>1</v>
      </c>
      <c r="L197" t="s">
        <v>25</v>
      </c>
      <c r="M197" t="s">
        <v>26</v>
      </c>
      <c r="N197">
        <v>152</v>
      </c>
      <c r="O197">
        <v>0</v>
      </c>
      <c r="P197" t="str">
        <f>IF(T[[#This Row],[qty_ordered]]&lt;&gt;T[[#This Row],[qty_received]],IF(T[[#This Row],[qty_received]]&gt;0,"Partial Received","Not Receviced"),"FullyReceived")</f>
        <v>Not Receviced</v>
      </c>
      <c r="Q197" t="str">
        <f>IF(T[[#This Row],[qty_received]]&lt;&gt;T[[#This Row],[qty_invoiced]],IF(T[[#This Row],[qty_invoiced]]&gt;0,"Partial Invoiced","Not Invoiced"),"Fully Invoiced")</f>
        <v>Partial Invoiced</v>
      </c>
      <c r="R197" t="str">
        <f>IFERROR(VLOOKUP(T[[#This Row],[warehouse]],Table2[],2,FALSE),"--")</f>
        <v>--</v>
      </c>
    </row>
    <row r="198" spans="1:18" x14ac:dyDescent="0.25">
      <c r="A198" t="s">
        <v>115</v>
      </c>
      <c r="B198" s="1">
        <v>43396</v>
      </c>
      <c r="C198" t="s">
        <v>180</v>
      </c>
      <c r="D198" t="s">
        <v>76</v>
      </c>
      <c r="E198" t="s">
        <v>51</v>
      </c>
      <c r="F198" t="s">
        <v>52</v>
      </c>
      <c r="G198" t="s">
        <v>274</v>
      </c>
      <c r="H198" t="s">
        <v>54</v>
      </c>
      <c r="I198">
        <v>28.05</v>
      </c>
      <c r="J198">
        <v>0</v>
      </c>
      <c r="K198">
        <v>1</v>
      </c>
      <c r="L198" t="s">
        <v>25</v>
      </c>
      <c r="M198" t="s">
        <v>26</v>
      </c>
      <c r="N198">
        <v>60</v>
      </c>
      <c r="O198">
        <v>0</v>
      </c>
      <c r="P198" t="str">
        <f>IF(T[[#This Row],[qty_ordered]]&lt;&gt;T[[#This Row],[qty_received]],IF(T[[#This Row],[qty_received]]&gt;0,"Partial Received","Not Receviced"),"FullyReceived")</f>
        <v>Not Receviced</v>
      </c>
      <c r="Q198" t="str">
        <f>IF(T[[#This Row],[qty_received]]&lt;&gt;T[[#This Row],[qty_invoiced]],IF(T[[#This Row],[qty_invoiced]]&gt;0,"Partial Invoiced","Not Invoiced"),"Fully Invoiced")</f>
        <v>Partial Invoiced</v>
      </c>
      <c r="R198" t="str">
        <f>IFERROR(VLOOKUP(T[[#This Row],[warehouse]],Table2[],2,FALSE),"--")</f>
        <v>--</v>
      </c>
    </row>
    <row r="199" spans="1:18" x14ac:dyDescent="0.25">
      <c r="A199" t="s">
        <v>316</v>
      </c>
      <c r="B199" s="1">
        <v>43408</v>
      </c>
      <c r="C199" t="s">
        <v>317</v>
      </c>
      <c r="D199" t="s">
        <v>20</v>
      </c>
      <c r="E199" t="s">
        <v>51</v>
      </c>
      <c r="F199" t="s">
        <v>52</v>
      </c>
      <c r="G199" t="s">
        <v>318</v>
      </c>
      <c r="H199" t="s">
        <v>54</v>
      </c>
      <c r="I199">
        <v>50000</v>
      </c>
      <c r="J199">
        <v>0</v>
      </c>
      <c r="K199">
        <v>1</v>
      </c>
      <c r="L199" t="s">
        <v>25</v>
      </c>
      <c r="M199" t="s">
        <v>26</v>
      </c>
      <c r="N199">
        <v>620</v>
      </c>
      <c r="O199">
        <v>0</v>
      </c>
      <c r="P199" t="str">
        <f>IF(T[[#This Row],[qty_ordered]]&lt;&gt;T[[#This Row],[qty_received]],IF(T[[#This Row],[qty_received]]&gt;0,"Partial Received","Not Receviced"),"FullyReceived")</f>
        <v>Not Receviced</v>
      </c>
      <c r="Q199" t="str">
        <f>IF(T[[#This Row],[qty_received]]&lt;&gt;T[[#This Row],[qty_invoiced]],IF(T[[#This Row],[qty_invoiced]]&gt;0,"Partial Invoiced","Not Invoiced"),"Fully Invoiced")</f>
        <v>Partial Invoiced</v>
      </c>
      <c r="R199" t="str">
        <f>IFERROR(VLOOKUP(T[[#This Row],[warehouse]],Table2[],2,FALSE),"--")</f>
        <v>--</v>
      </c>
    </row>
    <row r="200" spans="1:18" x14ac:dyDescent="0.25">
      <c r="A200" t="s">
        <v>319</v>
      </c>
      <c r="B200" s="1">
        <v>43419</v>
      </c>
      <c r="C200" t="s">
        <v>320</v>
      </c>
      <c r="D200" t="s">
        <v>20</v>
      </c>
      <c r="E200" t="s">
        <v>321</v>
      </c>
      <c r="F200" t="s">
        <v>22</v>
      </c>
      <c r="G200" t="s">
        <v>23</v>
      </c>
      <c r="H200" t="s">
        <v>24</v>
      </c>
      <c r="I200">
        <v>1000</v>
      </c>
      <c r="J200">
        <v>0</v>
      </c>
      <c r="K200">
        <v>0</v>
      </c>
      <c r="L200" t="s">
        <v>25</v>
      </c>
      <c r="M200" t="s">
        <v>26</v>
      </c>
      <c r="N200">
        <v>30000</v>
      </c>
      <c r="O200">
        <v>0</v>
      </c>
      <c r="P200" t="str">
        <f>IF(T[[#This Row],[qty_ordered]]&lt;&gt;T[[#This Row],[qty_received]],IF(T[[#This Row],[qty_received]]&gt;0,"Partial Received","Not Receviced"),"FullyReceived")</f>
        <v>Not Receviced</v>
      </c>
      <c r="Q200" t="str">
        <f>IF(T[[#This Row],[qty_received]]&lt;&gt;T[[#This Row],[qty_invoiced]],IF(T[[#This Row],[qty_invoiced]]&gt;0,"Partial Invoiced","Not Invoiced"),"Fully Invoiced")</f>
        <v>Fully Invoiced</v>
      </c>
      <c r="R200" t="str">
        <f>IFERROR(VLOOKUP(T[[#This Row],[warehouse]],Table2[],2,FALSE),"--")</f>
        <v>Crusher KHA- Other</v>
      </c>
    </row>
    <row r="201" spans="1:18" x14ac:dyDescent="0.25">
      <c r="A201" t="s">
        <v>157</v>
      </c>
      <c r="B201" s="1">
        <v>43446</v>
      </c>
      <c r="C201" t="s">
        <v>158</v>
      </c>
      <c r="D201" t="s">
        <v>212</v>
      </c>
      <c r="E201" t="s">
        <v>51</v>
      </c>
      <c r="F201" t="s">
        <v>52</v>
      </c>
      <c r="G201" t="s">
        <v>75</v>
      </c>
      <c r="H201" t="s">
        <v>54</v>
      </c>
      <c r="I201">
        <v>80</v>
      </c>
      <c r="J201">
        <v>0</v>
      </c>
      <c r="K201">
        <v>1</v>
      </c>
      <c r="L201" t="s">
        <v>25</v>
      </c>
      <c r="M201" t="s">
        <v>26</v>
      </c>
      <c r="N201">
        <v>300</v>
      </c>
      <c r="O201">
        <v>0</v>
      </c>
      <c r="P201" t="str">
        <f>IF(T[[#This Row],[qty_ordered]]&lt;&gt;T[[#This Row],[qty_received]],IF(T[[#This Row],[qty_received]]&gt;0,"Partial Received","Not Receviced"),"FullyReceived")</f>
        <v>Not Receviced</v>
      </c>
      <c r="Q201" t="str">
        <f>IF(T[[#This Row],[qty_received]]&lt;&gt;T[[#This Row],[qty_invoiced]],IF(T[[#This Row],[qty_invoiced]]&gt;0,"Partial Invoiced","Not Invoiced"),"Fully Invoiced")</f>
        <v>Partial Invoiced</v>
      </c>
      <c r="R201" t="str">
        <f>IFERROR(VLOOKUP(T[[#This Row],[warehouse]],Table2[],2,FALSE),"--")</f>
        <v>--</v>
      </c>
    </row>
    <row r="202" spans="1:18" x14ac:dyDescent="0.25">
      <c r="A202" t="s">
        <v>157</v>
      </c>
      <c r="B202" s="1">
        <v>43446</v>
      </c>
      <c r="C202" t="s">
        <v>158</v>
      </c>
      <c r="D202" t="s">
        <v>322</v>
      </c>
      <c r="E202" t="s">
        <v>51</v>
      </c>
      <c r="F202" t="s">
        <v>52</v>
      </c>
      <c r="G202" t="s">
        <v>75</v>
      </c>
      <c r="H202" t="s">
        <v>54</v>
      </c>
      <c r="I202">
        <v>124</v>
      </c>
      <c r="J202">
        <v>0</v>
      </c>
      <c r="K202">
        <v>1</v>
      </c>
      <c r="L202" t="s">
        <v>25</v>
      </c>
      <c r="M202" t="s">
        <v>26</v>
      </c>
      <c r="N202">
        <v>300</v>
      </c>
      <c r="O202">
        <v>0</v>
      </c>
      <c r="P202" t="str">
        <f>IF(T[[#This Row],[qty_ordered]]&lt;&gt;T[[#This Row],[qty_received]],IF(T[[#This Row],[qty_received]]&gt;0,"Partial Received","Not Receviced"),"FullyReceived")</f>
        <v>Not Receviced</v>
      </c>
      <c r="Q202" t="str">
        <f>IF(T[[#This Row],[qty_received]]&lt;&gt;T[[#This Row],[qty_invoiced]],IF(T[[#This Row],[qty_invoiced]]&gt;0,"Partial Invoiced","Not Invoiced"),"Fully Invoiced")</f>
        <v>Partial Invoiced</v>
      </c>
      <c r="R202" t="str">
        <f>IFERROR(VLOOKUP(T[[#This Row],[warehouse]],Table2[],2,FALSE),"--")</f>
        <v>--</v>
      </c>
    </row>
    <row r="203" spans="1:18" x14ac:dyDescent="0.25">
      <c r="A203" t="s">
        <v>157</v>
      </c>
      <c r="B203" s="1">
        <v>43446</v>
      </c>
      <c r="C203" t="s">
        <v>158</v>
      </c>
      <c r="D203" t="s">
        <v>323</v>
      </c>
      <c r="E203" t="s">
        <v>51</v>
      </c>
      <c r="F203" t="s">
        <v>52</v>
      </c>
      <c r="G203" t="s">
        <v>75</v>
      </c>
      <c r="H203" t="s">
        <v>54</v>
      </c>
      <c r="I203">
        <v>36</v>
      </c>
      <c r="J203">
        <v>0</v>
      </c>
      <c r="K203">
        <v>1</v>
      </c>
      <c r="L203" t="s">
        <v>25</v>
      </c>
      <c r="M203" t="s">
        <v>26</v>
      </c>
      <c r="N203">
        <v>300</v>
      </c>
      <c r="O203">
        <v>0</v>
      </c>
      <c r="P203" t="str">
        <f>IF(T[[#This Row],[qty_ordered]]&lt;&gt;T[[#This Row],[qty_received]],IF(T[[#This Row],[qty_received]]&gt;0,"Partial Received","Not Receviced"),"FullyReceived")</f>
        <v>Not Receviced</v>
      </c>
      <c r="Q203" t="str">
        <f>IF(T[[#This Row],[qty_received]]&lt;&gt;T[[#This Row],[qty_invoiced]],IF(T[[#This Row],[qty_invoiced]]&gt;0,"Partial Invoiced","Not Invoiced"),"Fully Invoiced")</f>
        <v>Partial Invoiced</v>
      </c>
      <c r="R203" t="str">
        <f>IFERROR(VLOOKUP(T[[#This Row],[warehouse]],Table2[],2,FALSE),"--")</f>
        <v>--</v>
      </c>
    </row>
    <row r="204" spans="1:18" x14ac:dyDescent="0.25">
      <c r="A204" t="s">
        <v>157</v>
      </c>
      <c r="B204" s="1">
        <v>43446</v>
      </c>
      <c r="C204" t="s">
        <v>158</v>
      </c>
      <c r="D204" t="s">
        <v>324</v>
      </c>
      <c r="E204" t="s">
        <v>51</v>
      </c>
      <c r="F204" t="s">
        <v>52</v>
      </c>
      <c r="G204" t="s">
        <v>75</v>
      </c>
      <c r="H204" t="s">
        <v>54</v>
      </c>
      <c r="I204" s="2">
        <v>142</v>
      </c>
      <c r="J204">
        <v>0</v>
      </c>
      <c r="K204">
        <v>1</v>
      </c>
      <c r="L204" t="s">
        <v>25</v>
      </c>
      <c r="M204" t="s">
        <v>26</v>
      </c>
      <c r="N204">
        <v>300</v>
      </c>
      <c r="O204">
        <v>0</v>
      </c>
      <c r="P204" t="str">
        <f>IF(T[[#This Row],[qty_ordered]]&lt;&gt;T[[#This Row],[qty_received]],IF(T[[#This Row],[qty_received]]&gt;0,"Partial Received","Not Receviced"),"FullyReceived")</f>
        <v>Not Receviced</v>
      </c>
      <c r="Q204" t="str">
        <f>IF(T[[#This Row],[qty_received]]&lt;&gt;T[[#This Row],[qty_invoiced]],IF(T[[#This Row],[qty_invoiced]]&gt;0,"Partial Invoiced","Not Invoiced"),"Fully Invoiced")</f>
        <v>Partial Invoiced</v>
      </c>
      <c r="R204" t="str">
        <f>IFERROR(VLOOKUP(T[[#This Row],[warehouse]],Table2[],2,FALSE),"--")</f>
        <v>--</v>
      </c>
    </row>
    <row r="205" spans="1:18" x14ac:dyDescent="0.25">
      <c r="A205" t="s">
        <v>157</v>
      </c>
      <c r="B205" s="1">
        <v>43446</v>
      </c>
      <c r="C205" t="s">
        <v>158</v>
      </c>
      <c r="D205" t="s">
        <v>325</v>
      </c>
      <c r="E205" t="s">
        <v>51</v>
      </c>
      <c r="F205" t="s">
        <v>52</v>
      </c>
      <c r="G205" t="s">
        <v>75</v>
      </c>
      <c r="H205" t="s">
        <v>54</v>
      </c>
      <c r="I205">
        <v>41</v>
      </c>
      <c r="J205">
        <v>0</v>
      </c>
      <c r="K205">
        <v>1</v>
      </c>
      <c r="L205" t="s">
        <v>25</v>
      </c>
      <c r="M205" t="s">
        <v>26</v>
      </c>
      <c r="N205">
        <v>300</v>
      </c>
      <c r="O205">
        <v>0</v>
      </c>
      <c r="P205" t="str">
        <f>IF(T[[#This Row],[qty_ordered]]&lt;&gt;T[[#This Row],[qty_received]],IF(T[[#This Row],[qty_received]]&gt;0,"Partial Received","Not Receviced"),"FullyReceived")</f>
        <v>Not Receviced</v>
      </c>
      <c r="Q205" t="str">
        <f>IF(T[[#This Row],[qty_received]]&lt;&gt;T[[#This Row],[qty_invoiced]],IF(T[[#This Row],[qty_invoiced]]&gt;0,"Partial Invoiced","Not Invoiced"),"Fully Invoiced")</f>
        <v>Partial Invoiced</v>
      </c>
      <c r="R205" t="str">
        <f>IFERROR(VLOOKUP(T[[#This Row],[warehouse]],Table2[],2,FALSE),"--")</f>
        <v>--</v>
      </c>
    </row>
    <row r="206" spans="1:18" x14ac:dyDescent="0.25">
      <c r="A206" t="s">
        <v>18</v>
      </c>
      <c r="B206" s="1">
        <v>43403</v>
      </c>
      <c r="C206" t="s">
        <v>326</v>
      </c>
      <c r="D206" t="s">
        <v>20</v>
      </c>
      <c r="E206" t="s">
        <v>66</v>
      </c>
      <c r="F206" t="s">
        <v>327</v>
      </c>
      <c r="G206" t="s">
        <v>328</v>
      </c>
      <c r="H206" t="s">
        <v>123</v>
      </c>
      <c r="I206">
        <v>20000</v>
      </c>
      <c r="J206">
        <v>4155</v>
      </c>
      <c r="K206">
        <v>4155</v>
      </c>
      <c r="L206" t="s">
        <v>25</v>
      </c>
      <c r="M206" t="s">
        <v>26</v>
      </c>
      <c r="N206">
        <v>3611.1805300000001</v>
      </c>
      <c r="O206">
        <v>15004455.102150001</v>
      </c>
      <c r="P206" t="str">
        <f>IF(T[[#This Row],[qty_ordered]]&lt;&gt;T[[#This Row],[qty_received]],IF(T[[#This Row],[qty_received]]&gt;0,"Partial Received","Not Receviced"),"FullyReceived")</f>
        <v>Partial Received</v>
      </c>
      <c r="Q206" t="str">
        <f>IF(T[[#This Row],[qty_received]]&lt;&gt;T[[#This Row],[qty_invoiced]],IF(T[[#This Row],[qty_invoiced]]&gt;0,"Partial Invoiced","Not Invoiced"),"Fully Invoiced")</f>
        <v>Fully Invoiced</v>
      </c>
      <c r="R206" t="str">
        <f>IFERROR(VLOOKUP(T[[#This Row],[warehouse]],Table2[],2,FALSE),"--")</f>
        <v>PZU Main Warehouse</v>
      </c>
    </row>
    <row r="207" spans="1:18" x14ac:dyDescent="0.25">
      <c r="A207" t="s">
        <v>18</v>
      </c>
      <c r="B207" s="1">
        <v>43403</v>
      </c>
      <c r="C207" t="s">
        <v>329</v>
      </c>
      <c r="D207" t="s">
        <v>20</v>
      </c>
      <c r="E207" t="s">
        <v>66</v>
      </c>
      <c r="F207" t="s">
        <v>330</v>
      </c>
      <c r="G207" t="s">
        <v>331</v>
      </c>
      <c r="H207" t="s">
        <v>123</v>
      </c>
      <c r="I207">
        <v>10000</v>
      </c>
      <c r="J207">
        <v>5760</v>
      </c>
      <c r="K207">
        <v>5760</v>
      </c>
      <c r="L207" t="s">
        <v>25</v>
      </c>
      <c r="M207" t="s">
        <v>26</v>
      </c>
      <c r="N207">
        <v>977.33175000000006</v>
      </c>
      <c r="O207">
        <v>5629430.8799999999</v>
      </c>
      <c r="P207" t="str">
        <f>IF(T[[#This Row],[qty_ordered]]&lt;&gt;T[[#This Row],[qty_received]],IF(T[[#This Row],[qty_received]]&gt;0,"Partial Received","Not Receviced"),"FullyReceived")</f>
        <v>Partial Received</v>
      </c>
      <c r="Q207" t="str">
        <f>IF(T[[#This Row],[qty_received]]&lt;&gt;T[[#This Row],[qty_invoiced]],IF(T[[#This Row],[qty_invoiced]]&gt;0,"Partial Invoiced","Not Invoiced"),"Fully Invoiced")</f>
        <v>Fully Invoiced</v>
      </c>
      <c r="R207" t="str">
        <f>IFERROR(VLOOKUP(T[[#This Row],[warehouse]],Table2[],2,FALSE),"--")</f>
        <v>PZU Main Warehouse</v>
      </c>
    </row>
    <row r="208" spans="1:18" x14ac:dyDescent="0.25">
      <c r="A208" t="s">
        <v>332</v>
      </c>
      <c r="B208" s="1">
        <v>43418</v>
      </c>
      <c r="C208" t="s">
        <v>333</v>
      </c>
      <c r="D208" t="s">
        <v>20</v>
      </c>
      <c r="E208" t="s">
        <v>51</v>
      </c>
      <c r="F208" t="s">
        <v>52</v>
      </c>
      <c r="G208" t="s">
        <v>164</v>
      </c>
      <c r="H208" t="s">
        <v>54</v>
      </c>
      <c r="I208">
        <v>50000</v>
      </c>
      <c r="J208">
        <v>0</v>
      </c>
      <c r="K208">
        <v>1</v>
      </c>
      <c r="L208" t="s">
        <v>25</v>
      </c>
      <c r="M208" t="s">
        <v>26</v>
      </c>
      <c r="N208">
        <v>16</v>
      </c>
      <c r="O208">
        <v>0</v>
      </c>
      <c r="P208" t="str">
        <f>IF(T[[#This Row],[qty_ordered]]&lt;&gt;T[[#This Row],[qty_received]],IF(T[[#This Row],[qty_received]]&gt;0,"Partial Received","Not Receviced"),"FullyReceived")</f>
        <v>Not Receviced</v>
      </c>
      <c r="Q208" t="str">
        <f>IF(T[[#This Row],[qty_received]]&lt;&gt;T[[#This Row],[qty_invoiced]],IF(T[[#This Row],[qty_invoiced]]&gt;0,"Partial Invoiced","Not Invoiced"),"Fully Invoiced")</f>
        <v>Partial Invoiced</v>
      </c>
      <c r="R208" t="str">
        <f>IFERROR(VLOOKUP(T[[#This Row],[warehouse]],Table2[],2,FALSE),"--")</f>
        <v>--</v>
      </c>
    </row>
    <row r="209" spans="1:18" x14ac:dyDescent="0.25">
      <c r="A209" t="s">
        <v>84</v>
      </c>
      <c r="B209" s="1">
        <v>43446</v>
      </c>
      <c r="C209" t="s">
        <v>334</v>
      </c>
      <c r="D209" t="s">
        <v>20</v>
      </c>
      <c r="E209" t="s">
        <v>335</v>
      </c>
      <c r="F209" t="s">
        <v>86</v>
      </c>
      <c r="G209" t="s">
        <v>87</v>
      </c>
      <c r="H209" t="s">
        <v>24</v>
      </c>
      <c r="I209">
        <v>500</v>
      </c>
      <c r="J209">
        <v>0</v>
      </c>
      <c r="K209">
        <v>0</v>
      </c>
      <c r="L209" t="s">
        <v>25</v>
      </c>
      <c r="M209" t="s">
        <v>132</v>
      </c>
      <c r="N209">
        <v>85662.5</v>
      </c>
      <c r="O209">
        <v>0</v>
      </c>
      <c r="P209" t="str">
        <f>IF(T[[#This Row],[qty_ordered]]&lt;&gt;T[[#This Row],[qty_received]],IF(T[[#This Row],[qty_received]]&gt;0,"Partial Received","Not Receviced"),"FullyReceived")</f>
        <v>Not Receviced</v>
      </c>
      <c r="Q209" t="str">
        <f>IF(T[[#This Row],[qty_received]]&lt;&gt;T[[#This Row],[qty_invoiced]],IF(T[[#This Row],[qty_invoiced]]&gt;0,"Partial Invoiced","Not Invoiced"),"Fully Invoiced")</f>
        <v>Fully Invoiced</v>
      </c>
      <c r="R209" t="str">
        <f>IFERROR(VLOOKUP(T[[#This Row],[warehouse]],Table2[],2,FALSE),"--")</f>
        <v xml:space="preserve">Sifter OMD -Alshafey </v>
      </c>
    </row>
    <row r="210" spans="1:18" x14ac:dyDescent="0.25">
      <c r="A210" t="s">
        <v>84</v>
      </c>
      <c r="B210" s="1">
        <v>43446</v>
      </c>
      <c r="C210" t="s">
        <v>193</v>
      </c>
      <c r="D210" t="s">
        <v>20</v>
      </c>
      <c r="E210" t="s">
        <v>192</v>
      </c>
      <c r="F210" t="s">
        <v>108</v>
      </c>
      <c r="G210" t="s">
        <v>109</v>
      </c>
      <c r="H210" t="s">
        <v>24</v>
      </c>
      <c r="I210">
        <v>600.44000000000005</v>
      </c>
      <c r="J210">
        <v>600.44000000000005</v>
      </c>
      <c r="K210">
        <v>600.44000000000005</v>
      </c>
      <c r="L210" t="s">
        <v>25</v>
      </c>
      <c r="M210" t="s">
        <v>132</v>
      </c>
      <c r="N210">
        <v>34567.5</v>
      </c>
      <c r="O210">
        <v>42751328</v>
      </c>
      <c r="P210" t="str">
        <f>IF(T[[#This Row],[qty_ordered]]&lt;&gt;T[[#This Row],[qty_received]],IF(T[[#This Row],[qty_received]]&gt;0,"Partial Received","Not Receviced"),"FullyReceived")</f>
        <v>FullyReceived</v>
      </c>
      <c r="Q210" t="str">
        <f>IF(T[[#This Row],[qty_received]]&lt;&gt;T[[#This Row],[qty_invoiced]],IF(T[[#This Row],[qty_invoiced]]&gt;0,"Partial Invoiced","Not Invoiced"),"Fully Invoiced")</f>
        <v>Fully Invoiced</v>
      </c>
      <c r="R210" t="str">
        <f>IFERROR(VLOOKUP(T[[#This Row],[warehouse]],Table2[],2,FALSE),"--")</f>
        <v>BAYADER SIFTER-OMD</v>
      </c>
    </row>
    <row r="211" spans="1:18" x14ac:dyDescent="0.25">
      <c r="A211" t="s">
        <v>157</v>
      </c>
      <c r="B211" s="1">
        <v>43446</v>
      </c>
      <c r="C211" t="s">
        <v>336</v>
      </c>
      <c r="D211" t="s">
        <v>20</v>
      </c>
      <c r="E211" t="s">
        <v>51</v>
      </c>
      <c r="F211" t="s">
        <v>52</v>
      </c>
      <c r="G211" t="s">
        <v>274</v>
      </c>
      <c r="H211" t="s">
        <v>54</v>
      </c>
      <c r="I211">
        <v>56</v>
      </c>
      <c r="J211">
        <v>0</v>
      </c>
      <c r="K211">
        <v>1</v>
      </c>
      <c r="L211" t="s">
        <v>25</v>
      </c>
      <c r="M211" t="s">
        <v>26</v>
      </c>
      <c r="N211">
        <v>300</v>
      </c>
      <c r="O211">
        <v>0</v>
      </c>
      <c r="P211" t="str">
        <f>IF(T[[#This Row],[qty_ordered]]&lt;&gt;T[[#This Row],[qty_received]],IF(T[[#This Row],[qty_received]]&gt;0,"Partial Received","Not Receviced"),"FullyReceived")</f>
        <v>Not Receviced</v>
      </c>
      <c r="Q211" t="str">
        <f>IF(T[[#This Row],[qty_received]]&lt;&gt;T[[#This Row],[qty_invoiced]],IF(T[[#This Row],[qty_invoiced]]&gt;0,"Partial Invoiced","Not Invoiced"),"Fully Invoiced")</f>
        <v>Partial Invoiced</v>
      </c>
      <c r="R211" t="str">
        <f>IFERROR(VLOOKUP(T[[#This Row],[warehouse]],Table2[],2,FALSE),"--")</f>
        <v>--</v>
      </c>
    </row>
    <row r="212" spans="1:18" x14ac:dyDescent="0.25">
      <c r="A212" t="s">
        <v>157</v>
      </c>
      <c r="B212" s="1">
        <v>43446</v>
      </c>
      <c r="C212" t="s">
        <v>336</v>
      </c>
      <c r="D212" t="s">
        <v>71</v>
      </c>
      <c r="E212" t="s">
        <v>51</v>
      </c>
      <c r="F212" t="s">
        <v>52</v>
      </c>
      <c r="G212" t="s">
        <v>75</v>
      </c>
      <c r="H212" t="s">
        <v>54</v>
      </c>
      <c r="I212">
        <v>198</v>
      </c>
      <c r="J212">
        <v>0</v>
      </c>
      <c r="K212">
        <v>1</v>
      </c>
      <c r="L212" t="s">
        <v>25</v>
      </c>
      <c r="M212" t="s">
        <v>26</v>
      </c>
      <c r="N212">
        <v>300</v>
      </c>
      <c r="O212">
        <v>0</v>
      </c>
      <c r="P212" t="str">
        <f>IF(T[[#This Row],[qty_ordered]]&lt;&gt;T[[#This Row],[qty_received]],IF(T[[#This Row],[qty_received]]&gt;0,"Partial Received","Not Receviced"),"FullyReceived")</f>
        <v>Not Receviced</v>
      </c>
      <c r="Q212" t="str">
        <f>IF(T[[#This Row],[qty_received]]&lt;&gt;T[[#This Row],[qty_invoiced]],IF(T[[#This Row],[qty_invoiced]]&gt;0,"Partial Invoiced","Not Invoiced"),"Fully Invoiced")</f>
        <v>Partial Invoiced</v>
      </c>
      <c r="R212" t="str">
        <f>IFERROR(VLOOKUP(T[[#This Row],[warehouse]],Table2[],2,FALSE),"--")</f>
        <v>--</v>
      </c>
    </row>
    <row r="213" spans="1:18" x14ac:dyDescent="0.25">
      <c r="A213" t="s">
        <v>157</v>
      </c>
      <c r="B213" s="1">
        <v>43446</v>
      </c>
      <c r="C213" t="s">
        <v>336</v>
      </c>
      <c r="D213" t="s">
        <v>100</v>
      </c>
      <c r="E213" t="s">
        <v>51</v>
      </c>
      <c r="F213" t="s">
        <v>52</v>
      </c>
      <c r="G213" t="s">
        <v>75</v>
      </c>
      <c r="H213" t="s">
        <v>54</v>
      </c>
      <c r="I213">
        <v>12</v>
      </c>
      <c r="J213">
        <v>0</v>
      </c>
      <c r="K213">
        <v>1</v>
      </c>
      <c r="L213" t="s">
        <v>25</v>
      </c>
      <c r="M213" t="s">
        <v>26</v>
      </c>
      <c r="N213">
        <v>300</v>
      </c>
      <c r="O213">
        <v>0</v>
      </c>
      <c r="P213" t="str">
        <f>IF(T[[#This Row],[qty_ordered]]&lt;&gt;T[[#This Row],[qty_received]],IF(T[[#This Row],[qty_received]]&gt;0,"Partial Received","Not Receviced"),"FullyReceived")</f>
        <v>Not Receviced</v>
      </c>
      <c r="Q213" t="str">
        <f>IF(T[[#This Row],[qty_received]]&lt;&gt;T[[#This Row],[qty_invoiced]],IF(T[[#This Row],[qty_invoiced]]&gt;0,"Partial Invoiced","Not Invoiced"),"Fully Invoiced")</f>
        <v>Partial Invoiced</v>
      </c>
      <c r="R213" t="str">
        <f>IFERROR(VLOOKUP(T[[#This Row],[warehouse]],Table2[],2,FALSE),"--")</f>
        <v>--</v>
      </c>
    </row>
    <row r="214" spans="1:18" x14ac:dyDescent="0.25">
      <c r="A214" t="s">
        <v>157</v>
      </c>
      <c r="B214" s="1">
        <v>43446</v>
      </c>
      <c r="C214" t="s">
        <v>336</v>
      </c>
      <c r="D214" t="s">
        <v>88</v>
      </c>
      <c r="E214" t="s">
        <v>51</v>
      </c>
      <c r="F214" t="s">
        <v>52</v>
      </c>
      <c r="G214" t="s">
        <v>75</v>
      </c>
      <c r="H214" t="s">
        <v>54</v>
      </c>
      <c r="I214">
        <v>41</v>
      </c>
      <c r="J214">
        <v>0</v>
      </c>
      <c r="K214">
        <v>1</v>
      </c>
      <c r="L214" t="s">
        <v>25</v>
      </c>
      <c r="M214" t="s">
        <v>26</v>
      </c>
      <c r="N214">
        <v>300</v>
      </c>
      <c r="O214">
        <v>0</v>
      </c>
      <c r="P214" t="str">
        <f>IF(T[[#This Row],[qty_ordered]]&lt;&gt;T[[#This Row],[qty_received]],IF(T[[#This Row],[qty_received]]&gt;0,"Partial Received","Not Receviced"),"FullyReceived")</f>
        <v>Not Receviced</v>
      </c>
      <c r="Q214" t="str">
        <f>IF(T[[#This Row],[qty_received]]&lt;&gt;T[[#This Row],[qty_invoiced]],IF(T[[#This Row],[qty_invoiced]]&gt;0,"Partial Invoiced","Not Invoiced"),"Fully Invoiced")</f>
        <v>Partial Invoiced</v>
      </c>
      <c r="R214" t="str">
        <f>IFERROR(VLOOKUP(T[[#This Row],[warehouse]],Table2[],2,FALSE),"--")</f>
        <v>--</v>
      </c>
    </row>
    <row r="215" spans="1:18" x14ac:dyDescent="0.25">
      <c r="A215" t="s">
        <v>235</v>
      </c>
      <c r="B215" s="1">
        <v>43457</v>
      </c>
      <c r="C215" t="s">
        <v>337</v>
      </c>
      <c r="D215" t="s">
        <v>20</v>
      </c>
      <c r="E215" t="s">
        <v>51</v>
      </c>
      <c r="F215" t="s">
        <v>52</v>
      </c>
      <c r="G215" t="s">
        <v>75</v>
      </c>
      <c r="H215" t="s">
        <v>54</v>
      </c>
      <c r="I215">
        <v>6000</v>
      </c>
      <c r="J215">
        <v>0</v>
      </c>
      <c r="K215">
        <v>1</v>
      </c>
      <c r="L215" t="s">
        <v>25</v>
      </c>
      <c r="M215" t="s">
        <v>26</v>
      </c>
      <c r="N215">
        <v>1.35</v>
      </c>
      <c r="O215">
        <v>0</v>
      </c>
      <c r="P215" t="str">
        <f>IF(T[[#This Row],[qty_ordered]]&lt;&gt;T[[#This Row],[qty_received]],IF(T[[#This Row],[qty_received]]&gt;0,"Partial Received","Not Receviced"),"FullyReceived")</f>
        <v>Not Receviced</v>
      </c>
      <c r="Q215" t="str">
        <f>IF(T[[#This Row],[qty_received]]&lt;&gt;T[[#This Row],[qty_invoiced]],IF(T[[#This Row],[qty_invoiced]]&gt;0,"Partial Invoiced","Not Invoiced"),"Fully Invoiced")</f>
        <v>Partial Invoiced</v>
      </c>
      <c r="R215" t="str">
        <f>IFERROR(VLOOKUP(T[[#This Row],[warehouse]],Table2[],2,FALSE),"--")</f>
        <v>--</v>
      </c>
    </row>
    <row r="216" spans="1:18" x14ac:dyDescent="0.25">
      <c r="A216" t="s">
        <v>144</v>
      </c>
      <c r="B216" s="1">
        <v>43437</v>
      </c>
      <c r="C216" t="s">
        <v>338</v>
      </c>
      <c r="D216" t="s">
        <v>71</v>
      </c>
      <c r="E216" t="s">
        <v>239</v>
      </c>
      <c r="F216" t="s">
        <v>147</v>
      </c>
      <c r="G216" t="s">
        <v>148</v>
      </c>
      <c r="H216" t="s">
        <v>149</v>
      </c>
      <c r="I216">
        <v>2000</v>
      </c>
      <c r="J216">
        <v>2000</v>
      </c>
      <c r="K216">
        <v>2000</v>
      </c>
      <c r="L216" t="s">
        <v>25</v>
      </c>
      <c r="M216" t="s">
        <v>150</v>
      </c>
      <c r="N216">
        <v>12.528</v>
      </c>
      <c r="O216">
        <v>25056</v>
      </c>
      <c r="P216" t="str">
        <f>IF(T[[#This Row],[qty_ordered]]&lt;&gt;T[[#This Row],[qty_received]],IF(T[[#This Row],[qty_received]]&gt;0,"Partial Received","Not Receviced"),"FullyReceived")</f>
        <v>FullyReceived</v>
      </c>
      <c r="Q216" t="str">
        <f>IF(T[[#This Row],[qty_received]]&lt;&gt;T[[#This Row],[qty_invoiced]],IF(T[[#This Row],[qty_invoiced]]&gt;0,"Partial Invoiced","Not Invoiced"),"Fully Invoiced")</f>
        <v>Fully Invoiced</v>
      </c>
      <c r="R216" t="str">
        <f>IFERROR(VLOOKUP(T[[#This Row],[warehouse]],Table2[],2,FALSE),"--")</f>
        <v xml:space="preserve">Gadarif Main Store </v>
      </c>
    </row>
    <row r="217" spans="1:18" x14ac:dyDescent="0.25">
      <c r="A217" t="s">
        <v>160</v>
      </c>
      <c r="B217" s="1">
        <v>43457</v>
      </c>
      <c r="C217" t="s">
        <v>339</v>
      </c>
      <c r="D217" t="s">
        <v>20</v>
      </c>
      <c r="E217" t="s">
        <v>340</v>
      </c>
      <c r="F217" t="s">
        <v>341</v>
      </c>
      <c r="G217" t="s">
        <v>342</v>
      </c>
      <c r="H217" t="s">
        <v>24</v>
      </c>
      <c r="I217">
        <v>7000</v>
      </c>
      <c r="J217">
        <v>5745.14</v>
      </c>
      <c r="K217">
        <v>5745.14</v>
      </c>
      <c r="L217" t="s">
        <v>25</v>
      </c>
      <c r="M217" t="s">
        <v>26</v>
      </c>
      <c r="N217">
        <v>65000</v>
      </c>
      <c r="O217">
        <v>373434100</v>
      </c>
      <c r="P217" t="str">
        <f>IF(T[[#This Row],[qty_ordered]]&lt;&gt;T[[#This Row],[qty_received]],IF(T[[#This Row],[qty_received]]&gt;0,"Partial Received","Not Receviced"),"FullyReceived")</f>
        <v>Partial Received</v>
      </c>
      <c r="Q217" t="str">
        <f>IF(T[[#This Row],[qty_received]]&lt;&gt;T[[#This Row],[qty_invoiced]],IF(T[[#This Row],[qty_invoiced]]&gt;0,"Partial Invoiced","Not Invoiced"),"Fully Invoiced")</f>
        <v>Fully Invoiced</v>
      </c>
      <c r="R217" t="str">
        <f>IFERROR(VLOOKUP(T[[#This Row],[warehouse]],Table2[],2,FALSE),"--")</f>
        <v>Ginning Al-Hasaheisa</v>
      </c>
    </row>
    <row r="218" spans="1:18" x14ac:dyDescent="0.25">
      <c r="A218" t="s">
        <v>144</v>
      </c>
      <c r="B218" s="1">
        <v>43437</v>
      </c>
      <c r="C218" t="s">
        <v>211</v>
      </c>
      <c r="D218" t="s">
        <v>20</v>
      </c>
      <c r="E218" t="s">
        <v>203</v>
      </c>
      <c r="F218" t="s">
        <v>147</v>
      </c>
      <c r="G218" t="s">
        <v>148</v>
      </c>
      <c r="H218" t="s">
        <v>149</v>
      </c>
      <c r="I218">
        <v>18000</v>
      </c>
      <c r="J218">
        <v>18000</v>
      </c>
      <c r="K218">
        <v>18000</v>
      </c>
      <c r="L218" t="s">
        <v>25</v>
      </c>
      <c r="M218" t="s">
        <v>150</v>
      </c>
      <c r="N218">
        <v>10.548</v>
      </c>
      <c r="O218">
        <v>189864</v>
      </c>
      <c r="P218" t="str">
        <f>IF(T[[#This Row],[qty_ordered]]&lt;&gt;T[[#This Row],[qty_received]],IF(T[[#This Row],[qty_received]]&gt;0,"Partial Received","Not Receviced"),"FullyReceived")</f>
        <v>FullyReceived</v>
      </c>
      <c r="Q218" t="str">
        <f>IF(T[[#This Row],[qty_received]]&lt;&gt;T[[#This Row],[qty_invoiced]],IF(T[[#This Row],[qty_invoiced]]&gt;0,"Partial Invoiced","Not Invoiced"),"Fully Invoiced")</f>
        <v>Fully Invoiced</v>
      </c>
      <c r="R218" t="str">
        <f>IFERROR(VLOOKUP(T[[#This Row],[warehouse]],Table2[],2,FALSE),"--")</f>
        <v>PZU Packaging Warehouse</v>
      </c>
    </row>
    <row r="219" spans="1:18" x14ac:dyDescent="0.25">
      <c r="A219" t="s">
        <v>144</v>
      </c>
      <c r="B219" s="1">
        <v>43437</v>
      </c>
      <c r="C219" t="s">
        <v>338</v>
      </c>
      <c r="D219" t="s">
        <v>20</v>
      </c>
      <c r="E219" t="s">
        <v>239</v>
      </c>
      <c r="F219" t="s">
        <v>147</v>
      </c>
      <c r="G219" t="s">
        <v>148</v>
      </c>
      <c r="H219" t="s">
        <v>149</v>
      </c>
      <c r="I219">
        <v>70000</v>
      </c>
      <c r="J219">
        <v>70000</v>
      </c>
      <c r="K219">
        <v>70000</v>
      </c>
      <c r="L219" t="s">
        <v>25</v>
      </c>
      <c r="M219" t="s">
        <v>150</v>
      </c>
      <c r="N219">
        <v>10.548</v>
      </c>
      <c r="O219">
        <v>738360</v>
      </c>
      <c r="P219" t="str">
        <f>IF(T[[#This Row],[qty_ordered]]&lt;&gt;T[[#This Row],[qty_received]],IF(T[[#This Row],[qty_received]]&gt;0,"Partial Received","Not Receviced"),"FullyReceived")</f>
        <v>FullyReceived</v>
      </c>
      <c r="Q219" t="str">
        <f>IF(T[[#This Row],[qty_received]]&lt;&gt;T[[#This Row],[qty_invoiced]],IF(T[[#This Row],[qty_invoiced]]&gt;0,"Partial Invoiced","Not Invoiced"),"Fully Invoiced")</f>
        <v>Fully Invoiced</v>
      </c>
      <c r="R219" t="str">
        <f>IFERROR(VLOOKUP(T[[#This Row],[warehouse]],Table2[],2,FALSE),"--")</f>
        <v xml:space="preserve">Gadarif Main Store </v>
      </c>
    </row>
    <row r="220" spans="1:18" x14ac:dyDescent="0.25">
      <c r="A220" t="s">
        <v>160</v>
      </c>
      <c r="B220" s="1">
        <v>43452</v>
      </c>
      <c r="C220" t="s">
        <v>161</v>
      </c>
      <c r="D220" t="s">
        <v>71</v>
      </c>
      <c r="E220" t="s">
        <v>44</v>
      </c>
      <c r="F220" t="s">
        <v>47</v>
      </c>
      <c r="G220" t="s">
        <v>48</v>
      </c>
      <c r="H220" t="s">
        <v>24</v>
      </c>
      <c r="I220">
        <v>500</v>
      </c>
      <c r="J220">
        <v>130.38999999999999</v>
      </c>
      <c r="K220">
        <v>130.38999999999999</v>
      </c>
      <c r="L220" t="s">
        <v>25</v>
      </c>
      <c r="M220" t="s">
        <v>26</v>
      </c>
      <c r="N220">
        <v>30855</v>
      </c>
      <c r="O220">
        <v>4023183.45</v>
      </c>
      <c r="P220" t="str">
        <f>IF(T[[#This Row],[qty_ordered]]&lt;&gt;T[[#This Row],[qty_received]],IF(T[[#This Row],[qty_received]]&gt;0,"Partial Received","Not Receviced"),"FullyReceived")</f>
        <v>Partial Received</v>
      </c>
      <c r="Q220" t="str">
        <f>IF(T[[#This Row],[qty_received]]&lt;&gt;T[[#This Row],[qty_invoiced]],IF(T[[#This Row],[qty_invoiced]]&gt;0,"Partial Invoiced","Not Invoiced"),"Fully Invoiced")</f>
        <v>Fully Invoiced</v>
      </c>
      <c r="R220" t="str">
        <f>IFERROR(VLOOKUP(T[[#This Row],[warehouse]],Table2[],2,FALSE),"--")</f>
        <v>Sifter OMD - Yara (AlNawris)</v>
      </c>
    </row>
    <row r="221" spans="1:18" x14ac:dyDescent="0.25">
      <c r="A221" t="s">
        <v>160</v>
      </c>
      <c r="B221" s="1">
        <v>43457</v>
      </c>
      <c r="C221" t="s">
        <v>216</v>
      </c>
      <c r="D221" t="s">
        <v>20</v>
      </c>
      <c r="E221" t="s">
        <v>146</v>
      </c>
      <c r="F221" t="s">
        <v>47</v>
      </c>
      <c r="G221" t="s">
        <v>48</v>
      </c>
      <c r="H221" t="s">
        <v>24</v>
      </c>
      <c r="I221">
        <v>900</v>
      </c>
      <c r="J221">
        <v>900</v>
      </c>
      <c r="K221">
        <v>900</v>
      </c>
      <c r="L221" t="s">
        <v>25</v>
      </c>
      <c r="M221" t="s">
        <v>26</v>
      </c>
      <c r="N221">
        <v>30855</v>
      </c>
      <c r="O221">
        <v>27769500</v>
      </c>
      <c r="P221" t="str">
        <f>IF(T[[#This Row],[qty_ordered]]&lt;&gt;T[[#This Row],[qty_received]],IF(T[[#This Row],[qty_received]]&gt;0,"Partial Received","Not Receviced"),"FullyReceived")</f>
        <v>FullyReceived</v>
      </c>
      <c r="Q221" t="str">
        <f>IF(T[[#This Row],[qty_received]]&lt;&gt;T[[#This Row],[qty_invoiced]],IF(T[[#This Row],[qty_invoiced]]&gt;0,"Partial Invoiced","Not Invoiced"),"Fully Invoiced")</f>
        <v>Fully Invoiced</v>
      </c>
      <c r="R221" t="str">
        <f>IFERROR(VLOOKUP(T[[#This Row],[warehouse]],Table2[],2,FALSE),"--")</f>
        <v>Khtoum Main Warehouse</v>
      </c>
    </row>
    <row r="222" spans="1:18" x14ac:dyDescent="0.25">
      <c r="A222" t="s">
        <v>232</v>
      </c>
      <c r="B222" s="1">
        <v>43458</v>
      </c>
      <c r="C222" t="s">
        <v>233</v>
      </c>
      <c r="D222" t="s">
        <v>20</v>
      </c>
      <c r="E222" t="s">
        <v>66</v>
      </c>
      <c r="F222" t="s">
        <v>108</v>
      </c>
      <c r="G222" t="s">
        <v>109</v>
      </c>
      <c r="H222" t="s">
        <v>24</v>
      </c>
      <c r="I222">
        <v>500</v>
      </c>
      <c r="J222">
        <v>185.26</v>
      </c>
      <c r="K222">
        <v>185.26</v>
      </c>
      <c r="L222" t="s">
        <v>25</v>
      </c>
      <c r="M222" t="s">
        <v>132</v>
      </c>
      <c r="N222">
        <v>75000</v>
      </c>
      <c r="O222">
        <v>13894500</v>
      </c>
      <c r="P222" t="str">
        <f>IF(T[[#This Row],[qty_ordered]]&lt;&gt;T[[#This Row],[qty_received]],IF(T[[#This Row],[qty_received]]&gt;0,"Partial Received","Not Receviced"),"FullyReceived")</f>
        <v>Partial Received</v>
      </c>
      <c r="Q222" t="str">
        <f>IF(T[[#This Row],[qty_received]]&lt;&gt;T[[#This Row],[qty_invoiced]],IF(T[[#This Row],[qty_invoiced]]&gt;0,"Partial Invoiced","Not Invoiced"),"Fully Invoiced")</f>
        <v>Fully Invoiced</v>
      </c>
      <c r="R222" t="str">
        <f>IFERROR(VLOOKUP(T[[#This Row],[warehouse]],Table2[],2,FALSE),"--")</f>
        <v>PZU Main Warehouse</v>
      </c>
    </row>
    <row r="223" spans="1:18" x14ac:dyDescent="0.25">
      <c r="A223" t="s">
        <v>232</v>
      </c>
      <c r="B223" s="1">
        <v>43458</v>
      </c>
      <c r="C223" t="s">
        <v>343</v>
      </c>
      <c r="D223" t="s">
        <v>20</v>
      </c>
      <c r="E223" t="s">
        <v>111</v>
      </c>
      <c r="F223" t="s">
        <v>86</v>
      </c>
      <c r="G223" t="s">
        <v>87</v>
      </c>
      <c r="H223" t="s">
        <v>24</v>
      </c>
      <c r="I223">
        <v>800</v>
      </c>
      <c r="J223">
        <v>205.3</v>
      </c>
      <c r="K223">
        <v>205.3</v>
      </c>
      <c r="L223" t="s">
        <v>25</v>
      </c>
      <c r="M223" t="s">
        <v>132</v>
      </c>
      <c r="N223">
        <v>78125</v>
      </c>
      <c r="O223">
        <v>16039062.5</v>
      </c>
      <c r="P223" t="str">
        <f>IF(T[[#This Row],[qty_ordered]]&lt;&gt;T[[#This Row],[qty_received]],IF(T[[#This Row],[qty_received]]&gt;0,"Partial Received","Not Receviced"),"FullyReceived")</f>
        <v>Partial Received</v>
      </c>
      <c r="Q223" t="str">
        <f>IF(T[[#This Row],[qty_received]]&lt;&gt;T[[#This Row],[qty_invoiced]],IF(T[[#This Row],[qty_invoiced]]&gt;0,"Partial Invoiced","Not Invoiced"),"Fully Invoiced")</f>
        <v>Fully Invoiced</v>
      </c>
      <c r="R223" t="str">
        <f>IFERROR(VLOOKUP(T[[#This Row],[warehouse]],Table2[],2,FALSE),"--")</f>
        <v>Sifting PZU-Al Jawhra</v>
      </c>
    </row>
    <row r="224" spans="1:18" x14ac:dyDescent="0.25">
      <c r="A224" t="s">
        <v>242</v>
      </c>
      <c r="B224" s="1">
        <v>43458</v>
      </c>
      <c r="C224" t="s">
        <v>344</v>
      </c>
      <c r="D224" t="s">
        <v>20</v>
      </c>
      <c r="E224" t="s">
        <v>66</v>
      </c>
      <c r="F224" t="s">
        <v>155</v>
      </c>
      <c r="G224" t="s">
        <v>345</v>
      </c>
      <c r="H224" t="s">
        <v>24</v>
      </c>
      <c r="I224">
        <v>500</v>
      </c>
      <c r="J224">
        <v>0</v>
      </c>
      <c r="K224">
        <v>0</v>
      </c>
      <c r="L224" t="s">
        <v>59</v>
      </c>
      <c r="M224" t="s">
        <v>26</v>
      </c>
      <c r="N224">
        <v>71150</v>
      </c>
      <c r="O224">
        <v>0</v>
      </c>
      <c r="P224" t="str">
        <f>IF(T[[#This Row],[qty_ordered]]&lt;&gt;T[[#This Row],[qty_received]],IF(T[[#This Row],[qty_received]]&gt;0,"Partial Received","Not Receviced"),"FullyReceived")</f>
        <v>Not Receviced</v>
      </c>
      <c r="Q224" t="str">
        <f>IF(T[[#This Row],[qty_received]]&lt;&gt;T[[#This Row],[qty_invoiced]],IF(T[[#This Row],[qty_invoiced]]&gt;0,"Partial Invoiced","Not Invoiced"),"Fully Invoiced")</f>
        <v>Fully Invoiced</v>
      </c>
      <c r="R224" t="str">
        <f>IFERROR(VLOOKUP(T[[#This Row],[warehouse]],Table2[],2,FALSE),"--")</f>
        <v>PZU Main Warehouse</v>
      </c>
    </row>
    <row r="225" spans="1:18" x14ac:dyDescent="0.25">
      <c r="A225" t="s">
        <v>303</v>
      </c>
      <c r="B225" s="1">
        <v>43460</v>
      </c>
      <c r="C225" t="s">
        <v>346</v>
      </c>
      <c r="D225" t="s">
        <v>20</v>
      </c>
      <c r="E225" t="s">
        <v>66</v>
      </c>
      <c r="F225" t="s">
        <v>305</v>
      </c>
      <c r="G225" t="s">
        <v>306</v>
      </c>
      <c r="H225" t="s">
        <v>24</v>
      </c>
      <c r="I225">
        <v>1000</v>
      </c>
      <c r="J225">
        <v>1000</v>
      </c>
      <c r="K225">
        <v>1000</v>
      </c>
      <c r="L225" t="s">
        <v>25</v>
      </c>
      <c r="M225" t="s">
        <v>26</v>
      </c>
      <c r="N225">
        <v>7800</v>
      </c>
      <c r="O225">
        <v>7800000</v>
      </c>
      <c r="P225" t="str">
        <f>IF(T[[#This Row],[qty_ordered]]&lt;&gt;T[[#This Row],[qty_received]],IF(T[[#This Row],[qty_received]]&gt;0,"Partial Received","Not Receviced"),"FullyReceived")</f>
        <v>FullyReceived</v>
      </c>
      <c r="Q225" t="str">
        <f>IF(T[[#This Row],[qty_received]]&lt;&gt;T[[#This Row],[qty_invoiced]],IF(T[[#This Row],[qty_invoiced]]&gt;0,"Partial Invoiced","Not Invoiced"),"Fully Invoiced")</f>
        <v>Fully Invoiced</v>
      </c>
      <c r="R225" t="str">
        <f>IFERROR(VLOOKUP(T[[#This Row],[warehouse]],Table2[],2,FALSE),"--")</f>
        <v>PZU Main Warehouse</v>
      </c>
    </row>
    <row r="226" spans="1:18" x14ac:dyDescent="0.25">
      <c r="A226" t="s">
        <v>144</v>
      </c>
      <c r="B226" s="1">
        <v>43437</v>
      </c>
      <c r="C226" t="s">
        <v>145</v>
      </c>
      <c r="D226" t="s">
        <v>100</v>
      </c>
      <c r="E226" t="s">
        <v>146</v>
      </c>
      <c r="F226" t="s">
        <v>312</v>
      </c>
      <c r="G226" t="s">
        <v>313</v>
      </c>
      <c r="H226" t="s">
        <v>149</v>
      </c>
      <c r="I226">
        <v>30000</v>
      </c>
      <c r="J226">
        <v>30000</v>
      </c>
      <c r="K226">
        <v>30000</v>
      </c>
      <c r="L226" t="s">
        <v>25</v>
      </c>
      <c r="M226" t="s">
        <v>150</v>
      </c>
      <c r="N226">
        <v>449.4375</v>
      </c>
      <c r="O226">
        <v>375840</v>
      </c>
      <c r="P226" t="str">
        <f>IF(T[[#This Row],[qty_ordered]]&lt;&gt;T[[#This Row],[qty_received]],IF(T[[#This Row],[qty_received]]&gt;0,"Partial Received","Not Receviced"),"FullyReceived")</f>
        <v>FullyReceived</v>
      </c>
      <c r="Q226" t="str">
        <f>IF(T[[#This Row],[qty_received]]&lt;&gt;T[[#This Row],[qty_invoiced]],IF(T[[#This Row],[qty_invoiced]]&gt;0,"Partial Invoiced","Not Invoiced"),"Fully Invoiced")</f>
        <v>Fully Invoiced</v>
      </c>
      <c r="R226" t="str">
        <f>IFERROR(VLOOKUP(T[[#This Row],[warehouse]],Table2[],2,FALSE),"--")</f>
        <v>Khtoum Main Warehouse</v>
      </c>
    </row>
    <row r="227" spans="1:18" x14ac:dyDescent="0.25">
      <c r="A227" t="s">
        <v>144</v>
      </c>
      <c r="B227" s="1">
        <v>43437</v>
      </c>
      <c r="C227" t="s">
        <v>145</v>
      </c>
      <c r="D227" t="s">
        <v>88</v>
      </c>
      <c r="E227" t="s">
        <v>146</v>
      </c>
      <c r="F227" t="s">
        <v>147</v>
      </c>
      <c r="G227" t="s">
        <v>148</v>
      </c>
      <c r="H227" t="s">
        <v>149</v>
      </c>
      <c r="I227">
        <v>18000</v>
      </c>
      <c r="J227">
        <v>18000</v>
      </c>
      <c r="K227">
        <v>18000</v>
      </c>
      <c r="L227" t="s">
        <v>25</v>
      </c>
      <c r="M227" t="s">
        <v>150</v>
      </c>
      <c r="N227">
        <v>395.505</v>
      </c>
      <c r="O227">
        <v>190854</v>
      </c>
      <c r="P227" t="str">
        <f>IF(T[[#This Row],[qty_ordered]]&lt;&gt;T[[#This Row],[qty_received]],IF(T[[#This Row],[qty_received]]&gt;0,"Partial Received","Not Receviced"),"FullyReceived")</f>
        <v>FullyReceived</v>
      </c>
      <c r="Q227" t="str">
        <f>IF(T[[#This Row],[qty_received]]&lt;&gt;T[[#This Row],[qty_invoiced]],IF(T[[#This Row],[qty_invoiced]]&gt;0,"Partial Invoiced","Not Invoiced"),"Fully Invoiced")</f>
        <v>Fully Invoiced</v>
      </c>
      <c r="R227" t="str">
        <f>IFERROR(VLOOKUP(T[[#This Row],[warehouse]],Table2[],2,FALSE),"--")</f>
        <v>Khtoum Main Warehouse</v>
      </c>
    </row>
    <row r="228" spans="1:18" x14ac:dyDescent="0.25">
      <c r="A228" t="s">
        <v>235</v>
      </c>
      <c r="B228" s="1">
        <v>43464</v>
      </c>
      <c r="C228" t="s">
        <v>347</v>
      </c>
      <c r="D228" t="s">
        <v>20</v>
      </c>
      <c r="E228" t="s">
        <v>51</v>
      </c>
      <c r="F228" t="s">
        <v>52</v>
      </c>
      <c r="G228" t="s">
        <v>274</v>
      </c>
      <c r="H228" t="s">
        <v>54</v>
      </c>
      <c r="I228">
        <v>14000</v>
      </c>
      <c r="J228">
        <v>0</v>
      </c>
      <c r="K228">
        <v>1</v>
      </c>
      <c r="L228" t="s">
        <v>25</v>
      </c>
      <c r="M228" t="s">
        <v>26</v>
      </c>
      <c r="N228">
        <v>0.95</v>
      </c>
      <c r="O228">
        <v>0</v>
      </c>
      <c r="P228" t="str">
        <f>IF(T[[#This Row],[qty_ordered]]&lt;&gt;T[[#This Row],[qty_received]],IF(T[[#This Row],[qty_received]]&gt;0,"Partial Received","Not Receviced"),"FullyReceived")</f>
        <v>Not Receviced</v>
      </c>
      <c r="Q228" t="str">
        <f>IF(T[[#This Row],[qty_received]]&lt;&gt;T[[#This Row],[qty_invoiced]],IF(T[[#This Row],[qty_invoiced]]&gt;0,"Partial Invoiced","Not Invoiced"),"Fully Invoiced")</f>
        <v>Partial Invoiced</v>
      </c>
      <c r="R228" t="str">
        <f>IFERROR(VLOOKUP(T[[#This Row],[warehouse]],Table2[],2,FALSE),"--")</f>
        <v>--</v>
      </c>
    </row>
    <row r="229" spans="1:18" x14ac:dyDescent="0.25">
      <c r="A229" t="s">
        <v>250</v>
      </c>
      <c r="B229" s="1">
        <v>43465</v>
      </c>
      <c r="C229" t="s">
        <v>348</v>
      </c>
      <c r="D229" t="s">
        <v>20</v>
      </c>
      <c r="E229" t="s">
        <v>146</v>
      </c>
      <c r="F229" t="s">
        <v>86</v>
      </c>
      <c r="G229" t="s">
        <v>87</v>
      </c>
      <c r="H229" t="s">
        <v>24</v>
      </c>
      <c r="I229">
        <v>1797.76</v>
      </c>
      <c r="J229">
        <v>1797.76</v>
      </c>
      <c r="K229">
        <v>1797.76</v>
      </c>
      <c r="L229" t="s">
        <v>25</v>
      </c>
      <c r="M229" t="s">
        <v>26</v>
      </c>
      <c r="N229">
        <v>80100</v>
      </c>
      <c r="O229">
        <v>144000576</v>
      </c>
      <c r="P229" t="str">
        <f>IF(T[[#This Row],[qty_ordered]]&lt;&gt;T[[#This Row],[qty_received]],IF(T[[#This Row],[qty_received]]&gt;0,"Partial Received","Not Receviced"),"FullyReceived")</f>
        <v>FullyReceived</v>
      </c>
      <c r="Q229" t="str">
        <f>IF(T[[#This Row],[qty_received]]&lt;&gt;T[[#This Row],[qty_invoiced]],IF(T[[#This Row],[qty_invoiced]]&gt;0,"Partial Invoiced","Not Invoiced"),"Fully Invoiced")</f>
        <v>Fully Invoiced</v>
      </c>
      <c r="R229" t="str">
        <f>IFERROR(VLOOKUP(T[[#This Row],[warehouse]],Table2[],2,FALSE),"--")</f>
        <v>Khtoum Main Warehouse</v>
      </c>
    </row>
    <row r="230" spans="1:18" x14ac:dyDescent="0.25">
      <c r="A230" t="s">
        <v>160</v>
      </c>
      <c r="B230" s="1">
        <v>43446</v>
      </c>
      <c r="C230" t="s">
        <v>349</v>
      </c>
      <c r="D230" t="s">
        <v>20</v>
      </c>
      <c r="E230" t="s">
        <v>259</v>
      </c>
      <c r="F230" t="s">
        <v>47</v>
      </c>
      <c r="G230" t="s">
        <v>48</v>
      </c>
      <c r="H230" t="s">
        <v>24</v>
      </c>
      <c r="I230">
        <v>2000</v>
      </c>
      <c r="J230">
        <v>1803.5</v>
      </c>
      <c r="K230">
        <v>1803.5</v>
      </c>
      <c r="L230" t="s">
        <v>25</v>
      </c>
      <c r="M230" t="s">
        <v>26</v>
      </c>
      <c r="N230">
        <v>57850</v>
      </c>
      <c r="O230">
        <v>104332475</v>
      </c>
      <c r="P230" t="str">
        <f>IF(T[[#This Row],[qty_ordered]]&lt;&gt;T[[#This Row],[qty_received]],IF(T[[#This Row],[qty_received]]&gt;0,"Partial Received","Not Receviced"),"FullyReceived")</f>
        <v>Partial Received</v>
      </c>
      <c r="Q230" t="str">
        <f>IF(T[[#This Row],[qty_received]]&lt;&gt;T[[#This Row],[qty_invoiced]],IF(T[[#This Row],[qty_invoiced]]&gt;0,"Partial Invoiced","Not Invoiced"),"Fully Invoiced")</f>
        <v>Fully Invoiced</v>
      </c>
      <c r="R230" t="str">
        <f>IFERROR(VLOOKUP(T[[#This Row],[warehouse]],Table2[],2,FALSE),"--")</f>
        <v>Sifters Bahri-Libyan</v>
      </c>
    </row>
    <row r="231" spans="1:18" x14ac:dyDescent="0.25">
      <c r="A231" t="s">
        <v>157</v>
      </c>
      <c r="B231" s="1">
        <v>43446</v>
      </c>
      <c r="C231" t="s">
        <v>336</v>
      </c>
      <c r="D231" t="s">
        <v>74</v>
      </c>
      <c r="E231" t="s">
        <v>51</v>
      </c>
      <c r="F231" t="s">
        <v>52</v>
      </c>
      <c r="G231" t="s">
        <v>75</v>
      </c>
      <c r="H231" t="s">
        <v>54</v>
      </c>
      <c r="I231">
        <v>125</v>
      </c>
      <c r="J231">
        <v>0</v>
      </c>
      <c r="K231">
        <v>1</v>
      </c>
      <c r="L231" t="s">
        <v>25</v>
      </c>
      <c r="M231" t="s">
        <v>26</v>
      </c>
      <c r="N231">
        <v>300</v>
      </c>
      <c r="O231">
        <v>0</v>
      </c>
      <c r="P231" t="str">
        <f>IF(T[[#This Row],[qty_ordered]]&lt;&gt;T[[#This Row],[qty_received]],IF(T[[#This Row],[qty_received]]&gt;0,"Partial Received","Not Receviced"),"FullyReceived")</f>
        <v>Not Receviced</v>
      </c>
      <c r="Q231" t="str">
        <f>IF(T[[#This Row],[qty_received]]&lt;&gt;T[[#This Row],[qty_invoiced]],IF(T[[#This Row],[qty_invoiced]]&gt;0,"Partial Invoiced","Not Invoiced"),"Fully Invoiced")</f>
        <v>Partial Invoiced</v>
      </c>
      <c r="R231" t="str">
        <f>IFERROR(VLOOKUP(T[[#This Row],[warehouse]],Table2[],2,FALSE),"--")</f>
        <v>--</v>
      </c>
    </row>
    <row r="232" spans="1:18" x14ac:dyDescent="0.25">
      <c r="A232" t="s">
        <v>157</v>
      </c>
      <c r="B232" s="1">
        <v>43446</v>
      </c>
      <c r="C232" t="s">
        <v>336</v>
      </c>
      <c r="D232" t="s">
        <v>76</v>
      </c>
      <c r="E232" t="s">
        <v>51</v>
      </c>
      <c r="F232" t="s">
        <v>52</v>
      </c>
      <c r="G232" t="s">
        <v>75</v>
      </c>
      <c r="H232" t="s">
        <v>54</v>
      </c>
      <c r="I232">
        <v>50</v>
      </c>
      <c r="J232">
        <v>0</v>
      </c>
      <c r="K232">
        <v>1</v>
      </c>
      <c r="L232" t="s">
        <v>25</v>
      </c>
      <c r="M232" t="s">
        <v>26</v>
      </c>
      <c r="N232">
        <v>300</v>
      </c>
      <c r="O232">
        <v>0</v>
      </c>
      <c r="P232" t="str">
        <f>IF(T[[#This Row],[qty_ordered]]&lt;&gt;T[[#This Row],[qty_received]],IF(T[[#This Row],[qty_received]]&gt;0,"Partial Received","Not Receviced"),"FullyReceived")</f>
        <v>Not Receviced</v>
      </c>
      <c r="Q232" t="str">
        <f>IF(T[[#This Row],[qty_received]]&lt;&gt;T[[#This Row],[qty_invoiced]],IF(T[[#This Row],[qty_invoiced]]&gt;0,"Partial Invoiced","Not Invoiced"),"Fully Invoiced")</f>
        <v>Partial Invoiced</v>
      </c>
      <c r="R232" t="str">
        <f>IFERROR(VLOOKUP(T[[#This Row],[warehouse]],Table2[],2,FALSE),"--")</f>
        <v>--</v>
      </c>
    </row>
    <row r="233" spans="1:18" x14ac:dyDescent="0.25">
      <c r="A233" t="s">
        <v>157</v>
      </c>
      <c r="B233" s="1">
        <v>43446</v>
      </c>
      <c r="C233" t="s">
        <v>336</v>
      </c>
      <c r="D233" t="s">
        <v>212</v>
      </c>
      <c r="E233" t="s">
        <v>51</v>
      </c>
      <c r="F233" t="s">
        <v>52</v>
      </c>
      <c r="G233" t="s">
        <v>75</v>
      </c>
      <c r="H233" t="s">
        <v>54</v>
      </c>
      <c r="I233">
        <v>76</v>
      </c>
      <c r="J233">
        <v>0</v>
      </c>
      <c r="K233">
        <v>1</v>
      </c>
      <c r="L233" t="s">
        <v>25</v>
      </c>
      <c r="M233" t="s">
        <v>26</v>
      </c>
      <c r="N233">
        <v>300</v>
      </c>
      <c r="O233">
        <v>0</v>
      </c>
      <c r="P233" t="str">
        <f>IF(T[[#This Row],[qty_ordered]]&lt;&gt;T[[#This Row],[qty_received]],IF(T[[#This Row],[qty_received]]&gt;0,"Partial Received","Not Receviced"),"FullyReceived")</f>
        <v>Not Receviced</v>
      </c>
      <c r="Q233" t="str">
        <f>IF(T[[#This Row],[qty_received]]&lt;&gt;T[[#This Row],[qty_invoiced]],IF(T[[#This Row],[qty_invoiced]]&gt;0,"Partial Invoiced","Not Invoiced"),"Fully Invoiced")</f>
        <v>Partial Invoiced</v>
      </c>
      <c r="R233" t="str">
        <f>IFERROR(VLOOKUP(T[[#This Row],[warehouse]],Table2[],2,FALSE),"--")</f>
        <v>--</v>
      </c>
    </row>
    <row r="234" spans="1:18" x14ac:dyDescent="0.25">
      <c r="A234" t="s">
        <v>181</v>
      </c>
      <c r="B234" s="1">
        <v>43451</v>
      </c>
      <c r="C234" t="s">
        <v>350</v>
      </c>
      <c r="D234" t="s">
        <v>20</v>
      </c>
      <c r="E234" t="s">
        <v>51</v>
      </c>
      <c r="F234" t="s">
        <v>52</v>
      </c>
      <c r="G234" t="s">
        <v>75</v>
      </c>
      <c r="H234" t="s">
        <v>54</v>
      </c>
      <c r="I234">
        <v>500</v>
      </c>
      <c r="J234">
        <v>0</v>
      </c>
      <c r="K234">
        <v>1</v>
      </c>
      <c r="L234" t="s">
        <v>25</v>
      </c>
      <c r="M234" t="s">
        <v>26</v>
      </c>
      <c r="N234">
        <v>480</v>
      </c>
      <c r="O234">
        <v>0</v>
      </c>
      <c r="P234" t="str">
        <f>IF(T[[#This Row],[qty_ordered]]&lt;&gt;T[[#This Row],[qty_received]],IF(T[[#This Row],[qty_received]]&gt;0,"Partial Received","Not Receviced"),"FullyReceived")</f>
        <v>Not Receviced</v>
      </c>
      <c r="Q234" t="str">
        <f>IF(T[[#This Row],[qty_received]]&lt;&gt;T[[#This Row],[qty_invoiced]],IF(T[[#This Row],[qty_invoiced]]&gt;0,"Partial Invoiced","Not Invoiced"),"Fully Invoiced")</f>
        <v>Partial Invoiced</v>
      </c>
      <c r="R234" t="str">
        <f>IFERROR(VLOOKUP(T[[#This Row],[warehouse]],Table2[],2,FALSE),"--")</f>
        <v>--</v>
      </c>
    </row>
    <row r="235" spans="1:18" x14ac:dyDescent="0.25">
      <c r="A235" t="s">
        <v>235</v>
      </c>
      <c r="B235" s="1">
        <v>43454</v>
      </c>
      <c r="C235" t="s">
        <v>351</v>
      </c>
      <c r="D235" t="s">
        <v>20</v>
      </c>
      <c r="E235" t="s">
        <v>51</v>
      </c>
      <c r="F235" t="s">
        <v>52</v>
      </c>
      <c r="G235" t="s">
        <v>75</v>
      </c>
      <c r="H235" t="s">
        <v>54</v>
      </c>
      <c r="I235">
        <v>14000</v>
      </c>
      <c r="J235">
        <v>0</v>
      </c>
      <c r="K235">
        <v>1</v>
      </c>
      <c r="L235" t="s">
        <v>25</v>
      </c>
      <c r="M235" t="s">
        <v>26</v>
      </c>
      <c r="N235">
        <v>1.35</v>
      </c>
      <c r="O235">
        <v>0</v>
      </c>
      <c r="P235" t="str">
        <f>IF(T[[#This Row],[qty_ordered]]&lt;&gt;T[[#This Row],[qty_received]],IF(T[[#This Row],[qty_received]]&gt;0,"Partial Received","Not Receviced"),"FullyReceived")</f>
        <v>Not Receviced</v>
      </c>
      <c r="Q235" t="str">
        <f>IF(T[[#This Row],[qty_received]]&lt;&gt;T[[#This Row],[qty_invoiced]],IF(T[[#This Row],[qty_invoiced]]&gt;0,"Partial Invoiced","Not Invoiced"),"Fully Invoiced")</f>
        <v>Partial Invoiced</v>
      </c>
      <c r="R235" t="str">
        <f>IFERROR(VLOOKUP(T[[#This Row],[warehouse]],Table2[],2,FALSE),"--")</f>
        <v>--</v>
      </c>
    </row>
    <row r="236" spans="1:18" x14ac:dyDescent="0.25">
      <c r="A236" t="s">
        <v>260</v>
      </c>
      <c r="B236" s="1">
        <v>43514</v>
      </c>
      <c r="C236" t="s">
        <v>352</v>
      </c>
      <c r="D236" t="s">
        <v>20</v>
      </c>
      <c r="E236" t="s">
        <v>51</v>
      </c>
      <c r="F236" t="s">
        <v>265</v>
      </c>
      <c r="G236" t="s">
        <v>265</v>
      </c>
      <c r="H236" t="s">
        <v>54</v>
      </c>
      <c r="I236">
        <v>1</v>
      </c>
      <c r="J236">
        <v>0</v>
      </c>
      <c r="K236">
        <v>1</v>
      </c>
      <c r="L236" t="s">
        <v>25</v>
      </c>
      <c r="M236" t="s">
        <v>26</v>
      </c>
      <c r="N236">
        <v>1000000</v>
      </c>
      <c r="O236">
        <v>0</v>
      </c>
      <c r="P236" t="str">
        <f>IF(T[[#This Row],[qty_ordered]]&lt;&gt;T[[#This Row],[qty_received]],IF(T[[#This Row],[qty_received]]&gt;0,"Partial Received","Not Receviced"),"FullyReceived")</f>
        <v>Not Receviced</v>
      </c>
      <c r="Q236" t="str">
        <f>IF(T[[#This Row],[qty_received]]&lt;&gt;T[[#This Row],[qty_invoiced]],IF(T[[#This Row],[qty_invoiced]]&gt;0,"Partial Invoiced","Not Invoiced"),"Fully Invoiced")</f>
        <v>Partial Invoiced</v>
      </c>
      <c r="R236" t="str">
        <f>IFERROR(VLOOKUP(T[[#This Row],[warehouse]],Table2[],2,FALSE),"--")</f>
        <v>--</v>
      </c>
    </row>
    <row r="237" spans="1:18" x14ac:dyDescent="0.25">
      <c r="A237" t="s">
        <v>353</v>
      </c>
      <c r="B237" s="1">
        <v>43467</v>
      </c>
      <c r="C237" t="s">
        <v>354</v>
      </c>
      <c r="D237" t="s">
        <v>20</v>
      </c>
      <c r="E237" t="s">
        <v>203</v>
      </c>
      <c r="F237" t="s">
        <v>355</v>
      </c>
      <c r="G237" t="s">
        <v>356</v>
      </c>
      <c r="H237" t="s">
        <v>149</v>
      </c>
      <c r="I237">
        <v>5000</v>
      </c>
      <c r="J237">
        <v>5000</v>
      </c>
      <c r="K237">
        <v>5000</v>
      </c>
      <c r="L237" t="s">
        <v>25</v>
      </c>
      <c r="M237" t="s">
        <v>150</v>
      </c>
      <c r="N237">
        <v>990</v>
      </c>
      <c r="O237">
        <v>4950000</v>
      </c>
      <c r="P237" t="str">
        <f>IF(T[[#This Row],[qty_ordered]]&lt;&gt;T[[#This Row],[qty_received]],IF(T[[#This Row],[qty_received]]&gt;0,"Partial Received","Not Receviced"),"FullyReceived")</f>
        <v>FullyReceived</v>
      </c>
      <c r="Q237" t="str">
        <f>IF(T[[#This Row],[qty_received]]&lt;&gt;T[[#This Row],[qty_invoiced]],IF(T[[#This Row],[qty_invoiced]]&gt;0,"Partial Invoiced","Not Invoiced"),"Fully Invoiced")</f>
        <v>Fully Invoiced</v>
      </c>
      <c r="R237" t="str">
        <f>IFERROR(VLOOKUP(T[[#This Row],[warehouse]],Table2[],2,FALSE),"--")</f>
        <v>PZU Packaging Warehouse</v>
      </c>
    </row>
    <row r="238" spans="1:18" x14ac:dyDescent="0.25">
      <c r="A238" t="s">
        <v>357</v>
      </c>
      <c r="B238" s="1">
        <v>43471</v>
      </c>
      <c r="C238" t="s">
        <v>358</v>
      </c>
      <c r="D238" t="s">
        <v>20</v>
      </c>
      <c r="E238" t="s">
        <v>51</v>
      </c>
      <c r="F238" t="s">
        <v>52</v>
      </c>
      <c r="G238" t="s">
        <v>75</v>
      </c>
      <c r="H238" t="s">
        <v>54</v>
      </c>
      <c r="I238">
        <v>7000</v>
      </c>
      <c r="J238">
        <v>0</v>
      </c>
      <c r="K238">
        <v>1</v>
      </c>
      <c r="L238" t="s">
        <v>25</v>
      </c>
      <c r="M238" t="s">
        <v>359</v>
      </c>
      <c r="N238">
        <v>1300</v>
      </c>
      <c r="O238">
        <v>0</v>
      </c>
      <c r="P238" t="str">
        <f>IF(T[[#This Row],[qty_ordered]]&lt;&gt;T[[#This Row],[qty_received]],IF(T[[#This Row],[qty_received]]&gt;0,"Partial Received","Not Receviced"),"FullyReceived")</f>
        <v>Not Receviced</v>
      </c>
      <c r="Q238" t="str">
        <f>IF(T[[#This Row],[qty_received]]&lt;&gt;T[[#This Row],[qty_invoiced]],IF(T[[#This Row],[qty_invoiced]]&gt;0,"Partial Invoiced","Not Invoiced"),"Fully Invoiced")</f>
        <v>Partial Invoiced</v>
      </c>
      <c r="R238" t="str">
        <f>IFERROR(VLOOKUP(T[[#This Row],[warehouse]],Table2[],2,FALSE),"--")</f>
        <v>--</v>
      </c>
    </row>
    <row r="239" spans="1:18" x14ac:dyDescent="0.25">
      <c r="A239" t="s">
        <v>187</v>
      </c>
      <c r="B239" s="1">
        <v>43475</v>
      </c>
      <c r="C239" t="s">
        <v>241</v>
      </c>
      <c r="D239" t="s">
        <v>20</v>
      </c>
      <c r="E239" t="s">
        <v>66</v>
      </c>
      <c r="F239" t="s">
        <v>86</v>
      </c>
      <c r="G239" t="s">
        <v>87</v>
      </c>
      <c r="H239" t="s">
        <v>24</v>
      </c>
      <c r="I239">
        <v>2000</v>
      </c>
      <c r="J239">
        <v>103.68</v>
      </c>
      <c r="K239">
        <v>103.68</v>
      </c>
      <c r="L239" t="s">
        <v>25</v>
      </c>
      <c r="M239" t="s">
        <v>26</v>
      </c>
      <c r="N239">
        <v>82325</v>
      </c>
      <c r="O239">
        <v>3841793.1</v>
      </c>
      <c r="P239" t="str">
        <f>IF(T[[#This Row],[qty_ordered]]&lt;&gt;T[[#This Row],[qty_received]],IF(T[[#This Row],[qty_received]]&gt;0,"Partial Received","Not Receviced"),"FullyReceived")</f>
        <v>Partial Received</v>
      </c>
      <c r="Q239" t="str">
        <f>IF(T[[#This Row],[qty_received]]&lt;&gt;T[[#This Row],[qty_invoiced]],IF(T[[#This Row],[qty_invoiced]]&gt;0,"Partial Invoiced","Not Invoiced"),"Fully Invoiced")</f>
        <v>Fully Invoiced</v>
      </c>
      <c r="R239" t="str">
        <f>IFERROR(VLOOKUP(T[[#This Row],[warehouse]],Table2[],2,FALSE),"--")</f>
        <v>PZU Main Warehouse</v>
      </c>
    </row>
    <row r="240" spans="1:18" x14ac:dyDescent="0.25">
      <c r="A240" t="s">
        <v>208</v>
      </c>
      <c r="B240" s="1">
        <v>43478</v>
      </c>
      <c r="C240" t="s">
        <v>215</v>
      </c>
      <c r="D240" t="s">
        <v>20</v>
      </c>
      <c r="E240" t="s">
        <v>218</v>
      </c>
      <c r="F240" t="s">
        <v>219</v>
      </c>
      <c r="G240" t="s">
        <v>220</v>
      </c>
      <c r="H240" t="s">
        <v>221</v>
      </c>
      <c r="I240">
        <v>117970.94</v>
      </c>
      <c r="J240">
        <v>0</v>
      </c>
      <c r="K240">
        <v>0</v>
      </c>
      <c r="L240" t="s">
        <v>59</v>
      </c>
      <c r="M240" t="s">
        <v>26</v>
      </c>
      <c r="N240">
        <v>2500</v>
      </c>
      <c r="O240">
        <v>0</v>
      </c>
      <c r="P240" t="str">
        <f>IF(T[[#This Row],[qty_ordered]]&lt;&gt;T[[#This Row],[qty_received]],IF(T[[#This Row],[qty_received]]&gt;0,"Partial Received","Not Receviced"),"FullyReceived")</f>
        <v>Not Receviced</v>
      </c>
      <c r="Q240" t="str">
        <f>IF(T[[#This Row],[qty_received]]&lt;&gt;T[[#This Row],[qty_invoiced]],IF(T[[#This Row],[qty_invoiced]]&gt;0,"Partial Invoiced","Not Invoiced"),"Fully Invoiced")</f>
        <v>Fully Invoiced</v>
      </c>
      <c r="R240" t="str">
        <f>IFERROR(VLOOKUP(T[[#This Row],[warehouse]],Table2[],2,FALSE),"--")</f>
        <v>--</v>
      </c>
    </row>
    <row r="241" spans="1:18" x14ac:dyDescent="0.25">
      <c r="A241" t="s">
        <v>235</v>
      </c>
      <c r="B241" s="1">
        <v>43478</v>
      </c>
      <c r="C241" t="s">
        <v>360</v>
      </c>
      <c r="D241" t="s">
        <v>20</v>
      </c>
      <c r="E241" t="s">
        <v>51</v>
      </c>
      <c r="F241" t="s">
        <v>52</v>
      </c>
      <c r="G241" t="s">
        <v>75</v>
      </c>
      <c r="H241" t="s">
        <v>54</v>
      </c>
      <c r="I241">
        <v>3650</v>
      </c>
      <c r="J241">
        <v>0</v>
      </c>
      <c r="K241">
        <v>1</v>
      </c>
      <c r="L241" t="s">
        <v>25</v>
      </c>
      <c r="M241" t="s">
        <v>26</v>
      </c>
      <c r="N241">
        <v>3.4</v>
      </c>
      <c r="O241">
        <v>0</v>
      </c>
      <c r="P241" t="str">
        <f>IF(T[[#This Row],[qty_ordered]]&lt;&gt;T[[#This Row],[qty_received]],IF(T[[#This Row],[qty_received]]&gt;0,"Partial Received","Not Receviced"),"FullyReceived")</f>
        <v>Not Receviced</v>
      </c>
      <c r="Q241" t="str">
        <f>IF(T[[#This Row],[qty_received]]&lt;&gt;T[[#This Row],[qty_invoiced]],IF(T[[#This Row],[qty_invoiced]]&gt;0,"Partial Invoiced","Not Invoiced"),"Fully Invoiced")</f>
        <v>Partial Invoiced</v>
      </c>
      <c r="R241" t="str">
        <f>IFERROR(VLOOKUP(T[[#This Row],[warehouse]],Table2[],2,FALSE),"--")</f>
        <v>--</v>
      </c>
    </row>
    <row r="242" spans="1:18" x14ac:dyDescent="0.25">
      <c r="A242" t="s">
        <v>303</v>
      </c>
      <c r="B242" s="1">
        <v>43265</v>
      </c>
      <c r="C242" t="s">
        <v>361</v>
      </c>
      <c r="D242" t="s">
        <v>20</v>
      </c>
      <c r="E242" t="s">
        <v>66</v>
      </c>
      <c r="F242" t="s">
        <v>305</v>
      </c>
      <c r="G242" t="s">
        <v>306</v>
      </c>
      <c r="H242" t="s">
        <v>24</v>
      </c>
      <c r="I242">
        <v>2000</v>
      </c>
      <c r="J242">
        <v>2000</v>
      </c>
      <c r="K242">
        <v>2000</v>
      </c>
      <c r="L242" t="s">
        <v>25</v>
      </c>
      <c r="M242" t="s">
        <v>26</v>
      </c>
      <c r="N242">
        <v>10875</v>
      </c>
      <c r="O242">
        <v>21750000</v>
      </c>
      <c r="P242" t="str">
        <f>IF(T[[#This Row],[qty_ordered]]&lt;&gt;T[[#This Row],[qty_received]],IF(T[[#This Row],[qty_received]]&gt;0,"Partial Received","Not Receviced"),"FullyReceived")</f>
        <v>FullyReceived</v>
      </c>
      <c r="Q242" t="str">
        <f>IF(T[[#This Row],[qty_received]]&lt;&gt;T[[#This Row],[qty_invoiced]],IF(T[[#This Row],[qty_invoiced]]&gt;0,"Partial Invoiced","Not Invoiced"),"Fully Invoiced")</f>
        <v>Fully Invoiced</v>
      </c>
      <c r="R242" t="str">
        <f>IFERROR(VLOOKUP(T[[#This Row],[warehouse]],Table2[],2,FALSE),"--")</f>
        <v>PZU Main Warehouse</v>
      </c>
    </row>
    <row r="243" spans="1:18" x14ac:dyDescent="0.25">
      <c r="A243" t="s">
        <v>303</v>
      </c>
      <c r="B243" s="1">
        <v>43460</v>
      </c>
      <c r="C243" t="s">
        <v>362</v>
      </c>
      <c r="D243" t="s">
        <v>20</v>
      </c>
      <c r="E243" t="s">
        <v>66</v>
      </c>
      <c r="F243" t="s">
        <v>305</v>
      </c>
      <c r="G243" t="s">
        <v>306</v>
      </c>
      <c r="H243" t="s">
        <v>24</v>
      </c>
      <c r="I243">
        <v>1000</v>
      </c>
      <c r="J243">
        <v>972.12</v>
      </c>
      <c r="K243">
        <v>972.12</v>
      </c>
      <c r="L243" t="s">
        <v>25</v>
      </c>
      <c r="M243" t="s">
        <v>26</v>
      </c>
      <c r="N243">
        <v>6888</v>
      </c>
      <c r="O243">
        <v>6695962.5599999996</v>
      </c>
      <c r="P243" t="str">
        <f>IF(T[[#This Row],[qty_ordered]]&lt;&gt;T[[#This Row],[qty_received]],IF(T[[#This Row],[qty_received]]&gt;0,"Partial Received","Not Receviced"),"FullyReceived")</f>
        <v>Partial Received</v>
      </c>
      <c r="Q243" t="str">
        <f>IF(T[[#This Row],[qty_received]]&lt;&gt;T[[#This Row],[qty_invoiced]],IF(T[[#This Row],[qty_invoiced]]&gt;0,"Partial Invoiced","Not Invoiced"),"Fully Invoiced")</f>
        <v>Fully Invoiced</v>
      </c>
      <c r="R243" t="str">
        <f>IFERROR(VLOOKUP(T[[#This Row],[warehouse]],Table2[],2,FALSE),"--")</f>
        <v>PZU Main Warehouse</v>
      </c>
    </row>
    <row r="244" spans="1:18" x14ac:dyDescent="0.25">
      <c r="A244" t="s">
        <v>357</v>
      </c>
      <c r="B244" s="1">
        <v>43467</v>
      </c>
      <c r="C244" t="s">
        <v>363</v>
      </c>
      <c r="D244" t="s">
        <v>20</v>
      </c>
      <c r="E244" t="s">
        <v>166</v>
      </c>
      <c r="F244" t="s">
        <v>167</v>
      </c>
      <c r="G244" t="s">
        <v>156</v>
      </c>
      <c r="H244" t="s">
        <v>24</v>
      </c>
      <c r="I244">
        <v>149.1</v>
      </c>
      <c r="J244">
        <v>149.1</v>
      </c>
      <c r="K244">
        <v>149.1</v>
      </c>
      <c r="L244" t="s">
        <v>25</v>
      </c>
      <c r="M244" t="s">
        <v>26</v>
      </c>
      <c r="N244">
        <v>71000</v>
      </c>
      <c r="O244">
        <v>10586100</v>
      </c>
      <c r="P244" t="str">
        <f>IF(T[[#This Row],[qty_ordered]]&lt;&gt;T[[#This Row],[qty_received]],IF(T[[#This Row],[qty_received]]&gt;0,"Partial Received","Not Receviced"),"FullyReceived")</f>
        <v>FullyReceived</v>
      </c>
      <c r="Q244" t="str">
        <f>IF(T[[#This Row],[qty_received]]&lt;&gt;T[[#This Row],[qty_invoiced]],IF(T[[#This Row],[qty_invoiced]]&gt;0,"Partial Invoiced","Not Invoiced"),"Fully Invoiced")</f>
        <v>Fully Invoiced</v>
      </c>
      <c r="R244" t="str">
        <f>IFERROR(VLOOKUP(T[[#This Row],[warehouse]],Table2[],2,FALSE),"--")</f>
        <v>Crusher Al-Teital -K</v>
      </c>
    </row>
    <row r="245" spans="1:18" x14ac:dyDescent="0.25">
      <c r="A245" t="s">
        <v>181</v>
      </c>
      <c r="B245" s="1">
        <v>43467</v>
      </c>
      <c r="C245" t="s">
        <v>364</v>
      </c>
      <c r="D245" t="s">
        <v>20</v>
      </c>
      <c r="E245" t="s">
        <v>51</v>
      </c>
      <c r="F245" t="s">
        <v>52</v>
      </c>
      <c r="G245" t="s">
        <v>75</v>
      </c>
      <c r="H245" t="s">
        <v>54</v>
      </c>
      <c r="I245">
        <v>500</v>
      </c>
      <c r="J245">
        <v>0</v>
      </c>
      <c r="K245">
        <v>1</v>
      </c>
      <c r="L245" t="s">
        <v>25</v>
      </c>
      <c r="M245" t="s">
        <v>26</v>
      </c>
      <c r="N245">
        <v>480</v>
      </c>
      <c r="O245">
        <v>0</v>
      </c>
      <c r="P245" t="str">
        <f>IF(T[[#This Row],[qty_ordered]]&lt;&gt;T[[#This Row],[qty_received]],IF(T[[#This Row],[qty_received]]&gt;0,"Partial Received","Not Receviced"),"FullyReceived")</f>
        <v>Not Receviced</v>
      </c>
      <c r="Q245" t="str">
        <f>IF(T[[#This Row],[qty_received]]&lt;&gt;T[[#This Row],[qty_invoiced]],IF(T[[#This Row],[qty_invoiced]]&gt;0,"Partial Invoiced","Not Invoiced"),"Fully Invoiced")</f>
        <v>Partial Invoiced</v>
      </c>
      <c r="R245" t="str">
        <f>IFERROR(VLOOKUP(T[[#This Row],[warehouse]],Table2[],2,FALSE),"--")</f>
        <v>--</v>
      </c>
    </row>
    <row r="246" spans="1:18" x14ac:dyDescent="0.25">
      <c r="A246" t="s">
        <v>181</v>
      </c>
      <c r="B246" s="1">
        <v>43467</v>
      </c>
      <c r="C246" t="s">
        <v>364</v>
      </c>
      <c r="D246" t="s">
        <v>71</v>
      </c>
      <c r="E246" t="s">
        <v>51</v>
      </c>
      <c r="F246" t="s">
        <v>52</v>
      </c>
      <c r="G246" t="s">
        <v>75</v>
      </c>
      <c r="H246" t="s">
        <v>54</v>
      </c>
      <c r="I246">
        <v>500</v>
      </c>
      <c r="J246">
        <v>0</v>
      </c>
      <c r="K246">
        <v>1</v>
      </c>
      <c r="L246" t="s">
        <v>25</v>
      </c>
      <c r="M246" t="s">
        <v>26</v>
      </c>
      <c r="N246">
        <v>390</v>
      </c>
      <c r="O246">
        <v>0</v>
      </c>
      <c r="P246" t="str">
        <f>IF(T[[#This Row],[qty_ordered]]&lt;&gt;T[[#This Row],[qty_received]],IF(T[[#This Row],[qty_received]]&gt;0,"Partial Received","Not Receviced"),"FullyReceived")</f>
        <v>Not Receviced</v>
      </c>
      <c r="Q246" t="str">
        <f>IF(T[[#This Row],[qty_received]]&lt;&gt;T[[#This Row],[qty_invoiced]],IF(T[[#This Row],[qty_invoiced]]&gt;0,"Partial Invoiced","Not Invoiced"),"Fully Invoiced")</f>
        <v>Partial Invoiced</v>
      </c>
      <c r="R246" t="str">
        <f>IFERROR(VLOOKUP(T[[#This Row],[warehouse]],Table2[],2,FALSE),"--")</f>
        <v>--</v>
      </c>
    </row>
    <row r="247" spans="1:18" x14ac:dyDescent="0.25">
      <c r="A247" t="s">
        <v>181</v>
      </c>
      <c r="B247" s="1">
        <v>43467</v>
      </c>
      <c r="C247" t="s">
        <v>364</v>
      </c>
      <c r="D247" t="s">
        <v>100</v>
      </c>
      <c r="E247" t="s">
        <v>51</v>
      </c>
      <c r="F247" t="s">
        <v>52</v>
      </c>
      <c r="G247" t="s">
        <v>75</v>
      </c>
      <c r="H247" t="s">
        <v>54</v>
      </c>
      <c r="I247">
        <v>470</v>
      </c>
      <c r="J247">
        <v>0</v>
      </c>
      <c r="K247">
        <v>1</v>
      </c>
      <c r="L247" t="s">
        <v>25</v>
      </c>
      <c r="M247" t="s">
        <v>26</v>
      </c>
      <c r="N247">
        <v>276.5958</v>
      </c>
      <c r="O247">
        <v>0</v>
      </c>
      <c r="P247" t="str">
        <f>IF(T[[#This Row],[qty_ordered]]&lt;&gt;T[[#This Row],[qty_received]],IF(T[[#This Row],[qty_received]]&gt;0,"Partial Received","Not Receviced"),"FullyReceived")</f>
        <v>Not Receviced</v>
      </c>
      <c r="Q247" t="str">
        <f>IF(T[[#This Row],[qty_received]]&lt;&gt;T[[#This Row],[qty_invoiced]],IF(T[[#This Row],[qty_invoiced]]&gt;0,"Partial Invoiced","Not Invoiced"),"Fully Invoiced")</f>
        <v>Partial Invoiced</v>
      </c>
      <c r="R247" t="str">
        <f>IFERROR(VLOOKUP(T[[#This Row],[warehouse]],Table2[],2,FALSE),"--")</f>
        <v>--</v>
      </c>
    </row>
    <row r="248" spans="1:18" x14ac:dyDescent="0.25">
      <c r="A248" t="s">
        <v>235</v>
      </c>
      <c r="B248" s="1">
        <v>43454</v>
      </c>
      <c r="C248" t="s">
        <v>351</v>
      </c>
      <c r="D248" t="s">
        <v>71</v>
      </c>
      <c r="E248" t="s">
        <v>51</v>
      </c>
      <c r="F248" t="s">
        <v>52</v>
      </c>
      <c r="G248" t="s">
        <v>75</v>
      </c>
      <c r="H248" t="s">
        <v>54</v>
      </c>
      <c r="I248">
        <v>5000</v>
      </c>
      <c r="J248">
        <v>0</v>
      </c>
      <c r="K248">
        <v>1</v>
      </c>
      <c r="L248" t="s">
        <v>25</v>
      </c>
      <c r="M248" t="s">
        <v>26</v>
      </c>
      <c r="N248">
        <v>3.4</v>
      </c>
      <c r="O248">
        <v>0</v>
      </c>
      <c r="P248" t="str">
        <f>IF(T[[#This Row],[qty_ordered]]&lt;&gt;T[[#This Row],[qty_received]],IF(T[[#This Row],[qty_received]]&gt;0,"Partial Received","Not Receviced"),"FullyReceived")</f>
        <v>Not Receviced</v>
      </c>
      <c r="Q248" t="str">
        <f>IF(T[[#This Row],[qty_received]]&lt;&gt;T[[#This Row],[qty_invoiced]],IF(T[[#This Row],[qty_invoiced]]&gt;0,"Partial Invoiced","Not Invoiced"),"Fully Invoiced")</f>
        <v>Partial Invoiced</v>
      </c>
      <c r="R248" t="str">
        <f>IFERROR(VLOOKUP(T[[#This Row],[warehouse]],Table2[],2,FALSE),"--")</f>
        <v>--</v>
      </c>
    </row>
    <row r="249" spans="1:18" x14ac:dyDescent="0.25">
      <c r="A249" t="s">
        <v>160</v>
      </c>
      <c r="B249" s="1">
        <v>43419</v>
      </c>
      <c r="C249" t="s">
        <v>365</v>
      </c>
      <c r="D249" t="s">
        <v>20</v>
      </c>
      <c r="E249" t="s">
        <v>44</v>
      </c>
      <c r="F249" t="s">
        <v>47</v>
      </c>
      <c r="G249" t="s">
        <v>48</v>
      </c>
      <c r="H249" t="s">
        <v>24</v>
      </c>
      <c r="I249">
        <v>800</v>
      </c>
      <c r="J249">
        <v>669.01</v>
      </c>
      <c r="K249">
        <v>669.01</v>
      </c>
      <c r="L249" t="s">
        <v>25</v>
      </c>
      <c r="M249" t="s">
        <v>26</v>
      </c>
      <c r="N249">
        <v>30855</v>
      </c>
      <c r="O249">
        <v>20642303.550000001</v>
      </c>
      <c r="P249" t="str">
        <f>IF(T[[#This Row],[qty_ordered]]&lt;&gt;T[[#This Row],[qty_received]],IF(T[[#This Row],[qty_received]]&gt;0,"Partial Received","Not Receviced"),"FullyReceived")</f>
        <v>Partial Received</v>
      </c>
      <c r="Q249" t="str">
        <f>IF(T[[#This Row],[qty_received]]&lt;&gt;T[[#This Row],[qty_invoiced]],IF(T[[#This Row],[qty_invoiced]]&gt;0,"Partial Invoiced","Not Invoiced"),"Fully Invoiced")</f>
        <v>Fully Invoiced</v>
      </c>
      <c r="R249" t="str">
        <f>IFERROR(VLOOKUP(T[[#This Row],[warehouse]],Table2[],2,FALSE),"--")</f>
        <v>Sifter OMD - Yara (AlNawris)</v>
      </c>
    </row>
    <row r="250" spans="1:18" x14ac:dyDescent="0.25">
      <c r="A250" t="s">
        <v>160</v>
      </c>
      <c r="B250" s="1">
        <v>43474</v>
      </c>
      <c r="C250" t="s">
        <v>366</v>
      </c>
      <c r="D250" t="s">
        <v>20</v>
      </c>
      <c r="E250" t="s">
        <v>166</v>
      </c>
      <c r="F250" t="s">
        <v>22</v>
      </c>
      <c r="G250" t="s">
        <v>23</v>
      </c>
      <c r="H250" t="s">
        <v>24</v>
      </c>
      <c r="I250">
        <v>7000</v>
      </c>
      <c r="J250">
        <v>5251.28</v>
      </c>
      <c r="K250">
        <v>5251.28</v>
      </c>
      <c r="L250" t="s">
        <v>25</v>
      </c>
      <c r="M250" t="s">
        <v>26</v>
      </c>
      <c r="N250">
        <v>18500</v>
      </c>
      <c r="O250">
        <v>97148680</v>
      </c>
      <c r="P250" t="str">
        <f>IF(T[[#This Row],[qty_ordered]]&lt;&gt;T[[#This Row],[qty_received]],IF(T[[#This Row],[qty_received]]&gt;0,"Partial Received","Not Receviced"),"FullyReceived")</f>
        <v>Partial Received</v>
      </c>
      <c r="Q250" t="str">
        <f>IF(T[[#This Row],[qty_received]]&lt;&gt;T[[#This Row],[qty_invoiced]],IF(T[[#This Row],[qty_invoiced]]&gt;0,"Partial Invoiced","Not Invoiced"),"Fully Invoiced")</f>
        <v>Fully Invoiced</v>
      </c>
      <c r="R250" t="str">
        <f>IFERROR(VLOOKUP(T[[#This Row],[warehouse]],Table2[],2,FALSE),"--")</f>
        <v>Crusher Al-Teital -K</v>
      </c>
    </row>
    <row r="251" spans="1:18" x14ac:dyDescent="0.25">
      <c r="A251" t="s">
        <v>187</v>
      </c>
      <c r="B251" s="1">
        <v>43478</v>
      </c>
      <c r="C251" t="s">
        <v>240</v>
      </c>
      <c r="D251" t="s">
        <v>20</v>
      </c>
      <c r="E251" t="s">
        <v>66</v>
      </c>
      <c r="F251" t="s">
        <v>108</v>
      </c>
      <c r="G251" t="s">
        <v>109</v>
      </c>
      <c r="H251" t="s">
        <v>24</v>
      </c>
      <c r="I251">
        <v>1500</v>
      </c>
      <c r="J251">
        <v>512.76</v>
      </c>
      <c r="K251">
        <v>512.76</v>
      </c>
      <c r="L251" t="s">
        <v>25</v>
      </c>
      <c r="M251" t="s">
        <v>26</v>
      </c>
      <c r="N251">
        <v>75650</v>
      </c>
      <c r="O251">
        <v>17724831.300000001</v>
      </c>
      <c r="P251" t="str">
        <f>IF(T[[#This Row],[qty_ordered]]&lt;&gt;T[[#This Row],[qty_received]],IF(T[[#This Row],[qty_received]]&gt;0,"Partial Received","Not Receviced"),"FullyReceived")</f>
        <v>Partial Received</v>
      </c>
      <c r="Q251" t="str">
        <f>IF(T[[#This Row],[qty_received]]&lt;&gt;T[[#This Row],[qty_invoiced]],IF(T[[#This Row],[qty_invoiced]]&gt;0,"Partial Invoiced","Not Invoiced"),"Fully Invoiced")</f>
        <v>Fully Invoiced</v>
      </c>
      <c r="R251" t="str">
        <f>IFERROR(VLOOKUP(T[[#This Row],[warehouse]],Table2[],2,FALSE),"--")</f>
        <v>PZU Main Warehouse</v>
      </c>
    </row>
    <row r="252" spans="1:18" x14ac:dyDescent="0.25">
      <c r="A252" t="s">
        <v>235</v>
      </c>
      <c r="B252" s="1">
        <v>43478</v>
      </c>
      <c r="C252" t="s">
        <v>360</v>
      </c>
      <c r="D252" t="s">
        <v>71</v>
      </c>
      <c r="E252" t="s">
        <v>51</v>
      </c>
      <c r="F252" t="s">
        <v>52</v>
      </c>
      <c r="G252" t="s">
        <v>75</v>
      </c>
      <c r="H252" t="s">
        <v>54</v>
      </c>
      <c r="I252">
        <v>3600</v>
      </c>
      <c r="J252">
        <v>0</v>
      </c>
      <c r="K252">
        <v>1</v>
      </c>
      <c r="L252" t="s">
        <v>25</v>
      </c>
      <c r="M252" t="s">
        <v>26</v>
      </c>
      <c r="N252">
        <v>3.4</v>
      </c>
      <c r="O252">
        <v>0</v>
      </c>
      <c r="P252" t="str">
        <f>IF(T[[#This Row],[qty_ordered]]&lt;&gt;T[[#This Row],[qty_received]],IF(T[[#This Row],[qty_received]]&gt;0,"Partial Received","Not Receviced"),"FullyReceived")</f>
        <v>Not Receviced</v>
      </c>
      <c r="Q252" t="str">
        <f>IF(T[[#This Row],[qty_received]]&lt;&gt;T[[#This Row],[qty_invoiced]],IF(T[[#This Row],[qty_invoiced]]&gt;0,"Partial Invoiced","Not Invoiced"),"Fully Invoiced")</f>
        <v>Partial Invoiced</v>
      </c>
      <c r="R252" t="str">
        <f>IFERROR(VLOOKUP(T[[#This Row],[warehouse]],Table2[],2,FALSE),"--")</f>
        <v>--</v>
      </c>
    </row>
    <row r="253" spans="1:18" x14ac:dyDescent="0.25">
      <c r="A253" t="s">
        <v>235</v>
      </c>
      <c r="B253" s="1">
        <v>43478</v>
      </c>
      <c r="C253" t="s">
        <v>367</v>
      </c>
      <c r="D253" t="s">
        <v>20</v>
      </c>
      <c r="E253" t="s">
        <v>51</v>
      </c>
      <c r="F253" t="s">
        <v>52</v>
      </c>
      <c r="G253" t="s">
        <v>75</v>
      </c>
      <c r="H253" t="s">
        <v>54</v>
      </c>
      <c r="I253">
        <v>10000</v>
      </c>
      <c r="J253">
        <v>0</v>
      </c>
      <c r="K253">
        <v>1</v>
      </c>
      <c r="L253" t="s">
        <v>25</v>
      </c>
      <c r="M253" t="s">
        <v>26</v>
      </c>
      <c r="N253">
        <v>2.95</v>
      </c>
      <c r="O253">
        <v>0</v>
      </c>
      <c r="P253" t="str">
        <f>IF(T[[#This Row],[qty_ordered]]&lt;&gt;T[[#This Row],[qty_received]],IF(T[[#This Row],[qty_received]]&gt;0,"Partial Received","Not Receviced"),"FullyReceived")</f>
        <v>Not Receviced</v>
      </c>
      <c r="Q253" t="str">
        <f>IF(T[[#This Row],[qty_received]]&lt;&gt;T[[#This Row],[qty_invoiced]],IF(T[[#This Row],[qty_invoiced]]&gt;0,"Partial Invoiced","Not Invoiced"),"Fully Invoiced")</f>
        <v>Partial Invoiced</v>
      </c>
      <c r="R253" t="str">
        <f>IFERROR(VLOOKUP(T[[#This Row],[warehouse]],Table2[],2,FALSE),"--")</f>
        <v>--</v>
      </c>
    </row>
    <row r="254" spans="1:18" x14ac:dyDescent="0.25">
      <c r="A254" t="s">
        <v>250</v>
      </c>
      <c r="B254" s="1">
        <v>43465</v>
      </c>
      <c r="C254" t="s">
        <v>348</v>
      </c>
      <c r="D254" t="s">
        <v>71</v>
      </c>
      <c r="E254" t="s">
        <v>146</v>
      </c>
      <c r="F254" t="s">
        <v>86</v>
      </c>
      <c r="G254" t="s">
        <v>87</v>
      </c>
      <c r="H254" t="s">
        <v>24</v>
      </c>
      <c r="I254">
        <v>449.44</v>
      </c>
      <c r="J254">
        <v>393.21</v>
      </c>
      <c r="K254">
        <v>393.21</v>
      </c>
      <c r="L254" t="s">
        <v>25</v>
      </c>
      <c r="M254" t="s">
        <v>26</v>
      </c>
      <c r="N254">
        <v>80100</v>
      </c>
      <c r="O254">
        <v>31496121</v>
      </c>
      <c r="P254" t="str">
        <f>IF(T[[#This Row],[qty_ordered]]&lt;&gt;T[[#This Row],[qty_received]],IF(T[[#This Row],[qty_received]]&gt;0,"Partial Received","Not Receviced"),"FullyReceived")</f>
        <v>Partial Received</v>
      </c>
      <c r="Q254" t="str">
        <f>IF(T[[#This Row],[qty_received]]&lt;&gt;T[[#This Row],[qty_invoiced]],IF(T[[#This Row],[qty_invoiced]]&gt;0,"Partial Invoiced","Not Invoiced"),"Fully Invoiced")</f>
        <v>Fully Invoiced</v>
      </c>
      <c r="R254" t="str">
        <f>IFERROR(VLOOKUP(T[[#This Row],[warehouse]],Table2[],2,FALSE),"--")</f>
        <v>Khtoum Main Warehouse</v>
      </c>
    </row>
    <row r="255" spans="1:18" x14ac:dyDescent="0.25">
      <c r="A255" t="s">
        <v>250</v>
      </c>
      <c r="B255" s="1">
        <v>43419</v>
      </c>
      <c r="C255" t="s">
        <v>368</v>
      </c>
      <c r="D255" t="s">
        <v>20</v>
      </c>
      <c r="E255" t="s">
        <v>51</v>
      </c>
      <c r="F255" t="s">
        <v>369</v>
      </c>
      <c r="G255" t="s">
        <v>369</v>
      </c>
      <c r="H255" t="s">
        <v>54</v>
      </c>
      <c r="I255">
        <v>30178</v>
      </c>
      <c r="J255">
        <v>0</v>
      </c>
      <c r="K255">
        <v>1</v>
      </c>
      <c r="L255" t="s">
        <v>25</v>
      </c>
      <c r="M255" t="s">
        <v>26</v>
      </c>
      <c r="N255">
        <v>60</v>
      </c>
      <c r="O255">
        <v>0</v>
      </c>
      <c r="P255" t="str">
        <f>IF(T[[#This Row],[qty_ordered]]&lt;&gt;T[[#This Row],[qty_received]],IF(T[[#This Row],[qty_received]]&gt;0,"Partial Received","Not Receviced"),"FullyReceived")</f>
        <v>Not Receviced</v>
      </c>
      <c r="Q255" t="str">
        <f>IF(T[[#This Row],[qty_received]]&lt;&gt;T[[#This Row],[qty_invoiced]],IF(T[[#This Row],[qty_invoiced]]&gt;0,"Partial Invoiced","Not Invoiced"),"Fully Invoiced")</f>
        <v>Partial Invoiced</v>
      </c>
      <c r="R255" t="str">
        <f>IFERROR(VLOOKUP(T[[#This Row],[warehouse]],Table2[],2,FALSE),"--")</f>
        <v>--</v>
      </c>
    </row>
    <row r="256" spans="1:18" x14ac:dyDescent="0.25">
      <c r="A256" t="s">
        <v>208</v>
      </c>
      <c r="B256" s="1">
        <v>43478</v>
      </c>
      <c r="C256" t="s">
        <v>209</v>
      </c>
      <c r="D256" t="s">
        <v>20</v>
      </c>
      <c r="E256" t="s">
        <v>218</v>
      </c>
      <c r="F256" t="s">
        <v>219</v>
      </c>
      <c r="G256" t="s">
        <v>220</v>
      </c>
      <c r="H256" t="s">
        <v>221</v>
      </c>
      <c r="I256">
        <v>125282</v>
      </c>
      <c r="J256">
        <v>0</v>
      </c>
      <c r="K256">
        <v>0</v>
      </c>
      <c r="L256" t="s">
        <v>59</v>
      </c>
      <c r="M256" t="s">
        <v>26</v>
      </c>
      <c r="N256">
        <v>1861.7114819999999</v>
      </c>
      <c r="O256">
        <v>0</v>
      </c>
      <c r="P256" t="str">
        <f>IF(T[[#This Row],[qty_ordered]]&lt;&gt;T[[#This Row],[qty_received]],IF(T[[#This Row],[qty_received]]&gt;0,"Partial Received","Not Receviced"),"FullyReceived")</f>
        <v>Not Receviced</v>
      </c>
      <c r="Q256" t="str">
        <f>IF(T[[#This Row],[qty_received]]&lt;&gt;T[[#This Row],[qty_invoiced]],IF(T[[#This Row],[qty_invoiced]]&gt;0,"Partial Invoiced","Not Invoiced"),"Fully Invoiced")</f>
        <v>Fully Invoiced</v>
      </c>
      <c r="R256" t="str">
        <f>IFERROR(VLOOKUP(T[[#This Row],[warehouse]],Table2[],2,FALSE),"--")</f>
        <v>--</v>
      </c>
    </row>
    <row r="257" spans="1:18" x14ac:dyDescent="0.25">
      <c r="A257" t="s">
        <v>235</v>
      </c>
      <c r="B257" s="1">
        <v>43478</v>
      </c>
      <c r="C257" t="s">
        <v>370</v>
      </c>
      <c r="D257" t="s">
        <v>20</v>
      </c>
      <c r="E257" t="s">
        <v>51</v>
      </c>
      <c r="F257" t="s">
        <v>52</v>
      </c>
      <c r="G257" t="s">
        <v>75</v>
      </c>
      <c r="H257" t="s">
        <v>54</v>
      </c>
      <c r="I257">
        <v>15000</v>
      </c>
      <c r="J257">
        <v>0</v>
      </c>
      <c r="K257">
        <v>1</v>
      </c>
      <c r="L257" t="s">
        <v>25</v>
      </c>
      <c r="M257" t="s">
        <v>26</v>
      </c>
      <c r="N257">
        <v>2.95</v>
      </c>
      <c r="O257">
        <v>0</v>
      </c>
      <c r="P257" t="str">
        <f>IF(T[[#This Row],[qty_ordered]]&lt;&gt;T[[#This Row],[qty_received]],IF(T[[#This Row],[qty_received]]&gt;0,"Partial Received","Not Receviced"),"FullyReceived")</f>
        <v>Not Receviced</v>
      </c>
      <c r="Q257" t="str">
        <f>IF(T[[#This Row],[qty_received]]&lt;&gt;T[[#This Row],[qty_invoiced]],IF(T[[#This Row],[qty_invoiced]]&gt;0,"Partial Invoiced","Not Invoiced"),"Fully Invoiced")</f>
        <v>Partial Invoiced</v>
      </c>
      <c r="R257" t="str">
        <f>IFERROR(VLOOKUP(T[[#This Row],[warehouse]],Table2[],2,FALSE),"--")</f>
        <v>--</v>
      </c>
    </row>
    <row r="258" spans="1:18" x14ac:dyDescent="0.25">
      <c r="A258" t="s">
        <v>252</v>
      </c>
      <c r="B258" s="1">
        <v>43489</v>
      </c>
      <c r="C258" t="s">
        <v>253</v>
      </c>
      <c r="D258" t="s">
        <v>20</v>
      </c>
      <c r="E258" t="s">
        <v>51</v>
      </c>
      <c r="F258" t="s">
        <v>183</v>
      </c>
      <c r="G258" t="s">
        <v>371</v>
      </c>
      <c r="H258" t="s">
        <v>54</v>
      </c>
      <c r="I258">
        <v>1000</v>
      </c>
      <c r="J258">
        <v>0</v>
      </c>
      <c r="K258">
        <v>1</v>
      </c>
      <c r="L258" t="s">
        <v>25</v>
      </c>
      <c r="M258" t="s">
        <v>26</v>
      </c>
      <c r="N258">
        <v>550</v>
      </c>
      <c r="O258">
        <v>0</v>
      </c>
      <c r="P258" t="str">
        <f>IF(T[[#This Row],[qty_ordered]]&lt;&gt;T[[#This Row],[qty_received]],IF(T[[#This Row],[qty_received]]&gt;0,"Partial Received","Not Receviced"),"FullyReceived")</f>
        <v>Not Receviced</v>
      </c>
      <c r="Q258" t="str">
        <f>IF(T[[#This Row],[qty_received]]&lt;&gt;T[[#This Row],[qty_invoiced]],IF(T[[#This Row],[qty_invoiced]]&gt;0,"Partial Invoiced","Not Invoiced"),"Fully Invoiced")</f>
        <v>Partial Invoiced</v>
      </c>
      <c r="R258" t="str">
        <f>IFERROR(VLOOKUP(T[[#This Row],[warehouse]],Table2[],2,FALSE),"--")</f>
        <v>--</v>
      </c>
    </row>
    <row r="259" spans="1:18" x14ac:dyDescent="0.25">
      <c r="A259" t="s">
        <v>252</v>
      </c>
      <c r="B259" s="1">
        <v>43489</v>
      </c>
      <c r="C259" t="s">
        <v>253</v>
      </c>
      <c r="D259" t="s">
        <v>71</v>
      </c>
      <c r="E259" t="s">
        <v>51</v>
      </c>
      <c r="F259" t="s">
        <v>254</v>
      </c>
      <c r="G259" t="s">
        <v>255</v>
      </c>
      <c r="H259" t="s">
        <v>54</v>
      </c>
      <c r="I259">
        <v>14000</v>
      </c>
      <c r="J259">
        <v>0</v>
      </c>
      <c r="K259">
        <v>1</v>
      </c>
      <c r="L259" t="s">
        <v>25</v>
      </c>
      <c r="M259" t="s">
        <v>26</v>
      </c>
      <c r="N259">
        <v>3</v>
      </c>
      <c r="O259">
        <v>0</v>
      </c>
      <c r="P259" t="str">
        <f>IF(T[[#This Row],[qty_ordered]]&lt;&gt;T[[#This Row],[qty_received]],IF(T[[#This Row],[qty_received]]&gt;0,"Partial Received","Not Receviced"),"FullyReceived")</f>
        <v>Not Receviced</v>
      </c>
      <c r="Q259" t="str">
        <f>IF(T[[#This Row],[qty_received]]&lt;&gt;T[[#This Row],[qty_invoiced]],IF(T[[#This Row],[qty_invoiced]]&gt;0,"Partial Invoiced","Not Invoiced"),"Fully Invoiced")</f>
        <v>Partial Invoiced</v>
      </c>
      <c r="R259" t="str">
        <f>IFERROR(VLOOKUP(T[[#This Row],[warehouse]],Table2[],2,FALSE),"--")</f>
        <v>--</v>
      </c>
    </row>
    <row r="260" spans="1:18" x14ac:dyDescent="0.25">
      <c r="A260" t="s">
        <v>252</v>
      </c>
      <c r="B260" s="1">
        <v>43489</v>
      </c>
      <c r="C260" t="s">
        <v>253</v>
      </c>
      <c r="D260" t="s">
        <v>100</v>
      </c>
      <c r="E260" t="s">
        <v>51</v>
      </c>
      <c r="F260" t="s">
        <v>185</v>
      </c>
      <c r="G260" t="s">
        <v>372</v>
      </c>
      <c r="H260" t="s">
        <v>54</v>
      </c>
      <c r="I260">
        <v>1000</v>
      </c>
      <c r="J260">
        <v>0</v>
      </c>
      <c r="K260">
        <v>1</v>
      </c>
      <c r="L260" t="s">
        <v>25</v>
      </c>
      <c r="M260" t="s">
        <v>26</v>
      </c>
      <c r="N260">
        <v>144</v>
      </c>
      <c r="O260">
        <v>0</v>
      </c>
      <c r="P260" t="str">
        <f>IF(T[[#This Row],[qty_ordered]]&lt;&gt;T[[#This Row],[qty_received]],IF(T[[#This Row],[qty_received]]&gt;0,"Partial Received","Not Receviced"),"FullyReceived")</f>
        <v>Not Receviced</v>
      </c>
      <c r="Q260" t="str">
        <f>IF(T[[#This Row],[qty_received]]&lt;&gt;T[[#This Row],[qty_invoiced]],IF(T[[#This Row],[qty_invoiced]]&gt;0,"Partial Invoiced","Not Invoiced"),"Fully Invoiced")</f>
        <v>Partial Invoiced</v>
      </c>
      <c r="R260" t="str">
        <f>IFERROR(VLOOKUP(T[[#This Row],[warehouse]],Table2[],2,FALSE),"--")</f>
        <v>--</v>
      </c>
    </row>
    <row r="261" spans="1:18" x14ac:dyDescent="0.25">
      <c r="A261" t="s">
        <v>252</v>
      </c>
      <c r="B261" s="1">
        <v>43489</v>
      </c>
      <c r="C261" t="s">
        <v>253</v>
      </c>
      <c r="D261" t="s">
        <v>88</v>
      </c>
      <c r="E261" t="s">
        <v>51</v>
      </c>
      <c r="F261" t="s">
        <v>373</v>
      </c>
      <c r="G261" t="s">
        <v>373</v>
      </c>
      <c r="H261" t="s">
        <v>54</v>
      </c>
      <c r="I261">
        <v>941.18</v>
      </c>
      <c r="J261">
        <v>0</v>
      </c>
      <c r="K261">
        <v>1</v>
      </c>
      <c r="L261" t="s">
        <v>25</v>
      </c>
      <c r="M261" t="s">
        <v>26</v>
      </c>
      <c r="N261">
        <v>102</v>
      </c>
      <c r="O261">
        <v>0</v>
      </c>
      <c r="P261" t="str">
        <f>IF(T[[#This Row],[qty_ordered]]&lt;&gt;T[[#This Row],[qty_received]],IF(T[[#This Row],[qty_received]]&gt;0,"Partial Received","Not Receviced"),"FullyReceived")</f>
        <v>Not Receviced</v>
      </c>
      <c r="Q261" t="str">
        <f>IF(T[[#This Row],[qty_received]]&lt;&gt;T[[#This Row],[qty_invoiced]],IF(T[[#This Row],[qty_invoiced]]&gt;0,"Partial Invoiced","Not Invoiced"),"Fully Invoiced")</f>
        <v>Partial Invoiced</v>
      </c>
      <c r="R261" t="str">
        <f>IFERROR(VLOOKUP(T[[#This Row],[warehouse]],Table2[],2,FALSE),"--")</f>
        <v>--</v>
      </c>
    </row>
    <row r="262" spans="1:18" x14ac:dyDescent="0.25">
      <c r="A262" t="s">
        <v>235</v>
      </c>
      <c r="B262" s="1">
        <v>43481</v>
      </c>
      <c r="C262" t="s">
        <v>374</v>
      </c>
      <c r="D262" t="s">
        <v>20</v>
      </c>
      <c r="E262" t="s">
        <v>51</v>
      </c>
      <c r="F262" t="s">
        <v>52</v>
      </c>
      <c r="G262" t="s">
        <v>75</v>
      </c>
      <c r="H262" t="s">
        <v>54</v>
      </c>
      <c r="I262">
        <v>20</v>
      </c>
      <c r="J262">
        <v>0</v>
      </c>
      <c r="K262">
        <v>1</v>
      </c>
      <c r="L262" t="s">
        <v>25</v>
      </c>
      <c r="M262" t="s">
        <v>26</v>
      </c>
      <c r="N262">
        <v>180</v>
      </c>
      <c r="O262">
        <v>0</v>
      </c>
      <c r="P262" t="str">
        <f>IF(T[[#This Row],[qty_ordered]]&lt;&gt;T[[#This Row],[qty_received]],IF(T[[#This Row],[qty_received]]&gt;0,"Partial Received","Not Receviced"),"FullyReceived")</f>
        <v>Not Receviced</v>
      </c>
      <c r="Q262" t="str">
        <f>IF(T[[#This Row],[qty_received]]&lt;&gt;T[[#This Row],[qty_invoiced]],IF(T[[#This Row],[qty_invoiced]]&gt;0,"Partial Invoiced","Not Invoiced"),"Fully Invoiced")</f>
        <v>Partial Invoiced</v>
      </c>
      <c r="R262" t="str">
        <f>IFERROR(VLOOKUP(T[[#This Row],[warehouse]],Table2[],2,FALSE),"--")</f>
        <v>--</v>
      </c>
    </row>
    <row r="263" spans="1:18" x14ac:dyDescent="0.25">
      <c r="A263" t="s">
        <v>144</v>
      </c>
      <c r="B263" s="1">
        <v>43481</v>
      </c>
      <c r="C263" t="s">
        <v>375</v>
      </c>
      <c r="D263" t="s">
        <v>20</v>
      </c>
      <c r="E263" t="s">
        <v>203</v>
      </c>
      <c r="F263" t="s">
        <v>294</v>
      </c>
      <c r="G263" t="s">
        <v>295</v>
      </c>
      <c r="H263" t="s">
        <v>149</v>
      </c>
      <c r="I263">
        <v>204000</v>
      </c>
      <c r="J263">
        <v>204000</v>
      </c>
      <c r="K263">
        <v>204000</v>
      </c>
      <c r="L263" t="s">
        <v>25</v>
      </c>
      <c r="M263" t="s">
        <v>150</v>
      </c>
      <c r="N263">
        <v>12.69</v>
      </c>
      <c r="O263">
        <v>2588760</v>
      </c>
      <c r="P263" t="str">
        <f>IF(T[[#This Row],[qty_ordered]]&lt;&gt;T[[#This Row],[qty_received]],IF(T[[#This Row],[qty_received]]&gt;0,"Partial Received","Not Receviced"),"FullyReceived")</f>
        <v>FullyReceived</v>
      </c>
      <c r="Q263" t="str">
        <f>IF(T[[#This Row],[qty_received]]&lt;&gt;T[[#This Row],[qty_invoiced]],IF(T[[#This Row],[qty_invoiced]]&gt;0,"Partial Invoiced","Not Invoiced"),"Fully Invoiced")</f>
        <v>Fully Invoiced</v>
      </c>
      <c r="R263" t="str">
        <f>IFERROR(VLOOKUP(T[[#This Row],[warehouse]],Table2[],2,FALSE),"--")</f>
        <v>PZU Packaging Warehouse</v>
      </c>
    </row>
    <row r="264" spans="1:18" x14ac:dyDescent="0.25">
      <c r="A264" t="s">
        <v>84</v>
      </c>
      <c r="B264" s="1">
        <v>43485</v>
      </c>
      <c r="C264" t="s">
        <v>376</v>
      </c>
      <c r="D264" t="s">
        <v>20</v>
      </c>
      <c r="E264" t="s">
        <v>210</v>
      </c>
      <c r="F264" t="s">
        <v>108</v>
      </c>
      <c r="G264" t="s">
        <v>109</v>
      </c>
      <c r="H264" t="s">
        <v>24</v>
      </c>
      <c r="I264">
        <v>131.49</v>
      </c>
      <c r="J264">
        <v>0</v>
      </c>
      <c r="K264">
        <v>0</v>
      </c>
      <c r="L264" t="s">
        <v>59</v>
      </c>
      <c r="M264" t="s">
        <v>26</v>
      </c>
      <c r="N264">
        <v>34567.5</v>
      </c>
      <c r="O264">
        <v>0</v>
      </c>
      <c r="P264" t="str">
        <f>IF(T[[#This Row],[qty_ordered]]&lt;&gt;T[[#This Row],[qty_received]],IF(T[[#This Row],[qty_received]]&gt;0,"Partial Received","Not Receviced"),"FullyReceived")</f>
        <v>Not Receviced</v>
      </c>
      <c r="Q264" t="str">
        <f>IF(T[[#This Row],[qty_received]]&lt;&gt;T[[#This Row],[qty_invoiced]],IF(T[[#This Row],[qty_invoiced]]&gt;0,"Partial Invoiced","Not Invoiced"),"Fully Invoiced")</f>
        <v>Fully Invoiced</v>
      </c>
      <c r="R264" t="str">
        <f>IFERROR(VLOOKUP(T[[#This Row],[warehouse]],Table2[],2,FALSE),"--")</f>
        <v>ALMARKAZI SIFTER-OMD</v>
      </c>
    </row>
    <row r="265" spans="1:18" x14ac:dyDescent="0.25">
      <c r="A265" t="s">
        <v>144</v>
      </c>
      <c r="B265" s="1">
        <v>43437</v>
      </c>
      <c r="C265" t="s">
        <v>145</v>
      </c>
      <c r="D265" t="s">
        <v>74</v>
      </c>
      <c r="E265" t="s">
        <v>146</v>
      </c>
      <c r="F265" t="s">
        <v>147</v>
      </c>
      <c r="G265" t="s">
        <v>148</v>
      </c>
      <c r="H265" t="s">
        <v>149</v>
      </c>
      <c r="I265">
        <v>84000</v>
      </c>
      <c r="J265">
        <v>35500</v>
      </c>
      <c r="K265">
        <v>42100</v>
      </c>
      <c r="L265" t="s">
        <v>25</v>
      </c>
      <c r="M265" t="s">
        <v>150</v>
      </c>
      <c r="N265">
        <v>12.528</v>
      </c>
      <c r="O265">
        <v>444744</v>
      </c>
      <c r="P265" t="str">
        <f>IF(T[[#This Row],[qty_ordered]]&lt;&gt;T[[#This Row],[qty_received]],IF(T[[#This Row],[qty_received]]&gt;0,"Partial Received","Not Receviced"),"FullyReceived")</f>
        <v>Partial Received</v>
      </c>
      <c r="Q265" t="str">
        <f>IF(T[[#This Row],[qty_received]]&lt;&gt;T[[#This Row],[qty_invoiced]],IF(T[[#This Row],[qty_invoiced]]&gt;0,"Partial Invoiced","Not Invoiced"),"Fully Invoiced")</f>
        <v>Partial Invoiced</v>
      </c>
      <c r="R265" t="str">
        <f>IFERROR(VLOOKUP(T[[#This Row],[warehouse]],Table2[],2,FALSE),"--")</f>
        <v>Khtoum Main Warehouse</v>
      </c>
    </row>
    <row r="266" spans="1:18" x14ac:dyDescent="0.25">
      <c r="A266" t="s">
        <v>303</v>
      </c>
      <c r="B266" s="1">
        <v>43460</v>
      </c>
      <c r="C266" t="s">
        <v>346</v>
      </c>
      <c r="D266" t="s">
        <v>71</v>
      </c>
      <c r="E266" t="s">
        <v>66</v>
      </c>
      <c r="F266" t="s">
        <v>305</v>
      </c>
      <c r="G266" t="s">
        <v>306</v>
      </c>
      <c r="H266" t="s">
        <v>24</v>
      </c>
      <c r="I266">
        <v>12.632999999999999</v>
      </c>
      <c r="J266">
        <v>12.632999999999999</v>
      </c>
      <c r="K266">
        <v>12.632999999999999</v>
      </c>
      <c r="L266" t="s">
        <v>25</v>
      </c>
      <c r="M266" t="s">
        <v>26</v>
      </c>
      <c r="N266">
        <v>7800</v>
      </c>
      <c r="O266">
        <v>98537.4</v>
      </c>
      <c r="P266" t="str">
        <f>IF(T[[#This Row],[qty_ordered]]&lt;&gt;T[[#This Row],[qty_received]],IF(T[[#This Row],[qty_received]]&gt;0,"Partial Received","Not Receviced"),"FullyReceived")</f>
        <v>FullyReceived</v>
      </c>
      <c r="Q266" t="str">
        <f>IF(T[[#This Row],[qty_received]]&lt;&gt;T[[#This Row],[qty_invoiced]],IF(T[[#This Row],[qty_invoiced]]&gt;0,"Partial Invoiced","Not Invoiced"),"Fully Invoiced")</f>
        <v>Fully Invoiced</v>
      </c>
      <c r="R266" t="str">
        <f>IFERROR(VLOOKUP(T[[#This Row],[warehouse]],Table2[],2,FALSE),"--")</f>
        <v>PZU Main Warehouse</v>
      </c>
    </row>
    <row r="267" spans="1:18" x14ac:dyDescent="0.25">
      <c r="A267" t="s">
        <v>194</v>
      </c>
      <c r="B267" s="1">
        <v>43473</v>
      </c>
      <c r="C267" t="s">
        <v>377</v>
      </c>
      <c r="D267" t="s">
        <v>20</v>
      </c>
      <c r="E267" t="s">
        <v>51</v>
      </c>
      <c r="F267" t="s">
        <v>262</v>
      </c>
      <c r="G267" t="s">
        <v>262</v>
      </c>
      <c r="H267" t="s">
        <v>54</v>
      </c>
      <c r="I267">
        <v>1</v>
      </c>
      <c r="J267">
        <v>0</v>
      </c>
      <c r="K267">
        <v>1</v>
      </c>
      <c r="L267" t="s">
        <v>25</v>
      </c>
      <c r="M267" t="s">
        <v>26</v>
      </c>
      <c r="N267">
        <v>99920.1</v>
      </c>
      <c r="O267">
        <v>0</v>
      </c>
      <c r="P267" t="str">
        <f>IF(T[[#This Row],[qty_ordered]]&lt;&gt;T[[#This Row],[qty_received]],IF(T[[#This Row],[qty_received]]&gt;0,"Partial Received","Not Receviced"),"FullyReceived")</f>
        <v>Not Receviced</v>
      </c>
      <c r="Q267" t="str">
        <f>IF(T[[#This Row],[qty_received]]&lt;&gt;T[[#This Row],[qty_invoiced]],IF(T[[#This Row],[qty_invoiced]]&gt;0,"Partial Invoiced","Not Invoiced"),"Fully Invoiced")</f>
        <v>Partial Invoiced</v>
      </c>
      <c r="R267" t="str">
        <f>IFERROR(VLOOKUP(T[[#This Row],[warehouse]],Table2[],2,FALSE),"--")</f>
        <v>--</v>
      </c>
    </row>
    <row r="268" spans="1:18" x14ac:dyDescent="0.25">
      <c r="A268" t="s">
        <v>194</v>
      </c>
      <c r="B268" s="1">
        <v>43473</v>
      </c>
      <c r="C268" t="s">
        <v>377</v>
      </c>
      <c r="D268" t="s">
        <v>71</v>
      </c>
      <c r="E268" t="s">
        <v>51</v>
      </c>
      <c r="F268" t="s">
        <v>266</v>
      </c>
      <c r="G268" t="s">
        <v>266</v>
      </c>
      <c r="H268" t="s">
        <v>54</v>
      </c>
      <c r="I268">
        <v>1</v>
      </c>
      <c r="J268">
        <v>0</v>
      </c>
      <c r="K268">
        <v>1</v>
      </c>
      <c r="L268" t="s">
        <v>25</v>
      </c>
      <c r="M268" t="s">
        <v>26</v>
      </c>
      <c r="N268">
        <v>109568.8</v>
      </c>
      <c r="O268">
        <v>0</v>
      </c>
      <c r="P268" t="str">
        <f>IF(T[[#This Row],[qty_ordered]]&lt;&gt;T[[#This Row],[qty_received]],IF(T[[#This Row],[qty_received]]&gt;0,"Partial Received","Not Receviced"),"FullyReceived")</f>
        <v>Not Receviced</v>
      </c>
      <c r="Q268" t="str">
        <f>IF(T[[#This Row],[qty_received]]&lt;&gt;T[[#This Row],[qty_invoiced]],IF(T[[#This Row],[qty_invoiced]]&gt;0,"Partial Invoiced","Not Invoiced"),"Fully Invoiced")</f>
        <v>Partial Invoiced</v>
      </c>
      <c r="R268" t="str">
        <f>IFERROR(VLOOKUP(T[[#This Row],[warehouse]],Table2[],2,FALSE),"--")</f>
        <v>--</v>
      </c>
    </row>
    <row r="269" spans="1:18" x14ac:dyDescent="0.25">
      <c r="A269" t="s">
        <v>194</v>
      </c>
      <c r="B269" s="1">
        <v>43473</v>
      </c>
      <c r="C269" t="s">
        <v>377</v>
      </c>
      <c r="D269" t="s">
        <v>100</v>
      </c>
      <c r="E269" t="s">
        <v>51</v>
      </c>
      <c r="F269" t="s">
        <v>262</v>
      </c>
      <c r="G269" t="s">
        <v>378</v>
      </c>
      <c r="H269" t="s">
        <v>54</v>
      </c>
      <c r="I269">
        <v>1</v>
      </c>
      <c r="J269">
        <v>0</v>
      </c>
      <c r="K269">
        <v>1</v>
      </c>
      <c r="L269" t="s">
        <v>25</v>
      </c>
      <c r="M269" t="s">
        <v>26</v>
      </c>
      <c r="N269">
        <v>274395</v>
      </c>
      <c r="O269">
        <v>0</v>
      </c>
      <c r="P269" t="str">
        <f>IF(T[[#This Row],[qty_ordered]]&lt;&gt;T[[#This Row],[qty_received]],IF(T[[#This Row],[qty_received]]&gt;0,"Partial Received","Not Receviced"),"FullyReceived")</f>
        <v>Not Receviced</v>
      </c>
      <c r="Q269" t="str">
        <f>IF(T[[#This Row],[qty_received]]&lt;&gt;T[[#This Row],[qty_invoiced]],IF(T[[#This Row],[qty_invoiced]]&gt;0,"Partial Invoiced","Not Invoiced"),"Fully Invoiced")</f>
        <v>Partial Invoiced</v>
      </c>
      <c r="R269" t="str">
        <f>IFERROR(VLOOKUP(T[[#This Row],[warehouse]],Table2[],2,FALSE),"--")</f>
        <v>--</v>
      </c>
    </row>
    <row r="270" spans="1:18" x14ac:dyDescent="0.25">
      <c r="A270" t="s">
        <v>194</v>
      </c>
      <c r="B270" s="1">
        <v>43473</v>
      </c>
      <c r="C270" t="s">
        <v>377</v>
      </c>
      <c r="D270" t="s">
        <v>88</v>
      </c>
      <c r="E270" t="s">
        <v>51</v>
      </c>
      <c r="F270" t="s">
        <v>52</v>
      </c>
      <c r="G270" t="s">
        <v>379</v>
      </c>
      <c r="H270" t="s">
        <v>54</v>
      </c>
      <c r="I270">
        <v>1</v>
      </c>
      <c r="J270">
        <v>0</v>
      </c>
      <c r="K270">
        <v>1</v>
      </c>
      <c r="L270" t="s">
        <v>25</v>
      </c>
      <c r="M270" t="s">
        <v>26</v>
      </c>
      <c r="N270">
        <v>4330</v>
      </c>
      <c r="O270">
        <v>0</v>
      </c>
      <c r="P270" t="str">
        <f>IF(T[[#This Row],[qty_ordered]]&lt;&gt;T[[#This Row],[qty_received]],IF(T[[#This Row],[qty_received]]&gt;0,"Partial Received","Not Receviced"),"FullyReceived")</f>
        <v>Not Receviced</v>
      </c>
      <c r="Q270" t="str">
        <f>IF(T[[#This Row],[qty_received]]&lt;&gt;T[[#This Row],[qty_invoiced]],IF(T[[#This Row],[qty_invoiced]]&gt;0,"Partial Invoiced","Not Invoiced"),"Fully Invoiced")</f>
        <v>Partial Invoiced</v>
      </c>
      <c r="R270" t="str">
        <f>IFERROR(VLOOKUP(T[[#This Row],[warehouse]],Table2[],2,FALSE),"--")</f>
        <v>--</v>
      </c>
    </row>
    <row r="271" spans="1:18" x14ac:dyDescent="0.25">
      <c r="A271" t="s">
        <v>194</v>
      </c>
      <c r="B271" s="1">
        <v>43473</v>
      </c>
      <c r="C271" t="s">
        <v>377</v>
      </c>
      <c r="D271" t="s">
        <v>74</v>
      </c>
      <c r="E271" t="s">
        <v>51</v>
      </c>
      <c r="F271" t="s">
        <v>52</v>
      </c>
      <c r="G271" t="s">
        <v>380</v>
      </c>
      <c r="H271" t="s">
        <v>54</v>
      </c>
      <c r="I271">
        <v>1</v>
      </c>
      <c r="J271">
        <v>0</v>
      </c>
      <c r="K271">
        <v>1</v>
      </c>
      <c r="L271" t="s">
        <v>25</v>
      </c>
      <c r="M271" t="s">
        <v>26</v>
      </c>
      <c r="N271">
        <v>240</v>
      </c>
      <c r="O271">
        <v>0</v>
      </c>
      <c r="P271" t="str">
        <f>IF(T[[#This Row],[qty_ordered]]&lt;&gt;T[[#This Row],[qty_received]],IF(T[[#This Row],[qty_received]]&gt;0,"Partial Received","Not Receviced"),"FullyReceived")</f>
        <v>Not Receviced</v>
      </c>
      <c r="Q271" t="str">
        <f>IF(T[[#This Row],[qty_received]]&lt;&gt;T[[#This Row],[qty_invoiced]],IF(T[[#This Row],[qty_invoiced]]&gt;0,"Partial Invoiced","Not Invoiced"),"Fully Invoiced")</f>
        <v>Partial Invoiced</v>
      </c>
      <c r="R271" t="str">
        <f>IFERROR(VLOOKUP(T[[#This Row],[warehouse]],Table2[],2,FALSE),"--")</f>
        <v>--</v>
      </c>
    </row>
    <row r="272" spans="1:18" x14ac:dyDescent="0.25">
      <c r="A272" t="s">
        <v>194</v>
      </c>
      <c r="B272" s="1">
        <v>43473</v>
      </c>
      <c r="C272" t="s">
        <v>377</v>
      </c>
      <c r="D272" t="s">
        <v>76</v>
      </c>
      <c r="E272" t="s">
        <v>51</v>
      </c>
      <c r="F272" t="s">
        <v>52</v>
      </c>
      <c r="G272" t="s">
        <v>381</v>
      </c>
      <c r="H272" t="s">
        <v>54</v>
      </c>
      <c r="I272">
        <v>1</v>
      </c>
      <c r="J272">
        <v>0</v>
      </c>
      <c r="K272">
        <v>1</v>
      </c>
      <c r="L272" t="s">
        <v>25</v>
      </c>
      <c r="M272" t="s">
        <v>26</v>
      </c>
      <c r="N272">
        <v>3930</v>
      </c>
      <c r="O272">
        <v>0</v>
      </c>
      <c r="P272" t="str">
        <f>IF(T[[#This Row],[qty_ordered]]&lt;&gt;T[[#This Row],[qty_received]],IF(T[[#This Row],[qty_received]]&gt;0,"Partial Received","Not Receviced"),"FullyReceived")</f>
        <v>Not Receviced</v>
      </c>
      <c r="Q272" t="str">
        <f>IF(T[[#This Row],[qty_received]]&lt;&gt;T[[#This Row],[qty_invoiced]],IF(T[[#This Row],[qty_invoiced]]&gt;0,"Partial Invoiced","Not Invoiced"),"Fully Invoiced")</f>
        <v>Partial Invoiced</v>
      </c>
      <c r="R272" t="str">
        <f>IFERROR(VLOOKUP(T[[#This Row],[warehouse]],Table2[],2,FALSE),"--")</f>
        <v>--</v>
      </c>
    </row>
    <row r="273" spans="1:18" x14ac:dyDescent="0.25">
      <c r="A273" t="s">
        <v>194</v>
      </c>
      <c r="B273" s="1">
        <v>43473</v>
      </c>
      <c r="C273" t="s">
        <v>377</v>
      </c>
      <c r="D273" t="s">
        <v>212</v>
      </c>
      <c r="E273" t="s">
        <v>51</v>
      </c>
      <c r="F273" t="s">
        <v>52</v>
      </c>
      <c r="G273" t="s">
        <v>382</v>
      </c>
      <c r="H273" t="s">
        <v>54</v>
      </c>
      <c r="I273">
        <v>1</v>
      </c>
      <c r="J273">
        <v>0</v>
      </c>
      <c r="K273">
        <v>1</v>
      </c>
      <c r="L273" t="s">
        <v>25</v>
      </c>
      <c r="M273" t="s">
        <v>26</v>
      </c>
      <c r="N273">
        <v>1638</v>
      </c>
      <c r="O273">
        <v>0</v>
      </c>
      <c r="P273" t="str">
        <f>IF(T[[#This Row],[qty_ordered]]&lt;&gt;T[[#This Row],[qty_received]],IF(T[[#This Row],[qty_received]]&gt;0,"Partial Received","Not Receviced"),"FullyReceived")</f>
        <v>Not Receviced</v>
      </c>
      <c r="Q273" t="str">
        <f>IF(T[[#This Row],[qty_received]]&lt;&gt;T[[#This Row],[qty_invoiced]],IF(T[[#This Row],[qty_invoiced]]&gt;0,"Partial Invoiced","Not Invoiced"),"Fully Invoiced")</f>
        <v>Partial Invoiced</v>
      </c>
      <c r="R273" t="str">
        <f>IFERROR(VLOOKUP(T[[#This Row],[warehouse]],Table2[],2,FALSE),"--")</f>
        <v>--</v>
      </c>
    </row>
    <row r="274" spans="1:18" x14ac:dyDescent="0.25">
      <c r="A274" t="s">
        <v>194</v>
      </c>
      <c r="B274" s="1">
        <v>43473</v>
      </c>
      <c r="C274" t="s">
        <v>377</v>
      </c>
      <c r="D274" t="s">
        <v>322</v>
      </c>
      <c r="E274" t="s">
        <v>51</v>
      </c>
      <c r="F274" t="s">
        <v>52</v>
      </c>
      <c r="G274" t="s">
        <v>383</v>
      </c>
      <c r="H274" t="s">
        <v>54</v>
      </c>
      <c r="I274">
        <v>1</v>
      </c>
      <c r="J274">
        <v>0</v>
      </c>
      <c r="K274">
        <v>1</v>
      </c>
      <c r="L274" t="s">
        <v>25</v>
      </c>
      <c r="M274" t="s">
        <v>26</v>
      </c>
      <c r="N274">
        <v>4800</v>
      </c>
      <c r="O274">
        <v>0</v>
      </c>
      <c r="P274" t="str">
        <f>IF(T[[#This Row],[qty_ordered]]&lt;&gt;T[[#This Row],[qty_received]],IF(T[[#This Row],[qty_received]]&gt;0,"Partial Received","Not Receviced"),"FullyReceived")</f>
        <v>Not Receviced</v>
      </c>
      <c r="Q274" t="str">
        <f>IF(T[[#This Row],[qty_received]]&lt;&gt;T[[#This Row],[qty_invoiced]],IF(T[[#This Row],[qty_invoiced]]&gt;0,"Partial Invoiced","Not Invoiced"),"Fully Invoiced")</f>
        <v>Partial Invoiced</v>
      </c>
      <c r="R274" t="str">
        <f>IFERROR(VLOOKUP(T[[#This Row],[warehouse]],Table2[],2,FALSE),"--")</f>
        <v>--</v>
      </c>
    </row>
    <row r="275" spans="1:18" x14ac:dyDescent="0.25">
      <c r="A275" t="s">
        <v>194</v>
      </c>
      <c r="B275" s="1">
        <v>43473</v>
      </c>
      <c r="C275" t="s">
        <v>377</v>
      </c>
      <c r="D275" t="s">
        <v>323</v>
      </c>
      <c r="E275" t="s">
        <v>51</v>
      </c>
      <c r="F275" t="s">
        <v>278</v>
      </c>
      <c r="G275" t="s">
        <v>279</v>
      </c>
      <c r="H275" t="s">
        <v>54</v>
      </c>
      <c r="I275">
        <v>1</v>
      </c>
      <c r="J275">
        <v>0</v>
      </c>
      <c r="K275">
        <v>1</v>
      </c>
      <c r="L275" t="s">
        <v>25</v>
      </c>
      <c r="M275" t="s">
        <v>26</v>
      </c>
      <c r="N275">
        <v>3000</v>
      </c>
      <c r="O275">
        <v>0</v>
      </c>
      <c r="P275" t="str">
        <f>IF(T[[#This Row],[qty_ordered]]&lt;&gt;T[[#This Row],[qty_received]],IF(T[[#This Row],[qty_received]]&gt;0,"Partial Received","Not Receviced"),"FullyReceived")</f>
        <v>Not Receviced</v>
      </c>
      <c r="Q275" t="str">
        <f>IF(T[[#This Row],[qty_received]]&lt;&gt;T[[#This Row],[qty_invoiced]],IF(T[[#This Row],[qty_invoiced]]&gt;0,"Partial Invoiced","Not Invoiced"),"Fully Invoiced")</f>
        <v>Partial Invoiced</v>
      </c>
      <c r="R275" t="str">
        <f>IFERROR(VLOOKUP(T[[#This Row],[warehouse]],Table2[],2,FALSE),"--")</f>
        <v>--</v>
      </c>
    </row>
    <row r="276" spans="1:18" x14ac:dyDescent="0.25">
      <c r="A276" t="s">
        <v>194</v>
      </c>
      <c r="B276" s="1">
        <v>43473</v>
      </c>
      <c r="C276" t="s">
        <v>377</v>
      </c>
      <c r="D276" t="s">
        <v>324</v>
      </c>
      <c r="E276" t="s">
        <v>51</v>
      </c>
      <c r="F276" t="s">
        <v>254</v>
      </c>
      <c r="G276" t="s">
        <v>255</v>
      </c>
      <c r="H276" t="s">
        <v>54</v>
      </c>
      <c r="I276">
        <v>1</v>
      </c>
      <c r="J276">
        <v>0</v>
      </c>
      <c r="K276">
        <v>1</v>
      </c>
      <c r="L276" t="s">
        <v>25</v>
      </c>
      <c r="M276" t="s">
        <v>26</v>
      </c>
      <c r="N276">
        <v>3000</v>
      </c>
      <c r="O276">
        <v>0</v>
      </c>
      <c r="P276" t="str">
        <f>IF(T[[#This Row],[qty_ordered]]&lt;&gt;T[[#This Row],[qty_received]],IF(T[[#This Row],[qty_received]]&gt;0,"Partial Received","Not Receviced"),"FullyReceived")</f>
        <v>Not Receviced</v>
      </c>
      <c r="Q276" t="str">
        <f>IF(T[[#This Row],[qty_received]]&lt;&gt;T[[#This Row],[qty_invoiced]],IF(T[[#This Row],[qty_invoiced]]&gt;0,"Partial Invoiced","Not Invoiced"),"Fully Invoiced")</f>
        <v>Partial Invoiced</v>
      </c>
      <c r="R276" t="str">
        <f>IFERROR(VLOOKUP(T[[#This Row],[warehouse]],Table2[],2,FALSE),"--")</f>
        <v>--</v>
      </c>
    </row>
    <row r="277" spans="1:18" x14ac:dyDescent="0.25">
      <c r="A277" t="s">
        <v>194</v>
      </c>
      <c r="B277" s="1">
        <v>43473</v>
      </c>
      <c r="C277" t="s">
        <v>377</v>
      </c>
      <c r="D277" t="s">
        <v>325</v>
      </c>
      <c r="E277" t="s">
        <v>51</v>
      </c>
      <c r="F277" t="s">
        <v>384</v>
      </c>
      <c r="G277" t="s">
        <v>384</v>
      </c>
      <c r="H277" t="s">
        <v>54</v>
      </c>
      <c r="I277">
        <v>1</v>
      </c>
      <c r="J277">
        <v>0</v>
      </c>
      <c r="K277">
        <v>1</v>
      </c>
      <c r="L277" t="s">
        <v>25</v>
      </c>
      <c r="M277" t="s">
        <v>26</v>
      </c>
      <c r="N277">
        <v>1790</v>
      </c>
      <c r="O277">
        <v>0</v>
      </c>
      <c r="P277" t="str">
        <f>IF(T[[#This Row],[qty_ordered]]&lt;&gt;T[[#This Row],[qty_received]],IF(T[[#This Row],[qty_received]]&gt;0,"Partial Received","Not Receviced"),"FullyReceived")</f>
        <v>Not Receviced</v>
      </c>
      <c r="Q277" t="str">
        <f>IF(T[[#This Row],[qty_received]]&lt;&gt;T[[#This Row],[qty_invoiced]],IF(T[[#This Row],[qty_invoiced]]&gt;0,"Partial Invoiced","Not Invoiced"),"Fully Invoiced")</f>
        <v>Partial Invoiced</v>
      </c>
      <c r="R277" t="str">
        <f>IFERROR(VLOOKUP(T[[#This Row],[warehouse]],Table2[],2,FALSE),"--")</f>
        <v>--</v>
      </c>
    </row>
    <row r="278" spans="1:18" x14ac:dyDescent="0.25">
      <c r="A278" t="s">
        <v>201</v>
      </c>
      <c r="B278" s="1">
        <v>43478</v>
      </c>
      <c r="C278" t="s">
        <v>385</v>
      </c>
      <c r="D278" t="s">
        <v>20</v>
      </c>
      <c r="E278" t="s">
        <v>203</v>
      </c>
      <c r="F278" t="s">
        <v>204</v>
      </c>
      <c r="G278" t="s">
        <v>205</v>
      </c>
      <c r="H278" t="s">
        <v>206</v>
      </c>
      <c r="I278">
        <v>65</v>
      </c>
      <c r="J278">
        <v>65</v>
      </c>
      <c r="K278">
        <v>65</v>
      </c>
      <c r="L278" t="s">
        <v>25</v>
      </c>
      <c r="M278" t="s">
        <v>207</v>
      </c>
      <c r="N278">
        <v>21489.4872</v>
      </c>
      <c r="O278">
        <v>1396816.6680000001</v>
      </c>
      <c r="P278" t="str">
        <f>IF(T[[#This Row],[qty_ordered]]&lt;&gt;T[[#This Row],[qty_received]],IF(T[[#This Row],[qty_received]]&gt;0,"Partial Received","Not Receviced"),"FullyReceived")</f>
        <v>FullyReceived</v>
      </c>
      <c r="Q278" t="str">
        <f>IF(T[[#This Row],[qty_received]]&lt;&gt;T[[#This Row],[qty_invoiced]],IF(T[[#This Row],[qty_invoiced]]&gt;0,"Partial Invoiced","Not Invoiced"),"Fully Invoiced")</f>
        <v>Fully Invoiced</v>
      </c>
      <c r="R278" t="str">
        <f>IFERROR(VLOOKUP(T[[#This Row],[warehouse]],Table2[],2,FALSE),"--")</f>
        <v>PZU Packaging Warehouse</v>
      </c>
    </row>
    <row r="279" spans="1:18" x14ac:dyDescent="0.25">
      <c r="A279" t="s">
        <v>235</v>
      </c>
      <c r="B279" s="1">
        <v>43481</v>
      </c>
      <c r="C279" t="s">
        <v>386</v>
      </c>
      <c r="D279" t="s">
        <v>20</v>
      </c>
      <c r="E279" t="s">
        <v>51</v>
      </c>
      <c r="F279" t="s">
        <v>52</v>
      </c>
      <c r="G279" t="s">
        <v>75</v>
      </c>
      <c r="H279" t="s">
        <v>54</v>
      </c>
      <c r="I279">
        <v>7250</v>
      </c>
      <c r="J279">
        <v>0</v>
      </c>
      <c r="K279">
        <v>1</v>
      </c>
      <c r="L279" t="s">
        <v>25</v>
      </c>
      <c r="M279" t="s">
        <v>26</v>
      </c>
      <c r="N279">
        <v>3.4</v>
      </c>
      <c r="O279">
        <v>0</v>
      </c>
      <c r="P279" t="str">
        <f>IF(T[[#This Row],[qty_ordered]]&lt;&gt;T[[#This Row],[qty_received]],IF(T[[#This Row],[qty_received]]&gt;0,"Partial Received","Not Receviced"),"FullyReceived")</f>
        <v>Not Receviced</v>
      </c>
      <c r="Q279" t="str">
        <f>IF(T[[#This Row],[qty_received]]&lt;&gt;T[[#This Row],[qty_invoiced]],IF(T[[#This Row],[qty_invoiced]]&gt;0,"Partial Invoiced","Not Invoiced"),"Fully Invoiced")</f>
        <v>Partial Invoiced</v>
      </c>
      <c r="R279" t="str">
        <f>IFERROR(VLOOKUP(T[[#This Row],[warehouse]],Table2[],2,FALSE),"--")</f>
        <v>--</v>
      </c>
    </row>
    <row r="280" spans="1:18" x14ac:dyDescent="0.25">
      <c r="A280" t="s">
        <v>235</v>
      </c>
      <c r="B280" s="1">
        <v>43481</v>
      </c>
      <c r="C280" t="s">
        <v>387</v>
      </c>
      <c r="D280" t="s">
        <v>20</v>
      </c>
      <c r="E280" t="s">
        <v>51</v>
      </c>
      <c r="F280" t="s">
        <v>52</v>
      </c>
      <c r="G280" t="s">
        <v>75</v>
      </c>
      <c r="H280" t="s">
        <v>54</v>
      </c>
      <c r="I280">
        <v>15000</v>
      </c>
      <c r="J280">
        <v>0</v>
      </c>
      <c r="K280">
        <v>1</v>
      </c>
      <c r="L280" t="s">
        <v>25</v>
      </c>
      <c r="M280" t="s">
        <v>26</v>
      </c>
      <c r="N280">
        <v>2.95</v>
      </c>
      <c r="O280">
        <v>0</v>
      </c>
      <c r="P280" t="str">
        <f>IF(T[[#This Row],[qty_ordered]]&lt;&gt;T[[#This Row],[qty_received]],IF(T[[#This Row],[qty_received]]&gt;0,"Partial Received","Not Receviced"),"FullyReceived")</f>
        <v>Not Receviced</v>
      </c>
      <c r="Q280" t="str">
        <f>IF(T[[#This Row],[qty_received]]&lt;&gt;T[[#This Row],[qty_invoiced]],IF(T[[#This Row],[qty_invoiced]]&gt;0,"Partial Invoiced","Not Invoiced"),"Fully Invoiced")</f>
        <v>Partial Invoiced</v>
      </c>
      <c r="R280" t="str">
        <f>IFERROR(VLOOKUP(T[[#This Row],[warehouse]],Table2[],2,FALSE),"--")</f>
        <v>--</v>
      </c>
    </row>
    <row r="281" spans="1:18" x14ac:dyDescent="0.25">
      <c r="A281" t="s">
        <v>160</v>
      </c>
      <c r="B281" s="1">
        <v>43478</v>
      </c>
      <c r="C281" t="s">
        <v>199</v>
      </c>
      <c r="D281" t="s">
        <v>20</v>
      </c>
      <c r="E281" t="s">
        <v>36</v>
      </c>
      <c r="F281" t="s">
        <v>37</v>
      </c>
      <c r="G281" t="s">
        <v>38</v>
      </c>
      <c r="H281" t="s">
        <v>24</v>
      </c>
      <c r="I281">
        <v>10000</v>
      </c>
      <c r="J281">
        <v>709.87</v>
      </c>
      <c r="K281">
        <v>709.87</v>
      </c>
      <c r="L281" t="s">
        <v>25</v>
      </c>
      <c r="M281" t="s">
        <v>26</v>
      </c>
      <c r="N281">
        <v>81212.5</v>
      </c>
      <c r="O281">
        <v>57650317.375</v>
      </c>
      <c r="P281" t="str">
        <f>IF(T[[#This Row],[qty_ordered]]&lt;&gt;T[[#This Row],[qty_received]],IF(T[[#This Row],[qty_received]]&gt;0,"Partial Received","Not Receviced"),"FullyReceived")</f>
        <v>Partial Received</v>
      </c>
      <c r="Q281" t="str">
        <f>IF(T[[#This Row],[qty_received]]&lt;&gt;T[[#This Row],[qty_invoiced]],IF(T[[#This Row],[qty_invoiced]]&gt;0,"Partial Invoiced","Not Invoiced"),"Fully Invoiced")</f>
        <v>Fully Invoiced</v>
      </c>
      <c r="R281" t="str">
        <f>IFERROR(VLOOKUP(T[[#This Row],[warehouse]],Table2[],2,FALSE),"--")</f>
        <v>Sifter Gadarif -Copen</v>
      </c>
    </row>
    <row r="282" spans="1:18" x14ac:dyDescent="0.25">
      <c r="A282" t="s">
        <v>388</v>
      </c>
      <c r="B282" s="1">
        <v>43478</v>
      </c>
      <c r="C282" t="s">
        <v>389</v>
      </c>
      <c r="D282" t="s">
        <v>20</v>
      </c>
      <c r="E282" t="s">
        <v>51</v>
      </c>
      <c r="F282" t="s">
        <v>278</v>
      </c>
      <c r="G282" t="s">
        <v>279</v>
      </c>
      <c r="H282" t="s">
        <v>54</v>
      </c>
      <c r="I282">
        <v>200000</v>
      </c>
      <c r="J282">
        <v>0</v>
      </c>
      <c r="K282">
        <v>0</v>
      </c>
      <c r="L282" t="s">
        <v>25</v>
      </c>
      <c r="M282" t="s">
        <v>26</v>
      </c>
      <c r="N282">
        <v>7</v>
      </c>
      <c r="O282">
        <v>0</v>
      </c>
      <c r="P282" t="str">
        <f>IF(T[[#This Row],[qty_ordered]]&lt;&gt;T[[#This Row],[qty_received]],IF(T[[#This Row],[qty_received]]&gt;0,"Partial Received","Not Receviced"),"FullyReceived")</f>
        <v>Not Receviced</v>
      </c>
      <c r="Q282" t="str">
        <f>IF(T[[#This Row],[qty_received]]&lt;&gt;T[[#This Row],[qty_invoiced]],IF(T[[#This Row],[qty_invoiced]]&gt;0,"Partial Invoiced","Not Invoiced"),"Fully Invoiced")</f>
        <v>Fully Invoiced</v>
      </c>
      <c r="R282" t="str">
        <f>IFERROR(VLOOKUP(T[[#This Row],[warehouse]],Table2[],2,FALSE),"--")</f>
        <v>--</v>
      </c>
    </row>
    <row r="283" spans="1:18" x14ac:dyDescent="0.25">
      <c r="A283" t="s">
        <v>388</v>
      </c>
      <c r="B283" s="1">
        <v>43478</v>
      </c>
      <c r="C283" t="s">
        <v>389</v>
      </c>
      <c r="D283" t="s">
        <v>71</v>
      </c>
      <c r="E283" t="s">
        <v>51</v>
      </c>
      <c r="F283" t="s">
        <v>390</v>
      </c>
      <c r="G283" t="s">
        <v>391</v>
      </c>
      <c r="H283" t="s">
        <v>54</v>
      </c>
      <c r="I283">
        <v>200000</v>
      </c>
      <c r="J283">
        <v>0</v>
      </c>
      <c r="K283">
        <v>0</v>
      </c>
      <c r="L283" t="s">
        <v>25</v>
      </c>
      <c r="M283" t="s">
        <v>26</v>
      </c>
      <c r="N283">
        <v>8</v>
      </c>
      <c r="O283">
        <v>0</v>
      </c>
      <c r="P283" t="str">
        <f>IF(T[[#This Row],[qty_ordered]]&lt;&gt;T[[#This Row],[qty_received]],IF(T[[#This Row],[qty_received]]&gt;0,"Partial Received","Not Receviced"),"FullyReceived")</f>
        <v>Not Receviced</v>
      </c>
      <c r="Q283" t="str">
        <f>IF(T[[#This Row],[qty_received]]&lt;&gt;T[[#This Row],[qty_invoiced]],IF(T[[#This Row],[qty_invoiced]]&gt;0,"Partial Invoiced","Not Invoiced"),"Fully Invoiced")</f>
        <v>Fully Invoiced</v>
      </c>
      <c r="R283" t="str">
        <f>IFERROR(VLOOKUP(T[[#This Row],[warehouse]],Table2[],2,FALSE),"--")</f>
        <v>--</v>
      </c>
    </row>
    <row r="284" spans="1:18" x14ac:dyDescent="0.25">
      <c r="A284" t="s">
        <v>235</v>
      </c>
      <c r="B284" s="1">
        <v>43481</v>
      </c>
      <c r="C284" t="s">
        <v>392</v>
      </c>
      <c r="D284" t="s">
        <v>20</v>
      </c>
      <c r="E284" t="s">
        <v>51</v>
      </c>
      <c r="F284" t="s">
        <v>52</v>
      </c>
      <c r="G284" t="s">
        <v>274</v>
      </c>
      <c r="H284" t="s">
        <v>54</v>
      </c>
      <c r="I284">
        <v>10000</v>
      </c>
      <c r="J284">
        <v>0</v>
      </c>
      <c r="K284">
        <v>1</v>
      </c>
      <c r="L284" t="s">
        <v>25</v>
      </c>
      <c r="M284" t="s">
        <v>26</v>
      </c>
      <c r="N284">
        <v>2.95</v>
      </c>
      <c r="O284">
        <v>0</v>
      </c>
      <c r="P284" t="str">
        <f>IF(T[[#This Row],[qty_ordered]]&lt;&gt;T[[#This Row],[qty_received]],IF(T[[#This Row],[qty_received]]&gt;0,"Partial Received","Not Receviced"),"FullyReceived")</f>
        <v>Not Receviced</v>
      </c>
      <c r="Q284" t="str">
        <f>IF(T[[#This Row],[qty_received]]&lt;&gt;T[[#This Row],[qty_invoiced]],IF(T[[#This Row],[qty_invoiced]]&gt;0,"Partial Invoiced","Not Invoiced"),"Fully Invoiced")</f>
        <v>Partial Invoiced</v>
      </c>
      <c r="R284" t="str">
        <f>IFERROR(VLOOKUP(T[[#This Row],[warehouse]],Table2[],2,FALSE),"--")</f>
        <v>--</v>
      </c>
    </row>
    <row r="285" spans="1:18" x14ac:dyDescent="0.25">
      <c r="A285" t="s">
        <v>84</v>
      </c>
      <c r="B285" s="1">
        <v>43489</v>
      </c>
      <c r="C285" t="s">
        <v>393</v>
      </c>
      <c r="D285" t="s">
        <v>20</v>
      </c>
      <c r="E285" t="s">
        <v>111</v>
      </c>
      <c r="F285" t="s">
        <v>108</v>
      </c>
      <c r="G285" t="s">
        <v>109</v>
      </c>
      <c r="H285" t="s">
        <v>24</v>
      </c>
      <c r="I285">
        <v>400</v>
      </c>
      <c r="J285">
        <v>0</v>
      </c>
      <c r="K285">
        <v>0</v>
      </c>
      <c r="L285" t="s">
        <v>25</v>
      </c>
      <c r="M285" t="s">
        <v>26</v>
      </c>
      <c r="N285">
        <v>99012.5</v>
      </c>
      <c r="O285">
        <v>0</v>
      </c>
      <c r="P285" t="str">
        <f>IF(T[[#This Row],[qty_ordered]]&lt;&gt;T[[#This Row],[qty_received]],IF(T[[#This Row],[qty_received]]&gt;0,"Partial Received","Not Receviced"),"FullyReceived")</f>
        <v>Not Receviced</v>
      </c>
      <c r="Q285" t="str">
        <f>IF(T[[#This Row],[qty_received]]&lt;&gt;T[[#This Row],[qty_invoiced]],IF(T[[#This Row],[qty_invoiced]]&gt;0,"Partial Invoiced","Not Invoiced"),"Fully Invoiced")</f>
        <v>Fully Invoiced</v>
      </c>
      <c r="R285" t="str">
        <f>IFERROR(VLOOKUP(T[[#This Row],[warehouse]],Table2[],2,FALSE),"--")</f>
        <v>Sifting PZU-Al Jawhra</v>
      </c>
    </row>
    <row r="286" spans="1:18" x14ac:dyDescent="0.25">
      <c r="A286" t="s">
        <v>235</v>
      </c>
      <c r="B286" s="1">
        <v>43493</v>
      </c>
      <c r="C286" t="s">
        <v>394</v>
      </c>
      <c r="D286" t="s">
        <v>20</v>
      </c>
      <c r="E286" t="s">
        <v>51</v>
      </c>
      <c r="F286" t="s">
        <v>52</v>
      </c>
      <c r="G286" t="s">
        <v>75</v>
      </c>
      <c r="H286" t="s">
        <v>54</v>
      </c>
      <c r="I286">
        <v>10000</v>
      </c>
      <c r="J286">
        <v>0</v>
      </c>
      <c r="K286">
        <v>1</v>
      </c>
      <c r="L286" t="s">
        <v>25</v>
      </c>
      <c r="M286" t="s">
        <v>26</v>
      </c>
      <c r="N286">
        <v>2.95</v>
      </c>
      <c r="O286">
        <v>0</v>
      </c>
      <c r="P286" t="str">
        <f>IF(T[[#This Row],[qty_ordered]]&lt;&gt;T[[#This Row],[qty_received]],IF(T[[#This Row],[qty_received]]&gt;0,"Partial Received","Not Receviced"),"FullyReceived")</f>
        <v>Not Receviced</v>
      </c>
      <c r="Q286" t="str">
        <f>IF(T[[#This Row],[qty_received]]&lt;&gt;T[[#This Row],[qty_invoiced]],IF(T[[#This Row],[qty_invoiced]]&gt;0,"Partial Invoiced","Not Invoiced"),"Fully Invoiced")</f>
        <v>Partial Invoiced</v>
      </c>
      <c r="R286" t="str">
        <f>IFERROR(VLOOKUP(T[[#This Row],[warehouse]],Table2[],2,FALSE),"--")</f>
        <v>--</v>
      </c>
    </row>
    <row r="287" spans="1:18" x14ac:dyDescent="0.25">
      <c r="A287" t="s">
        <v>235</v>
      </c>
      <c r="B287" s="1">
        <v>43493</v>
      </c>
      <c r="C287" t="s">
        <v>395</v>
      </c>
      <c r="D287" t="s">
        <v>20</v>
      </c>
      <c r="E287" t="s">
        <v>51</v>
      </c>
      <c r="F287" t="s">
        <v>52</v>
      </c>
      <c r="G287" t="s">
        <v>75</v>
      </c>
      <c r="H287" t="s">
        <v>54</v>
      </c>
      <c r="I287">
        <v>40</v>
      </c>
      <c r="J287">
        <v>0</v>
      </c>
      <c r="K287">
        <v>1</v>
      </c>
      <c r="L287" t="s">
        <v>25</v>
      </c>
      <c r="M287" t="s">
        <v>26</v>
      </c>
      <c r="N287">
        <v>180</v>
      </c>
      <c r="O287">
        <v>0</v>
      </c>
      <c r="P287" t="str">
        <f>IF(T[[#This Row],[qty_ordered]]&lt;&gt;T[[#This Row],[qty_received]],IF(T[[#This Row],[qty_received]]&gt;0,"Partial Received","Not Receviced"),"FullyReceived")</f>
        <v>Not Receviced</v>
      </c>
      <c r="Q287" t="str">
        <f>IF(T[[#This Row],[qty_received]]&lt;&gt;T[[#This Row],[qty_invoiced]],IF(T[[#This Row],[qty_invoiced]]&gt;0,"Partial Invoiced","Not Invoiced"),"Fully Invoiced")</f>
        <v>Partial Invoiced</v>
      </c>
      <c r="R287" t="str">
        <f>IFERROR(VLOOKUP(T[[#This Row],[warehouse]],Table2[],2,FALSE),"--")</f>
        <v>--</v>
      </c>
    </row>
    <row r="288" spans="1:18" x14ac:dyDescent="0.25">
      <c r="A288" t="s">
        <v>235</v>
      </c>
      <c r="B288" s="1">
        <v>43493</v>
      </c>
      <c r="C288" t="s">
        <v>396</v>
      </c>
      <c r="D288" t="s">
        <v>20</v>
      </c>
      <c r="E288" t="s">
        <v>51</v>
      </c>
      <c r="F288" t="s">
        <v>52</v>
      </c>
      <c r="G288" t="s">
        <v>75</v>
      </c>
      <c r="H288" t="s">
        <v>54</v>
      </c>
      <c r="I288">
        <v>30000</v>
      </c>
      <c r="J288">
        <v>0</v>
      </c>
      <c r="K288">
        <v>1</v>
      </c>
      <c r="L288" t="s">
        <v>25</v>
      </c>
      <c r="M288" t="s">
        <v>26</v>
      </c>
      <c r="N288">
        <v>2.95</v>
      </c>
      <c r="O288">
        <v>0</v>
      </c>
      <c r="P288" t="str">
        <f>IF(T[[#This Row],[qty_ordered]]&lt;&gt;T[[#This Row],[qty_received]],IF(T[[#This Row],[qty_received]]&gt;0,"Partial Received","Not Receviced"),"FullyReceived")</f>
        <v>Not Receviced</v>
      </c>
      <c r="Q288" t="str">
        <f>IF(T[[#This Row],[qty_received]]&lt;&gt;T[[#This Row],[qty_invoiced]],IF(T[[#This Row],[qty_invoiced]]&gt;0,"Partial Invoiced","Not Invoiced"),"Fully Invoiced")</f>
        <v>Partial Invoiced</v>
      </c>
      <c r="R288" t="str">
        <f>IFERROR(VLOOKUP(T[[#This Row],[warehouse]],Table2[],2,FALSE),"--")</f>
        <v>--</v>
      </c>
    </row>
    <row r="289" spans="1:18" x14ac:dyDescent="0.25">
      <c r="A289" t="s">
        <v>252</v>
      </c>
      <c r="B289" s="1">
        <v>43489</v>
      </c>
      <c r="C289" t="s">
        <v>253</v>
      </c>
      <c r="D289" t="s">
        <v>74</v>
      </c>
      <c r="E289" t="s">
        <v>51</v>
      </c>
      <c r="F289" t="s">
        <v>183</v>
      </c>
      <c r="G289" t="s">
        <v>183</v>
      </c>
      <c r="H289" t="s">
        <v>54</v>
      </c>
      <c r="I289">
        <v>1000</v>
      </c>
      <c r="J289">
        <v>0</v>
      </c>
      <c r="K289">
        <v>1</v>
      </c>
      <c r="L289" t="s">
        <v>25</v>
      </c>
      <c r="M289" t="s">
        <v>26</v>
      </c>
      <c r="N289">
        <v>550</v>
      </c>
      <c r="O289">
        <v>0</v>
      </c>
      <c r="P289" t="str">
        <f>IF(T[[#This Row],[qty_ordered]]&lt;&gt;T[[#This Row],[qty_received]],IF(T[[#This Row],[qty_received]]&gt;0,"Partial Received","Not Receviced"),"FullyReceived")</f>
        <v>Not Receviced</v>
      </c>
      <c r="Q289" t="str">
        <f>IF(T[[#This Row],[qty_received]]&lt;&gt;T[[#This Row],[qty_invoiced]],IF(T[[#This Row],[qty_invoiced]]&gt;0,"Partial Invoiced","Not Invoiced"),"Fully Invoiced")</f>
        <v>Partial Invoiced</v>
      </c>
      <c r="R289" t="str">
        <f>IFERROR(VLOOKUP(T[[#This Row],[warehouse]],Table2[],2,FALSE),"--")</f>
        <v>--</v>
      </c>
    </row>
    <row r="290" spans="1:18" x14ac:dyDescent="0.25">
      <c r="A290" t="s">
        <v>140</v>
      </c>
      <c r="B290" s="1">
        <v>43513</v>
      </c>
      <c r="C290" t="s">
        <v>397</v>
      </c>
      <c r="D290" t="s">
        <v>20</v>
      </c>
      <c r="E290" t="s">
        <v>51</v>
      </c>
      <c r="F290" t="s">
        <v>247</v>
      </c>
      <c r="G290" t="s">
        <v>247</v>
      </c>
      <c r="H290" t="s">
        <v>54</v>
      </c>
      <c r="I290">
        <v>147.88499999999999</v>
      </c>
      <c r="J290">
        <v>0</v>
      </c>
      <c r="K290">
        <v>1</v>
      </c>
      <c r="L290" t="s">
        <v>25</v>
      </c>
      <c r="M290" t="s">
        <v>26</v>
      </c>
      <c r="N290">
        <v>1400</v>
      </c>
      <c r="O290">
        <v>0</v>
      </c>
      <c r="P290" t="str">
        <f>IF(T[[#This Row],[qty_ordered]]&lt;&gt;T[[#This Row],[qty_received]],IF(T[[#This Row],[qty_received]]&gt;0,"Partial Received","Not Receviced"),"FullyReceived")</f>
        <v>Not Receviced</v>
      </c>
      <c r="Q290" t="str">
        <f>IF(T[[#This Row],[qty_received]]&lt;&gt;T[[#This Row],[qty_invoiced]],IF(T[[#This Row],[qty_invoiced]]&gt;0,"Partial Invoiced","Not Invoiced"),"Fully Invoiced")</f>
        <v>Partial Invoiced</v>
      </c>
      <c r="R290" t="str">
        <f>IFERROR(VLOOKUP(T[[#This Row],[warehouse]],Table2[],2,FALSE),"--")</f>
        <v>--</v>
      </c>
    </row>
    <row r="291" spans="1:18" x14ac:dyDescent="0.25">
      <c r="A291" t="s">
        <v>260</v>
      </c>
      <c r="B291" s="1">
        <v>43514</v>
      </c>
      <c r="C291" t="s">
        <v>352</v>
      </c>
      <c r="D291" t="s">
        <v>71</v>
      </c>
      <c r="E291" t="s">
        <v>51</v>
      </c>
      <c r="F291" t="s">
        <v>265</v>
      </c>
      <c r="G291" t="s">
        <v>265</v>
      </c>
      <c r="H291" t="s">
        <v>54</v>
      </c>
      <c r="I291">
        <v>1</v>
      </c>
      <c r="J291">
        <v>0</v>
      </c>
      <c r="K291">
        <v>1</v>
      </c>
      <c r="L291" t="s">
        <v>25</v>
      </c>
      <c r="M291" t="s">
        <v>26</v>
      </c>
      <c r="N291">
        <v>1000000</v>
      </c>
      <c r="O291">
        <v>0</v>
      </c>
      <c r="P291" t="str">
        <f>IF(T[[#This Row],[qty_ordered]]&lt;&gt;T[[#This Row],[qty_received]],IF(T[[#This Row],[qty_received]]&gt;0,"Partial Received","Not Receviced"),"FullyReceived")</f>
        <v>Not Receviced</v>
      </c>
      <c r="Q291" t="str">
        <f>IF(T[[#This Row],[qty_received]]&lt;&gt;T[[#This Row],[qty_invoiced]],IF(T[[#This Row],[qty_invoiced]]&gt;0,"Partial Invoiced","Not Invoiced"),"Fully Invoiced")</f>
        <v>Partial Invoiced</v>
      </c>
      <c r="R291" t="str">
        <f>IFERROR(VLOOKUP(T[[#This Row],[warehouse]],Table2[],2,FALSE),"--")</f>
        <v>--</v>
      </c>
    </row>
    <row r="292" spans="1:18" x14ac:dyDescent="0.25">
      <c r="A292" t="s">
        <v>398</v>
      </c>
      <c r="B292" s="1">
        <v>43515</v>
      </c>
      <c r="C292" t="s">
        <v>399</v>
      </c>
      <c r="D292" t="s">
        <v>20</v>
      </c>
      <c r="E292" t="s">
        <v>51</v>
      </c>
      <c r="F292" t="s">
        <v>183</v>
      </c>
      <c r="G292" t="s">
        <v>183</v>
      </c>
      <c r="H292" t="s">
        <v>54</v>
      </c>
      <c r="I292">
        <v>618.04999999999995</v>
      </c>
      <c r="J292">
        <v>0</v>
      </c>
      <c r="K292">
        <v>1</v>
      </c>
      <c r="L292" t="s">
        <v>25</v>
      </c>
      <c r="M292" t="s">
        <v>26</v>
      </c>
      <c r="N292">
        <v>525</v>
      </c>
      <c r="O292">
        <v>0</v>
      </c>
      <c r="P292" t="str">
        <f>IF(T[[#This Row],[qty_ordered]]&lt;&gt;T[[#This Row],[qty_received]],IF(T[[#This Row],[qty_received]]&gt;0,"Partial Received","Not Receviced"),"FullyReceived")</f>
        <v>Not Receviced</v>
      </c>
      <c r="Q292" t="str">
        <f>IF(T[[#This Row],[qty_received]]&lt;&gt;T[[#This Row],[qty_invoiced]],IF(T[[#This Row],[qty_invoiced]]&gt;0,"Partial Invoiced","Not Invoiced"),"Fully Invoiced")</f>
        <v>Partial Invoiced</v>
      </c>
      <c r="R292" t="str">
        <f>IFERROR(VLOOKUP(T[[#This Row],[warehouse]],Table2[],2,FALSE),"--")</f>
        <v>--</v>
      </c>
    </row>
    <row r="293" spans="1:18" x14ac:dyDescent="0.25">
      <c r="A293" t="s">
        <v>400</v>
      </c>
      <c r="B293" s="1">
        <v>43515</v>
      </c>
      <c r="C293" t="s">
        <v>401</v>
      </c>
      <c r="D293" t="s">
        <v>20</v>
      </c>
      <c r="E293" t="s">
        <v>51</v>
      </c>
      <c r="F293" t="s">
        <v>183</v>
      </c>
      <c r="G293" t="s">
        <v>183</v>
      </c>
      <c r="H293" t="s">
        <v>54</v>
      </c>
      <c r="I293">
        <v>262.86</v>
      </c>
      <c r="J293">
        <v>0</v>
      </c>
      <c r="K293">
        <v>1</v>
      </c>
      <c r="L293" t="s">
        <v>25</v>
      </c>
      <c r="M293" t="s">
        <v>26</v>
      </c>
      <c r="N293">
        <v>425</v>
      </c>
      <c r="O293">
        <v>0</v>
      </c>
      <c r="P293" t="str">
        <f>IF(T[[#This Row],[qty_ordered]]&lt;&gt;T[[#This Row],[qty_received]],IF(T[[#This Row],[qty_received]]&gt;0,"Partial Received","Not Receviced"),"FullyReceived")</f>
        <v>Not Receviced</v>
      </c>
      <c r="Q293" t="str">
        <f>IF(T[[#This Row],[qty_received]]&lt;&gt;T[[#This Row],[qty_invoiced]],IF(T[[#This Row],[qty_invoiced]]&gt;0,"Partial Invoiced","Not Invoiced"),"Fully Invoiced")</f>
        <v>Partial Invoiced</v>
      </c>
      <c r="R293" t="str">
        <f>IFERROR(VLOOKUP(T[[#This Row],[warehouse]],Table2[],2,FALSE),"--")</f>
        <v>--</v>
      </c>
    </row>
    <row r="294" spans="1:18" x14ac:dyDescent="0.25">
      <c r="A294" t="s">
        <v>248</v>
      </c>
      <c r="B294" s="1">
        <v>43507</v>
      </c>
      <c r="C294" t="s">
        <v>315</v>
      </c>
      <c r="D294" t="s">
        <v>71</v>
      </c>
      <c r="E294" t="s">
        <v>51</v>
      </c>
      <c r="F294" t="s">
        <v>52</v>
      </c>
      <c r="G294" t="s">
        <v>274</v>
      </c>
      <c r="H294" t="s">
        <v>54</v>
      </c>
      <c r="I294">
        <v>10000</v>
      </c>
      <c r="J294">
        <v>0</v>
      </c>
      <c r="K294">
        <v>1</v>
      </c>
      <c r="L294" t="s">
        <v>25</v>
      </c>
      <c r="M294" t="s">
        <v>26</v>
      </c>
      <c r="N294">
        <v>2.5</v>
      </c>
      <c r="O294">
        <v>0</v>
      </c>
      <c r="P294" t="str">
        <f>IF(T[[#This Row],[qty_ordered]]&lt;&gt;T[[#This Row],[qty_received]],IF(T[[#This Row],[qty_received]]&gt;0,"Partial Received","Not Receviced"),"FullyReceived")</f>
        <v>Not Receviced</v>
      </c>
      <c r="Q294" t="str">
        <f>IF(T[[#This Row],[qty_received]]&lt;&gt;T[[#This Row],[qty_invoiced]],IF(T[[#This Row],[qty_invoiced]]&gt;0,"Partial Invoiced","Not Invoiced"),"Fully Invoiced")</f>
        <v>Partial Invoiced</v>
      </c>
      <c r="R294" t="str">
        <f>IFERROR(VLOOKUP(T[[#This Row],[warehouse]],Table2[],2,FALSE),"--")</f>
        <v>--</v>
      </c>
    </row>
    <row r="295" spans="1:18" x14ac:dyDescent="0.25">
      <c r="A295" t="s">
        <v>235</v>
      </c>
      <c r="B295" s="1">
        <v>43515</v>
      </c>
      <c r="C295" t="s">
        <v>402</v>
      </c>
      <c r="D295" t="s">
        <v>20</v>
      </c>
      <c r="E295" t="s">
        <v>51</v>
      </c>
      <c r="F295" t="s">
        <v>52</v>
      </c>
      <c r="G295" t="s">
        <v>75</v>
      </c>
      <c r="H295" t="s">
        <v>54</v>
      </c>
      <c r="I295">
        <v>5000</v>
      </c>
      <c r="J295">
        <v>0</v>
      </c>
      <c r="K295">
        <v>1</v>
      </c>
      <c r="L295" t="s">
        <v>25</v>
      </c>
      <c r="M295" t="s">
        <v>26</v>
      </c>
      <c r="N295">
        <v>2.85</v>
      </c>
      <c r="O295">
        <v>0</v>
      </c>
      <c r="P295" t="str">
        <f>IF(T[[#This Row],[qty_ordered]]&lt;&gt;T[[#This Row],[qty_received]],IF(T[[#This Row],[qty_received]]&gt;0,"Partial Received","Not Receviced"),"FullyReceived")</f>
        <v>Not Receviced</v>
      </c>
      <c r="Q295" t="str">
        <f>IF(T[[#This Row],[qty_received]]&lt;&gt;T[[#This Row],[qty_invoiced]],IF(T[[#This Row],[qty_invoiced]]&gt;0,"Partial Invoiced","Not Invoiced"),"Fully Invoiced")</f>
        <v>Partial Invoiced</v>
      </c>
      <c r="R295" t="str">
        <f>IFERROR(VLOOKUP(T[[#This Row],[warehouse]],Table2[],2,FALSE),"--")</f>
        <v>--</v>
      </c>
    </row>
    <row r="296" spans="1:18" x14ac:dyDescent="0.25">
      <c r="A296" t="s">
        <v>160</v>
      </c>
      <c r="B296" s="1">
        <v>43534</v>
      </c>
      <c r="C296" t="s">
        <v>403</v>
      </c>
      <c r="D296" t="s">
        <v>20</v>
      </c>
      <c r="E296" t="s">
        <v>111</v>
      </c>
      <c r="F296" t="s">
        <v>47</v>
      </c>
      <c r="G296" t="s">
        <v>48</v>
      </c>
      <c r="H296" t="s">
        <v>24</v>
      </c>
      <c r="I296">
        <v>947.01199999999994</v>
      </c>
      <c r="J296">
        <v>947.01199999999994</v>
      </c>
      <c r="K296">
        <v>947.01199999999994</v>
      </c>
      <c r="L296" t="s">
        <v>25</v>
      </c>
      <c r="M296" t="s">
        <v>26</v>
      </c>
      <c r="N296">
        <v>107445.25</v>
      </c>
      <c r="O296">
        <v>101751941.09299999</v>
      </c>
      <c r="P296" t="str">
        <f>IF(T[[#This Row],[qty_ordered]]&lt;&gt;T[[#This Row],[qty_received]],IF(T[[#This Row],[qty_received]]&gt;0,"Partial Received","Not Receviced"),"FullyReceived")</f>
        <v>FullyReceived</v>
      </c>
      <c r="Q296" t="str">
        <f>IF(T[[#This Row],[qty_received]]&lt;&gt;T[[#This Row],[qty_invoiced]],IF(T[[#This Row],[qty_invoiced]]&gt;0,"Partial Invoiced","Not Invoiced"),"Fully Invoiced")</f>
        <v>Fully Invoiced</v>
      </c>
      <c r="R296" t="str">
        <f>IFERROR(VLOOKUP(T[[#This Row],[warehouse]],Table2[],2,FALSE),"--")</f>
        <v>Sifting PZU-Al Jawhra</v>
      </c>
    </row>
    <row r="297" spans="1:18" x14ac:dyDescent="0.25">
      <c r="A297" t="s">
        <v>242</v>
      </c>
      <c r="B297" s="1">
        <v>43542</v>
      </c>
      <c r="C297" t="s">
        <v>404</v>
      </c>
      <c r="D297" t="s">
        <v>20</v>
      </c>
      <c r="E297" t="s">
        <v>405</v>
      </c>
      <c r="F297" t="s">
        <v>406</v>
      </c>
      <c r="G297" t="s">
        <v>407</v>
      </c>
      <c r="H297" t="s">
        <v>24</v>
      </c>
      <c r="I297">
        <v>2380</v>
      </c>
      <c r="J297">
        <v>1540.9839999999999</v>
      </c>
      <c r="K297">
        <v>1540.9839999999999</v>
      </c>
      <c r="L297" t="s">
        <v>25</v>
      </c>
      <c r="M297" t="s">
        <v>132</v>
      </c>
      <c r="N297">
        <v>26321.43</v>
      </c>
      <c r="O297">
        <v>40560902.487120003</v>
      </c>
      <c r="P297" t="str">
        <f>IF(T[[#This Row],[qty_ordered]]&lt;&gt;T[[#This Row],[qty_received]],IF(T[[#This Row],[qty_received]]&gt;0,"Partial Received","Not Receviced"),"FullyReceived")</f>
        <v>Partial Received</v>
      </c>
      <c r="Q297" t="str">
        <f>IF(T[[#This Row],[qty_received]]&lt;&gt;T[[#This Row],[qty_invoiced]],IF(T[[#This Row],[qty_invoiced]]&gt;0,"Partial Invoiced","Not Invoiced"),"Fully Invoiced")</f>
        <v>Fully Invoiced</v>
      </c>
      <c r="R297" t="str">
        <f>IFERROR(VLOOKUP(T[[#This Row],[warehouse]],Table2[],2,FALSE),"--")</f>
        <v>GINNING ISHRAG-MDNI</v>
      </c>
    </row>
    <row r="298" spans="1:18" x14ac:dyDescent="0.25">
      <c r="A298" t="s">
        <v>408</v>
      </c>
      <c r="B298" s="1">
        <v>43544</v>
      </c>
      <c r="C298" t="s">
        <v>409</v>
      </c>
      <c r="D298" t="s">
        <v>20</v>
      </c>
      <c r="E298" t="s">
        <v>410</v>
      </c>
      <c r="F298" t="s">
        <v>411</v>
      </c>
      <c r="G298" t="s">
        <v>412</v>
      </c>
      <c r="H298" t="s">
        <v>123</v>
      </c>
      <c r="I298">
        <v>380</v>
      </c>
      <c r="J298">
        <v>380</v>
      </c>
      <c r="K298">
        <v>380</v>
      </c>
      <c r="L298" t="s">
        <v>25</v>
      </c>
      <c r="M298" t="s">
        <v>132</v>
      </c>
      <c r="N298">
        <v>8900</v>
      </c>
      <c r="O298">
        <v>3382000</v>
      </c>
      <c r="P298" t="str">
        <f>IF(T[[#This Row],[qty_ordered]]&lt;&gt;T[[#This Row],[qty_received]],IF(T[[#This Row],[qty_received]]&gt;0,"Partial Received","Not Receviced"),"FullyReceived")</f>
        <v>FullyReceived</v>
      </c>
      <c r="Q298" t="str">
        <f>IF(T[[#This Row],[qty_received]]&lt;&gt;T[[#This Row],[qty_invoiced]],IF(T[[#This Row],[qty_invoiced]]&gt;0,"Partial Invoiced","Not Invoiced"),"Fully Invoiced")</f>
        <v>Fully Invoiced</v>
      </c>
      <c r="R298" t="str">
        <f>IFERROR(VLOOKUP(T[[#This Row],[warehouse]],Table2[],2,FALSE),"--")</f>
        <v>SFITER GUM Masaaie</v>
      </c>
    </row>
    <row r="299" spans="1:18" x14ac:dyDescent="0.25">
      <c r="A299" t="s">
        <v>413</v>
      </c>
      <c r="B299" s="1">
        <v>43548</v>
      </c>
      <c r="C299" t="s">
        <v>414</v>
      </c>
      <c r="D299" t="s">
        <v>20</v>
      </c>
      <c r="E299" t="s">
        <v>146</v>
      </c>
      <c r="F299" t="s">
        <v>415</v>
      </c>
      <c r="G299" t="s">
        <v>416</v>
      </c>
      <c r="H299" t="s">
        <v>417</v>
      </c>
      <c r="I299">
        <v>80</v>
      </c>
      <c r="J299">
        <v>80</v>
      </c>
      <c r="K299">
        <v>80</v>
      </c>
      <c r="L299" t="s">
        <v>25</v>
      </c>
      <c r="M299" t="s">
        <v>418</v>
      </c>
      <c r="N299">
        <v>3000</v>
      </c>
      <c r="O299">
        <v>240000</v>
      </c>
      <c r="P299" t="str">
        <f>IF(T[[#This Row],[qty_ordered]]&lt;&gt;T[[#This Row],[qty_received]],IF(T[[#This Row],[qty_received]]&gt;0,"Partial Received","Not Receviced"),"FullyReceived")</f>
        <v>FullyReceived</v>
      </c>
      <c r="Q299" t="str">
        <f>IF(T[[#This Row],[qty_received]]&lt;&gt;T[[#This Row],[qty_invoiced]],IF(T[[#This Row],[qty_invoiced]]&gt;0,"Partial Invoiced","Not Invoiced"),"Fully Invoiced")</f>
        <v>Fully Invoiced</v>
      </c>
      <c r="R299" t="str">
        <f>IFERROR(VLOOKUP(T[[#This Row],[warehouse]],Table2[],2,FALSE),"--")</f>
        <v>Khtoum Main Warehouse</v>
      </c>
    </row>
    <row r="300" spans="1:18" x14ac:dyDescent="0.25">
      <c r="A300" t="s">
        <v>160</v>
      </c>
      <c r="B300" s="1">
        <v>43555</v>
      </c>
      <c r="C300" t="s">
        <v>419</v>
      </c>
      <c r="D300" t="s">
        <v>20</v>
      </c>
      <c r="E300" t="s">
        <v>281</v>
      </c>
      <c r="F300" t="s">
        <v>420</v>
      </c>
      <c r="G300" t="s">
        <v>421</v>
      </c>
      <c r="H300" t="s">
        <v>24</v>
      </c>
      <c r="I300">
        <v>420</v>
      </c>
      <c r="J300">
        <v>419.46</v>
      </c>
      <c r="K300">
        <v>419.46</v>
      </c>
      <c r="L300" t="s">
        <v>25</v>
      </c>
      <c r="M300" t="s">
        <v>26</v>
      </c>
      <c r="N300">
        <v>68000</v>
      </c>
      <c r="O300">
        <v>28523280</v>
      </c>
      <c r="P300" t="str">
        <f>IF(T[[#This Row],[qty_ordered]]&lt;&gt;T[[#This Row],[qty_received]],IF(T[[#This Row],[qty_received]]&gt;0,"Partial Received","Not Receviced"),"FullyReceived")</f>
        <v>Partial Received</v>
      </c>
      <c r="Q300" t="str">
        <f>IF(T[[#This Row],[qty_received]]&lt;&gt;T[[#This Row],[qty_invoiced]],IF(T[[#This Row],[qty_invoiced]]&gt;0,"Partial Invoiced","Not Invoiced"),"Fully Invoiced")</f>
        <v>Fully Invoiced</v>
      </c>
      <c r="R300" t="str">
        <f>IFERROR(VLOOKUP(T[[#This Row],[warehouse]],Table2[],2,FALSE),"--")</f>
        <v>Crusher Alm Eldin-KH</v>
      </c>
    </row>
    <row r="301" spans="1:18" x14ac:dyDescent="0.25">
      <c r="A301" t="s">
        <v>153</v>
      </c>
      <c r="B301" s="1">
        <v>43552</v>
      </c>
      <c r="C301" t="s">
        <v>422</v>
      </c>
      <c r="D301" t="s">
        <v>20</v>
      </c>
      <c r="E301" t="s">
        <v>192</v>
      </c>
      <c r="F301" t="s">
        <v>300</v>
      </c>
      <c r="G301" t="s">
        <v>301</v>
      </c>
      <c r="H301" t="s">
        <v>24</v>
      </c>
      <c r="I301">
        <v>150</v>
      </c>
      <c r="J301">
        <v>142.87</v>
      </c>
      <c r="K301">
        <v>142.87</v>
      </c>
      <c r="L301" t="s">
        <v>25</v>
      </c>
      <c r="M301" t="s">
        <v>132</v>
      </c>
      <c r="N301">
        <v>36135</v>
      </c>
      <c r="O301">
        <v>5162607.45</v>
      </c>
      <c r="P301" t="str">
        <f>IF(T[[#This Row],[qty_ordered]]&lt;&gt;T[[#This Row],[qty_received]],IF(T[[#This Row],[qty_received]]&gt;0,"Partial Received","Not Receviced"),"FullyReceived")</f>
        <v>Partial Received</v>
      </c>
      <c r="Q301" t="str">
        <f>IF(T[[#This Row],[qty_received]]&lt;&gt;T[[#This Row],[qty_invoiced]],IF(T[[#This Row],[qty_invoiced]]&gt;0,"Partial Invoiced","Not Invoiced"),"Fully Invoiced")</f>
        <v>Fully Invoiced</v>
      </c>
      <c r="R301" t="str">
        <f>IFERROR(VLOOKUP(T[[#This Row],[warehouse]],Table2[],2,FALSE),"--")</f>
        <v>BAYADER SIFTER-OMD</v>
      </c>
    </row>
    <row r="302" spans="1:18" x14ac:dyDescent="0.25">
      <c r="A302" t="s">
        <v>235</v>
      </c>
      <c r="B302" s="1">
        <v>43515</v>
      </c>
      <c r="C302" t="s">
        <v>402</v>
      </c>
      <c r="D302" t="s">
        <v>100</v>
      </c>
      <c r="E302" t="s">
        <v>51</v>
      </c>
      <c r="F302" t="s">
        <v>52</v>
      </c>
      <c r="G302" t="s">
        <v>274</v>
      </c>
      <c r="H302" t="s">
        <v>54</v>
      </c>
      <c r="I302">
        <v>2500</v>
      </c>
      <c r="J302">
        <v>0</v>
      </c>
      <c r="K302">
        <v>1</v>
      </c>
      <c r="L302" t="s">
        <v>25</v>
      </c>
      <c r="M302" t="s">
        <v>26</v>
      </c>
      <c r="N302">
        <v>2.85</v>
      </c>
      <c r="O302">
        <v>0</v>
      </c>
      <c r="P302" t="str">
        <f>IF(T[[#This Row],[qty_ordered]]&lt;&gt;T[[#This Row],[qty_received]],IF(T[[#This Row],[qty_received]]&gt;0,"Partial Received","Not Receviced"),"FullyReceived")</f>
        <v>Not Receviced</v>
      </c>
      <c r="Q302" t="str">
        <f>IF(T[[#This Row],[qty_received]]&lt;&gt;T[[#This Row],[qty_invoiced]],IF(T[[#This Row],[qty_invoiced]]&gt;0,"Partial Invoiced","Not Invoiced"),"Fully Invoiced")</f>
        <v>Partial Invoiced</v>
      </c>
      <c r="R302" t="str">
        <f>IFERROR(VLOOKUP(T[[#This Row],[warehouse]],Table2[],2,FALSE),"--")</f>
        <v>--</v>
      </c>
    </row>
    <row r="303" spans="1:18" x14ac:dyDescent="0.25">
      <c r="A303" t="s">
        <v>235</v>
      </c>
      <c r="B303" s="1">
        <v>43515</v>
      </c>
      <c r="C303" t="s">
        <v>402</v>
      </c>
      <c r="D303" t="s">
        <v>88</v>
      </c>
      <c r="E303" t="s">
        <v>51</v>
      </c>
      <c r="F303" t="s">
        <v>52</v>
      </c>
      <c r="G303" t="s">
        <v>75</v>
      </c>
      <c r="H303" t="s">
        <v>54</v>
      </c>
      <c r="I303">
        <v>5000</v>
      </c>
      <c r="J303">
        <v>0</v>
      </c>
      <c r="K303">
        <v>1</v>
      </c>
      <c r="L303" t="s">
        <v>25</v>
      </c>
      <c r="M303" t="s">
        <v>26</v>
      </c>
      <c r="N303">
        <v>2.85</v>
      </c>
      <c r="O303">
        <v>0</v>
      </c>
      <c r="P303" t="str">
        <f>IF(T[[#This Row],[qty_ordered]]&lt;&gt;T[[#This Row],[qty_received]],IF(T[[#This Row],[qty_received]]&gt;0,"Partial Received","Not Receviced"),"FullyReceived")</f>
        <v>Not Receviced</v>
      </c>
      <c r="Q303" t="str">
        <f>IF(T[[#This Row],[qty_received]]&lt;&gt;T[[#This Row],[qty_invoiced]],IF(T[[#This Row],[qty_invoiced]]&gt;0,"Partial Invoiced","Not Invoiced"),"Fully Invoiced")</f>
        <v>Partial Invoiced</v>
      </c>
      <c r="R303" t="str">
        <f>IFERROR(VLOOKUP(T[[#This Row],[warehouse]],Table2[],2,FALSE),"--")</f>
        <v>--</v>
      </c>
    </row>
    <row r="304" spans="1:18" x14ac:dyDescent="0.25">
      <c r="A304" t="s">
        <v>423</v>
      </c>
      <c r="B304" s="1">
        <v>43551</v>
      </c>
      <c r="C304" t="s">
        <v>424</v>
      </c>
      <c r="D304" t="s">
        <v>71</v>
      </c>
      <c r="E304" t="s">
        <v>51</v>
      </c>
      <c r="F304" t="s">
        <v>52</v>
      </c>
      <c r="G304" t="s">
        <v>274</v>
      </c>
      <c r="H304" t="s">
        <v>54</v>
      </c>
      <c r="I304">
        <v>10000</v>
      </c>
      <c r="J304">
        <v>0</v>
      </c>
      <c r="K304">
        <v>1</v>
      </c>
      <c r="L304" t="s">
        <v>25</v>
      </c>
      <c r="M304" t="s">
        <v>26</v>
      </c>
      <c r="N304">
        <v>2.6</v>
      </c>
      <c r="O304">
        <v>0</v>
      </c>
      <c r="P304" t="str">
        <f>IF(T[[#This Row],[qty_ordered]]&lt;&gt;T[[#This Row],[qty_received]],IF(T[[#This Row],[qty_received]]&gt;0,"Partial Received","Not Receviced"),"FullyReceived")</f>
        <v>Not Receviced</v>
      </c>
      <c r="Q304" t="str">
        <f>IF(T[[#This Row],[qty_received]]&lt;&gt;T[[#This Row],[qty_invoiced]],IF(T[[#This Row],[qty_invoiced]]&gt;0,"Partial Invoiced","Not Invoiced"),"Fully Invoiced")</f>
        <v>Partial Invoiced</v>
      </c>
      <c r="R304" t="str">
        <f>IFERROR(VLOOKUP(T[[#This Row],[warehouse]],Table2[],2,FALSE),"--")</f>
        <v>--</v>
      </c>
    </row>
    <row r="305" spans="1:18" x14ac:dyDescent="0.25">
      <c r="A305" t="s">
        <v>144</v>
      </c>
      <c r="B305" s="1">
        <v>43558</v>
      </c>
      <c r="C305" t="s">
        <v>425</v>
      </c>
      <c r="D305" t="s">
        <v>20</v>
      </c>
      <c r="E305" t="s">
        <v>146</v>
      </c>
      <c r="F305" t="s">
        <v>147</v>
      </c>
      <c r="G305" t="s">
        <v>148</v>
      </c>
      <c r="H305" t="s">
        <v>149</v>
      </c>
      <c r="I305">
        <v>102000</v>
      </c>
      <c r="J305">
        <v>0</v>
      </c>
      <c r="K305">
        <v>0</v>
      </c>
      <c r="L305" t="s">
        <v>25</v>
      </c>
      <c r="M305" t="s">
        <v>150</v>
      </c>
      <c r="N305">
        <v>7.3049999999999997</v>
      </c>
      <c r="O305">
        <v>0</v>
      </c>
      <c r="P305" t="str">
        <f>IF(T[[#This Row],[qty_ordered]]&lt;&gt;T[[#This Row],[qty_received]],IF(T[[#This Row],[qty_received]]&gt;0,"Partial Received","Not Receviced"),"FullyReceived")</f>
        <v>Not Receviced</v>
      </c>
      <c r="Q305" t="str">
        <f>IF(T[[#This Row],[qty_received]]&lt;&gt;T[[#This Row],[qty_invoiced]],IF(T[[#This Row],[qty_invoiced]]&gt;0,"Partial Invoiced","Not Invoiced"),"Fully Invoiced")</f>
        <v>Fully Invoiced</v>
      </c>
      <c r="R305" t="str">
        <f>IFERROR(VLOOKUP(T[[#This Row],[warehouse]],Table2[],2,FALSE),"--")</f>
        <v>Khtoum Main Warehouse</v>
      </c>
    </row>
    <row r="306" spans="1:18" x14ac:dyDescent="0.25">
      <c r="A306" t="s">
        <v>144</v>
      </c>
      <c r="B306" s="1">
        <v>43558</v>
      </c>
      <c r="C306" t="s">
        <v>425</v>
      </c>
      <c r="D306" t="s">
        <v>71</v>
      </c>
      <c r="E306" t="s">
        <v>146</v>
      </c>
      <c r="F306" t="s">
        <v>151</v>
      </c>
      <c r="G306" t="s">
        <v>152</v>
      </c>
      <c r="H306" t="s">
        <v>149</v>
      </c>
      <c r="I306">
        <v>54000</v>
      </c>
      <c r="J306">
        <v>0</v>
      </c>
      <c r="K306">
        <v>0</v>
      </c>
      <c r="L306" t="s">
        <v>25</v>
      </c>
      <c r="M306" t="s">
        <v>150</v>
      </c>
      <c r="N306">
        <v>7.5</v>
      </c>
      <c r="O306">
        <v>0</v>
      </c>
      <c r="P306" t="str">
        <f>IF(T[[#This Row],[qty_ordered]]&lt;&gt;T[[#This Row],[qty_received]],IF(T[[#This Row],[qty_received]]&gt;0,"Partial Received","Not Receviced"),"FullyReceived")</f>
        <v>Not Receviced</v>
      </c>
      <c r="Q306" t="str">
        <f>IF(T[[#This Row],[qty_received]]&lt;&gt;T[[#This Row],[qty_invoiced]],IF(T[[#This Row],[qty_invoiced]]&gt;0,"Partial Invoiced","Not Invoiced"),"Fully Invoiced")</f>
        <v>Fully Invoiced</v>
      </c>
      <c r="R306" t="str">
        <f>IFERROR(VLOOKUP(T[[#This Row],[warehouse]],Table2[],2,FALSE),"--")</f>
        <v>Khtoum Main Warehouse</v>
      </c>
    </row>
    <row r="307" spans="1:18" x14ac:dyDescent="0.25">
      <c r="A307" t="s">
        <v>144</v>
      </c>
      <c r="B307" s="1">
        <v>43558</v>
      </c>
      <c r="C307" t="s">
        <v>426</v>
      </c>
      <c r="D307" t="s">
        <v>20</v>
      </c>
      <c r="E307" t="s">
        <v>203</v>
      </c>
      <c r="F307" t="s">
        <v>147</v>
      </c>
      <c r="G307" t="s">
        <v>148</v>
      </c>
      <c r="H307" t="s">
        <v>149</v>
      </c>
      <c r="I307">
        <v>18000</v>
      </c>
      <c r="J307">
        <v>0</v>
      </c>
      <c r="K307">
        <v>0</v>
      </c>
      <c r="L307" t="s">
        <v>25</v>
      </c>
      <c r="M307" t="s">
        <v>150</v>
      </c>
      <c r="N307">
        <v>7.3049999999999997</v>
      </c>
      <c r="O307">
        <v>0</v>
      </c>
      <c r="P307" t="str">
        <f>IF(T[[#This Row],[qty_ordered]]&lt;&gt;T[[#This Row],[qty_received]],IF(T[[#This Row],[qty_received]]&gt;0,"Partial Received","Not Receviced"),"FullyReceived")</f>
        <v>Not Receviced</v>
      </c>
      <c r="Q307" t="str">
        <f>IF(T[[#This Row],[qty_received]]&lt;&gt;T[[#This Row],[qty_invoiced]],IF(T[[#This Row],[qty_invoiced]]&gt;0,"Partial Invoiced","Not Invoiced"),"Fully Invoiced")</f>
        <v>Fully Invoiced</v>
      </c>
      <c r="R307" t="str">
        <f>IFERROR(VLOOKUP(T[[#This Row],[warehouse]],Table2[],2,FALSE),"--")</f>
        <v>PZU Packaging Warehouse</v>
      </c>
    </row>
    <row r="308" spans="1:18" x14ac:dyDescent="0.25">
      <c r="A308" t="s">
        <v>252</v>
      </c>
      <c r="B308" s="1">
        <v>43489</v>
      </c>
      <c r="C308" t="s">
        <v>253</v>
      </c>
      <c r="D308" t="s">
        <v>212</v>
      </c>
      <c r="E308" t="s">
        <v>51</v>
      </c>
      <c r="F308" t="s">
        <v>183</v>
      </c>
      <c r="G308" t="s">
        <v>183</v>
      </c>
      <c r="H308" t="s">
        <v>54</v>
      </c>
      <c r="I308">
        <v>504.8</v>
      </c>
      <c r="J308">
        <v>0</v>
      </c>
      <c r="K308">
        <v>1</v>
      </c>
      <c r="L308" t="s">
        <v>25</v>
      </c>
      <c r="M308" t="s">
        <v>26</v>
      </c>
      <c r="N308">
        <v>550</v>
      </c>
      <c r="O308">
        <v>0</v>
      </c>
      <c r="P308" t="str">
        <f>IF(T[[#This Row],[qty_ordered]]&lt;&gt;T[[#This Row],[qty_received]],IF(T[[#This Row],[qty_received]]&gt;0,"Partial Received","Not Receviced"),"FullyReceived")</f>
        <v>Not Receviced</v>
      </c>
      <c r="Q308" t="str">
        <f>IF(T[[#This Row],[qty_received]]&lt;&gt;T[[#This Row],[qty_invoiced]],IF(T[[#This Row],[qty_invoiced]]&gt;0,"Partial Invoiced","Not Invoiced"),"Fully Invoiced")</f>
        <v>Partial Invoiced</v>
      </c>
      <c r="R308" t="str">
        <f>IFERROR(VLOOKUP(T[[#This Row],[warehouse]],Table2[],2,FALSE),"--")</f>
        <v>--</v>
      </c>
    </row>
    <row r="309" spans="1:18" x14ac:dyDescent="0.25">
      <c r="A309" t="s">
        <v>252</v>
      </c>
      <c r="B309" s="1">
        <v>43535</v>
      </c>
      <c r="C309" t="s">
        <v>427</v>
      </c>
      <c r="D309" t="s">
        <v>20</v>
      </c>
      <c r="E309" t="s">
        <v>51</v>
      </c>
      <c r="F309" t="s">
        <v>183</v>
      </c>
      <c r="G309" t="s">
        <v>183</v>
      </c>
      <c r="H309" t="s">
        <v>54</v>
      </c>
      <c r="I309">
        <v>1000</v>
      </c>
      <c r="J309">
        <v>0</v>
      </c>
      <c r="K309">
        <v>1</v>
      </c>
      <c r="L309" t="s">
        <v>25</v>
      </c>
      <c r="M309" t="s">
        <v>359</v>
      </c>
      <c r="N309">
        <v>550</v>
      </c>
      <c r="O309">
        <v>0</v>
      </c>
      <c r="P309" t="str">
        <f>IF(T[[#This Row],[qty_ordered]]&lt;&gt;T[[#This Row],[qty_received]],IF(T[[#This Row],[qty_received]]&gt;0,"Partial Received","Not Receviced"),"FullyReceived")</f>
        <v>Not Receviced</v>
      </c>
      <c r="Q309" t="str">
        <f>IF(T[[#This Row],[qty_received]]&lt;&gt;T[[#This Row],[qty_invoiced]],IF(T[[#This Row],[qty_invoiced]]&gt;0,"Partial Invoiced","Not Invoiced"),"Fully Invoiced")</f>
        <v>Partial Invoiced</v>
      </c>
      <c r="R309" t="str">
        <f>IFERROR(VLOOKUP(T[[#This Row],[warehouse]],Table2[],2,FALSE),"--")</f>
        <v>--</v>
      </c>
    </row>
    <row r="310" spans="1:18" x14ac:dyDescent="0.25">
      <c r="A310" t="s">
        <v>252</v>
      </c>
      <c r="B310" s="1">
        <v>43535</v>
      </c>
      <c r="C310" t="s">
        <v>427</v>
      </c>
      <c r="D310" t="s">
        <v>71</v>
      </c>
      <c r="E310" t="s">
        <v>51</v>
      </c>
      <c r="F310" t="s">
        <v>254</v>
      </c>
      <c r="G310" t="s">
        <v>255</v>
      </c>
      <c r="H310" t="s">
        <v>54</v>
      </c>
      <c r="I310">
        <v>15000</v>
      </c>
      <c r="J310">
        <v>0</v>
      </c>
      <c r="K310">
        <v>1</v>
      </c>
      <c r="L310" t="s">
        <v>25</v>
      </c>
      <c r="M310" t="s">
        <v>359</v>
      </c>
      <c r="N310">
        <v>3</v>
      </c>
      <c r="O310">
        <v>0</v>
      </c>
      <c r="P310" t="str">
        <f>IF(T[[#This Row],[qty_ordered]]&lt;&gt;T[[#This Row],[qty_received]],IF(T[[#This Row],[qty_received]]&gt;0,"Partial Received","Not Receviced"),"FullyReceived")</f>
        <v>Not Receviced</v>
      </c>
      <c r="Q310" t="str">
        <f>IF(T[[#This Row],[qty_received]]&lt;&gt;T[[#This Row],[qty_invoiced]],IF(T[[#This Row],[qty_invoiced]]&gt;0,"Partial Invoiced","Not Invoiced"),"Fully Invoiced")</f>
        <v>Partial Invoiced</v>
      </c>
      <c r="R310" t="str">
        <f>IFERROR(VLOOKUP(T[[#This Row],[warehouse]],Table2[],2,FALSE),"--")</f>
        <v>--</v>
      </c>
    </row>
    <row r="311" spans="1:18" x14ac:dyDescent="0.25">
      <c r="A311" t="s">
        <v>428</v>
      </c>
      <c r="B311" s="1">
        <v>43536</v>
      </c>
      <c r="C311" t="s">
        <v>429</v>
      </c>
      <c r="D311" t="s">
        <v>20</v>
      </c>
      <c r="E311" t="s">
        <v>51</v>
      </c>
      <c r="F311" t="s">
        <v>52</v>
      </c>
      <c r="G311" t="s">
        <v>75</v>
      </c>
      <c r="H311" t="s">
        <v>54</v>
      </c>
      <c r="I311">
        <v>1</v>
      </c>
      <c r="J311">
        <v>0</v>
      </c>
      <c r="K311">
        <v>1</v>
      </c>
      <c r="L311" t="s">
        <v>25</v>
      </c>
      <c r="M311" t="s">
        <v>26</v>
      </c>
      <c r="N311">
        <v>985000</v>
      </c>
      <c r="O311">
        <v>0</v>
      </c>
      <c r="P311" t="str">
        <f>IF(T[[#This Row],[qty_ordered]]&lt;&gt;T[[#This Row],[qty_received]],IF(T[[#This Row],[qty_received]]&gt;0,"Partial Received","Not Receviced"),"FullyReceived")</f>
        <v>Not Receviced</v>
      </c>
      <c r="Q311" t="str">
        <f>IF(T[[#This Row],[qty_received]]&lt;&gt;T[[#This Row],[qty_invoiced]],IF(T[[#This Row],[qty_invoiced]]&gt;0,"Partial Invoiced","Not Invoiced"),"Fully Invoiced")</f>
        <v>Partial Invoiced</v>
      </c>
      <c r="R311" t="str">
        <f>IFERROR(VLOOKUP(T[[#This Row],[warehouse]],Table2[],2,FALSE),"--")</f>
        <v>--</v>
      </c>
    </row>
    <row r="312" spans="1:18" x14ac:dyDescent="0.25">
      <c r="A312" t="s">
        <v>160</v>
      </c>
      <c r="B312" s="1">
        <v>43536</v>
      </c>
      <c r="C312" t="s">
        <v>430</v>
      </c>
      <c r="D312" t="s">
        <v>20</v>
      </c>
      <c r="E312" t="s">
        <v>431</v>
      </c>
      <c r="F312" t="s">
        <v>22</v>
      </c>
      <c r="G312" t="s">
        <v>23</v>
      </c>
      <c r="H312" t="s">
        <v>24</v>
      </c>
      <c r="I312">
        <v>1612.24</v>
      </c>
      <c r="J312">
        <v>1612.24</v>
      </c>
      <c r="K312">
        <v>1612.24</v>
      </c>
      <c r="L312" t="s">
        <v>25</v>
      </c>
      <c r="M312" t="s">
        <v>26</v>
      </c>
      <c r="N312">
        <v>6</v>
      </c>
      <c r="O312">
        <v>9673.44</v>
      </c>
      <c r="P312" t="str">
        <f>IF(T[[#This Row],[qty_ordered]]&lt;&gt;T[[#This Row],[qty_received]],IF(T[[#This Row],[qty_received]]&gt;0,"Partial Received","Not Receviced"),"FullyReceived")</f>
        <v>FullyReceived</v>
      </c>
      <c r="Q312" t="str">
        <f>IF(T[[#This Row],[qty_received]]&lt;&gt;T[[#This Row],[qty_invoiced]],IF(T[[#This Row],[qty_invoiced]]&gt;0,"Partial Invoiced","Not Invoiced"),"Fully Invoiced")</f>
        <v>Fully Invoiced</v>
      </c>
      <c r="R312" t="str">
        <f>IFERROR(VLOOKUP(T[[#This Row],[warehouse]],Table2[],2,FALSE),"--")</f>
        <v xml:space="preserve">Alsultan Crushing </v>
      </c>
    </row>
    <row r="313" spans="1:18" x14ac:dyDescent="0.25">
      <c r="A313" t="s">
        <v>181</v>
      </c>
      <c r="B313" s="1">
        <v>43543</v>
      </c>
      <c r="C313" t="s">
        <v>432</v>
      </c>
      <c r="D313" t="s">
        <v>20</v>
      </c>
      <c r="E313" t="s">
        <v>51</v>
      </c>
      <c r="F313" t="s">
        <v>183</v>
      </c>
      <c r="G313" t="s">
        <v>183</v>
      </c>
      <c r="H313" t="s">
        <v>54</v>
      </c>
      <c r="I313">
        <v>500</v>
      </c>
      <c r="J313">
        <v>0</v>
      </c>
      <c r="K313">
        <v>1</v>
      </c>
      <c r="L313" t="s">
        <v>25</v>
      </c>
      <c r="M313" t="s">
        <v>26</v>
      </c>
      <c r="N313">
        <v>480</v>
      </c>
      <c r="O313">
        <v>0</v>
      </c>
      <c r="P313" t="str">
        <f>IF(T[[#This Row],[qty_ordered]]&lt;&gt;T[[#This Row],[qty_received]],IF(T[[#This Row],[qty_received]]&gt;0,"Partial Received","Not Receviced"),"FullyReceived")</f>
        <v>Not Receviced</v>
      </c>
      <c r="Q313" t="str">
        <f>IF(T[[#This Row],[qty_received]]&lt;&gt;T[[#This Row],[qty_invoiced]],IF(T[[#This Row],[qty_invoiced]]&gt;0,"Partial Invoiced","Not Invoiced"),"Fully Invoiced")</f>
        <v>Partial Invoiced</v>
      </c>
      <c r="R313" t="str">
        <f>IFERROR(VLOOKUP(T[[#This Row],[warehouse]],Table2[],2,FALSE),"--")</f>
        <v>--</v>
      </c>
    </row>
    <row r="314" spans="1:18" x14ac:dyDescent="0.25">
      <c r="A314" t="s">
        <v>181</v>
      </c>
      <c r="B314" s="1">
        <v>43543</v>
      </c>
      <c r="C314" t="s">
        <v>432</v>
      </c>
      <c r="D314" t="s">
        <v>71</v>
      </c>
      <c r="E314" t="s">
        <v>51</v>
      </c>
      <c r="F314" t="s">
        <v>185</v>
      </c>
      <c r="G314" t="s">
        <v>372</v>
      </c>
      <c r="H314" t="s">
        <v>54</v>
      </c>
      <c r="I314">
        <v>960</v>
      </c>
      <c r="J314">
        <v>0</v>
      </c>
      <c r="K314">
        <v>1</v>
      </c>
      <c r="L314" t="s">
        <v>25</v>
      </c>
      <c r="M314" t="s">
        <v>26</v>
      </c>
      <c r="N314">
        <v>8</v>
      </c>
      <c r="O314">
        <v>0</v>
      </c>
      <c r="P314" t="str">
        <f>IF(T[[#This Row],[qty_ordered]]&lt;&gt;T[[#This Row],[qty_received]],IF(T[[#This Row],[qty_received]]&gt;0,"Partial Received","Not Receviced"),"FullyReceived")</f>
        <v>Not Receviced</v>
      </c>
      <c r="Q314" t="str">
        <f>IF(T[[#This Row],[qty_received]]&lt;&gt;T[[#This Row],[qty_invoiced]],IF(T[[#This Row],[qty_invoiced]]&gt;0,"Partial Invoiced","Not Invoiced"),"Fully Invoiced")</f>
        <v>Partial Invoiced</v>
      </c>
      <c r="R314" t="str">
        <f>IFERROR(VLOOKUP(T[[#This Row],[warehouse]],Table2[],2,FALSE),"--")</f>
        <v>--</v>
      </c>
    </row>
    <row r="315" spans="1:18" x14ac:dyDescent="0.25">
      <c r="A315" t="s">
        <v>181</v>
      </c>
      <c r="B315" s="1">
        <v>43543</v>
      </c>
      <c r="C315" t="s">
        <v>432</v>
      </c>
      <c r="D315" t="s">
        <v>100</v>
      </c>
      <c r="E315" t="s">
        <v>51</v>
      </c>
      <c r="F315" t="s">
        <v>185</v>
      </c>
      <c r="G315" t="s">
        <v>186</v>
      </c>
      <c r="H315" t="s">
        <v>54</v>
      </c>
      <c r="I315">
        <v>833</v>
      </c>
      <c r="J315">
        <v>0</v>
      </c>
      <c r="K315">
        <v>1</v>
      </c>
      <c r="L315" t="s">
        <v>25</v>
      </c>
      <c r="M315" t="s">
        <v>26</v>
      </c>
      <c r="N315">
        <v>6</v>
      </c>
      <c r="O315">
        <v>0</v>
      </c>
      <c r="P315" t="str">
        <f>IF(T[[#This Row],[qty_ordered]]&lt;&gt;T[[#This Row],[qty_received]],IF(T[[#This Row],[qty_received]]&gt;0,"Partial Received","Not Receviced"),"FullyReceived")</f>
        <v>Not Receviced</v>
      </c>
      <c r="Q315" t="str">
        <f>IF(T[[#This Row],[qty_received]]&lt;&gt;T[[#This Row],[qty_invoiced]],IF(T[[#This Row],[qty_invoiced]]&gt;0,"Partial Invoiced","Not Invoiced"),"Fully Invoiced")</f>
        <v>Partial Invoiced</v>
      </c>
      <c r="R315" t="str">
        <f>IFERROR(VLOOKUP(T[[#This Row],[warehouse]],Table2[],2,FALSE),"--")</f>
        <v>--</v>
      </c>
    </row>
    <row r="316" spans="1:18" x14ac:dyDescent="0.25">
      <c r="A316" t="s">
        <v>357</v>
      </c>
      <c r="B316" s="1">
        <v>43471</v>
      </c>
      <c r="C316" t="s">
        <v>358</v>
      </c>
      <c r="D316" t="s">
        <v>71</v>
      </c>
      <c r="E316" t="s">
        <v>51</v>
      </c>
      <c r="F316" t="s">
        <v>52</v>
      </c>
      <c r="G316" t="s">
        <v>75</v>
      </c>
      <c r="H316" t="s">
        <v>54</v>
      </c>
      <c r="I316">
        <v>2450</v>
      </c>
      <c r="J316">
        <v>0</v>
      </c>
      <c r="K316">
        <v>1</v>
      </c>
      <c r="L316" t="s">
        <v>25</v>
      </c>
      <c r="M316" t="s">
        <v>359</v>
      </c>
      <c r="N316">
        <v>137.38999999999999</v>
      </c>
      <c r="O316">
        <v>0</v>
      </c>
      <c r="P316" t="str">
        <f>IF(T[[#This Row],[qty_ordered]]&lt;&gt;T[[#This Row],[qty_received]],IF(T[[#This Row],[qty_received]]&gt;0,"Partial Received","Not Receviced"),"FullyReceived")</f>
        <v>Not Receviced</v>
      </c>
      <c r="Q316" t="str">
        <f>IF(T[[#This Row],[qty_received]]&lt;&gt;T[[#This Row],[qty_invoiced]],IF(T[[#This Row],[qty_invoiced]]&gt;0,"Partial Invoiced","Not Invoiced"),"Fully Invoiced")</f>
        <v>Partial Invoiced</v>
      </c>
      <c r="R316" t="str">
        <f>IFERROR(VLOOKUP(T[[#This Row],[warehouse]],Table2[],2,FALSE),"--")</f>
        <v>--</v>
      </c>
    </row>
    <row r="317" spans="1:18" x14ac:dyDescent="0.25">
      <c r="A317" t="s">
        <v>357</v>
      </c>
      <c r="B317" s="1">
        <v>43471</v>
      </c>
      <c r="C317" t="s">
        <v>358</v>
      </c>
      <c r="D317" t="s">
        <v>100</v>
      </c>
      <c r="E317" t="s">
        <v>51</v>
      </c>
      <c r="F317" t="s">
        <v>267</v>
      </c>
      <c r="G317" t="s">
        <v>267</v>
      </c>
      <c r="H317" t="s">
        <v>54</v>
      </c>
      <c r="I317">
        <v>1175</v>
      </c>
      <c r="J317">
        <v>0</v>
      </c>
      <c r="K317">
        <v>1</v>
      </c>
      <c r="L317" t="s">
        <v>25</v>
      </c>
      <c r="M317" t="s">
        <v>359</v>
      </c>
      <c r="N317">
        <v>20</v>
      </c>
      <c r="O317">
        <v>0</v>
      </c>
      <c r="P317" t="str">
        <f>IF(T[[#This Row],[qty_ordered]]&lt;&gt;T[[#This Row],[qty_received]],IF(T[[#This Row],[qty_received]]&gt;0,"Partial Received","Not Receviced"),"FullyReceived")</f>
        <v>Not Receviced</v>
      </c>
      <c r="Q317" t="str">
        <f>IF(T[[#This Row],[qty_received]]&lt;&gt;T[[#This Row],[qty_invoiced]],IF(T[[#This Row],[qty_invoiced]]&gt;0,"Partial Invoiced","Not Invoiced"),"Fully Invoiced")</f>
        <v>Partial Invoiced</v>
      </c>
      <c r="R317" t="str">
        <f>IFERROR(VLOOKUP(T[[#This Row],[warehouse]],Table2[],2,FALSE),"--")</f>
        <v>--</v>
      </c>
    </row>
    <row r="318" spans="1:18" x14ac:dyDescent="0.25">
      <c r="A318" t="s">
        <v>357</v>
      </c>
      <c r="B318" s="1">
        <v>43471</v>
      </c>
      <c r="C318" t="s">
        <v>358</v>
      </c>
      <c r="D318" t="s">
        <v>88</v>
      </c>
      <c r="E318" t="s">
        <v>51</v>
      </c>
      <c r="F318" t="s">
        <v>433</v>
      </c>
      <c r="G318" t="s">
        <v>433</v>
      </c>
      <c r="H318" t="s">
        <v>54</v>
      </c>
      <c r="I318">
        <v>1112.5</v>
      </c>
      <c r="J318">
        <v>0</v>
      </c>
      <c r="K318">
        <v>1</v>
      </c>
      <c r="L318" t="s">
        <v>25</v>
      </c>
      <c r="M318" t="s">
        <v>359</v>
      </c>
      <c r="N318">
        <v>50</v>
      </c>
      <c r="O318">
        <v>0</v>
      </c>
      <c r="P318" t="str">
        <f>IF(T[[#This Row],[qty_ordered]]&lt;&gt;T[[#This Row],[qty_received]],IF(T[[#This Row],[qty_received]]&gt;0,"Partial Received","Not Receviced"),"FullyReceived")</f>
        <v>Not Receviced</v>
      </c>
      <c r="Q318" t="str">
        <f>IF(T[[#This Row],[qty_received]]&lt;&gt;T[[#This Row],[qty_invoiced]],IF(T[[#This Row],[qty_invoiced]]&gt;0,"Partial Invoiced","Not Invoiced"),"Fully Invoiced")</f>
        <v>Partial Invoiced</v>
      </c>
      <c r="R318" t="str">
        <f>IFERROR(VLOOKUP(T[[#This Row],[warehouse]],Table2[],2,FALSE),"--")</f>
        <v>--</v>
      </c>
    </row>
    <row r="319" spans="1:18" x14ac:dyDescent="0.25">
      <c r="A319" t="s">
        <v>357</v>
      </c>
      <c r="B319" s="1">
        <v>43471</v>
      </c>
      <c r="C319" t="s">
        <v>358</v>
      </c>
      <c r="D319" t="s">
        <v>74</v>
      </c>
      <c r="E319" t="s">
        <v>51</v>
      </c>
      <c r="F319" t="s">
        <v>52</v>
      </c>
      <c r="G319" t="s">
        <v>274</v>
      </c>
      <c r="H319" t="s">
        <v>54</v>
      </c>
      <c r="I319">
        <v>1300</v>
      </c>
      <c r="J319">
        <v>0</v>
      </c>
      <c r="K319">
        <v>1</v>
      </c>
      <c r="L319" t="s">
        <v>25</v>
      </c>
      <c r="M319" t="s">
        <v>359</v>
      </c>
      <c r="N319">
        <v>108</v>
      </c>
      <c r="O319">
        <v>0</v>
      </c>
      <c r="P319" t="str">
        <f>IF(T[[#This Row],[qty_ordered]]&lt;&gt;T[[#This Row],[qty_received]],IF(T[[#This Row],[qty_received]]&gt;0,"Partial Received","Not Receviced"),"FullyReceived")</f>
        <v>Not Receviced</v>
      </c>
      <c r="Q319" t="str">
        <f>IF(T[[#This Row],[qty_received]]&lt;&gt;T[[#This Row],[qty_invoiced]],IF(T[[#This Row],[qty_invoiced]]&gt;0,"Partial Invoiced","Not Invoiced"),"Fully Invoiced")</f>
        <v>Partial Invoiced</v>
      </c>
      <c r="R319" t="str">
        <f>IFERROR(VLOOKUP(T[[#This Row],[warehouse]],Table2[],2,FALSE),"--")</f>
        <v>--</v>
      </c>
    </row>
    <row r="320" spans="1:18" x14ac:dyDescent="0.25">
      <c r="A320" t="s">
        <v>153</v>
      </c>
      <c r="B320" s="1">
        <v>43538</v>
      </c>
      <c r="C320" t="s">
        <v>434</v>
      </c>
      <c r="D320" t="s">
        <v>20</v>
      </c>
      <c r="E320" t="s">
        <v>214</v>
      </c>
      <c r="F320" t="s">
        <v>167</v>
      </c>
      <c r="G320" t="s">
        <v>156</v>
      </c>
      <c r="H320" t="s">
        <v>24</v>
      </c>
      <c r="I320">
        <v>1000</v>
      </c>
      <c r="J320">
        <v>956.25</v>
      </c>
      <c r="K320">
        <v>956.25</v>
      </c>
      <c r="L320" t="s">
        <v>25</v>
      </c>
      <c r="M320" t="s">
        <v>132</v>
      </c>
      <c r="N320">
        <v>82000</v>
      </c>
      <c r="O320">
        <v>78412500</v>
      </c>
      <c r="P320" t="str">
        <f>IF(T[[#This Row],[qty_ordered]]&lt;&gt;T[[#This Row],[qty_received]],IF(T[[#This Row],[qty_received]]&gt;0,"Partial Received","Not Receviced"),"FullyReceived")</f>
        <v>Partial Received</v>
      </c>
      <c r="Q320" t="str">
        <f>IF(T[[#This Row],[qty_received]]&lt;&gt;T[[#This Row],[qty_invoiced]],IF(T[[#This Row],[qty_invoiced]]&gt;0,"Partial Invoiced","Not Invoiced"),"Fully Invoiced")</f>
        <v>Fully Invoiced</v>
      </c>
      <c r="R320" t="str">
        <f>IFERROR(VLOOKUP(T[[#This Row],[warehouse]],Table2[],2,FALSE),"--")</f>
        <v>CRUSHER ELBALOLA</v>
      </c>
    </row>
    <row r="321" spans="1:18" x14ac:dyDescent="0.25">
      <c r="A321" t="s">
        <v>423</v>
      </c>
      <c r="B321" s="1">
        <v>43544</v>
      </c>
      <c r="C321" t="s">
        <v>435</v>
      </c>
      <c r="D321" t="s">
        <v>20</v>
      </c>
      <c r="E321" t="s">
        <v>51</v>
      </c>
      <c r="F321" t="s">
        <v>52</v>
      </c>
      <c r="G321" t="s">
        <v>75</v>
      </c>
      <c r="H321" t="s">
        <v>54</v>
      </c>
      <c r="I321">
        <v>10000</v>
      </c>
      <c r="J321">
        <v>0</v>
      </c>
      <c r="K321">
        <v>1</v>
      </c>
      <c r="L321" t="s">
        <v>25</v>
      </c>
      <c r="M321" t="s">
        <v>26</v>
      </c>
      <c r="N321">
        <v>2.8</v>
      </c>
      <c r="O321">
        <v>0</v>
      </c>
      <c r="P321" t="str">
        <f>IF(T[[#This Row],[qty_ordered]]&lt;&gt;T[[#This Row],[qty_received]],IF(T[[#This Row],[qty_received]]&gt;0,"Partial Received","Not Receviced"),"FullyReceived")</f>
        <v>Not Receviced</v>
      </c>
      <c r="Q321" t="str">
        <f>IF(T[[#This Row],[qty_received]]&lt;&gt;T[[#This Row],[qty_invoiced]],IF(T[[#This Row],[qty_invoiced]]&gt;0,"Partial Invoiced","Not Invoiced"),"Fully Invoiced")</f>
        <v>Partial Invoiced</v>
      </c>
      <c r="R321" t="str">
        <f>IFERROR(VLOOKUP(T[[#This Row],[warehouse]],Table2[],2,FALSE),"--")</f>
        <v>--</v>
      </c>
    </row>
    <row r="322" spans="1:18" x14ac:dyDescent="0.25">
      <c r="A322" t="s">
        <v>357</v>
      </c>
      <c r="B322" s="1">
        <v>43471</v>
      </c>
      <c r="C322" t="s">
        <v>358</v>
      </c>
      <c r="D322" t="s">
        <v>76</v>
      </c>
      <c r="E322" t="s">
        <v>51</v>
      </c>
      <c r="F322" t="s">
        <v>390</v>
      </c>
      <c r="G322" t="s">
        <v>390</v>
      </c>
      <c r="H322" t="s">
        <v>54</v>
      </c>
      <c r="I322">
        <v>1781.25</v>
      </c>
      <c r="J322">
        <v>0</v>
      </c>
      <c r="K322">
        <v>1</v>
      </c>
      <c r="L322" t="s">
        <v>25</v>
      </c>
      <c r="M322" t="s">
        <v>359</v>
      </c>
      <c r="N322">
        <v>20</v>
      </c>
      <c r="O322">
        <v>0</v>
      </c>
      <c r="P322" t="str">
        <f>IF(T[[#This Row],[qty_ordered]]&lt;&gt;T[[#This Row],[qty_received]],IF(T[[#This Row],[qty_received]]&gt;0,"Partial Received","Not Receviced"),"FullyReceived")</f>
        <v>Not Receviced</v>
      </c>
      <c r="Q322" t="str">
        <f>IF(T[[#This Row],[qty_received]]&lt;&gt;T[[#This Row],[qty_invoiced]],IF(T[[#This Row],[qty_invoiced]]&gt;0,"Partial Invoiced","Not Invoiced"),"Fully Invoiced")</f>
        <v>Partial Invoiced</v>
      </c>
      <c r="R322" t="str">
        <f>IFERROR(VLOOKUP(T[[#This Row],[warehouse]],Table2[],2,FALSE),"--")</f>
        <v>--</v>
      </c>
    </row>
    <row r="323" spans="1:18" x14ac:dyDescent="0.25">
      <c r="A323" t="s">
        <v>357</v>
      </c>
      <c r="B323" s="1">
        <v>43471</v>
      </c>
      <c r="C323" t="s">
        <v>358</v>
      </c>
      <c r="D323" t="s">
        <v>212</v>
      </c>
      <c r="E323" t="s">
        <v>51</v>
      </c>
      <c r="F323" t="s">
        <v>52</v>
      </c>
      <c r="G323" t="s">
        <v>75</v>
      </c>
      <c r="H323" t="s">
        <v>54</v>
      </c>
      <c r="I323">
        <v>2369</v>
      </c>
      <c r="J323">
        <v>0</v>
      </c>
      <c r="K323">
        <v>1</v>
      </c>
      <c r="L323" t="s">
        <v>25</v>
      </c>
      <c r="M323" t="s">
        <v>359</v>
      </c>
      <c r="N323">
        <v>10</v>
      </c>
      <c r="O323">
        <v>0</v>
      </c>
      <c r="P323" t="str">
        <f>IF(T[[#This Row],[qty_ordered]]&lt;&gt;T[[#This Row],[qty_received]],IF(T[[#This Row],[qty_received]]&gt;0,"Partial Received","Not Receviced"),"FullyReceived")</f>
        <v>Not Receviced</v>
      </c>
      <c r="Q323" t="str">
        <f>IF(T[[#This Row],[qty_received]]&lt;&gt;T[[#This Row],[qty_invoiced]],IF(T[[#This Row],[qty_invoiced]]&gt;0,"Partial Invoiced","Not Invoiced"),"Fully Invoiced")</f>
        <v>Partial Invoiced</v>
      </c>
      <c r="R323" t="str">
        <f>IFERROR(VLOOKUP(T[[#This Row],[warehouse]],Table2[],2,FALSE),"--")</f>
        <v>--</v>
      </c>
    </row>
    <row r="324" spans="1:18" x14ac:dyDescent="0.25">
      <c r="A324" t="s">
        <v>235</v>
      </c>
      <c r="B324" s="1">
        <v>43545</v>
      </c>
      <c r="C324" t="s">
        <v>436</v>
      </c>
      <c r="D324" t="s">
        <v>20</v>
      </c>
      <c r="E324" t="s">
        <v>51</v>
      </c>
      <c r="F324" t="s">
        <v>52</v>
      </c>
      <c r="G324" t="s">
        <v>75</v>
      </c>
      <c r="H324" t="s">
        <v>54</v>
      </c>
      <c r="I324">
        <v>10000</v>
      </c>
      <c r="J324">
        <v>0</v>
      </c>
      <c r="K324">
        <v>1</v>
      </c>
      <c r="L324" t="s">
        <v>25</v>
      </c>
      <c r="M324" t="s">
        <v>26</v>
      </c>
      <c r="N324">
        <v>5.85</v>
      </c>
      <c r="O324">
        <v>0</v>
      </c>
      <c r="P324" t="str">
        <f>IF(T[[#This Row],[qty_ordered]]&lt;&gt;T[[#This Row],[qty_received]],IF(T[[#This Row],[qty_received]]&gt;0,"Partial Received","Not Receviced"),"FullyReceived")</f>
        <v>Not Receviced</v>
      </c>
      <c r="Q324" t="str">
        <f>IF(T[[#This Row],[qty_received]]&lt;&gt;T[[#This Row],[qty_invoiced]],IF(T[[#This Row],[qty_invoiced]]&gt;0,"Partial Invoiced","Not Invoiced"),"Fully Invoiced")</f>
        <v>Partial Invoiced</v>
      </c>
      <c r="R324" t="str">
        <f>IFERROR(VLOOKUP(T[[#This Row],[warehouse]],Table2[],2,FALSE),"--")</f>
        <v>--</v>
      </c>
    </row>
    <row r="325" spans="1:18" x14ac:dyDescent="0.25">
      <c r="A325" t="s">
        <v>235</v>
      </c>
      <c r="B325" s="1">
        <v>43545</v>
      </c>
      <c r="C325" t="s">
        <v>436</v>
      </c>
      <c r="D325" t="s">
        <v>71</v>
      </c>
      <c r="E325" t="s">
        <v>51</v>
      </c>
      <c r="F325" t="s">
        <v>52</v>
      </c>
      <c r="G325" t="s">
        <v>75</v>
      </c>
      <c r="H325" t="s">
        <v>54</v>
      </c>
      <c r="I325">
        <v>10000</v>
      </c>
      <c r="J325">
        <v>0</v>
      </c>
      <c r="K325">
        <v>1</v>
      </c>
      <c r="L325" t="s">
        <v>25</v>
      </c>
      <c r="M325" t="s">
        <v>26</v>
      </c>
      <c r="N325">
        <v>5.07</v>
      </c>
      <c r="O325">
        <v>0</v>
      </c>
      <c r="P325" t="str">
        <f>IF(T[[#This Row],[qty_ordered]]&lt;&gt;T[[#This Row],[qty_received]],IF(T[[#This Row],[qty_received]]&gt;0,"Partial Received","Not Receviced"),"FullyReceived")</f>
        <v>Not Receviced</v>
      </c>
      <c r="Q325" t="str">
        <f>IF(T[[#This Row],[qty_received]]&lt;&gt;T[[#This Row],[qty_invoiced]],IF(T[[#This Row],[qty_invoiced]]&gt;0,"Partial Invoiced","Not Invoiced"),"Fully Invoiced")</f>
        <v>Partial Invoiced</v>
      </c>
      <c r="R325" t="str">
        <f>IFERROR(VLOOKUP(T[[#This Row],[warehouse]],Table2[],2,FALSE),"--")</f>
        <v>--</v>
      </c>
    </row>
    <row r="326" spans="1:18" x14ac:dyDescent="0.25">
      <c r="A326" t="s">
        <v>437</v>
      </c>
      <c r="B326" s="1">
        <v>43545</v>
      </c>
      <c r="C326" t="s">
        <v>438</v>
      </c>
      <c r="D326" t="s">
        <v>20</v>
      </c>
      <c r="E326" t="s">
        <v>51</v>
      </c>
      <c r="F326" t="s">
        <v>183</v>
      </c>
      <c r="G326" t="s">
        <v>183</v>
      </c>
      <c r="H326" t="s">
        <v>54</v>
      </c>
      <c r="I326">
        <v>525.65</v>
      </c>
      <c r="J326">
        <v>0</v>
      </c>
      <c r="K326">
        <v>1</v>
      </c>
      <c r="L326" t="s">
        <v>25</v>
      </c>
      <c r="M326" t="s">
        <v>26</v>
      </c>
      <c r="N326">
        <v>450</v>
      </c>
      <c r="O326">
        <v>0</v>
      </c>
      <c r="P326" t="str">
        <f>IF(T[[#This Row],[qty_ordered]]&lt;&gt;T[[#This Row],[qty_received]],IF(T[[#This Row],[qty_received]]&gt;0,"Partial Received","Not Receviced"),"FullyReceived")</f>
        <v>Not Receviced</v>
      </c>
      <c r="Q326" t="str">
        <f>IF(T[[#This Row],[qty_received]]&lt;&gt;T[[#This Row],[qty_invoiced]],IF(T[[#This Row],[qty_invoiced]]&gt;0,"Partial Invoiced","Not Invoiced"),"Fully Invoiced")</f>
        <v>Partial Invoiced</v>
      </c>
      <c r="R326" t="str">
        <f>IFERROR(VLOOKUP(T[[#This Row],[warehouse]],Table2[],2,FALSE),"--")</f>
        <v>--</v>
      </c>
    </row>
    <row r="327" spans="1:18" x14ac:dyDescent="0.25">
      <c r="A327" t="s">
        <v>437</v>
      </c>
      <c r="B327" s="1">
        <v>43545</v>
      </c>
      <c r="C327" t="s">
        <v>438</v>
      </c>
      <c r="D327" t="s">
        <v>71</v>
      </c>
      <c r="E327" t="s">
        <v>51</v>
      </c>
      <c r="F327" t="s">
        <v>185</v>
      </c>
      <c r="G327" t="s">
        <v>372</v>
      </c>
      <c r="H327" t="s">
        <v>54</v>
      </c>
      <c r="I327">
        <v>262.82499999999999</v>
      </c>
      <c r="J327">
        <v>0</v>
      </c>
      <c r="K327">
        <v>1</v>
      </c>
      <c r="L327" t="s">
        <v>25</v>
      </c>
      <c r="M327" t="s">
        <v>26</v>
      </c>
      <c r="N327">
        <v>517.45000000000005</v>
      </c>
      <c r="O327">
        <v>0</v>
      </c>
      <c r="P327" t="str">
        <f>IF(T[[#This Row],[qty_ordered]]&lt;&gt;T[[#This Row],[qty_received]],IF(T[[#This Row],[qty_received]]&gt;0,"Partial Received","Not Receviced"),"FullyReceived")</f>
        <v>Not Receviced</v>
      </c>
      <c r="Q327" t="str">
        <f>IF(T[[#This Row],[qty_received]]&lt;&gt;T[[#This Row],[qty_invoiced]],IF(T[[#This Row],[qty_invoiced]]&gt;0,"Partial Invoiced","Not Invoiced"),"Fully Invoiced")</f>
        <v>Partial Invoiced</v>
      </c>
      <c r="R327" t="str">
        <f>IFERROR(VLOOKUP(T[[#This Row],[warehouse]],Table2[],2,FALSE),"--")</f>
        <v>--</v>
      </c>
    </row>
    <row r="328" spans="1:18" x14ac:dyDescent="0.25">
      <c r="A328" t="s">
        <v>437</v>
      </c>
      <c r="B328" s="1">
        <v>43545</v>
      </c>
      <c r="C328" t="s">
        <v>438</v>
      </c>
      <c r="D328" t="s">
        <v>100</v>
      </c>
      <c r="E328" t="s">
        <v>51</v>
      </c>
      <c r="F328" t="s">
        <v>185</v>
      </c>
      <c r="G328" t="s">
        <v>439</v>
      </c>
      <c r="H328" t="s">
        <v>54</v>
      </c>
      <c r="I328">
        <v>262.82499999999999</v>
      </c>
      <c r="J328">
        <v>0</v>
      </c>
      <c r="K328">
        <v>1</v>
      </c>
      <c r="L328" t="s">
        <v>25</v>
      </c>
      <c r="M328" t="s">
        <v>26</v>
      </c>
      <c r="N328">
        <v>426.14</v>
      </c>
      <c r="O328">
        <v>0</v>
      </c>
      <c r="P328" t="str">
        <f>IF(T[[#This Row],[qty_ordered]]&lt;&gt;T[[#This Row],[qty_received]],IF(T[[#This Row],[qty_received]]&gt;0,"Partial Received","Not Receviced"),"FullyReceived")</f>
        <v>Not Receviced</v>
      </c>
      <c r="Q328" t="str">
        <f>IF(T[[#This Row],[qty_received]]&lt;&gt;T[[#This Row],[qty_invoiced]],IF(T[[#This Row],[qty_invoiced]]&gt;0,"Partial Invoiced","Not Invoiced"),"Fully Invoiced")</f>
        <v>Partial Invoiced</v>
      </c>
      <c r="R328" t="str">
        <f>IFERROR(VLOOKUP(T[[#This Row],[warehouse]],Table2[],2,FALSE),"--")</f>
        <v>--</v>
      </c>
    </row>
    <row r="329" spans="1:18" x14ac:dyDescent="0.25">
      <c r="A329" t="s">
        <v>160</v>
      </c>
      <c r="B329" s="1">
        <v>43507</v>
      </c>
      <c r="C329" t="s">
        <v>258</v>
      </c>
      <c r="D329" t="s">
        <v>100</v>
      </c>
      <c r="E329" t="s">
        <v>192</v>
      </c>
      <c r="F329" t="s">
        <v>41</v>
      </c>
      <c r="G329" t="s">
        <v>42</v>
      </c>
      <c r="H329" t="s">
        <v>24</v>
      </c>
      <c r="I329">
        <v>520</v>
      </c>
      <c r="J329">
        <v>514.25</v>
      </c>
      <c r="K329">
        <v>514.25</v>
      </c>
      <c r="L329" t="s">
        <v>25</v>
      </c>
      <c r="M329" t="s">
        <v>26</v>
      </c>
      <c r="N329">
        <v>82325</v>
      </c>
      <c r="O329">
        <v>42335631.25</v>
      </c>
      <c r="P329" t="str">
        <f>IF(T[[#This Row],[qty_ordered]]&lt;&gt;T[[#This Row],[qty_received]],IF(T[[#This Row],[qty_received]]&gt;0,"Partial Received","Not Receviced"),"FullyReceived")</f>
        <v>Partial Received</v>
      </c>
      <c r="Q329" t="str">
        <f>IF(T[[#This Row],[qty_received]]&lt;&gt;T[[#This Row],[qty_invoiced]],IF(T[[#This Row],[qty_invoiced]]&gt;0,"Partial Invoiced","Not Invoiced"),"Fully Invoiced")</f>
        <v>Fully Invoiced</v>
      </c>
      <c r="R329" t="str">
        <f>IFERROR(VLOOKUP(T[[#This Row],[warehouse]],Table2[],2,FALSE),"--")</f>
        <v>BAYADER SIFTER-OMD</v>
      </c>
    </row>
    <row r="330" spans="1:18" x14ac:dyDescent="0.25">
      <c r="A330" t="s">
        <v>224</v>
      </c>
      <c r="B330" s="1">
        <v>43545</v>
      </c>
      <c r="C330" t="s">
        <v>440</v>
      </c>
      <c r="D330" t="s">
        <v>20</v>
      </c>
      <c r="E330" t="s">
        <v>51</v>
      </c>
      <c r="F330" t="s">
        <v>183</v>
      </c>
      <c r="G330" t="s">
        <v>183</v>
      </c>
      <c r="H330" t="s">
        <v>54</v>
      </c>
      <c r="I330">
        <v>514.25</v>
      </c>
      <c r="J330">
        <v>0</v>
      </c>
      <c r="K330">
        <v>1</v>
      </c>
      <c r="L330" t="s">
        <v>25</v>
      </c>
      <c r="M330" t="s">
        <v>26</v>
      </c>
      <c r="N330">
        <v>575</v>
      </c>
      <c r="O330">
        <v>0</v>
      </c>
      <c r="P330" t="str">
        <f>IF(T[[#This Row],[qty_ordered]]&lt;&gt;T[[#This Row],[qty_received]],IF(T[[#This Row],[qty_received]]&gt;0,"Partial Received","Not Receviced"),"FullyReceived")</f>
        <v>Not Receviced</v>
      </c>
      <c r="Q330" t="str">
        <f>IF(T[[#This Row],[qty_received]]&lt;&gt;T[[#This Row],[qty_invoiced]],IF(T[[#This Row],[qty_invoiced]]&gt;0,"Partial Invoiced","Not Invoiced"),"Fully Invoiced")</f>
        <v>Partial Invoiced</v>
      </c>
      <c r="R330" t="str">
        <f>IFERROR(VLOOKUP(T[[#This Row],[warehouse]],Table2[],2,FALSE),"--")</f>
        <v>--</v>
      </c>
    </row>
    <row r="331" spans="1:18" x14ac:dyDescent="0.25">
      <c r="A331" t="s">
        <v>160</v>
      </c>
      <c r="B331" s="1">
        <v>43499</v>
      </c>
      <c r="C331" t="s">
        <v>227</v>
      </c>
      <c r="D331" t="s">
        <v>100</v>
      </c>
      <c r="E331" t="s">
        <v>111</v>
      </c>
      <c r="F331" t="s">
        <v>47</v>
      </c>
      <c r="G331" t="s">
        <v>48</v>
      </c>
      <c r="H331" t="s">
        <v>24</v>
      </c>
      <c r="I331">
        <v>2121.65</v>
      </c>
      <c r="J331">
        <v>2121.65</v>
      </c>
      <c r="K331">
        <v>2121.65</v>
      </c>
      <c r="L331" t="s">
        <v>25</v>
      </c>
      <c r="M331" t="s">
        <v>26</v>
      </c>
      <c r="N331">
        <v>30855</v>
      </c>
      <c r="O331">
        <v>65463510.75</v>
      </c>
      <c r="P331" t="str">
        <f>IF(T[[#This Row],[qty_ordered]]&lt;&gt;T[[#This Row],[qty_received]],IF(T[[#This Row],[qty_received]]&gt;0,"Partial Received","Not Receviced"),"FullyReceived")</f>
        <v>FullyReceived</v>
      </c>
      <c r="Q331" t="str">
        <f>IF(T[[#This Row],[qty_received]]&lt;&gt;T[[#This Row],[qty_invoiced]],IF(T[[#This Row],[qty_invoiced]]&gt;0,"Partial Invoiced","Not Invoiced"),"Fully Invoiced")</f>
        <v>Fully Invoiced</v>
      </c>
      <c r="R331" t="str">
        <f>IFERROR(VLOOKUP(T[[#This Row],[warehouse]],Table2[],2,FALSE),"--")</f>
        <v>Sifting PZU-Al Jawhra</v>
      </c>
    </row>
    <row r="332" spans="1:18" x14ac:dyDescent="0.25">
      <c r="A332" t="s">
        <v>423</v>
      </c>
      <c r="B332" s="1">
        <v>43551</v>
      </c>
      <c r="C332" t="s">
        <v>424</v>
      </c>
      <c r="D332" t="s">
        <v>20</v>
      </c>
      <c r="E332" t="s">
        <v>51</v>
      </c>
      <c r="F332" t="s">
        <v>52</v>
      </c>
      <c r="G332" t="s">
        <v>75</v>
      </c>
      <c r="H332" t="s">
        <v>54</v>
      </c>
      <c r="I332">
        <v>10000</v>
      </c>
      <c r="J332">
        <v>0</v>
      </c>
      <c r="K332">
        <v>1</v>
      </c>
      <c r="L332" t="s">
        <v>25</v>
      </c>
      <c r="M332" t="s">
        <v>26</v>
      </c>
      <c r="N332">
        <v>2.8</v>
      </c>
      <c r="O332">
        <v>0</v>
      </c>
      <c r="P332" t="str">
        <f>IF(T[[#This Row],[qty_ordered]]&lt;&gt;T[[#This Row],[qty_received]],IF(T[[#This Row],[qty_received]]&gt;0,"Partial Received","Not Receviced"),"FullyReceived")</f>
        <v>Not Receviced</v>
      </c>
      <c r="Q332" t="str">
        <f>IF(T[[#This Row],[qty_received]]&lt;&gt;T[[#This Row],[qty_invoiced]],IF(T[[#This Row],[qty_invoiced]]&gt;0,"Partial Invoiced","Not Invoiced"),"Fully Invoiced")</f>
        <v>Partial Invoiced</v>
      </c>
      <c r="R332" t="str">
        <f>IFERROR(VLOOKUP(T[[#This Row],[warehouse]],Table2[],2,FALSE),"--")</f>
        <v>--</v>
      </c>
    </row>
    <row r="333" spans="1:18" x14ac:dyDescent="0.25">
      <c r="A333" t="s">
        <v>413</v>
      </c>
      <c r="B333" s="1">
        <v>43548</v>
      </c>
      <c r="C333" t="s">
        <v>414</v>
      </c>
      <c r="D333" t="s">
        <v>71</v>
      </c>
      <c r="E333" t="s">
        <v>146</v>
      </c>
      <c r="F333" t="s">
        <v>415</v>
      </c>
      <c r="G333" t="s">
        <v>416</v>
      </c>
      <c r="H333" t="s">
        <v>417</v>
      </c>
      <c r="I333">
        <v>0.25</v>
      </c>
      <c r="J333">
        <v>0.25</v>
      </c>
      <c r="K333">
        <v>0.25</v>
      </c>
      <c r="L333" t="s">
        <v>25</v>
      </c>
      <c r="M333" t="s">
        <v>418</v>
      </c>
      <c r="N333">
        <v>3000</v>
      </c>
      <c r="O333">
        <v>750</v>
      </c>
      <c r="P333" t="str">
        <f>IF(T[[#This Row],[qty_ordered]]&lt;&gt;T[[#This Row],[qty_received]],IF(T[[#This Row],[qty_received]]&gt;0,"Partial Received","Not Receviced"),"FullyReceived")</f>
        <v>FullyReceived</v>
      </c>
      <c r="Q333" t="str">
        <f>IF(T[[#This Row],[qty_received]]&lt;&gt;T[[#This Row],[qty_invoiced]],IF(T[[#This Row],[qty_invoiced]]&gt;0,"Partial Invoiced","Not Invoiced"),"Fully Invoiced")</f>
        <v>Fully Invoiced</v>
      </c>
      <c r="R333" t="str">
        <f>IFERROR(VLOOKUP(T[[#This Row],[warehouse]],Table2[],2,FALSE),"--")</f>
        <v>Khtoum Main Warehouse</v>
      </c>
    </row>
    <row r="334" spans="1:18" x14ac:dyDescent="0.25">
      <c r="A334" t="s">
        <v>408</v>
      </c>
      <c r="B334" s="1">
        <v>43558</v>
      </c>
      <c r="C334" t="s">
        <v>441</v>
      </c>
      <c r="D334" t="s">
        <v>20</v>
      </c>
      <c r="E334" t="s">
        <v>410</v>
      </c>
      <c r="F334" t="s">
        <v>442</v>
      </c>
      <c r="G334" t="s">
        <v>443</v>
      </c>
      <c r="H334" t="s">
        <v>123</v>
      </c>
      <c r="I334">
        <v>380</v>
      </c>
      <c r="J334">
        <v>380</v>
      </c>
      <c r="K334">
        <v>380</v>
      </c>
      <c r="L334" t="s">
        <v>25</v>
      </c>
      <c r="M334" t="s">
        <v>132</v>
      </c>
      <c r="N334">
        <v>3000</v>
      </c>
      <c r="O334">
        <v>1140000</v>
      </c>
      <c r="P334" t="str">
        <f>IF(T[[#This Row],[qty_ordered]]&lt;&gt;T[[#This Row],[qty_received]],IF(T[[#This Row],[qty_received]]&gt;0,"Partial Received","Not Receviced"),"FullyReceived")</f>
        <v>FullyReceived</v>
      </c>
      <c r="Q334" t="str">
        <f>IF(T[[#This Row],[qty_received]]&lt;&gt;T[[#This Row],[qty_invoiced]],IF(T[[#This Row],[qty_invoiced]]&gt;0,"Partial Invoiced","Not Invoiced"),"Fully Invoiced")</f>
        <v>Fully Invoiced</v>
      </c>
      <c r="R334" t="str">
        <f>IFERROR(VLOOKUP(T[[#This Row],[warehouse]],Table2[],2,FALSE),"--")</f>
        <v>SFITER GUM Masaaie</v>
      </c>
    </row>
    <row r="335" spans="1:18" x14ac:dyDescent="0.25">
      <c r="A335" t="s">
        <v>181</v>
      </c>
      <c r="B335" s="1">
        <v>43543</v>
      </c>
      <c r="C335" t="s">
        <v>432</v>
      </c>
      <c r="D335" t="s">
        <v>88</v>
      </c>
      <c r="E335" t="s">
        <v>51</v>
      </c>
      <c r="F335" t="s">
        <v>183</v>
      </c>
      <c r="G335" t="s">
        <v>183</v>
      </c>
      <c r="H335" t="s">
        <v>54</v>
      </c>
      <c r="I335">
        <v>327.72</v>
      </c>
      <c r="J335">
        <v>0</v>
      </c>
      <c r="K335">
        <v>1</v>
      </c>
      <c r="L335" t="s">
        <v>25</v>
      </c>
      <c r="M335" t="s">
        <v>26</v>
      </c>
      <c r="N335">
        <v>480</v>
      </c>
      <c r="O335">
        <v>0</v>
      </c>
      <c r="P335" t="str">
        <f>IF(T[[#This Row],[qty_ordered]]&lt;&gt;T[[#This Row],[qty_received]],IF(T[[#This Row],[qty_received]]&gt;0,"Partial Received","Not Receviced"),"FullyReceived")</f>
        <v>Not Receviced</v>
      </c>
      <c r="Q335" t="str">
        <f>IF(T[[#This Row],[qty_received]]&lt;&gt;T[[#This Row],[qty_invoiced]],IF(T[[#This Row],[qty_invoiced]]&gt;0,"Partial Invoiced","Not Invoiced"),"Fully Invoiced")</f>
        <v>Partial Invoiced</v>
      </c>
      <c r="R335" t="str">
        <f>IFERROR(VLOOKUP(T[[#This Row],[warehouse]],Table2[],2,FALSE),"--")</f>
        <v>--</v>
      </c>
    </row>
    <row r="336" spans="1:18" x14ac:dyDescent="0.25">
      <c r="A336" t="s">
        <v>181</v>
      </c>
      <c r="B336" s="1">
        <v>43543</v>
      </c>
      <c r="C336" t="s">
        <v>432</v>
      </c>
      <c r="D336" t="s">
        <v>74</v>
      </c>
      <c r="E336" t="s">
        <v>51</v>
      </c>
      <c r="F336" t="s">
        <v>185</v>
      </c>
      <c r="G336" t="s">
        <v>372</v>
      </c>
      <c r="H336" t="s">
        <v>54</v>
      </c>
      <c r="I336">
        <v>300</v>
      </c>
      <c r="J336">
        <v>0</v>
      </c>
      <c r="K336">
        <v>1</v>
      </c>
      <c r="L336" t="s">
        <v>25</v>
      </c>
      <c r="M336" t="s">
        <v>26</v>
      </c>
      <c r="N336">
        <v>8</v>
      </c>
      <c r="O336">
        <v>0</v>
      </c>
      <c r="P336" t="str">
        <f>IF(T[[#This Row],[qty_ordered]]&lt;&gt;T[[#This Row],[qty_received]],IF(T[[#This Row],[qty_received]]&gt;0,"Partial Received","Not Receviced"),"FullyReceived")</f>
        <v>Not Receviced</v>
      </c>
      <c r="Q336" t="str">
        <f>IF(T[[#This Row],[qty_received]]&lt;&gt;T[[#This Row],[qty_invoiced]],IF(T[[#This Row],[qty_invoiced]]&gt;0,"Partial Invoiced","Not Invoiced"),"Fully Invoiced")</f>
        <v>Partial Invoiced</v>
      </c>
      <c r="R336" t="str">
        <f>IFERROR(VLOOKUP(T[[#This Row],[warehouse]],Table2[],2,FALSE),"--")</f>
        <v>--</v>
      </c>
    </row>
    <row r="337" spans="1:18" x14ac:dyDescent="0.25">
      <c r="A337" t="s">
        <v>181</v>
      </c>
      <c r="B337" s="1">
        <v>43543</v>
      </c>
      <c r="C337" t="s">
        <v>432</v>
      </c>
      <c r="D337" t="s">
        <v>76</v>
      </c>
      <c r="E337" t="s">
        <v>51</v>
      </c>
      <c r="F337" t="s">
        <v>185</v>
      </c>
      <c r="G337" t="s">
        <v>372</v>
      </c>
      <c r="H337" t="s">
        <v>54</v>
      </c>
      <c r="I337">
        <v>970</v>
      </c>
      <c r="J337">
        <v>0</v>
      </c>
      <c r="K337">
        <v>1</v>
      </c>
      <c r="L337" t="s">
        <v>25</v>
      </c>
      <c r="M337" t="s">
        <v>26</v>
      </c>
      <c r="N337">
        <v>10</v>
      </c>
      <c r="O337">
        <v>0</v>
      </c>
      <c r="P337" t="str">
        <f>IF(T[[#This Row],[qty_ordered]]&lt;&gt;T[[#This Row],[qty_received]],IF(T[[#This Row],[qty_received]]&gt;0,"Partial Received","Not Receviced"),"FullyReceived")</f>
        <v>Not Receviced</v>
      </c>
      <c r="Q337" t="str">
        <f>IF(T[[#This Row],[qty_received]]&lt;&gt;T[[#This Row],[qty_invoiced]],IF(T[[#This Row],[qty_invoiced]]&gt;0,"Partial Invoiced","Not Invoiced"),"Fully Invoiced")</f>
        <v>Partial Invoiced</v>
      </c>
      <c r="R337" t="str">
        <f>IFERROR(VLOOKUP(T[[#This Row],[warehouse]],Table2[],2,FALSE),"--")</f>
        <v>--</v>
      </c>
    </row>
    <row r="338" spans="1:18" x14ac:dyDescent="0.25">
      <c r="A338" t="s">
        <v>181</v>
      </c>
      <c r="B338" s="1">
        <v>43543</v>
      </c>
      <c r="C338" t="s">
        <v>432</v>
      </c>
      <c r="D338" t="s">
        <v>212</v>
      </c>
      <c r="E338" t="s">
        <v>51</v>
      </c>
      <c r="F338" t="s">
        <v>185</v>
      </c>
      <c r="G338" t="s">
        <v>186</v>
      </c>
      <c r="H338" t="s">
        <v>54</v>
      </c>
      <c r="I338">
        <v>870</v>
      </c>
      <c r="J338">
        <v>0</v>
      </c>
      <c r="K338">
        <v>1</v>
      </c>
      <c r="L338" t="s">
        <v>25</v>
      </c>
      <c r="M338" t="s">
        <v>26</v>
      </c>
      <c r="N338">
        <v>12</v>
      </c>
      <c r="O338">
        <v>0</v>
      </c>
      <c r="P338" t="str">
        <f>IF(T[[#This Row],[qty_ordered]]&lt;&gt;T[[#This Row],[qty_received]],IF(T[[#This Row],[qty_received]]&gt;0,"Partial Received","Not Receviced"),"FullyReceived")</f>
        <v>Not Receviced</v>
      </c>
      <c r="Q338" t="str">
        <f>IF(T[[#This Row],[qty_received]]&lt;&gt;T[[#This Row],[qty_invoiced]],IF(T[[#This Row],[qty_invoiced]]&gt;0,"Partial Invoiced","Not Invoiced"),"Fully Invoiced")</f>
        <v>Partial Invoiced</v>
      </c>
      <c r="R338" t="str">
        <f>IFERROR(VLOOKUP(T[[#This Row],[warehouse]],Table2[],2,FALSE),"--")</f>
        <v>--</v>
      </c>
    </row>
    <row r="339" spans="1:18" x14ac:dyDescent="0.25">
      <c r="A339" t="s">
        <v>235</v>
      </c>
      <c r="B339" s="1">
        <v>43515</v>
      </c>
      <c r="C339" t="s">
        <v>402</v>
      </c>
      <c r="D339" t="s">
        <v>74</v>
      </c>
      <c r="E339" t="s">
        <v>51</v>
      </c>
      <c r="F339" t="s">
        <v>52</v>
      </c>
      <c r="G339" t="s">
        <v>75</v>
      </c>
      <c r="H339" t="s">
        <v>54</v>
      </c>
      <c r="I339">
        <v>5000</v>
      </c>
      <c r="J339">
        <v>0</v>
      </c>
      <c r="K339">
        <v>1</v>
      </c>
      <c r="L339" t="s">
        <v>25</v>
      </c>
      <c r="M339" t="s">
        <v>26</v>
      </c>
      <c r="N339">
        <v>2.85</v>
      </c>
      <c r="O339">
        <v>0</v>
      </c>
      <c r="P339" t="str">
        <f>IF(T[[#This Row],[qty_ordered]]&lt;&gt;T[[#This Row],[qty_received]],IF(T[[#This Row],[qty_received]]&gt;0,"Partial Received","Not Receviced"),"FullyReceived")</f>
        <v>Not Receviced</v>
      </c>
      <c r="Q339" t="str">
        <f>IF(T[[#This Row],[qty_received]]&lt;&gt;T[[#This Row],[qty_invoiced]],IF(T[[#This Row],[qty_invoiced]]&gt;0,"Partial Invoiced","Not Invoiced"),"Fully Invoiced")</f>
        <v>Partial Invoiced</v>
      </c>
      <c r="R339" t="str">
        <f>IFERROR(VLOOKUP(T[[#This Row],[warehouse]],Table2[],2,FALSE),"--")</f>
        <v>--</v>
      </c>
    </row>
    <row r="340" spans="1:18" x14ac:dyDescent="0.25">
      <c r="A340" t="s">
        <v>235</v>
      </c>
      <c r="B340" s="1">
        <v>43570</v>
      </c>
      <c r="C340" t="s">
        <v>444</v>
      </c>
      <c r="D340" t="s">
        <v>20</v>
      </c>
      <c r="E340" t="s">
        <v>51</v>
      </c>
      <c r="F340" t="s">
        <v>52</v>
      </c>
      <c r="G340" t="s">
        <v>75</v>
      </c>
      <c r="H340" t="s">
        <v>54</v>
      </c>
      <c r="I340">
        <v>8000</v>
      </c>
      <c r="J340">
        <v>0</v>
      </c>
      <c r="K340">
        <v>1</v>
      </c>
      <c r="L340" t="s">
        <v>25</v>
      </c>
      <c r="M340" t="s">
        <v>26</v>
      </c>
      <c r="N340">
        <v>2.85</v>
      </c>
      <c r="O340">
        <v>0</v>
      </c>
      <c r="P340" t="str">
        <f>IF(T[[#This Row],[qty_ordered]]&lt;&gt;T[[#This Row],[qty_received]],IF(T[[#This Row],[qty_received]]&gt;0,"Partial Received","Not Receviced"),"FullyReceived")</f>
        <v>Not Receviced</v>
      </c>
      <c r="Q340" t="str">
        <f>IF(T[[#This Row],[qty_received]]&lt;&gt;T[[#This Row],[qty_invoiced]],IF(T[[#This Row],[qty_invoiced]]&gt;0,"Partial Invoiced","Not Invoiced"),"Fully Invoiced")</f>
        <v>Partial Invoiced</v>
      </c>
      <c r="R340" t="str">
        <f>IFERROR(VLOOKUP(T[[#This Row],[warehouse]],Table2[],2,FALSE),"--")</f>
        <v>--</v>
      </c>
    </row>
    <row r="341" spans="1:18" x14ac:dyDescent="0.25">
      <c r="A341" t="s">
        <v>235</v>
      </c>
      <c r="B341" s="1">
        <v>43571</v>
      </c>
      <c r="C341" t="s">
        <v>445</v>
      </c>
      <c r="D341" t="s">
        <v>20</v>
      </c>
      <c r="E341" t="s">
        <v>51</v>
      </c>
      <c r="F341" t="s">
        <v>52</v>
      </c>
      <c r="G341" t="s">
        <v>75</v>
      </c>
      <c r="H341" t="s">
        <v>54</v>
      </c>
      <c r="I341">
        <v>5000</v>
      </c>
      <c r="J341">
        <v>0</v>
      </c>
      <c r="K341">
        <v>1</v>
      </c>
      <c r="L341" t="s">
        <v>25</v>
      </c>
      <c r="M341" t="s">
        <v>26</v>
      </c>
      <c r="N341">
        <v>2.85</v>
      </c>
      <c r="O341">
        <v>0</v>
      </c>
      <c r="P341" t="str">
        <f>IF(T[[#This Row],[qty_ordered]]&lt;&gt;T[[#This Row],[qty_received]],IF(T[[#This Row],[qty_received]]&gt;0,"Partial Received","Not Receviced"),"FullyReceived")</f>
        <v>Not Receviced</v>
      </c>
      <c r="Q341" t="str">
        <f>IF(T[[#This Row],[qty_received]]&lt;&gt;T[[#This Row],[qty_invoiced]],IF(T[[#This Row],[qty_invoiced]]&gt;0,"Partial Invoiced","Not Invoiced"),"Fully Invoiced")</f>
        <v>Partial Invoiced</v>
      </c>
      <c r="R341" t="str">
        <f>IFERROR(VLOOKUP(T[[#This Row],[warehouse]],Table2[],2,FALSE),"--")</f>
        <v>--</v>
      </c>
    </row>
    <row r="342" spans="1:18" x14ac:dyDescent="0.25">
      <c r="A342" t="s">
        <v>423</v>
      </c>
      <c r="B342" s="1">
        <v>43571</v>
      </c>
      <c r="C342" t="s">
        <v>446</v>
      </c>
      <c r="D342" t="s">
        <v>20</v>
      </c>
      <c r="E342" t="s">
        <v>51</v>
      </c>
      <c r="F342" t="s">
        <v>52</v>
      </c>
      <c r="G342" t="s">
        <v>75</v>
      </c>
      <c r="H342" t="s">
        <v>54</v>
      </c>
      <c r="I342">
        <v>5000</v>
      </c>
      <c r="J342">
        <v>0</v>
      </c>
      <c r="K342">
        <v>1</v>
      </c>
      <c r="L342" t="s">
        <v>25</v>
      </c>
      <c r="M342" t="s">
        <v>26</v>
      </c>
      <c r="N342">
        <v>2.6</v>
      </c>
      <c r="O342">
        <v>0</v>
      </c>
      <c r="P342" t="str">
        <f>IF(T[[#This Row],[qty_ordered]]&lt;&gt;T[[#This Row],[qty_received]],IF(T[[#This Row],[qty_received]]&gt;0,"Partial Received","Not Receviced"),"FullyReceived")</f>
        <v>Not Receviced</v>
      </c>
      <c r="Q342" t="str">
        <f>IF(T[[#This Row],[qty_received]]&lt;&gt;T[[#This Row],[qty_invoiced]],IF(T[[#This Row],[qty_invoiced]]&gt;0,"Partial Invoiced","Not Invoiced"),"Fully Invoiced")</f>
        <v>Partial Invoiced</v>
      </c>
      <c r="R342" t="str">
        <f>IFERROR(VLOOKUP(T[[#This Row],[warehouse]],Table2[],2,FALSE),"--")</f>
        <v>--</v>
      </c>
    </row>
    <row r="343" spans="1:18" x14ac:dyDescent="0.25">
      <c r="A343" t="s">
        <v>423</v>
      </c>
      <c r="B343" s="1">
        <v>43571</v>
      </c>
      <c r="C343" t="s">
        <v>446</v>
      </c>
      <c r="D343" t="s">
        <v>71</v>
      </c>
      <c r="E343" t="s">
        <v>51</v>
      </c>
      <c r="F343" t="s">
        <v>52</v>
      </c>
      <c r="G343" t="s">
        <v>75</v>
      </c>
      <c r="H343" t="s">
        <v>54</v>
      </c>
      <c r="I343">
        <v>5000</v>
      </c>
      <c r="J343">
        <v>0</v>
      </c>
      <c r="K343">
        <v>1</v>
      </c>
      <c r="L343" t="s">
        <v>25</v>
      </c>
      <c r="M343" t="s">
        <v>26</v>
      </c>
      <c r="N343">
        <v>2.6</v>
      </c>
      <c r="O343">
        <v>0</v>
      </c>
      <c r="P343" t="str">
        <f>IF(T[[#This Row],[qty_ordered]]&lt;&gt;T[[#This Row],[qty_received]],IF(T[[#This Row],[qty_received]]&gt;0,"Partial Received","Not Receviced"),"FullyReceived")</f>
        <v>Not Receviced</v>
      </c>
      <c r="Q343" t="str">
        <f>IF(T[[#This Row],[qty_received]]&lt;&gt;T[[#This Row],[qty_invoiced]],IF(T[[#This Row],[qty_invoiced]]&gt;0,"Partial Invoiced","Not Invoiced"),"Fully Invoiced")</f>
        <v>Partial Invoiced</v>
      </c>
      <c r="R343" t="str">
        <f>IFERROR(VLOOKUP(T[[#This Row],[warehouse]],Table2[],2,FALSE),"--")</f>
        <v>--</v>
      </c>
    </row>
    <row r="344" spans="1:18" x14ac:dyDescent="0.25">
      <c r="A344" t="s">
        <v>144</v>
      </c>
      <c r="B344" s="1">
        <v>43558</v>
      </c>
      <c r="C344" t="s">
        <v>426</v>
      </c>
      <c r="D344" t="s">
        <v>71</v>
      </c>
      <c r="E344" t="s">
        <v>203</v>
      </c>
      <c r="F344" t="s">
        <v>151</v>
      </c>
      <c r="G344" t="s">
        <v>152</v>
      </c>
      <c r="H344" t="s">
        <v>149</v>
      </c>
      <c r="I344">
        <v>18000</v>
      </c>
      <c r="J344">
        <v>0</v>
      </c>
      <c r="K344">
        <v>0</v>
      </c>
      <c r="L344" t="s">
        <v>25</v>
      </c>
      <c r="M344" t="s">
        <v>150</v>
      </c>
      <c r="N344">
        <v>7.3049999999999997</v>
      </c>
      <c r="O344">
        <v>0</v>
      </c>
      <c r="P344" t="str">
        <f>IF(T[[#This Row],[qty_ordered]]&lt;&gt;T[[#This Row],[qty_received]],IF(T[[#This Row],[qty_received]]&gt;0,"Partial Received","Not Receviced"),"FullyReceived")</f>
        <v>Not Receviced</v>
      </c>
      <c r="Q344" t="str">
        <f>IF(T[[#This Row],[qty_received]]&lt;&gt;T[[#This Row],[qty_invoiced]],IF(T[[#This Row],[qty_invoiced]]&gt;0,"Partial Invoiced","Not Invoiced"),"Fully Invoiced")</f>
        <v>Fully Invoiced</v>
      </c>
      <c r="R344" t="str">
        <f>IFERROR(VLOOKUP(T[[#This Row],[warehouse]],Table2[],2,FALSE),"--")</f>
        <v>PZU Packaging Warehouse</v>
      </c>
    </row>
    <row r="345" spans="1:18" x14ac:dyDescent="0.25">
      <c r="A345" t="s">
        <v>228</v>
      </c>
      <c r="B345" s="1">
        <v>43558</v>
      </c>
      <c r="C345" t="s">
        <v>447</v>
      </c>
      <c r="D345" t="s">
        <v>20</v>
      </c>
      <c r="E345" t="s">
        <v>239</v>
      </c>
      <c r="F345" t="s">
        <v>196</v>
      </c>
      <c r="G345" t="s">
        <v>197</v>
      </c>
      <c r="H345" t="s">
        <v>24</v>
      </c>
      <c r="I345">
        <v>10000</v>
      </c>
      <c r="J345">
        <v>0</v>
      </c>
      <c r="K345">
        <v>0</v>
      </c>
      <c r="L345" t="s">
        <v>25</v>
      </c>
      <c r="M345" t="s">
        <v>132</v>
      </c>
      <c r="N345">
        <v>15500</v>
      </c>
      <c r="O345">
        <v>0</v>
      </c>
      <c r="P345" t="str">
        <f>IF(T[[#This Row],[qty_ordered]]&lt;&gt;T[[#This Row],[qty_received]],IF(T[[#This Row],[qty_received]]&gt;0,"Partial Received","Not Receviced"),"FullyReceived")</f>
        <v>Not Receviced</v>
      </c>
      <c r="Q345" t="str">
        <f>IF(T[[#This Row],[qty_received]]&lt;&gt;T[[#This Row],[qty_invoiced]],IF(T[[#This Row],[qty_invoiced]]&gt;0,"Partial Invoiced","Not Invoiced"),"Fully Invoiced")</f>
        <v>Fully Invoiced</v>
      </c>
      <c r="R345" t="str">
        <f>IFERROR(VLOOKUP(T[[#This Row],[warehouse]],Table2[],2,FALSE),"--")</f>
        <v xml:space="preserve">Gadarif Main Store </v>
      </c>
    </row>
    <row r="346" spans="1:18" x14ac:dyDescent="0.25">
      <c r="A346" t="s">
        <v>260</v>
      </c>
      <c r="B346" s="1">
        <v>43523</v>
      </c>
      <c r="C346" t="s">
        <v>296</v>
      </c>
      <c r="D346" t="s">
        <v>74</v>
      </c>
      <c r="E346" t="s">
        <v>51</v>
      </c>
      <c r="F346" t="s">
        <v>278</v>
      </c>
      <c r="G346" t="s">
        <v>279</v>
      </c>
      <c r="H346" t="s">
        <v>54</v>
      </c>
      <c r="I346">
        <v>5000</v>
      </c>
      <c r="J346">
        <v>0</v>
      </c>
      <c r="K346">
        <v>1</v>
      </c>
      <c r="L346" t="s">
        <v>25</v>
      </c>
      <c r="M346" t="s">
        <v>26</v>
      </c>
      <c r="N346">
        <v>116.5</v>
      </c>
      <c r="O346">
        <v>0</v>
      </c>
      <c r="P346" t="str">
        <f>IF(T[[#This Row],[qty_ordered]]&lt;&gt;T[[#This Row],[qty_received]],IF(T[[#This Row],[qty_received]]&gt;0,"Partial Received","Not Receviced"),"FullyReceived")</f>
        <v>Not Receviced</v>
      </c>
      <c r="Q346" t="str">
        <f>IF(T[[#This Row],[qty_received]]&lt;&gt;T[[#This Row],[qty_invoiced]],IF(T[[#This Row],[qty_invoiced]]&gt;0,"Partial Invoiced","Not Invoiced"),"Fully Invoiced")</f>
        <v>Partial Invoiced</v>
      </c>
      <c r="R346" t="str">
        <f>IFERROR(VLOOKUP(T[[#This Row],[warehouse]],Table2[],2,FALSE),"--")</f>
        <v>--</v>
      </c>
    </row>
    <row r="347" spans="1:18" x14ac:dyDescent="0.25">
      <c r="A347" t="s">
        <v>423</v>
      </c>
      <c r="B347" s="1">
        <v>43571</v>
      </c>
      <c r="C347" t="s">
        <v>446</v>
      </c>
      <c r="D347" t="s">
        <v>100</v>
      </c>
      <c r="E347" t="s">
        <v>51</v>
      </c>
      <c r="F347" t="s">
        <v>52</v>
      </c>
      <c r="G347" t="s">
        <v>75</v>
      </c>
      <c r="H347" t="s">
        <v>54</v>
      </c>
      <c r="I347">
        <v>5000</v>
      </c>
      <c r="J347">
        <v>0</v>
      </c>
      <c r="K347">
        <v>1</v>
      </c>
      <c r="L347" t="s">
        <v>25</v>
      </c>
      <c r="M347" t="s">
        <v>26</v>
      </c>
      <c r="N347">
        <v>2.6</v>
      </c>
      <c r="O347">
        <v>0</v>
      </c>
      <c r="P347" t="str">
        <f>IF(T[[#This Row],[qty_ordered]]&lt;&gt;T[[#This Row],[qty_received]],IF(T[[#This Row],[qty_received]]&gt;0,"Partial Received","Not Receviced"),"FullyReceived")</f>
        <v>Not Receviced</v>
      </c>
      <c r="Q347" t="str">
        <f>IF(T[[#This Row],[qty_received]]&lt;&gt;T[[#This Row],[qty_invoiced]],IF(T[[#This Row],[qty_invoiced]]&gt;0,"Partial Invoiced","Not Invoiced"),"Fully Invoiced")</f>
        <v>Partial Invoiced</v>
      </c>
      <c r="R347" t="str">
        <f>IFERROR(VLOOKUP(T[[#This Row],[warehouse]],Table2[],2,FALSE),"--")</f>
        <v>--</v>
      </c>
    </row>
    <row r="348" spans="1:18" x14ac:dyDescent="0.25">
      <c r="A348" t="s">
        <v>423</v>
      </c>
      <c r="B348" s="1">
        <v>43571</v>
      </c>
      <c r="C348" t="s">
        <v>448</v>
      </c>
      <c r="D348" t="s">
        <v>20</v>
      </c>
      <c r="E348" t="s">
        <v>51</v>
      </c>
      <c r="F348" t="s">
        <v>52</v>
      </c>
      <c r="G348" t="s">
        <v>75</v>
      </c>
      <c r="H348" t="s">
        <v>54</v>
      </c>
      <c r="I348">
        <v>10000</v>
      </c>
      <c r="J348">
        <v>0</v>
      </c>
      <c r="K348">
        <v>1</v>
      </c>
      <c r="L348" t="s">
        <v>25</v>
      </c>
      <c r="M348" t="s">
        <v>26</v>
      </c>
      <c r="N348">
        <v>2.6</v>
      </c>
      <c r="O348">
        <v>0</v>
      </c>
      <c r="P348" t="str">
        <f>IF(T[[#This Row],[qty_ordered]]&lt;&gt;T[[#This Row],[qty_received]],IF(T[[#This Row],[qty_received]]&gt;0,"Partial Received","Not Receviced"),"FullyReceived")</f>
        <v>Not Receviced</v>
      </c>
      <c r="Q348" t="str">
        <f>IF(T[[#This Row],[qty_received]]&lt;&gt;T[[#This Row],[qty_invoiced]],IF(T[[#This Row],[qty_invoiced]]&gt;0,"Partial Invoiced","Not Invoiced"),"Fully Invoiced")</f>
        <v>Partial Invoiced</v>
      </c>
      <c r="R348" t="str">
        <f>IFERROR(VLOOKUP(T[[#This Row],[warehouse]],Table2[],2,FALSE),"--")</f>
        <v>--</v>
      </c>
    </row>
    <row r="349" spans="1:18" x14ac:dyDescent="0.25">
      <c r="A349" t="s">
        <v>423</v>
      </c>
      <c r="B349" s="1">
        <v>43571</v>
      </c>
      <c r="C349" t="s">
        <v>448</v>
      </c>
      <c r="D349" t="s">
        <v>71</v>
      </c>
      <c r="E349" t="s">
        <v>51</v>
      </c>
      <c r="F349" t="s">
        <v>52</v>
      </c>
      <c r="G349" t="s">
        <v>75</v>
      </c>
      <c r="H349" t="s">
        <v>54</v>
      </c>
      <c r="I349">
        <v>10000</v>
      </c>
      <c r="J349">
        <v>0</v>
      </c>
      <c r="K349">
        <v>1</v>
      </c>
      <c r="L349" t="s">
        <v>25</v>
      </c>
      <c r="M349" t="s">
        <v>26</v>
      </c>
      <c r="N349">
        <v>2.6</v>
      </c>
      <c r="O349">
        <v>0</v>
      </c>
      <c r="P349" t="str">
        <f>IF(T[[#This Row],[qty_ordered]]&lt;&gt;T[[#This Row],[qty_received]],IF(T[[#This Row],[qty_received]]&gt;0,"Partial Received","Not Receviced"),"FullyReceived")</f>
        <v>Not Receviced</v>
      </c>
      <c r="Q349" t="str">
        <f>IF(T[[#This Row],[qty_received]]&lt;&gt;T[[#This Row],[qty_invoiced]],IF(T[[#This Row],[qty_invoiced]]&gt;0,"Partial Invoiced","Not Invoiced"),"Fully Invoiced")</f>
        <v>Partial Invoiced</v>
      </c>
      <c r="R349" t="str">
        <f>IFERROR(VLOOKUP(T[[#This Row],[warehouse]],Table2[],2,FALSE),"--")</f>
        <v>--</v>
      </c>
    </row>
    <row r="350" spans="1:18" x14ac:dyDescent="0.25">
      <c r="A350" t="s">
        <v>160</v>
      </c>
      <c r="B350" s="1">
        <v>43452</v>
      </c>
      <c r="C350" t="s">
        <v>161</v>
      </c>
      <c r="D350" t="s">
        <v>100</v>
      </c>
      <c r="E350" t="s">
        <v>192</v>
      </c>
      <c r="F350" t="s">
        <v>47</v>
      </c>
      <c r="G350" t="s">
        <v>48</v>
      </c>
      <c r="H350" t="s">
        <v>24</v>
      </c>
      <c r="I350">
        <v>200</v>
      </c>
      <c r="J350">
        <v>187.46</v>
      </c>
      <c r="K350">
        <v>187.46</v>
      </c>
      <c r="L350" t="s">
        <v>25</v>
      </c>
      <c r="M350" t="s">
        <v>26</v>
      </c>
      <c r="N350">
        <v>86556</v>
      </c>
      <c r="O350">
        <v>16225787.76</v>
      </c>
      <c r="P350" t="str">
        <f>IF(T[[#This Row],[qty_ordered]]&lt;&gt;T[[#This Row],[qty_received]],IF(T[[#This Row],[qty_received]]&gt;0,"Partial Received","Not Receviced"),"FullyReceived")</f>
        <v>Partial Received</v>
      </c>
      <c r="Q350" t="str">
        <f>IF(T[[#This Row],[qty_received]]&lt;&gt;T[[#This Row],[qty_invoiced]],IF(T[[#This Row],[qty_invoiced]]&gt;0,"Partial Invoiced","Not Invoiced"),"Fully Invoiced")</f>
        <v>Fully Invoiced</v>
      </c>
      <c r="R350" t="str">
        <f>IFERROR(VLOOKUP(T[[#This Row],[warehouse]],Table2[],2,FALSE),"--")</f>
        <v>BAYADER SIFTER-OMD</v>
      </c>
    </row>
    <row r="351" spans="1:18" x14ac:dyDescent="0.25">
      <c r="A351" t="s">
        <v>235</v>
      </c>
      <c r="B351" s="1">
        <v>43571</v>
      </c>
      <c r="C351" t="s">
        <v>449</v>
      </c>
      <c r="D351" t="s">
        <v>20</v>
      </c>
      <c r="E351" t="s">
        <v>51</v>
      </c>
      <c r="F351" t="s">
        <v>52</v>
      </c>
      <c r="G351" t="s">
        <v>75</v>
      </c>
      <c r="H351" t="s">
        <v>54</v>
      </c>
      <c r="I351">
        <v>4000</v>
      </c>
      <c r="J351">
        <v>0</v>
      </c>
      <c r="K351">
        <v>1</v>
      </c>
      <c r="L351" t="s">
        <v>25</v>
      </c>
      <c r="M351" t="s">
        <v>26</v>
      </c>
      <c r="N351">
        <v>2.85</v>
      </c>
      <c r="O351">
        <v>0</v>
      </c>
      <c r="P351" t="str">
        <f>IF(T[[#This Row],[qty_ordered]]&lt;&gt;T[[#This Row],[qty_received]],IF(T[[#This Row],[qty_received]]&gt;0,"Partial Received","Not Receviced"),"FullyReceived")</f>
        <v>Not Receviced</v>
      </c>
      <c r="Q351" t="str">
        <f>IF(T[[#This Row],[qty_received]]&lt;&gt;T[[#This Row],[qty_invoiced]],IF(T[[#This Row],[qty_invoiced]]&gt;0,"Partial Invoiced","Not Invoiced"),"Fully Invoiced")</f>
        <v>Partial Invoiced</v>
      </c>
      <c r="R351" t="str">
        <f>IFERROR(VLOOKUP(T[[#This Row],[warehouse]],Table2[],2,FALSE),"--")</f>
        <v>--</v>
      </c>
    </row>
    <row r="352" spans="1:18" x14ac:dyDescent="0.25">
      <c r="A352" t="s">
        <v>144</v>
      </c>
      <c r="B352" s="1">
        <v>43558</v>
      </c>
      <c r="C352" t="s">
        <v>425</v>
      </c>
      <c r="D352" t="s">
        <v>100</v>
      </c>
      <c r="E352" t="s">
        <v>146</v>
      </c>
      <c r="F352" t="s">
        <v>312</v>
      </c>
      <c r="G352" t="s">
        <v>313</v>
      </c>
      <c r="H352" t="s">
        <v>149</v>
      </c>
      <c r="I352">
        <v>12000</v>
      </c>
      <c r="J352">
        <v>0</v>
      </c>
      <c r="K352">
        <v>0</v>
      </c>
      <c r="L352" t="s">
        <v>25</v>
      </c>
      <c r="M352" t="s">
        <v>150</v>
      </c>
      <c r="N352">
        <v>7.5</v>
      </c>
      <c r="O352">
        <v>0</v>
      </c>
      <c r="P352" t="str">
        <f>IF(T[[#This Row],[qty_ordered]]&lt;&gt;T[[#This Row],[qty_received]],IF(T[[#This Row],[qty_received]]&gt;0,"Partial Received","Not Receviced"),"FullyReceived")</f>
        <v>Not Receviced</v>
      </c>
      <c r="Q352" t="str">
        <f>IF(T[[#This Row],[qty_received]]&lt;&gt;T[[#This Row],[qty_invoiced]],IF(T[[#This Row],[qty_invoiced]]&gt;0,"Partial Invoiced","Not Invoiced"),"Fully Invoiced")</f>
        <v>Fully Invoiced</v>
      </c>
      <c r="R352" t="str">
        <f>IFERROR(VLOOKUP(T[[#This Row],[warehouse]],Table2[],2,FALSE),"--")</f>
        <v>Khtoum Main Warehouse</v>
      </c>
    </row>
    <row r="353" spans="1:18" x14ac:dyDescent="0.25">
      <c r="A353" t="s">
        <v>160</v>
      </c>
      <c r="B353" s="1">
        <v>43580</v>
      </c>
      <c r="C353" t="s">
        <v>450</v>
      </c>
      <c r="D353" t="s">
        <v>20</v>
      </c>
      <c r="E353" t="s">
        <v>166</v>
      </c>
      <c r="F353" t="s">
        <v>22</v>
      </c>
      <c r="G353" t="s">
        <v>23</v>
      </c>
      <c r="H353" t="s">
        <v>24</v>
      </c>
      <c r="I353">
        <v>1493.92</v>
      </c>
      <c r="J353">
        <v>1493.92</v>
      </c>
      <c r="K353">
        <v>1493.92</v>
      </c>
      <c r="L353" t="s">
        <v>25</v>
      </c>
      <c r="M353" t="s">
        <v>26</v>
      </c>
      <c r="N353">
        <v>36000</v>
      </c>
      <c r="O353">
        <v>53781120</v>
      </c>
      <c r="P353" t="str">
        <f>IF(T[[#This Row],[qty_ordered]]&lt;&gt;T[[#This Row],[qty_received]],IF(T[[#This Row],[qty_received]]&gt;0,"Partial Received","Not Receviced"),"FullyReceived")</f>
        <v>FullyReceived</v>
      </c>
      <c r="Q353" t="str">
        <f>IF(T[[#This Row],[qty_received]]&lt;&gt;T[[#This Row],[qty_invoiced]],IF(T[[#This Row],[qty_invoiced]]&gt;0,"Partial Invoiced","Not Invoiced"),"Fully Invoiced")</f>
        <v>Fully Invoiced</v>
      </c>
      <c r="R353" t="str">
        <f>IFERROR(VLOOKUP(T[[#This Row],[warehouse]],Table2[],2,FALSE),"--")</f>
        <v>Crusher Al-Teital -K</v>
      </c>
    </row>
    <row r="354" spans="1:18" x14ac:dyDescent="0.25">
      <c r="A354" t="s">
        <v>423</v>
      </c>
      <c r="B354" s="1">
        <v>43571</v>
      </c>
      <c r="C354" t="s">
        <v>446</v>
      </c>
      <c r="D354" t="s">
        <v>88</v>
      </c>
      <c r="E354" t="s">
        <v>51</v>
      </c>
      <c r="F354" t="s">
        <v>52</v>
      </c>
      <c r="G354" t="s">
        <v>75</v>
      </c>
      <c r="H354" t="s">
        <v>54</v>
      </c>
      <c r="I354">
        <v>5000</v>
      </c>
      <c r="J354">
        <v>0</v>
      </c>
      <c r="K354">
        <v>1</v>
      </c>
      <c r="L354" t="s">
        <v>25</v>
      </c>
      <c r="M354" t="s">
        <v>26</v>
      </c>
      <c r="N354">
        <v>2.6</v>
      </c>
      <c r="O354">
        <v>0</v>
      </c>
      <c r="P354" t="str">
        <f>IF(T[[#This Row],[qty_ordered]]&lt;&gt;T[[#This Row],[qty_received]],IF(T[[#This Row],[qty_received]]&gt;0,"Partial Received","Not Receviced"),"FullyReceived")</f>
        <v>Not Receviced</v>
      </c>
      <c r="Q354" t="str">
        <f>IF(T[[#This Row],[qty_received]]&lt;&gt;T[[#This Row],[qty_invoiced]],IF(T[[#This Row],[qty_invoiced]]&gt;0,"Partial Invoiced","Not Invoiced"),"Fully Invoiced")</f>
        <v>Partial Invoiced</v>
      </c>
      <c r="R354" t="str">
        <f>IFERROR(VLOOKUP(T[[#This Row],[warehouse]],Table2[],2,FALSE),"--")</f>
        <v>--</v>
      </c>
    </row>
    <row r="355" spans="1:18" x14ac:dyDescent="0.25">
      <c r="A355" t="s">
        <v>18</v>
      </c>
      <c r="B355" s="1">
        <v>43291</v>
      </c>
      <c r="C355" t="s">
        <v>65</v>
      </c>
      <c r="D355" t="s">
        <v>100</v>
      </c>
      <c r="E355" t="s">
        <v>66</v>
      </c>
      <c r="F355" t="s">
        <v>67</v>
      </c>
      <c r="G355" t="s">
        <v>68</v>
      </c>
      <c r="H355" t="s">
        <v>24</v>
      </c>
      <c r="I355">
        <v>459.22</v>
      </c>
      <c r="J355">
        <v>459.22</v>
      </c>
      <c r="K355">
        <v>459.22</v>
      </c>
      <c r="L355" t="s">
        <v>25</v>
      </c>
      <c r="M355" t="s">
        <v>26</v>
      </c>
      <c r="N355">
        <v>60000</v>
      </c>
      <c r="O355">
        <v>27553200</v>
      </c>
      <c r="P355" t="str">
        <f>IF(T[[#This Row],[qty_ordered]]&lt;&gt;T[[#This Row],[qty_received]],IF(T[[#This Row],[qty_received]]&gt;0,"Partial Received","Not Receviced"),"FullyReceived")</f>
        <v>FullyReceived</v>
      </c>
      <c r="Q355" t="str">
        <f>IF(T[[#This Row],[qty_received]]&lt;&gt;T[[#This Row],[qty_invoiced]],IF(T[[#This Row],[qty_invoiced]]&gt;0,"Partial Invoiced","Not Invoiced"),"Fully Invoiced")</f>
        <v>Fully Invoiced</v>
      </c>
      <c r="R355" t="str">
        <f>IFERROR(VLOOKUP(T[[#This Row],[warehouse]],Table2[],2,FALSE),"--")</f>
        <v>PZU Main Warehouse</v>
      </c>
    </row>
    <row r="356" spans="1:18" x14ac:dyDescent="0.25">
      <c r="A356" t="s">
        <v>357</v>
      </c>
      <c r="B356" s="1">
        <v>43471</v>
      </c>
      <c r="C356" t="s">
        <v>358</v>
      </c>
      <c r="D356" t="s">
        <v>322</v>
      </c>
      <c r="E356" t="s">
        <v>51</v>
      </c>
      <c r="F356" t="s">
        <v>52</v>
      </c>
      <c r="G356" t="s">
        <v>75</v>
      </c>
      <c r="H356" t="s">
        <v>54</v>
      </c>
      <c r="I356">
        <v>546.44000000000005</v>
      </c>
      <c r="J356">
        <v>0</v>
      </c>
      <c r="K356">
        <v>1</v>
      </c>
      <c r="L356" t="s">
        <v>25</v>
      </c>
      <c r="M356" t="s">
        <v>359</v>
      </c>
      <c r="N356">
        <v>137.38999999999999</v>
      </c>
      <c r="O356">
        <v>0</v>
      </c>
      <c r="P356" t="str">
        <f>IF(T[[#This Row],[qty_ordered]]&lt;&gt;T[[#This Row],[qty_received]],IF(T[[#This Row],[qty_received]]&gt;0,"Partial Received","Not Receviced"),"FullyReceived")</f>
        <v>Not Receviced</v>
      </c>
      <c r="Q356" t="str">
        <f>IF(T[[#This Row],[qty_received]]&lt;&gt;T[[#This Row],[qty_invoiced]],IF(T[[#This Row],[qty_invoiced]]&gt;0,"Partial Invoiced","Not Invoiced"),"Fully Invoiced")</f>
        <v>Partial Invoiced</v>
      </c>
      <c r="R356" t="str">
        <f>IFERROR(VLOOKUP(T[[#This Row],[warehouse]],Table2[],2,FALSE),"--")</f>
        <v>--</v>
      </c>
    </row>
    <row r="357" spans="1:18" x14ac:dyDescent="0.25">
      <c r="A357" t="s">
        <v>357</v>
      </c>
      <c r="B357" s="1">
        <v>43471</v>
      </c>
      <c r="C357" t="s">
        <v>358</v>
      </c>
      <c r="D357" t="s">
        <v>323</v>
      </c>
      <c r="E357" t="s">
        <v>51</v>
      </c>
      <c r="F357" t="s">
        <v>267</v>
      </c>
      <c r="G357" t="s">
        <v>267</v>
      </c>
      <c r="H357" t="s">
        <v>54</v>
      </c>
      <c r="I357">
        <v>200</v>
      </c>
      <c r="J357">
        <v>0</v>
      </c>
      <c r="K357">
        <v>1</v>
      </c>
      <c r="L357" t="s">
        <v>25</v>
      </c>
      <c r="M357" t="s">
        <v>359</v>
      </c>
      <c r="N357">
        <v>20</v>
      </c>
      <c r="O357">
        <v>0</v>
      </c>
      <c r="P357" t="str">
        <f>IF(T[[#This Row],[qty_ordered]]&lt;&gt;T[[#This Row],[qty_received]],IF(T[[#This Row],[qty_received]]&gt;0,"Partial Received","Not Receviced"),"FullyReceived")</f>
        <v>Not Receviced</v>
      </c>
      <c r="Q357" t="str">
        <f>IF(T[[#This Row],[qty_received]]&lt;&gt;T[[#This Row],[qty_invoiced]],IF(T[[#This Row],[qty_invoiced]]&gt;0,"Partial Invoiced","Not Invoiced"),"Fully Invoiced")</f>
        <v>Partial Invoiced</v>
      </c>
      <c r="R357" t="str">
        <f>IFERROR(VLOOKUP(T[[#This Row],[warehouse]],Table2[],2,FALSE),"--")</f>
        <v>--</v>
      </c>
    </row>
    <row r="358" spans="1:18" x14ac:dyDescent="0.25">
      <c r="A358" t="s">
        <v>357</v>
      </c>
      <c r="B358" s="1">
        <v>43471</v>
      </c>
      <c r="C358" t="s">
        <v>358</v>
      </c>
      <c r="D358" t="s">
        <v>324</v>
      </c>
      <c r="E358" t="s">
        <v>51</v>
      </c>
      <c r="F358" t="s">
        <v>433</v>
      </c>
      <c r="G358" t="s">
        <v>433</v>
      </c>
      <c r="H358" t="s">
        <v>54</v>
      </c>
      <c r="I358">
        <v>300</v>
      </c>
      <c r="J358">
        <v>0</v>
      </c>
      <c r="K358">
        <v>1</v>
      </c>
      <c r="L358" t="s">
        <v>25</v>
      </c>
      <c r="M358" t="s">
        <v>359</v>
      </c>
      <c r="N358">
        <v>50</v>
      </c>
      <c r="O358">
        <v>0</v>
      </c>
      <c r="P358" t="str">
        <f>IF(T[[#This Row],[qty_ordered]]&lt;&gt;T[[#This Row],[qty_received]],IF(T[[#This Row],[qty_received]]&gt;0,"Partial Received","Not Receviced"),"FullyReceived")</f>
        <v>Not Receviced</v>
      </c>
      <c r="Q358" t="str">
        <f>IF(T[[#This Row],[qty_received]]&lt;&gt;T[[#This Row],[qty_invoiced]],IF(T[[#This Row],[qty_invoiced]]&gt;0,"Partial Invoiced","Not Invoiced"),"Fully Invoiced")</f>
        <v>Partial Invoiced</v>
      </c>
      <c r="R358" t="str">
        <f>IFERROR(VLOOKUP(T[[#This Row],[warehouse]],Table2[],2,FALSE),"--")</f>
        <v>--</v>
      </c>
    </row>
    <row r="359" spans="1:18" x14ac:dyDescent="0.25">
      <c r="A359" t="s">
        <v>357</v>
      </c>
      <c r="B359" s="1">
        <v>43471</v>
      </c>
      <c r="C359" t="s">
        <v>358</v>
      </c>
      <c r="D359" t="s">
        <v>325</v>
      </c>
      <c r="E359" t="s">
        <v>51</v>
      </c>
      <c r="F359" t="s">
        <v>52</v>
      </c>
      <c r="G359" t="s">
        <v>274</v>
      </c>
      <c r="H359" t="s">
        <v>54</v>
      </c>
      <c r="I359">
        <v>650</v>
      </c>
      <c r="J359">
        <v>0</v>
      </c>
      <c r="K359">
        <v>1</v>
      </c>
      <c r="L359" t="s">
        <v>25</v>
      </c>
      <c r="M359" t="s">
        <v>359</v>
      </c>
      <c r="N359">
        <v>108</v>
      </c>
      <c r="O359">
        <v>0</v>
      </c>
      <c r="P359" t="str">
        <f>IF(T[[#This Row],[qty_ordered]]&lt;&gt;T[[#This Row],[qty_received]],IF(T[[#This Row],[qty_received]]&gt;0,"Partial Received","Not Receviced"),"FullyReceived")</f>
        <v>Not Receviced</v>
      </c>
      <c r="Q359" t="str">
        <f>IF(T[[#This Row],[qty_received]]&lt;&gt;T[[#This Row],[qty_invoiced]],IF(T[[#This Row],[qty_invoiced]]&gt;0,"Partial Invoiced","Not Invoiced"),"Fully Invoiced")</f>
        <v>Partial Invoiced</v>
      </c>
      <c r="R359" t="str">
        <f>IFERROR(VLOOKUP(T[[#This Row],[warehouse]],Table2[],2,FALSE),"--")</f>
        <v>--</v>
      </c>
    </row>
    <row r="360" spans="1:18" x14ac:dyDescent="0.25">
      <c r="A360" t="s">
        <v>357</v>
      </c>
      <c r="B360" s="1">
        <v>43471</v>
      </c>
      <c r="C360" t="s">
        <v>358</v>
      </c>
      <c r="D360" t="s">
        <v>451</v>
      </c>
      <c r="E360" t="s">
        <v>51</v>
      </c>
      <c r="F360" t="s">
        <v>390</v>
      </c>
      <c r="G360" t="s">
        <v>390</v>
      </c>
      <c r="H360" t="s">
        <v>54</v>
      </c>
      <c r="I360">
        <v>408.75</v>
      </c>
      <c r="J360">
        <v>0</v>
      </c>
      <c r="K360">
        <v>1</v>
      </c>
      <c r="L360" t="s">
        <v>25</v>
      </c>
      <c r="M360" t="s">
        <v>359</v>
      </c>
      <c r="N360">
        <v>20</v>
      </c>
      <c r="O360">
        <v>0</v>
      </c>
      <c r="P360" t="str">
        <f>IF(T[[#This Row],[qty_ordered]]&lt;&gt;T[[#This Row],[qty_received]],IF(T[[#This Row],[qty_received]]&gt;0,"Partial Received","Not Receviced"),"FullyReceived")</f>
        <v>Not Receviced</v>
      </c>
      <c r="Q360" t="str">
        <f>IF(T[[#This Row],[qty_received]]&lt;&gt;T[[#This Row],[qty_invoiced]],IF(T[[#This Row],[qty_invoiced]]&gt;0,"Partial Invoiced","Not Invoiced"),"Fully Invoiced")</f>
        <v>Partial Invoiced</v>
      </c>
      <c r="R360" t="str">
        <f>IFERROR(VLOOKUP(T[[#This Row],[warehouse]],Table2[],2,FALSE),"--")</f>
        <v>--</v>
      </c>
    </row>
    <row r="361" spans="1:18" x14ac:dyDescent="0.25">
      <c r="A361" t="s">
        <v>357</v>
      </c>
      <c r="B361" s="1">
        <v>43471</v>
      </c>
      <c r="C361" t="s">
        <v>358</v>
      </c>
      <c r="D361" t="s">
        <v>452</v>
      </c>
      <c r="E361" t="s">
        <v>51</v>
      </c>
      <c r="F361" t="s">
        <v>52</v>
      </c>
      <c r="G361" t="s">
        <v>75</v>
      </c>
      <c r="H361" t="s">
        <v>54</v>
      </c>
      <c r="I361">
        <v>1285</v>
      </c>
      <c r="J361">
        <v>0</v>
      </c>
      <c r="K361">
        <v>1</v>
      </c>
      <c r="L361" t="s">
        <v>25</v>
      </c>
      <c r="M361" t="s">
        <v>359</v>
      </c>
      <c r="N361">
        <v>10</v>
      </c>
      <c r="O361">
        <v>0</v>
      </c>
      <c r="P361" t="str">
        <f>IF(T[[#This Row],[qty_ordered]]&lt;&gt;T[[#This Row],[qty_received]],IF(T[[#This Row],[qty_received]]&gt;0,"Partial Received","Not Receviced"),"FullyReceived")</f>
        <v>Not Receviced</v>
      </c>
      <c r="Q361" t="str">
        <f>IF(T[[#This Row],[qty_received]]&lt;&gt;T[[#This Row],[qty_invoiced]],IF(T[[#This Row],[qty_invoiced]]&gt;0,"Partial Invoiced","Not Invoiced"),"Fully Invoiced")</f>
        <v>Partial Invoiced</v>
      </c>
      <c r="R361" t="str">
        <f>IFERROR(VLOOKUP(T[[#This Row],[warehouse]],Table2[],2,FALSE),"--")</f>
        <v>--</v>
      </c>
    </row>
    <row r="362" spans="1:18" x14ac:dyDescent="0.25">
      <c r="A362" t="s">
        <v>160</v>
      </c>
      <c r="B362" s="1">
        <v>43571</v>
      </c>
      <c r="C362" t="s">
        <v>453</v>
      </c>
      <c r="D362" t="s">
        <v>20</v>
      </c>
      <c r="E362" t="s">
        <v>44</v>
      </c>
      <c r="F362" t="s">
        <v>47</v>
      </c>
      <c r="G362" t="s">
        <v>48</v>
      </c>
      <c r="H362" t="s">
        <v>24</v>
      </c>
      <c r="I362">
        <v>160</v>
      </c>
      <c r="J362">
        <v>158.43</v>
      </c>
      <c r="K362">
        <v>158.43</v>
      </c>
      <c r="L362" t="s">
        <v>25</v>
      </c>
      <c r="M362" t="s">
        <v>26</v>
      </c>
      <c r="N362">
        <v>83438</v>
      </c>
      <c r="O362">
        <v>13219082.34</v>
      </c>
      <c r="P362" t="str">
        <f>IF(T[[#This Row],[qty_ordered]]&lt;&gt;T[[#This Row],[qty_received]],IF(T[[#This Row],[qty_received]]&gt;0,"Partial Received","Not Receviced"),"FullyReceived")</f>
        <v>Partial Received</v>
      </c>
      <c r="Q362" t="str">
        <f>IF(T[[#This Row],[qty_received]]&lt;&gt;T[[#This Row],[qty_invoiced]],IF(T[[#This Row],[qty_invoiced]]&gt;0,"Partial Invoiced","Not Invoiced"),"Fully Invoiced")</f>
        <v>Fully Invoiced</v>
      </c>
      <c r="R362" t="str">
        <f>IFERROR(VLOOKUP(T[[#This Row],[warehouse]],Table2[],2,FALSE),"--")</f>
        <v>Sifter OMD - Yara (AlNawris)</v>
      </c>
    </row>
    <row r="363" spans="1:18" x14ac:dyDescent="0.25">
      <c r="A363" t="s">
        <v>160</v>
      </c>
      <c r="B363" s="1">
        <v>43571</v>
      </c>
      <c r="C363" t="s">
        <v>453</v>
      </c>
      <c r="D363" t="s">
        <v>71</v>
      </c>
      <c r="E363" t="s">
        <v>192</v>
      </c>
      <c r="F363" t="s">
        <v>47</v>
      </c>
      <c r="G363" t="s">
        <v>48</v>
      </c>
      <c r="H363" t="s">
        <v>24</v>
      </c>
      <c r="I363">
        <v>860</v>
      </c>
      <c r="J363">
        <v>840.87</v>
      </c>
      <c r="K363">
        <v>840.87</v>
      </c>
      <c r="L363" t="s">
        <v>25</v>
      </c>
      <c r="M363" t="s">
        <v>26</v>
      </c>
      <c r="N363">
        <v>83438</v>
      </c>
      <c r="O363">
        <v>70160511.060000002</v>
      </c>
      <c r="P363" t="str">
        <f>IF(T[[#This Row],[qty_ordered]]&lt;&gt;T[[#This Row],[qty_received]],IF(T[[#This Row],[qty_received]]&gt;0,"Partial Received","Not Receviced"),"FullyReceived")</f>
        <v>Partial Received</v>
      </c>
      <c r="Q363" t="str">
        <f>IF(T[[#This Row],[qty_received]]&lt;&gt;T[[#This Row],[qty_invoiced]],IF(T[[#This Row],[qty_invoiced]]&gt;0,"Partial Invoiced","Not Invoiced"),"Fully Invoiced")</f>
        <v>Fully Invoiced</v>
      </c>
      <c r="R363" t="str">
        <f>IFERROR(VLOOKUP(T[[#This Row],[warehouse]],Table2[],2,FALSE),"--")</f>
        <v>BAYADER SIFTER-OMD</v>
      </c>
    </row>
    <row r="364" spans="1:18" x14ac:dyDescent="0.25">
      <c r="A364" t="s">
        <v>235</v>
      </c>
      <c r="B364" s="1">
        <v>43571</v>
      </c>
      <c r="C364" t="s">
        <v>454</v>
      </c>
      <c r="D364" t="s">
        <v>20</v>
      </c>
      <c r="E364" t="s">
        <v>51</v>
      </c>
      <c r="F364" t="s">
        <v>52</v>
      </c>
      <c r="G364" t="s">
        <v>75</v>
      </c>
      <c r="H364" t="s">
        <v>54</v>
      </c>
      <c r="I364">
        <v>10000</v>
      </c>
      <c r="J364">
        <v>0</v>
      </c>
      <c r="K364">
        <v>1</v>
      </c>
      <c r="L364" t="s">
        <v>25</v>
      </c>
      <c r="M364" t="s">
        <v>26</v>
      </c>
      <c r="N364">
        <v>2.85</v>
      </c>
      <c r="O364">
        <v>0</v>
      </c>
      <c r="P364" t="str">
        <f>IF(T[[#This Row],[qty_ordered]]&lt;&gt;T[[#This Row],[qty_received]],IF(T[[#This Row],[qty_received]]&gt;0,"Partial Received","Not Receviced"),"FullyReceived")</f>
        <v>Not Receviced</v>
      </c>
      <c r="Q364" t="str">
        <f>IF(T[[#This Row],[qty_received]]&lt;&gt;T[[#This Row],[qty_invoiced]],IF(T[[#This Row],[qty_invoiced]]&gt;0,"Partial Invoiced","Not Invoiced"),"Fully Invoiced")</f>
        <v>Partial Invoiced</v>
      </c>
      <c r="R364" t="str">
        <f>IFERROR(VLOOKUP(T[[#This Row],[warehouse]],Table2[],2,FALSE),"--")</f>
        <v>--</v>
      </c>
    </row>
    <row r="365" spans="1:18" x14ac:dyDescent="0.25">
      <c r="A365" t="s">
        <v>303</v>
      </c>
      <c r="B365" s="1">
        <v>43265</v>
      </c>
      <c r="C365" t="s">
        <v>361</v>
      </c>
      <c r="D365" t="s">
        <v>71</v>
      </c>
      <c r="E365" t="s">
        <v>66</v>
      </c>
      <c r="F365" t="s">
        <v>305</v>
      </c>
      <c r="G365" t="s">
        <v>306</v>
      </c>
      <c r="H365" t="s">
        <v>24</v>
      </c>
      <c r="I365">
        <v>110.59</v>
      </c>
      <c r="J365">
        <v>110.59</v>
      </c>
      <c r="K365">
        <v>110.59</v>
      </c>
      <c r="L365" t="s">
        <v>25</v>
      </c>
      <c r="M365" t="s">
        <v>26</v>
      </c>
      <c r="N365">
        <v>10875</v>
      </c>
      <c r="O365">
        <v>1202666.25</v>
      </c>
      <c r="P365" t="str">
        <f>IF(T[[#This Row],[qty_ordered]]&lt;&gt;T[[#This Row],[qty_received]],IF(T[[#This Row],[qty_received]]&gt;0,"Partial Received","Not Receviced"),"FullyReceived")</f>
        <v>FullyReceived</v>
      </c>
      <c r="Q365" t="str">
        <f>IF(T[[#This Row],[qty_received]]&lt;&gt;T[[#This Row],[qty_invoiced]],IF(T[[#This Row],[qty_invoiced]]&gt;0,"Partial Invoiced","Not Invoiced"),"Fully Invoiced")</f>
        <v>Fully Invoiced</v>
      </c>
      <c r="R365" t="str">
        <f>IFERROR(VLOOKUP(T[[#This Row],[warehouse]],Table2[],2,FALSE),"--")</f>
        <v>PZU Main Warehouse</v>
      </c>
    </row>
    <row r="366" spans="1:18" x14ac:dyDescent="0.25">
      <c r="A366" t="s">
        <v>160</v>
      </c>
      <c r="B366" s="1">
        <v>43579</v>
      </c>
      <c r="C366" t="s">
        <v>455</v>
      </c>
      <c r="D366" t="s">
        <v>20</v>
      </c>
      <c r="E366" t="s">
        <v>214</v>
      </c>
      <c r="F366" t="s">
        <v>420</v>
      </c>
      <c r="G366" t="s">
        <v>421</v>
      </c>
      <c r="H366" t="s">
        <v>24</v>
      </c>
      <c r="I366">
        <v>140</v>
      </c>
      <c r="J366">
        <v>140</v>
      </c>
      <c r="K366">
        <v>140</v>
      </c>
      <c r="L366" t="s">
        <v>25</v>
      </c>
      <c r="M366" t="s">
        <v>26</v>
      </c>
      <c r="N366">
        <v>83000</v>
      </c>
      <c r="O366">
        <v>11620000</v>
      </c>
      <c r="P366" t="str">
        <f>IF(T[[#This Row],[qty_ordered]]&lt;&gt;T[[#This Row],[qty_received]],IF(T[[#This Row],[qty_received]]&gt;0,"Partial Received","Not Receviced"),"FullyReceived")</f>
        <v>FullyReceived</v>
      </c>
      <c r="Q366" t="str">
        <f>IF(T[[#This Row],[qty_received]]&lt;&gt;T[[#This Row],[qty_invoiced]],IF(T[[#This Row],[qty_invoiced]]&gt;0,"Partial Invoiced","Not Invoiced"),"Fully Invoiced")</f>
        <v>Fully Invoiced</v>
      </c>
      <c r="R366" t="str">
        <f>IFERROR(VLOOKUP(T[[#This Row],[warehouse]],Table2[],2,FALSE),"--")</f>
        <v>CRUSHER ELBALOLA</v>
      </c>
    </row>
    <row r="367" spans="1:18" x14ac:dyDescent="0.25">
      <c r="A367" t="s">
        <v>201</v>
      </c>
      <c r="B367" s="1">
        <v>43579</v>
      </c>
      <c r="C367" t="s">
        <v>456</v>
      </c>
      <c r="D367" t="s">
        <v>20</v>
      </c>
      <c r="E367" t="s">
        <v>203</v>
      </c>
      <c r="F367" t="s">
        <v>204</v>
      </c>
      <c r="G367" t="s">
        <v>205</v>
      </c>
      <c r="H367" t="s">
        <v>206</v>
      </c>
      <c r="I367">
        <v>945</v>
      </c>
      <c r="J367">
        <v>160</v>
      </c>
      <c r="K367">
        <v>160</v>
      </c>
      <c r="L367" t="s">
        <v>25</v>
      </c>
      <c r="M367" t="s">
        <v>26</v>
      </c>
      <c r="N367">
        <v>3912</v>
      </c>
      <c r="O367">
        <v>625920</v>
      </c>
      <c r="P367" t="str">
        <f>IF(T[[#This Row],[qty_ordered]]&lt;&gt;T[[#This Row],[qty_received]],IF(T[[#This Row],[qty_received]]&gt;0,"Partial Received","Not Receviced"),"FullyReceived")</f>
        <v>Partial Received</v>
      </c>
      <c r="Q367" t="str">
        <f>IF(T[[#This Row],[qty_received]]&lt;&gt;T[[#This Row],[qty_invoiced]],IF(T[[#This Row],[qty_invoiced]]&gt;0,"Partial Invoiced","Not Invoiced"),"Fully Invoiced")</f>
        <v>Fully Invoiced</v>
      </c>
      <c r="R367" t="str">
        <f>IFERROR(VLOOKUP(T[[#This Row],[warehouse]],Table2[],2,FALSE),"--")</f>
        <v>PZU Packaging Warehouse</v>
      </c>
    </row>
    <row r="368" spans="1:18" x14ac:dyDescent="0.25">
      <c r="A368" t="s">
        <v>153</v>
      </c>
      <c r="B368" s="1">
        <v>43584</v>
      </c>
      <c r="C368" t="s">
        <v>457</v>
      </c>
      <c r="D368" t="s">
        <v>20</v>
      </c>
      <c r="E368" t="s">
        <v>299</v>
      </c>
      <c r="F368" t="s">
        <v>300</v>
      </c>
      <c r="G368" t="s">
        <v>301</v>
      </c>
      <c r="H368" t="s">
        <v>24</v>
      </c>
      <c r="I368">
        <v>300</v>
      </c>
      <c r="J368">
        <v>0</v>
      </c>
      <c r="K368">
        <v>0</v>
      </c>
      <c r="L368" t="s">
        <v>25</v>
      </c>
      <c r="M368" t="s">
        <v>132</v>
      </c>
      <c r="N368">
        <v>40909</v>
      </c>
      <c r="O368">
        <v>0</v>
      </c>
      <c r="P368" t="str">
        <f>IF(T[[#This Row],[qty_ordered]]&lt;&gt;T[[#This Row],[qty_received]],IF(T[[#This Row],[qty_received]]&gt;0,"Partial Received","Not Receviced"),"FullyReceived")</f>
        <v>Not Receviced</v>
      </c>
      <c r="Q368" t="str">
        <f>IF(T[[#This Row],[qty_received]]&lt;&gt;T[[#This Row],[qty_invoiced]],IF(T[[#This Row],[qty_invoiced]]&gt;0,"Partial Invoiced","Not Invoiced"),"Fully Invoiced")</f>
        <v>Fully Invoiced</v>
      </c>
      <c r="R368" t="str">
        <f>IFERROR(VLOOKUP(T[[#This Row],[warehouse]],Table2[],2,FALSE),"--")</f>
        <v>Sifters KHA -Alsoug Almahaly</v>
      </c>
    </row>
    <row r="369" spans="1:18" x14ac:dyDescent="0.25">
      <c r="A369" t="s">
        <v>144</v>
      </c>
      <c r="B369" s="1">
        <v>43590</v>
      </c>
      <c r="C369" t="s">
        <v>458</v>
      </c>
      <c r="D369" t="s">
        <v>20</v>
      </c>
      <c r="E369" t="s">
        <v>146</v>
      </c>
      <c r="F369" t="s">
        <v>147</v>
      </c>
      <c r="G369" t="s">
        <v>148</v>
      </c>
      <c r="H369" t="s">
        <v>149</v>
      </c>
      <c r="I369">
        <v>54000</v>
      </c>
      <c r="J369">
        <v>0</v>
      </c>
      <c r="K369">
        <v>0</v>
      </c>
      <c r="L369" t="s">
        <v>25</v>
      </c>
      <c r="M369" t="s">
        <v>150</v>
      </c>
      <c r="N369">
        <v>5.7</v>
      </c>
      <c r="O369">
        <v>0</v>
      </c>
      <c r="P369" t="str">
        <f>IF(T[[#This Row],[qty_ordered]]&lt;&gt;T[[#This Row],[qty_received]],IF(T[[#This Row],[qty_received]]&gt;0,"Partial Received","Not Receviced"),"FullyReceived")</f>
        <v>Not Receviced</v>
      </c>
      <c r="Q369" t="str">
        <f>IF(T[[#This Row],[qty_received]]&lt;&gt;T[[#This Row],[qty_invoiced]],IF(T[[#This Row],[qty_invoiced]]&gt;0,"Partial Invoiced","Not Invoiced"),"Fully Invoiced")</f>
        <v>Fully Invoiced</v>
      </c>
      <c r="R369" t="str">
        <f>IFERROR(VLOOKUP(T[[#This Row],[warehouse]],Table2[],2,FALSE),"--")</f>
        <v>Khtoum Main Warehouse</v>
      </c>
    </row>
    <row r="370" spans="1:18" x14ac:dyDescent="0.25">
      <c r="A370" t="s">
        <v>144</v>
      </c>
      <c r="B370" s="1">
        <v>43590</v>
      </c>
      <c r="C370" t="s">
        <v>458</v>
      </c>
      <c r="D370" t="s">
        <v>71</v>
      </c>
      <c r="E370" t="s">
        <v>146</v>
      </c>
      <c r="F370" t="s">
        <v>151</v>
      </c>
      <c r="G370" t="s">
        <v>152</v>
      </c>
      <c r="H370" t="s">
        <v>149</v>
      </c>
      <c r="I370">
        <v>54000</v>
      </c>
      <c r="J370">
        <v>0</v>
      </c>
      <c r="K370">
        <v>0</v>
      </c>
      <c r="L370" t="s">
        <v>25</v>
      </c>
      <c r="M370" t="s">
        <v>150</v>
      </c>
      <c r="N370">
        <v>5.7</v>
      </c>
      <c r="O370">
        <v>0</v>
      </c>
      <c r="P370" t="str">
        <f>IF(T[[#This Row],[qty_ordered]]&lt;&gt;T[[#This Row],[qty_received]],IF(T[[#This Row],[qty_received]]&gt;0,"Partial Received","Not Receviced"),"FullyReceived")</f>
        <v>Not Receviced</v>
      </c>
      <c r="Q370" t="str">
        <f>IF(T[[#This Row],[qty_received]]&lt;&gt;T[[#This Row],[qty_invoiced]],IF(T[[#This Row],[qty_invoiced]]&gt;0,"Partial Invoiced","Not Invoiced"),"Fully Invoiced")</f>
        <v>Fully Invoiced</v>
      </c>
      <c r="R370" t="str">
        <f>IFERROR(VLOOKUP(T[[#This Row],[warehouse]],Table2[],2,FALSE),"--")</f>
        <v>Khtoum Main Warehouse</v>
      </c>
    </row>
    <row r="371" spans="1:18" x14ac:dyDescent="0.25">
      <c r="A371" t="s">
        <v>81</v>
      </c>
      <c r="B371" s="1">
        <v>43591</v>
      </c>
      <c r="C371" t="s">
        <v>459</v>
      </c>
      <c r="D371" t="s">
        <v>20</v>
      </c>
      <c r="E371" t="s">
        <v>51</v>
      </c>
      <c r="F371" t="s">
        <v>183</v>
      </c>
      <c r="G371" t="s">
        <v>183</v>
      </c>
      <c r="H371" t="s">
        <v>54</v>
      </c>
      <c r="I371">
        <v>158.43</v>
      </c>
      <c r="J371">
        <v>0</v>
      </c>
      <c r="K371">
        <v>1</v>
      </c>
      <c r="L371" t="s">
        <v>25</v>
      </c>
      <c r="M371" t="s">
        <v>26</v>
      </c>
      <c r="N371">
        <v>500</v>
      </c>
      <c r="O371">
        <v>0</v>
      </c>
      <c r="P371" t="str">
        <f>IF(T[[#This Row],[qty_ordered]]&lt;&gt;T[[#This Row],[qty_received]],IF(T[[#This Row],[qty_received]]&gt;0,"Partial Received","Not Receviced"),"FullyReceived")</f>
        <v>Not Receviced</v>
      </c>
      <c r="Q371" t="str">
        <f>IF(T[[#This Row],[qty_received]]&lt;&gt;T[[#This Row],[qty_invoiced]],IF(T[[#This Row],[qty_invoiced]]&gt;0,"Partial Invoiced","Not Invoiced"),"Fully Invoiced")</f>
        <v>Partial Invoiced</v>
      </c>
      <c r="R371" t="str">
        <f>IFERROR(VLOOKUP(T[[#This Row],[warehouse]],Table2[],2,FALSE),"--")</f>
        <v>--</v>
      </c>
    </row>
    <row r="372" spans="1:18" x14ac:dyDescent="0.25">
      <c r="A372" t="s">
        <v>235</v>
      </c>
      <c r="B372" s="1">
        <v>43571</v>
      </c>
      <c r="C372" t="s">
        <v>454</v>
      </c>
      <c r="D372" t="s">
        <v>71</v>
      </c>
      <c r="E372" t="s">
        <v>51</v>
      </c>
      <c r="F372" t="s">
        <v>52</v>
      </c>
      <c r="G372" t="s">
        <v>75</v>
      </c>
      <c r="H372" t="s">
        <v>54</v>
      </c>
      <c r="I372">
        <v>3000</v>
      </c>
      <c r="J372">
        <v>0</v>
      </c>
      <c r="K372">
        <v>1</v>
      </c>
      <c r="L372" t="s">
        <v>25</v>
      </c>
      <c r="M372" t="s">
        <v>26</v>
      </c>
      <c r="N372">
        <v>2.85</v>
      </c>
      <c r="O372">
        <v>0</v>
      </c>
      <c r="P372" t="str">
        <f>IF(T[[#This Row],[qty_ordered]]&lt;&gt;T[[#This Row],[qty_received]],IF(T[[#This Row],[qty_received]]&gt;0,"Partial Received","Not Receviced"),"FullyReceived")</f>
        <v>Not Receviced</v>
      </c>
      <c r="Q372" t="str">
        <f>IF(T[[#This Row],[qty_received]]&lt;&gt;T[[#This Row],[qty_invoiced]],IF(T[[#This Row],[qty_invoiced]]&gt;0,"Partial Invoiced","Not Invoiced"),"Fully Invoiced")</f>
        <v>Partial Invoiced</v>
      </c>
      <c r="R372" t="str">
        <f>IFERROR(VLOOKUP(T[[#This Row],[warehouse]],Table2[],2,FALSE),"--")</f>
        <v>--</v>
      </c>
    </row>
    <row r="373" spans="1:18" x14ac:dyDescent="0.25">
      <c r="A373" t="s">
        <v>235</v>
      </c>
      <c r="B373" s="1">
        <v>43571</v>
      </c>
      <c r="C373" t="s">
        <v>454</v>
      </c>
      <c r="D373" t="s">
        <v>100</v>
      </c>
      <c r="E373" t="s">
        <v>51</v>
      </c>
      <c r="F373" t="s">
        <v>52</v>
      </c>
      <c r="G373" t="s">
        <v>75</v>
      </c>
      <c r="H373" t="s">
        <v>54</v>
      </c>
      <c r="I373">
        <v>4000</v>
      </c>
      <c r="J373">
        <v>0</v>
      </c>
      <c r="K373">
        <v>1</v>
      </c>
      <c r="L373" t="s">
        <v>25</v>
      </c>
      <c r="M373" t="s">
        <v>26</v>
      </c>
      <c r="N373">
        <v>2.85</v>
      </c>
      <c r="O373">
        <v>0</v>
      </c>
      <c r="P373" t="str">
        <f>IF(T[[#This Row],[qty_ordered]]&lt;&gt;T[[#This Row],[qty_received]],IF(T[[#This Row],[qty_received]]&gt;0,"Partial Received","Not Receviced"),"FullyReceived")</f>
        <v>Not Receviced</v>
      </c>
      <c r="Q373" t="str">
        <f>IF(T[[#This Row],[qty_received]]&lt;&gt;T[[#This Row],[qty_invoiced]],IF(T[[#This Row],[qty_invoiced]]&gt;0,"Partial Invoiced","Not Invoiced"),"Fully Invoiced")</f>
        <v>Partial Invoiced</v>
      </c>
      <c r="R373" t="str">
        <f>IFERROR(VLOOKUP(T[[#This Row],[warehouse]],Table2[],2,FALSE),"--")</f>
        <v>--</v>
      </c>
    </row>
    <row r="374" spans="1:18" x14ac:dyDescent="0.25">
      <c r="A374" t="s">
        <v>160</v>
      </c>
      <c r="B374" s="1">
        <v>43593</v>
      </c>
      <c r="C374" t="s">
        <v>460</v>
      </c>
      <c r="D374" t="s">
        <v>20</v>
      </c>
      <c r="E374" t="s">
        <v>66</v>
      </c>
      <c r="F374" t="s">
        <v>67</v>
      </c>
      <c r="G374" t="s">
        <v>68</v>
      </c>
      <c r="H374" t="s">
        <v>24</v>
      </c>
      <c r="I374">
        <v>229.34</v>
      </c>
      <c r="J374">
        <v>229.34</v>
      </c>
      <c r="K374">
        <v>229.34</v>
      </c>
      <c r="L374" t="s">
        <v>25</v>
      </c>
      <c r="M374" t="s">
        <v>26</v>
      </c>
      <c r="N374">
        <v>85000</v>
      </c>
      <c r="O374">
        <v>19493900</v>
      </c>
      <c r="P374" t="str">
        <f>IF(T[[#This Row],[qty_ordered]]&lt;&gt;T[[#This Row],[qty_received]],IF(T[[#This Row],[qty_received]]&gt;0,"Partial Received","Not Receviced"),"FullyReceived")</f>
        <v>FullyReceived</v>
      </c>
      <c r="Q374" t="str">
        <f>IF(T[[#This Row],[qty_received]]&lt;&gt;T[[#This Row],[qty_invoiced]],IF(T[[#This Row],[qty_invoiced]]&gt;0,"Partial Invoiced","Not Invoiced"),"Fully Invoiced")</f>
        <v>Fully Invoiced</v>
      </c>
      <c r="R374" t="str">
        <f>IFERROR(VLOOKUP(T[[#This Row],[warehouse]],Table2[],2,FALSE),"--")</f>
        <v>PZU Main Warehouse</v>
      </c>
    </row>
    <row r="375" spans="1:18" x14ac:dyDescent="0.25">
      <c r="A375" t="s">
        <v>228</v>
      </c>
      <c r="B375" s="1">
        <v>43597</v>
      </c>
      <c r="C375" t="s">
        <v>461</v>
      </c>
      <c r="D375" t="s">
        <v>20</v>
      </c>
      <c r="E375" t="s">
        <v>239</v>
      </c>
      <c r="F375" t="s">
        <v>244</v>
      </c>
      <c r="G375" t="s">
        <v>245</v>
      </c>
      <c r="H375" t="s">
        <v>24</v>
      </c>
      <c r="I375">
        <v>552.03</v>
      </c>
      <c r="J375">
        <v>552.03</v>
      </c>
      <c r="K375">
        <v>552.03</v>
      </c>
      <c r="L375" t="s">
        <v>25</v>
      </c>
      <c r="M375" t="s">
        <v>132</v>
      </c>
      <c r="N375">
        <v>88000</v>
      </c>
      <c r="O375">
        <v>48578640</v>
      </c>
      <c r="P375" t="str">
        <f>IF(T[[#This Row],[qty_ordered]]&lt;&gt;T[[#This Row],[qty_received]],IF(T[[#This Row],[qty_received]]&gt;0,"Partial Received","Not Receviced"),"FullyReceived")</f>
        <v>FullyReceived</v>
      </c>
      <c r="Q375" t="str">
        <f>IF(T[[#This Row],[qty_received]]&lt;&gt;T[[#This Row],[qty_invoiced]],IF(T[[#This Row],[qty_invoiced]]&gt;0,"Partial Invoiced","Not Invoiced"),"Fully Invoiced")</f>
        <v>Fully Invoiced</v>
      </c>
      <c r="R375" t="str">
        <f>IFERROR(VLOOKUP(T[[#This Row],[warehouse]],Table2[],2,FALSE),"--")</f>
        <v xml:space="preserve">Gadarif Main Store </v>
      </c>
    </row>
    <row r="376" spans="1:18" x14ac:dyDescent="0.25">
      <c r="A376" t="s">
        <v>462</v>
      </c>
      <c r="B376" s="1">
        <v>43597</v>
      </c>
      <c r="C376" t="s">
        <v>463</v>
      </c>
      <c r="D376" t="s">
        <v>20</v>
      </c>
      <c r="E376" t="s">
        <v>51</v>
      </c>
      <c r="F376" t="s">
        <v>247</v>
      </c>
      <c r="G376" t="s">
        <v>247</v>
      </c>
      <c r="H376" t="s">
        <v>54</v>
      </c>
      <c r="I376">
        <v>500</v>
      </c>
      <c r="J376">
        <v>0</v>
      </c>
      <c r="K376">
        <v>1</v>
      </c>
      <c r="L376" t="s">
        <v>25</v>
      </c>
      <c r="M376" t="s">
        <v>26</v>
      </c>
      <c r="N376">
        <v>2400</v>
      </c>
      <c r="O376">
        <v>0</v>
      </c>
      <c r="P376" t="str">
        <f>IF(T[[#This Row],[qty_ordered]]&lt;&gt;T[[#This Row],[qty_received]],IF(T[[#This Row],[qty_received]]&gt;0,"Partial Received","Not Receviced"),"FullyReceived")</f>
        <v>Not Receviced</v>
      </c>
      <c r="Q376" t="str">
        <f>IF(T[[#This Row],[qty_received]]&lt;&gt;T[[#This Row],[qty_invoiced]],IF(T[[#This Row],[qty_invoiced]]&gt;0,"Partial Invoiced","Not Invoiced"),"Fully Invoiced")</f>
        <v>Partial Invoiced</v>
      </c>
      <c r="R376" t="str">
        <f>IFERROR(VLOOKUP(T[[#This Row],[warehouse]],Table2[],2,FALSE),"--")</f>
        <v>--</v>
      </c>
    </row>
    <row r="377" spans="1:18" x14ac:dyDescent="0.25">
      <c r="A377" t="s">
        <v>224</v>
      </c>
      <c r="B377" s="1">
        <v>43597</v>
      </c>
      <c r="C377" t="s">
        <v>464</v>
      </c>
      <c r="D377" t="s">
        <v>20</v>
      </c>
      <c r="E377" t="s">
        <v>51</v>
      </c>
      <c r="F377" t="s">
        <v>183</v>
      </c>
      <c r="G377" t="s">
        <v>184</v>
      </c>
      <c r="H377" t="s">
        <v>54</v>
      </c>
      <c r="I377">
        <v>187.46</v>
      </c>
      <c r="J377">
        <v>0</v>
      </c>
      <c r="K377">
        <v>1</v>
      </c>
      <c r="L377" t="s">
        <v>25</v>
      </c>
      <c r="M377" t="s">
        <v>26</v>
      </c>
      <c r="N377">
        <v>575</v>
      </c>
      <c r="O377">
        <v>0</v>
      </c>
      <c r="P377" t="str">
        <f>IF(T[[#This Row],[qty_ordered]]&lt;&gt;T[[#This Row],[qty_received]],IF(T[[#This Row],[qty_received]]&gt;0,"Partial Received","Not Receviced"),"FullyReceived")</f>
        <v>Not Receviced</v>
      </c>
      <c r="Q377" t="str">
        <f>IF(T[[#This Row],[qty_received]]&lt;&gt;T[[#This Row],[qty_invoiced]],IF(T[[#This Row],[qty_invoiced]]&gt;0,"Partial Invoiced","Not Invoiced"),"Fully Invoiced")</f>
        <v>Partial Invoiced</v>
      </c>
      <c r="R377" t="str">
        <f>IFERROR(VLOOKUP(T[[#This Row],[warehouse]],Table2[],2,FALSE),"--")</f>
        <v>--</v>
      </c>
    </row>
    <row r="378" spans="1:18" x14ac:dyDescent="0.25">
      <c r="A378" t="s">
        <v>423</v>
      </c>
      <c r="B378" s="1">
        <v>43571</v>
      </c>
      <c r="C378" t="s">
        <v>446</v>
      </c>
      <c r="D378" t="s">
        <v>74</v>
      </c>
      <c r="E378" t="s">
        <v>51</v>
      </c>
      <c r="F378" t="s">
        <v>52</v>
      </c>
      <c r="G378" t="s">
        <v>75</v>
      </c>
      <c r="H378" t="s">
        <v>54</v>
      </c>
      <c r="I378">
        <v>5000</v>
      </c>
      <c r="J378">
        <v>0</v>
      </c>
      <c r="K378">
        <v>1</v>
      </c>
      <c r="L378" t="s">
        <v>25</v>
      </c>
      <c r="M378" t="s">
        <v>26</v>
      </c>
      <c r="N378">
        <v>2.6</v>
      </c>
      <c r="O378">
        <v>0</v>
      </c>
      <c r="P378" t="str">
        <f>IF(T[[#This Row],[qty_ordered]]&lt;&gt;T[[#This Row],[qty_received]],IF(T[[#This Row],[qty_received]]&gt;0,"Partial Received","Not Receviced"),"FullyReceived")</f>
        <v>Not Receviced</v>
      </c>
      <c r="Q378" t="str">
        <f>IF(T[[#This Row],[qty_received]]&lt;&gt;T[[#This Row],[qty_invoiced]],IF(T[[#This Row],[qty_invoiced]]&gt;0,"Partial Invoiced","Not Invoiced"),"Fully Invoiced")</f>
        <v>Partial Invoiced</v>
      </c>
      <c r="R378" t="str">
        <f>IFERROR(VLOOKUP(T[[#This Row],[warehouse]],Table2[],2,FALSE),"--")</f>
        <v>--</v>
      </c>
    </row>
    <row r="379" spans="1:18" x14ac:dyDescent="0.25">
      <c r="A379" t="s">
        <v>423</v>
      </c>
      <c r="B379" s="1">
        <v>43571</v>
      </c>
      <c r="C379" t="s">
        <v>446</v>
      </c>
      <c r="D379" t="s">
        <v>76</v>
      </c>
      <c r="E379" t="s">
        <v>51</v>
      </c>
      <c r="F379" t="s">
        <v>52</v>
      </c>
      <c r="G379" t="s">
        <v>75</v>
      </c>
      <c r="H379" t="s">
        <v>54</v>
      </c>
      <c r="I379">
        <v>5000</v>
      </c>
      <c r="J379">
        <v>0</v>
      </c>
      <c r="K379">
        <v>1</v>
      </c>
      <c r="L379" t="s">
        <v>25</v>
      </c>
      <c r="M379" t="s">
        <v>26</v>
      </c>
      <c r="N379">
        <v>2.6</v>
      </c>
      <c r="O379">
        <v>0</v>
      </c>
      <c r="P379" t="str">
        <f>IF(T[[#This Row],[qty_ordered]]&lt;&gt;T[[#This Row],[qty_received]],IF(T[[#This Row],[qty_received]]&gt;0,"Partial Received","Not Receviced"),"FullyReceived")</f>
        <v>Not Receviced</v>
      </c>
      <c r="Q379" t="str">
        <f>IF(T[[#This Row],[qty_received]]&lt;&gt;T[[#This Row],[qty_invoiced]],IF(T[[#This Row],[qty_invoiced]]&gt;0,"Partial Invoiced","Not Invoiced"),"Fully Invoiced")</f>
        <v>Partial Invoiced</v>
      </c>
      <c r="R379" t="str">
        <f>IFERROR(VLOOKUP(T[[#This Row],[warehouse]],Table2[],2,FALSE),"--")</f>
        <v>--</v>
      </c>
    </row>
    <row r="380" spans="1:18" x14ac:dyDescent="0.25">
      <c r="A380" t="s">
        <v>235</v>
      </c>
      <c r="B380" s="1">
        <v>43507</v>
      </c>
      <c r="C380" t="s">
        <v>465</v>
      </c>
      <c r="D380" t="s">
        <v>20</v>
      </c>
      <c r="E380" t="s">
        <v>51</v>
      </c>
      <c r="F380" t="s">
        <v>52</v>
      </c>
      <c r="G380" t="s">
        <v>75</v>
      </c>
      <c r="H380" t="s">
        <v>54</v>
      </c>
      <c r="I380">
        <v>15250</v>
      </c>
      <c r="J380">
        <v>0</v>
      </c>
      <c r="K380">
        <v>1</v>
      </c>
      <c r="L380" t="s">
        <v>25</v>
      </c>
      <c r="M380" t="s">
        <v>26</v>
      </c>
      <c r="N380">
        <v>3</v>
      </c>
      <c r="O380">
        <v>0</v>
      </c>
      <c r="P380" t="str">
        <f>IF(T[[#This Row],[qty_ordered]]&lt;&gt;T[[#This Row],[qty_received]],IF(T[[#This Row],[qty_received]]&gt;0,"Partial Received","Not Receviced"),"FullyReceived")</f>
        <v>Not Receviced</v>
      </c>
      <c r="Q380" t="str">
        <f>IF(T[[#This Row],[qty_received]]&lt;&gt;T[[#This Row],[qty_invoiced]],IF(T[[#This Row],[qty_invoiced]]&gt;0,"Partial Invoiced","Not Invoiced"),"Fully Invoiced")</f>
        <v>Partial Invoiced</v>
      </c>
      <c r="R380" t="str">
        <f>IFERROR(VLOOKUP(T[[#This Row],[warehouse]],Table2[],2,FALSE),"--")</f>
        <v>--</v>
      </c>
    </row>
    <row r="381" spans="1:18" x14ac:dyDescent="0.25">
      <c r="A381" t="s">
        <v>235</v>
      </c>
      <c r="B381" s="1">
        <v>43507</v>
      </c>
      <c r="C381" t="s">
        <v>466</v>
      </c>
      <c r="D381" t="s">
        <v>20</v>
      </c>
      <c r="E381" t="s">
        <v>51</v>
      </c>
      <c r="F381" t="s">
        <v>52</v>
      </c>
      <c r="G381" t="s">
        <v>75</v>
      </c>
      <c r="H381" t="s">
        <v>54</v>
      </c>
      <c r="I381">
        <v>3650</v>
      </c>
      <c r="J381">
        <v>0</v>
      </c>
      <c r="K381">
        <v>1</v>
      </c>
      <c r="L381" t="s">
        <v>25</v>
      </c>
      <c r="M381" t="s">
        <v>26</v>
      </c>
      <c r="N381">
        <v>2.85</v>
      </c>
      <c r="O381">
        <v>0</v>
      </c>
      <c r="P381" t="str">
        <f>IF(T[[#This Row],[qty_ordered]]&lt;&gt;T[[#This Row],[qty_received]],IF(T[[#This Row],[qty_received]]&gt;0,"Partial Received","Not Receviced"),"FullyReceived")</f>
        <v>Not Receviced</v>
      </c>
      <c r="Q381" t="str">
        <f>IF(T[[#This Row],[qty_received]]&lt;&gt;T[[#This Row],[qty_invoiced]],IF(T[[#This Row],[qty_invoiced]]&gt;0,"Partial Invoiced","Not Invoiced"),"Fully Invoiced")</f>
        <v>Partial Invoiced</v>
      </c>
      <c r="R381" t="str">
        <f>IFERROR(VLOOKUP(T[[#This Row],[warehouse]],Table2[],2,FALSE),"--")</f>
        <v>--</v>
      </c>
    </row>
    <row r="382" spans="1:18" x14ac:dyDescent="0.25">
      <c r="A382" t="s">
        <v>235</v>
      </c>
      <c r="B382" s="1">
        <v>43507</v>
      </c>
      <c r="C382" t="s">
        <v>466</v>
      </c>
      <c r="D382" t="s">
        <v>71</v>
      </c>
      <c r="E382" t="s">
        <v>51</v>
      </c>
      <c r="F382" t="s">
        <v>52</v>
      </c>
      <c r="G382" t="s">
        <v>75</v>
      </c>
      <c r="H382" t="s">
        <v>54</v>
      </c>
      <c r="I382">
        <v>7250</v>
      </c>
      <c r="J382">
        <v>0</v>
      </c>
      <c r="K382">
        <v>1</v>
      </c>
      <c r="L382" t="s">
        <v>25</v>
      </c>
      <c r="M382" t="s">
        <v>26</v>
      </c>
      <c r="N382">
        <v>3</v>
      </c>
      <c r="O382">
        <v>0</v>
      </c>
      <c r="P382" t="str">
        <f>IF(T[[#This Row],[qty_ordered]]&lt;&gt;T[[#This Row],[qty_received]],IF(T[[#This Row],[qty_received]]&gt;0,"Partial Received","Not Receviced"),"FullyReceived")</f>
        <v>Not Receviced</v>
      </c>
      <c r="Q382" t="str">
        <f>IF(T[[#This Row],[qty_received]]&lt;&gt;T[[#This Row],[qty_invoiced]],IF(T[[#This Row],[qty_invoiced]]&gt;0,"Partial Invoiced","Not Invoiced"),"Fully Invoiced")</f>
        <v>Partial Invoiced</v>
      </c>
      <c r="R382" t="str">
        <f>IFERROR(VLOOKUP(T[[#This Row],[warehouse]],Table2[],2,FALSE),"--")</f>
        <v>--</v>
      </c>
    </row>
    <row r="383" spans="1:18" x14ac:dyDescent="0.25">
      <c r="A383" t="s">
        <v>235</v>
      </c>
      <c r="B383" s="1">
        <v>43507</v>
      </c>
      <c r="C383" t="s">
        <v>467</v>
      </c>
      <c r="D383" t="s">
        <v>20</v>
      </c>
      <c r="E383" t="s">
        <v>51</v>
      </c>
      <c r="F383" t="s">
        <v>52</v>
      </c>
      <c r="G383" t="s">
        <v>75</v>
      </c>
      <c r="H383" t="s">
        <v>54</v>
      </c>
      <c r="I383">
        <v>7250</v>
      </c>
      <c r="J383">
        <v>0</v>
      </c>
      <c r="K383">
        <v>1</v>
      </c>
      <c r="L383" t="s">
        <v>25</v>
      </c>
      <c r="M383" t="s">
        <v>26</v>
      </c>
      <c r="N383">
        <v>2.85</v>
      </c>
      <c r="O383">
        <v>0</v>
      </c>
      <c r="P383" t="str">
        <f>IF(T[[#This Row],[qty_ordered]]&lt;&gt;T[[#This Row],[qty_received]],IF(T[[#This Row],[qty_received]]&gt;0,"Partial Received","Not Receviced"),"FullyReceived")</f>
        <v>Not Receviced</v>
      </c>
      <c r="Q383" t="str">
        <f>IF(T[[#This Row],[qty_received]]&lt;&gt;T[[#This Row],[qty_invoiced]],IF(T[[#This Row],[qty_invoiced]]&gt;0,"Partial Invoiced","Not Invoiced"),"Fully Invoiced")</f>
        <v>Partial Invoiced</v>
      </c>
      <c r="R383" t="str">
        <f>IFERROR(VLOOKUP(T[[#This Row],[warehouse]],Table2[],2,FALSE),"--")</f>
        <v>--</v>
      </c>
    </row>
    <row r="384" spans="1:18" x14ac:dyDescent="0.25">
      <c r="A384" t="s">
        <v>160</v>
      </c>
      <c r="B384" s="1">
        <v>43517</v>
      </c>
      <c r="C384" t="s">
        <v>292</v>
      </c>
      <c r="D384" t="s">
        <v>20</v>
      </c>
      <c r="E384" t="s">
        <v>200</v>
      </c>
      <c r="F384" t="s">
        <v>37</v>
      </c>
      <c r="G384" t="s">
        <v>38</v>
      </c>
      <c r="H384" t="s">
        <v>24</v>
      </c>
      <c r="I384">
        <v>500</v>
      </c>
      <c r="J384">
        <v>134.05000000000001</v>
      </c>
      <c r="K384">
        <v>134.05000000000001</v>
      </c>
      <c r="L384" t="s">
        <v>25</v>
      </c>
      <c r="M384" t="s">
        <v>26</v>
      </c>
      <c r="N384">
        <v>111250</v>
      </c>
      <c r="O384">
        <v>14913062.5</v>
      </c>
      <c r="P384" t="str">
        <f>IF(T[[#This Row],[qty_ordered]]&lt;&gt;T[[#This Row],[qty_received]],IF(T[[#This Row],[qty_received]]&gt;0,"Partial Received","Not Receviced"),"FullyReceived")</f>
        <v>Partial Received</v>
      </c>
      <c r="Q384" t="str">
        <f>IF(T[[#This Row],[qty_received]]&lt;&gt;T[[#This Row],[qty_invoiced]],IF(T[[#This Row],[qty_invoiced]]&gt;0,"Partial Invoiced","Not Invoiced"),"Fully Invoiced")</f>
        <v>Fully Invoiced</v>
      </c>
      <c r="R384" t="str">
        <f>IFERROR(VLOOKUP(T[[#This Row],[warehouse]],Table2[],2,FALSE),"--")</f>
        <v>SIFITING ORGANICA</v>
      </c>
    </row>
    <row r="385" spans="1:18" x14ac:dyDescent="0.25">
      <c r="A385" t="s">
        <v>468</v>
      </c>
      <c r="B385" s="1">
        <v>43531</v>
      </c>
      <c r="C385" t="s">
        <v>469</v>
      </c>
      <c r="D385" t="s">
        <v>20</v>
      </c>
      <c r="E385" t="s">
        <v>286</v>
      </c>
      <c r="F385" t="s">
        <v>287</v>
      </c>
      <c r="G385" t="s">
        <v>288</v>
      </c>
      <c r="H385" t="s">
        <v>24</v>
      </c>
      <c r="I385">
        <v>190</v>
      </c>
      <c r="J385">
        <v>168.82</v>
      </c>
      <c r="K385">
        <v>168.82</v>
      </c>
      <c r="L385" t="s">
        <v>25</v>
      </c>
      <c r="M385" t="s">
        <v>26</v>
      </c>
      <c r="N385">
        <v>31400</v>
      </c>
      <c r="O385">
        <v>5300948</v>
      </c>
      <c r="P385" t="str">
        <f>IF(T[[#This Row],[qty_ordered]]&lt;&gt;T[[#This Row],[qty_received]],IF(T[[#This Row],[qty_received]]&gt;0,"Partial Received","Not Receviced"),"FullyReceived")</f>
        <v>Partial Received</v>
      </c>
      <c r="Q385" t="str">
        <f>IF(T[[#This Row],[qty_received]]&lt;&gt;T[[#This Row],[qty_invoiced]],IF(T[[#This Row],[qty_invoiced]]&gt;0,"Partial Invoiced","Not Invoiced"),"Fully Invoiced")</f>
        <v>Fully Invoiced</v>
      </c>
      <c r="R385" t="str">
        <f>IFERROR(VLOOKUP(T[[#This Row],[warehouse]],Table2[],2,FALSE),"--")</f>
        <v>CONTRACT FARMING WH</v>
      </c>
    </row>
    <row r="386" spans="1:18" x14ac:dyDescent="0.25">
      <c r="A386" t="s">
        <v>160</v>
      </c>
      <c r="B386" s="1">
        <v>43521</v>
      </c>
      <c r="C386" t="s">
        <v>470</v>
      </c>
      <c r="D386" t="s">
        <v>20</v>
      </c>
      <c r="E386" t="s">
        <v>66</v>
      </c>
      <c r="F386" t="s">
        <v>471</v>
      </c>
      <c r="G386" t="s">
        <v>472</v>
      </c>
      <c r="H386" t="s">
        <v>24</v>
      </c>
      <c r="I386">
        <v>250</v>
      </c>
      <c r="J386">
        <v>249.1</v>
      </c>
      <c r="K386">
        <v>249.1</v>
      </c>
      <c r="L386" t="s">
        <v>25</v>
      </c>
      <c r="M386" t="s">
        <v>26</v>
      </c>
      <c r="N386">
        <v>41000</v>
      </c>
      <c r="O386">
        <v>10213100</v>
      </c>
      <c r="P386" t="str">
        <f>IF(T[[#This Row],[qty_ordered]]&lt;&gt;T[[#This Row],[qty_received]],IF(T[[#This Row],[qty_received]]&gt;0,"Partial Received","Not Receviced"),"FullyReceived")</f>
        <v>Partial Received</v>
      </c>
      <c r="Q386" t="str">
        <f>IF(T[[#This Row],[qty_received]]&lt;&gt;T[[#This Row],[qty_invoiced]],IF(T[[#This Row],[qty_invoiced]]&gt;0,"Partial Invoiced","Not Invoiced"),"Fully Invoiced")</f>
        <v>Fully Invoiced</v>
      </c>
      <c r="R386" t="str">
        <f>IFERROR(VLOOKUP(T[[#This Row],[warehouse]],Table2[],2,FALSE),"--")</f>
        <v>PZU Main Warehouse</v>
      </c>
    </row>
    <row r="387" spans="1:18" x14ac:dyDescent="0.25">
      <c r="A387" t="s">
        <v>153</v>
      </c>
      <c r="B387" s="1">
        <v>43534</v>
      </c>
      <c r="C387" t="s">
        <v>473</v>
      </c>
      <c r="D387" t="s">
        <v>20</v>
      </c>
      <c r="E387" t="s">
        <v>64</v>
      </c>
      <c r="F387" t="s">
        <v>474</v>
      </c>
      <c r="G387" t="s">
        <v>475</v>
      </c>
      <c r="H387" t="s">
        <v>24</v>
      </c>
      <c r="I387">
        <v>700</v>
      </c>
      <c r="J387">
        <v>309.75</v>
      </c>
      <c r="K387">
        <v>309.75</v>
      </c>
      <c r="L387" t="s">
        <v>25</v>
      </c>
      <c r="M387" t="s">
        <v>132</v>
      </c>
      <c r="N387">
        <v>51000</v>
      </c>
      <c r="O387">
        <v>15797250</v>
      </c>
      <c r="P387" t="str">
        <f>IF(T[[#This Row],[qty_ordered]]&lt;&gt;T[[#This Row],[qty_received]],IF(T[[#This Row],[qty_received]]&gt;0,"Partial Received","Not Receviced"),"FullyReceived")</f>
        <v>Partial Received</v>
      </c>
      <c r="Q387" t="str">
        <f>IF(T[[#This Row],[qty_received]]&lt;&gt;T[[#This Row],[qty_invoiced]],IF(T[[#This Row],[qty_invoiced]]&gt;0,"Partial Invoiced","Not Invoiced"),"Fully Invoiced")</f>
        <v>Fully Invoiced</v>
      </c>
      <c r="R387" t="str">
        <f>IFERROR(VLOOKUP(T[[#This Row],[warehouse]],Table2[],2,FALSE),"--")</f>
        <v>Stuffing OMD-ALGOMIA</v>
      </c>
    </row>
    <row r="388" spans="1:18" x14ac:dyDescent="0.25">
      <c r="A388" t="s">
        <v>252</v>
      </c>
      <c r="B388" s="1">
        <v>43489</v>
      </c>
      <c r="C388" t="s">
        <v>253</v>
      </c>
      <c r="D388" t="s">
        <v>322</v>
      </c>
      <c r="E388" t="s">
        <v>51</v>
      </c>
      <c r="F388" t="s">
        <v>254</v>
      </c>
      <c r="G388" t="s">
        <v>255</v>
      </c>
      <c r="H388" t="s">
        <v>54</v>
      </c>
      <c r="I388">
        <v>18490</v>
      </c>
      <c r="J388">
        <v>0</v>
      </c>
      <c r="K388">
        <v>1</v>
      </c>
      <c r="L388" t="s">
        <v>25</v>
      </c>
      <c r="M388" t="s">
        <v>26</v>
      </c>
      <c r="N388">
        <v>3</v>
      </c>
      <c r="O388">
        <v>0</v>
      </c>
      <c r="P388" t="str">
        <f>IF(T[[#This Row],[qty_ordered]]&lt;&gt;T[[#This Row],[qty_received]],IF(T[[#This Row],[qty_received]]&gt;0,"Partial Received","Not Receviced"),"FullyReceived")</f>
        <v>Not Receviced</v>
      </c>
      <c r="Q388" t="str">
        <f>IF(T[[#This Row],[qty_received]]&lt;&gt;T[[#This Row],[qty_invoiced]],IF(T[[#This Row],[qty_invoiced]]&gt;0,"Partial Invoiced","Not Invoiced"),"Fully Invoiced")</f>
        <v>Partial Invoiced</v>
      </c>
      <c r="R388" t="str">
        <f>IFERROR(VLOOKUP(T[[#This Row],[warehouse]],Table2[],2,FALSE),"--")</f>
        <v>--</v>
      </c>
    </row>
    <row r="389" spans="1:18" x14ac:dyDescent="0.25">
      <c r="A389" t="s">
        <v>153</v>
      </c>
      <c r="B389" s="1">
        <v>43534</v>
      </c>
      <c r="C389" t="s">
        <v>476</v>
      </c>
      <c r="D389" t="s">
        <v>20</v>
      </c>
      <c r="E389" t="s">
        <v>410</v>
      </c>
      <c r="F389" t="s">
        <v>477</v>
      </c>
      <c r="G389" t="s">
        <v>478</v>
      </c>
      <c r="H389" t="s">
        <v>24</v>
      </c>
      <c r="I389">
        <v>0</v>
      </c>
      <c r="J389">
        <v>0</v>
      </c>
      <c r="K389">
        <v>0</v>
      </c>
      <c r="L389" t="s">
        <v>25</v>
      </c>
      <c r="M389" t="s">
        <v>132</v>
      </c>
      <c r="N389">
        <v>160000</v>
      </c>
      <c r="O389">
        <v>0</v>
      </c>
      <c r="P389" t="str">
        <f>IF(T[[#This Row],[qty_ordered]]&lt;&gt;T[[#This Row],[qty_received]],IF(T[[#This Row],[qty_received]]&gt;0,"Partial Received","Not Receviced"),"FullyReceived")</f>
        <v>FullyReceived</v>
      </c>
      <c r="Q389" t="str">
        <f>IF(T[[#This Row],[qty_received]]&lt;&gt;T[[#This Row],[qty_invoiced]],IF(T[[#This Row],[qty_invoiced]]&gt;0,"Partial Invoiced","Not Invoiced"),"Fully Invoiced")</f>
        <v>Fully Invoiced</v>
      </c>
      <c r="R389" t="str">
        <f>IFERROR(VLOOKUP(T[[#This Row],[warehouse]],Table2[],2,FALSE),"--")</f>
        <v>SFITER GUM Masaaie</v>
      </c>
    </row>
    <row r="390" spans="1:18" x14ac:dyDescent="0.25">
      <c r="A390" t="s">
        <v>242</v>
      </c>
      <c r="B390" s="1">
        <v>43538</v>
      </c>
      <c r="C390" t="s">
        <v>479</v>
      </c>
      <c r="D390" t="s">
        <v>20</v>
      </c>
      <c r="E390" t="s">
        <v>46</v>
      </c>
      <c r="F390" t="s">
        <v>480</v>
      </c>
      <c r="G390" t="s">
        <v>481</v>
      </c>
      <c r="H390" t="s">
        <v>24</v>
      </c>
      <c r="I390">
        <v>500</v>
      </c>
      <c r="J390">
        <v>0</v>
      </c>
      <c r="K390">
        <v>0</v>
      </c>
      <c r="L390" t="s">
        <v>25</v>
      </c>
      <c r="M390" t="s">
        <v>132</v>
      </c>
      <c r="N390">
        <v>27500</v>
      </c>
      <c r="O390">
        <v>0</v>
      </c>
      <c r="P390" t="str">
        <f>IF(T[[#This Row],[qty_ordered]]&lt;&gt;T[[#This Row],[qty_received]],IF(T[[#This Row],[qty_received]]&gt;0,"Partial Received","Not Receviced"),"FullyReceived")</f>
        <v>Not Receviced</v>
      </c>
      <c r="Q390" t="str">
        <f>IF(T[[#This Row],[qty_received]]&lt;&gt;T[[#This Row],[qty_invoiced]],IF(T[[#This Row],[qty_invoiced]]&gt;0,"Partial Invoiced","Not Invoiced"),"Fully Invoiced")</f>
        <v>Fully Invoiced</v>
      </c>
      <c r="R390" t="str">
        <f>IFERROR(VLOOKUP(T[[#This Row],[warehouse]],Table2[],2,FALSE),"--")</f>
        <v xml:space="preserve">Sifter PZU - Tabil </v>
      </c>
    </row>
    <row r="391" spans="1:18" x14ac:dyDescent="0.25">
      <c r="A391" t="s">
        <v>353</v>
      </c>
      <c r="B391" s="1">
        <v>43531</v>
      </c>
      <c r="C391" t="s">
        <v>482</v>
      </c>
      <c r="D391" t="s">
        <v>20</v>
      </c>
      <c r="E391" t="s">
        <v>146</v>
      </c>
      <c r="F391" t="s">
        <v>483</v>
      </c>
      <c r="G391" t="s">
        <v>484</v>
      </c>
      <c r="H391" t="s">
        <v>149</v>
      </c>
      <c r="I391">
        <v>23500</v>
      </c>
      <c r="J391">
        <v>23500</v>
      </c>
      <c r="K391">
        <v>23500</v>
      </c>
      <c r="L391" t="s">
        <v>25</v>
      </c>
      <c r="M391" t="s">
        <v>150</v>
      </c>
      <c r="N391">
        <v>11</v>
      </c>
      <c r="O391">
        <v>258500</v>
      </c>
      <c r="P391" t="str">
        <f>IF(T[[#This Row],[qty_ordered]]&lt;&gt;T[[#This Row],[qty_received]],IF(T[[#This Row],[qty_received]]&gt;0,"Partial Received","Not Receviced"),"FullyReceived")</f>
        <v>FullyReceived</v>
      </c>
      <c r="Q391" t="str">
        <f>IF(T[[#This Row],[qty_received]]&lt;&gt;T[[#This Row],[qty_invoiced]],IF(T[[#This Row],[qty_invoiced]]&gt;0,"Partial Invoiced","Not Invoiced"),"Fully Invoiced")</f>
        <v>Fully Invoiced</v>
      </c>
      <c r="R391" t="str">
        <f>IFERROR(VLOOKUP(T[[#This Row],[warehouse]],Table2[],2,FALSE),"--")</f>
        <v>Khtoum Main Warehouse</v>
      </c>
    </row>
    <row r="392" spans="1:18" x14ac:dyDescent="0.25">
      <c r="A392" t="s">
        <v>248</v>
      </c>
      <c r="B392" s="1">
        <v>43507</v>
      </c>
      <c r="C392" t="s">
        <v>314</v>
      </c>
      <c r="D392" t="s">
        <v>20</v>
      </c>
      <c r="E392" t="s">
        <v>51</v>
      </c>
      <c r="F392" t="s">
        <v>52</v>
      </c>
      <c r="G392" t="s">
        <v>75</v>
      </c>
      <c r="H392" t="s">
        <v>54</v>
      </c>
      <c r="I392">
        <v>6000</v>
      </c>
      <c r="J392">
        <v>0</v>
      </c>
      <c r="K392">
        <v>1</v>
      </c>
      <c r="L392" t="s">
        <v>25</v>
      </c>
      <c r="M392" t="s">
        <v>26</v>
      </c>
      <c r="N392">
        <v>2.5</v>
      </c>
      <c r="O392">
        <v>0</v>
      </c>
      <c r="P392" t="str">
        <f>IF(T[[#This Row],[qty_ordered]]&lt;&gt;T[[#This Row],[qty_received]],IF(T[[#This Row],[qty_received]]&gt;0,"Partial Received","Not Receviced"),"FullyReceived")</f>
        <v>Not Receviced</v>
      </c>
      <c r="Q392" t="str">
        <f>IF(T[[#This Row],[qty_received]]&lt;&gt;T[[#This Row],[qty_invoiced]],IF(T[[#This Row],[qty_invoiced]]&gt;0,"Partial Invoiced","Not Invoiced"),"Fully Invoiced")</f>
        <v>Partial Invoiced</v>
      </c>
      <c r="R392" t="str">
        <f>IFERROR(VLOOKUP(T[[#This Row],[warehouse]],Table2[],2,FALSE),"--")</f>
        <v>--</v>
      </c>
    </row>
    <row r="393" spans="1:18" x14ac:dyDescent="0.25">
      <c r="A393" t="s">
        <v>248</v>
      </c>
      <c r="B393" s="1">
        <v>43507</v>
      </c>
      <c r="C393" t="s">
        <v>315</v>
      </c>
      <c r="D393" t="s">
        <v>20</v>
      </c>
      <c r="E393" t="s">
        <v>51</v>
      </c>
      <c r="F393" t="s">
        <v>52</v>
      </c>
      <c r="G393" t="s">
        <v>75</v>
      </c>
      <c r="H393" t="s">
        <v>54</v>
      </c>
      <c r="I393">
        <v>10000</v>
      </c>
      <c r="J393">
        <v>0</v>
      </c>
      <c r="K393">
        <v>1</v>
      </c>
      <c r="L393" t="s">
        <v>25</v>
      </c>
      <c r="M393" t="s">
        <v>26</v>
      </c>
      <c r="N393">
        <v>2.5</v>
      </c>
      <c r="O393">
        <v>0</v>
      </c>
      <c r="P393" t="str">
        <f>IF(T[[#This Row],[qty_ordered]]&lt;&gt;T[[#This Row],[qty_received]],IF(T[[#This Row],[qty_received]]&gt;0,"Partial Received","Not Receviced"),"FullyReceived")</f>
        <v>Not Receviced</v>
      </c>
      <c r="Q393" t="str">
        <f>IF(T[[#This Row],[qty_received]]&lt;&gt;T[[#This Row],[qty_invoiced]],IF(T[[#This Row],[qty_invoiced]]&gt;0,"Partial Invoiced","Not Invoiced"),"Fully Invoiced")</f>
        <v>Partial Invoiced</v>
      </c>
      <c r="R393" t="str">
        <f>IFERROR(VLOOKUP(T[[#This Row],[warehouse]],Table2[],2,FALSE),"--")</f>
        <v>--</v>
      </c>
    </row>
    <row r="394" spans="1:18" x14ac:dyDescent="0.25">
      <c r="A394" t="s">
        <v>187</v>
      </c>
      <c r="B394" s="1">
        <v>43478</v>
      </c>
      <c r="C394" t="s">
        <v>240</v>
      </c>
      <c r="D394" t="s">
        <v>74</v>
      </c>
      <c r="E394" t="s">
        <v>226</v>
      </c>
      <c r="F394" t="s">
        <v>108</v>
      </c>
      <c r="G394" t="s">
        <v>109</v>
      </c>
      <c r="H394" t="s">
        <v>24</v>
      </c>
      <c r="I394">
        <v>8.1</v>
      </c>
      <c r="J394">
        <v>8.1</v>
      </c>
      <c r="K394">
        <v>8.1</v>
      </c>
      <c r="L394" t="s">
        <v>25</v>
      </c>
      <c r="M394" t="s">
        <v>26</v>
      </c>
      <c r="N394">
        <v>75650</v>
      </c>
      <c r="O394">
        <v>612765</v>
      </c>
      <c r="P394" t="str">
        <f>IF(T[[#This Row],[qty_ordered]]&lt;&gt;T[[#This Row],[qty_received]],IF(T[[#This Row],[qty_received]]&gt;0,"Partial Received","Not Receviced"),"FullyReceived")</f>
        <v>FullyReceived</v>
      </c>
      <c r="Q394" t="str">
        <f>IF(T[[#This Row],[qty_received]]&lt;&gt;T[[#This Row],[qty_invoiced]],IF(T[[#This Row],[qty_invoiced]]&gt;0,"Partial Invoiced","Not Invoiced"),"Fully Invoiced")</f>
        <v>Fully Invoiced</v>
      </c>
      <c r="R394" t="str">
        <f>IFERROR(VLOOKUP(T[[#This Row],[warehouse]],Table2[],2,FALSE),"--")</f>
        <v>Karrar Sorting and Sifting - OMD</v>
      </c>
    </row>
    <row r="395" spans="1:18" x14ac:dyDescent="0.25">
      <c r="A395" t="s">
        <v>153</v>
      </c>
      <c r="B395" s="1">
        <v>43542</v>
      </c>
      <c r="C395" t="s">
        <v>485</v>
      </c>
      <c r="D395" t="s">
        <v>20</v>
      </c>
      <c r="E395" t="s">
        <v>259</v>
      </c>
      <c r="F395" t="s">
        <v>486</v>
      </c>
      <c r="G395" t="s">
        <v>487</v>
      </c>
      <c r="H395" t="s">
        <v>24</v>
      </c>
      <c r="I395">
        <v>400</v>
      </c>
      <c r="J395">
        <v>395.41</v>
      </c>
      <c r="K395">
        <v>395.41</v>
      </c>
      <c r="L395" t="s">
        <v>25</v>
      </c>
      <c r="M395" t="s">
        <v>132</v>
      </c>
      <c r="N395">
        <v>96787.5</v>
      </c>
      <c r="O395">
        <v>38270745.375</v>
      </c>
      <c r="P395" t="str">
        <f>IF(T[[#This Row],[qty_ordered]]&lt;&gt;T[[#This Row],[qty_received]],IF(T[[#This Row],[qty_received]]&gt;0,"Partial Received","Not Receviced"),"FullyReceived")</f>
        <v>Partial Received</v>
      </c>
      <c r="Q395" t="str">
        <f>IF(T[[#This Row],[qty_received]]&lt;&gt;T[[#This Row],[qty_invoiced]],IF(T[[#This Row],[qty_invoiced]]&gt;0,"Partial Invoiced","Not Invoiced"),"Fully Invoiced")</f>
        <v>Fully Invoiced</v>
      </c>
      <c r="R395" t="str">
        <f>IFERROR(VLOOKUP(T[[#This Row],[warehouse]],Table2[],2,FALSE),"--")</f>
        <v>Sifters Bahri-Libyan</v>
      </c>
    </row>
    <row r="396" spans="1:18" x14ac:dyDescent="0.25">
      <c r="A396" t="s">
        <v>260</v>
      </c>
      <c r="B396" s="1">
        <v>43523</v>
      </c>
      <c r="C396" t="s">
        <v>296</v>
      </c>
      <c r="D396" t="s">
        <v>88</v>
      </c>
      <c r="E396" t="s">
        <v>51</v>
      </c>
      <c r="F396" t="s">
        <v>262</v>
      </c>
      <c r="G396" t="s">
        <v>263</v>
      </c>
      <c r="H396" t="s">
        <v>54</v>
      </c>
      <c r="I396">
        <v>1</v>
      </c>
      <c r="J396">
        <v>0</v>
      </c>
      <c r="K396">
        <v>1</v>
      </c>
      <c r="L396" t="s">
        <v>25</v>
      </c>
      <c r="M396" t="s">
        <v>26</v>
      </c>
      <c r="N396">
        <v>2070000</v>
      </c>
      <c r="O396">
        <v>0</v>
      </c>
      <c r="P396" t="str">
        <f>IF(T[[#This Row],[qty_ordered]]&lt;&gt;T[[#This Row],[qty_received]],IF(T[[#This Row],[qty_received]]&gt;0,"Partial Received","Not Receviced"),"FullyReceived")</f>
        <v>Not Receviced</v>
      </c>
      <c r="Q396" t="str">
        <f>IF(T[[#This Row],[qty_received]]&lt;&gt;T[[#This Row],[qty_invoiced]],IF(T[[#This Row],[qty_invoiced]]&gt;0,"Partial Invoiced","Not Invoiced"),"Fully Invoiced")</f>
        <v>Partial Invoiced</v>
      </c>
      <c r="R396" t="str">
        <f>IFERROR(VLOOKUP(T[[#This Row],[warehouse]],Table2[],2,FALSE),"--")</f>
        <v>--</v>
      </c>
    </row>
    <row r="397" spans="1:18" x14ac:dyDescent="0.25">
      <c r="A397" t="s">
        <v>81</v>
      </c>
      <c r="B397" s="1">
        <v>43496</v>
      </c>
      <c r="C397" t="s">
        <v>272</v>
      </c>
      <c r="D397" t="s">
        <v>71</v>
      </c>
      <c r="E397" t="s">
        <v>51</v>
      </c>
      <c r="F397" t="s">
        <v>183</v>
      </c>
      <c r="G397" t="s">
        <v>183</v>
      </c>
      <c r="H397" t="s">
        <v>54</v>
      </c>
      <c r="I397">
        <v>153.91999999999999</v>
      </c>
      <c r="J397">
        <v>0</v>
      </c>
      <c r="K397">
        <v>1</v>
      </c>
      <c r="L397" t="s">
        <v>25</v>
      </c>
      <c r="M397" t="s">
        <v>26</v>
      </c>
      <c r="N397">
        <v>500</v>
      </c>
      <c r="O397">
        <v>0</v>
      </c>
      <c r="P397" t="str">
        <f>IF(T[[#This Row],[qty_ordered]]&lt;&gt;T[[#This Row],[qty_received]],IF(T[[#This Row],[qty_received]]&gt;0,"Partial Received","Not Receviced"),"FullyReceived")</f>
        <v>Not Receviced</v>
      </c>
      <c r="Q397" t="str">
        <f>IF(T[[#This Row],[qty_received]]&lt;&gt;T[[#This Row],[qty_invoiced]],IF(T[[#This Row],[qty_invoiced]]&gt;0,"Partial Invoiced","Not Invoiced"),"Fully Invoiced")</f>
        <v>Partial Invoiced</v>
      </c>
      <c r="R397" t="str">
        <f>IFERROR(VLOOKUP(T[[#This Row],[warehouse]],Table2[],2,FALSE),"--")</f>
        <v>--</v>
      </c>
    </row>
    <row r="398" spans="1:18" x14ac:dyDescent="0.25">
      <c r="A398" t="s">
        <v>81</v>
      </c>
      <c r="B398" s="1">
        <v>43544</v>
      </c>
      <c r="C398" t="s">
        <v>488</v>
      </c>
      <c r="D398" t="s">
        <v>20</v>
      </c>
      <c r="E398" t="s">
        <v>51</v>
      </c>
      <c r="F398" t="s">
        <v>183</v>
      </c>
      <c r="G398" t="s">
        <v>183</v>
      </c>
      <c r="H398" t="s">
        <v>54</v>
      </c>
      <c r="I398">
        <v>220.34</v>
      </c>
      <c r="J398">
        <v>0</v>
      </c>
      <c r="K398">
        <v>1</v>
      </c>
      <c r="L398" t="s">
        <v>25</v>
      </c>
      <c r="M398" t="s">
        <v>26</v>
      </c>
      <c r="N398">
        <v>500</v>
      </c>
      <c r="O398">
        <v>0</v>
      </c>
      <c r="P398" t="str">
        <f>IF(T[[#This Row],[qty_ordered]]&lt;&gt;T[[#This Row],[qty_received]],IF(T[[#This Row],[qty_received]]&gt;0,"Partial Received","Not Receviced"),"FullyReceived")</f>
        <v>Not Receviced</v>
      </c>
      <c r="Q398" t="str">
        <f>IF(T[[#This Row],[qty_received]]&lt;&gt;T[[#This Row],[qty_invoiced]],IF(T[[#This Row],[qty_invoiced]]&gt;0,"Partial Invoiced","Not Invoiced"),"Fully Invoiced")</f>
        <v>Partial Invoiced</v>
      </c>
      <c r="R398" t="str">
        <f>IFERROR(VLOOKUP(T[[#This Row],[warehouse]],Table2[],2,FALSE),"--")</f>
        <v>--</v>
      </c>
    </row>
    <row r="399" spans="1:18" x14ac:dyDescent="0.25">
      <c r="A399" t="s">
        <v>235</v>
      </c>
      <c r="B399" s="1">
        <v>43545</v>
      </c>
      <c r="C399" t="s">
        <v>489</v>
      </c>
      <c r="D399" t="s">
        <v>20</v>
      </c>
      <c r="E399" t="s">
        <v>51</v>
      </c>
      <c r="F399" t="s">
        <v>52</v>
      </c>
      <c r="G399" t="s">
        <v>75</v>
      </c>
      <c r="H399" t="s">
        <v>54</v>
      </c>
      <c r="I399">
        <v>15250</v>
      </c>
      <c r="J399">
        <v>0</v>
      </c>
      <c r="K399">
        <v>1</v>
      </c>
      <c r="L399" t="s">
        <v>25</v>
      </c>
      <c r="M399" t="s">
        <v>26</v>
      </c>
      <c r="N399">
        <v>3</v>
      </c>
      <c r="O399">
        <v>0</v>
      </c>
      <c r="P399" t="str">
        <f>IF(T[[#This Row],[qty_ordered]]&lt;&gt;T[[#This Row],[qty_received]],IF(T[[#This Row],[qty_received]]&gt;0,"Partial Received","Not Receviced"),"FullyReceived")</f>
        <v>Not Receviced</v>
      </c>
      <c r="Q399" t="str">
        <f>IF(T[[#This Row],[qty_received]]&lt;&gt;T[[#This Row],[qty_invoiced]],IF(T[[#This Row],[qty_invoiced]]&gt;0,"Partial Invoiced","Not Invoiced"),"Fully Invoiced")</f>
        <v>Partial Invoiced</v>
      </c>
      <c r="R399" t="str">
        <f>IFERROR(VLOOKUP(T[[#This Row],[warehouse]],Table2[],2,FALSE),"--")</f>
        <v>--</v>
      </c>
    </row>
    <row r="400" spans="1:18" x14ac:dyDescent="0.25">
      <c r="A400" t="s">
        <v>235</v>
      </c>
      <c r="B400" s="1">
        <v>43515</v>
      </c>
      <c r="C400" t="s">
        <v>402</v>
      </c>
      <c r="D400" t="s">
        <v>71</v>
      </c>
      <c r="E400" t="s">
        <v>51</v>
      </c>
      <c r="F400" t="s">
        <v>52</v>
      </c>
      <c r="G400" t="s">
        <v>274</v>
      </c>
      <c r="H400" t="s">
        <v>54</v>
      </c>
      <c r="I400">
        <v>5000</v>
      </c>
      <c r="J400">
        <v>0</v>
      </c>
      <c r="K400">
        <v>1</v>
      </c>
      <c r="L400" t="s">
        <v>25</v>
      </c>
      <c r="M400" t="s">
        <v>26</v>
      </c>
      <c r="N400">
        <v>2.85</v>
      </c>
      <c r="O400">
        <v>0</v>
      </c>
      <c r="P400" t="str">
        <f>IF(T[[#This Row],[qty_ordered]]&lt;&gt;T[[#This Row],[qty_received]],IF(T[[#This Row],[qty_received]]&gt;0,"Partial Received","Not Receviced"),"FullyReceived")</f>
        <v>Not Receviced</v>
      </c>
      <c r="Q400" t="str">
        <f>IF(T[[#This Row],[qty_received]]&lt;&gt;T[[#This Row],[qty_invoiced]],IF(T[[#This Row],[qty_invoiced]]&gt;0,"Partial Invoiced","Not Invoiced"),"Fully Invoiced")</f>
        <v>Partial Invoiced</v>
      </c>
      <c r="R400" t="str">
        <f>IFERROR(VLOOKUP(T[[#This Row],[warehouse]],Table2[],2,FALSE),"--")</f>
        <v>--</v>
      </c>
    </row>
    <row r="401" spans="1:18" x14ac:dyDescent="0.25">
      <c r="A401" t="s">
        <v>248</v>
      </c>
      <c r="B401" s="1">
        <v>43548</v>
      </c>
      <c r="C401" t="s">
        <v>490</v>
      </c>
      <c r="D401" t="s">
        <v>20</v>
      </c>
      <c r="E401" t="s">
        <v>51</v>
      </c>
      <c r="F401" t="s">
        <v>52</v>
      </c>
      <c r="G401" t="s">
        <v>274</v>
      </c>
      <c r="H401" t="s">
        <v>54</v>
      </c>
      <c r="I401">
        <v>10000</v>
      </c>
      <c r="J401">
        <v>0</v>
      </c>
      <c r="K401">
        <v>1</v>
      </c>
      <c r="L401" t="s">
        <v>25</v>
      </c>
      <c r="M401" t="s">
        <v>26</v>
      </c>
      <c r="N401">
        <v>2.8</v>
      </c>
      <c r="O401">
        <v>0</v>
      </c>
      <c r="P401" t="str">
        <f>IF(T[[#This Row],[qty_ordered]]&lt;&gt;T[[#This Row],[qty_received]],IF(T[[#This Row],[qty_received]]&gt;0,"Partial Received","Not Receviced"),"FullyReceived")</f>
        <v>Not Receviced</v>
      </c>
      <c r="Q401" t="str">
        <f>IF(T[[#This Row],[qty_received]]&lt;&gt;T[[#This Row],[qty_invoiced]],IF(T[[#This Row],[qty_invoiced]]&gt;0,"Partial Invoiced","Not Invoiced"),"Fully Invoiced")</f>
        <v>Partial Invoiced</v>
      </c>
      <c r="R401" t="str">
        <f>IFERROR(VLOOKUP(T[[#This Row],[warehouse]],Table2[],2,FALSE),"--")</f>
        <v>--</v>
      </c>
    </row>
    <row r="402" spans="1:18" x14ac:dyDescent="0.25">
      <c r="A402" t="s">
        <v>491</v>
      </c>
      <c r="B402" s="1">
        <v>43548</v>
      </c>
      <c r="C402" t="s">
        <v>492</v>
      </c>
      <c r="D402" t="s">
        <v>20</v>
      </c>
      <c r="E402" t="s">
        <v>51</v>
      </c>
      <c r="F402" t="s">
        <v>247</v>
      </c>
      <c r="G402" t="s">
        <v>247</v>
      </c>
      <c r="H402" t="s">
        <v>54</v>
      </c>
      <c r="I402">
        <v>1500</v>
      </c>
      <c r="J402">
        <v>0</v>
      </c>
      <c r="K402">
        <v>1</v>
      </c>
      <c r="L402" t="s">
        <v>25</v>
      </c>
      <c r="M402" t="s">
        <v>26</v>
      </c>
      <c r="N402">
        <v>2200</v>
      </c>
      <c r="O402">
        <v>0</v>
      </c>
      <c r="P402" t="str">
        <f>IF(T[[#This Row],[qty_ordered]]&lt;&gt;T[[#This Row],[qty_received]],IF(T[[#This Row],[qty_received]]&gt;0,"Partial Received","Not Receviced"),"FullyReceived")</f>
        <v>Not Receviced</v>
      </c>
      <c r="Q402" t="str">
        <f>IF(T[[#This Row],[qty_received]]&lt;&gt;T[[#This Row],[qty_invoiced]],IF(T[[#This Row],[qty_invoiced]]&gt;0,"Partial Invoiced","Not Invoiced"),"Fully Invoiced")</f>
        <v>Partial Invoiced</v>
      </c>
      <c r="R402" t="str">
        <f>IFERROR(VLOOKUP(T[[#This Row],[warehouse]],Table2[],2,FALSE),"--")</f>
        <v>--</v>
      </c>
    </row>
    <row r="403" spans="1:18" x14ac:dyDescent="0.25">
      <c r="A403" t="s">
        <v>181</v>
      </c>
      <c r="B403" s="1">
        <v>43481</v>
      </c>
      <c r="C403" t="s">
        <v>182</v>
      </c>
      <c r="D403" t="s">
        <v>100</v>
      </c>
      <c r="E403" t="s">
        <v>51</v>
      </c>
      <c r="F403" t="s">
        <v>183</v>
      </c>
      <c r="G403" t="s">
        <v>183</v>
      </c>
      <c r="H403" t="s">
        <v>54</v>
      </c>
      <c r="I403">
        <v>303.5</v>
      </c>
      <c r="J403">
        <v>0</v>
      </c>
      <c r="K403">
        <v>1</v>
      </c>
      <c r="L403" t="s">
        <v>25</v>
      </c>
      <c r="M403" t="s">
        <v>26</v>
      </c>
      <c r="N403">
        <v>480</v>
      </c>
      <c r="O403">
        <v>0</v>
      </c>
      <c r="P403" t="str">
        <f>IF(T[[#This Row],[qty_ordered]]&lt;&gt;T[[#This Row],[qty_received]],IF(T[[#This Row],[qty_received]]&gt;0,"Partial Received","Not Receviced"),"FullyReceived")</f>
        <v>Not Receviced</v>
      </c>
      <c r="Q403" t="str">
        <f>IF(T[[#This Row],[qty_received]]&lt;&gt;T[[#This Row],[qty_invoiced]],IF(T[[#This Row],[qty_invoiced]]&gt;0,"Partial Invoiced","Not Invoiced"),"Fully Invoiced")</f>
        <v>Partial Invoiced</v>
      </c>
      <c r="R403" t="str">
        <f>IFERROR(VLOOKUP(T[[#This Row],[warehouse]],Table2[],2,FALSE),"--")</f>
        <v>--</v>
      </c>
    </row>
    <row r="404" spans="1:18" x14ac:dyDescent="0.25">
      <c r="A404" t="s">
        <v>493</v>
      </c>
      <c r="B404" s="1">
        <v>44017</v>
      </c>
      <c r="C404" t="s">
        <v>494</v>
      </c>
      <c r="D404" t="s">
        <v>20</v>
      </c>
      <c r="E404" t="s">
        <v>51</v>
      </c>
      <c r="F404" t="s">
        <v>52</v>
      </c>
      <c r="G404" t="s">
        <v>75</v>
      </c>
      <c r="H404" t="s">
        <v>54</v>
      </c>
      <c r="I404">
        <v>12</v>
      </c>
      <c r="J404">
        <v>0</v>
      </c>
      <c r="K404">
        <v>1</v>
      </c>
      <c r="L404" t="s">
        <v>25</v>
      </c>
      <c r="M404" t="s">
        <v>132</v>
      </c>
      <c r="N404">
        <v>349120.8</v>
      </c>
      <c r="O404">
        <v>0</v>
      </c>
      <c r="P404" t="str">
        <f>IF(T[[#This Row],[qty_ordered]]&lt;&gt;T[[#This Row],[qty_received]],IF(T[[#This Row],[qty_received]]&gt;0,"Partial Received","Not Receviced"),"FullyReceived")</f>
        <v>Not Receviced</v>
      </c>
      <c r="Q404" t="str">
        <f>IF(T[[#This Row],[qty_received]]&lt;&gt;T[[#This Row],[qty_invoiced]],IF(T[[#This Row],[qty_invoiced]]&gt;0,"Partial Invoiced","Not Invoiced"),"Fully Invoiced")</f>
        <v>Partial Invoiced</v>
      </c>
      <c r="R404" t="str">
        <f>IFERROR(VLOOKUP(T[[#This Row],[warehouse]],Table2[],2,FALSE),"--")</f>
        <v>--</v>
      </c>
    </row>
    <row r="405" spans="1:18" x14ac:dyDescent="0.25">
      <c r="A405" t="s">
        <v>495</v>
      </c>
      <c r="B405" s="1">
        <v>43592</v>
      </c>
      <c r="C405" t="s">
        <v>496</v>
      </c>
      <c r="D405" t="s">
        <v>20</v>
      </c>
      <c r="E405" t="s">
        <v>51</v>
      </c>
      <c r="F405" t="s">
        <v>183</v>
      </c>
      <c r="G405" t="s">
        <v>183</v>
      </c>
      <c r="H405" t="s">
        <v>54</v>
      </c>
      <c r="I405">
        <v>1000</v>
      </c>
      <c r="J405">
        <v>0</v>
      </c>
      <c r="K405">
        <v>1</v>
      </c>
      <c r="L405" t="s">
        <v>25</v>
      </c>
      <c r="M405" t="s">
        <v>26</v>
      </c>
      <c r="N405">
        <v>600</v>
      </c>
      <c r="O405">
        <v>0</v>
      </c>
      <c r="P405" t="str">
        <f>IF(T[[#This Row],[qty_ordered]]&lt;&gt;T[[#This Row],[qty_received]],IF(T[[#This Row],[qty_received]]&gt;0,"Partial Received","Not Receviced"),"FullyReceived")</f>
        <v>Not Receviced</v>
      </c>
      <c r="Q405" t="str">
        <f>IF(T[[#This Row],[qty_received]]&lt;&gt;T[[#This Row],[qty_invoiced]],IF(T[[#This Row],[qty_invoiced]]&gt;0,"Partial Invoiced","Not Invoiced"),"Fully Invoiced")</f>
        <v>Partial Invoiced</v>
      </c>
      <c r="R405" t="str">
        <f>IFERROR(VLOOKUP(T[[#This Row],[warehouse]],Table2[],2,FALSE),"--")</f>
        <v>--</v>
      </c>
    </row>
    <row r="406" spans="1:18" x14ac:dyDescent="0.25">
      <c r="A406" t="s">
        <v>260</v>
      </c>
      <c r="B406" s="1">
        <v>43523</v>
      </c>
      <c r="C406" t="s">
        <v>296</v>
      </c>
      <c r="D406" t="s">
        <v>76</v>
      </c>
      <c r="E406" t="s">
        <v>51</v>
      </c>
      <c r="F406" t="s">
        <v>52</v>
      </c>
      <c r="G406" t="s">
        <v>274</v>
      </c>
      <c r="H406" t="s">
        <v>54</v>
      </c>
      <c r="I406">
        <v>6197</v>
      </c>
      <c r="J406">
        <v>0</v>
      </c>
      <c r="K406">
        <v>1</v>
      </c>
      <c r="L406" t="s">
        <v>25</v>
      </c>
      <c r="M406" t="s">
        <v>26</v>
      </c>
      <c r="N406">
        <v>21</v>
      </c>
      <c r="O406">
        <v>0</v>
      </c>
      <c r="P406" t="str">
        <f>IF(T[[#This Row],[qty_ordered]]&lt;&gt;T[[#This Row],[qty_received]],IF(T[[#This Row],[qty_received]]&gt;0,"Partial Received","Not Receviced"),"FullyReceived")</f>
        <v>Not Receviced</v>
      </c>
      <c r="Q406" t="str">
        <f>IF(T[[#This Row],[qty_received]]&lt;&gt;T[[#This Row],[qty_invoiced]],IF(T[[#This Row],[qty_invoiced]]&gt;0,"Partial Invoiced","Not Invoiced"),"Fully Invoiced")</f>
        <v>Partial Invoiced</v>
      </c>
      <c r="R406" t="str">
        <f>IFERROR(VLOOKUP(T[[#This Row],[warehouse]],Table2[],2,FALSE),"--")</f>
        <v>--</v>
      </c>
    </row>
    <row r="407" spans="1:18" x14ac:dyDescent="0.25">
      <c r="A407" t="s">
        <v>260</v>
      </c>
      <c r="B407" s="1">
        <v>43523</v>
      </c>
      <c r="C407" t="s">
        <v>296</v>
      </c>
      <c r="D407" t="s">
        <v>212</v>
      </c>
      <c r="E407" t="s">
        <v>51</v>
      </c>
      <c r="F407" t="s">
        <v>52</v>
      </c>
      <c r="G407" t="s">
        <v>75</v>
      </c>
      <c r="H407" t="s">
        <v>54</v>
      </c>
      <c r="I407">
        <v>970</v>
      </c>
      <c r="J407">
        <v>0</v>
      </c>
      <c r="K407">
        <v>1</v>
      </c>
      <c r="L407" t="s">
        <v>25</v>
      </c>
      <c r="M407" t="s">
        <v>26</v>
      </c>
      <c r="N407">
        <v>50</v>
      </c>
      <c r="O407">
        <v>0</v>
      </c>
      <c r="P407" t="str">
        <f>IF(T[[#This Row],[qty_ordered]]&lt;&gt;T[[#This Row],[qty_received]],IF(T[[#This Row],[qty_received]]&gt;0,"Partial Received","Not Receviced"),"FullyReceived")</f>
        <v>Not Receviced</v>
      </c>
      <c r="Q407" t="str">
        <f>IF(T[[#This Row],[qty_received]]&lt;&gt;T[[#This Row],[qty_invoiced]],IF(T[[#This Row],[qty_invoiced]]&gt;0,"Partial Invoiced","Not Invoiced"),"Fully Invoiced")</f>
        <v>Partial Invoiced</v>
      </c>
      <c r="R407" t="str">
        <f>IFERROR(VLOOKUP(T[[#This Row],[warehouse]],Table2[],2,FALSE),"--")</f>
        <v>--</v>
      </c>
    </row>
    <row r="408" spans="1:18" x14ac:dyDescent="0.25">
      <c r="A408" t="s">
        <v>224</v>
      </c>
      <c r="B408" s="1">
        <v>43600</v>
      </c>
      <c r="C408" t="s">
        <v>497</v>
      </c>
      <c r="D408" t="s">
        <v>20</v>
      </c>
      <c r="E408" t="s">
        <v>51</v>
      </c>
      <c r="F408" t="s">
        <v>183</v>
      </c>
      <c r="G408" t="s">
        <v>183</v>
      </c>
      <c r="H408" t="s">
        <v>54</v>
      </c>
      <c r="I408">
        <v>142.78</v>
      </c>
      <c r="J408">
        <v>0</v>
      </c>
      <c r="K408">
        <v>1</v>
      </c>
      <c r="L408" t="s">
        <v>25</v>
      </c>
      <c r="M408" t="s">
        <v>26</v>
      </c>
      <c r="N408">
        <v>600</v>
      </c>
      <c r="O408">
        <v>0</v>
      </c>
      <c r="P408" t="str">
        <f>IF(T[[#This Row],[qty_ordered]]&lt;&gt;T[[#This Row],[qty_received]],IF(T[[#This Row],[qty_received]]&gt;0,"Partial Received","Not Receviced"),"FullyReceived")</f>
        <v>Not Receviced</v>
      </c>
      <c r="Q408" t="str">
        <f>IF(T[[#This Row],[qty_received]]&lt;&gt;T[[#This Row],[qty_invoiced]],IF(T[[#This Row],[qty_invoiced]]&gt;0,"Partial Invoiced","Not Invoiced"),"Fully Invoiced")</f>
        <v>Partial Invoiced</v>
      </c>
      <c r="R408" t="str">
        <f>IFERROR(VLOOKUP(T[[#This Row],[warehouse]],Table2[],2,FALSE),"--")</f>
        <v>--</v>
      </c>
    </row>
    <row r="409" spans="1:18" x14ac:dyDescent="0.25">
      <c r="A409" t="s">
        <v>498</v>
      </c>
      <c r="B409" s="1">
        <v>43605</v>
      </c>
      <c r="C409" t="s">
        <v>499</v>
      </c>
      <c r="D409" t="s">
        <v>20</v>
      </c>
      <c r="E409" t="s">
        <v>51</v>
      </c>
      <c r="F409" t="s">
        <v>52</v>
      </c>
      <c r="G409" t="s">
        <v>75</v>
      </c>
      <c r="H409" t="s">
        <v>54</v>
      </c>
      <c r="I409">
        <v>776.32</v>
      </c>
      <c r="J409">
        <v>0</v>
      </c>
      <c r="K409">
        <v>1</v>
      </c>
      <c r="L409" t="s">
        <v>25</v>
      </c>
      <c r="M409" t="s">
        <v>26</v>
      </c>
      <c r="N409">
        <v>44.444299999999998</v>
      </c>
      <c r="O409">
        <v>0</v>
      </c>
      <c r="P409" t="str">
        <f>IF(T[[#This Row],[qty_ordered]]&lt;&gt;T[[#This Row],[qty_received]],IF(T[[#This Row],[qty_received]]&gt;0,"Partial Received","Not Receviced"),"FullyReceived")</f>
        <v>Not Receviced</v>
      </c>
      <c r="Q409" t="str">
        <f>IF(T[[#This Row],[qty_received]]&lt;&gt;T[[#This Row],[qty_invoiced]],IF(T[[#This Row],[qty_invoiced]]&gt;0,"Partial Invoiced","Not Invoiced"),"Fully Invoiced")</f>
        <v>Partial Invoiced</v>
      </c>
      <c r="R409" t="str">
        <f>IFERROR(VLOOKUP(T[[#This Row],[warehouse]],Table2[],2,FALSE),"--")</f>
        <v>--</v>
      </c>
    </row>
    <row r="410" spans="1:18" x14ac:dyDescent="0.25">
      <c r="A410" t="s">
        <v>498</v>
      </c>
      <c r="B410" s="1">
        <v>43605</v>
      </c>
      <c r="C410" t="s">
        <v>499</v>
      </c>
      <c r="D410" t="s">
        <v>71</v>
      </c>
      <c r="E410" t="s">
        <v>51</v>
      </c>
      <c r="F410" t="s">
        <v>52</v>
      </c>
      <c r="G410" t="s">
        <v>75</v>
      </c>
      <c r="H410" t="s">
        <v>54</v>
      </c>
      <c r="I410">
        <v>132.57</v>
      </c>
      <c r="J410">
        <v>0</v>
      </c>
      <c r="K410">
        <v>1</v>
      </c>
      <c r="L410" t="s">
        <v>25</v>
      </c>
      <c r="M410" t="s">
        <v>26</v>
      </c>
      <c r="N410">
        <v>44.444299999999998</v>
      </c>
      <c r="O410">
        <v>0</v>
      </c>
      <c r="P410" t="str">
        <f>IF(T[[#This Row],[qty_ordered]]&lt;&gt;T[[#This Row],[qty_received]],IF(T[[#This Row],[qty_received]]&gt;0,"Partial Received","Not Receviced"),"FullyReceived")</f>
        <v>Not Receviced</v>
      </c>
      <c r="Q410" t="str">
        <f>IF(T[[#This Row],[qty_received]]&lt;&gt;T[[#This Row],[qty_invoiced]],IF(T[[#This Row],[qty_invoiced]]&gt;0,"Partial Invoiced","Not Invoiced"),"Fully Invoiced")</f>
        <v>Partial Invoiced</v>
      </c>
      <c r="R410" t="str">
        <f>IFERROR(VLOOKUP(T[[#This Row],[warehouse]],Table2[],2,FALSE),"--")</f>
        <v>--</v>
      </c>
    </row>
    <row r="411" spans="1:18" x14ac:dyDescent="0.25">
      <c r="A411" t="s">
        <v>224</v>
      </c>
      <c r="B411" s="1">
        <v>43597</v>
      </c>
      <c r="C411" t="s">
        <v>464</v>
      </c>
      <c r="D411" t="s">
        <v>71</v>
      </c>
      <c r="E411" t="s">
        <v>51</v>
      </c>
      <c r="F411" t="s">
        <v>183</v>
      </c>
      <c r="G411" t="s">
        <v>183</v>
      </c>
      <c r="H411" t="s">
        <v>54</v>
      </c>
      <c r="I411">
        <v>840.87</v>
      </c>
      <c r="J411">
        <v>0</v>
      </c>
      <c r="K411">
        <v>1</v>
      </c>
      <c r="L411" t="s">
        <v>25</v>
      </c>
      <c r="M411" t="s">
        <v>26</v>
      </c>
      <c r="N411">
        <v>575</v>
      </c>
      <c r="O411">
        <v>0</v>
      </c>
      <c r="P411" t="str">
        <f>IF(T[[#This Row],[qty_ordered]]&lt;&gt;T[[#This Row],[qty_received]],IF(T[[#This Row],[qty_received]]&gt;0,"Partial Received","Not Receviced"),"FullyReceived")</f>
        <v>Not Receviced</v>
      </c>
      <c r="Q411" t="str">
        <f>IF(T[[#This Row],[qty_received]]&lt;&gt;T[[#This Row],[qty_invoiced]],IF(T[[#This Row],[qty_invoiced]]&gt;0,"Partial Invoiced","Not Invoiced"),"Fully Invoiced")</f>
        <v>Partial Invoiced</v>
      </c>
      <c r="R411" t="str">
        <f>IFERROR(VLOOKUP(T[[#This Row],[warehouse]],Table2[],2,FALSE),"--")</f>
        <v>--</v>
      </c>
    </row>
    <row r="412" spans="1:18" x14ac:dyDescent="0.25">
      <c r="A412" t="s">
        <v>462</v>
      </c>
      <c r="B412" s="1">
        <v>43597</v>
      </c>
      <c r="C412" t="s">
        <v>463</v>
      </c>
      <c r="D412" t="s">
        <v>71</v>
      </c>
      <c r="E412" t="s">
        <v>51</v>
      </c>
      <c r="F412" t="s">
        <v>247</v>
      </c>
      <c r="G412" t="s">
        <v>247</v>
      </c>
      <c r="H412" t="s">
        <v>54</v>
      </c>
      <c r="I412">
        <v>500</v>
      </c>
      <c r="J412">
        <v>0</v>
      </c>
      <c r="K412">
        <v>1</v>
      </c>
      <c r="L412" t="s">
        <v>25</v>
      </c>
      <c r="M412" t="s">
        <v>26</v>
      </c>
      <c r="N412">
        <v>2400</v>
      </c>
      <c r="O412">
        <v>0</v>
      </c>
      <c r="P412" t="str">
        <f>IF(T[[#This Row],[qty_ordered]]&lt;&gt;T[[#This Row],[qty_received]],IF(T[[#This Row],[qty_received]]&gt;0,"Partial Received","Not Receviced"),"FullyReceived")</f>
        <v>Not Receviced</v>
      </c>
      <c r="Q412" t="str">
        <f>IF(T[[#This Row],[qty_received]]&lt;&gt;T[[#This Row],[qty_invoiced]],IF(T[[#This Row],[qty_invoiced]]&gt;0,"Partial Invoiced","Not Invoiced"),"Fully Invoiced")</f>
        <v>Partial Invoiced</v>
      </c>
      <c r="R412" t="str">
        <f>IFERROR(VLOOKUP(T[[#This Row],[warehouse]],Table2[],2,FALSE),"--")</f>
        <v>--</v>
      </c>
    </row>
    <row r="413" spans="1:18" x14ac:dyDescent="0.25">
      <c r="A413" t="s">
        <v>462</v>
      </c>
      <c r="B413" s="1">
        <v>43597</v>
      </c>
      <c r="C413" t="s">
        <v>463</v>
      </c>
      <c r="D413" t="s">
        <v>100</v>
      </c>
      <c r="E413" t="s">
        <v>51</v>
      </c>
      <c r="F413" t="s">
        <v>247</v>
      </c>
      <c r="G413" t="s">
        <v>247</v>
      </c>
      <c r="H413" t="s">
        <v>54</v>
      </c>
      <c r="I413">
        <v>500</v>
      </c>
      <c r="J413">
        <v>0</v>
      </c>
      <c r="K413">
        <v>1</v>
      </c>
      <c r="L413" t="s">
        <v>25</v>
      </c>
      <c r="M413" t="s">
        <v>26</v>
      </c>
      <c r="N413">
        <v>2400</v>
      </c>
      <c r="O413">
        <v>0</v>
      </c>
      <c r="P413" t="str">
        <f>IF(T[[#This Row],[qty_ordered]]&lt;&gt;T[[#This Row],[qty_received]],IF(T[[#This Row],[qty_received]]&gt;0,"Partial Received","Not Receviced"),"FullyReceived")</f>
        <v>Not Receviced</v>
      </c>
      <c r="Q413" t="str">
        <f>IF(T[[#This Row],[qty_received]]&lt;&gt;T[[#This Row],[qty_invoiced]],IF(T[[#This Row],[qty_invoiced]]&gt;0,"Partial Invoiced","Not Invoiced"),"Fully Invoiced")</f>
        <v>Partial Invoiced</v>
      </c>
      <c r="R413" t="str">
        <f>IFERROR(VLOOKUP(T[[#This Row],[warehouse]],Table2[],2,FALSE),"--")</f>
        <v>--</v>
      </c>
    </row>
    <row r="414" spans="1:18" x14ac:dyDescent="0.25">
      <c r="A414" t="s">
        <v>500</v>
      </c>
      <c r="B414" s="1">
        <v>43611</v>
      </c>
      <c r="C414" t="s">
        <v>501</v>
      </c>
      <c r="D414" t="s">
        <v>20</v>
      </c>
      <c r="E414" t="s">
        <v>146</v>
      </c>
      <c r="F414" t="s">
        <v>415</v>
      </c>
      <c r="G414" t="s">
        <v>416</v>
      </c>
      <c r="H414" t="s">
        <v>417</v>
      </c>
      <c r="I414">
        <v>500</v>
      </c>
      <c r="J414">
        <v>500</v>
      </c>
      <c r="K414">
        <v>500</v>
      </c>
      <c r="L414" t="s">
        <v>25</v>
      </c>
      <c r="M414" t="s">
        <v>418</v>
      </c>
      <c r="N414">
        <v>500</v>
      </c>
      <c r="O414">
        <v>250000</v>
      </c>
      <c r="P414" t="str">
        <f>IF(T[[#This Row],[qty_ordered]]&lt;&gt;T[[#This Row],[qty_received]],IF(T[[#This Row],[qty_received]]&gt;0,"Partial Received","Not Receviced"),"FullyReceived")</f>
        <v>FullyReceived</v>
      </c>
      <c r="Q414" t="str">
        <f>IF(T[[#This Row],[qty_received]]&lt;&gt;T[[#This Row],[qty_invoiced]],IF(T[[#This Row],[qty_invoiced]]&gt;0,"Partial Invoiced","Not Invoiced"),"Fully Invoiced")</f>
        <v>Fully Invoiced</v>
      </c>
      <c r="R414" t="str">
        <f>IFERROR(VLOOKUP(T[[#This Row],[warehouse]],Table2[],2,FALSE),"--")</f>
        <v>Khtoum Main Warehouse</v>
      </c>
    </row>
    <row r="415" spans="1:18" x14ac:dyDescent="0.25">
      <c r="A415" t="s">
        <v>303</v>
      </c>
      <c r="B415" s="1">
        <v>43500</v>
      </c>
      <c r="C415" t="s">
        <v>304</v>
      </c>
      <c r="D415" t="s">
        <v>71</v>
      </c>
      <c r="E415" t="s">
        <v>66</v>
      </c>
      <c r="F415" t="s">
        <v>305</v>
      </c>
      <c r="G415" t="s">
        <v>306</v>
      </c>
      <c r="H415" t="s">
        <v>24</v>
      </c>
      <c r="I415">
        <v>1000</v>
      </c>
      <c r="J415">
        <v>564.12800000000004</v>
      </c>
      <c r="K415">
        <v>564.12800000000004</v>
      </c>
      <c r="L415" t="s">
        <v>25</v>
      </c>
      <c r="M415" t="s">
        <v>26</v>
      </c>
      <c r="N415">
        <v>10000</v>
      </c>
      <c r="O415">
        <v>5641280</v>
      </c>
      <c r="P415" t="str">
        <f>IF(T[[#This Row],[qty_ordered]]&lt;&gt;T[[#This Row],[qty_received]],IF(T[[#This Row],[qty_received]]&gt;0,"Partial Received","Not Receviced"),"FullyReceived")</f>
        <v>Partial Received</v>
      </c>
      <c r="Q415" t="str">
        <f>IF(T[[#This Row],[qty_received]]&lt;&gt;T[[#This Row],[qty_invoiced]],IF(T[[#This Row],[qty_invoiced]]&gt;0,"Partial Invoiced","Not Invoiced"),"Fully Invoiced")</f>
        <v>Fully Invoiced</v>
      </c>
      <c r="R415" t="str">
        <f>IFERROR(VLOOKUP(T[[#This Row],[warehouse]],Table2[],2,FALSE),"--")</f>
        <v>PZU Main Warehouse</v>
      </c>
    </row>
    <row r="416" spans="1:18" x14ac:dyDescent="0.25">
      <c r="A416" t="s">
        <v>502</v>
      </c>
      <c r="B416" s="1">
        <v>43705</v>
      </c>
      <c r="C416" t="s">
        <v>503</v>
      </c>
      <c r="D416" t="s">
        <v>71</v>
      </c>
      <c r="E416" t="s">
        <v>51</v>
      </c>
      <c r="F416" t="s">
        <v>247</v>
      </c>
      <c r="G416" t="s">
        <v>247</v>
      </c>
      <c r="H416" t="s">
        <v>54</v>
      </c>
      <c r="I416">
        <v>50</v>
      </c>
      <c r="J416">
        <v>0</v>
      </c>
      <c r="K416">
        <v>1</v>
      </c>
      <c r="L416" t="s">
        <v>25</v>
      </c>
      <c r="M416" t="s">
        <v>359</v>
      </c>
      <c r="N416">
        <v>2500</v>
      </c>
      <c r="O416">
        <v>0</v>
      </c>
      <c r="P416" t="str">
        <f>IF(T[[#This Row],[qty_ordered]]&lt;&gt;T[[#This Row],[qty_received]],IF(T[[#This Row],[qty_received]]&gt;0,"Partial Received","Not Receviced"),"FullyReceived")</f>
        <v>Not Receviced</v>
      </c>
      <c r="Q416" t="str">
        <f>IF(T[[#This Row],[qty_received]]&lt;&gt;T[[#This Row],[qty_invoiced]],IF(T[[#This Row],[qty_invoiced]]&gt;0,"Partial Invoiced","Not Invoiced"),"Fully Invoiced")</f>
        <v>Partial Invoiced</v>
      </c>
      <c r="R416" t="str">
        <f>IFERROR(VLOOKUP(T[[#This Row],[warehouse]],Table2[],2,FALSE),"--")</f>
        <v>--</v>
      </c>
    </row>
    <row r="417" spans="1:18" x14ac:dyDescent="0.25">
      <c r="A417" t="s">
        <v>462</v>
      </c>
      <c r="B417" s="1">
        <v>43643</v>
      </c>
      <c r="C417" t="s">
        <v>504</v>
      </c>
      <c r="D417" t="s">
        <v>322</v>
      </c>
      <c r="E417" t="s">
        <v>51</v>
      </c>
      <c r="F417" t="s">
        <v>247</v>
      </c>
      <c r="G417" t="s">
        <v>247</v>
      </c>
      <c r="H417" t="s">
        <v>54</v>
      </c>
      <c r="I417">
        <v>450</v>
      </c>
      <c r="J417">
        <v>0</v>
      </c>
      <c r="K417">
        <v>1</v>
      </c>
      <c r="L417" t="s">
        <v>25</v>
      </c>
      <c r="M417" t="s">
        <v>359</v>
      </c>
      <c r="N417">
        <v>3000</v>
      </c>
      <c r="O417">
        <v>0</v>
      </c>
      <c r="P417" t="str">
        <f>IF(T[[#This Row],[qty_ordered]]&lt;&gt;T[[#This Row],[qty_received]],IF(T[[#This Row],[qty_received]]&gt;0,"Partial Received","Not Receviced"),"FullyReceived")</f>
        <v>Not Receviced</v>
      </c>
      <c r="Q417" t="str">
        <f>IF(T[[#This Row],[qty_received]]&lt;&gt;T[[#This Row],[qty_invoiced]],IF(T[[#This Row],[qty_invoiced]]&gt;0,"Partial Invoiced","Not Invoiced"),"Fully Invoiced")</f>
        <v>Partial Invoiced</v>
      </c>
      <c r="R417" t="str">
        <f>IFERROR(VLOOKUP(T[[#This Row],[warehouse]],Table2[],2,FALSE),"--")</f>
        <v>--</v>
      </c>
    </row>
    <row r="418" spans="1:18" x14ac:dyDescent="0.25">
      <c r="A418" t="s">
        <v>462</v>
      </c>
      <c r="B418" s="1">
        <v>43643</v>
      </c>
      <c r="C418" t="s">
        <v>504</v>
      </c>
      <c r="D418" t="s">
        <v>323</v>
      </c>
      <c r="E418" t="s">
        <v>51</v>
      </c>
      <c r="F418" t="s">
        <v>247</v>
      </c>
      <c r="G418" t="s">
        <v>247</v>
      </c>
      <c r="H418" t="s">
        <v>54</v>
      </c>
      <c r="I418">
        <v>50</v>
      </c>
      <c r="J418">
        <v>0</v>
      </c>
      <c r="K418">
        <v>1</v>
      </c>
      <c r="L418" t="s">
        <v>25</v>
      </c>
      <c r="M418" t="s">
        <v>359</v>
      </c>
      <c r="N418">
        <v>3000</v>
      </c>
      <c r="O418">
        <v>0</v>
      </c>
      <c r="P418" t="str">
        <f>IF(T[[#This Row],[qty_ordered]]&lt;&gt;T[[#This Row],[qty_received]],IF(T[[#This Row],[qty_received]]&gt;0,"Partial Received","Not Receviced"),"FullyReceived")</f>
        <v>Not Receviced</v>
      </c>
      <c r="Q418" t="str">
        <f>IF(T[[#This Row],[qty_received]]&lt;&gt;T[[#This Row],[qty_invoiced]],IF(T[[#This Row],[qty_invoiced]]&gt;0,"Partial Invoiced","Not Invoiced"),"Fully Invoiced")</f>
        <v>Partial Invoiced</v>
      </c>
      <c r="R418" t="str">
        <f>IFERROR(VLOOKUP(T[[#This Row],[warehouse]],Table2[],2,FALSE),"--")</f>
        <v>--</v>
      </c>
    </row>
    <row r="419" spans="1:18" x14ac:dyDescent="0.25">
      <c r="A419" t="s">
        <v>505</v>
      </c>
      <c r="B419" s="1">
        <v>43710</v>
      </c>
      <c r="C419" t="s">
        <v>506</v>
      </c>
      <c r="D419" t="s">
        <v>20</v>
      </c>
      <c r="E419" t="s">
        <v>51</v>
      </c>
      <c r="F419" t="s">
        <v>247</v>
      </c>
      <c r="G419" t="s">
        <v>247</v>
      </c>
      <c r="H419" t="s">
        <v>54</v>
      </c>
      <c r="I419">
        <v>3000</v>
      </c>
      <c r="J419">
        <v>0</v>
      </c>
      <c r="K419">
        <v>1</v>
      </c>
      <c r="L419" t="s">
        <v>25</v>
      </c>
      <c r="M419" t="s">
        <v>359</v>
      </c>
      <c r="N419">
        <v>3350</v>
      </c>
      <c r="O419">
        <v>0</v>
      </c>
      <c r="P419" t="str">
        <f>IF(T[[#This Row],[qty_ordered]]&lt;&gt;T[[#This Row],[qty_received]],IF(T[[#This Row],[qty_received]]&gt;0,"Partial Received","Not Receviced"),"FullyReceived")</f>
        <v>Not Receviced</v>
      </c>
      <c r="Q419" t="str">
        <f>IF(T[[#This Row],[qty_received]]&lt;&gt;T[[#This Row],[qty_invoiced]],IF(T[[#This Row],[qty_invoiced]]&gt;0,"Partial Invoiced","Not Invoiced"),"Fully Invoiced")</f>
        <v>Partial Invoiced</v>
      </c>
      <c r="R419" t="str">
        <f>IFERROR(VLOOKUP(T[[#This Row],[warehouse]],Table2[],2,FALSE),"--")</f>
        <v>--</v>
      </c>
    </row>
    <row r="420" spans="1:18" x14ac:dyDescent="0.25">
      <c r="A420" t="s">
        <v>357</v>
      </c>
      <c r="B420" s="1">
        <v>43471</v>
      </c>
      <c r="C420" t="s">
        <v>358</v>
      </c>
      <c r="D420" t="s">
        <v>507</v>
      </c>
      <c r="E420" t="s">
        <v>51</v>
      </c>
      <c r="F420" t="s">
        <v>247</v>
      </c>
      <c r="G420" t="s">
        <v>247</v>
      </c>
      <c r="H420" t="s">
        <v>54</v>
      </c>
      <c r="I420">
        <v>1</v>
      </c>
      <c r="J420">
        <v>0</v>
      </c>
      <c r="K420">
        <v>1</v>
      </c>
      <c r="L420" t="s">
        <v>25</v>
      </c>
      <c r="M420" t="s">
        <v>359</v>
      </c>
      <c r="N420">
        <v>4400000</v>
      </c>
      <c r="O420">
        <v>0</v>
      </c>
      <c r="P420" t="str">
        <f>IF(T[[#This Row],[qty_ordered]]&lt;&gt;T[[#This Row],[qty_received]],IF(T[[#This Row],[qty_received]]&gt;0,"Partial Received","Not Receviced"),"FullyReceived")</f>
        <v>Not Receviced</v>
      </c>
      <c r="Q420" t="str">
        <f>IF(T[[#This Row],[qty_received]]&lt;&gt;T[[#This Row],[qty_invoiced]],IF(T[[#This Row],[qty_invoiced]]&gt;0,"Partial Invoiced","Not Invoiced"),"Fully Invoiced")</f>
        <v>Partial Invoiced</v>
      </c>
      <c r="R420" t="str">
        <f>IFERROR(VLOOKUP(T[[#This Row],[warehouse]],Table2[],2,FALSE),"--")</f>
        <v>--</v>
      </c>
    </row>
    <row r="421" spans="1:18" x14ac:dyDescent="0.25">
      <c r="A421" t="s">
        <v>357</v>
      </c>
      <c r="B421" s="1">
        <v>43471</v>
      </c>
      <c r="C421" t="s">
        <v>358</v>
      </c>
      <c r="D421" t="s">
        <v>508</v>
      </c>
      <c r="E421" t="s">
        <v>51</v>
      </c>
      <c r="F421" t="s">
        <v>52</v>
      </c>
      <c r="G421" t="s">
        <v>75</v>
      </c>
      <c r="H421" t="s">
        <v>54</v>
      </c>
      <c r="I421">
        <v>786.66</v>
      </c>
      <c r="J421">
        <v>0</v>
      </c>
      <c r="K421">
        <v>1</v>
      </c>
      <c r="L421" t="s">
        <v>25</v>
      </c>
      <c r="M421" t="s">
        <v>359</v>
      </c>
      <c r="N421">
        <v>137.38999999999999</v>
      </c>
      <c r="O421">
        <v>0</v>
      </c>
      <c r="P421" t="str">
        <f>IF(T[[#This Row],[qty_ordered]]&lt;&gt;T[[#This Row],[qty_received]],IF(T[[#This Row],[qty_received]]&gt;0,"Partial Received","Not Receviced"),"FullyReceived")</f>
        <v>Not Receviced</v>
      </c>
      <c r="Q421" t="str">
        <f>IF(T[[#This Row],[qty_received]]&lt;&gt;T[[#This Row],[qty_invoiced]],IF(T[[#This Row],[qty_invoiced]]&gt;0,"Partial Invoiced","Not Invoiced"),"Fully Invoiced")</f>
        <v>Partial Invoiced</v>
      </c>
      <c r="R421" t="str">
        <f>IFERROR(VLOOKUP(T[[#This Row],[warehouse]],Table2[],2,FALSE),"--")</f>
        <v>--</v>
      </c>
    </row>
    <row r="422" spans="1:18" x14ac:dyDescent="0.25">
      <c r="A422" t="s">
        <v>357</v>
      </c>
      <c r="B422" s="1">
        <v>43471</v>
      </c>
      <c r="C422" t="s">
        <v>358</v>
      </c>
      <c r="D422" t="s">
        <v>509</v>
      </c>
      <c r="E422" t="s">
        <v>51</v>
      </c>
      <c r="F422" t="s">
        <v>267</v>
      </c>
      <c r="G422" t="s">
        <v>267</v>
      </c>
      <c r="H422" t="s">
        <v>54</v>
      </c>
      <c r="I422">
        <v>975</v>
      </c>
      <c r="J422">
        <v>0</v>
      </c>
      <c r="K422">
        <v>1</v>
      </c>
      <c r="L422" t="s">
        <v>25</v>
      </c>
      <c r="M422" t="s">
        <v>359</v>
      </c>
      <c r="N422">
        <v>20</v>
      </c>
      <c r="O422">
        <v>0</v>
      </c>
      <c r="P422" t="str">
        <f>IF(T[[#This Row],[qty_ordered]]&lt;&gt;T[[#This Row],[qty_received]],IF(T[[#This Row],[qty_received]]&gt;0,"Partial Received","Not Receviced"),"FullyReceived")</f>
        <v>Not Receviced</v>
      </c>
      <c r="Q422" t="str">
        <f>IF(T[[#This Row],[qty_received]]&lt;&gt;T[[#This Row],[qty_invoiced]],IF(T[[#This Row],[qty_invoiced]]&gt;0,"Partial Invoiced","Not Invoiced"),"Fully Invoiced")</f>
        <v>Partial Invoiced</v>
      </c>
      <c r="R422" t="str">
        <f>IFERROR(VLOOKUP(T[[#This Row],[warehouse]],Table2[],2,FALSE),"--")</f>
        <v>--</v>
      </c>
    </row>
    <row r="423" spans="1:18" x14ac:dyDescent="0.25">
      <c r="A423" t="s">
        <v>357</v>
      </c>
      <c r="B423" s="1">
        <v>43471</v>
      </c>
      <c r="C423" t="s">
        <v>358</v>
      </c>
      <c r="D423" t="s">
        <v>510</v>
      </c>
      <c r="E423" t="s">
        <v>51</v>
      </c>
      <c r="F423" t="s">
        <v>433</v>
      </c>
      <c r="G423" t="s">
        <v>433</v>
      </c>
      <c r="H423" t="s">
        <v>54</v>
      </c>
      <c r="I423">
        <v>587.5</v>
      </c>
      <c r="J423">
        <v>0</v>
      </c>
      <c r="K423">
        <v>1</v>
      </c>
      <c r="L423" t="s">
        <v>25</v>
      </c>
      <c r="M423" t="s">
        <v>359</v>
      </c>
      <c r="N423">
        <v>50</v>
      </c>
      <c r="O423">
        <v>0</v>
      </c>
      <c r="P423" t="str">
        <f>IF(T[[#This Row],[qty_ordered]]&lt;&gt;T[[#This Row],[qty_received]],IF(T[[#This Row],[qty_received]]&gt;0,"Partial Received","Not Receviced"),"FullyReceived")</f>
        <v>Not Receviced</v>
      </c>
      <c r="Q423" t="str">
        <f>IF(T[[#This Row],[qty_received]]&lt;&gt;T[[#This Row],[qty_invoiced]],IF(T[[#This Row],[qty_invoiced]]&gt;0,"Partial Invoiced","Not Invoiced"),"Fully Invoiced")</f>
        <v>Partial Invoiced</v>
      </c>
      <c r="R423" t="str">
        <f>IFERROR(VLOOKUP(T[[#This Row],[warehouse]],Table2[],2,FALSE),"--")</f>
        <v>--</v>
      </c>
    </row>
    <row r="424" spans="1:18" x14ac:dyDescent="0.25">
      <c r="A424" t="s">
        <v>357</v>
      </c>
      <c r="B424" s="1">
        <v>43471</v>
      </c>
      <c r="C424" t="s">
        <v>358</v>
      </c>
      <c r="D424" t="s">
        <v>511</v>
      </c>
      <c r="E424" t="s">
        <v>51</v>
      </c>
      <c r="F424" t="s">
        <v>52</v>
      </c>
      <c r="G424" t="s">
        <v>75</v>
      </c>
      <c r="H424" t="s">
        <v>54</v>
      </c>
      <c r="I424">
        <v>650</v>
      </c>
      <c r="J424">
        <v>0</v>
      </c>
      <c r="K424">
        <v>1</v>
      </c>
      <c r="L424" t="s">
        <v>25</v>
      </c>
      <c r="M424" t="s">
        <v>359</v>
      </c>
      <c r="N424">
        <v>108</v>
      </c>
      <c r="O424">
        <v>0</v>
      </c>
      <c r="P424" t="str">
        <f>IF(T[[#This Row],[qty_ordered]]&lt;&gt;T[[#This Row],[qty_received]],IF(T[[#This Row],[qty_received]]&gt;0,"Partial Received","Not Receviced"),"FullyReceived")</f>
        <v>Not Receviced</v>
      </c>
      <c r="Q424" t="str">
        <f>IF(T[[#This Row],[qty_received]]&lt;&gt;T[[#This Row],[qty_invoiced]],IF(T[[#This Row],[qty_invoiced]]&gt;0,"Partial Invoiced","Not Invoiced"),"Fully Invoiced")</f>
        <v>Partial Invoiced</v>
      </c>
      <c r="R424" t="str">
        <f>IFERROR(VLOOKUP(T[[#This Row],[warehouse]],Table2[],2,FALSE),"--")</f>
        <v>--</v>
      </c>
    </row>
    <row r="425" spans="1:18" x14ac:dyDescent="0.25">
      <c r="A425" t="s">
        <v>357</v>
      </c>
      <c r="B425" s="1">
        <v>43471</v>
      </c>
      <c r="C425" t="s">
        <v>358</v>
      </c>
      <c r="D425" t="s">
        <v>512</v>
      </c>
      <c r="E425" t="s">
        <v>51</v>
      </c>
      <c r="F425" t="s">
        <v>390</v>
      </c>
      <c r="G425" t="s">
        <v>390</v>
      </c>
      <c r="H425" t="s">
        <v>54</v>
      </c>
      <c r="I425">
        <v>551.4</v>
      </c>
      <c r="J425">
        <v>0</v>
      </c>
      <c r="K425">
        <v>1</v>
      </c>
      <c r="L425" t="s">
        <v>25</v>
      </c>
      <c r="M425" t="s">
        <v>359</v>
      </c>
      <c r="N425">
        <v>20</v>
      </c>
      <c r="O425">
        <v>0</v>
      </c>
      <c r="P425" t="str">
        <f>IF(T[[#This Row],[qty_ordered]]&lt;&gt;T[[#This Row],[qty_received]],IF(T[[#This Row],[qty_received]]&gt;0,"Partial Received","Not Receviced"),"FullyReceived")</f>
        <v>Not Receviced</v>
      </c>
      <c r="Q425" t="str">
        <f>IF(T[[#This Row],[qty_received]]&lt;&gt;T[[#This Row],[qty_invoiced]],IF(T[[#This Row],[qty_invoiced]]&gt;0,"Partial Invoiced","Not Invoiced"),"Fully Invoiced")</f>
        <v>Partial Invoiced</v>
      </c>
      <c r="R425" t="str">
        <f>IFERROR(VLOOKUP(T[[#This Row],[warehouse]],Table2[],2,FALSE),"--")</f>
        <v>--</v>
      </c>
    </row>
    <row r="426" spans="1:18" x14ac:dyDescent="0.25">
      <c r="A426" t="s">
        <v>357</v>
      </c>
      <c r="B426" s="1">
        <v>43471</v>
      </c>
      <c r="C426" t="s">
        <v>358</v>
      </c>
      <c r="D426" t="s">
        <v>513</v>
      </c>
      <c r="E426" t="s">
        <v>51</v>
      </c>
      <c r="F426" t="s">
        <v>52</v>
      </c>
      <c r="G426" t="s">
        <v>75</v>
      </c>
      <c r="H426" t="s">
        <v>54</v>
      </c>
      <c r="I426">
        <v>1884.22</v>
      </c>
      <c r="J426">
        <v>0</v>
      </c>
      <c r="K426">
        <v>1</v>
      </c>
      <c r="L426" t="s">
        <v>25</v>
      </c>
      <c r="M426" t="s">
        <v>359</v>
      </c>
      <c r="N426">
        <v>10</v>
      </c>
      <c r="O426">
        <v>0</v>
      </c>
      <c r="P426" t="str">
        <f>IF(T[[#This Row],[qty_ordered]]&lt;&gt;T[[#This Row],[qty_received]],IF(T[[#This Row],[qty_received]]&gt;0,"Partial Received","Not Receviced"),"FullyReceived")</f>
        <v>Not Receviced</v>
      </c>
      <c r="Q426" t="str">
        <f>IF(T[[#This Row],[qty_received]]&lt;&gt;T[[#This Row],[qty_invoiced]],IF(T[[#This Row],[qty_invoiced]]&gt;0,"Partial Invoiced","Not Invoiced"),"Fully Invoiced")</f>
        <v>Partial Invoiced</v>
      </c>
      <c r="R426" t="str">
        <f>IFERROR(VLOOKUP(T[[#This Row],[warehouse]],Table2[],2,FALSE),"--")</f>
        <v>--</v>
      </c>
    </row>
    <row r="427" spans="1:18" x14ac:dyDescent="0.25">
      <c r="A427" t="s">
        <v>153</v>
      </c>
      <c r="B427" s="1">
        <v>43718</v>
      </c>
      <c r="C427" t="s">
        <v>514</v>
      </c>
      <c r="D427" t="s">
        <v>20</v>
      </c>
      <c r="E427" t="s">
        <v>214</v>
      </c>
      <c r="F427" t="s">
        <v>515</v>
      </c>
      <c r="G427" t="s">
        <v>516</v>
      </c>
      <c r="H427" t="s">
        <v>123</v>
      </c>
      <c r="I427">
        <v>20000</v>
      </c>
      <c r="J427">
        <v>18350</v>
      </c>
      <c r="K427">
        <v>18350</v>
      </c>
      <c r="L427" t="s">
        <v>25</v>
      </c>
      <c r="M427" t="s">
        <v>132</v>
      </c>
      <c r="N427">
        <v>918.75</v>
      </c>
      <c r="O427">
        <v>16859062.5</v>
      </c>
      <c r="P427" t="str">
        <f>IF(T[[#This Row],[qty_ordered]]&lt;&gt;T[[#This Row],[qty_received]],IF(T[[#This Row],[qty_received]]&gt;0,"Partial Received","Not Receviced"),"FullyReceived")</f>
        <v>Partial Received</v>
      </c>
      <c r="Q427" t="str">
        <f>IF(T[[#This Row],[qty_received]]&lt;&gt;T[[#This Row],[qty_invoiced]],IF(T[[#This Row],[qty_invoiced]]&gt;0,"Partial Invoiced","Not Invoiced"),"Fully Invoiced")</f>
        <v>Fully Invoiced</v>
      </c>
      <c r="R427" t="str">
        <f>IFERROR(VLOOKUP(T[[#This Row],[warehouse]],Table2[],2,FALSE),"--")</f>
        <v>CRUSHER ELBALOLA</v>
      </c>
    </row>
    <row r="428" spans="1:18" x14ac:dyDescent="0.25">
      <c r="A428" t="s">
        <v>462</v>
      </c>
      <c r="B428" s="1">
        <v>43643</v>
      </c>
      <c r="C428" t="s">
        <v>504</v>
      </c>
      <c r="D428" t="s">
        <v>324</v>
      </c>
      <c r="E428" t="s">
        <v>51</v>
      </c>
      <c r="F428" t="s">
        <v>247</v>
      </c>
      <c r="G428" t="s">
        <v>247</v>
      </c>
      <c r="H428" t="s">
        <v>54</v>
      </c>
      <c r="I428">
        <v>450</v>
      </c>
      <c r="J428">
        <v>0</v>
      </c>
      <c r="K428">
        <v>1</v>
      </c>
      <c r="L428" t="s">
        <v>25</v>
      </c>
      <c r="M428" t="s">
        <v>359</v>
      </c>
      <c r="N428">
        <v>3000</v>
      </c>
      <c r="O428">
        <v>0</v>
      </c>
      <c r="P428" t="str">
        <f>IF(T[[#This Row],[qty_ordered]]&lt;&gt;T[[#This Row],[qty_received]],IF(T[[#This Row],[qty_received]]&gt;0,"Partial Received","Not Receviced"),"FullyReceived")</f>
        <v>Not Receviced</v>
      </c>
      <c r="Q428" t="str">
        <f>IF(T[[#This Row],[qty_received]]&lt;&gt;T[[#This Row],[qty_invoiced]],IF(T[[#This Row],[qty_invoiced]]&gt;0,"Partial Invoiced","Not Invoiced"),"Fully Invoiced")</f>
        <v>Partial Invoiced</v>
      </c>
      <c r="R428" t="str">
        <f>IFERROR(VLOOKUP(T[[#This Row],[warehouse]],Table2[],2,FALSE),"--")</f>
        <v>--</v>
      </c>
    </row>
    <row r="429" spans="1:18" x14ac:dyDescent="0.25">
      <c r="A429" t="s">
        <v>462</v>
      </c>
      <c r="B429" s="1">
        <v>43643</v>
      </c>
      <c r="C429" t="s">
        <v>504</v>
      </c>
      <c r="D429" t="s">
        <v>325</v>
      </c>
      <c r="E429" t="s">
        <v>51</v>
      </c>
      <c r="F429" t="s">
        <v>247</v>
      </c>
      <c r="G429" t="s">
        <v>247</v>
      </c>
      <c r="H429" t="s">
        <v>54</v>
      </c>
      <c r="I429">
        <v>50</v>
      </c>
      <c r="J429">
        <v>0</v>
      </c>
      <c r="K429">
        <v>1</v>
      </c>
      <c r="L429" t="s">
        <v>25</v>
      </c>
      <c r="M429" t="s">
        <v>359</v>
      </c>
      <c r="N429">
        <v>3000</v>
      </c>
      <c r="O429">
        <v>0</v>
      </c>
      <c r="P429" t="str">
        <f>IF(T[[#This Row],[qty_ordered]]&lt;&gt;T[[#This Row],[qty_received]],IF(T[[#This Row],[qty_received]]&gt;0,"Partial Received","Not Receviced"),"FullyReceived")</f>
        <v>Not Receviced</v>
      </c>
      <c r="Q429" t="str">
        <f>IF(T[[#This Row],[qty_received]]&lt;&gt;T[[#This Row],[qty_invoiced]],IF(T[[#This Row],[qty_invoiced]]&gt;0,"Partial Invoiced","Not Invoiced"),"Fully Invoiced")</f>
        <v>Partial Invoiced</v>
      </c>
      <c r="R429" t="str">
        <f>IFERROR(VLOOKUP(T[[#This Row],[warehouse]],Table2[],2,FALSE),"--")</f>
        <v>--</v>
      </c>
    </row>
    <row r="430" spans="1:18" x14ac:dyDescent="0.25">
      <c r="A430" t="s">
        <v>160</v>
      </c>
      <c r="B430" s="1">
        <v>43474</v>
      </c>
      <c r="C430" t="s">
        <v>366</v>
      </c>
      <c r="D430" t="s">
        <v>71</v>
      </c>
      <c r="E430" t="s">
        <v>28</v>
      </c>
      <c r="F430" t="s">
        <v>22</v>
      </c>
      <c r="G430" t="s">
        <v>23</v>
      </c>
      <c r="H430" t="s">
        <v>24</v>
      </c>
      <c r="I430">
        <v>3500</v>
      </c>
      <c r="J430">
        <v>2048.7399999999998</v>
      </c>
      <c r="K430">
        <v>2048.7399999999998</v>
      </c>
      <c r="L430" t="s">
        <v>25</v>
      </c>
      <c r="M430" t="s">
        <v>26</v>
      </c>
      <c r="N430">
        <v>32585</v>
      </c>
      <c r="O430">
        <v>66758192.899999999</v>
      </c>
      <c r="P430" t="str">
        <f>IF(T[[#This Row],[qty_ordered]]&lt;&gt;T[[#This Row],[qty_received]],IF(T[[#This Row],[qty_received]]&gt;0,"Partial Received","Not Receviced"),"FullyReceived")</f>
        <v>Partial Received</v>
      </c>
      <c r="Q430" t="str">
        <f>IF(T[[#This Row],[qty_received]]&lt;&gt;T[[#This Row],[qty_invoiced]],IF(T[[#This Row],[qty_invoiced]]&gt;0,"Partial Invoiced","Not Invoiced"),"Fully Invoiced")</f>
        <v>Fully Invoiced</v>
      </c>
      <c r="R430" t="str">
        <f>IFERROR(VLOOKUP(T[[#This Row],[warehouse]],Table2[],2,FALSE),"--")</f>
        <v>Crusher KHN -ASVOC</v>
      </c>
    </row>
    <row r="431" spans="1:18" x14ac:dyDescent="0.25">
      <c r="A431" t="s">
        <v>160</v>
      </c>
      <c r="B431" s="1">
        <v>43718</v>
      </c>
      <c r="C431" t="s">
        <v>517</v>
      </c>
      <c r="D431" t="s">
        <v>20</v>
      </c>
      <c r="E431" t="s">
        <v>66</v>
      </c>
      <c r="F431" t="s">
        <v>518</v>
      </c>
      <c r="G431" t="s">
        <v>472</v>
      </c>
      <c r="H431" t="s">
        <v>123</v>
      </c>
      <c r="I431">
        <v>4000</v>
      </c>
      <c r="J431">
        <v>1794</v>
      </c>
      <c r="K431">
        <v>1794</v>
      </c>
      <c r="L431" t="s">
        <v>25</v>
      </c>
      <c r="M431" t="s">
        <v>132</v>
      </c>
      <c r="N431">
        <v>2650</v>
      </c>
      <c r="O431">
        <v>4754100</v>
      </c>
      <c r="P431" t="str">
        <f>IF(T[[#This Row],[qty_ordered]]&lt;&gt;T[[#This Row],[qty_received]],IF(T[[#This Row],[qty_received]]&gt;0,"Partial Received","Not Receviced"),"FullyReceived")</f>
        <v>Partial Received</v>
      </c>
      <c r="Q431" t="str">
        <f>IF(T[[#This Row],[qty_received]]&lt;&gt;T[[#This Row],[qty_invoiced]],IF(T[[#This Row],[qty_invoiced]]&gt;0,"Partial Invoiced","Not Invoiced"),"Fully Invoiced")</f>
        <v>Fully Invoiced</v>
      </c>
      <c r="R431" t="str">
        <f>IFERROR(VLOOKUP(T[[#This Row],[warehouse]],Table2[],2,FALSE),"--")</f>
        <v>PZU Main Warehouse</v>
      </c>
    </row>
    <row r="432" spans="1:18" x14ac:dyDescent="0.25">
      <c r="A432" t="s">
        <v>84</v>
      </c>
      <c r="B432" s="1">
        <v>43730</v>
      </c>
      <c r="C432" t="s">
        <v>519</v>
      </c>
      <c r="D432" t="s">
        <v>20</v>
      </c>
      <c r="E432" t="s">
        <v>281</v>
      </c>
      <c r="F432" t="s">
        <v>167</v>
      </c>
      <c r="G432" t="s">
        <v>156</v>
      </c>
      <c r="H432" t="s">
        <v>24</v>
      </c>
      <c r="I432">
        <v>543.47799999999995</v>
      </c>
      <c r="J432">
        <v>201.12</v>
      </c>
      <c r="K432">
        <v>201.12</v>
      </c>
      <c r="L432" t="s">
        <v>25</v>
      </c>
      <c r="M432" t="s">
        <v>132</v>
      </c>
      <c r="N432">
        <v>92000</v>
      </c>
      <c r="O432">
        <v>18503040</v>
      </c>
      <c r="P432" t="str">
        <f>IF(T[[#This Row],[qty_ordered]]&lt;&gt;T[[#This Row],[qty_received]],IF(T[[#This Row],[qty_received]]&gt;0,"Partial Received","Not Receviced"),"FullyReceived")</f>
        <v>Partial Received</v>
      </c>
      <c r="Q432" t="str">
        <f>IF(T[[#This Row],[qty_received]]&lt;&gt;T[[#This Row],[qty_invoiced]],IF(T[[#This Row],[qty_invoiced]]&gt;0,"Partial Invoiced","Not Invoiced"),"Fully Invoiced")</f>
        <v>Fully Invoiced</v>
      </c>
      <c r="R432" t="str">
        <f>IFERROR(VLOOKUP(T[[#This Row],[warehouse]],Table2[],2,FALSE),"--")</f>
        <v>Crusher Alm Eldin-KH</v>
      </c>
    </row>
    <row r="433" spans="1:18" x14ac:dyDescent="0.25">
      <c r="A433" t="s">
        <v>235</v>
      </c>
      <c r="B433" s="1">
        <v>43732</v>
      </c>
      <c r="C433" t="s">
        <v>520</v>
      </c>
      <c r="D433" t="s">
        <v>20</v>
      </c>
      <c r="E433" t="s">
        <v>51</v>
      </c>
      <c r="F433" t="s">
        <v>52</v>
      </c>
      <c r="G433" t="s">
        <v>75</v>
      </c>
      <c r="H433" t="s">
        <v>54</v>
      </c>
      <c r="I433">
        <v>1000</v>
      </c>
      <c r="J433">
        <v>0</v>
      </c>
      <c r="K433">
        <v>1</v>
      </c>
      <c r="L433" t="s">
        <v>25</v>
      </c>
      <c r="M433" t="s">
        <v>359</v>
      </c>
      <c r="N433">
        <v>2.85</v>
      </c>
      <c r="O433">
        <v>0</v>
      </c>
      <c r="P433" t="str">
        <f>IF(T[[#This Row],[qty_ordered]]&lt;&gt;T[[#This Row],[qty_received]],IF(T[[#This Row],[qty_received]]&gt;0,"Partial Received","Not Receviced"),"FullyReceived")</f>
        <v>Not Receviced</v>
      </c>
      <c r="Q433" t="str">
        <f>IF(T[[#This Row],[qty_received]]&lt;&gt;T[[#This Row],[qty_invoiced]],IF(T[[#This Row],[qty_invoiced]]&gt;0,"Partial Invoiced","Not Invoiced"),"Fully Invoiced")</f>
        <v>Partial Invoiced</v>
      </c>
      <c r="R433" t="str">
        <f>IFERROR(VLOOKUP(T[[#This Row],[warehouse]],Table2[],2,FALSE),"--")</f>
        <v>--</v>
      </c>
    </row>
    <row r="434" spans="1:18" x14ac:dyDescent="0.25">
      <c r="A434" t="s">
        <v>521</v>
      </c>
      <c r="B434" s="1">
        <v>43678</v>
      </c>
      <c r="C434" t="s">
        <v>522</v>
      </c>
      <c r="D434" t="s">
        <v>100</v>
      </c>
      <c r="E434" t="s">
        <v>51</v>
      </c>
      <c r="F434" t="s">
        <v>52</v>
      </c>
      <c r="G434" t="s">
        <v>75</v>
      </c>
      <c r="H434" t="s">
        <v>54</v>
      </c>
      <c r="I434">
        <v>4770.38</v>
      </c>
      <c r="J434">
        <v>0</v>
      </c>
      <c r="K434">
        <v>1</v>
      </c>
      <c r="L434" t="s">
        <v>25</v>
      </c>
      <c r="M434" t="s">
        <v>359</v>
      </c>
      <c r="N434">
        <v>20</v>
      </c>
      <c r="O434">
        <v>0</v>
      </c>
      <c r="P434" t="str">
        <f>IF(T[[#This Row],[qty_ordered]]&lt;&gt;T[[#This Row],[qty_received]],IF(T[[#This Row],[qty_received]]&gt;0,"Partial Received","Not Receviced"),"FullyReceived")</f>
        <v>Not Receviced</v>
      </c>
      <c r="Q434" t="str">
        <f>IF(T[[#This Row],[qty_received]]&lt;&gt;T[[#This Row],[qty_invoiced]],IF(T[[#This Row],[qty_invoiced]]&gt;0,"Partial Invoiced","Not Invoiced"),"Fully Invoiced")</f>
        <v>Partial Invoiced</v>
      </c>
      <c r="R434" t="str">
        <f>IFERROR(VLOOKUP(T[[#This Row],[warehouse]],Table2[],2,FALSE),"--")</f>
        <v>--</v>
      </c>
    </row>
    <row r="435" spans="1:18" x14ac:dyDescent="0.25">
      <c r="A435" t="s">
        <v>521</v>
      </c>
      <c r="B435" s="1">
        <v>43678</v>
      </c>
      <c r="C435" t="s">
        <v>522</v>
      </c>
      <c r="D435" t="s">
        <v>88</v>
      </c>
      <c r="E435" t="s">
        <v>51</v>
      </c>
      <c r="F435" t="s">
        <v>52</v>
      </c>
      <c r="G435" t="s">
        <v>75</v>
      </c>
      <c r="H435" t="s">
        <v>54</v>
      </c>
      <c r="I435">
        <v>144.01</v>
      </c>
      <c r="J435">
        <v>0</v>
      </c>
      <c r="K435">
        <v>1</v>
      </c>
      <c r="L435" t="s">
        <v>25</v>
      </c>
      <c r="M435" t="s">
        <v>359</v>
      </c>
      <c r="N435">
        <v>20</v>
      </c>
      <c r="O435">
        <v>0</v>
      </c>
      <c r="P435" t="str">
        <f>IF(T[[#This Row],[qty_ordered]]&lt;&gt;T[[#This Row],[qty_received]],IF(T[[#This Row],[qty_received]]&gt;0,"Partial Received","Not Receviced"),"FullyReceived")</f>
        <v>Not Receviced</v>
      </c>
      <c r="Q435" t="str">
        <f>IF(T[[#This Row],[qty_received]]&lt;&gt;T[[#This Row],[qty_invoiced]],IF(T[[#This Row],[qty_invoiced]]&gt;0,"Partial Invoiced","Not Invoiced"),"Fully Invoiced")</f>
        <v>Partial Invoiced</v>
      </c>
      <c r="R435" t="str">
        <f>IFERROR(VLOOKUP(T[[#This Row],[warehouse]],Table2[],2,FALSE),"--")</f>
        <v>--</v>
      </c>
    </row>
    <row r="436" spans="1:18" x14ac:dyDescent="0.25">
      <c r="A436" t="s">
        <v>523</v>
      </c>
      <c r="B436" s="1">
        <v>43733</v>
      </c>
      <c r="C436" t="s">
        <v>524</v>
      </c>
      <c r="D436" t="s">
        <v>20</v>
      </c>
      <c r="E436" t="s">
        <v>66</v>
      </c>
      <c r="F436" t="s">
        <v>196</v>
      </c>
      <c r="G436" t="s">
        <v>197</v>
      </c>
      <c r="H436" t="s">
        <v>24</v>
      </c>
      <c r="I436">
        <v>1500.2</v>
      </c>
      <c r="J436">
        <v>1500.2</v>
      </c>
      <c r="K436">
        <v>1500.2</v>
      </c>
      <c r="L436" t="s">
        <v>25</v>
      </c>
      <c r="M436" t="s">
        <v>132</v>
      </c>
      <c r="N436">
        <v>18342.66</v>
      </c>
      <c r="O436">
        <v>27517658.532000002</v>
      </c>
      <c r="P436" t="str">
        <f>IF(T[[#This Row],[qty_ordered]]&lt;&gt;T[[#This Row],[qty_received]],IF(T[[#This Row],[qty_received]]&gt;0,"Partial Received","Not Receviced"),"FullyReceived")</f>
        <v>FullyReceived</v>
      </c>
      <c r="Q436" t="str">
        <f>IF(T[[#This Row],[qty_received]]&lt;&gt;T[[#This Row],[qty_invoiced]],IF(T[[#This Row],[qty_invoiced]]&gt;0,"Partial Invoiced","Not Invoiced"),"Fully Invoiced")</f>
        <v>Fully Invoiced</v>
      </c>
      <c r="R436" t="str">
        <f>IFERROR(VLOOKUP(T[[#This Row],[warehouse]],Table2[],2,FALSE),"--")</f>
        <v>PZU Main Warehouse</v>
      </c>
    </row>
    <row r="437" spans="1:18" x14ac:dyDescent="0.25">
      <c r="A437" t="s">
        <v>84</v>
      </c>
      <c r="B437" s="1">
        <v>43738</v>
      </c>
      <c r="C437" t="s">
        <v>525</v>
      </c>
      <c r="D437" t="s">
        <v>20</v>
      </c>
      <c r="E437" t="s">
        <v>281</v>
      </c>
      <c r="F437" t="s">
        <v>526</v>
      </c>
      <c r="G437" t="s">
        <v>472</v>
      </c>
      <c r="H437" t="s">
        <v>123</v>
      </c>
      <c r="I437">
        <v>8000</v>
      </c>
      <c r="J437">
        <v>8000</v>
      </c>
      <c r="K437">
        <v>8000</v>
      </c>
      <c r="L437" t="s">
        <v>25</v>
      </c>
      <c r="M437" t="s">
        <v>132</v>
      </c>
      <c r="N437">
        <v>2875</v>
      </c>
      <c r="O437">
        <v>23000000</v>
      </c>
      <c r="P437" t="str">
        <f>IF(T[[#This Row],[qty_ordered]]&lt;&gt;T[[#This Row],[qty_received]],IF(T[[#This Row],[qty_received]]&gt;0,"Partial Received","Not Receviced"),"FullyReceived")</f>
        <v>FullyReceived</v>
      </c>
      <c r="Q437" t="str">
        <f>IF(T[[#This Row],[qty_received]]&lt;&gt;T[[#This Row],[qty_invoiced]],IF(T[[#This Row],[qty_invoiced]]&gt;0,"Partial Invoiced","Not Invoiced"),"Fully Invoiced")</f>
        <v>Fully Invoiced</v>
      </c>
      <c r="R437" t="str">
        <f>IFERROR(VLOOKUP(T[[#This Row],[warehouse]],Table2[],2,FALSE),"--")</f>
        <v>Crusher Alm Eldin-KH</v>
      </c>
    </row>
    <row r="438" spans="1:18" x14ac:dyDescent="0.25">
      <c r="A438" t="s">
        <v>84</v>
      </c>
      <c r="B438" s="1">
        <v>43738</v>
      </c>
      <c r="C438" t="s">
        <v>527</v>
      </c>
      <c r="D438" t="s">
        <v>20</v>
      </c>
      <c r="E438" t="s">
        <v>281</v>
      </c>
      <c r="F438" t="s">
        <v>515</v>
      </c>
      <c r="G438" t="s">
        <v>516</v>
      </c>
      <c r="H438" t="s">
        <v>123</v>
      </c>
      <c r="I438">
        <v>8100</v>
      </c>
      <c r="J438">
        <v>8100</v>
      </c>
      <c r="K438">
        <v>8100</v>
      </c>
      <c r="L438" t="s">
        <v>25</v>
      </c>
      <c r="M438" t="s">
        <v>132</v>
      </c>
      <c r="N438">
        <v>1000</v>
      </c>
      <c r="O438">
        <v>8100000</v>
      </c>
      <c r="P438" t="str">
        <f>IF(T[[#This Row],[qty_ordered]]&lt;&gt;T[[#This Row],[qty_received]],IF(T[[#This Row],[qty_received]]&gt;0,"Partial Received","Not Receviced"),"FullyReceived")</f>
        <v>FullyReceived</v>
      </c>
      <c r="Q438" t="str">
        <f>IF(T[[#This Row],[qty_received]]&lt;&gt;T[[#This Row],[qty_invoiced]],IF(T[[#This Row],[qty_invoiced]]&gt;0,"Partial Invoiced","Not Invoiced"),"Fully Invoiced")</f>
        <v>Fully Invoiced</v>
      </c>
      <c r="R438" t="str">
        <f>IFERROR(VLOOKUP(T[[#This Row],[warehouse]],Table2[],2,FALSE),"--")</f>
        <v>Crusher Alm Eldin-KH</v>
      </c>
    </row>
    <row r="439" spans="1:18" x14ac:dyDescent="0.25">
      <c r="A439" t="s">
        <v>303</v>
      </c>
      <c r="B439" s="1">
        <v>43738</v>
      </c>
      <c r="C439" t="s">
        <v>528</v>
      </c>
      <c r="D439" t="s">
        <v>20</v>
      </c>
      <c r="E439" t="s">
        <v>66</v>
      </c>
      <c r="F439" t="s">
        <v>529</v>
      </c>
      <c r="G439" t="s">
        <v>530</v>
      </c>
      <c r="H439" t="s">
        <v>531</v>
      </c>
      <c r="I439">
        <v>20000</v>
      </c>
      <c r="J439">
        <v>17551</v>
      </c>
      <c r="K439">
        <v>17551</v>
      </c>
      <c r="L439" t="s">
        <v>25</v>
      </c>
      <c r="M439" t="s">
        <v>132</v>
      </c>
      <c r="N439">
        <v>5000</v>
      </c>
      <c r="O439">
        <v>87755000</v>
      </c>
      <c r="P439" t="str">
        <f>IF(T[[#This Row],[qty_ordered]]&lt;&gt;T[[#This Row],[qty_received]],IF(T[[#This Row],[qty_received]]&gt;0,"Partial Received","Not Receviced"),"FullyReceived")</f>
        <v>Partial Received</v>
      </c>
      <c r="Q439" t="str">
        <f>IF(T[[#This Row],[qty_received]]&lt;&gt;T[[#This Row],[qty_invoiced]],IF(T[[#This Row],[qty_invoiced]]&gt;0,"Partial Invoiced","Not Invoiced"),"Fully Invoiced")</f>
        <v>Fully Invoiced</v>
      </c>
      <c r="R439" t="str">
        <f>IFERROR(VLOOKUP(T[[#This Row],[warehouse]],Table2[],2,FALSE),"--")</f>
        <v>PZU Main Warehouse</v>
      </c>
    </row>
    <row r="440" spans="1:18" x14ac:dyDescent="0.25">
      <c r="A440" t="s">
        <v>181</v>
      </c>
      <c r="B440" s="1">
        <v>43787</v>
      </c>
      <c r="C440" t="s">
        <v>532</v>
      </c>
      <c r="D440" t="s">
        <v>20</v>
      </c>
      <c r="E440" t="s">
        <v>51</v>
      </c>
      <c r="F440" t="s">
        <v>183</v>
      </c>
      <c r="G440" t="s">
        <v>184</v>
      </c>
      <c r="H440" t="s">
        <v>54</v>
      </c>
      <c r="I440">
        <v>500</v>
      </c>
      <c r="J440">
        <v>0</v>
      </c>
      <c r="K440">
        <v>1</v>
      </c>
      <c r="L440" t="s">
        <v>25</v>
      </c>
      <c r="M440" t="s">
        <v>533</v>
      </c>
      <c r="N440">
        <v>575</v>
      </c>
      <c r="O440">
        <v>0</v>
      </c>
      <c r="P440" t="str">
        <f>IF(T[[#This Row],[qty_ordered]]&lt;&gt;T[[#This Row],[qty_received]],IF(T[[#This Row],[qty_received]]&gt;0,"Partial Received","Not Receviced"),"FullyReceived")</f>
        <v>Not Receviced</v>
      </c>
      <c r="Q440" t="str">
        <f>IF(T[[#This Row],[qty_received]]&lt;&gt;T[[#This Row],[qty_invoiced]],IF(T[[#This Row],[qty_invoiced]]&gt;0,"Partial Invoiced","Not Invoiced"),"Fully Invoiced")</f>
        <v>Partial Invoiced</v>
      </c>
      <c r="R440" t="str">
        <f>IFERROR(VLOOKUP(T[[#This Row],[warehouse]],Table2[],2,FALSE),"--")</f>
        <v>--</v>
      </c>
    </row>
    <row r="441" spans="1:18" x14ac:dyDescent="0.25">
      <c r="A441" t="s">
        <v>534</v>
      </c>
      <c r="B441" s="1">
        <v>43787</v>
      </c>
      <c r="C441" t="s">
        <v>535</v>
      </c>
      <c r="D441" t="s">
        <v>20</v>
      </c>
      <c r="E441" t="s">
        <v>192</v>
      </c>
      <c r="F441" t="s">
        <v>47</v>
      </c>
      <c r="G441" t="s">
        <v>48</v>
      </c>
      <c r="H441" t="s">
        <v>24</v>
      </c>
      <c r="I441">
        <v>2000</v>
      </c>
      <c r="J441">
        <v>339.49</v>
      </c>
      <c r="K441">
        <v>339.49</v>
      </c>
      <c r="L441" t="s">
        <v>25</v>
      </c>
      <c r="M441" t="s">
        <v>132</v>
      </c>
      <c r="N441">
        <v>100000</v>
      </c>
      <c r="O441">
        <v>33949000</v>
      </c>
      <c r="P441" t="str">
        <f>IF(T[[#This Row],[qty_ordered]]&lt;&gt;T[[#This Row],[qty_received]],IF(T[[#This Row],[qty_received]]&gt;0,"Partial Received","Not Receviced"),"FullyReceived")</f>
        <v>Partial Received</v>
      </c>
      <c r="Q441" t="str">
        <f>IF(T[[#This Row],[qty_received]]&lt;&gt;T[[#This Row],[qty_invoiced]],IF(T[[#This Row],[qty_invoiced]]&gt;0,"Partial Invoiced","Not Invoiced"),"Fully Invoiced")</f>
        <v>Fully Invoiced</v>
      </c>
      <c r="R441" t="str">
        <f>IFERROR(VLOOKUP(T[[#This Row],[warehouse]],Table2[],2,FALSE),"--")</f>
        <v>BAYADER SIFTER-OMD</v>
      </c>
    </row>
    <row r="442" spans="1:18" x14ac:dyDescent="0.25">
      <c r="A442" t="s">
        <v>536</v>
      </c>
      <c r="B442" s="1">
        <v>43787</v>
      </c>
      <c r="C442" t="s">
        <v>537</v>
      </c>
      <c r="D442" t="s">
        <v>20</v>
      </c>
      <c r="E442" t="s">
        <v>239</v>
      </c>
      <c r="F442" t="s">
        <v>196</v>
      </c>
      <c r="G442" t="s">
        <v>197</v>
      </c>
      <c r="H442" t="s">
        <v>24</v>
      </c>
      <c r="I442">
        <v>14000</v>
      </c>
      <c r="J442">
        <v>0</v>
      </c>
      <c r="K442">
        <v>0</v>
      </c>
      <c r="L442" t="s">
        <v>25</v>
      </c>
      <c r="M442" t="s">
        <v>132</v>
      </c>
      <c r="N442">
        <v>17325</v>
      </c>
      <c r="O442">
        <v>0</v>
      </c>
      <c r="P442" t="str">
        <f>IF(T[[#This Row],[qty_ordered]]&lt;&gt;T[[#This Row],[qty_received]],IF(T[[#This Row],[qty_received]]&gt;0,"Partial Received","Not Receviced"),"FullyReceived")</f>
        <v>Not Receviced</v>
      </c>
      <c r="Q442" t="str">
        <f>IF(T[[#This Row],[qty_received]]&lt;&gt;T[[#This Row],[qty_invoiced]],IF(T[[#This Row],[qty_invoiced]]&gt;0,"Partial Invoiced","Not Invoiced"),"Fully Invoiced")</f>
        <v>Fully Invoiced</v>
      </c>
      <c r="R442" t="str">
        <f>IFERROR(VLOOKUP(T[[#This Row],[warehouse]],Table2[],2,FALSE),"--")</f>
        <v xml:space="preserve">Gadarif Main Store </v>
      </c>
    </row>
    <row r="443" spans="1:18" x14ac:dyDescent="0.25">
      <c r="A443" t="s">
        <v>534</v>
      </c>
      <c r="B443" s="1">
        <v>43793</v>
      </c>
      <c r="C443" t="s">
        <v>538</v>
      </c>
      <c r="D443" t="s">
        <v>20</v>
      </c>
      <c r="E443" t="s">
        <v>146</v>
      </c>
      <c r="F443" t="s">
        <v>41</v>
      </c>
      <c r="G443" t="s">
        <v>42</v>
      </c>
      <c r="H443" t="s">
        <v>24</v>
      </c>
      <c r="I443">
        <v>1000</v>
      </c>
      <c r="J443">
        <v>718.99</v>
      </c>
      <c r="K443">
        <v>718.99</v>
      </c>
      <c r="L443" t="s">
        <v>25</v>
      </c>
      <c r="M443" t="s">
        <v>132</v>
      </c>
      <c r="N443">
        <v>84550</v>
      </c>
      <c r="O443">
        <v>60790604.5</v>
      </c>
      <c r="P443" t="str">
        <f>IF(T[[#This Row],[qty_ordered]]&lt;&gt;T[[#This Row],[qty_received]],IF(T[[#This Row],[qty_received]]&gt;0,"Partial Received","Not Receviced"),"FullyReceived")</f>
        <v>Partial Received</v>
      </c>
      <c r="Q443" t="str">
        <f>IF(T[[#This Row],[qty_received]]&lt;&gt;T[[#This Row],[qty_invoiced]],IF(T[[#This Row],[qty_invoiced]]&gt;0,"Partial Invoiced","Not Invoiced"),"Fully Invoiced")</f>
        <v>Fully Invoiced</v>
      </c>
      <c r="R443" t="str">
        <f>IFERROR(VLOOKUP(T[[#This Row],[warehouse]],Table2[],2,FALSE),"--")</f>
        <v>Khtoum Main Warehouse</v>
      </c>
    </row>
    <row r="444" spans="1:18" x14ac:dyDescent="0.25">
      <c r="A444" t="s">
        <v>539</v>
      </c>
      <c r="B444" s="1">
        <v>43794</v>
      </c>
      <c r="C444" t="s">
        <v>540</v>
      </c>
      <c r="D444" t="s">
        <v>20</v>
      </c>
      <c r="E444" t="s">
        <v>146</v>
      </c>
      <c r="F444" t="s">
        <v>86</v>
      </c>
      <c r="G444" t="s">
        <v>87</v>
      </c>
      <c r="H444" t="s">
        <v>24</v>
      </c>
      <c r="I444">
        <v>500</v>
      </c>
      <c r="J444">
        <v>261.52</v>
      </c>
      <c r="K444">
        <v>261.52</v>
      </c>
      <c r="L444" t="s">
        <v>25</v>
      </c>
      <c r="M444" t="s">
        <v>132</v>
      </c>
      <c r="N444">
        <v>95700</v>
      </c>
      <c r="O444">
        <v>25027464</v>
      </c>
      <c r="P444" t="str">
        <f>IF(T[[#This Row],[qty_ordered]]&lt;&gt;T[[#This Row],[qty_received]],IF(T[[#This Row],[qty_received]]&gt;0,"Partial Received","Not Receviced"),"FullyReceived")</f>
        <v>Partial Received</v>
      </c>
      <c r="Q444" t="str">
        <f>IF(T[[#This Row],[qty_received]]&lt;&gt;T[[#This Row],[qty_invoiced]],IF(T[[#This Row],[qty_invoiced]]&gt;0,"Partial Invoiced","Not Invoiced"),"Fully Invoiced")</f>
        <v>Fully Invoiced</v>
      </c>
      <c r="R444" t="str">
        <f>IFERROR(VLOOKUP(T[[#This Row],[warehouse]],Table2[],2,FALSE),"--")</f>
        <v>Khtoum Main Warehouse</v>
      </c>
    </row>
    <row r="445" spans="1:18" x14ac:dyDescent="0.25">
      <c r="A445" t="s">
        <v>224</v>
      </c>
      <c r="B445" s="1">
        <v>43796</v>
      </c>
      <c r="C445" t="s">
        <v>541</v>
      </c>
      <c r="D445" t="s">
        <v>20</v>
      </c>
      <c r="E445" t="s">
        <v>51</v>
      </c>
      <c r="F445" t="s">
        <v>183</v>
      </c>
      <c r="G445" t="s">
        <v>183</v>
      </c>
      <c r="H445" t="s">
        <v>54</v>
      </c>
      <c r="I445">
        <v>428.16</v>
      </c>
      <c r="J445">
        <v>0</v>
      </c>
      <c r="K445">
        <v>1</v>
      </c>
      <c r="L445" t="s">
        <v>25</v>
      </c>
      <c r="M445" t="s">
        <v>359</v>
      </c>
      <c r="N445">
        <v>750</v>
      </c>
      <c r="O445">
        <v>0</v>
      </c>
      <c r="P445" t="str">
        <f>IF(T[[#This Row],[qty_ordered]]&lt;&gt;T[[#This Row],[qty_received]],IF(T[[#This Row],[qty_received]]&gt;0,"Partial Received","Not Receviced"),"FullyReceived")</f>
        <v>Not Receviced</v>
      </c>
      <c r="Q445" t="str">
        <f>IF(T[[#This Row],[qty_received]]&lt;&gt;T[[#This Row],[qty_invoiced]],IF(T[[#This Row],[qty_invoiced]]&gt;0,"Partial Invoiced","Not Invoiced"),"Fully Invoiced")</f>
        <v>Partial Invoiced</v>
      </c>
      <c r="R445" t="str">
        <f>IFERROR(VLOOKUP(T[[#This Row],[warehouse]],Table2[],2,FALSE),"--")</f>
        <v>--</v>
      </c>
    </row>
    <row r="446" spans="1:18" x14ac:dyDescent="0.25">
      <c r="A446" t="s">
        <v>542</v>
      </c>
      <c r="B446" s="1">
        <v>43796</v>
      </c>
      <c r="C446" t="s">
        <v>543</v>
      </c>
      <c r="D446" t="s">
        <v>20</v>
      </c>
      <c r="E446" t="s">
        <v>51</v>
      </c>
      <c r="F446" t="s">
        <v>164</v>
      </c>
      <c r="G446" t="s">
        <v>544</v>
      </c>
      <c r="H446" t="s">
        <v>54</v>
      </c>
      <c r="I446">
        <v>1</v>
      </c>
      <c r="J446">
        <v>0</v>
      </c>
      <c r="K446">
        <v>1</v>
      </c>
      <c r="L446" t="s">
        <v>25</v>
      </c>
      <c r="M446" t="s">
        <v>132</v>
      </c>
      <c r="N446">
        <v>5700</v>
      </c>
      <c r="O446">
        <v>0</v>
      </c>
      <c r="P446" t="str">
        <f>IF(T[[#This Row],[qty_ordered]]&lt;&gt;T[[#This Row],[qty_received]],IF(T[[#This Row],[qty_received]]&gt;0,"Partial Received","Not Receviced"),"FullyReceived")</f>
        <v>Not Receviced</v>
      </c>
      <c r="Q446" t="str">
        <f>IF(T[[#This Row],[qty_received]]&lt;&gt;T[[#This Row],[qty_invoiced]],IF(T[[#This Row],[qty_invoiced]]&gt;0,"Partial Invoiced","Not Invoiced"),"Fully Invoiced")</f>
        <v>Partial Invoiced</v>
      </c>
      <c r="R446" t="str">
        <f>IFERROR(VLOOKUP(T[[#This Row],[warehouse]],Table2[],2,FALSE),"--")</f>
        <v>--</v>
      </c>
    </row>
    <row r="447" spans="1:18" x14ac:dyDescent="0.25">
      <c r="A447" t="s">
        <v>235</v>
      </c>
      <c r="B447" s="1">
        <v>43800</v>
      </c>
      <c r="C447" t="s">
        <v>545</v>
      </c>
      <c r="D447" t="s">
        <v>20</v>
      </c>
      <c r="E447" t="s">
        <v>51</v>
      </c>
      <c r="F447" t="s">
        <v>546</v>
      </c>
      <c r="G447" t="s">
        <v>546</v>
      </c>
      <c r="H447" t="s">
        <v>54</v>
      </c>
      <c r="I447">
        <v>28000</v>
      </c>
      <c r="J447">
        <v>0</v>
      </c>
      <c r="K447">
        <v>1</v>
      </c>
      <c r="L447" t="s">
        <v>25</v>
      </c>
      <c r="M447" t="s">
        <v>359</v>
      </c>
      <c r="N447">
        <v>2.85</v>
      </c>
      <c r="O447">
        <v>0</v>
      </c>
      <c r="P447" t="str">
        <f>IF(T[[#This Row],[qty_ordered]]&lt;&gt;T[[#This Row],[qty_received]],IF(T[[#This Row],[qty_received]]&gt;0,"Partial Received","Not Receviced"),"FullyReceived")</f>
        <v>Not Receviced</v>
      </c>
      <c r="Q447" t="str">
        <f>IF(T[[#This Row],[qty_received]]&lt;&gt;T[[#This Row],[qty_invoiced]],IF(T[[#This Row],[qty_invoiced]]&gt;0,"Partial Invoiced","Not Invoiced"),"Fully Invoiced")</f>
        <v>Partial Invoiced</v>
      </c>
      <c r="R447" t="str">
        <f>IFERROR(VLOOKUP(T[[#This Row],[warehouse]],Table2[],2,FALSE),"--")</f>
        <v>--</v>
      </c>
    </row>
    <row r="448" spans="1:18" x14ac:dyDescent="0.25">
      <c r="A448" t="s">
        <v>153</v>
      </c>
      <c r="B448" s="1">
        <v>43807</v>
      </c>
      <c r="C448" t="s">
        <v>547</v>
      </c>
      <c r="D448" t="s">
        <v>20</v>
      </c>
      <c r="E448" t="s">
        <v>548</v>
      </c>
      <c r="F448" t="s">
        <v>167</v>
      </c>
      <c r="G448" t="s">
        <v>156</v>
      </c>
      <c r="H448" t="s">
        <v>24</v>
      </c>
      <c r="I448">
        <v>500</v>
      </c>
      <c r="J448">
        <v>195.93</v>
      </c>
      <c r="K448">
        <v>195.93</v>
      </c>
      <c r="L448" t="s">
        <v>25</v>
      </c>
      <c r="M448" t="s">
        <v>132</v>
      </c>
      <c r="N448">
        <v>103000</v>
      </c>
      <c r="O448">
        <v>20180790</v>
      </c>
      <c r="P448" t="str">
        <f>IF(T[[#This Row],[qty_ordered]]&lt;&gt;T[[#This Row],[qty_received]],IF(T[[#This Row],[qty_received]]&gt;0,"Partial Received","Not Receviced"),"FullyReceived")</f>
        <v>Partial Received</v>
      </c>
      <c r="Q448" t="str">
        <f>IF(T[[#This Row],[qty_received]]&lt;&gt;T[[#This Row],[qty_invoiced]],IF(T[[#This Row],[qty_invoiced]]&gt;0,"Partial Invoiced","Not Invoiced"),"Fully Invoiced")</f>
        <v>Fully Invoiced</v>
      </c>
      <c r="R448" t="str">
        <f>IFERROR(VLOOKUP(T[[#This Row],[warehouse]],Table2[],2,FALSE),"--")</f>
        <v>Crusher Almosaly-ALB</v>
      </c>
    </row>
    <row r="449" spans="1:18" x14ac:dyDescent="0.25">
      <c r="A449" t="s">
        <v>153</v>
      </c>
      <c r="B449" s="1">
        <v>43807</v>
      </c>
      <c r="C449" t="s">
        <v>549</v>
      </c>
      <c r="D449" t="s">
        <v>20</v>
      </c>
      <c r="E449" t="s">
        <v>259</v>
      </c>
      <c r="F449" t="s">
        <v>86</v>
      </c>
      <c r="G449" t="s">
        <v>87</v>
      </c>
      <c r="H449" t="s">
        <v>24</v>
      </c>
      <c r="I449">
        <v>1000</v>
      </c>
      <c r="J449">
        <v>0</v>
      </c>
      <c r="K449">
        <v>0</v>
      </c>
      <c r="L449" t="s">
        <v>25</v>
      </c>
      <c r="M449" t="s">
        <v>132</v>
      </c>
      <c r="N449">
        <v>100000</v>
      </c>
      <c r="O449">
        <v>0</v>
      </c>
      <c r="P449" t="str">
        <f>IF(T[[#This Row],[qty_ordered]]&lt;&gt;T[[#This Row],[qty_received]],IF(T[[#This Row],[qty_received]]&gt;0,"Partial Received","Not Receviced"),"FullyReceived")</f>
        <v>Not Receviced</v>
      </c>
      <c r="Q449" t="str">
        <f>IF(T[[#This Row],[qty_received]]&lt;&gt;T[[#This Row],[qty_invoiced]],IF(T[[#This Row],[qty_invoiced]]&gt;0,"Partial Invoiced","Not Invoiced"),"Fully Invoiced")</f>
        <v>Fully Invoiced</v>
      </c>
      <c r="R449" t="str">
        <f>IFERROR(VLOOKUP(T[[#This Row],[warehouse]],Table2[],2,FALSE),"--")</f>
        <v>Sifters Bahri-Libyan</v>
      </c>
    </row>
    <row r="450" spans="1:18" x14ac:dyDescent="0.25">
      <c r="A450" t="s">
        <v>84</v>
      </c>
      <c r="B450" s="1">
        <v>43807</v>
      </c>
      <c r="C450" t="s">
        <v>550</v>
      </c>
      <c r="D450" t="s">
        <v>20</v>
      </c>
      <c r="E450" t="s">
        <v>259</v>
      </c>
      <c r="F450" t="s">
        <v>108</v>
      </c>
      <c r="G450" t="s">
        <v>109</v>
      </c>
      <c r="H450" t="s">
        <v>24</v>
      </c>
      <c r="I450">
        <v>600</v>
      </c>
      <c r="J450">
        <v>0</v>
      </c>
      <c r="K450">
        <v>0</v>
      </c>
      <c r="L450" t="s">
        <v>25</v>
      </c>
      <c r="M450" t="s">
        <v>132</v>
      </c>
      <c r="N450">
        <v>90000</v>
      </c>
      <c r="O450">
        <v>0</v>
      </c>
      <c r="P450" t="str">
        <f>IF(T[[#This Row],[qty_ordered]]&lt;&gt;T[[#This Row],[qty_received]],IF(T[[#This Row],[qty_received]]&gt;0,"Partial Received","Not Receviced"),"FullyReceived")</f>
        <v>Not Receviced</v>
      </c>
      <c r="Q450" t="str">
        <f>IF(T[[#This Row],[qty_received]]&lt;&gt;T[[#This Row],[qty_invoiced]],IF(T[[#This Row],[qty_invoiced]]&gt;0,"Partial Invoiced","Not Invoiced"),"Fully Invoiced")</f>
        <v>Fully Invoiced</v>
      </c>
      <c r="R450" t="str">
        <f>IFERROR(VLOOKUP(T[[#This Row],[warehouse]],Table2[],2,FALSE),"--")</f>
        <v>Sifters Bahri-Libyan</v>
      </c>
    </row>
    <row r="451" spans="1:18" x14ac:dyDescent="0.25">
      <c r="A451" t="s">
        <v>181</v>
      </c>
      <c r="B451" s="1">
        <v>43787</v>
      </c>
      <c r="C451" t="s">
        <v>532</v>
      </c>
      <c r="D451" t="s">
        <v>71</v>
      </c>
      <c r="E451" t="s">
        <v>51</v>
      </c>
      <c r="F451" t="s">
        <v>183</v>
      </c>
      <c r="G451" t="s">
        <v>184</v>
      </c>
      <c r="H451" t="s">
        <v>54</v>
      </c>
      <c r="I451">
        <v>500</v>
      </c>
      <c r="J451">
        <v>0</v>
      </c>
      <c r="K451">
        <v>1</v>
      </c>
      <c r="L451" t="s">
        <v>25</v>
      </c>
      <c r="M451" t="s">
        <v>533</v>
      </c>
      <c r="N451">
        <v>575</v>
      </c>
      <c r="O451">
        <v>0</v>
      </c>
      <c r="P451" t="str">
        <f>IF(T[[#This Row],[qty_ordered]]&lt;&gt;T[[#This Row],[qty_received]],IF(T[[#This Row],[qty_received]]&gt;0,"Partial Received","Not Receviced"),"FullyReceived")</f>
        <v>Not Receviced</v>
      </c>
      <c r="Q451" t="str">
        <f>IF(T[[#This Row],[qty_received]]&lt;&gt;T[[#This Row],[qty_invoiced]],IF(T[[#This Row],[qty_invoiced]]&gt;0,"Partial Invoiced","Not Invoiced"),"Fully Invoiced")</f>
        <v>Partial Invoiced</v>
      </c>
      <c r="R451" t="str">
        <f>IFERROR(VLOOKUP(T[[#This Row],[warehouse]],Table2[],2,FALSE),"--")</f>
        <v>--</v>
      </c>
    </row>
    <row r="452" spans="1:18" x14ac:dyDescent="0.25">
      <c r="A452" t="s">
        <v>534</v>
      </c>
      <c r="B452" s="1">
        <v>43793</v>
      </c>
      <c r="C452" t="s">
        <v>551</v>
      </c>
      <c r="D452" t="s">
        <v>20</v>
      </c>
      <c r="E452" t="s">
        <v>552</v>
      </c>
      <c r="F452" t="s">
        <v>47</v>
      </c>
      <c r="G452" t="s">
        <v>48</v>
      </c>
      <c r="H452" t="s">
        <v>24</v>
      </c>
      <c r="I452">
        <v>1500</v>
      </c>
      <c r="J452">
        <v>932.76</v>
      </c>
      <c r="K452">
        <v>932.76</v>
      </c>
      <c r="L452" t="s">
        <v>25</v>
      </c>
      <c r="M452" t="s">
        <v>132</v>
      </c>
      <c r="N452">
        <v>87000</v>
      </c>
      <c r="O452">
        <v>81150120</v>
      </c>
      <c r="P452" t="str">
        <f>IF(T[[#This Row],[qty_ordered]]&lt;&gt;T[[#This Row],[qty_received]],IF(T[[#This Row],[qty_received]]&gt;0,"Partial Received","Not Receviced"),"FullyReceived")</f>
        <v>Partial Received</v>
      </c>
      <c r="Q452" t="str">
        <f>IF(T[[#This Row],[qty_received]]&lt;&gt;T[[#This Row],[qty_invoiced]],IF(T[[#This Row],[qty_invoiced]]&gt;0,"Partial Invoiced","Not Invoiced"),"Fully Invoiced")</f>
        <v>Fully Invoiced</v>
      </c>
      <c r="R452" t="str">
        <f>IFERROR(VLOOKUP(T[[#This Row],[warehouse]],Table2[],2,FALSE),"--")</f>
        <v>SIFTER - SAN DA-PZU</v>
      </c>
    </row>
    <row r="453" spans="1:18" x14ac:dyDescent="0.25">
      <c r="A453" t="s">
        <v>539</v>
      </c>
      <c r="B453" s="1">
        <v>43794</v>
      </c>
      <c r="C453" t="s">
        <v>540</v>
      </c>
      <c r="D453" t="s">
        <v>71</v>
      </c>
      <c r="E453" t="s">
        <v>553</v>
      </c>
      <c r="F453" t="s">
        <v>86</v>
      </c>
      <c r="G453" t="s">
        <v>87</v>
      </c>
      <c r="H453" t="s">
        <v>24</v>
      </c>
      <c r="I453">
        <v>1000</v>
      </c>
      <c r="J453">
        <v>176.43</v>
      </c>
      <c r="K453">
        <v>176.43</v>
      </c>
      <c r="L453" t="s">
        <v>25</v>
      </c>
      <c r="M453" t="s">
        <v>132</v>
      </c>
      <c r="N453">
        <v>97007.5</v>
      </c>
      <c r="O453">
        <v>17115033.225000001</v>
      </c>
      <c r="P453" t="str">
        <f>IF(T[[#This Row],[qty_ordered]]&lt;&gt;T[[#This Row],[qty_received]],IF(T[[#This Row],[qty_received]]&gt;0,"Partial Received","Not Receviced"),"FullyReceived")</f>
        <v>Partial Received</v>
      </c>
      <c r="Q453" t="str">
        <f>IF(T[[#This Row],[qty_received]]&lt;&gt;T[[#This Row],[qty_invoiced]],IF(T[[#This Row],[qty_invoiced]]&gt;0,"Partial Invoiced","Not Invoiced"),"Fully Invoiced")</f>
        <v>Fully Invoiced</v>
      </c>
      <c r="R453" t="str">
        <f>IFERROR(VLOOKUP(T[[#This Row],[warehouse]],Table2[],2,FALSE),"--")</f>
        <v>SIFTING HMA-SOBA</v>
      </c>
    </row>
    <row r="454" spans="1:18" x14ac:dyDescent="0.25">
      <c r="A454" t="s">
        <v>153</v>
      </c>
      <c r="B454" s="1">
        <v>43807</v>
      </c>
      <c r="C454" t="s">
        <v>554</v>
      </c>
      <c r="D454" t="s">
        <v>20</v>
      </c>
      <c r="E454" t="s">
        <v>281</v>
      </c>
      <c r="F454" t="s">
        <v>526</v>
      </c>
      <c r="G454" t="s">
        <v>472</v>
      </c>
      <c r="H454" t="s">
        <v>123</v>
      </c>
      <c r="I454">
        <v>10100</v>
      </c>
      <c r="J454">
        <v>10100</v>
      </c>
      <c r="K454">
        <v>10100</v>
      </c>
      <c r="L454" t="s">
        <v>25</v>
      </c>
      <c r="M454" t="s">
        <v>132</v>
      </c>
      <c r="N454">
        <v>3050</v>
      </c>
      <c r="O454">
        <v>30805000</v>
      </c>
      <c r="P454" t="str">
        <f>IF(T[[#This Row],[qty_ordered]]&lt;&gt;T[[#This Row],[qty_received]],IF(T[[#This Row],[qty_received]]&gt;0,"Partial Received","Not Receviced"),"FullyReceived")</f>
        <v>FullyReceived</v>
      </c>
      <c r="Q454" t="str">
        <f>IF(T[[#This Row],[qty_received]]&lt;&gt;T[[#This Row],[qty_invoiced]],IF(T[[#This Row],[qty_invoiced]]&gt;0,"Partial Invoiced","Not Invoiced"),"Fully Invoiced")</f>
        <v>Fully Invoiced</v>
      </c>
      <c r="R454" t="str">
        <f>IFERROR(VLOOKUP(T[[#This Row],[warehouse]],Table2[],2,FALSE),"--")</f>
        <v>Crusher Alm Eldin-KH</v>
      </c>
    </row>
    <row r="455" spans="1:18" x14ac:dyDescent="0.25">
      <c r="A455" t="s">
        <v>153</v>
      </c>
      <c r="B455" s="1">
        <v>43807</v>
      </c>
      <c r="C455" t="s">
        <v>555</v>
      </c>
      <c r="D455" t="s">
        <v>20</v>
      </c>
      <c r="E455" t="s">
        <v>548</v>
      </c>
      <c r="F455" t="s">
        <v>287</v>
      </c>
      <c r="G455" t="s">
        <v>288</v>
      </c>
      <c r="H455" t="s">
        <v>24</v>
      </c>
      <c r="I455">
        <v>2000</v>
      </c>
      <c r="J455">
        <v>0</v>
      </c>
      <c r="K455">
        <v>0</v>
      </c>
      <c r="L455" t="s">
        <v>25</v>
      </c>
      <c r="M455" t="s">
        <v>132</v>
      </c>
      <c r="N455">
        <v>50000</v>
      </c>
      <c r="O455">
        <v>0</v>
      </c>
      <c r="P455" t="str">
        <f>IF(T[[#This Row],[qty_ordered]]&lt;&gt;T[[#This Row],[qty_received]],IF(T[[#This Row],[qty_received]]&gt;0,"Partial Received","Not Receviced"),"FullyReceived")</f>
        <v>Not Receviced</v>
      </c>
      <c r="Q455" t="str">
        <f>IF(T[[#This Row],[qty_received]]&lt;&gt;T[[#This Row],[qty_invoiced]],IF(T[[#This Row],[qty_invoiced]]&gt;0,"Partial Invoiced","Not Invoiced"),"Fully Invoiced")</f>
        <v>Fully Invoiced</v>
      </c>
      <c r="R455" t="str">
        <f>IFERROR(VLOOKUP(T[[#This Row],[warehouse]],Table2[],2,FALSE),"--")</f>
        <v>Crusher Almosaly-ALB</v>
      </c>
    </row>
    <row r="456" spans="1:18" x14ac:dyDescent="0.25">
      <c r="A456" t="s">
        <v>252</v>
      </c>
      <c r="B456" s="1">
        <v>43808</v>
      </c>
      <c r="C456" t="s">
        <v>556</v>
      </c>
      <c r="D456" t="s">
        <v>20</v>
      </c>
      <c r="E456" t="s">
        <v>51</v>
      </c>
      <c r="F456" t="s">
        <v>183</v>
      </c>
      <c r="G456" t="s">
        <v>184</v>
      </c>
      <c r="H456" t="s">
        <v>54</v>
      </c>
      <c r="I456">
        <v>250.25</v>
      </c>
      <c r="J456">
        <v>0</v>
      </c>
      <c r="K456">
        <v>1</v>
      </c>
      <c r="L456" t="s">
        <v>25</v>
      </c>
      <c r="M456" t="s">
        <v>533</v>
      </c>
      <c r="N456">
        <v>850</v>
      </c>
      <c r="O456">
        <v>0</v>
      </c>
      <c r="P456" t="str">
        <f>IF(T[[#This Row],[qty_ordered]]&lt;&gt;T[[#This Row],[qty_received]],IF(T[[#This Row],[qty_received]]&gt;0,"Partial Received","Not Receviced"),"FullyReceived")</f>
        <v>Not Receviced</v>
      </c>
      <c r="Q456" t="str">
        <f>IF(T[[#This Row],[qty_received]]&lt;&gt;T[[#This Row],[qty_invoiced]],IF(T[[#This Row],[qty_invoiced]]&gt;0,"Partial Invoiced","Not Invoiced"),"Fully Invoiced")</f>
        <v>Partial Invoiced</v>
      </c>
      <c r="R456" t="str">
        <f>IFERROR(VLOOKUP(T[[#This Row],[warehouse]],Table2[],2,FALSE),"--")</f>
        <v>--</v>
      </c>
    </row>
    <row r="457" spans="1:18" x14ac:dyDescent="0.25">
      <c r="A457" t="s">
        <v>235</v>
      </c>
      <c r="B457" s="1">
        <v>43808</v>
      </c>
      <c r="C457" t="s">
        <v>557</v>
      </c>
      <c r="D457" t="s">
        <v>20</v>
      </c>
      <c r="E457" t="s">
        <v>51</v>
      </c>
      <c r="F457" t="s">
        <v>546</v>
      </c>
      <c r="G457" t="s">
        <v>546</v>
      </c>
      <c r="H457" t="s">
        <v>54</v>
      </c>
      <c r="I457">
        <v>10000</v>
      </c>
      <c r="J457">
        <v>0</v>
      </c>
      <c r="K457">
        <v>1</v>
      </c>
      <c r="L457" t="s">
        <v>25</v>
      </c>
      <c r="M457" t="s">
        <v>359</v>
      </c>
      <c r="N457">
        <v>2.85</v>
      </c>
      <c r="O457">
        <v>0</v>
      </c>
      <c r="P457" t="str">
        <f>IF(T[[#This Row],[qty_ordered]]&lt;&gt;T[[#This Row],[qty_received]],IF(T[[#This Row],[qty_received]]&gt;0,"Partial Received","Not Receviced"),"FullyReceived")</f>
        <v>Not Receviced</v>
      </c>
      <c r="Q457" t="str">
        <f>IF(T[[#This Row],[qty_received]]&lt;&gt;T[[#This Row],[qty_invoiced]],IF(T[[#This Row],[qty_invoiced]]&gt;0,"Partial Invoiced","Not Invoiced"),"Fully Invoiced")</f>
        <v>Partial Invoiced</v>
      </c>
      <c r="R457" t="str">
        <f>IFERROR(VLOOKUP(T[[#This Row],[warehouse]],Table2[],2,FALSE),"--")</f>
        <v>--</v>
      </c>
    </row>
    <row r="458" spans="1:18" x14ac:dyDescent="0.25">
      <c r="A458" t="s">
        <v>235</v>
      </c>
      <c r="B458" s="1">
        <v>43808</v>
      </c>
      <c r="C458" t="s">
        <v>558</v>
      </c>
      <c r="D458" t="s">
        <v>20</v>
      </c>
      <c r="E458" t="s">
        <v>51</v>
      </c>
      <c r="F458" t="s">
        <v>546</v>
      </c>
      <c r="G458" t="s">
        <v>546</v>
      </c>
      <c r="H458" t="s">
        <v>54</v>
      </c>
      <c r="I458">
        <v>10000</v>
      </c>
      <c r="J458">
        <v>0</v>
      </c>
      <c r="K458">
        <v>1</v>
      </c>
      <c r="L458" t="s">
        <v>25</v>
      </c>
      <c r="M458" t="s">
        <v>359</v>
      </c>
      <c r="N458">
        <v>2.85</v>
      </c>
      <c r="O458">
        <v>0</v>
      </c>
      <c r="P458" t="str">
        <f>IF(T[[#This Row],[qty_ordered]]&lt;&gt;T[[#This Row],[qty_received]],IF(T[[#This Row],[qty_received]]&gt;0,"Partial Received","Not Receviced"),"FullyReceived")</f>
        <v>Not Receviced</v>
      </c>
      <c r="Q458" t="str">
        <f>IF(T[[#This Row],[qty_received]]&lt;&gt;T[[#This Row],[qty_invoiced]],IF(T[[#This Row],[qty_invoiced]]&gt;0,"Partial Invoiced","Not Invoiced"),"Fully Invoiced")</f>
        <v>Partial Invoiced</v>
      </c>
      <c r="R458" t="str">
        <f>IFERROR(VLOOKUP(T[[#This Row],[warehouse]],Table2[],2,FALSE),"--")</f>
        <v>--</v>
      </c>
    </row>
    <row r="459" spans="1:18" x14ac:dyDescent="0.25">
      <c r="A459" t="s">
        <v>235</v>
      </c>
      <c r="B459" s="1">
        <v>43808</v>
      </c>
      <c r="C459" t="s">
        <v>559</v>
      </c>
      <c r="D459" t="s">
        <v>20</v>
      </c>
      <c r="E459" t="s">
        <v>51</v>
      </c>
      <c r="F459" t="s">
        <v>546</v>
      </c>
      <c r="G459" t="s">
        <v>546</v>
      </c>
      <c r="H459" t="s">
        <v>54</v>
      </c>
      <c r="I459">
        <v>10000</v>
      </c>
      <c r="J459">
        <v>0</v>
      </c>
      <c r="K459">
        <v>1</v>
      </c>
      <c r="L459" t="s">
        <v>25</v>
      </c>
      <c r="M459" t="s">
        <v>359</v>
      </c>
      <c r="N459">
        <v>2.85</v>
      </c>
      <c r="O459">
        <v>0</v>
      </c>
      <c r="P459" t="str">
        <f>IF(T[[#This Row],[qty_ordered]]&lt;&gt;T[[#This Row],[qty_received]],IF(T[[#This Row],[qty_received]]&gt;0,"Partial Received","Not Receviced"),"FullyReceived")</f>
        <v>Not Receviced</v>
      </c>
      <c r="Q459" t="str">
        <f>IF(T[[#This Row],[qty_received]]&lt;&gt;T[[#This Row],[qty_invoiced]],IF(T[[#This Row],[qty_invoiced]]&gt;0,"Partial Invoiced","Not Invoiced"),"Fully Invoiced")</f>
        <v>Partial Invoiced</v>
      </c>
      <c r="R459" t="str">
        <f>IFERROR(VLOOKUP(T[[#This Row],[warehouse]],Table2[],2,FALSE),"--")</f>
        <v>--</v>
      </c>
    </row>
    <row r="460" spans="1:18" x14ac:dyDescent="0.25">
      <c r="A460" t="s">
        <v>560</v>
      </c>
      <c r="B460" s="1">
        <v>43809</v>
      </c>
      <c r="C460" t="s">
        <v>561</v>
      </c>
      <c r="D460" t="s">
        <v>20</v>
      </c>
      <c r="E460" t="s">
        <v>51</v>
      </c>
      <c r="F460" t="s">
        <v>164</v>
      </c>
      <c r="G460" t="s">
        <v>164</v>
      </c>
      <c r="H460" t="s">
        <v>54</v>
      </c>
      <c r="I460">
        <v>409</v>
      </c>
      <c r="J460">
        <v>0</v>
      </c>
      <c r="K460">
        <v>1</v>
      </c>
      <c r="L460" t="s">
        <v>25</v>
      </c>
      <c r="M460" t="s">
        <v>359</v>
      </c>
      <c r="N460">
        <v>281.78484099999997</v>
      </c>
      <c r="O460">
        <v>0</v>
      </c>
      <c r="P460" t="str">
        <f>IF(T[[#This Row],[qty_ordered]]&lt;&gt;T[[#This Row],[qty_received]],IF(T[[#This Row],[qty_received]]&gt;0,"Partial Received","Not Receviced"),"FullyReceived")</f>
        <v>Not Receviced</v>
      </c>
      <c r="Q460" t="str">
        <f>IF(T[[#This Row],[qty_received]]&lt;&gt;T[[#This Row],[qty_invoiced]],IF(T[[#This Row],[qty_invoiced]]&gt;0,"Partial Invoiced","Not Invoiced"),"Fully Invoiced")</f>
        <v>Partial Invoiced</v>
      </c>
      <c r="R460" t="str">
        <f>IFERROR(VLOOKUP(T[[#This Row],[warehouse]],Table2[],2,FALSE),"--")</f>
        <v>--</v>
      </c>
    </row>
    <row r="461" spans="1:18" x14ac:dyDescent="0.25">
      <c r="A461" t="s">
        <v>560</v>
      </c>
      <c r="B461" s="1">
        <v>43809</v>
      </c>
      <c r="C461" t="s">
        <v>562</v>
      </c>
      <c r="D461" t="s">
        <v>20</v>
      </c>
      <c r="E461" t="s">
        <v>51</v>
      </c>
      <c r="F461" t="s">
        <v>164</v>
      </c>
      <c r="G461" t="s">
        <v>164</v>
      </c>
      <c r="H461" t="s">
        <v>54</v>
      </c>
      <c r="I461">
        <v>56</v>
      </c>
      <c r="J461">
        <v>0</v>
      </c>
      <c r="K461">
        <v>1</v>
      </c>
      <c r="L461" t="s">
        <v>25</v>
      </c>
      <c r="M461" t="s">
        <v>359</v>
      </c>
      <c r="N461">
        <v>300</v>
      </c>
      <c r="O461">
        <v>0</v>
      </c>
      <c r="P461" t="str">
        <f>IF(T[[#This Row],[qty_ordered]]&lt;&gt;T[[#This Row],[qty_received]],IF(T[[#This Row],[qty_received]]&gt;0,"Partial Received","Not Receviced"),"FullyReceived")</f>
        <v>Not Receviced</v>
      </c>
      <c r="Q461" t="str">
        <f>IF(T[[#This Row],[qty_received]]&lt;&gt;T[[#This Row],[qty_invoiced]],IF(T[[#This Row],[qty_invoiced]]&gt;0,"Partial Invoiced","Not Invoiced"),"Fully Invoiced")</f>
        <v>Partial Invoiced</v>
      </c>
      <c r="R461" t="str">
        <f>IFERROR(VLOOKUP(T[[#This Row],[warehouse]],Table2[],2,FALSE),"--")</f>
        <v>--</v>
      </c>
    </row>
    <row r="462" spans="1:18" x14ac:dyDescent="0.25">
      <c r="A462" t="s">
        <v>560</v>
      </c>
      <c r="B462" s="1">
        <v>43809</v>
      </c>
      <c r="C462" t="s">
        <v>562</v>
      </c>
      <c r="D462" t="s">
        <v>71</v>
      </c>
      <c r="E462" t="s">
        <v>51</v>
      </c>
      <c r="F462" t="s">
        <v>164</v>
      </c>
      <c r="G462" t="s">
        <v>164</v>
      </c>
      <c r="H462" t="s">
        <v>54</v>
      </c>
      <c r="I462">
        <v>226</v>
      </c>
      <c r="J462">
        <v>0</v>
      </c>
      <c r="K462">
        <v>1</v>
      </c>
      <c r="L462" t="s">
        <v>25</v>
      </c>
      <c r="M462" t="s">
        <v>359</v>
      </c>
      <c r="N462">
        <v>278.53982300000001</v>
      </c>
      <c r="O462">
        <v>0</v>
      </c>
      <c r="P462" t="str">
        <f>IF(T[[#This Row],[qty_ordered]]&lt;&gt;T[[#This Row],[qty_received]],IF(T[[#This Row],[qty_received]]&gt;0,"Partial Received","Not Receviced"),"FullyReceived")</f>
        <v>Not Receviced</v>
      </c>
      <c r="Q462" t="str">
        <f>IF(T[[#This Row],[qty_received]]&lt;&gt;T[[#This Row],[qty_invoiced]],IF(T[[#This Row],[qty_invoiced]]&gt;0,"Partial Invoiced","Not Invoiced"),"Fully Invoiced")</f>
        <v>Partial Invoiced</v>
      </c>
      <c r="R462" t="str">
        <f>IFERROR(VLOOKUP(T[[#This Row],[warehouse]],Table2[],2,FALSE),"--")</f>
        <v>--</v>
      </c>
    </row>
    <row r="463" spans="1:18" x14ac:dyDescent="0.25">
      <c r="A463" t="s">
        <v>560</v>
      </c>
      <c r="B463" s="1">
        <v>43809</v>
      </c>
      <c r="C463" t="s">
        <v>562</v>
      </c>
      <c r="D463" t="s">
        <v>100</v>
      </c>
      <c r="E463" t="s">
        <v>51</v>
      </c>
      <c r="F463" t="s">
        <v>164</v>
      </c>
      <c r="G463" t="s">
        <v>164</v>
      </c>
      <c r="H463" t="s">
        <v>54</v>
      </c>
      <c r="I463">
        <v>247</v>
      </c>
      <c r="J463">
        <v>0</v>
      </c>
      <c r="K463">
        <v>1</v>
      </c>
      <c r="L463" t="s">
        <v>25</v>
      </c>
      <c r="M463" t="s">
        <v>359</v>
      </c>
      <c r="N463">
        <v>300</v>
      </c>
      <c r="O463">
        <v>0</v>
      </c>
      <c r="P463" t="str">
        <f>IF(T[[#This Row],[qty_ordered]]&lt;&gt;T[[#This Row],[qty_received]],IF(T[[#This Row],[qty_received]]&gt;0,"Partial Received","Not Receviced"),"FullyReceived")</f>
        <v>Not Receviced</v>
      </c>
      <c r="Q463" t="str">
        <f>IF(T[[#This Row],[qty_received]]&lt;&gt;T[[#This Row],[qty_invoiced]],IF(T[[#This Row],[qty_invoiced]]&gt;0,"Partial Invoiced","Not Invoiced"),"Fully Invoiced")</f>
        <v>Partial Invoiced</v>
      </c>
      <c r="R463" t="str">
        <f>IFERROR(VLOOKUP(T[[#This Row],[warehouse]],Table2[],2,FALSE),"--")</f>
        <v>--</v>
      </c>
    </row>
    <row r="464" spans="1:18" x14ac:dyDescent="0.25">
      <c r="A464" t="s">
        <v>563</v>
      </c>
      <c r="B464" s="1">
        <v>43795</v>
      </c>
      <c r="C464" t="s">
        <v>564</v>
      </c>
      <c r="D464" t="s">
        <v>20</v>
      </c>
      <c r="E464" t="s">
        <v>51</v>
      </c>
      <c r="F464" t="s">
        <v>247</v>
      </c>
      <c r="G464" t="s">
        <v>247</v>
      </c>
      <c r="H464" t="s">
        <v>54</v>
      </c>
      <c r="I464">
        <v>7000</v>
      </c>
      <c r="J464">
        <v>0</v>
      </c>
      <c r="K464">
        <v>1</v>
      </c>
      <c r="L464" t="s">
        <v>25</v>
      </c>
      <c r="M464" t="s">
        <v>533</v>
      </c>
      <c r="N464">
        <v>4000</v>
      </c>
      <c r="O464">
        <v>0</v>
      </c>
      <c r="P464" t="str">
        <f>IF(T[[#This Row],[qty_ordered]]&lt;&gt;T[[#This Row],[qty_received]],IF(T[[#This Row],[qty_received]]&gt;0,"Partial Received","Not Receviced"),"FullyReceived")</f>
        <v>Not Receviced</v>
      </c>
      <c r="Q464" t="str">
        <f>IF(T[[#This Row],[qty_received]]&lt;&gt;T[[#This Row],[qty_invoiced]],IF(T[[#This Row],[qty_invoiced]]&gt;0,"Partial Invoiced","Not Invoiced"),"Fully Invoiced")</f>
        <v>Partial Invoiced</v>
      </c>
      <c r="R464" t="str">
        <f>IFERROR(VLOOKUP(T[[#This Row],[warehouse]],Table2[],2,FALSE),"--")</f>
        <v>--</v>
      </c>
    </row>
    <row r="465" spans="1:18" x14ac:dyDescent="0.25">
      <c r="A465" t="s">
        <v>521</v>
      </c>
      <c r="B465" s="1">
        <v>43796</v>
      </c>
      <c r="C465" t="s">
        <v>565</v>
      </c>
      <c r="D465" t="s">
        <v>20</v>
      </c>
      <c r="E465" t="s">
        <v>51</v>
      </c>
      <c r="F465" t="s">
        <v>164</v>
      </c>
      <c r="G465" t="s">
        <v>164</v>
      </c>
      <c r="H465" t="s">
        <v>54</v>
      </c>
      <c r="I465">
        <v>4594.95</v>
      </c>
      <c r="J465">
        <v>0</v>
      </c>
      <c r="K465">
        <v>1</v>
      </c>
      <c r="L465" t="s">
        <v>25</v>
      </c>
      <c r="M465" t="s">
        <v>132</v>
      </c>
      <c r="N465">
        <v>20</v>
      </c>
      <c r="O465">
        <v>0</v>
      </c>
      <c r="P465" t="str">
        <f>IF(T[[#This Row],[qty_ordered]]&lt;&gt;T[[#This Row],[qty_received]],IF(T[[#This Row],[qty_received]]&gt;0,"Partial Received","Not Receviced"),"FullyReceived")</f>
        <v>Not Receviced</v>
      </c>
      <c r="Q465" t="str">
        <f>IF(T[[#This Row],[qty_received]]&lt;&gt;T[[#This Row],[qty_invoiced]],IF(T[[#This Row],[qty_invoiced]]&gt;0,"Partial Invoiced","Not Invoiced"),"Fully Invoiced")</f>
        <v>Partial Invoiced</v>
      </c>
      <c r="R465" t="str">
        <f>IFERROR(VLOOKUP(T[[#This Row],[warehouse]],Table2[],2,FALSE),"--")</f>
        <v>--</v>
      </c>
    </row>
    <row r="466" spans="1:18" x14ac:dyDescent="0.25">
      <c r="A466" t="s">
        <v>357</v>
      </c>
      <c r="B466" s="1">
        <v>43471</v>
      </c>
      <c r="C466" t="s">
        <v>358</v>
      </c>
      <c r="D466" t="s">
        <v>566</v>
      </c>
      <c r="E466" t="s">
        <v>51</v>
      </c>
      <c r="F466" t="s">
        <v>278</v>
      </c>
      <c r="G466" t="s">
        <v>279</v>
      </c>
      <c r="H466" t="s">
        <v>54</v>
      </c>
      <c r="I466">
        <v>340.41</v>
      </c>
      <c r="J466">
        <v>0</v>
      </c>
      <c r="K466">
        <v>1</v>
      </c>
      <c r="L466" t="s">
        <v>25</v>
      </c>
      <c r="M466" t="s">
        <v>359</v>
      </c>
      <c r="N466">
        <v>137.38999999999999</v>
      </c>
      <c r="O466">
        <v>0</v>
      </c>
      <c r="P466" t="str">
        <f>IF(T[[#This Row],[qty_ordered]]&lt;&gt;T[[#This Row],[qty_received]],IF(T[[#This Row],[qty_received]]&gt;0,"Partial Received","Not Receviced"),"FullyReceived")</f>
        <v>Not Receviced</v>
      </c>
      <c r="Q466" t="str">
        <f>IF(T[[#This Row],[qty_received]]&lt;&gt;T[[#This Row],[qty_invoiced]],IF(T[[#This Row],[qty_invoiced]]&gt;0,"Partial Invoiced","Not Invoiced"),"Fully Invoiced")</f>
        <v>Partial Invoiced</v>
      </c>
      <c r="R466" t="str">
        <f>IFERROR(VLOOKUP(T[[#This Row],[warehouse]],Table2[],2,FALSE),"--")</f>
        <v>--</v>
      </c>
    </row>
    <row r="467" spans="1:18" x14ac:dyDescent="0.25">
      <c r="A467" t="s">
        <v>357</v>
      </c>
      <c r="B467" s="1">
        <v>43471</v>
      </c>
      <c r="C467" t="s">
        <v>358</v>
      </c>
      <c r="D467" t="s">
        <v>567</v>
      </c>
      <c r="E467" t="s">
        <v>51</v>
      </c>
      <c r="F467" t="s">
        <v>267</v>
      </c>
      <c r="G467" t="s">
        <v>267</v>
      </c>
      <c r="H467" t="s">
        <v>54</v>
      </c>
      <c r="I467">
        <v>215</v>
      </c>
      <c r="J467">
        <v>0</v>
      </c>
      <c r="K467">
        <v>1</v>
      </c>
      <c r="L467" t="s">
        <v>25</v>
      </c>
      <c r="M467" t="s">
        <v>359</v>
      </c>
      <c r="N467">
        <v>20</v>
      </c>
      <c r="O467">
        <v>0</v>
      </c>
      <c r="P467" t="str">
        <f>IF(T[[#This Row],[qty_ordered]]&lt;&gt;T[[#This Row],[qty_received]],IF(T[[#This Row],[qty_received]]&gt;0,"Partial Received","Not Receviced"),"FullyReceived")</f>
        <v>Not Receviced</v>
      </c>
      <c r="Q467" t="str">
        <f>IF(T[[#This Row],[qty_received]]&lt;&gt;T[[#This Row],[qty_invoiced]],IF(T[[#This Row],[qty_invoiced]]&gt;0,"Partial Invoiced","Not Invoiced"),"Fully Invoiced")</f>
        <v>Partial Invoiced</v>
      </c>
      <c r="R467" t="str">
        <f>IFERROR(VLOOKUP(T[[#This Row],[warehouse]],Table2[],2,FALSE),"--")</f>
        <v>--</v>
      </c>
    </row>
    <row r="468" spans="1:18" x14ac:dyDescent="0.25">
      <c r="A468" t="s">
        <v>357</v>
      </c>
      <c r="B468" s="1">
        <v>43471</v>
      </c>
      <c r="C468" t="s">
        <v>358</v>
      </c>
      <c r="D468" t="s">
        <v>568</v>
      </c>
      <c r="E468" t="s">
        <v>51</v>
      </c>
      <c r="F468" t="s">
        <v>433</v>
      </c>
      <c r="G468" t="s">
        <v>433</v>
      </c>
      <c r="H468" t="s">
        <v>54</v>
      </c>
      <c r="I468">
        <v>215</v>
      </c>
      <c r="J468">
        <v>0</v>
      </c>
      <c r="K468">
        <v>1</v>
      </c>
      <c r="L468" t="s">
        <v>25</v>
      </c>
      <c r="M468" t="s">
        <v>359</v>
      </c>
      <c r="N468">
        <v>50</v>
      </c>
      <c r="O468">
        <v>0</v>
      </c>
      <c r="P468" t="str">
        <f>IF(T[[#This Row],[qty_ordered]]&lt;&gt;T[[#This Row],[qty_received]],IF(T[[#This Row],[qty_received]]&gt;0,"Partial Received","Not Receviced"),"FullyReceived")</f>
        <v>Not Receviced</v>
      </c>
      <c r="Q468" t="str">
        <f>IF(T[[#This Row],[qty_received]]&lt;&gt;T[[#This Row],[qty_invoiced]],IF(T[[#This Row],[qty_invoiced]]&gt;0,"Partial Invoiced","Not Invoiced"),"Fully Invoiced")</f>
        <v>Partial Invoiced</v>
      </c>
      <c r="R468" t="str">
        <f>IFERROR(VLOOKUP(T[[#This Row],[warehouse]],Table2[],2,FALSE),"--")</f>
        <v>--</v>
      </c>
    </row>
    <row r="469" spans="1:18" x14ac:dyDescent="0.25">
      <c r="A469" t="s">
        <v>357</v>
      </c>
      <c r="B469" s="1">
        <v>43471</v>
      </c>
      <c r="C469" t="s">
        <v>358</v>
      </c>
      <c r="D469" t="s">
        <v>569</v>
      </c>
      <c r="E469" t="s">
        <v>51</v>
      </c>
      <c r="F469" t="s">
        <v>384</v>
      </c>
      <c r="G469" t="s">
        <v>384</v>
      </c>
      <c r="H469" t="s">
        <v>54</v>
      </c>
      <c r="I469">
        <v>1300</v>
      </c>
      <c r="J469">
        <v>0</v>
      </c>
      <c r="K469">
        <v>1</v>
      </c>
      <c r="L469" t="s">
        <v>25</v>
      </c>
      <c r="M469" t="s">
        <v>359</v>
      </c>
      <c r="N469">
        <v>108</v>
      </c>
      <c r="O469">
        <v>0</v>
      </c>
      <c r="P469" t="str">
        <f>IF(T[[#This Row],[qty_ordered]]&lt;&gt;T[[#This Row],[qty_received]],IF(T[[#This Row],[qty_received]]&gt;0,"Partial Received","Not Receviced"),"FullyReceived")</f>
        <v>Not Receviced</v>
      </c>
      <c r="Q469" t="str">
        <f>IF(T[[#This Row],[qty_received]]&lt;&gt;T[[#This Row],[qty_invoiced]],IF(T[[#This Row],[qty_invoiced]]&gt;0,"Partial Invoiced","Not Invoiced"),"Fully Invoiced")</f>
        <v>Partial Invoiced</v>
      </c>
      <c r="R469" t="str">
        <f>IFERROR(VLOOKUP(T[[#This Row],[warehouse]],Table2[],2,FALSE),"--")</f>
        <v>--</v>
      </c>
    </row>
    <row r="470" spans="1:18" x14ac:dyDescent="0.25">
      <c r="A470" t="s">
        <v>357</v>
      </c>
      <c r="B470" s="1">
        <v>43471</v>
      </c>
      <c r="C470" t="s">
        <v>358</v>
      </c>
      <c r="D470" t="s">
        <v>570</v>
      </c>
      <c r="E470" t="s">
        <v>51</v>
      </c>
      <c r="F470" t="s">
        <v>390</v>
      </c>
      <c r="G470" t="s">
        <v>390</v>
      </c>
      <c r="H470" t="s">
        <v>54</v>
      </c>
      <c r="I470">
        <v>214.8</v>
      </c>
      <c r="J470">
        <v>0</v>
      </c>
      <c r="K470">
        <v>1</v>
      </c>
      <c r="L470" t="s">
        <v>25</v>
      </c>
      <c r="M470" t="s">
        <v>359</v>
      </c>
      <c r="N470">
        <v>20</v>
      </c>
      <c r="O470">
        <v>0</v>
      </c>
      <c r="P470" t="str">
        <f>IF(T[[#This Row],[qty_ordered]]&lt;&gt;T[[#This Row],[qty_received]],IF(T[[#This Row],[qty_received]]&gt;0,"Partial Received","Not Receviced"),"FullyReceived")</f>
        <v>Not Receviced</v>
      </c>
      <c r="Q470" t="str">
        <f>IF(T[[#This Row],[qty_received]]&lt;&gt;T[[#This Row],[qty_invoiced]],IF(T[[#This Row],[qty_invoiced]]&gt;0,"Partial Invoiced","Not Invoiced"),"Fully Invoiced")</f>
        <v>Partial Invoiced</v>
      </c>
      <c r="R470" t="str">
        <f>IFERROR(VLOOKUP(T[[#This Row],[warehouse]],Table2[],2,FALSE),"--")</f>
        <v>--</v>
      </c>
    </row>
    <row r="471" spans="1:18" x14ac:dyDescent="0.25">
      <c r="A471" t="s">
        <v>357</v>
      </c>
      <c r="B471" s="1">
        <v>43471</v>
      </c>
      <c r="C471" t="s">
        <v>358</v>
      </c>
      <c r="D471" t="s">
        <v>571</v>
      </c>
      <c r="E471" t="s">
        <v>51</v>
      </c>
      <c r="F471" t="s">
        <v>52</v>
      </c>
      <c r="G471" t="s">
        <v>75</v>
      </c>
      <c r="H471" t="s">
        <v>54</v>
      </c>
      <c r="I471">
        <v>1490.88</v>
      </c>
      <c r="J471">
        <v>0</v>
      </c>
      <c r="K471">
        <v>1</v>
      </c>
      <c r="L471" t="s">
        <v>25</v>
      </c>
      <c r="M471" t="s">
        <v>359</v>
      </c>
      <c r="N471">
        <v>10</v>
      </c>
      <c r="O471">
        <v>0</v>
      </c>
      <c r="P471" t="str">
        <f>IF(T[[#This Row],[qty_ordered]]&lt;&gt;T[[#This Row],[qty_received]],IF(T[[#This Row],[qty_received]]&gt;0,"Partial Received","Not Receviced"),"FullyReceived")</f>
        <v>Not Receviced</v>
      </c>
      <c r="Q471" t="str">
        <f>IF(T[[#This Row],[qty_received]]&lt;&gt;T[[#This Row],[qty_invoiced]],IF(T[[#This Row],[qty_invoiced]]&gt;0,"Partial Invoiced","Not Invoiced"),"Fully Invoiced")</f>
        <v>Partial Invoiced</v>
      </c>
      <c r="R471" t="str">
        <f>IFERROR(VLOOKUP(T[[#This Row],[warehouse]],Table2[],2,FALSE),"--")</f>
        <v>--</v>
      </c>
    </row>
    <row r="472" spans="1:18" x14ac:dyDescent="0.25">
      <c r="A472" t="s">
        <v>560</v>
      </c>
      <c r="B472" s="1">
        <v>43809</v>
      </c>
      <c r="C472" t="s">
        <v>562</v>
      </c>
      <c r="D472" t="s">
        <v>88</v>
      </c>
      <c r="E472" t="s">
        <v>51</v>
      </c>
      <c r="F472" t="s">
        <v>164</v>
      </c>
      <c r="G472" t="s">
        <v>164</v>
      </c>
      <c r="H472" t="s">
        <v>54</v>
      </c>
      <c r="I472">
        <v>92</v>
      </c>
      <c r="J472">
        <v>0</v>
      </c>
      <c r="K472">
        <v>1</v>
      </c>
      <c r="L472" t="s">
        <v>25</v>
      </c>
      <c r="M472" t="s">
        <v>359</v>
      </c>
      <c r="N472">
        <v>300</v>
      </c>
      <c r="O472">
        <v>0</v>
      </c>
      <c r="P472" t="str">
        <f>IF(T[[#This Row],[qty_ordered]]&lt;&gt;T[[#This Row],[qty_received]],IF(T[[#This Row],[qty_received]]&gt;0,"Partial Received","Not Receviced"),"FullyReceived")</f>
        <v>Not Receviced</v>
      </c>
      <c r="Q472" t="str">
        <f>IF(T[[#This Row],[qty_received]]&lt;&gt;T[[#This Row],[qty_invoiced]],IF(T[[#This Row],[qty_invoiced]]&gt;0,"Partial Invoiced","Not Invoiced"),"Fully Invoiced")</f>
        <v>Partial Invoiced</v>
      </c>
      <c r="R472" t="str">
        <f>IFERROR(VLOOKUP(T[[#This Row],[warehouse]],Table2[],2,FALSE),"--")</f>
        <v>--</v>
      </c>
    </row>
    <row r="473" spans="1:18" x14ac:dyDescent="0.25">
      <c r="A473" t="s">
        <v>560</v>
      </c>
      <c r="B473" s="1">
        <v>43809</v>
      </c>
      <c r="C473" t="s">
        <v>562</v>
      </c>
      <c r="D473" t="s">
        <v>74</v>
      </c>
      <c r="E473" t="s">
        <v>51</v>
      </c>
      <c r="F473" t="s">
        <v>164</v>
      </c>
      <c r="G473" t="s">
        <v>164</v>
      </c>
      <c r="H473" t="s">
        <v>54</v>
      </c>
      <c r="I473">
        <v>39</v>
      </c>
      <c r="J473">
        <v>0</v>
      </c>
      <c r="K473">
        <v>1</v>
      </c>
      <c r="L473" t="s">
        <v>25</v>
      </c>
      <c r="M473" t="s">
        <v>359</v>
      </c>
      <c r="N473">
        <v>300</v>
      </c>
      <c r="O473">
        <v>0</v>
      </c>
      <c r="P473" t="str">
        <f>IF(T[[#This Row],[qty_ordered]]&lt;&gt;T[[#This Row],[qty_received]],IF(T[[#This Row],[qty_received]]&gt;0,"Partial Received","Not Receviced"),"FullyReceived")</f>
        <v>Not Receviced</v>
      </c>
      <c r="Q473" t="str">
        <f>IF(T[[#This Row],[qty_received]]&lt;&gt;T[[#This Row],[qty_invoiced]],IF(T[[#This Row],[qty_invoiced]]&gt;0,"Partial Invoiced","Not Invoiced"),"Fully Invoiced")</f>
        <v>Partial Invoiced</v>
      </c>
      <c r="R473" t="str">
        <f>IFERROR(VLOOKUP(T[[#This Row],[warehouse]],Table2[],2,FALSE),"--")</f>
        <v>--</v>
      </c>
    </row>
    <row r="474" spans="1:18" x14ac:dyDescent="0.25">
      <c r="A474" t="s">
        <v>560</v>
      </c>
      <c r="B474" s="1">
        <v>43809</v>
      </c>
      <c r="C474" t="s">
        <v>562</v>
      </c>
      <c r="D474" t="s">
        <v>76</v>
      </c>
      <c r="E474" t="s">
        <v>51</v>
      </c>
      <c r="F474" t="s">
        <v>164</v>
      </c>
      <c r="G474" t="s">
        <v>164</v>
      </c>
      <c r="H474" t="s">
        <v>54</v>
      </c>
      <c r="I474">
        <v>32</v>
      </c>
      <c r="J474">
        <v>0</v>
      </c>
      <c r="K474">
        <v>1</v>
      </c>
      <c r="L474" t="s">
        <v>25</v>
      </c>
      <c r="M474" t="s">
        <v>359</v>
      </c>
      <c r="N474">
        <v>300</v>
      </c>
      <c r="O474">
        <v>0</v>
      </c>
      <c r="P474" t="str">
        <f>IF(T[[#This Row],[qty_ordered]]&lt;&gt;T[[#This Row],[qty_received]],IF(T[[#This Row],[qty_received]]&gt;0,"Partial Received","Not Receviced"),"FullyReceived")</f>
        <v>Not Receviced</v>
      </c>
      <c r="Q474" t="str">
        <f>IF(T[[#This Row],[qty_received]]&lt;&gt;T[[#This Row],[qty_invoiced]],IF(T[[#This Row],[qty_invoiced]]&gt;0,"Partial Invoiced","Not Invoiced"),"Fully Invoiced")</f>
        <v>Partial Invoiced</v>
      </c>
      <c r="R474" t="str">
        <f>IFERROR(VLOOKUP(T[[#This Row],[warehouse]],Table2[],2,FALSE),"--")</f>
        <v>--</v>
      </c>
    </row>
    <row r="475" spans="1:18" x14ac:dyDescent="0.25">
      <c r="A475" t="s">
        <v>560</v>
      </c>
      <c r="B475" s="1">
        <v>43809</v>
      </c>
      <c r="C475" t="s">
        <v>562</v>
      </c>
      <c r="D475" t="s">
        <v>212</v>
      </c>
      <c r="E475" t="s">
        <v>51</v>
      </c>
      <c r="F475" t="s">
        <v>164</v>
      </c>
      <c r="G475" t="s">
        <v>164</v>
      </c>
      <c r="H475" t="s">
        <v>54</v>
      </c>
      <c r="I475">
        <v>98</v>
      </c>
      <c r="J475">
        <v>0</v>
      </c>
      <c r="K475">
        <v>1</v>
      </c>
      <c r="L475" t="s">
        <v>25</v>
      </c>
      <c r="M475" t="s">
        <v>359</v>
      </c>
      <c r="N475">
        <v>300</v>
      </c>
      <c r="O475">
        <v>0</v>
      </c>
      <c r="P475" t="str">
        <f>IF(T[[#This Row],[qty_ordered]]&lt;&gt;T[[#This Row],[qty_received]],IF(T[[#This Row],[qty_received]]&gt;0,"Partial Received","Not Receviced"),"FullyReceived")</f>
        <v>Not Receviced</v>
      </c>
      <c r="Q475" t="str">
        <f>IF(T[[#This Row],[qty_received]]&lt;&gt;T[[#This Row],[qty_invoiced]],IF(T[[#This Row],[qty_invoiced]]&gt;0,"Partial Invoiced","Not Invoiced"),"Fully Invoiced")</f>
        <v>Partial Invoiced</v>
      </c>
      <c r="R475" t="str">
        <f>IFERROR(VLOOKUP(T[[#This Row],[warehouse]],Table2[],2,FALSE),"--")</f>
        <v>--</v>
      </c>
    </row>
    <row r="476" spans="1:18" x14ac:dyDescent="0.25">
      <c r="A476" t="s">
        <v>72</v>
      </c>
      <c r="B476" s="1">
        <v>43643</v>
      </c>
      <c r="C476" t="s">
        <v>572</v>
      </c>
      <c r="D476" t="s">
        <v>20</v>
      </c>
      <c r="E476" t="s">
        <v>51</v>
      </c>
      <c r="F476" t="s">
        <v>183</v>
      </c>
      <c r="G476" t="s">
        <v>183</v>
      </c>
      <c r="H476" t="s">
        <v>54</v>
      </c>
      <c r="I476">
        <v>176.52</v>
      </c>
      <c r="J476">
        <v>0</v>
      </c>
      <c r="K476">
        <v>1</v>
      </c>
      <c r="L476" t="s">
        <v>25</v>
      </c>
      <c r="M476" t="s">
        <v>26</v>
      </c>
      <c r="N476">
        <v>530</v>
      </c>
      <c r="O476">
        <v>0</v>
      </c>
      <c r="P476" t="str">
        <f>IF(T[[#This Row],[qty_ordered]]&lt;&gt;T[[#This Row],[qty_received]],IF(T[[#This Row],[qty_received]]&gt;0,"Partial Received","Not Receviced"),"FullyReceived")</f>
        <v>Not Receviced</v>
      </c>
      <c r="Q476" t="str">
        <f>IF(T[[#This Row],[qty_received]]&lt;&gt;T[[#This Row],[qty_invoiced]],IF(T[[#This Row],[qty_invoiced]]&gt;0,"Partial Invoiced","Not Invoiced"),"Fully Invoiced")</f>
        <v>Partial Invoiced</v>
      </c>
      <c r="R476" t="str">
        <f>IFERROR(VLOOKUP(T[[#This Row],[warehouse]],Table2[],2,FALSE),"--")</f>
        <v>--</v>
      </c>
    </row>
    <row r="477" spans="1:18" x14ac:dyDescent="0.25">
      <c r="A477" t="s">
        <v>72</v>
      </c>
      <c r="B477" s="1">
        <v>43643</v>
      </c>
      <c r="C477" t="s">
        <v>572</v>
      </c>
      <c r="D477" t="s">
        <v>71</v>
      </c>
      <c r="E477" t="s">
        <v>51</v>
      </c>
      <c r="F477" t="s">
        <v>278</v>
      </c>
      <c r="G477" t="s">
        <v>279</v>
      </c>
      <c r="H477" t="s">
        <v>54</v>
      </c>
      <c r="I477">
        <v>1400</v>
      </c>
      <c r="J477">
        <v>0</v>
      </c>
      <c r="K477">
        <v>1</v>
      </c>
      <c r="L477" t="s">
        <v>25</v>
      </c>
      <c r="M477" t="s">
        <v>26</v>
      </c>
      <c r="N477">
        <v>4</v>
      </c>
      <c r="O477">
        <v>0</v>
      </c>
      <c r="P477" t="str">
        <f>IF(T[[#This Row],[qty_ordered]]&lt;&gt;T[[#This Row],[qty_received]],IF(T[[#This Row],[qty_received]]&gt;0,"Partial Received","Not Receviced"),"FullyReceived")</f>
        <v>Not Receviced</v>
      </c>
      <c r="Q477" t="str">
        <f>IF(T[[#This Row],[qty_received]]&lt;&gt;T[[#This Row],[qty_invoiced]],IF(T[[#This Row],[qty_invoiced]]&gt;0,"Partial Invoiced","Not Invoiced"),"Fully Invoiced")</f>
        <v>Partial Invoiced</v>
      </c>
      <c r="R477" t="str">
        <f>IFERROR(VLOOKUP(T[[#This Row],[warehouse]],Table2[],2,FALSE),"--")</f>
        <v>--</v>
      </c>
    </row>
    <row r="478" spans="1:18" x14ac:dyDescent="0.25">
      <c r="A478" t="s">
        <v>72</v>
      </c>
      <c r="B478" s="1">
        <v>43643</v>
      </c>
      <c r="C478" t="s">
        <v>572</v>
      </c>
      <c r="D478" t="s">
        <v>100</v>
      </c>
      <c r="E478" t="s">
        <v>51</v>
      </c>
      <c r="F478" t="s">
        <v>267</v>
      </c>
      <c r="G478" t="s">
        <v>267</v>
      </c>
      <c r="H478" t="s">
        <v>54</v>
      </c>
      <c r="I478">
        <v>100</v>
      </c>
      <c r="J478">
        <v>0</v>
      </c>
      <c r="K478">
        <v>1</v>
      </c>
      <c r="L478" t="s">
        <v>25</v>
      </c>
      <c r="M478" t="s">
        <v>26</v>
      </c>
      <c r="N478">
        <v>5</v>
      </c>
      <c r="O478">
        <v>0</v>
      </c>
      <c r="P478" t="str">
        <f>IF(T[[#This Row],[qty_ordered]]&lt;&gt;T[[#This Row],[qty_received]],IF(T[[#This Row],[qty_received]]&gt;0,"Partial Received","Not Receviced"),"FullyReceived")</f>
        <v>Not Receviced</v>
      </c>
      <c r="Q478" t="str">
        <f>IF(T[[#This Row],[qty_received]]&lt;&gt;T[[#This Row],[qty_invoiced]],IF(T[[#This Row],[qty_invoiced]]&gt;0,"Partial Invoiced","Not Invoiced"),"Fully Invoiced")</f>
        <v>Partial Invoiced</v>
      </c>
      <c r="R478" t="str">
        <f>IFERROR(VLOOKUP(T[[#This Row],[warehouse]],Table2[],2,FALSE),"--")</f>
        <v>--</v>
      </c>
    </row>
    <row r="479" spans="1:18" x14ac:dyDescent="0.25">
      <c r="A479" t="s">
        <v>153</v>
      </c>
      <c r="B479" s="1">
        <v>43648</v>
      </c>
      <c r="C479" t="s">
        <v>573</v>
      </c>
      <c r="D479" t="s">
        <v>20</v>
      </c>
      <c r="E479" t="s">
        <v>259</v>
      </c>
      <c r="F479" t="s">
        <v>108</v>
      </c>
      <c r="G479" t="s">
        <v>109</v>
      </c>
      <c r="H479" t="s">
        <v>24</v>
      </c>
      <c r="I479">
        <v>1000</v>
      </c>
      <c r="J479">
        <v>55.12</v>
      </c>
      <c r="K479">
        <v>55.116999999999997</v>
      </c>
      <c r="L479" t="s">
        <v>25</v>
      </c>
      <c r="M479" t="s">
        <v>132</v>
      </c>
      <c r="N479">
        <v>82325</v>
      </c>
      <c r="O479">
        <v>4537754</v>
      </c>
      <c r="P479" t="str">
        <f>IF(T[[#This Row],[qty_ordered]]&lt;&gt;T[[#This Row],[qty_received]],IF(T[[#This Row],[qty_received]]&gt;0,"Partial Received","Not Receviced"),"FullyReceived")</f>
        <v>Partial Received</v>
      </c>
      <c r="Q479" t="str">
        <f>IF(T[[#This Row],[qty_received]]&lt;&gt;T[[#This Row],[qty_invoiced]],IF(T[[#This Row],[qty_invoiced]]&gt;0,"Partial Invoiced","Not Invoiced"),"Fully Invoiced")</f>
        <v>Partial Invoiced</v>
      </c>
      <c r="R479" t="str">
        <f>IFERROR(VLOOKUP(T[[#This Row],[warehouse]],Table2[],2,FALSE),"--")</f>
        <v>Sifters Bahri-Libyan</v>
      </c>
    </row>
    <row r="480" spans="1:18" x14ac:dyDescent="0.25">
      <c r="A480" t="s">
        <v>144</v>
      </c>
      <c r="B480" s="1">
        <v>43650</v>
      </c>
      <c r="C480" t="s">
        <v>574</v>
      </c>
      <c r="D480" t="s">
        <v>20</v>
      </c>
      <c r="E480" t="s">
        <v>146</v>
      </c>
      <c r="F480" t="s">
        <v>147</v>
      </c>
      <c r="G480" t="s">
        <v>148</v>
      </c>
      <c r="H480" t="s">
        <v>149</v>
      </c>
      <c r="I480">
        <v>54000</v>
      </c>
      <c r="J480">
        <v>54000</v>
      </c>
      <c r="K480">
        <v>54000</v>
      </c>
      <c r="L480" t="s">
        <v>25</v>
      </c>
      <c r="M480" t="s">
        <v>575</v>
      </c>
      <c r="N480">
        <v>6.81</v>
      </c>
      <c r="O480">
        <v>340249.5</v>
      </c>
      <c r="P480" t="str">
        <f>IF(T[[#This Row],[qty_ordered]]&lt;&gt;T[[#This Row],[qty_received]],IF(T[[#This Row],[qty_received]]&gt;0,"Partial Received","Not Receviced"),"FullyReceived")</f>
        <v>FullyReceived</v>
      </c>
      <c r="Q480" t="str">
        <f>IF(T[[#This Row],[qty_received]]&lt;&gt;T[[#This Row],[qty_invoiced]],IF(T[[#This Row],[qty_invoiced]]&gt;0,"Partial Invoiced","Not Invoiced"),"Fully Invoiced")</f>
        <v>Fully Invoiced</v>
      </c>
      <c r="R480" t="str">
        <f>IFERROR(VLOOKUP(T[[#This Row],[warehouse]],Table2[],2,FALSE),"--")</f>
        <v>Khtoum Main Warehouse</v>
      </c>
    </row>
    <row r="481" spans="1:18" x14ac:dyDescent="0.25">
      <c r="A481" t="s">
        <v>144</v>
      </c>
      <c r="B481" s="1">
        <v>43650</v>
      </c>
      <c r="C481" t="s">
        <v>574</v>
      </c>
      <c r="D481" t="s">
        <v>71</v>
      </c>
      <c r="E481" t="s">
        <v>146</v>
      </c>
      <c r="F481" t="s">
        <v>151</v>
      </c>
      <c r="G481" t="s">
        <v>152</v>
      </c>
      <c r="H481" t="s">
        <v>149</v>
      </c>
      <c r="I481">
        <v>54000</v>
      </c>
      <c r="J481">
        <v>54000</v>
      </c>
      <c r="K481">
        <v>54000</v>
      </c>
      <c r="L481" t="s">
        <v>25</v>
      </c>
      <c r="M481" t="s">
        <v>575</v>
      </c>
      <c r="N481">
        <v>6.81</v>
      </c>
      <c r="O481">
        <v>364564.5</v>
      </c>
      <c r="P481" t="str">
        <f>IF(T[[#This Row],[qty_ordered]]&lt;&gt;T[[#This Row],[qty_received]],IF(T[[#This Row],[qty_received]]&gt;0,"Partial Received","Not Receviced"),"FullyReceived")</f>
        <v>FullyReceived</v>
      </c>
      <c r="Q481" t="str">
        <f>IF(T[[#This Row],[qty_received]]&lt;&gt;T[[#This Row],[qty_invoiced]],IF(T[[#This Row],[qty_invoiced]]&gt;0,"Partial Invoiced","Not Invoiced"),"Fully Invoiced")</f>
        <v>Fully Invoiced</v>
      </c>
      <c r="R481" t="str">
        <f>IFERROR(VLOOKUP(T[[#This Row],[warehouse]],Table2[],2,FALSE),"--")</f>
        <v>Khtoum Main Warehouse</v>
      </c>
    </row>
    <row r="482" spans="1:18" x14ac:dyDescent="0.25">
      <c r="A482" t="s">
        <v>144</v>
      </c>
      <c r="B482" s="1">
        <v>43650</v>
      </c>
      <c r="C482" t="s">
        <v>574</v>
      </c>
      <c r="D482" t="s">
        <v>100</v>
      </c>
      <c r="E482" t="s">
        <v>146</v>
      </c>
      <c r="F482" t="s">
        <v>312</v>
      </c>
      <c r="G482" t="s">
        <v>313</v>
      </c>
      <c r="H482" t="s">
        <v>149</v>
      </c>
      <c r="I482">
        <v>24000</v>
      </c>
      <c r="J482">
        <v>24000</v>
      </c>
      <c r="K482">
        <v>24000</v>
      </c>
      <c r="L482" t="s">
        <v>25</v>
      </c>
      <c r="M482" t="s">
        <v>575</v>
      </c>
      <c r="N482">
        <v>6.81</v>
      </c>
      <c r="O482">
        <v>163440</v>
      </c>
      <c r="P482" t="str">
        <f>IF(T[[#This Row],[qty_ordered]]&lt;&gt;T[[#This Row],[qty_received]],IF(T[[#This Row],[qty_received]]&gt;0,"Partial Received","Not Receviced"),"FullyReceived")</f>
        <v>FullyReceived</v>
      </c>
      <c r="Q482" t="str">
        <f>IF(T[[#This Row],[qty_received]]&lt;&gt;T[[#This Row],[qty_invoiced]],IF(T[[#This Row],[qty_invoiced]]&gt;0,"Partial Invoiced","Not Invoiced"),"Fully Invoiced")</f>
        <v>Fully Invoiced</v>
      </c>
      <c r="R482" t="str">
        <f>IFERROR(VLOOKUP(T[[#This Row],[warehouse]],Table2[],2,FALSE),"--")</f>
        <v>Khtoum Main Warehouse</v>
      </c>
    </row>
    <row r="483" spans="1:18" x14ac:dyDescent="0.25">
      <c r="A483" t="s">
        <v>576</v>
      </c>
      <c r="B483" s="1">
        <v>43663</v>
      </c>
      <c r="C483" t="s">
        <v>577</v>
      </c>
      <c r="D483" t="s">
        <v>20</v>
      </c>
      <c r="E483" t="s">
        <v>51</v>
      </c>
      <c r="F483" t="s">
        <v>52</v>
      </c>
      <c r="G483" t="s">
        <v>75</v>
      </c>
      <c r="H483" t="s">
        <v>54</v>
      </c>
      <c r="I483">
        <v>20</v>
      </c>
      <c r="J483">
        <v>0</v>
      </c>
      <c r="K483">
        <v>1</v>
      </c>
      <c r="L483" t="s">
        <v>25</v>
      </c>
      <c r="M483" t="s">
        <v>26</v>
      </c>
      <c r="N483">
        <v>500</v>
      </c>
      <c r="O483">
        <v>0</v>
      </c>
      <c r="P483" t="str">
        <f>IF(T[[#This Row],[qty_ordered]]&lt;&gt;T[[#This Row],[qty_received]],IF(T[[#This Row],[qty_received]]&gt;0,"Partial Received","Not Receviced"),"FullyReceived")</f>
        <v>Not Receviced</v>
      </c>
      <c r="Q483" t="str">
        <f>IF(T[[#This Row],[qty_received]]&lt;&gt;T[[#This Row],[qty_invoiced]],IF(T[[#This Row],[qty_invoiced]]&gt;0,"Partial Invoiced","Not Invoiced"),"Fully Invoiced")</f>
        <v>Partial Invoiced</v>
      </c>
      <c r="R483" t="str">
        <f>IFERROR(VLOOKUP(T[[#This Row],[warehouse]],Table2[],2,FALSE),"--")</f>
        <v>--</v>
      </c>
    </row>
    <row r="484" spans="1:18" x14ac:dyDescent="0.25">
      <c r="A484" t="s">
        <v>160</v>
      </c>
      <c r="B484" s="1">
        <v>43478</v>
      </c>
      <c r="C484" t="s">
        <v>199</v>
      </c>
      <c r="D484" t="s">
        <v>100</v>
      </c>
      <c r="E484" t="s">
        <v>578</v>
      </c>
      <c r="F484" t="s">
        <v>37</v>
      </c>
      <c r="G484" t="s">
        <v>38</v>
      </c>
      <c r="H484" t="s">
        <v>24</v>
      </c>
      <c r="I484">
        <v>700</v>
      </c>
      <c r="J484">
        <v>625.26</v>
      </c>
      <c r="K484">
        <v>625.26</v>
      </c>
      <c r="L484" t="s">
        <v>25</v>
      </c>
      <c r="M484" t="s">
        <v>26</v>
      </c>
      <c r="N484">
        <v>82383.5</v>
      </c>
      <c r="O484">
        <v>51511107.210000001</v>
      </c>
      <c r="P484" t="str">
        <f>IF(T[[#This Row],[qty_ordered]]&lt;&gt;T[[#This Row],[qty_received]],IF(T[[#This Row],[qty_received]]&gt;0,"Partial Received","Not Receviced"),"FullyReceived")</f>
        <v>Partial Received</v>
      </c>
      <c r="Q484" t="str">
        <f>IF(T[[#This Row],[qty_received]]&lt;&gt;T[[#This Row],[qty_invoiced]],IF(T[[#This Row],[qty_invoiced]]&gt;0,"Partial Invoiced","Not Invoiced"),"Fully Invoiced")</f>
        <v>Fully Invoiced</v>
      </c>
      <c r="R484" t="str">
        <f>IFERROR(VLOOKUP(T[[#This Row],[warehouse]],Table2[],2,FALSE),"--")</f>
        <v>5-STARS - GADARIF</v>
      </c>
    </row>
    <row r="485" spans="1:18" x14ac:dyDescent="0.25">
      <c r="A485" t="s">
        <v>495</v>
      </c>
      <c r="B485" s="1">
        <v>43592</v>
      </c>
      <c r="C485" t="s">
        <v>496</v>
      </c>
      <c r="D485" t="s">
        <v>71</v>
      </c>
      <c r="E485" t="s">
        <v>51</v>
      </c>
      <c r="F485" t="s">
        <v>183</v>
      </c>
      <c r="G485" t="s">
        <v>183</v>
      </c>
      <c r="H485" t="s">
        <v>54</v>
      </c>
      <c r="I485">
        <v>169.536</v>
      </c>
      <c r="J485">
        <v>0</v>
      </c>
      <c r="K485">
        <v>1</v>
      </c>
      <c r="L485" t="s">
        <v>25</v>
      </c>
      <c r="M485" t="s">
        <v>26</v>
      </c>
      <c r="N485">
        <v>600</v>
      </c>
      <c r="O485">
        <v>0</v>
      </c>
      <c r="P485" t="str">
        <f>IF(T[[#This Row],[qty_ordered]]&lt;&gt;T[[#This Row],[qty_received]],IF(T[[#This Row],[qty_received]]&gt;0,"Partial Received","Not Receviced"),"FullyReceived")</f>
        <v>Not Receviced</v>
      </c>
      <c r="Q485" t="str">
        <f>IF(T[[#This Row],[qty_received]]&lt;&gt;T[[#This Row],[qty_invoiced]],IF(T[[#This Row],[qty_invoiced]]&gt;0,"Partial Invoiced","Not Invoiced"),"Fully Invoiced")</f>
        <v>Partial Invoiced</v>
      </c>
      <c r="R485" t="str">
        <f>IFERROR(VLOOKUP(T[[#This Row],[warehouse]],Table2[],2,FALSE),"--")</f>
        <v>--</v>
      </c>
    </row>
    <row r="486" spans="1:18" x14ac:dyDescent="0.25">
      <c r="A486" t="s">
        <v>144</v>
      </c>
      <c r="B486" s="1">
        <v>43669</v>
      </c>
      <c r="C486" t="s">
        <v>579</v>
      </c>
      <c r="D486" t="s">
        <v>20</v>
      </c>
      <c r="E486" t="s">
        <v>203</v>
      </c>
      <c r="F486" t="s">
        <v>147</v>
      </c>
      <c r="G486" t="s">
        <v>148</v>
      </c>
      <c r="H486" t="s">
        <v>149</v>
      </c>
      <c r="I486">
        <v>50000</v>
      </c>
      <c r="J486">
        <v>30800</v>
      </c>
      <c r="K486">
        <v>30800</v>
      </c>
      <c r="L486" t="s">
        <v>25</v>
      </c>
      <c r="M486" t="s">
        <v>150</v>
      </c>
      <c r="N486">
        <v>6.81</v>
      </c>
      <c r="O486">
        <v>197508</v>
      </c>
      <c r="P486" t="str">
        <f>IF(T[[#This Row],[qty_ordered]]&lt;&gt;T[[#This Row],[qty_received]],IF(T[[#This Row],[qty_received]]&gt;0,"Partial Received","Not Receviced"),"FullyReceived")</f>
        <v>Partial Received</v>
      </c>
      <c r="Q486" t="str">
        <f>IF(T[[#This Row],[qty_received]]&lt;&gt;T[[#This Row],[qty_invoiced]],IF(T[[#This Row],[qty_invoiced]]&gt;0,"Partial Invoiced","Not Invoiced"),"Fully Invoiced")</f>
        <v>Fully Invoiced</v>
      </c>
      <c r="R486" t="str">
        <f>IFERROR(VLOOKUP(T[[#This Row],[warehouse]],Table2[],2,FALSE),"--")</f>
        <v>PZU Packaging Warehouse</v>
      </c>
    </row>
    <row r="487" spans="1:18" x14ac:dyDescent="0.25">
      <c r="A487" t="s">
        <v>144</v>
      </c>
      <c r="B487" s="1">
        <v>43669</v>
      </c>
      <c r="C487" t="s">
        <v>579</v>
      </c>
      <c r="D487" t="s">
        <v>71</v>
      </c>
      <c r="E487" t="s">
        <v>203</v>
      </c>
      <c r="F487" t="s">
        <v>151</v>
      </c>
      <c r="G487" t="s">
        <v>152</v>
      </c>
      <c r="H487" t="s">
        <v>149</v>
      </c>
      <c r="I487">
        <v>50000</v>
      </c>
      <c r="J487">
        <v>0</v>
      </c>
      <c r="K487">
        <v>0</v>
      </c>
      <c r="L487" t="s">
        <v>25</v>
      </c>
      <c r="M487" t="s">
        <v>150</v>
      </c>
      <c r="N487">
        <v>6.21</v>
      </c>
      <c r="O487">
        <v>0</v>
      </c>
      <c r="P487" t="str">
        <f>IF(T[[#This Row],[qty_ordered]]&lt;&gt;T[[#This Row],[qty_received]],IF(T[[#This Row],[qty_received]]&gt;0,"Partial Received","Not Receviced"),"FullyReceived")</f>
        <v>Not Receviced</v>
      </c>
      <c r="Q487" t="str">
        <f>IF(T[[#This Row],[qty_received]]&lt;&gt;T[[#This Row],[qty_invoiced]],IF(T[[#This Row],[qty_invoiced]]&gt;0,"Partial Invoiced","Not Invoiced"),"Fully Invoiced")</f>
        <v>Fully Invoiced</v>
      </c>
      <c r="R487" t="str">
        <f>IFERROR(VLOOKUP(T[[#This Row],[warehouse]],Table2[],2,FALSE),"--")</f>
        <v>PZU Packaging Warehouse</v>
      </c>
    </row>
    <row r="488" spans="1:18" x14ac:dyDescent="0.25">
      <c r="A488" t="s">
        <v>144</v>
      </c>
      <c r="B488" s="1">
        <v>43669</v>
      </c>
      <c r="C488" t="s">
        <v>580</v>
      </c>
      <c r="D488" t="s">
        <v>20</v>
      </c>
      <c r="E488" t="s">
        <v>203</v>
      </c>
      <c r="F488" t="s">
        <v>147</v>
      </c>
      <c r="G488" t="s">
        <v>148</v>
      </c>
      <c r="H488" t="s">
        <v>149</v>
      </c>
      <c r="I488">
        <v>50000</v>
      </c>
      <c r="J488">
        <v>43500</v>
      </c>
      <c r="K488">
        <v>52800</v>
      </c>
      <c r="L488" t="s">
        <v>25</v>
      </c>
      <c r="M488" t="s">
        <v>150</v>
      </c>
      <c r="N488">
        <v>8.2200000000000006</v>
      </c>
      <c r="O488">
        <v>325473</v>
      </c>
      <c r="P488" t="str">
        <f>IF(T[[#This Row],[qty_ordered]]&lt;&gt;T[[#This Row],[qty_received]],IF(T[[#This Row],[qty_received]]&gt;0,"Partial Received","Not Receviced"),"FullyReceived")</f>
        <v>Partial Received</v>
      </c>
      <c r="Q488" t="str">
        <f>IF(T[[#This Row],[qty_received]]&lt;&gt;T[[#This Row],[qty_invoiced]],IF(T[[#This Row],[qty_invoiced]]&gt;0,"Partial Invoiced","Not Invoiced"),"Fully Invoiced")</f>
        <v>Partial Invoiced</v>
      </c>
      <c r="R488" t="str">
        <f>IFERROR(VLOOKUP(T[[#This Row],[warehouse]],Table2[],2,FALSE),"--")</f>
        <v>PZU Packaging Warehouse</v>
      </c>
    </row>
    <row r="489" spans="1:18" x14ac:dyDescent="0.25">
      <c r="A489" t="s">
        <v>144</v>
      </c>
      <c r="B489" s="1">
        <v>43669</v>
      </c>
      <c r="C489" t="s">
        <v>580</v>
      </c>
      <c r="D489" t="s">
        <v>71</v>
      </c>
      <c r="E489" t="s">
        <v>203</v>
      </c>
      <c r="F489" t="s">
        <v>151</v>
      </c>
      <c r="G489" t="s">
        <v>152</v>
      </c>
      <c r="H489" t="s">
        <v>149</v>
      </c>
      <c r="I489">
        <v>50000</v>
      </c>
      <c r="J489">
        <v>0</v>
      </c>
      <c r="K489">
        <v>0</v>
      </c>
      <c r="L489" t="s">
        <v>25</v>
      </c>
      <c r="M489" t="s">
        <v>150</v>
      </c>
      <c r="N489">
        <v>6.21</v>
      </c>
      <c r="O489">
        <v>0</v>
      </c>
      <c r="P489" t="str">
        <f>IF(T[[#This Row],[qty_ordered]]&lt;&gt;T[[#This Row],[qty_received]],IF(T[[#This Row],[qty_received]]&gt;0,"Partial Received","Not Receviced"),"FullyReceived")</f>
        <v>Not Receviced</v>
      </c>
      <c r="Q489" t="str">
        <f>IF(T[[#This Row],[qty_received]]&lt;&gt;T[[#This Row],[qty_invoiced]],IF(T[[#This Row],[qty_invoiced]]&gt;0,"Partial Invoiced","Not Invoiced"),"Fully Invoiced")</f>
        <v>Fully Invoiced</v>
      </c>
      <c r="R489" t="str">
        <f>IFERROR(VLOOKUP(T[[#This Row],[warehouse]],Table2[],2,FALSE),"--")</f>
        <v>PZU Packaging Warehouse</v>
      </c>
    </row>
    <row r="490" spans="1:18" x14ac:dyDescent="0.25">
      <c r="A490" t="s">
        <v>260</v>
      </c>
      <c r="B490" s="1">
        <v>43670</v>
      </c>
      <c r="C490" t="s">
        <v>581</v>
      </c>
      <c r="D490" t="s">
        <v>88</v>
      </c>
      <c r="E490" t="s">
        <v>51</v>
      </c>
      <c r="F490" t="s">
        <v>262</v>
      </c>
      <c r="G490" t="s">
        <v>263</v>
      </c>
      <c r="H490" t="s">
        <v>54</v>
      </c>
      <c r="I490">
        <v>58000</v>
      </c>
      <c r="J490">
        <v>0</v>
      </c>
      <c r="K490">
        <v>1</v>
      </c>
      <c r="L490" t="s">
        <v>25</v>
      </c>
      <c r="M490" t="s">
        <v>26</v>
      </c>
      <c r="N490">
        <v>2</v>
      </c>
      <c r="O490">
        <v>0</v>
      </c>
      <c r="P490" t="str">
        <f>IF(T[[#This Row],[qty_ordered]]&lt;&gt;T[[#This Row],[qty_received]],IF(T[[#This Row],[qty_received]]&gt;0,"Partial Received","Not Receviced"),"FullyReceived")</f>
        <v>Not Receviced</v>
      </c>
      <c r="Q490" t="str">
        <f>IF(T[[#This Row],[qty_received]]&lt;&gt;T[[#This Row],[qty_invoiced]],IF(T[[#This Row],[qty_invoiced]]&gt;0,"Partial Invoiced","Not Invoiced"),"Fully Invoiced")</f>
        <v>Partial Invoiced</v>
      </c>
      <c r="R490" t="str">
        <f>IFERROR(VLOOKUP(T[[#This Row],[warehouse]],Table2[],2,FALSE),"--")</f>
        <v>--</v>
      </c>
    </row>
    <row r="491" spans="1:18" x14ac:dyDescent="0.25">
      <c r="A491" t="s">
        <v>260</v>
      </c>
      <c r="B491" s="1">
        <v>43670</v>
      </c>
      <c r="C491" t="s">
        <v>581</v>
      </c>
      <c r="D491" t="s">
        <v>74</v>
      </c>
      <c r="E491" t="s">
        <v>51</v>
      </c>
      <c r="F491" t="s">
        <v>266</v>
      </c>
      <c r="G491" t="s">
        <v>266</v>
      </c>
      <c r="H491" t="s">
        <v>54</v>
      </c>
      <c r="I491">
        <v>58000</v>
      </c>
      <c r="J491">
        <v>0</v>
      </c>
      <c r="K491">
        <v>1</v>
      </c>
      <c r="L491" t="s">
        <v>25</v>
      </c>
      <c r="M491" t="s">
        <v>26</v>
      </c>
      <c r="N491">
        <v>16.5</v>
      </c>
      <c r="O491">
        <v>0</v>
      </c>
      <c r="P491" t="str">
        <f>IF(T[[#This Row],[qty_ordered]]&lt;&gt;T[[#This Row],[qty_received]],IF(T[[#This Row],[qty_received]]&gt;0,"Partial Received","Not Receviced"),"FullyReceived")</f>
        <v>Not Receviced</v>
      </c>
      <c r="Q491" t="str">
        <f>IF(T[[#This Row],[qty_received]]&lt;&gt;T[[#This Row],[qty_invoiced]],IF(T[[#This Row],[qty_invoiced]]&gt;0,"Partial Invoiced","Not Invoiced"),"Fully Invoiced")</f>
        <v>Partial Invoiced</v>
      </c>
      <c r="R491" t="str">
        <f>IFERROR(VLOOKUP(T[[#This Row],[warehouse]],Table2[],2,FALSE),"--")</f>
        <v>--</v>
      </c>
    </row>
    <row r="492" spans="1:18" x14ac:dyDescent="0.25">
      <c r="A492" t="s">
        <v>582</v>
      </c>
      <c r="B492" s="1">
        <v>43671</v>
      </c>
      <c r="C492" t="s">
        <v>583</v>
      </c>
      <c r="D492" t="s">
        <v>20</v>
      </c>
      <c r="E492" t="s">
        <v>51</v>
      </c>
      <c r="F492" t="s">
        <v>369</v>
      </c>
      <c r="G492" t="s">
        <v>369</v>
      </c>
      <c r="H492" t="s">
        <v>54</v>
      </c>
      <c r="I492">
        <v>5800</v>
      </c>
      <c r="J492">
        <v>0</v>
      </c>
      <c r="K492">
        <v>1</v>
      </c>
      <c r="L492" t="s">
        <v>25</v>
      </c>
      <c r="M492" t="s">
        <v>26</v>
      </c>
      <c r="N492">
        <v>1350</v>
      </c>
      <c r="O492">
        <v>0</v>
      </c>
      <c r="P492" t="str">
        <f>IF(T[[#This Row],[qty_ordered]]&lt;&gt;T[[#This Row],[qty_received]],IF(T[[#This Row],[qty_received]]&gt;0,"Partial Received","Not Receviced"),"FullyReceived")</f>
        <v>Not Receviced</v>
      </c>
      <c r="Q492" t="str">
        <f>IF(T[[#This Row],[qty_received]]&lt;&gt;T[[#This Row],[qty_invoiced]],IF(T[[#This Row],[qty_invoiced]]&gt;0,"Partial Invoiced","Not Invoiced"),"Fully Invoiced")</f>
        <v>Partial Invoiced</v>
      </c>
      <c r="R492" t="str">
        <f>IFERROR(VLOOKUP(T[[#This Row],[warehouse]],Table2[],2,FALSE),"--")</f>
        <v>--</v>
      </c>
    </row>
    <row r="493" spans="1:18" x14ac:dyDescent="0.25">
      <c r="A493" t="s">
        <v>260</v>
      </c>
      <c r="B493" s="1">
        <v>43671</v>
      </c>
      <c r="C493" t="s">
        <v>584</v>
      </c>
      <c r="D493" t="s">
        <v>20</v>
      </c>
      <c r="E493" t="s">
        <v>51</v>
      </c>
      <c r="F493" t="s">
        <v>266</v>
      </c>
      <c r="G493" t="s">
        <v>266</v>
      </c>
      <c r="H493" t="s">
        <v>54</v>
      </c>
      <c r="I493">
        <v>1</v>
      </c>
      <c r="J493">
        <v>0</v>
      </c>
      <c r="K493">
        <v>1</v>
      </c>
      <c r="L493" t="s">
        <v>25</v>
      </c>
      <c r="M493" t="s">
        <v>26</v>
      </c>
      <c r="N493">
        <v>35422</v>
      </c>
      <c r="O493">
        <v>0</v>
      </c>
      <c r="P493" t="str">
        <f>IF(T[[#This Row],[qty_ordered]]&lt;&gt;T[[#This Row],[qty_received]],IF(T[[#This Row],[qty_received]]&gt;0,"Partial Received","Not Receviced"),"FullyReceived")</f>
        <v>Not Receviced</v>
      </c>
      <c r="Q493" t="str">
        <f>IF(T[[#This Row],[qty_received]]&lt;&gt;T[[#This Row],[qty_invoiced]],IF(T[[#This Row],[qty_invoiced]]&gt;0,"Partial Invoiced","Not Invoiced"),"Fully Invoiced")</f>
        <v>Partial Invoiced</v>
      </c>
      <c r="R493" t="str">
        <f>IFERROR(VLOOKUP(T[[#This Row],[warehouse]],Table2[],2,FALSE),"--")</f>
        <v>--</v>
      </c>
    </row>
    <row r="494" spans="1:18" x14ac:dyDescent="0.25">
      <c r="A494" t="s">
        <v>260</v>
      </c>
      <c r="B494" s="1">
        <v>43671</v>
      </c>
      <c r="C494" t="s">
        <v>585</v>
      </c>
      <c r="D494" t="s">
        <v>20</v>
      </c>
      <c r="E494" t="s">
        <v>51</v>
      </c>
      <c r="F494" t="s">
        <v>369</v>
      </c>
      <c r="G494" t="s">
        <v>369</v>
      </c>
      <c r="H494" t="s">
        <v>54</v>
      </c>
      <c r="I494">
        <v>2248</v>
      </c>
      <c r="J494">
        <v>0</v>
      </c>
      <c r="K494">
        <v>1</v>
      </c>
      <c r="L494" t="s">
        <v>25</v>
      </c>
      <c r="M494" t="s">
        <v>26</v>
      </c>
      <c r="N494">
        <v>10</v>
      </c>
      <c r="O494">
        <v>0</v>
      </c>
      <c r="P494" t="str">
        <f>IF(T[[#This Row],[qty_ordered]]&lt;&gt;T[[#This Row],[qty_received]],IF(T[[#This Row],[qty_received]]&gt;0,"Partial Received","Not Receviced"),"FullyReceived")</f>
        <v>Not Receviced</v>
      </c>
      <c r="Q494" t="str">
        <f>IF(T[[#This Row],[qty_received]]&lt;&gt;T[[#This Row],[qty_invoiced]],IF(T[[#This Row],[qty_invoiced]]&gt;0,"Partial Invoiced","Not Invoiced"),"Fully Invoiced")</f>
        <v>Partial Invoiced</v>
      </c>
      <c r="R494" t="str">
        <f>IFERROR(VLOOKUP(T[[#This Row],[warehouse]],Table2[],2,FALSE),"--")</f>
        <v>--</v>
      </c>
    </row>
    <row r="495" spans="1:18" x14ac:dyDescent="0.25">
      <c r="A495" t="s">
        <v>260</v>
      </c>
      <c r="B495" s="1">
        <v>43671</v>
      </c>
      <c r="C495" t="s">
        <v>585</v>
      </c>
      <c r="D495" t="s">
        <v>71</v>
      </c>
      <c r="E495" t="s">
        <v>51</v>
      </c>
      <c r="F495" t="s">
        <v>262</v>
      </c>
      <c r="G495" t="s">
        <v>263</v>
      </c>
      <c r="H495" t="s">
        <v>54</v>
      </c>
      <c r="I495">
        <v>1</v>
      </c>
      <c r="J495">
        <v>0</v>
      </c>
      <c r="K495">
        <v>1</v>
      </c>
      <c r="L495" t="s">
        <v>25</v>
      </c>
      <c r="M495" t="s">
        <v>26</v>
      </c>
      <c r="N495">
        <v>993</v>
      </c>
      <c r="O495">
        <v>0</v>
      </c>
      <c r="P495" t="str">
        <f>IF(T[[#This Row],[qty_ordered]]&lt;&gt;T[[#This Row],[qty_received]],IF(T[[#This Row],[qty_received]]&gt;0,"Partial Received","Not Receviced"),"FullyReceived")</f>
        <v>Not Receviced</v>
      </c>
      <c r="Q495" t="str">
        <f>IF(T[[#This Row],[qty_received]]&lt;&gt;T[[#This Row],[qty_invoiced]],IF(T[[#This Row],[qty_invoiced]]&gt;0,"Partial Invoiced","Not Invoiced"),"Fully Invoiced")</f>
        <v>Partial Invoiced</v>
      </c>
      <c r="R495" t="str">
        <f>IFERROR(VLOOKUP(T[[#This Row],[warehouse]],Table2[],2,FALSE),"--")</f>
        <v>--</v>
      </c>
    </row>
    <row r="496" spans="1:18" x14ac:dyDescent="0.25">
      <c r="A496" t="s">
        <v>260</v>
      </c>
      <c r="B496" s="1">
        <v>43671</v>
      </c>
      <c r="C496" t="s">
        <v>585</v>
      </c>
      <c r="D496" t="s">
        <v>100</v>
      </c>
      <c r="E496" t="s">
        <v>51</v>
      </c>
      <c r="F496" t="s">
        <v>262</v>
      </c>
      <c r="G496" t="s">
        <v>263</v>
      </c>
      <c r="H496" t="s">
        <v>54</v>
      </c>
      <c r="I496">
        <v>1</v>
      </c>
      <c r="J496">
        <v>0</v>
      </c>
      <c r="K496">
        <v>1</v>
      </c>
      <c r="L496" t="s">
        <v>25</v>
      </c>
      <c r="M496" t="s">
        <v>26</v>
      </c>
      <c r="N496">
        <v>8000</v>
      </c>
      <c r="O496">
        <v>0</v>
      </c>
      <c r="P496" t="str">
        <f>IF(T[[#This Row],[qty_ordered]]&lt;&gt;T[[#This Row],[qty_received]],IF(T[[#This Row],[qty_received]]&gt;0,"Partial Received","Not Receviced"),"FullyReceived")</f>
        <v>Not Receviced</v>
      </c>
      <c r="Q496" t="str">
        <f>IF(T[[#This Row],[qty_received]]&lt;&gt;T[[#This Row],[qty_invoiced]],IF(T[[#This Row],[qty_invoiced]]&gt;0,"Partial Invoiced","Not Invoiced"),"Fully Invoiced")</f>
        <v>Partial Invoiced</v>
      </c>
      <c r="R496" t="str">
        <f>IFERROR(VLOOKUP(T[[#This Row],[warehouse]],Table2[],2,FALSE),"--")</f>
        <v>--</v>
      </c>
    </row>
    <row r="497" spans="1:18" x14ac:dyDescent="0.25">
      <c r="A497" t="s">
        <v>235</v>
      </c>
      <c r="B497" s="1">
        <v>43674</v>
      </c>
      <c r="C497" t="s">
        <v>586</v>
      </c>
      <c r="D497" t="s">
        <v>20</v>
      </c>
      <c r="E497" t="s">
        <v>51</v>
      </c>
      <c r="F497" t="s">
        <v>52</v>
      </c>
      <c r="G497" t="s">
        <v>75</v>
      </c>
      <c r="H497" t="s">
        <v>54</v>
      </c>
      <c r="I497">
        <v>10</v>
      </c>
      <c r="J497">
        <v>0</v>
      </c>
      <c r="K497">
        <v>1</v>
      </c>
      <c r="L497" t="s">
        <v>25</v>
      </c>
      <c r="M497" t="s">
        <v>359</v>
      </c>
      <c r="N497">
        <v>240</v>
      </c>
      <c r="O497">
        <v>0</v>
      </c>
      <c r="P497" t="str">
        <f>IF(T[[#This Row],[qty_ordered]]&lt;&gt;T[[#This Row],[qty_received]],IF(T[[#This Row],[qty_received]]&gt;0,"Partial Received","Not Receviced"),"FullyReceived")</f>
        <v>Not Receviced</v>
      </c>
      <c r="Q497" t="str">
        <f>IF(T[[#This Row],[qty_received]]&lt;&gt;T[[#This Row],[qty_invoiced]],IF(T[[#This Row],[qty_invoiced]]&gt;0,"Partial Invoiced","Not Invoiced"),"Fully Invoiced")</f>
        <v>Partial Invoiced</v>
      </c>
      <c r="R497" t="str">
        <f>IFERROR(VLOOKUP(T[[#This Row],[warehouse]],Table2[],2,FALSE),"--")</f>
        <v>--</v>
      </c>
    </row>
    <row r="498" spans="1:18" x14ac:dyDescent="0.25">
      <c r="A498" t="s">
        <v>428</v>
      </c>
      <c r="B498" s="1">
        <v>43674</v>
      </c>
      <c r="C498" t="s">
        <v>587</v>
      </c>
      <c r="D498" t="s">
        <v>20</v>
      </c>
      <c r="E498" t="s">
        <v>51</v>
      </c>
      <c r="F498" t="s">
        <v>262</v>
      </c>
      <c r="G498" t="s">
        <v>264</v>
      </c>
      <c r="H498" t="s">
        <v>54</v>
      </c>
      <c r="I498">
        <v>1</v>
      </c>
      <c r="J498">
        <v>0</v>
      </c>
      <c r="K498">
        <v>1</v>
      </c>
      <c r="L498" t="s">
        <v>25</v>
      </c>
      <c r="M498" t="s">
        <v>26</v>
      </c>
      <c r="N498">
        <v>13717</v>
      </c>
      <c r="O498">
        <v>0</v>
      </c>
      <c r="P498" t="str">
        <f>IF(T[[#This Row],[qty_ordered]]&lt;&gt;T[[#This Row],[qty_received]],IF(T[[#This Row],[qty_received]]&gt;0,"Partial Received","Not Receviced"),"FullyReceived")</f>
        <v>Not Receviced</v>
      </c>
      <c r="Q498" t="str">
        <f>IF(T[[#This Row],[qty_received]]&lt;&gt;T[[#This Row],[qty_invoiced]],IF(T[[#This Row],[qty_invoiced]]&gt;0,"Partial Invoiced","Not Invoiced"),"Fully Invoiced")</f>
        <v>Partial Invoiced</v>
      </c>
      <c r="R498" t="str">
        <f>IFERROR(VLOOKUP(T[[#This Row],[warehouse]],Table2[],2,FALSE),"--")</f>
        <v>--</v>
      </c>
    </row>
    <row r="499" spans="1:18" x14ac:dyDescent="0.25">
      <c r="A499" t="s">
        <v>303</v>
      </c>
      <c r="B499" s="1">
        <v>43681</v>
      </c>
      <c r="C499" t="s">
        <v>588</v>
      </c>
      <c r="D499" t="s">
        <v>20</v>
      </c>
      <c r="E499" t="s">
        <v>66</v>
      </c>
      <c r="F499" t="s">
        <v>305</v>
      </c>
      <c r="G499" t="s">
        <v>306</v>
      </c>
      <c r="H499" t="s">
        <v>24</v>
      </c>
      <c r="I499">
        <v>3539.47</v>
      </c>
      <c r="J499">
        <v>3539.47</v>
      </c>
      <c r="K499">
        <v>3539.47</v>
      </c>
      <c r="L499" t="s">
        <v>25</v>
      </c>
      <c r="M499" t="s">
        <v>132</v>
      </c>
      <c r="N499">
        <v>11000</v>
      </c>
      <c r="O499">
        <v>38934170</v>
      </c>
      <c r="P499" t="str">
        <f>IF(T[[#This Row],[qty_ordered]]&lt;&gt;T[[#This Row],[qty_received]],IF(T[[#This Row],[qty_received]]&gt;0,"Partial Received","Not Receviced"),"FullyReceived")</f>
        <v>FullyReceived</v>
      </c>
      <c r="Q499" t="str">
        <f>IF(T[[#This Row],[qty_received]]&lt;&gt;T[[#This Row],[qty_invoiced]],IF(T[[#This Row],[qty_invoiced]]&gt;0,"Partial Invoiced","Not Invoiced"),"Fully Invoiced")</f>
        <v>Fully Invoiced</v>
      </c>
      <c r="R499" t="str">
        <f>IFERROR(VLOOKUP(T[[#This Row],[warehouse]],Table2[],2,FALSE),"--")</f>
        <v>PZU Main Warehouse</v>
      </c>
    </row>
    <row r="500" spans="1:18" x14ac:dyDescent="0.25">
      <c r="A500" t="s">
        <v>201</v>
      </c>
      <c r="B500" s="1">
        <v>43670</v>
      </c>
      <c r="C500" t="s">
        <v>589</v>
      </c>
      <c r="D500" t="s">
        <v>20</v>
      </c>
      <c r="E500" t="s">
        <v>203</v>
      </c>
      <c r="F500" t="s">
        <v>204</v>
      </c>
      <c r="G500" t="s">
        <v>205</v>
      </c>
      <c r="H500" t="s">
        <v>206</v>
      </c>
      <c r="I500">
        <v>160</v>
      </c>
      <c r="J500">
        <v>160</v>
      </c>
      <c r="K500">
        <v>160</v>
      </c>
      <c r="L500" t="s">
        <v>25</v>
      </c>
      <c r="M500" t="s">
        <v>575</v>
      </c>
      <c r="N500">
        <v>23105.25</v>
      </c>
      <c r="O500">
        <v>3696840</v>
      </c>
      <c r="P500" t="str">
        <f>IF(T[[#This Row],[qty_ordered]]&lt;&gt;T[[#This Row],[qty_received]],IF(T[[#This Row],[qty_received]]&gt;0,"Partial Received","Not Receviced"),"FullyReceived")</f>
        <v>FullyReceived</v>
      </c>
      <c r="Q500" t="str">
        <f>IF(T[[#This Row],[qty_received]]&lt;&gt;T[[#This Row],[qty_invoiced]],IF(T[[#This Row],[qty_invoiced]]&gt;0,"Partial Invoiced","Not Invoiced"),"Fully Invoiced")</f>
        <v>Fully Invoiced</v>
      </c>
      <c r="R500" t="str">
        <f>IFERROR(VLOOKUP(T[[#This Row],[warehouse]],Table2[],2,FALSE),"--")</f>
        <v>PZU Packaging Warehouse</v>
      </c>
    </row>
    <row r="501" spans="1:18" x14ac:dyDescent="0.25">
      <c r="A501" t="s">
        <v>153</v>
      </c>
      <c r="B501" s="1">
        <v>43671</v>
      </c>
      <c r="C501" t="s">
        <v>590</v>
      </c>
      <c r="D501" t="s">
        <v>20</v>
      </c>
      <c r="E501" t="s">
        <v>66</v>
      </c>
      <c r="F501" t="s">
        <v>196</v>
      </c>
      <c r="G501" t="s">
        <v>197</v>
      </c>
      <c r="H501" t="s">
        <v>24</v>
      </c>
      <c r="I501">
        <v>4200</v>
      </c>
      <c r="J501">
        <v>2885.01</v>
      </c>
      <c r="K501">
        <v>2885.01</v>
      </c>
      <c r="L501" t="s">
        <v>25</v>
      </c>
      <c r="M501" t="s">
        <v>132</v>
      </c>
      <c r="N501">
        <v>17670</v>
      </c>
      <c r="O501">
        <v>50978126.700000003</v>
      </c>
      <c r="P501" t="str">
        <f>IF(T[[#This Row],[qty_ordered]]&lt;&gt;T[[#This Row],[qty_received]],IF(T[[#This Row],[qty_received]]&gt;0,"Partial Received","Not Receviced"),"FullyReceived")</f>
        <v>Partial Received</v>
      </c>
      <c r="Q501" t="str">
        <f>IF(T[[#This Row],[qty_received]]&lt;&gt;T[[#This Row],[qty_invoiced]],IF(T[[#This Row],[qty_invoiced]]&gt;0,"Partial Invoiced","Not Invoiced"),"Fully Invoiced")</f>
        <v>Fully Invoiced</v>
      </c>
      <c r="R501" t="str">
        <f>IFERROR(VLOOKUP(T[[#This Row],[warehouse]],Table2[],2,FALSE),"--")</f>
        <v>PZU Main Warehouse</v>
      </c>
    </row>
    <row r="502" spans="1:18" x14ac:dyDescent="0.25">
      <c r="A502" t="s">
        <v>357</v>
      </c>
      <c r="B502" s="1">
        <v>43471</v>
      </c>
      <c r="C502" t="s">
        <v>358</v>
      </c>
      <c r="D502" t="s">
        <v>591</v>
      </c>
      <c r="E502" t="s">
        <v>51</v>
      </c>
      <c r="F502" t="s">
        <v>52</v>
      </c>
      <c r="G502" t="s">
        <v>274</v>
      </c>
      <c r="H502" t="s">
        <v>54</v>
      </c>
      <c r="I502">
        <v>1169.95</v>
      </c>
      <c r="J502">
        <v>0</v>
      </c>
      <c r="K502">
        <v>1</v>
      </c>
      <c r="L502" t="s">
        <v>25</v>
      </c>
      <c r="M502" t="s">
        <v>359</v>
      </c>
      <c r="N502">
        <v>137.38999999999999</v>
      </c>
      <c r="O502">
        <v>0</v>
      </c>
      <c r="P502" t="str">
        <f>IF(T[[#This Row],[qty_ordered]]&lt;&gt;T[[#This Row],[qty_received]],IF(T[[#This Row],[qty_received]]&gt;0,"Partial Received","Not Receviced"),"FullyReceived")</f>
        <v>Not Receviced</v>
      </c>
      <c r="Q502" t="str">
        <f>IF(T[[#This Row],[qty_received]]&lt;&gt;T[[#This Row],[qty_invoiced]],IF(T[[#This Row],[qty_invoiced]]&gt;0,"Partial Invoiced","Not Invoiced"),"Fully Invoiced")</f>
        <v>Partial Invoiced</v>
      </c>
      <c r="R502" t="str">
        <f>IFERROR(VLOOKUP(T[[#This Row],[warehouse]],Table2[],2,FALSE),"--")</f>
        <v>--</v>
      </c>
    </row>
    <row r="503" spans="1:18" x14ac:dyDescent="0.25">
      <c r="A503" t="s">
        <v>357</v>
      </c>
      <c r="B503" s="1">
        <v>43471</v>
      </c>
      <c r="C503" t="s">
        <v>358</v>
      </c>
      <c r="D503" t="s">
        <v>592</v>
      </c>
      <c r="E503" t="s">
        <v>51</v>
      </c>
      <c r="F503" t="s">
        <v>267</v>
      </c>
      <c r="G503" t="s">
        <v>267</v>
      </c>
      <c r="H503" t="s">
        <v>54</v>
      </c>
      <c r="I503">
        <v>300</v>
      </c>
      <c r="J503">
        <v>0</v>
      </c>
      <c r="K503">
        <v>1</v>
      </c>
      <c r="L503" t="s">
        <v>25</v>
      </c>
      <c r="M503" t="s">
        <v>359</v>
      </c>
      <c r="N503">
        <v>20</v>
      </c>
      <c r="O503">
        <v>0</v>
      </c>
      <c r="P503" t="str">
        <f>IF(T[[#This Row],[qty_ordered]]&lt;&gt;T[[#This Row],[qty_received]],IF(T[[#This Row],[qty_received]]&gt;0,"Partial Received","Not Receviced"),"FullyReceived")</f>
        <v>Not Receviced</v>
      </c>
      <c r="Q503" t="str">
        <f>IF(T[[#This Row],[qty_received]]&lt;&gt;T[[#This Row],[qty_invoiced]],IF(T[[#This Row],[qty_invoiced]]&gt;0,"Partial Invoiced","Not Invoiced"),"Fully Invoiced")</f>
        <v>Partial Invoiced</v>
      </c>
      <c r="R503" t="str">
        <f>IFERROR(VLOOKUP(T[[#This Row],[warehouse]],Table2[],2,FALSE),"--")</f>
        <v>--</v>
      </c>
    </row>
    <row r="504" spans="1:18" x14ac:dyDescent="0.25">
      <c r="A504" t="s">
        <v>357</v>
      </c>
      <c r="B504" s="1">
        <v>43471</v>
      </c>
      <c r="C504" t="s">
        <v>358</v>
      </c>
      <c r="D504" t="s">
        <v>593</v>
      </c>
      <c r="E504" t="s">
        <v>51</v>
      </c>
      <c r="F504" t="s">
        <v>433</v>
      </c>
      <c r="G504" t="s">
        <v>433</v>
      </c>
      <c r="H504" t="s">
        <v>54</v>
      </c>
      <c r="I504">
        <v>800</v>
      </c>
      <c r="J504">
        <v>0</v>
      </c>
      <c r="K504">
        <v>1</v>
      </c>
      <c r="L504" t="s">
        <v>25</v>
      </c>
      <c r="M504" t="s">
        <v>359</v>
      </c>
      <c r="N504">
        <v>50</v>
      </c>
      <c r="O504">
        <v>0</v>
      </c>
      <c r="P504" t="str">
        <f>IF(T[[#This Row],[qty_ordered]]&lt;&gt;T[[#This Row],[qty_received]],IF(T[[#This Row],[qty_received]]&gt;0,"Partial Received","Not Receviced"),"FullyReceived")</f>
        <v>Not Receviced</v>
      </c>
      <c r="Q504" t="str">
        <f>IF(T[[#This Row],[qty_received]]&lt;&gt;T[[#This Row],[qty_invoiced]],IF(T[[#This Row],[qty_invoiced]]&gt;0,"Partial Invoiced","Not Invoiced"),"Fully Invoiced")</f>
        <v>Partial Invoiced</v>
      </c>
      <c r="R504" t="str">
        <f>IFERROR(VLOOKUP(T[[#This Row],[warehouse]],Table2[],2,FALSE),"--")</f>
        <v>--</v>
      </c>
    </row>
    <row r="505" spans="1:18" x14ac:dyDescent="0.25">
      <c r="A505" t="s">
        <v>357</v>
      </c>
      <c r="B505" s="1">
        <v>43471</v>
      </c>
      <c r="C505" t="s">
        <v>358</v>
      </c>
      <c r="D505" t="s">
        <v>594</v>
      </c>
      <c r="E505" t="s">
        <v>51</v>
      </c>
      <c r="F505" t="s">
        <v>52</v>
      </c>
      <c r="G505" t="s">
        <v>75</v>
      </c>
      <c r="H505" t="s">
        <v>54</v>
      </c>
      <c r="I505">
        <v>1300</v>
      </c>
      <c r="J505">
        <v>0</v>
      </c>
      <c r="K505">
        <v>1</v>
      </c>
      <c r="L505" t="s">
        <v>25</v>
      </c>
      <c r="M505" t="s">
        <v>359</v>
      </c>
      <c r="N505">
        <v>108</v>
      </c>
      <c r="O505">
        <v>0</v>
      </c>
      <c r="P505" t="str">
        <f>IF(T[[#This Row],[qty_ordered]]&lt;&gt;T[[#This Row],[qty_received]],IF(T[[#This Row],[qty_received]]&gt;0,"Partial Received","Not Receviced"),"FullyReceived")</f>
        <v>Not Receviced</v>
      </c>
      <c r="Q505" t="str">
        <f>IF(T[[#This Row],[qty_received]]&lt;&gt;T[[#This Row],[qty_invoiced]],IF(T[[#This Row],[qty_invoiced]]&gt;0,"Partial Invoiced","Not Invoiced"),"Fully Invoiced")</f>
        <v>Partial Invoiced</v>
      </c>
      <c r="R505" t="str">
        <f>IFERROR(VLOOKUP(T[[#This Row],[warehouse]],Table2[],2,FALSE),"--")</f>
        <v>--</v>
      </c>
    </row>
    <row r="506" spans="1:18" x14ac:dyDescent="0.25">
      <c r="A506" t="s">
        <v>357</v>
      </c>
      <c r="B506" s="1">
        <v>43471</v>
      </c>
      <c r="C506" t="s">
        <v>358</v>
      </c>
      <c r="D506" t="s">
        <v>595</v>
      </c>
      <c r="E506" t="s">
        <v>51</v>
      </c>
      <c r="F506" t="s">
        <v>390</v>
      </c>
      <c r="G506" t="s">
        <v>390</v>
      </c>
      <c r="H506" t="s">
        <v>54</v>
      </c>
      <c r="I506">
        <v>286</v>
      </c>
      <c r="J506">
        <v>0</v>
      </c>
      <c r="K506">
        <v>1</v>
      </c>
      <c r="L506" t="s">
        <v>25</v>
      </c>
      <c r="M506" t="s">
        <v>359</v>
      </c>
      <c r="N506">
        <v>20</v>
      </c>
      <c r="O506">
        <v>0</v>
      </c>
      <c r="P506" t="str">
        <f>IF(T[[#This Row],[qty_ordered]]&lt;&gt;T[[#This Row],[qty_received]],IF(T[[#This Row],[qty_received]]&gt;0,"Partial Received","Not Receviced"),"FullyReceived")</f>
        <v>Not Receviced</v>
      </c>
      <c r="Q506" t="str">
        <f>IF(T[[#This Row],[qty_received]]&lt;&gt;T[[#This Row],[qty_invoiced]],IF(T[[#This Row],[qty_invoiced]]&gt;0,"Partial Invoiced","Not Invoiced"),"Fully Invoiced")</f>
        <v>Partial Invoiced</v>
      </c>
      <c r="R506" t="str">
        <f>IFERROR(VLOOKUP(T[[#This Row],[warehouse]],Table2[],2,FALSE),"--")</f>
        <v>--</v>
      </c>
    </row>
    <row r="507" spans="1:18" x14ac:dyDescent="0.25">
      <c r="A507" t="s">
        <v>357</v>
      </c>
      <c r="B507" s="1">
        <v>43471</v>
      </c>
      <c r="C507" t="s">
        <v>358</v>
      </c>
      <c r="D507" t="s">
        <v>596</v>
      </c>
      <c r="E507" t="s">
        <v>51</v>
      </c>
      <c r="F507" t="s">
        <v>52</v>
      </c>
      <c r="G507" t="s">
        <v>274</v>
      </c>
      <c r="H507" t="s">
        <v>54</v>
      </c>
      <c r="I507">
        <v>3394</v>
      </c>
      <c r="J507">
        <v>0</v>
      </c>
      <c r="K507">
        <v>1</v>
      </c>
      <c r="L507" t="s">
        <v>25</v>
      </c>
      <c r="M507" t="s">
        <v>359</v>
      </c>
      <c r="N507">
        <v>10</v>
      </c>
      <c r="O507">
        <v>0</v>
      </c>
      <c r="P507" t="str">
        <f>IF(T[[#This Row],[qty_ordered]]&lt;&gt;T[[#This Row],[qty_received]],IF(T[[#This Row],[qty_received]]&gt;0,"Partial Received","Not Receviced"),"FullyReceived")</f>
        <v>Not Receviced</v>
      </c>
      <c r="Q507" t="str">
        <f>IF(T[[#This Row],[qty_received]]&lt;&gt;T[[#This Row],[qty_invoiced]],IF(T[[#This Row],[qty_invoiced]]&gt;0,"Partial Invoiced","Not Invoiced"),"Fully Invoiced")</f>
        <v>Partial Invoiced</v>
      </c>
      <c r="R507" t="str">
        <f>IFERROR(VLOOKUP(T[[#This Row],[warehouse]],Table2[],2,FALSE),"--")</f>
        <v>--</v>
      </c>
    </row>
    <row r="508" spans="1:18" x14ac:dyDescent="0.25">
      <c r="A508" t="s">
        <v>597</v>
      </c>
      <c r="B508" s="1">
        <v>43678</v>
      </c>
      <c r="C508" t="s">
        <v>598</v>
      </c>
      <c r="D508" t="s">
        <v>20</v>
      </c>
      <c r="E508" t="s">
        <v>51</v>
      </c>
      <c r="F508" t="s">
        <v>183</v>
      </c>
      <c r="G508" t="s">
        <v>183</v>
      </c>
      <c r="H508" t="s">
        <v>54</v>
      </c>
      <c r="I508">
        <v>604</v>
      </c>
      <c r="J508">
        <v>0</v>
      </c>
      <c r="K508">
        <v>1</v>
      </c>
      <c r="L508" t="s">
        <v>25</v>
      </c>
      <c r="M508" t="s">
        <v>359</v>
      </c>
      <c r="N508">
        <v>400</v>
      </c>
      <c r="O508">
        <v>0</v>
      </c>
      <c r="P508" t="str">
        <f>IF(T[[#This Row],[qty_ordered]]&lt;&gt;T[[#This Row],[qty_received]],IF(T[[#This Row],[qty_received]]&gt;0,"Partial Received","Not Receviced"),"FullyReceived")</f>
        <v>Not Receviced</v>
      </c>
      <c r="Q508" t="str">
        <f>IF(T[[#This Row],[qty_received]]&lt;&gt;T[[#This Row],[qty_invoiced]],IF(T[[#This Row],[qty_invoiced]]&gt;0,"Partial Invoiced","Not Invoiced"),"Fully Invoiced")</f>
        <v>Partial Invoiced</v>
      </c>
      <c r="R508" t="str">
        <f>IFERROR(VLOOKUP(T[[#This Row],[warehouse]],Table2[],2,FALSE),"--")</f>
        <v>--</v>
      </c>
    </row>
    <row r="509" spans="1:18" x14ac:dyDescent="0.25">
      <c r="A509" t="s">
        <v>153</v>
      </c>
      <c r="B509" s="1">
        <v>43684</v>
      </c>
      <c r="C509" t="s">
        <v>599</v>
      </c>
      <c r="D509" t="s">
        <v>20</v>
      </c>
      <c r="E509" t="s">
        <v>51</v>
      </c>
      <c r="F509" t="s">
        <v>390</v>
      </c>
      <c r="G509" t="s">
        <v>390</v>
      </c>
      <c r="H509" t="s">
        <v>54</v>
      </c>
      <c r="I509">
        <v>25530</v>
      </c>
      <c r="J509">
        <v>0</v>
      </c>
      <c r="K509">
        <v>1</v>
      </c>
      <c r="L509" t="s">
        <v>25</v>
      </c>
      <c r="M509" t="s">
        <v>26</v>
      </c>
      <c r="N509">
        <v>15.504799999999999</v>
      </c>
      <c r="O509">
        <v>0</v>
      </c>
      <c r="P509" t="str">
        <f>IF(T[[#This Row],[qty_ordered]]&lt;&gt;T[[#This Row],[qty_received]],IF(T[[#This Row],[qty_received]]&gt;0,"Partial Received","Not Receviced"),"FullyReceived")</f>
        <v>Not Receviced</v>
      </c>
      <c r="Q509" t="str">
        <f>IF(T[[#This Row],[qty_received]]&lt;&gt;T[[#This Row],[qty_invoiced]],IF(T[[#This Row],[qty_invoiced]]&gt;0,"Partial Invoiced","Not Invoiced"),"Fully Invoiced")</f>
        <v>Partial Invoiced</v>
      </c>
      <c r="R509" t="str">
        <f>IFERROR(VLOOKUP(T[[#This Row],[warehouse]],Table2[],2,FALSE),"--")</f>
        <v>--</v>
      </c>
    </row>
    <row r="510" spans="1:18" x14ac:dyDescent="0.25">
      <c r="A510" t="s">
        <v>153</v>
      </c>
      <c r="B510" s="1">
        <v>43698</v>
      </c>
      <c r="C510" t="s">
        <v>600</v>
      </c>
      <c r="D510" t="s">
        <v>20</v>
      </c>
      <c r="E510" t="s">
        <v>281</v>
      </c>
      <c r="F510" t="s">
        <v>526</v>
      </c>
      <c r="G510" t="s">
        <v>472</v>
      </c>
      <c r="H510" t="s">
        <v>123</v>
      </c>
      <c r="I510">
        <v>10000</v>
      </c>
      <c r="J510">
        <v>7982</v>
      </c>
      <c r="K510">
        <v>7982</v>
      </c>
      <c r="L510" t="s">
        <v>25</v>
      </c>
      <c r="M510" t="s">
        <v>132</v>
      </c>
      <c r="N510">
        <v>2760</v>
      </c>
      <c r="O510">
        <v>22030320</v>
      </c>
      <c r="P510" t="str">
        <f>IF(T[[#This Row],[qty_ordered]]&lt;&gt;T[[#This Row],[qty_received]],IF(T[[#This Row],[qty_received]]&gt;0,"Partial Received","Not Receviced"),"FullyReceived")</f>
        <v>Partial Received</v>
      </c>
      <c r="Q510" t="str">
        <f>IF(T[[#This Row],[qty_received]]&lt;&gt;T[[#This Row],[qty_invoiced]],IF(T[[#This Row],[qty_invoiced]]&gt;0,"Partial Invoiced","Not Invoiced"),"Fully Invoiced")</f>
        <v>Fully Invoiced</v>
      </c>
      <c r="R510" t="str">
        <f>IFERROR(VLOOKUP(T[[#This Row],[warehouse]],Table2[],2,FALSE),"--")</f>
        <v>Crusher Alm Eldin-KH</v>
      </c>
    </row>
    <row r="511" spans="1:18" x14ac:dyDescent="0.25">
      <c r="A511" t="s">
        <v>601</v>
      </c>
      <c r="B511" s="1">
        <v>43702</v>
      </c>
      <c r="C511" t="s">
        <v>602</v>
      </c>
      <c r="D511" t="s">
        <v>20</v>
      </c>
      <c r="E511" t="s">
        <v>203</v>
      </c>
      <c r="F511" t="s">
        <v>603</v>
      </c>
      <c r="G511" t="s">
        <v>604</v>
      </c>
      <c r="H511" t="s">
        <v>149</v>
      </c>
      <c r="I511">
        <v>20</v>
      </c>
      <c r="J511">
        <v>20</v>
      </c>
      <c r="K511">
        <v>20</v>
      </c>
      <c r="L511" t="s">
        <v>25</v>
      </c>
      <c r="M511" t="s">
        <v>575</v>
      </c>
      <c r="N511">
        <v>81000</v>
      </c>
      <c r="O511">
        <v>1620000</v>
      </c>
      <c r="P511" t="str">
        <f>IF(T[[#This Row],[qty_ordered]]&lt;&gt;T[[#This Row],[qty_received]],IF(T[[#This Row],[qty_received]]&gt;0,"Partial Received","Not Receviced"),"FullyReceived")</f>
        <v>FullyReceived</v>
      </c>
      <c r="Q511" t="str">
        <f>IF(T[[#This Row],[qty_received]]&lt;&gt;T[[#This Row],[qty_invoiced]],IF(T[[#This Row],[qty_invoiced]]&gt;0,"Partial Invoiced","Not Invoiced"),"Fully Invoiced")</f>
        <v>Fully Invoiced</v>
      </c>
      <c r="R511" t="str">
        <f>IFERROR(VLOOKUP(T[[#This Row],[warehouse]],Table2[],2,FALSE),"--")</f>
        <v>PZU Packaging Warehouse</v>
      </c>
    </row>
    <row r="512" spans="1:18" x14ac:dyDescent="0.25">
      <c r="A512" t="s">
        <v>269</v>
      </c>
      <c r="B512" s="1">
        <v>43513</v>
      </c>
      <c r="C512" t="s">
        <v>270</v>
      </c>
      <c r="D512" t="s">
        <v>74</v>
      </c>
      <c r="E512" t="s">
        <v>51</v>
      </c>
      <c r="F512" t="s">
        <v>52</v>
      </c>
      <c r="G512" t="s">
        <v>274</v>
      </c>
      <c r="H512" t="s">
        <v>54</v>
      </c>
      <c r="I512">
        <v>14.3</v>
      </c>
      <c r="J512">
        <v>0</v>
      </c>
      <c r="K512">
        <v>1</v>
      </c>
      <c r="L512" t="s">
        <v>25</v>
      </c>
      <c r="M512" t="s">
        <v>26</v>
      </c>
      <c r="N512">
        <v>720</v>
      </c>
      <c r="O512">
        <v>0</v>
      </c>
      <c r="P512" t="str">
        <f>IF(T[[#This Row],[qty_ordered]]&lt;&gt;T[[#This Row],[qty_received]],IF(T[[#This Row],[qty_received]]&gt;0,"Partial Received","Not Receviced"),"FullyReceived")</f>
        <v>Not Receviced</v>
      </c>
      <c r="Q512" t="str">
        <f>IF(T[[#This Row],[qty_received]]&lt;&gt;T[[#This Row],[qty_invoiced]],IF(T[[#This Row],[qty_invoiced]]&gt;0,"Partial Invoiced","Not Invoiced"),"Fully Invoiced")</f>
        <v>Partial Invoiced</v>
      </c>
      <c r="R512" t="str">
        <f>IFERROR(VLOOKUP(T[[#This Row],[warehouse]],Table2[],2,FALSE),"--")</f>
        <v>--</v>
      </c>
    </row>
    <row r="513" spans="1:18" x14ac:dyDescent="0.25">
      <c r="A513" t="s">
        <v>269</v>
      </c>
      <c r="B513" s="1">
        <v>43678</v>
      </c>
      <c r="C513" t="s">
        <v>605</v>
      </c>
      <c r="D513" t="s">
        <v>20</v>
      </c>
      <c r="E513" t="s">
        <v>51</v>
      </c>
      <c r="F513" t="s">
        <v>183</v>
      </c>
      <c r="G513" t="s">
        <v>183</v>
      </c>
      <c r="H513" t="s">
        <v>54</v>
      </c>
      <c r="I513">
        <v>213.83199999999999</v>
      </c>
      <c r="J513">
        <v>0</v>
      </c>
      <c r="K513">
        <v>1</v>
      </c>
      <c r="L513" t="s">
        <v>25</v>
      </c>
      <c r="M513" t="s">
        <v>26</v>
      </c>
      <c r="N513">
        <v>400</v>
      </c>
      <c r="O513">
        <v>0</v>
      </c>
      <c r="P513" t="str">
        <f>IF(T[[#This Row],[qty_ordered]]&lt;&gt;T[[#This Row],[qty_received]],IF(T[[#This Row],[qty_received]]&gt;0,"Partial Received","Not Receviced"),"FullyReceived")</f>
        <v>Not Receviced</v>
      </c>
      <c r="Q513" t="str">
        <f>IF(T[[#This Row],[qty_received]]&lt;&gt;T[[#This Row],[qty_invoiced]],IF(T[[#This Row],[qty_invoiced]]&gt;0,"Partial Invoiced","Not Invoiced"),"Fully Invoiced")</f>
        <v>Partial Invoiced</v>
      </c>
      <c r="R513" t="str">
        <f>IFERROR(VLOOKUP(T[[#This Row],[warehouse]],Table2[],2,FALSE),"--")</f>
        <v>--</v>
      </c>
    </row>
    <row r="514" spans="1:18" x14ac:dyDescent="0.25">
      <c r="A514" t="s">
        <v>269</v>
      </c>
      <c r="B514" s="1">
        <v>43678</v>
      </c>
      <c r="C514" t="s">
        <v>605</v>
      </c>
      <c r="D514" t="s">
        <v>71</v>
      </c>
      <c r="E514" t="s">
        <v>51</v>
      </c>
      <c r="F514" t="s">
        <v>185</v>
      </c>
      <c r="G514" t="s">
        <v>606</v>
      </c>
      <c r="H514" t="s">
        <v>54</v>
      </c>
      <c r="I514">
        <v>51</v>
      </c>
      <c r="J514">
        <v>0</v>
      </c>
      <c r="K514">
        <v>1</v>
      </c>
      <c r="L514" t="s">
        <v>25</v>
      </c>
      <c r="M514" t="s">
        <v>26</v>
      </c>
      <c r="N514">
        <v>200</v>
      </c>
      <c r="O514">
        <v>0</v>
      </c>
      <c r="P514" t="str">
        <f>IF(T[[#This Row],[qty_ordered]]&lt;&gt;T[[#This Row],[qty_received]],IF(T[[#This Row],[qty_received]]&gt;0,"Partial Received","Not Receviced"),"FullyReceived")</f>
        <v>Not Receviced</v>
      </c>
      <c r="Q514" t="str">
        <f>IF(T[[#This Row],[qty_received]]&lt;&gt;T[[#This Row],[qty_invoiced]],IF(T[[#This Row],[qty_invoiced]]&gt;0,"Partial Invoiced","Not Invoiced"),"Fully Invoiced")</f>
        <v>Partial Invoiced</v>
      </c>
      <c r="R514" t="str">
        <f>IFERROR(VLOOKUP(T[[#This Row],[warehouse]],Table2[],2,FALSE),"--")</f>
        <v>--</v>
      </c>
    </row>
    <row r="515" spans="1:18" x14ac:dyDescent="0.25">
      <c r="A515" t="s">
        <v>521</v>
      </c>
      <c r="B515" s="1">
        <v>43678</v>
      </c>
      <c r="C515" t="s">
        <v>522</v>
      </c>
      <c r="D515" t="s">
        <v>20</v>
      </c>
      <c r="E515" t="s">
        <v>51</v>
      </c>
      <c r="F515" t="s">
        <v>52</v>
      </c>
      <c r="G515" t="s">
        <v>75</v>
      </c>
      <c r="H515" t="s">
        <v>54</v>
      </c>
      <c r="I515">
        <v>3827</v>
      </c>
      <c r="J515">
        <v>0</v>
      </c>
      <c r="K515">
        <v>1</v>
      </c>
      <c r="L515" t="s">
        <v>25</v>
      </c>
      <c r="M515" t="s">
        <v>359</v>
      </c>
      <c r="N515">
        <v>20</v>
      </c>
      <c r="O515">
        <v>0</v>
      </c>
      <c r="P515" t="str">
        <f>IF(T[[#This Row],[qty_ordered]]&lt;&gt;T[[#This Row],[qty_received]],IF(T[[#This Row],[qty_received]]&gt;0,"Partial Received","Not Receviced"),"FullyReceived")</f>
        <v>Not Receviced</v>
      </c>
      <c r="Q515" t="str">
        <f>IF(T[[#This Row],[qty_received]]&lt;&gt;T[[#This Row],[qty_invoiced]],IF(T[[#This Row],[qty_invoiced]]&gt;0,"Partial Invoiced","Not Invoiced"),"Fully Invoiced")</f>
        <v>Partial Invoiced</v>
      </c>
      <c r="R515" t="str">
        <f>IFERROR(VLOOKUP(T[[#This Row],[warehouse]],Table2[],2,FALSE),"--")</f>
        <v>--</v>
      </c>
    </row>
    <row r="516" spans="1:18" x14ac:dyDescent="0.25">
      <c r="A516" t="s">
        <v>521</v>
      </c>
      <c r="B516" s="1">
        <v>43678</v>
      </c>
      <c r="C516" t="s">
        <v>522</v>
      </c>
      <c r="D516" t="s">
        <v>71</v>
      </c>
      <c r="E516" t="s">
        <v>51</v>
      </c>
      <c r="F516" t="s">
        <v>52</v>
      </c>
      <c r="G516" t="s">
        <v>75</v>
      </c>
      <c r="H516" t="s">
        <v>54</v>
      </c>
      <c r="I516">
        <v>140</v>
      </c>
      <c r="J516">
        <v>0</v>
      </c>
      <c r="K516">
        <v>1</v>
      </c>
      <c r="L516" t="s">
        <v>25</v>
      </c>
      <c r="M516" t="s">
        <v>359</v>
      </c>
      <c r="N516">
        <v>20</v>
      </c>
      <c r="O516">
        <v>0</v>
      </c>
      <c r="P516" t="str">
        <f>IF(T[[#This Row],[qty_ordered]]&lt;&gt;T[[#This Row],[qty_received]],IF(T[[#This Row],[qty_received]]&gt;0,"Partial Received","Not Receviced"),"FullyReceived")</f>
        <v>Not Receviced</v>
      </c>
      <c r="Q516" t="str">
        <f>IF(T[[#This Row],[qty_received]]&lt;&gt;T[[#This Row],[qty_invoiced]],IF(T[[#This Row],[qty_invoiced]]&gt;0,"Partial Invoiced","Not Invoiced"),"Fully Invoiced")</f>
        <v>Partial Invoiced</v>
      </c>
      <c r="R516" t="str">
        <f>IFERROR(VLOOKUP(T[[#This Row],[warehouse]],Table2[],2,FALSE),"--")</f>
        <v>--</v>
      </c>
    </row>
    <row r="517" spans="1:18" x14ac:dyDescent="0.25">
      <c r="A517" t="s">
        <v>160</v>
      </c>
      <c r="B517" s="1">
        <v>43682</v>
      </c>
      <c r="C517" t="s">
        <v>607</v>
      </c>
      <c r="D517" t="s">
        <v>20</v>
      </c>
      <c r="E517" t="s">
        <v>66</v>
      </c>
      <c r="F517" t="s">
        <v>327</v>
      </c>
      <c r="G517" t="s">
        <v>328</v>
      </c>
      <c r="H517" t="s">
        <v>123</v>
      </c>
      <c r="I517">
        <v>20000</v>
      </c>
      <c r="J517">
        <v>6000</v>
      </c>
      <c r="K517">
        <v>6000</v>
      </c>
      <c r="L517" t="s">
        <v>25</v>
      </c>
      <c r="M517" t="s">
        <v>26</v>
      </c>
      <c r="N517">
        <v>6150</v>
      </c>
      <c r="O517">
        <v>36900000</v>
      </c>
      <c r="P517" t="str">
        <f>IF(T[[#This Row],[qty_ordered]]&lt;&gt;T[[#This Row],[qty_received]],IF(T[[#This Row],[qty_received]]&gt;0,"Partial Received","Not Receviced"),"FullyReceived")</f>
        <v>Partial Received</v>
      </c>
      <c r="Q517" t="str">
        <f>IF(T[[#This Row],[qty_received]]&lt;&gt;T[[#This Row],[qty_invoiced]],IF(T[[#This Row],[qty_invoiced]]&gt;0,"Partial Invoiced","Not Invoiced"),"Fully Invoiced")</f>
        <v>Fully Invoiced</v>
      </c>
      <c r="R517" t="str">
        <f>IFERROR(VLOOKUP(T[[#This Row],[warehouse]],Table2[],2,FALSE),"--")</f>
        <v>PZU Main Warehouse</v>
      </c>
    </row>
    <row r="518" spans="1:18" x14ac:dyDescent="0.25">
      <c r="A518" t="s">
        <v>144</v>
      </c>
      <c r="B518" s="1">
        <v>43702</v>
      </c>
      <c r="C518" t="s">
        <v>608</v>
      </c>
      <c r="D518" t="s">
        <v>20</v>
      </c>
      <c r="E518" t="s">
        <v>203</v>
      </c>
      <c r="F518" t="s">
        <v>294</v>
      </c>
      <c r="G518" t="s">
        <v>295</v>
      </c>
      <c r="H518" t="s">
        <v>149</v>
      </c>
      <c r="I518">
        <v>204000</v>
      </c>
      <c r="J518">
        <v>204000</v>
      </c>
      <c r="K518">
        <v>204000</v>
      </c>
      <c r="L518" t="s">
        <v>25</v>
      </c>
      <c r="M518" t="s">
        <v>150</v>
      </c>
      <c r="N518">
        <v>5.9550000000000001</v>
      </c>
      <c r="O518">
        <v>1223442</v>
      </c>
      <c r="P518" t="str">
        <f>IF(T[[#This Row],[qty_ordered]]&lt;&gt;T[[#This Row],[qty_received]],IF(T[[#This Row],[qty_received]]&gt;0,"Partial Received","Not Receviced"),"FullyReceived")</f>
        <v>FullyReceived</v>
      </c>
      <c r="Q518" t="str">
        <f>IF(T[[#This Row],[qty_received]]&lt;&gt;T[[#This Row],[qty_invoiced]],IF(T[[#This Row],[qty_invoiced]]&gt;0,"Partial Invoiced","Not Invoiced"),"Fully Invoiced")</f>
        <v>Fully Invoiced</v>
      </c>
      <c r="R518" t="str">
        <f>IFERROR(VLOOKUP(T[[#This Row],[warehouse]],Table2[],2,FALSE),"--")</f>
        <v>PZU Packaging Warehouse</v>
      </c>
    </row>
    <row r="519" spans="1:18" x14ac:dyDescent="0.25">
      <c r="A519" t="s">
        <v>462</v>
      </c>
      <c r="B519" s="1">
        <v>43643</v>
      </c>
      <c r="C519" t="s">
        <v>504</v>
      </c>
      <c r="D519" t="s">
        <v>76</v>
      </c>
      <c r="E519" t="s">
        <v>51</v>
      </c>
      <c r="F519" t="s">
        <v>247</v>
      </c>
      <c r="G519" t="s">
        <v>247</v>
      </c>
      <c r="H519" t="s">
        <v>54</v>
      </c>
      <c r="I519">
        <v>450</v>
      </c>
      <c r="J519">
        <v>0</v>
      </c>
      <c r="K519">
        <v>1</v>
      </c>
      <c r="L519" t="s">
        <v>25</v>
      </c>
      <c r="M519" t="s">
        <v>359</v>
      </c>
      <c r="N519">
        <v>3000</v>
      </c>
      <c r="O519">
        <v>0</v>
      </c>
      <c r="P519" t="str">
        <f>IF(T[[#This Row],[qty_ordered]]&lt;&gt;T[[#This Row],[qty_received]],IF(T[[#This Row],[qty_received]]&gt;0,"Partial Received","Not Receviced"),"FullyReceived")</f>
        <v>Not Receviced</v>
      </c>
      <c r="Q519" t="str">
        <f>IF(T[[#This Row],[qty_received]]&lt;&gt;T[[#This Row],[qty_invoiced]],IF(T[[#This Row],[qty_invoiced]]&gt;0,"Partial Invoiced","Not Invoiced"),"Fully Invoiced")</f>
        <v>Partial Invoiced</v>
      </c>
      <c r="R519" t="str">
        <f>IFERROR(VLOOKUP(T[[#This Row],[warehouse]],Table2[],2,FALSE),"--")</f>
        <v>--</v>
      </c>
    </row>
    <row r="520" spans="1:18" x14ac:dyDescent="0.25">
      <c r="A520" t="s">
        <v>462</v>
      </c>
      <c r="B520" s="1">
        <v>43643</v>
      </c>
      <c r="C520" t="s">
        <v>504</v>
      </c>
      <c r="D520" t="s">
        <v>212</v>
      </c>
      <c r="E520" t="s">
        <v>51</v>
      </c>
      <c r="F520" t="s">
        <v>247</v>
      </c>
      <c r="G520" t="s">
        <v>247</v>
      </c>
      <c r="H520" t="s">
        <v>54</v>
      </c>
      <c r="I520">
        <v>50</v>
      </c>
      <c r="J520">
        <v>0</v>
      </c>
      <c r="K520">
        <v>1</v>
      </c>
      <c r="L520" t="s">
        <v>25</v>
      </c>
      <c r="M520" t="s">
        <v>359</v>
      </c>
      <c r="N520">
        <v>3000</v>
      </c>
      <c r="O520">
        <v>0</v>
      </c>
      <c r="P520" t="str">
        <f>IF(T[[#This Row],[qty_ordered]]&lt;&gt;T[[#This Row],[qty_received]],IF(T[[#This Row],[qty_received]]&gt;0,"Partial Received","Not Receviced"),"FullyReceived")</f>
        <v>Not Receviced</v>
      </c>
      <c r="Q520" t="str">
        <f>IF(T[[#This Row],[qty_received]]&lt;&gt;T[[#This Row],[qty_invoiced]],IF(T[[#This Row],[qty_invoiced]]&gt;0,"Partial Invoiced","Not Invoiced"),"Fully Invoiced")</f>
        <v>Partial Invoiced</v>
      </c>
      <c r="R520" t="str">
        <f>IFERROR(VLOOKUP(T[[#This Row],[warehouse]],Table2[],2,FALSE),"--")</f>
        <v>--</v>
      </c>
    </row>
    <row r="521" spans="1:18" x14ac:dyDescent="0.25">
      <c r="A521" t="s">
        <v>84</v>
      </c>
      <c r="B521" s="1">
        <v>43720</v>
      </c>
      <c r="C521" t="s">
        <v>609</v>
      </c>
      <c r="D521" t="s">
        <v>20</v>
      </c>
      <c r="E521" t="s">
        <v>51</v>
      </c>
      <c r="F521" t="s">
        <v>52</v>
      </c>
      <c r="G521" t="s">
        <v>610</v>
      </c>
      <c r="H521" t="s">
        <v>54</v>
      </c>
      <c r="I521">
        <v>300</v>
      </c>
      <c r="J521">
        <v>0</v>
      </c>
      <c r="K521">
        <v>1</v>
      </c>
      <c r="L521" t="s">
        <v>25</v>
      </c>
      <c r="M521" t="s">
        <v>132</v>
      </c>
      <c r="N521">
        <v>273.0686</v>
      </c>
      <c r="O521">
        <v>0</v>
      </c>
      <c r="P521" t="str">
        <f>IF(T[[#This Row],[qty_ordered]]&lt;&gt;T[[#This Row],[qty_received]],IF(T[[#This Row],[qty_received]]&gt;0,"Partial Received","Not Receviced"),"FullyReceived")</f>
        <v>Not Receviced</v>
      </c>
      <c r="Q521" t="str">
        <f>IF(T[[#This Row],[qty_received]]&lt;&gt;T[[#This Row],[qty_invoiced]],IF(T[[#This Row],[qty_invoiced]]&gt;0,"Partial Invoiced","Not Invoiced"),"Fully Invoiced")</f>
        <v>Partial Invoiced</v>
      </c>
      <c r="R521" t="str">
        <f>IFERROR(VLOOKUP(T[[#This Row],[warehouse]],Table2[],2,FALSE),"--")</f>
        <v>--</v>
      </c>
    </row>
    <row r="522" spans="1:18" x14ac:dyDescent="0.25">
      <c r="A522" t="s">
        <v>423</v>
      </c>
      <c r="B522" s="1">
        <v>43650</v>
      </c>
      <c r="C522" t="s">
        <v>611</v>
      </c>
      <c r="D522" t="s">
        <v>71</v>
      </c>
      <c r="E522" t="s">
        <v>51</v>
      </c>
      <c r="F522" t="s">
        <v>52</v>
      </c>
      <c r="G522" t="s">
        <v>75</v>
      </c>
      <c r="H522" t="s">
        <v>54</v>
      </c>
      <c r="I522">
        <v>1000</v>
      </c>
      <c r="J522">
        <v>0</v>
      </c>
      <c r="K522">
        <v>1</v>
      </c>
      <c r="L522" t="s">
        <v>25</v>
      </c>
      <c r="M522" t="s">
        <v>26</v>
      </c>
      <c r="N522">
        <v>6</v>
      </c>
      <c r="O522">
        <v>0</v>
      </c>
      <c r="P522" t="str">
        <f>IF(T[[#This Row],[qty_ordered]]&lt;&gt;T[[#This Row],[qty_received]],IF(T[[#This Row],[qty_received]]&gt;0,"Partial Received","Not Receviced"),"FullyReceived")</f>
        <v>Not Receviced</v>
      </c>
      <c r="Q522" t="str">
        <f>IF(T[[#This Row],[qty_received]]&lt;&gt;T[[#This Row],[qty_invoiced]],IF(T[[#This Row],[qty_invoiced]]&gt;0,"Partial Invoiced","Not Invoiced"),"Fully Invoiced")</f>
        <v>Partial Invoiced</v>
      </c>
      <c r="R522" t="str">
        <f>IFERROR(VLOOKUP(T[[#This Row],[warehouse]],Table2[],2,FALSE),"--")</f>
        <v>--</v>
      </c>
    </row>
    <row r="523" spans="1:18" x14ac:dyDescent="0.25">
      <c r="A523" t="s">
        <v>153</v>
      </c>
      <c r="B523" s="1">
        <v>43698</v>
      </c>
      <c r="C523" t="s">
        <v>600</v>
      </c>
      <c r="D523" t="s">
        <v>71</v>
      </c>
      <c r="E523" t="s">
        <v>66</v>
      </c>
      <c r="F523" t="s">
        <v>526</v>
      </c>
      <c r="G523" t="s">
        <v>472</v>
      </c>
      <c r="H523" t="s">
        <v>123</v>
      </c>
      <c r="I523">
        <v>10000</v>
      </c>
      <c r="J523">
        <v>4006</v>
      </c>
      <c r="K523">
        <v>4006</v>
      </c>
      <c r="L523" t="s">
        <v>25</v>
      </c>
      <c r="M523" t="s">
        <v>132</v>
      </c>
      <c r="N523">
        <v>2760</v>
      </c>
      <c r="O523">
        <v>11056560</v>
      </c>
      <c r="P523" t="str">
        <f>IF(T[[#This Row],[qty_ordered]]&lt;&gt;T[[#This Row],[qty_received]],IF(T[[#This Row],[qty_received]]&gt;0,"Partial Received","Not Receviced"),"FullyReceived")</f>
        <v>Partial Received</v>
      </c>
      <c r="Q523" t="str">
        <f>IF(T[[#This Row],[qty_received]]&lt;&gt;T[[#This Row],[qty_invoiced]],IF(T[[#This Row],[qty_invoiced]]&gt;0,"Partial Invoiced","Not Invoiced"),"Fully Invoiced")</f>
        <v>Fully Invoiced</v>
      </c>
      <c r="R523" t="str">
        <f>IFERROR(VLOOKUP(T[[#This Row],[warehouse]],Table2[],2,FALSE),"--")</f>
        <v>PZU Main Warehouse</v>
      </c>
    </row>
    <row r="524" spans="1:18" x14ac:dyDescent="0.25">
      <c r="A524" t="s">
        <v>235</v>
      </c>
      <c r="B524" s="1">
        <v>43801</v>
      </c>
      <c r="C524" t="s">
        <v>612</v>
      </c>
      <c r="D524" t="s">
        <v>20</v>
      </c>
      <c r="E524" t="s">
        <v>51</v>
      </c>
      <c r="F524" t="s">
        <v>546</v>
      </c>
      <c r="G524" t="s">
        <v>613</v>
      </c>
      <c r="H524" t="s">
        <v>54</v>
      </c>
      <c r="I524">
        <v>20000</v>
      </c>
      <c r="J524">
        <v>0</v>
      </c>
      <c r="K524">
        <v>1</v>
      </c>
      <c r="L524" t="s">
        <v>25</v>
      </c>
      <c r="M524" t="s">
        <v>359</v>
      </c>
      <c r="N524">
        <v>2.85</v>
      </c>
      <c r="O524">
        <v>0</v>
      </c>
      <c r="P524" t="str">
        <f>IF(T[[#This Row],[qty_ordered]]&lt;&gt;T[[#This Row],[qty_received]],IF(T[[#This Row],[qty_received]]&gt;0,"Partial Received","Not Receviced"),"FullyReceived")</f>
        <v>Not Receviced</v>
      </c>
      <c r="Q524" t="str">
        <f>IF(T[[#This Row],[qty_received]]&lt;&gt;T[[#This Row],[qty_invoiced]],IF(T[[#This Row],[qty_invoiced]]&gt;0,"Partial Invoiced","Not Invoiced"),"Fully Invoiced")</f>
        <v>Partial Invoiced</v>
      </c>
      <c r="R524" t="str">
        <f>IFERROR(VLOOKUP(T[[#This Row],[warehouse]],Table2[],2,FALSE),"--")</f>
        <v>--</v>
      </c>
    </row>
    <row r="525" spans="1:18" x14ac:dyDescent="0.25">
      <c r="A525" t="s">
        <v>560</v>
      </c>
      <c r="B525" s="1">
        <v>43809</v>
      </c>
      <c r="C525" t="s">
        <v>562</v>
      </c>
      <c r="D525" t="s">
        <v>322</v>
      </c>
      <c r="E525" t="s">
        <v>51</v>
      </c>
      <c r="F525" t="s">
        <v>164</v>
      </c>
      <c r="G525" t="s">
        <v>164</v>
      </c>
      <c r="H525" t="s">
        <v>54</v>
      </c>
      <c r="I525">
        <v>35</v>
      </c>
      <c r="J525">
        <v>0</v>
      </c>
      <c r="K525">
        <v>1</v>
      </c>
      <c r="L525" t="s">
        <v>25</v>
      </c>
      <c r="M525" t="s">
        <v>359</v>
      </c>
      <c r="N525">
        <v>300</v>
      </c>
      <c r="O525">
        <v>0</v>
      </c>
      <c r="P525" t="str">
        <f>IF(T[[#This Row],[qty_ordered]]&lt;&gt;T[[#This Row],[qty_received]],IF(T[[#This Row],[qty_received]]&gt;0,"Partial Received","Not Receviced"),"FullyReceived")</f>
        <v>Not Receviced</v>
      </c>
      <c r="Q525" t="str">
        <f>IF(T[[#This Row],[qty_received]]&lt;&gt;T[[#This Row],[qty_invoiced]],IF(T[[#This Row],[qty_invoiced]]&gt;0,"Partial Invoiced","Not Invoiced"),"Fully Invoiced")</f>
        <v>Partial Invoiced</v>
      </c>
      <c r="R525" t="str">
        <f>IFERROR(VLOOKUP(T[[#This Row],[warehouse]],Table2[],2,FALSE),"--")</f>
        <v>--</v>
      </c>
    </row>
    <row r="526" spans="1:18" x14ac:dyDescent="0.25">
      <c r="A526" t="s">
        <v>560</v>
      </c>
      <c r="B526" s="1">
        <v>43809</v>
      </c>
      <c r="C526" t="s">
        <v>562</v>
      </c>
      <c r="D526" t="s">
        <v>323</v>
      </c>
      <c r="E526" t="s">
        <v>51</v>
      </c>
      <c r="F526" t="s">
        <v>164</v>
      </c>
      <c r="G526" t="s">
        <v>164</v>
      </c>
      <c r="H526" t="s">
        <v>54</v>
      </c>
      <c r="I526">
        <v>86</v>
      </c>
      <c r="J526">
        <v>0</v>
      </c>
      <c r="K526">
        <v>1</v>
      </c>
      <c r="L526" t="s">
        <v>25</v>
      </c>
      <c r="M526" t="s">
        <v>359</v>
      </c>
      <c r="N526">
        <v>300</v>
      </c>
      <c r="O526">
        <v>0</v>
      </c>
      <c r="P526" t="str">
        <f>IF(T[[#This Row],[qty_ordered]]&lt;&gt;T[[#This Row],[qty_received]],IF(T[[#This Row],[qty_received]]&gt;0,"Partial Received","Not Receviced"),"FullyReceived")</f>
        <v>Not Receviced</v>
      </c>
      <c r="Q526" t="str">
        <f>IF(T[[#This Row],[qty_received]]&lt;&gt;T[[#This Row],[qty_invoiced]],IF(T[[#This Row],[qty_invoiced]]&gt;0,"Partial Invoiced","Not Invoiced"),"Fully Invoiced")</f>
        <v>Partial Invoiced</v>
      </c>
      <c r="R526" t="str">
        <f>IFERROR(VLOOKUP(T[[#This Row],[warehouse]],Table2[],2,FALSE),"--")</f>
        <v>--</v>
      </c>
    </row>
    <row r="527" spans="1:18" x14ac:dyDescent="0.25">
      <c r="A527" t="s">
        <v>560</v>
      </c>
      <c r="B527" s="1">
        <v>43809</v>
      </c>
      <c r="C527" t="s">
        <v>562</v>
      </c>
      <c r="D527" t="s">
        <v>324</v>
      </c>
      <c r="E527" t="s">
        <v>51</v>
      </c>
      <c r="F527" t="s">
        <v>164</v>
      </c>
      <c r="G527" t="s">
        <v>164</v>
      </c>
      <c r="H527" t="s">
        <v>54</v>
      </c>
      <c r="I527">
        <v>109</v>
      </c>
      <c r="J527">
        <v>0</v>
      </c>
      <c r="K527">
        <v>1</v>
      </c>
      <c r="L527" t="s">
        <v>25</v>
      </c>
      <c r="M527" t="s">
        <v>359</v>
      </c>
      <c r="N527">
        <v>300</v>
      </c>
      <c r="O527">
        <v>0</v>
      </c>
      <c r="P527" t="str">
        <f>IF(T[[#This Row],[qty_ordered]]&lt;&gt;T[[#This Row],[qty_received]],IF(T[[#This Row],[qty_received]]&gt;0,"Partial Received","Not Receviced"),"FullyReceived")</f>
        <v>Not Receviced</v>
      </c>
      <c r="Q527" t="str">
        <f>IF(T[[#This Row],[qty_received]]&lt;&gt;T[[#This Row],[qty_invoiced]],IF(T[[#This Row],[qty_invoiced]]&gt;0,"Partial Invoiced","Not Invoiced"),"Fully Invoiced")</f>
        <v>Partial Invoiced</v>
      </c>
      <c r="R527" t="str">
        <f>IFERROR(VLOOKUP(T[[#This Row],[warehouse]],Table2[],2,FALSE),"--")</f>
        <v>--</v>
      </c>
    </row>
    <row r="528" spans="1:18" x14ac:dyDescent="0.25">
      <c r="A528" t="s">
        <v>560</v>
      </c>
      <c r="B528" s="1">
        <v>43809</v>
      </c>
      <c r="C528" t="s">
        <v>562</v>
      </c>
      <c r="D528" t="s">
        <v>325</v>
      </c>
      <c r="E528" t="s">
        <v>51</v>
      </c>
      <c r="F528" t="s">
        <v>164</v>
      </c>
      <c r="G528" t="s">
        <v>164</v>
      </c>
      <c r="H528" t="s">
        <v>54</v>
      </c>
      <c r="I528">
        <v>174</v>
      </c>
      <c r="J528">
        <v>0</v>
      </c>
      <c r="K528">
        <v>1</v>
      </c>
      <c r="L528" t="s">
        <v>25</v>
      </c>
      <c r="M528" t="s">
        <v>359</v>
      </c>
      <c r="N528">
        <v>300</v>
      </c>
      <c r="O528">
        <v>0</v>
      </c>
      <c r="P528" t="str">
        <f>IF(T[[#This Row],[qty_ordered]]&lt;&gt;T[[#This Row],[qty_received]],IF(T[[#This Row],[qty_received]]&gt;0,"Partial Received","Not Receviced"),"FullyReceived")</f>
        <v>Not Receviced</v>
      </c>
      <c r="Q528" t="str">
        <f>IF(T[[#This Row],[qty_received]]&lt;&gt;T[[#This Row],[qty_invoiced]],IF(T[[#This Row],[qty_invoiced]]&gt;0,"Partial Invoiced","Not Invoiced"),"Fully Invoiced")</f>
        <v>Partial Invoiced</v>
      </c>
      <c r="R528" t="str">
        <f>IFERROR(VLOOKUP(T[[#This Row],[warehouse]],Table2[],2,FALSE),"--")</f>
        <v>--</v>
      </c>
    </row>
    <row r="529" spans="1:18" x14ac:dyDescent="0.25">
      <c r="A529" t="s">
        <v>560</v>
      </c>
      <c r="B529" s="1">
        <v>43809</v>
      </c>
      <c r="C529" t="s">
        <v>562</v>
      </c>
      <c r="D529" t="s">
        <v>451</v>
      </c>
      <c r="E529" t="s">
        <v>51</v>
      </c>
      <c r="F529" t="s">
        <v>164</v>
      </c>
      <c r="G529" t="s">
        <v>164</v>
      </c>
      <c r="H529" t="s">
        <v>54</v>
      </c>
      <c r="I529">
        <v>114</v>
      </c>
      <c r="J529">
        <v>0</v>
      </c>
      <c r="K529">
        <v>1</v>
      </c>
      <c r="L529" t="s">
        <v>25</v>
      </c>
      <c r="M529" t="s">
        <v>359</v>
      </c>
      <c r="N529">
        <v>300</v>
      </c>
      <c r="O529">
        <v>0</v>
      </c>
      <c r="P529" t="str">
        <f>IF(T[[#This Row],[qty_ordered]]&lt;&gt;T[[#This Row],[qty_received]],IF(T[[#This Row],[qty_received]]&gt;0,"Partial Received","Not Receviced"),"FullyReceived")</f>
        <v>Not Receviced</v>
      </c>
      <c r="Q529" t="str">
        <f>IF(T[[#This Row],[qty_received]]&lt;&gt;T[[#This Row],[qty_invoiced]],IF(T[[#This Row],[qty_invoiced]]&gt;0,"Partial Invoiced","Not Invoiced"),"Fully Invoiced")</f>
        <v>Partial Invoiced</v>
      </c>
      <c r="R529" t="str">
        <f>IFERROR(VLOOKUP(T[[#This Row],[warehouse]],Table2[],2,FALSE),"--")</f>
        <v>--</v>
      </c>
    </row>
    <row r="530" spans="1:18" x14ac:dyDescent="0.25">
      <c r="A530" t="s">
        <v>560</v>
      </c>
      <c r="B530" s="1">
        <v>43809</v>
      </c>
      <c r="C530" t="s">
        <v>562</v>
      </c>
      <c r="D530" t="s">
        <v>452</v>
      </c>
      <c r="E530" t="s">
        <v>51</v>
      </c>
      <c r="F530" t="s">
        <v>164</v>
      </c>
      <c r="G530" t="s">
        <v>164</v>
      </c>
      <c r="H530" t="s">
        <v>54</v>
      </c>
      <c r="I530">
        <v>153</v>
      </c>
      <c r="J530">
        <v>0</v>
      </c>
      <c r="K530">
        <v>1</v>
      </c>
      <c r="L530" t="s">
        <v>25</v>
      </c>
      <c r="M530" t="s">
        <v>359</v>
      </c>
      <c r="N530">
        <v>286.27450099999999</v>
      </c>
      <c r="O530">
        <v>0</v>
      </c>
      <c r="P530" t="str">
        <f>IF(T[[#This Row],[qty_ordered]]&lt;&gt;T[[#This Row],[qty_received]],IF(T[[#This Row],[qty_received]]&gt;0,"Partial Received","Not Receviced"),"FullyReceived")</f>
        <v>Not Receviced</v>
      </c>
      <c r="Q530" t="str">
        <f>IF(T[[#This Row],[qty_received]]&lt;&gt;T[[#This Row],[qty_invoiced]],IF(T[[#This Row],[qty_invoiced]]&gt;0,"Partial Invoiced","Not Invoiced"),"Fully Invoiced")</f>
        <v>Partial Invoiced</v>
      </c>
      <c r="R530" t="str">
        <f>IFERROR(VLOOKUP(T[[#This Row],[warehouse]],Table2[],2,FALSE),"--")</f>
        <v>--</v>
      </c>
    </row>
    <row r="531" spans="1:18" x14ac:dyDescent="0.25">
      <c r="A531" t="s">
        <v>560</v>
      </c>
      <c r="B531" s="1">
        <v>43809</v>
      </c>
      <c r="C531" t="s">
        <v>562</v>
      </c>
      <c r="D531" t="s">
        <v>614</v>
      </c>
      <c r="E531" t="s">
        <v>51</v>
      </c>
      <c r="F531" t="s">
        <v>164</v>
      </c>
      <c r="G531" t="s">
        <v>164</v>
      </c>
      <c r="H531" t="s">
        <v>54</v>
      </c>
      <c r="I531">
        <v>125</v>
      </c>
      <c r="J531">
        <v>0</v>
      </c>
      <c r="K531">
        <v>1</v>
      </c>
      <c r="L531" t="s">
        <v>25</v>
      </c>
      <c r="M531" t="s">
        <v>359</v>
      </c>
      <c r="N531">
        <v>300</v>
      </c>
      <c r="O531">
        <v>0</v>
      </c>
      <c r="P531" t="str">
        <f>IF(T[[#This Row],[qty_ordered]]&lt;&gt;T[[#This Row],[qty_received]],IF(T[[#This Row],[qty_received]]&gt;0,"Partial Received","Not Receviced"),"FullyReceived")</f>
        <v>Not Receviced</v>
      </c>
      <c r="Q531" t="str">
        <f>IF(T[[#This Row],[qty_received]]&lt;&gt;T[[#This Row],[qty_invoiced]],IF(T[[#This Row],[qty_invoiced]]&gt;0,"Partial Invoiced","Not Invoiced"),"Fully Invoiced")</f>
        <v>Partial Invoiced</v>
      </c>
      <c r="R531" t="str">
        <f>IFERROR(VLOOKUP(T[[#This Row],[warehouse]],Table2[],2,FALSE),"--")</f>
        <v>--</v>
      </c>
    </row>
    <row r="532" spans="1:18" x14ac:dyDescent="0.25">
      <c r="A532" t="s">
        <v>560</v>
      </c>
      <c r="B532" s="1">
        <v>43809</v>
      </c>
      <c r="C532" t="s">
        <v>562</v>
      </c>
      <c r="D532" t="s">
        <v>615</v>
      </c>
      <c r="E532" t="s">
        <v>51</v>
      </c>
      <c r="F532" t="s">
        <v>164</v>
      </c>
      <c r="G532" t="s">
        <v>164</v>
      </c>
      <c r="H532" t="s">
        <v>54</v>
      </c>
      <c r="I532">
        <v>456</v>
      </c>
      <c r="J532">
        <v>0</v>
      </c>
      <c r="K532">
        <v>1</v>
      </c>
      <c r="L532" t="s">
        <v>25</v>
      </c>
      <c r="M532" t="s">
        <v>359</v>
      </c>
      <c r="N532">
        <v>280.15350899999999</v>
      </c>
      <c r="O532">
        <v>0</v>
      </c>
      <c r="P532" t="str">
        <f>IF(T[[#This Row],[qty_ordered]]&lt;&gt;T[[#This Row],[qty_received]],IF(T[[#This Row],[qty_received]]&gt;0,"Partial Received","Not Receviced"),"FullyReceived")</f>
        <v>Not Receviced</v>
      </c>
      <c r="Q532" t="str">
        <f>IF(T[[#This Row],[qty_received]]&lt;&gt;T[[#This Row],[qty_invoiced]],IF(T[[#This Row],[qty_invoiced]]&gt;0,"Partial Invoiced","Not Invoiced"),"Fully Invoiced")</f>
        <v>Partial Invoiced</v>
      </c>
      <c r="R532" t="str">
        <f>IFERROR(VLOOKUP(T[[#This Row],[warehouse]],Table2[],2,FALSE),"--")</f>
        <v>--</v>
      </c>
    </row>
    <row r="533" spans="1:18" x14ac:dyDescent="0.25">
      <c r="A533" t="s">
        <v>84</v>
      </c>
      <c r="B533" s="1">
        <v>43807</v>
      </c>
      <c r="C533" t="s">
        <v>550</v>
      </c>
      <c r="D533" t="s">
        <v>71</v>
      </c>
      <c r="E533" t="s">
        <v>259</v>
      </c>
      <c r="F533" t="s">
        <v>108</v>
      </c>
      <c r="G533" t="s">
        <v>109</v>
      </c>
      <c r="H533" t="s">
        <v>24</v>
      </c>
      <c r="I533">
        <v>600</v>
      </c>
      <c r="J533">
        <v>0</v>
      </c>
      <c r="K533">
        <v>0</v>
      </c>
      <c r="L533" t="s">
        <v>25</v>
      </c>
      <c r="M533" t="s">
        <v>132</v>
      </c>
      <c r="N533">
        <v>85000</v>
      </c>
      <c r="O533">
        <v>0</v>
      </c>
      <c r="P533" t="str">
        <f>IF(T[[#This Row],[qty_ordered]]&lt;&gt;T[[#This Row],[qty_received]],IF(T[[#This Row],[qty_received]]&gt;0,"Partial Received","Not Receviced"),"FullyReceived")</f>
        <v>Not Receviced</v>
      </c>
      <c r="Q533" t="str">
        <f>IF(T[[#This Row],[qty_received]]&lt;&gt;T[[#This Row],[qty_invoiced]],IF(T[[#This Row],[qty_invoiced]]&gt;0,"Partial Invoiced","Not Invoiced"),"Fully Invoiced")</f>
        <v>Fully Invoiced</v>
      </c>
      <c r="R533" t="str">
        <f>IFERROR(VLOOKUP(T[[#This Row],[warehouse]],Table2[],2,FALSE),"--")</f>
        <v>Sifters Bahri-Libyan</v>
      </c>
    </row>
    <row r="534" spans="1:18" x14ac:dyDescent="0.25">
      <c r="A534" t="s">
        <v>534</v>
      </c>
      <c r="B534" s="1">
        <v>43815</v>
      </c>
      <c r="C534" t="s">
        <v>616</v>
      </c>
      <c r="D534" t="s">
        <v>20</v>
      </c>
      <c r="E534" t="s">
        <v>548</v>
      </c>
      <c r="F534" t="s">
        <v>22</v>
      </c>
      <c r="G534" t="s">
        <v>23</v>
      </c>
      <c r="H534" t="s">
        <v>24</v>
      </c>
      <c r="I534">
        <v>2427.52</v>
      </c>
      <c r="J534">
        <v>2427.52</v>
      </c>
      <c r="K534">
        <v>2427.52</v>
      </c>
      <c r="L534" t="s">
        <v>25</v>
      </c>
      <c r="M534" t="s">
        <v>132</v>
      </c>
      <c r="N534">
        <v>50000</v>
      </c>
      <c r="O534">
        <v>121376000</v>
      </c>
      <c r="P534" t="str">
        <f>IF(T[[#This Row],[qty_ordered]]&lt;&gt;T[[#This Row],[qty_received]],IF(T[[#This Row],[qty_received]]&gt;0,"Partial Received","Not Receviced"),"FullyReceived")</f>
        <v>FullyReceived</v>
      </c>
      <c r="Q534" t="str">
        <f>IF(T[[#This Row],[qty_received]]&lt;&gt;T[[#This Row],[qty_invoiced]],IF(T[[#This Row],[qty_invoiced]]&gt;0,"Partial Invoiced","Not Invoiced"),"Fully Invoiced")</f>
        <v>Fully Invoiced</v>
      </c>
      <c r="R534" t="str">
        <f>IFERROR(VLOOKUP(T[[#This Row],[warehouse]],Table2[],2,FALSE),"--")</f>
        <v>Crusher Almosaly-ALB</v>
      </c>
    </row>
    <row r="535" spans="1:18" x14ac:dyDescent="0.25">
      <c r="A535" t="s">
        <v>353</v>
      </c>
      <c r="B535" s="1">
        <v>43815</v>
      </c>
      <c r="C535" t="s">
        <v>617</v>
      </c>
      <c r="D535" t="s">
        <v>20</v>
      </c>
      <c r="E535" t="s">
        <v>146</v>
      </c>
      <c r="F535" t="s">
        <v>294</v>
      </c>
      <c r="G535" t="s">
        <v>295</v>
      </c>
      <c r="H535" t="s">
        <v>149</v>
      </c>
      <c r="I535">
        <v>204000</v>
      </c>
      <c r="J535">
        <v>204000</v>
      </c>
      <c r="K535">
        <v>204000</v>
      </c>
      <c r="L535" t="s">
        <v>25</v>
      </c>
      <c r="M535" t="s">
        <v>150</v>
      </c>
      <c r="N535">
        <v>27</v>
      </c>
      <c r="O535">
        <v>5508000</v>
      </c>
      <c r="P535" t="str">
        <f>IF(T[[#This Row],[qty_ordered]]&lt;&gt;T[[#This Row],[qty_received]],IF(T[[#This Row],[qty_received]]&gt;0,"Partial Received","Not Receviced"),"FullyReceived")</f>
        <v>FullyReceived</v>
      </c>
      <c r="Q535" t="str">
        <f>IF(T[[#This Row],[qty_received]]&lt;&gt;T[[#This Row],[qty_invoiced]],IF(T[[#This Row],[qty_invoiced]]&gt;0,"Partial Invoiced","Not Invoiced"),"Fully Invoiced")</f>
        <v>Fully Invoiced</v>
      </c>
      <c r="R535" t="str">
        <f>IFERROR(VLOOKUP(T[[#This Row],[warehouse]],Table2[],2,FALSE),"--")</f>
        <v>Khtoum Main Warehouse</v>
      </c>
    </row>
    <row r="536" spans="1:18" x14ac:dyDescent="0.25">
      <c r="A536" t="s">
        <v>502</v>
      </c>
      <c r="B536" s="1">
        <v>43705</v>
      </c>
      <c r="C536" t="s">
        <v>503</v>
      </c>
      <c r="D536" t="s">
        <v>322</v>
      </c>
      <c r="E536" t="s">
        <v>51</v>
      </c>
      <c r="F536" t="s">
        <v>247</v>
      </c>
      <c r="G536" t="s">
        <v>247</v>
      </c>
      <c r="H536" t="s">
        <v>54</v>
      </c>
      <c r="I536">
        <v>156.56</v>
      </c>
      <c r="J536">
        <v>0</v>
      </c>
      <c r="K536">
        <v>1</v>
      </c>
      <c r="L536" t="s">
        <v>25</v>
      </c>
      <c r="M536" t="s">
        <v>359</v>
      </c>
      <c r="N536">
        <v>3700</v>
      </c>
      <c r="O536">
        <v>0</v>
      </c>
      <c r="P536" t="str">
        <f>IF(T[[#This Row],[qty_ordered]]&lt;&gt;T[[#This Row],[qty_received]],IF(T[[#This Row],[qty_received]]&gt;0,"Partial Received","Not Receviced"),"FullyReceived")</f>
        <v>Not Receviced</v>
      </c>
      <c r="Q536" t="str">
        <f>IF(T[[#This Row],[qty_received]]&lt;&gt;T[[#This Row],[qty_invoiced]],IF(T[[#This Row],[qty_invoiced]]&gt;0,"Partial Invoiced","Not Invoiced"),"Fully Invoiced")</f>
        <v>Partial Invoiced</v>
      </c>
      <c r="R536" t="str">
        <f>IFERROR(VLOOKUP(T[[#This Row],[warehouse]],Table2[],2,FALSE),"--")</f>
        <v>--</v>
      </c>
    </row>
    <row r="537" spans="1:18" x14ac:dyDescent="0.25">
      <c r="A537" t="s">
        <v>618</v>
      </c>
      <c r="B537" s="1">
        <v>43818</v>
      </c>
      <c r="C537" t="s">
        <v>619</v>
      </c>
      <c r="D537" t="s">
        <v>88</v>
      </c>
      <c r="E537" t="s">
        <v>553</v>
      </c>
      <c r="F537" t="s">
        <v>86</v>
      </c>
      <c r="G537" t="s">
        <v>87</v>
      </c>
      <c r="H537" t="s">
        <v>24</v>
      </c>
      <c r="I537">
        <v>817.7</v>
      </c>
      <c r="J537">
        <v>817.7</v>
      </c>
      <c r="K537">
        <v>817.7</v>
      </c>
      <c r="L537" t="s">
        <v>25</v>
      </c>
      <c r="M537" t="s">
        <v>132</v>
      </c>
      <c r="N537">
        <v>111250</v>
      </c>
      <c r="O537">
        <v>79805065.104000002</v>
      </c>
      <c r="P537" t="str">
        <f>IF(T[[#This Row],[qty_ordered]]&lt;&gt;T[[#This Row],[qty_received]],IF(T[[#This Row],[qty_received]]&gt;0,"Partial Received","Not Receviced"),"FullyReceived")</f>
        <v>FullyReceived</v>
      </c>
      <c r="Q537" t="str">
        <f>IF(T[[#This Row],[qty_received]]&lt;&gt;T[[#This Row],[qty_invoiced]],IF(T[[#This Row],[qty_invoiced]]&gt;0,"Partial Invoiced","Not Invoiced"),"Fully Invoiced")</f>
        <v>Fully Invoiced</v>
      </c>
      <c r="R537" t="str">
        <f>IFERROR(VLOOKUP(T[[#This Row],[warehouse]],Table2[],2,FALSE),"--")</f>
        <v>SIFTING HMA-SOBA</v>
      </c>
    </row>
    <row r="538" spans="1:18" x14ac:dyDescent="0.25">
      <c r="A538" t="s">
        <v>536</v>
      </c>
      <c r="B538" s="1">
        <v>43787</v>
      </c>
      <c r="C538" t="s">
        <v>537</v>
      </c>
      <c r="D538" t="s">
        <v>71</v>
      </c>
      <c r="E538" t="s">
        <v>620</v>
      </c>
      <c r="F538" t="s">
        <v>196</v>
      </c>
      <c r="G538" t="s">
        <v>197</v>
      </c>
      <c r="H538" t="s">
        <v>24</v>
      </c>
      <c r="I538">
        <v>5420.3029999999999</v>
      </c>
      <c r="J538">
        <v>5420.3029999999999</v>
      </c>
      <c r="K538">
        <v>5420.3029999999999</v>
      </c>
      <c r="L538" t="s">
        <v>25</v>
      </c>
      <c r="M538" t="s">
        <v>132</v>
      </c>
      <c r="N538">
        <v>17325</v>
      </c>
      <c r="O538">
        <v>93906749.474999994</v>
      </c>
      <c r="P538" t="str">
        <f>IF(T[[#This Row],[qty_ordered]]&lt;&gt;T[[#This Row],[qty_received]],IF(T[[#This Row],[qty_received]]&gt;0,"Partial Received","Not Receviced"),"FullyReceived")</f>
        <v>FullyReceived</v>
      </c>
      <c r="Q538" t="str">
        <f>IF(T[[#This Row],[qty_received]]&lt;&gt;T[[#This Row],[qty_invoiced]],IF(T[[#This Row],[qty_invoiced]]&gt;0,"Partial Invoiced","Not Invoiced"),"Fully Invoiced")</f>
        <v>Fully Invoiced</v>
      </c>
      <c r="R538" t="str">
        <f>IFERROR(VLOOKUP(T[[#This Row],[warehouse]],Table2[],2,FALSE),"--")</f>
        <v>SIFTER METALIC SILO</v>
      </c>
    </row>
    <row r="539" spans="1:18" x14ac:dyDescent="0.25">
      <c r="A539" t="s">
        <v>536</v>
      </c>
      <c r="B539" s="1">
        <v>43787</v>
      </c>
      <c r="C539" t="s">
        <v>537</v>
      </c>
      <c r="D539" t="s">
        <v>100</v>
      </c>
      <c r="E539" t="s">
        <v>621</v>
      </c>
      <c r="F539" t="s">
        <v>196</v>
      </c>
      <c r="G539" t="s">
        <v>197</v>
      </c>
      <c r="H539" t="s">
        <v>24</v>
      </c>
      <c r="I539">
        <v>8579.6970000000001</v>
      </c>
      <c r="J539">
        <v>8579.6970000000001</v>
      </c>
      <c r="K539">
        <v>8579.6970000000001</v>
      </c>
      <c r="L539" t="s">
        <v>25</v>
      </c>
      <c r="M539" t="s">
        <v>132</v>
      </c>
      <c r="N539">
        <v>27894</v>
      </c>
      <c r="O539">
        <v>148643250.52500001</v>
      </c>
      <c r="P539" t="str">
        <f>IF(T[[#This Row],[qty_ordered]]&lt;&gt;T[[#This Row],[qty_received]],IF(T[[#This Row],[qty_received]]&gt;0,"Partial Received","Not Receviced"),"FullyReceived")</f>
        <v>FullyReceived</v>
      </c>
      <c r="Q539" t="str">
        <f>IF(T[[#This Row],[qty_received]]&lt;&gt;T[[#This Row],[qty_invoiced]],IF(T[[#This Row],[qty_invoiced]]&gt;0,"Partial Invoiced","Not Invoiced"),"Fully Invoiced")</f>
        <v>Fully Invoiced</v>
      </c>
      <c r="R539" t="str">
        <f>IFERROR(VLOOKUP(T[[#This Row],[warehouse]],Table2[],2,FALSE),"--")</f>
        <v>SIFTER CONCRETE SILO</v>
      </c>
    </row>
    <row r="540" spans="1:18" x14ac:dyDescent="0.25">
      <c r="A540" t="s">
        <v>534</v>
      </c>
      <c r="B540" s="1">
        <v>43864</v>
      </c>
      <c r="C540" t="s">
        <v>622</v>
      </c>
      <c r="D540" t="s">
        <v>20</v>
      </c>
      <c r="E540" t="s">
        <v>146</v>
      </c>
      <c r="F540" t="s">
        <v>518</v>
      </c>
      <c r="G540" t="s">
        <v>472</v>
      </c>
      <c r="H540" t="s">
        <v>123</v>
      </c>
      <c r="I540">
        <v>20000</v>
      </c>
      <c r="J540">
        <v>5470</v>
      </c>
      <c r="K540">
        <v>5470</v>
      </c>
      <c r="L540" t="s">
        <v>25</v>
      </c>
      <c r="M540" t="s">
        <v>132</v>
      </c>
      <c r="N540">
        <v>4081.1019999999999</v>
      </c>
      <c r="O540">
        <v>22323627.940000001</v>
      </c>
      <c r="P540" t="str">
        <f>IF(T[[#This Row],[qty_ordered]]&lt;&gt;T[[#This Row],[qty_received]],IF(T[[#This Row],[qty_received]]&gt;0,"Partial Received","Not Receviced"),"FullyReceived")</f>
        <v>Partial Received</v>
      </c>
      <c r="Q540" t="str">
        <f>IF(T[[#This Row],[qty_received]]&lt;&gt;T[[#This Row],[qty_invoiced]],IF(T[[#This Row],[qty_invoiced]]&gt;0,"Partial Invoiced","Not Invoiced"),"Fully Invoiced")</f>
        <v>Fully Invoiced</v>
      </c>
      <c r="R540" t="str">
        <f>IFERROR(VLOOKUP(T[[#This Row],[warehouse]],Table2[],2,FALSE),"--")</f>
        <v>Khtoum Main Warehouse</v>
      </c>
    </row>
    <row r="541" spans="1:18" x14ac:dyDescent="0.25">
      <c r="A541" t="s">
        <v>400</v>
      </c>
      <c r="B541" s="1">
        <v>43865</v>
      </c>
      <c r="C541" t="s">
        <v>623</v>
      </c>
      <c r="D541" t="s">
        <v>20</v>
      </c>
      <c r="E541" t="s">
        <v>51</v>
      </c>
      <c r="F541" t="s">
        <v>183</v>
      </c>
      <c r="G541" t="s">
        <v>624</v>
      </c>
      <c r="H541" t="s">
        <v>54</v>
      </c>
      <c r="I541">
        <v>363.45299999999997</v>
      </c>
      <c r="J541">
        <v>0</v>
      </c>
      <c r="K541">
        <v>1</v>
      </c>
      <c r="L541" t="s">
        <v>25</v>
      </c>
      <c r="M541" t="s">
        <v>533</v>
      </c>
      <c r="N541">
        <v>700</v>
      </c>
      <c r="O541">
        <v>0</v>
      </c>
      <c r="P541" t="str">
        <f>IF(T[[#This Row],[qty_ordered]]&lt;&gt;T[[#This Row],[qty_received]],IF(T[[#This Row],[qty_received]]&gt;0,"Partial Received","Not Receviced"),"FullyReceived")</f>
        <v>Not Receviced</v>
      </c>
      <c r="Q541" t="str">
        <f>IF(T[[#This Row],[qty_received]]&lt;&gt;T[[#This Row],[qty_invoiced]],IF(T[[#This Row],[qty_invoiced]]&gt;0,"Partial Invoiced","Not Invoiced"),"Fully Invoiced")</f>
        <v>Partial Invoiced</v>
      </c>
      <c r="R541" t="str">
        <f>IFERROR(VLOOKUP(T[[#This Row],[warehouse]],Table2[],2,FALSE),"--")</f>
        <v>--</v>
      </c>
    </row>
    <row r="542" spans="1:18" x14ac:dyDescent="0.25">
      <c r="A542" t="s">
        <v>400</v>
      </c>
      <c r="B542" s="1">
        <v>43865</v>
      </c>
      <c r="C542" t="s">
        <v>623</v>
      </c>
      <c r="D542" t="s">
        <v>71</v>
      </c>
      <c r="E542" t="s">
        <v>51</v>
      </c>
      <c r="F542" t="s">
        <v>183</v>
      </c>
      <c r="G542" t="s">
        <v>625</v>
      </c>
      <c r="H542" t="s">
        <v>54</v>
      </c>
      <c r="I542">
        <v>92</v>
      </c>
      <c r="J542">
        <v>0</v>
      </c>
      <c r="K542">
        <v>1</v>
      </c>
      <c r="L542" t="s">
        <v>25</v>
      </c>
      <c r="M542" t="s">
        <v>533</v>
      </c>
      <c r="N542">
        <v>250</v>
      </c>
      <c r="O542">
        <v>0</v>
      </c>
      <c r="P542" t="str">
        <f>IF(T[[#This Row],[qty_ordered]]&lt;&gt;T[[#This Row],[qty_received]],IF(T[[#This Row],[qty_received]]&gt;0,"Partial Received","Not Receviced"),"FullyReceived")</f>
        <v>Not Receviced</v>
      </c>
      <c r="Q542" t="str">
        <f>IF(T[[#This Row],[qty_received]]&lt;&gt;T[[#This Row],[qty_invoiced]],IF(T[[#This Row],[qty_invoiced]]&gt;0,"Partial Invoiced","Not Invoiced"),"Fully Invoiced")</f>
        <v>Partial Invoiced</v>
      </c>
      <c r="R542" t="str">
        <f>IFERROR(VLOOKUP(T[[#This Row],[warehouse]],Table2[],2,FALSE),"--")</f>
        <v>--</v>
      </c>
    </row>
    <row r="543" spans="1:18" x14ac:dyDescent="0.25">
      <c r="A543" t="s">
        <v>144</v>
      </c>
      <c r="B543" s="1">
        <v>43865</v>
      </c>
      <c r="C543" t="s">
        <v>626</v>
      </c>
      <c r="D543" t="s">
        <v>20</v>
      </c>
      <c r="E543" t="s">
        <v>239</v>
      </c>
      <c r="F543" t="s">
        <v>294</v>
      </c>
      <c r="G543" t="s">
        <v>295</v>
      </c>
      <c r="H543" t="s">
        <v>149</v>
      </c>
      <c r="I543">
        <v>88000</v>
      </c>
      <c r="J543">
        <v>42500</v>
      </c>
      <c r="K543">
        <v>42500</v>
      </c>
      <c r="L543" t="s">
        <v>25</v>
      </c>
      <c r="M543" t="s">
        <v>575</v>
      </c>
      <c r="N543">
        <v>8.0549999999999997</v>
      </c>
      <c r="O543">
        <v>342337.5</v>
      </c>
      <c r="P543" t="str">
        <f>IF(T[[#This Row],[qty_ordered]]&lt;&gt;T[[#This Row],[qty_received]],IF(T[[#This Row],[qty_received]]&gt;0,"Partial Received","Not Receviced"),"FullyReceived")</f>
        <v>Partial Received</v>
      </c>
      <c r="Q543" t="str">
        <f>IF(T[[#This Row],[qty_received]]&lt;&gt;T[[#This Row],[qty_invoiced]],IF(T[[#This Row],[qty_invoiced]]&gt;0,"Partial Invoiced","Not Invoiced"),"Fully Invoiced")</f>
        <v>Fully Invoiced</v>
      </c>
      <c r="R543" t="str">
        <f>IFERROR(VLOOKUP(T[[#This Row],[warehouse]],Table2[],2,FALSE),"--")</f>
        <v xml:space="preserve">Gadarif Main Store </v>
      </c>
    </row>
    <row r="544" spans="1:18" x14ac:dyDescent="0.25">
      <c r="A544" t="s">
        <v>627</v>
      </c>
      <c r="B544" s="1">
        <v>43874</v>
      </c>
      <c r="C544" t="s">
        <v>628</v>
      </c>
      <c r="D544" t="s">
        <v>20</v>
      </c>
      <c r="E544" t="s">
        <v>629</v>
      </c>
      <c r="F544" t="s">
        <v>22</v>
      </c>
      <c r="G544" t="s">
        <v>23</v>
      </c>
      <c r="H544" t="s">
        <v>24</v>
      </c>
      <c r="I544">
        <v>1000</v>
      </c>
      <c r="J544">
        <v>972</v>
      </c>
      <c r="K544">
        <v>972</v>
      </c>
      <c r="L544" t="s">
        <v>25</v>
      </c>
      <c r="M544" t="s">
        <v>132</v>
      </c>
      <c r="N544">
        <v>63000</v>
      </c>
      <c r="O544">
        <v>61236000</v>
      </c>
      <c r="P544" t="str">
        <f>IF(T[[#This Row],[qty_ordered]]&lt;&gt;T[[#This Row],[qty_received]],IF(T[[#This Row],[qty_received]]&gt;0,"Partial Received","Not Receviced"),"FullyReceived")</f>
        <v>Partial Received</v>
      </c>
      <c r="Q544" t="str">
        <f>IF(T[[#This Row],[qty_received]]&lt;&gt;T[[#This Row],[qty_invoiced]],IF(T[[#This Row],[qty_invoiced]]&gt;0,"Partial Invoiced","Not Invoiced"),"Fully Invoiced")</f>
        <v>Fully Invoiced</v>
      </c>
      <c r="R544" t="str">
        <f>IFERROR(VLOOKUP(T[[#This Row],[warehouse]],Table2[],2,FALSE),"--")</f>
        <v>SOPC Sifting &amp; Sorting</v>
      </c>
    </row>
    <row r="545" spans="1:18" x14ac:dyDescent="0.25">
      <c r="A545" t="s">
        <v>534</v>
      </c>
      <c r="B545" s="1">
        <v>43874</v>
      </c>
      <c r="C545" t="s">
        <v>630</v>
      </c>
      <c r="D545" t="s">
        <v>20</v>
      </c>
      <c r="E545" t="s">
        <v>166</v>
      </c>
      <c r="F545" t="s">
        <v>22</v>
      </c>
      <c r="G545" t="s">
        <v>23</v>
      </c>
      <c r="H545" t="s">
        <v>24</v>
      </c>
      <c r="I545">
        <v>220</v>
      </c>
      <c r="J545">
        <v>0</v>
      </c>
      <c r="K545">
        <v>0</v>
      </c>
      <c r="L545" t="s">
        <v>25</v>
      </c>
      <c r="M545" t="s">
        <v>132</v>
      </c>
      <c r="N545">
        <v>55000</v>
      </c>
      <c r="O545">
        <v>0</v>
      </c>
      <c r="P545" t="str">
        <f>IF(T[[#This Row],[qty_ordered]]&lt;&gt;T[[#This Row],[qty_received]],IF(T[[#This Row],[qty_received]]&gt;0,"Partial Received","Not Receviced"),"FullyReceived")</f>
        <v>Not Receviced</v>
      </c>
      <c r="Q545" t="str">
        <f>IF(T[[#This Row],[qty_received]]&lt;&gt;T[[#This Row],[qty_invoiced]],IF(T[[#This Row],[qty_invoiced]]&gt;0,"Partial Invoiced","Not Invoiced"),"Fully Invoiced")</f>
        <v>Fully Invoiced</v>
      </c>
      <c r="R545" t="str">
        <f>IFERROR(VLOOKUP(T[[#This Row],[warehouse]],Table2[],2,FALSE),"--")</f>
        <v>Crusher Al-Teital -K</v>
      </c>
    </row>
    <row r="546" spans="1:18" x14ac:dyDescent="0.25">
      <c r="A546" t="s">
        <v>534</v>
      </c>
      <c r="B546" s="1">
        <v>43874</v>
      </c>
      <c r="C546" t="s">
        <v>631</v>
      </c>
      <c r="D546" t="s">
        <v>20</v>
      </c>
      <c r="E546" t="s">
        <v>66</v>
      </c>
      <c r="F546" t="s">
        <v>327</v>
      </c>
      <c r="G546" t="s">
        <v>328</v>
      </c>
      <c r="H546" t="s">
        <v>123</v>
      </c>
      <c r="I546">
        <v>13000</v>
      </c>
      <c r="J546">
        <v>13000</v>
      </c>
      <c r="K546">
        <v>13000</v>
      </c>
      <c r="L546" t="s">
        <v>25</v>
      </c>
      <c r="M546" t="s">
        <v>132</v>
      </c>
      <c r="N546">
        <v>8250</v>
      </c>
      <c r="O546">
        <v>107250000</v>
      </c>
      <c r="P546" t="str">
        <f>IF(T[[#This Row],[qty_ordered]]&lt;&gt;T[[#This Row],[qty_received]],IF(T[[#This Row],[qty_received]]&gt;0,"Partial Received","Not Receviced"),"FullyReceived")</f>
        <v>FullyReceived</v>
      </c>
      <c r="Q546" t="str">
        <f>IF(T[[#This Row],[qty_received]]&lt;&gt;T[[#This Row],[qty_invoiced]],IF(T[[#This Row],[qty_invoiced]]&gt;0,"Partial Invoiced","Not Invoiced"),"Fully Invoiced")</f>
        <v>Fully Invoiced</v>
      </c>
      <c r="R546" t="str">
        <f>IFERROR(VLOOKUP(T[[#This Row],[warehouse]],Table2[],2,FALSE),"--")</f>
        <v>PZU Main Warehouse</v>
      </c>
    </row>
    <row r="547" spans="1:18" x14ac:dyDescent="0.25">
      <c r="A547" t="s">
        <v>632</v>
      </c>
      <c r="B547" s="1">
        <v>43874</v>
      </c>
      <c r="C547" t="s">
        <v>633</v>
      </c>
      <c r="D547" t="s">
        <v>20</v>
      </c>
      <c r="E547" t="s">
        <v>192</v>
      </c>
      <c r="F547" t="s">
        <v>47</v>
      </c>
      <c r="G547" t="s">
        <v>48</v>
      </c>
      <c r="H547" t="s">
        <v>24</v>
      </c>
      <c r="I547">
        <v>1500</v>
      </c>
      <c r="J547">
        <v>0</v>
      </c>
      <c r="K547">
        <v>0</v>
      </c>
      <c r="L547" t="s">
        <v>25</v>
      </c>
      <c r="M547" t="s">
        <v>132</v>
      </c>
      <c r="N547">
        <v>93450</v>
      </c>
      <c r="O547">
        <v>0</v>
      </c>
      <c r="P547" t="str">
        <f>IF(T[[#This Row],[qty_ordered]]&lt;&gt;T[[#This Row],[qty_received]],IF(T[[#This Row],[qty_received]]&gt;0,"Partial Received","Not Receviced"),"FullyReceived")</f>
        <v>Not Receviced</v>
      </c>
      <c r="Q547" t="str">
        <f>IF(T[[#This Row],[qty_received]]&lt;&gt;T[[#This Row],[qty_invoiced]],IF(T[[#This Row],[qty_invoiced]]&gt;0,"Partial Invoiced","Not Invoiced"),"Fully Invoiced")</f>
        <v>Fully Invoiced</v>
      </c>
      <c r="R547" t="str">
        <f>IFERROR(VLOOKUP(T[[#This Row],[warehouse]],Table2[],2,FALSE),"--")</f>
        <v>BAYADER SIFTER-OMD</v>
      </c>
    </row>
    <row r="548" spans="1:18" x14ac:dyDescent="0.25">
      <c r="A548" t="s">
        <v>144</v>
      </c>
      <c r="B548" s="1">
        <v>43858</v>
      </c>
      <c r="C548" t="s">
        <v>634</v>
      </c>
      <c r="D548" t="s">
        <v>71</v>
      </c>
      <c r="E548" t="s">
        <v>146</v>
      </c>
      <c r="F548" t="s">
        <v>151</v>
      </c>
      <c r="G548" t="s">
        <v>152</v>
      </c>
      <c r="H548" t="s">
        <v>149</v>
      </c>
      <c r="I548">
        <v>192000</v>
      </c>
      <c r="J548">
        <v>0</v>
      </c>
      <c r="K548">
        <v>0</v>
      </c>
      <c r="L548" t="s">
        <v>25</v>
      </c>
      <c r="M548" t="s">
        <v>575</v>
      </c>
      <c r="N548">
        <v>8.0549999999999997</v>
      </c>
      <c r="O548">
        <v>0</v>
      </c>
      <c r="P548" t="str">
        <f>IF(T[[#This Row],[qty_ordered]]&lt;&gt;T[[#This Row],[qty_received]],IF(T[[#This Row],[qty_received]]&gt;0,"Partial Received","Not Receviced"),"FullyReceived")</f>
        <v>Not Receviced</v>
      </c>
      <c r="Q548" t="str">
        <f>IF(T[[#This Row],[qty_received]]&lt;&gt;T[[#This Row],[qty_invoiced]],IF(T[[#This Row],[qty_invoiced]]&gt;0,"Partial Invoiced","Not Invoiced"),"Fully Invoiced")</f>
        <v>Fully Invoiced</v>
      </c>
      <c r="R548" t="str">
        <f>IFERROR(VLOOKUP(T[[#This Row],[warehouse]],Table2[],2,FALSE),"--")</f>
        <v>Khtoum Main Warehouse</v>
      </c>
    </row>
    <row r="549" spans="1:18" x14ac:dyDescent="0.25">
      <c r="A549" t="s">
        <v>398</v>
      </c>
      <c r="B549" s="1">
        <v>43865</v>
      </c>
      <c r="C549" t="s">
        <v>635</v>
      </c>
      <c r="D549" t="s">
        <v>20</v>
      </c>
      <c r="E549" t="s">
        <v>51</v>
      </c>
      <c r="F549" t="s">
        <v>183</v>
      </c>
      <c r="G549" t="s">
        <v>636</v>
      </c>
      <c r="H549" t="s">
        <v>54</v>
      </c>
      <c r="I549">
        <v>149.72</v>
      </c>
      <c r="J549">
        <v>0</v>
      </c>
      <c r="K549">
        <v>1</v>
      </c>
      <c r="L549" t="s">
        <v>25</v>
      </c>
      <c r="M549" t="s">
        <v>533</v>
      </c>
      <c r="N549">
        <v>750</v>
      </c>
      <c r="O549">
        <v>0</v>
      </c>
      <c r="P549" t="str">
        <f>IF(T[[#This Row],[qty_ordered]]&lt;&gt;T[[#This Row],[qty_received]],IF(T[[#This Row],[qty_received]]&gt;0,"Partial Received","Not Receviced"),"FullyReceived")</f>
        <v>Not Receviced</v>
      </c>
      <c r="Q549" t="str">
        <f>IF(T[[#This Row],[qty_received]]&lt;&gt;T[[#This Row],[qty_invoiced]],IF(T[[#This Row],[qty_invoiced]]&gt;0,"Partial Invoiced","Not Invoiced"),"Fully Invoiced")</f>
        <v>Partial Invoiced</v>
      </c>
      <c r="R549" t="str">
        <f>IFERROR(VLOOKUP(T[[#This Row],[warehouse]],Table2[],2,FALSE),"--")</f>
        <v>--</v>
      </c>
    </row>
    <row r="550" spans="1:18" x14ac:dyDescent="0.25">
      <c r="A550" t="s">
        <v>618</v>
      </c>
      <c r="B550" s="1">
        <v>43859</v>
      </c>
      <c r="C550" t="s">
        <v>637</v>
      </c>
      <c r="D550" t="s">
        <v>20</v>
      </c>
      <c r="E550" t="s">
        <v>111</v>
      </c>
      <c r="F550" t="s">
        <v>86</v>
      </c>
      <c r="G550" t="s">
        <v>87</v>
      </c>
      <c r="H550" t="s">
        <v>24</v>
      </c>
      <c r="I550">
        <v>2688.8</v>
      </c>
      <c r="J550">
        <v>2688.8</v>
      </c>
      <c r="K550">
        <v>2688.8</v>
      </c>
      <c r="L550" t="s">
        <v>25</v>
      </c>
      <c r="M550" t="s">
        <v>132</v>
      </c>
      <c r="N550">
        <v>127937</v>
      </c>
      <c r="O550">
        <v>288612350.72000003</v>
      </c>
      <c r="P550" t="str">
        <f>IF(T[[#This Row],[qty_ordered]]&lt;&gt;T[[#This Row],[qty_received]],IF(T[[#This Row],[qty_received]]&gt;0,"Partial Received","Not Receviced"),"FullyReceived")</f>
        <v>FullyReceived</v>
      </c>
      <c r="Q550" t="str">
        <f>IF(T[[#This Row],[qty_received]]&lt;&gt;T[[#This Row],[qty_invoiced]],IF(T[[#This Row],[qty_invoiced]]&gt;0,"Partial Invoiced","Not Invoiced"),"Fully Invoiced")</f>
        <v>Fully Invoiced</v>
      </c>
      <c r="R550" t="str">
        <f>IFERROR(VLOOKUP(T[[#This Row],[warehouse]],Table2[],2,FALSE),"--")</f>
        <v>Sifting PZU-Al Jawhra</v>
      </c>
    </row>
    <row r="551" spans="1:18" x14ac:dyDescent="0.25">
      <c r="A551" t="s">
        <v>252</v>
      </c>
      <c r="B551" s="1">
        <v>43849</v>
      </c>
      <c r="C551" t="s">
        <v>638</v>
      </c>
      <c r="D551" t="s">
        <v>100</v>
      </c>
      <c r="E551" t="s">
        <v>51</v>
      </c>
      <c r="F551" t="s">
        <v>183</v>
      </c>
      <c r="G551" t="s">
        <v>639</v>
      </c>
      <c r="H551" t="s">
        <v>54</v>
      </c>
      <c r="I551">
        <v>500</v>
      </c>
      <c r="J551">
        <v>0</v>
      </c>
      <c r="K551">
        <v>1</v>
      </c>
      <c r="L551" t="s">
        <v>25</v>
      </c>
      <c r="M551" t="s">
        <v>533</v>
      </c>
      <c r="N551">
        <v>850</v>
      </c>
      <c r="O551">
        <v>0</v>
      </c>
      <c r="P551" t="str">
        <f>IF(T[[#This Row],[qty_ordered]]&lt;&gt;T[[#This Row],[qty_received]],IF(T[[#This Row],[qty_received]]&gt;0,"Partial Received","Not Receviced"),"FullyReceived")</f>
        <v>Not Receviced</v>
      </c>
      <c r="Q551" t="str">
        <f>IF(T[[#This Row],[qty_received]]&lt;&gt;T[[#This Row],[qty_invoiced]],IF(T[[#This Row],[qty_invoiced]]&gt;0,"Partial Invoiced","Not Invoiced"),"Fully Invoiced")</f>
        <v>Partial Invoiced</v>
      </c>
      <c r="R551" t="str">
        <f>IFERROR(VLOOKUP(T[[#This Row],[warehouse]],Table2[],2,FALSE),"--")</f>
        <v>--</v>
      </c>
    </row>
    <row r="552" spans="1:18" x14ac:dyDescent="0.25">
      <c r="A552" t="s">
        <v>84</v>
      </c>
      <c r="B552" s="1">
        <v>43873</v>
      </c>
      <c r="C552" t="s">
        <v>640</v>
      </c>
      <c r="D552" t="s">
        <v>20</v>
      </c>
      <c r="E552" t="s">
        <v>51</v>
      </c>
      <c r="F552" t="s">
        <v>265</v>
      </c>
      <c r="G552" t="s">
        <v>265</v>
      </c>
      <c r="H552" t="s">
        <v>54</v>
      </c>
      <c r="I552">
        <v>800</v>
      </c>
      <c r="J552">
        <v>0</v>
      </c>
      <c r="K552">
        <v>1</v>
      </c>
      <c r="L552" t="s">
        <v>25</v>
      </c>
      <c r="M552" t="s">
        <v>132</v>
      </c>
      <c r="N552">
        <v>312.5</v>
      </c>
      <c r="O552">
        <v>0</v>
      </c>
      <c r="P552" t="str">
        <f>IF(T[[#This Row],[qty_ordered]]&lt;&gt;T[[#This Row],[qty_received]],IF(T[[#This Row],[qty_received]]&gt;0,"Partial Received","Not Receviced"),"FullyReceived")</f>
        <v>Not Receviced</v>
      </c>
      <c r="Q552" t="str">
        <f>IF(T[[#This Row],[qty_received]]&lt;&gt;T[[#This Row],[qty_invoiced]],IF(T[[#This Row],[qty_invoiced]]&gt;0,"Partial Invoiced","Not Invoiced"),"Fully Invoiced")</f>
        <v>Partial Invoiced</v>
      </c>
      <c r="R552" t="str">
        <f>IFERROR(VLOOKUP(T[[#This Row],[warehouse]],Table2[],2,FALSE),"--")</f>
        <v>--</v>
      </c>
    </row>
    <row r="553" spans="1:18" x14ac:dyDescent="0.25">
      <c r="A553" t="s">
        <v>153</v>
      </c>
      <c r="B553" s="1">
        <v>43877</v>
      </c>
      <c r="C553" t="s">
        <v>641</v>
      </c>
      <c r="D553" t="s">
        <v>20</v>
      </c>
      <c r="E553" t="s">
        <v>259</v>
      </c>
      <c r="F553" t="s">
        <v>486</v>
      </c>
      <c r="G553" t="s">
        <v>487</v>
      </c>
      <c r="H553" t="s">
        <v>24</v>
      </c>
      <c r="I553">
        <v>2000</v>
      </c>
      <c r="J553">
        <v>1040.52</v>
      </c>
      <c r="K553">
        <v>1040.52</v>
      </c>
      <c r="L553" t="s">
        <v>25</v>
      </c>
      <c r="M553" t="s">
        <v>132</v>
      </c>
      <c r="N553">
        <v>100000</v>
      </c>
      <c r="O553">
        <v>104052000</v>
      </c>
      <c r="P553" t="str">
        <f>IF(T[[#This Row],[qty_ordered]]&lt;&gt;T[[#This Row],[qty_received]],IF(T[[#This Row],[qty_received]]&gt;0,"Partial Received","Not Receviced"),"FullyReceived")</f>
        <v>Partial Received</v>
      </c>
      <c r="Q553" t="str">
        <f>IF(T[[#This Row],[qty_received]]&lt;&gt;T[[#This Row],[qty_invoiced]],IF(T[[#This Row],[qty_invoiced]]&gt;0,"Partial Invoiced","Not Invoiced"),"Fully Invoiced")</f>
        <v>Fully Invoiced</v>
      </c>
      <c r="R553" t="str">
        <f>IFERROR(VLOOKUP(T[[#This Row],[warehouse]],Table2[],2,FALSE),"--")</f>
        <v>Sifters Bahri-Libyan</v>
      </c>
    </row>
    <row r="554" spans="1:18" x14ac:dyDescent="0.25">
      <c r="A554" t="s">
        <v>642</v>
      </c>
      <c r="B554" s="1">
        <v>43835</v>
      </c>
      <c r="C554" t="s">
        <v>643</v>
      </c>
      <c r="D554" t="s">
        <v>71</v>
      </c>
      <c r="E554" t="s">
        <v>51</v>
      </c>
      <c r="F554" t="s">
        <v>183</v>
      </c>
      <c r="G554" t="s">
        <v>183</v>
      </c>
      <c r="H554" t="s">
        <v>54</v>
      </c>
      <c r="I554">
        <v>2000</v>
      </c>
      <c r="J554">
        <v>0</v>
      </c>
      <c r="K554">
        <v>1</v>
      </c>
      <c r="L554" t="s">
        <v>25</v>
      </c>
      <c r="M554" t="s">
        <v>533</v>
      </c>
      <c r="N554">
        <v>2500</v>
      </c>
      <c r="O554">
        <v>0</v>
      </c>
      <c r="P554" t="str">
        <f>IF(T[[#This Row],[qty_ordered]]&lt;&gt;T[[#This Row],[qty_received]],IF(T[[#This Row],[qty_received]]&gt;0,"Partial Received","Not Receviced"),"FullyReceived")</f>
        <v>Not Receviced</v>
      </c>
      <c r="Q554" t="str">
        <f>IF(T[[#This Row],[qty_received]]&lt;&gt;T[[#This Row],[qty_invoiced]],IF(T[[#This Row],[qty_invoiced]]&gt;0,"Partial Invoiced","Not Invoiced"),"Fully Invoiced")</f>
        <v>Partial Invoiced</v>
      </c>
      <c r="R554" t="str">
        <f>IFERROR(VLOOKUP(T[[#This Row],[warehouse]],Table2[],2,FALSE),"--")</f>
        <v>--</v>
      </c>
    </row>
    <row r="555" spans="1:18" x14ac:dyDescent="0.25">
      <c r="A555" t="s">
        <v>84</v>
      </c>
      <c r="B555" s="1">
        <v>43879</v>
      </c>
      <c r="C555" t="s">
        <v>644</v>
      </c>
      <c r="D555" t="s">
        <v>20</v>
      </c>
      <c r="E555" t="s">
        <v>281</v>
      </c>
      <c r="F555" t="s">
        <v>167</v>
      </c>
      <c r="G555" t="s">
        <v>156</v>
      </c>
      <c r="H555" t="s">
        <v>24</v>
      </c>
      <c r="I555">
        <v>5.63</v>
      </c>
      <c r="J555">
        <v>5.63</v>
      </c>
      <c r="K555">
        <v>5.63</v>
      </c>
      <c r="L555" t="s">
        <v>25</v>
      </c>
      <c r="M555" t="s">
        <v>132</v>
      </c>
      <c r="N555">
        <v>87100</v>
      </c>
      <c r="O555">
        <v>490373</v>
      </c>
      <c r="P555" t="str">
        <f>IF(T[[#This Row],[qty_ordered]]&lt;&gt;T[[#This Row],[qty_received]],IF(T[[#This Row],[qty_received]]&gt;0,"Partial Received","Not Receviced"),"FullyReceived")</f>
        <v>FullyReceived</v>
      </c>
      <c r="Q555" t="str">
        <f>IF(T[[#This Row],[qty_received]]&lt;&gt;T[[#This Row],[qty_invoiced]],IF(T[[#This Row],[qty_invoiced]]&gt;0,"Partial Invoiced","Not Invoiced"),"Fully Invoiced")</f>
        <v>Fully Invoiced</v>
      </c>
      <c r="R555" t="str">
        <f>IFERROR(VLOOKUP(T[[#This Row],[warehouse]],Table2[],2,FALSE),"--")</f>
        <v>Crusher Alm Eldin-KH</v>
      </c>
    </row>
    <row r="556" spans="1:18" x14ac:dyDescent="0.25">
      <c r="A556" t="s">
        <v>502</v>
      </c>
      <c r="B556" s="1">
        <v>43880</v>
      </c>
      <c r="C556" t="s">
        <v>645</v>
      </c>
      <c r="D556" t="s">
        <v>20</v>
      </c>
      <c r="E556" t="s">
        <v>51</v>
      </c>
      <c r="F556" t="s">
        <v>247</v>
      </c>
      <c r="G556" t="s">
        <v>247</v>
      </c>
      <c r="H556" t="s">
        <v>54</v>
      </c>
      <c r="I556">
        <v>55.97</v>
      </c>
      <c r="J556">
        <v>0</v>
      </c>
      <c r="K556">
        <v>1</v>
      </c>
      <c r="L556" t="s">
        <v>25</v>
      </c>
      <c r="M556" t="s">
        <v>359</v>
      </c>
      <c r="N556">
        <v>3700</v>
      </c>
      <c r="O556">
        <v>0</v>
      </c>
      <c r="P556" t="str">
        <f>IF(T[[#This Row],[qty_ordered]]&lt;&gt;T[[#This Row],[qty_received]],IF(T[[#This Row],[qty_received]]&gt;0,"Partial Received","Not Receviced"),"FullyReceived")</f>
        <v>Not Receviced</v>
      </c>
      <c r="Q556" t="str">
        <f>IF(T[[#This Row],[qty_received]]&lt;&gt;T[[#This Row],[qty_invoiced]],IF(T[[#This Row],[qty_invoiced]]&gt;0,"Partial Invoiced","Not Invoiced"),"Fully Invoiced")</f>
        <v>Partial Invoiced</v>
      </c>
      <c r="R556" t="str">
        <f>IFERROR(VLOOKUP(T[[#This Row],[warehouse]],Table2[],2,FALSE),"--")</f>
        <v>--</v>
      </c>
    </row>
    <row r="557" spans="1:18" x14ac:dyDescent="0.25">
      <c r="A557" t="s">
        <v>423</v>
      </c>
      <c r="B557" s="1">
        <v>43885</v>
      </c>
      <c r="C557" t="s">
        <v>646</v>
      </c>
      <c r="D557" t="s">
        <v>20</v>
      </c>
      <c r="E557" t="s">
        <v>51</v>
      </c>
      <c r="F557" t="s">
        <v>546</v>
      </c>
      <c r="G557" t="s">
        <v>613</v>
      </c>
      <c r="H557" t="s">
        <v>54</v>
      </c>
      <c r="I557">
        <v>20000</v>
      </c>
      <c r="J557">
        <v>0</v>
      </c>
      <c r="K557">
        <v>1</v>
      </c>
      <c r="L557" t="s">
        <v>25</v>
      </c>
      <c r="M557" t="s">
        <v>359</v>
      </c>
      <c r="N557">
        <v>3.4319999999999999</v>
      </c>
      <c r="O557">
        <v>0</v>
      </c>
      <c r="P557" t="str">
        <f>IF(T[[#This Row],[qty_ordered]]&lt;&gt;T[[#This Row],[qty_received]],IF(T[[#This Row],[qty_received]]&gt;0,"Partial Received","Not Receviced"),"FullyReceived")</f>
        <v>Not Receviced</v>
      </c>
      <c r="Q557" t="str">
        <f>IF(T[[#This Row],[qty_received]]&lt;&gt;T[[#This Row],[qty_invoiced]],IF(T[[#This Row],[qty_invoiced]]&gt;0,"Partial Invoiced","Not Invoiced"),"Fully Invoiced")</f>
        <v>Partial Invoiced</v>
      </c>
      <c r="R557" t="str">
        <f>IFERROR(VLOOKUP(T[[#This Row],[warehouse]],Table2[],2,FALSE),"--")</f>
        <v>--</v>
      </c>
    </row>
    <row r="558" spans="1:18" x14ac:dyDescent="0.25">
      <c r="A558" t="s">
        <v>423</v>
      </c>
      <c r="B558" s="1">
        <v>43850</v>
      </c>
      <c r="C558" t="s">
        <v>647</v>
      </c>
      <c r="D558" t="s">
        <v>88</v>
      </c>
      <c r="E558" t="s">
        <v>51</v>
      </c>
      <c r="F558" t="s">
        <v>546</v>
      </c>
      <c r="G558" t="s">
        <v>613</v>
      </c>
      <c r="H558" t="s">
        <v>54</v>
      </c>
      <c r="I558">
        <v>20000</v>
      </c>
      <c r="J558">
        <v>0</v>
      </c>
      <c r="K558">
        <v>1</v>
      </c>
      <c r="L558" t="s">
        <v>25</v>
      </c>
      <c r="M558" t="s">
        <v>359</v>
      </c>
      <c r="N558">
        <v>2.9</v>
      </c>
      <c r="O558">
        <v>0</v>
      </c>
      <c r="P558" t="str">
        <f>IF(T[[#This Row],[qty_ordered]]&lt;&gt;T[[#This Row],[qty_received]],IF(T[[#This Row],[qty_received]]&gt;0,"Partial Received","Not Receviced"),"FullyReceived")</f>
        <v>Not Receviced</v>
      </c>
      <c r="Q558" t="str">
        <f>IF(T[[#This Row],[qty_received]]&lt;&gt;T[[#This Row],[qty_invoiced]],IF(T[[#This Row],[qty_invoiced]]&gt;0,"Partial Invoiced","Not Invoiced"),"Fully Invoiced")</f>
        <v>Partial Invoiced</v>
      </c>
      <c r="R558" t="str">
        <f>IFERROR(VLOOKUP(T[[#This Row],[warehouse]],Table2[],2,FALSE),"--")</f>
        <v>--</v>
      </c>
    </row>
    <row r="559" spans="1:18" x14ac:dyDescent="0.25">
      <c r="A559" t="s">
        <v>235</v>
      </c>
      <c r="B559" s="1">
        <v>43852</v>
      </c>
      <c r="C559" t="s">
        <v>648</v>
      </c>
      <c r="D559" t="s">
        <v>71</v>
      </c>
      <c r="E559" t="s">
        <v>51</v>
      </c>
      <c r="F559" t="s">
        <v>546</v>
      </c>
      <c r="G559" t="s">
        <v>613</v>
      </c>
      <c r="H559" t="s">
        <v>54</v>
      </c>
      <c r="I559">
        <v>10000</v>
      </c>
      <c r="J559">
        <v>0</v>
      </c>
      <c r="K559">
        <v>1</v>
      </c>
      <c r="L559" t="s">
        <v>25</v>
      </c>
      <c r="M559" t="s">
        <v>359</v>
      </c>
      <c r="N559">
        <v>2.85</v>
      </c>
      <c r="O559">
        <v>0</v>
      </c>
      <c r="P559" t="str">
        <f>IF(T[[#This Row],[qty_ordered]]&lt;&gt;T[[#This Row],[qty_received]],IF(T[[#This Row],[qty_received]]&gt;0,"Partial Received","Not Receviced"),"FullyReceived")</f>
        <v>Not Receviced</v>
      </c>
      <c r="Q559" t="str">
        <f>IF(T[[#This Row],[qty_received]]&lt;&gt;T[[#This Row],[qty_invoiced]],IF(T[[#This Row],[qty_invoiced]]&gt;0,"Partial Invoiced","Not Invoiced"),"Fully Invoiced")</f>
        <v>Partial Invoiced</v>
      </c>
      <c r="R559" t="str">
        <f>IFERROR(VLOOKUP(T[[#This Row],[warehouse]],Table2[],2,FALSE),"--")</f>
        <v>--</v>
      </c>
    </row>
    <row r="560" spans="1:18" x14ac:dyDescent="0.25">
      <c r="A560" t="s">
        <v>560</v>
      </c>
      <c r="B560" s="1">
        <v>43809</v>
      </c>
      <c r="C560" t="s">
        <v>561</v>
      </c>
      <c r="D560" t="s">
        <v>592</v>
      </c>
      <c r="E560" t="s">
        <v>51</v>
      </c>
      <c r="F560" t="s">
        <v>164</v>
      </c>
      <c r="G560" t="s">
        <v>164</v>
      </c>
      <c r="H560" t="s">
        <v>54</v>
      </c>
      <c r="I560">
        <v>48</v>
      </c>
      <c r="J560">
        <v>0</v>
      </c>
      <c r="K560">
        <v>1</v>
      </c>
      <c r="L560" t="s">
        <v>25</v>
      </c>
      <c r="M560" t="s">
        <v>359</v>
      </c>
      <c r="N560">
        <v>420</v>
      </c>
      <c r="O560">
        <v>0</v>
      </c>
      <c r="P560" t="str">
        <f>IF(T[[#This Row],[qty_ordered]]&lt;&gt;T[[#This Row],[qty_received]],IF(T[[#This Row],[qty_received]]&gt;0,"Partial Received","Not Receviced"),"FullyReceived")</f>
        <v>Not Receviced</v>
      </c>
      <c r="Q560" t="str">
        <f>IF(T[[#This Row],[qty_received]]&lt;&gt;T[[#This Row],[qty_invoiced]],IF(T[[#This Row],[qty_invoiced]]&gt;0,"Partial Invoiced","Not Invoiced"),"Fully Invoiced")</f>
        <v>Partial Invoiced</v>
      </c>
      <c r="R560" t="str">
        <f>IFERROR(VLOOKUP(T[[#This Row],[warehouse]],Table2[],2,FALSE),"--")</f>
        <v>--</v>
      </c>
    </row>
    <row r="561" spans="1:18" x14ac:dyDescent="0.25">
      <c r="A561" t="s">
        <v>560</v>
      </c>
      <c r="B561" s="1">
        <v>43809</v>
      </c>
      <c r="C561" t="s">
        <v>561</v>
      </c>
      <c r="D561" t="s">
        <v>593</v>
      </c>
      <c r="E561" t="s">
        <v>51</v>
      </c>
      <c r="F561" t="s">
        <v>164</v>
      </c>
      <c r="G561" t="s">
        <v>164</v>
      </c>
      <c r="H561" t="s">
        <v>54</v>
      </c>
      <c r="I561">
        <v>87</v>
      </c>
      <c r="J561">
        <v>0</v>
      </c>
      <c r="K561">
        <v>1</v>
      </c>
      <c r="L561" t="s">
        <v>25</v>
      </c>
      <c r="M561" t="s">
        <v>359</v>
      </c>
      <c r="N561">
        <v>300</v>
      </c>
      <c r="O561">
        <v>0</v>
      </c>
      <c r="P561" t="str">
        <f>IF(T[[#This Row],[qty_ordered]]&lt;&gt;T[[#This Row],[qty_received]],IF(T[[#This Row],[qty_received]]&gt;0,"Partial Received","Not Receviced"),"FullyReceived")</f>
        <v>Not Receviced</v>
      </c>
      <c r="Q561" t="str">
        <f>IF(T[[#This Row],[qty_received]]&lt;&gt;T[[#This Row],[qty_invoiced]],IF(T[[#This Row],[qty_invoiced]]&gt;0,"Partial Invoiced","Not Invoiced"),"Fully Invoiced")</f>
        <v>Partial Invoiced</v>
      </c>
      <c r="R561" t="str">
        <f>IFERROR(VLOOKUP(T[[#This Row],[warehouse]],Table2[],2,FALSE),"--")</f>
        <v>--</v>
      </c>
    </row>
    <row r="562" spans="1:18" x14ac:dyDescent="0.25">
      <c r="A562" t="s">
        <v>560</v>
      </c>
      <c r="B562" s="1">
        <v>43809</v>
      </c>
      <c r="C562" t="s">
        <v>561</v>
      </c>
      <c r="D562" t="s">
        <v>594</v>
      </c>
      <c r="E562" t="s">
        <v>51</v>
      </c>
      <c r="F562" t="s">
        <v>164</v>
      </c>
      <c r="G562" t="s">
        <v>164</v>
      </c>
      <c r="H562" t="s">
        <v>54</v>
      </c>
      <c r="I562">
        <v>24</v>
      </c>
      <c r="J562">
        <v>0</v>
      </c>
      <c r="K562">
        <v>1</v>
      </c>
      <c r="L562" t="s">
        <v>25</v>
      </c>
      <c r="M562" t="s">
        <v>359</v>
      </c>
      <c r="N562">
        <v>420</v>
      </c>
      <c r="O562">
        <v>0</v>
      </c>
      <c r="P562" t="str">
        <f>IF(T[[#This Row],[qty_ordered]]&lt;&gt;T[[#This Row],[qty_received]],IF(T[[#This Row],[qty_received]]&gt;0,"Partial Received","Not Receviced"),"FullyReceived")</f>
        <v>Not Receviced</v>
      </c>
      <c r="Q562" t="str">
        <f>IF(T[[#This Row],[qty_received]]&lt;&gt;T[[#This Row],[qty_invoiced]],IF(T[[#This Row],[qty_invoiced]]&gt;0,"Partial Invoiced","Not Invoiced"),"Fully Invoiced")</f>
        <v>Partial Invoiced</v>
      </c>
      <c r="R562" t="str">
        <f>IFERROR(VLOOKUP(T[[#This Row],[warehouse]],Table2[],2,FALSE),"--")</f>
        <v>--</v>
      </c>
    </row>
    <row r="563" spans="1:18" x14ac:dyDescent="0.25">
      <c r="A563" t="s">
        <v>144</v>
      </c>
      <c r="B563" s="1">
        <v>43867</v>
      </c>
      <c r="C563" t="s">
        <v>649</v>
      </c>
      <c r="D563" t="s">
        <v>20</v>
      </c>
      <c r="E563" t="s">
        <v>203</v>
      </c>
      <c r="F563" t="s">
        <v>147</v>
      </c>
      <c r="G563" t="s">
        <v>148</v>
      </c>
      <c r="H563" t="s">
        <v>149</v>
      </c>
      <c r="I563">
        <v>83220</v>
      </c>
      <c r="J563">
        <v>0</v>
      </c>
      <c r="K563">
        <v>0</v>
      </c>
      <c r="L563" t="s">
        <v>25</v>
      </c>
      <c r="M563" t="s">
        <v>575</v>
      </c>
      <c r="N563">
        <v>8.0549999999999997</v>
      </c>
      <c r="O563">
        <v>0</v>
      </c>
      <c r="P563" t="str">
        <f>IF(T[[#This Row],[qty_ordered]]&lt;&gt;T[[#This Row],[qty_received]],IF(T[[#This Row],[qty_received]]&gt;0,"Partial Received","Not Receviced"),"FullyReceived")</f>
        <v>Not Receviced</v>
      </c>
      <c r="Q563" t="str">
        <f>IF(T[[#This Row],[qty_received]]&lt;&gt;T[[#This Row],[qty_invoiced]],IF(T[[#This Row],[qty_invoiced]]&gt;0,"Partial Invoiced","Not Invoiced"),"Fully Invoiced")</f>
        <v>Fully Invoiced</v>
      </c>
      <c r="R563" t="str">
        <f>IFERROR(VLOOKUP(T[[#This Row],[warehouse]],Table2[],2,FALSE),"--")</f>
        <v>PZU Packaging Warehouse</v>
      </c>
    </row>
    <row r="564" spans="1:18" x14ac:dyDescent="0.25">
      <c r="A564" t="s">
        <v>235</v>
      </c>
      <c r="B564" s="1">
        <v>43885</v>
      </c>
      <c r="C564" t="s">
        <v>650</v>
      </c>
      <c r="D564" t="s">
        <v>20</v>
      </c>
      <c r="E564" t="s">
        <v>51</v>
      </c>
      <c r="F564" t="s">
        <v>546</v>
      </c>
      <c r="G564" t="s">
        <v>613</v>
      </c>
      <c r="H564" t="s">
        <v>54</v>
      </c>
      <c r="I564">
        <v>20000</v>
      </c>
      <c r="J564">
        <v>0</v>
      </c>
      <c r="K564">
        <v>1</v>
      </c>
      <c r="L564" t="s">
        <v>25</v>
      </c>
      <c r="M564" t="s">
        <v>359</v>
      </c>
      <c r="N564">
        <v>2.85</v>
      </c>
      <c r="O564">
        <v>0</v>
      </c>
      <c r="P564" t="str">
        <f>IF(T[[#This Row],[qty_ordered]]&lt;&gt;T[[#This Row],[qty_received]],IF(T[[#This Row],[qty_received]]&gt;0,"Partial Received","Not Receviced"),"FullyReceived")</f>
        <v>Not Receviced</v>
      </c>
      <c r="Q564" t="str">
        <f>IF(T[[#This Row],[qty_received]]&lt;&gt;T[[#This Row],[qty_invoiced]],IF(T[[#This Row],[qty_invoiced]]&gt;0,"Partial Invoiced","Not Invoiced"),"Fully Invoiced")</f>
        <v>Partial Invoiced</v>
      </c>
      <c r="R564" t="str">
        <f>IFERROR(VLOOKUP(T[[#This Row],[warehouse]],Table2[],2,FALSE),"--")</f>
        <v>--</v>
      </c>
    </row>
    <row r="565" spans="1:18" x14ac:dyDescent="0.25">
      <c r="A565" t="s">
        <v>423</v>
      </c>
      <c r="B565" s="1">
        <v>43885</v>
      </c>
      <c r="C565" t="s">
        <v>651</v>
      </c>
      <c r="D565" t="s">
        <v>20</v>
      </c>
      <c r="E565" t="s">
        <v>51</v>
      </c>
      <c r="F565" t="s">
        <v>546</v>
      </c>
      <c r="G565" t="s">
        <v>613</v>
      </c>
      <c r="H565" t="s">
        <v>54</v>
      </c>
      <c r="I565">
        <v>2000</v>
      </c>
      <c r="J565">
        <v>0</v>
      </c>
      <c r="K565">
        <v>1</v>
      </c>
      <c r="L565" t="s">
        <v>25</v>
      </c>
      <c r="M565" t="s">
        <v>359</v>
      </c>
      <c r="N565">
        <v>2.9</v>
      </c>
      <c r="O565">
        <v>0</v>
      </c>
      <c r="P565" t="str">
        <f>IF(T[[#This Row],[qty_ordered]]&lt;&gt;T[[#This Row],[qty_received]],IF(T[[#This Row],[qty_received]]&gt;0,"Partial Received","Not Receviced"),"FullyReceived")</f>
        <v>Not Receviced</v>
      </c>
      <c r="Q565" t="str">
        <f>IF(T[[#This Row],[qty_received]]&lt;&gt;T[[#This Row],[qty_invoiced]],IF(T[[#This Row],[qty_invoiced]]&gt;0,"Partial Invoiced","Not Invoiced"),"Fully Invoiced")</f>
        <v>Partial Invoiced</v>
      </c>
      <c r="R565" t="str">
        <f>IFERROR(VLOOKUP(T[[#This Row],[warehouse]],Table2[],2,FALSE),"--")</f>
        <v>--</v>
      </c>
    </row>
    <row r="566" spans="1:18" x14ac:dyDescent="0.25">
      <c r="A566" t="s">
        <v>652</v>
      </c>
      <c r="B566" s="1">
        <v>43886</v>
      </c>
      <c r="C566" t="s">
        <v>653</v>
      </c>
      <c r="D566" t="s">
        <v>20</v>
      </c>
      <c r="E566" t="s">
        <v>66</v>
      </c>
      <c r="F566" t="s">
        <v>67</v>
      </c>
      <c r="G566" t="s">
        <v>68</v>
      </c>
      <c r="H566" t="s">
        <v>24</v>
      </c>
      <c r="I566">
        <v>400</v>
      </c>
      <c r="J566">
        <v>0</v>
      </c>
      <c r="K566">
        <v>0</v>
      </c>
      <c r="L566" t="s">
        <v>25</v>
      </c>
      <c r="M566" t="s">
        <v>132</v>
      </c>
      <c r="N566">
        <v>115000</v>
      </c>
      <c r="O566">
        <v>0</v>
      </c>
      <c r="P566" t="str">
        <f>IF(T[[#This Row],[qty_ordered]]&lt;&gt;T[[#This Row],[qty_received]],IF(T[[#This Row],[qty_received]]&gt;0,"Partial Received","Not Receviced"),"FullyReceived")</f>
        <v>Not Receviced</v>
      </c>
      <c r="Q566" t="str">
        <f>IF(T[[#This Row],[qty_received]]&lt;&gt;T[[#This Row],[qty_invoiced]],IF(T[[#This Row],[qty_invoiced]]&gt;0,"Partial Invoiced","Not Invoiced"),"Fully Invoiced")</f>
        <v>Fully Invoiced</v>
      </c>
      <c r="R566" t="str">
        <f>IFERROR(VLOOKUP(T[[#This Row],[warehouse]],Table2[],2,FALSE),"--")</f>
        <v>PZU Main Warehouse</v>
      </c>
    </row>
    <row r="567" spans="1:18" x14ac:dyDescent="0.25">
      <c r="A567" t="s">
        <v>224</v>
      </c>
      <c r="B567" s="1">
        <v>43887</v>
      </c>
      <c r="C567" t="s">
        <v>654</v>
      </c>
      <c r="D567" t="s">
        <v>20</v>
      </c>
      <c r="E567" t="s">
        <v>51</v>
      </c>
      <c r="F567" t="s">
        <v>183</v>
      </c>
      <c r="G567" t="s">
        <v>655</v>
      </c>
      <c r="H567" t="s">
        <v>54</v>
      </c>
      <c r="I567">
        <v>1729.28</v>
      </c>
      <c r="J567">
        <v>0</v>
      </c>
      <c r="K567">
        <v>1</v>
      </c>
      <c r="L567" t="s">
        <v>25</v>
      </c>
      <c r="M567" t="s">
        <v>533</v>
      </c>
      <c r="N567">
        <v>750</v>
      </c>
      <c r="O567">
        <v>0</v>
      </c>
      <c r="P567" t="str">
        <f>IF(T[[#This Row],[qty_ordered]]&lt;&gt;T[[#This Row],[qty_received]],IF(T[[#This Row],[qty_received]]&gt;0,"Partial Received","Not Receviced"),"FullyReceived")</f>
        <v>Not Receviced</v>
      </c>
      <c r="Q567" t="str">
        <f>IF(T[[#This Row],[qty_received]]&lt;&gt;T[[#This Row],[qty_invoiced]],IF(T[[#This Row],[qty_invoiced]]&gt;0,"Partial Invoiced","Not Invoiced"),"Fully Invoiced")</f>
        <v>Partial Invoiced</v>
      </c>
      <c r="R567" t="str">
        <f>IFERROR(VLOOKUP(T[[#This Row],[warehouse]],Table2[],2,FALSE),"--")</f>
        <v>--</v>
      </c>
    </row>
    <row r="568" spans="1:18" x14ac:dyDescent="0.25">
      <c r="A568" t="s">
        <v>252</v>
      </c>
      <c r="B568" s="1">
        <v>43849</v>
      </c>
      <c r="C568" t="s">
        <v>638</v>
      </c>
      <c r="D568" t="s">
        <v>88</v>
      </c>
      <c r="E568" t="s">
        <v>51</v>
      </c>
      <c r="F568" t="s">
        <v>183</v>
      </c>
      <c r="G568" t="s">
        <v>639</v>
      </c>
      <c r="H568" t="s">
        <v>54</v>
      </c>
      <c r="I568">
        <v>500</v>
      </c>
      <c r="J568">
        <v>0</v>
      </c>
      <c r="K568">
        <v>1</v>
      </c>
      <c r="L568" t="s">
        <v>25</v>
      </c>
      <c r="M568" t="s">
        <v>533</v>
      </c>
      <c r="N568">
        <v>850</v>
      </c>
      <c r="O568">
        <v>0</v>
      </c>
      <c r="P568" t="str">
        <f>IF(T[[#This Row],[qty_ordered]]&lt;&gt;T[[#This Row],[qty_received]],IF(T[[#This Row],[qty_received]]&gt;0,"Partial Received","Not Receviced"),"FullyReceived")</f>
        <v>Not Receviced</v>
      </c>
      <c r="Q568" t="str">
        <f>IF(T[[#This Row],[qty_received]]&lt;&gt;T[[#This Row],[qty_invoiced]],IF(T[[#This Row],[qty_invoiced]]&gt;0,"Partial Invoiced","Not Invoiced"),"Fully Invoiced")</f>
        <v>Partial Invoiced</v>
      </c>
      <c r="R568" t="str">
        <f>IFERROR(VLOOKUP(T[[#This Row],[warehouse]],Table2[],2,FALSE),"--")</f>
        <v>--</v>
      </c>
    </row>
    <row r="569" spans="1:18" x14ac:dyDescent="0.25">
      <c r="A569" t="s">
        <v>72</v>
      </c>
      <c r="B569" s="1">
        <v>43857</v>
      </c>
      <c r="C569" t="s">
        <v>656</v>
      </c>
      <c r="D569" t="s">
        <v>71</v>
      </c>
      <c r="E569" t="s">
        <v>51</v>
      </c>
      <c r="F569" t="s">
        <v>183</v>
      </c>
      <c r="G569" t="s">
        <v>657</v>
      </c>
      <c r="H569" t="s">
        <v>54</v>
      </c>
      <c r="I569">
        <v>400</v>
      </c>
      <c r="J569">
        <v>0</v>
      </c>
      <c r="K569">
        <v>1</v>
      </c>
      <c r="L569" t="s">
        <v>25</v>
      </c>
      <c r="M569" t="s">
        <v>533</v>
      </c>
      <c r="N569">
        <v>750</v>
      </c>
      <c r="O569">
        <v>0</v>
      </c>
      <c r="P569" t="str">
        <f>IF(T[[#This Row],[qty_ordered]]&lt;&gt;T[[#This Row],[qty_received]],IF(T[[#This Row],[qty_received]]&gt;0,"Partial Received","Not Receviced"),"FullyReceived")</f>
        <v>Not Receviced</v>
      </c>
      <c r="Q569" t="str">
        <f>IF(T[[#This Row],[qty_received]]&lt;&gt;T[[#This Row],[qty_invoiced]],IF(T[[#This Row],[qty_invoiced]]&gt;0,"Partial Invoiced","Not Invoiced"),"Fully Invoiced")</f>
        <v>Partial Invoiced</v>
      </c>
      <c r="R569" t="str">
        <f>IFERROR(VLOOKUP(T[[#This Row],[warehouse]],Table2[],2,FALSE),"--")</f>
        <v>--</v>
      </c>
    </row>
    <row r="570" spans="1:18" x14ac:dyDescent="0.25">
      <c r="A570" t="s">
        <v>658</v>
      </c>
      <c r="B570" s="1">
        <v>43888</v>
      </c>
      <c r="C570" t="s">
        <v>659</v>
      </c>
      <c r="D570" t="s">
        <v>20</v>
      </c>
      <c r="E570" t="s">
        <v>660</v>
      </c>
      <c r="F570" t="s">
        <v>661</v>
      </c>
      <c r="G570" t="s">
        <v>662</v>
      </c>
      <c r="H570" t="s">
        <v>663</v>
      </c>
      <c r="I570">
        <v>3141.5</v>
      </c>
      <c r="J570">
        <v>0</v>
      </c>
      <c r="K570">
        <v>0</v>
      </c>
      <c r="L570" t="s">
        <v>25</v>
      </c>
      <c r="M570" t="s">
        <v>132</v>
      </c>
      <c r="N570">
        <v>277</v>
      </c>
      <c r="O570">
        <v>0</v>
      </c>
      <c r="P570" t="str">
        <f>IF(T[[#This Row],[qty_ordered]]&lt;&gt;T[[#This Row],[qty_received]],IF(T[[#This Row],[qty_received]]&gt;0,"Partial Received","Not Receviced"),"FullyReceived")</f>
        <v>Not Receviced</v>
      </c>
      <c r="Q570" t="str">
        <f>IF(T[[#This Row],[qty_received]]&lt;&gt;T[[#This Row],[qty_invoiced]],IF(T[[#This Row],[qty_invoiced]]&gt;0,"Partial Invoiced","Not Invoiced"),"Fully Invoiced")</f>
        <v>Fully Invoiced</v>
      </c>
      <c r="R570" t="str">
        <f>IFERROR(VLOOKUP(T[[#This Row],[warehouse]],Table2[],2,FALSE),"--")</f>
        <v>SLAUGHTER HOUSE</v>
      </c>
    </row>
    <row r="571" spans="1:18" x14ac:dyDescent="0.25">
      <c r="A571" t="s">
        <v>658</v>
      </c>
      <c r="B571" s="1">
        <v>43888</v>
      </c>
      <c r="C571" t="s">
        <v>664</v>
      </c>
      <c r="D571" t="s">
        <v>20</v>
      </c>
      <c r="E571" t="s">
        <v>660</v>
      </c>
      <c r="F571" t="s">
        <v>661</v>
      </c>
      <c r="G571" t="s">
        <v>662</v>
      </c>
      <c r="H571" t="s">
        <v>663</v>
      </c>
      <c r="I571">
        <v>3024.9</v>
      </c>
      <c r="J571">
        <v>0</v>
      </c>
      <c r="K571">
        <v>0</v>
      </c>
      <c r="L571" t="s">
        <v>25</v>
      </c>
      <c r="M571" t="s">
        <v>132</v>
      </c>
      <c r="N571">
        <v>266.5</v>
      </c>
      <c r="O571">
        <v>0</v>
      </c>
      <c r="P571" t="str">
        <f>IF(T[[#This Row],[qty_ordered]]&lt;&gt;T[[#This Row],[qty_received]],IF(T[[#This Row],[qty_received]]&gt;0,"Partial Received","Not Receviced"),"FullyReceived")</f>
        <v>Not Receviced</v>
      </c>
      <c r="Q571" t="str">
        <f>IF(T[[#This Row],[qty_received]]&lt;&gt;T[[#This Row],[qty_invoiced]],IF(T[[#This Row],[qty_invoiced]]&gt;0,"Partial Invoiced","Not Invoiced"),"Fully Invoiced")</f>
        <v>Fully Invoiced</v>
      </c>
      <c r="R571" t="str">
        <f>IFERROR(VLOOKUP(T[[#This Row],[warehouse]],Table2[],2,FALSE),"--")</f>
        <v>SLAUGHTER HOUSE</v>
      </c>
    </row>
    <row r="572" spans="1:18" x14ac:dyDescent="0.25">
      <c r="A572" t="s">
        <v>423</v>
      </c>
      <c r="B572" s="1">
        <v>43608</v>
      </c>
      <c r="C572" t="s">
        <v>665</v>
      </c>
      <c r="D572" t="s">
        <v>71</v>
      </c>
      <c r="E572" t="s">
        <v>51</v>
      </c>
      <c r="F572" t="s">
        <v>52</v>
      </c>
      <c r="G572" t="s">
        <v>75</v>
      </c>
      <c r="H572" t="s">
        <v>54</v>
      </c>
      <c r="I572">
        <v>250</v>
      </c>
      <c r="J572">
        <v>0</v>
      </c>
      <c r="K572">
        <v>1</v>
      </c>
      <c r="L572" t="s">
        <v>25</v>
      </c>
      <c r="M572" t="s">
        <v>26</v>
      </c>
      <c r="N572">
        <v>6</v>
      </c>
      <c r="O572">
        <v>0</v>
      </c>
      <c r="P572" t="str">
        <f>IF(T[[#This Row],[qty_ordered]]&lt;&gt;T[[#This Row],[qty_received]],IF(T[[#This Row],[qty_received]]&gt;0,"Partial Received","Not Receviced"),"FullyReceived")</f>
        <v>Not Receviced</v>
      </c>
      <c r="Q572" t="str">
        <f>IF(T[[#This Row],[qty_received]]&lt;&gt;T[[#This Row],[qty_invoiced]],IF(T[[#This Row],[qty_invoiced]]&gt;0,"Partial Invoiced","Not Invoiced"),"Fully Invoiced")</f>
        <v>Partial Invoiced</v>
      </c>
      <c r="R572" t="str">
        <f>IFERROR(VLOOKUP(T[[#This Row],[warehouse]],Table2[],2,FALSE),"--")</f>
        <v>--</v>
      </c>
    </row>
    <row r="573" spans="1:18" x14ac:dyDescent="0.25">
      <c r="A573" t="s">
        <v>462</v>
      </c>
      <c r="B573" s="1">
        <v>43643</v>
      </c>
      <c r="C573" t="s">
        <v>504</v>
      </c>
      <c r="D573" t="s">
        <v>88</v>
      </c>
      <c r="E573" t="s">
        <v>51</v>
      </c>
      <c r="F573" t="s">
        <v>247</v>
      </c>
      <c r="G573" t="s">
        <v>247</v>
      </c>
      <c r="H573" t="s">
        <v>54</v>
      </c>
      <c r="I573">
        <v>50</v>
      </c>
      <c r="J573">
        <v>0</v>
      </c>
      <c r="K573">
        <v>1</v>
      </c>
      <c r="L573" t="s">
        <v>25</v>
      </c>
      <c r="M573" t="s">
        <v>359</v>
      </c>
      <c r="N573">
        <v>3000</v>
      </c>
      <c r="O573">
        <v>0</v>
      </c>
      <c r="P573" t="str">
        <f>IF(T[[#This Row],[qty_ordered]]&lt;&gt;T[[#This Row],[qty_received]],IF(T[[#This Row],[qty_received]]&gt;0,"Partial Received","Not Receviced"),"FullyReceived")</f>
        <v>Not Receviced</v>
      </c>
      <c r="Q573" t="str">
        <f>IF(T[[#This Row],[qty_received]]&lt;&gt;T[[#This Row],[qty_invoiced]],IF(T[[#This Row],[qty_invoiced]]&gt;0,"Partial Invoiced","Not Invoiced"),"Fully Invoiced")</f>
        <v>Partial Invoiced</v>
      </c>
      <c r="R573" t="str">
        <f>IFERROR(VLOOKUP(T[[#This Row],[warehouse]],Table2[],2,FALSE),"--")</f>
        <v>--</v>
      </c>
    </row>
    <row r="574" spans="1:18" x14ac:dyDescent="0.25">
      <c r="A574" t="s">
        <v>462</v>
      </c>
      <c r="B574" s="1">
        <v>43643</v>
      </c>
      <c r="C574" t="s">
        <v>504</v>
      </c>
      <c r="D574" t="s">
        <v>74</v>
      </c>
      <c r="E574" t="s">
        <v>51</v>
      </c>
      <c r="F574" t="s">
        <v>247</v>
      </c>
      <c r="G574" t="s">
        <v>247</v>
      </c>
      <c r="H574" t="s">
        <v>54</v>
      </c>
      <c r="I574">
        <v>450</v>
      </c>
      <c r="J574">
        <v>0</v>
      </c>
      <c r="K574">
        <v>1</v>
      </c>
      <c r="L574" t="s">
        <v>25</v>
      </c>
      <c r="M574" t="s">
        <v>359</v>
      </c>
      <c r="N574">
        <v>3000</v>
      </c>
      <c r="O574">
        <v>0</v>
      </c>
      <c r="P574" t="str">
        <f>IF(T[[#This Row],[qty_ordered]]&lt;&gt;T[[#This Row],[qty_received]],IF(T[[#This Row],[qty_received]]&gt;0,"Partial Received","Not Receviced"),"FullyReceived")</f>
        <v>Not Receviced</v>
      </c>
      <c r="Q574" t="str">
        <f>IF(T[[#This Row],[qty_received]]&lt;&gt;T[[#This Row],[qty_invoiced]],IF(T[[#This Row],[qty_invoiced]]&gt;0,"Partial Invoiced","Not Invoiced"),"Fully Invoiced")</f>
        <v>Partial Invoiced</v>
      </c>
      <c r="R574" t="str">
        <f>IFERROR(VLOOKUP(T[[#This Row],[warehouse]],Table2[],2,FALSE),"--")</f>
        <v>--</v>
      </c>
    </row>
    <row r="575" spans="1:18" x14ac:dyDescent="0.25">
      <c r="A575" t="s">
        <v>160</v>
      </c>
      <c r="B575" s="1">
        <v>43683</v>
      </c>
      <c r="C575" t="s">
        <v>666</v>
      </c>
      <c r="D575" t="s">
        <v>20</v>
      </c>
      <c r="E575" t="s">
        <v>30</v>
      </c>
      <c r="F575" t="s">
        <v>22</v>
      </c>
      <c r="G575" t="s">
        <v>23</v>
      </c>
      <c r="H575" t="s">
        <v>24</v>
      </c>
      <c r="I575">
        <v>750</v>
      </c>
      <c r="J575">
        <v>358.06</v>
      </c>
      <c r="K575">
        <v>358.06</v>
      </c>
      <c r="L575" t="s">
        <v>25</v>
      </c>
      <c r="M575" t="s">
        <v>26</v>
      </c>
      <c r="N575">
        <v>36000</v>
      </c>
      <c r="O575">
        <v>12890160</v>
      </c>
      <c r="P575" t="str">
        <f>IF(T[[#This Row],[qty_ordered]]&lt;&gt;T[[#This Row],[qty_received]],IF(T[[#This Row],[qty_received]]&gt;0,"Partial Received","Not Receviced"),"FullyReceived")</f>
        <v>Partial Received</v>
      </c>
      <c r="Q575" t="str">
        <f>IF(T[[#This Row],[qty_received]]&lt;&gt;T[[#This Row],[qty_invoiced]],IF(T[[#This Row],[qty_invoiced]]&gt;0,"Partial Invoiced","Not Invoiced"),"Fully Invoiced")</f>
        <v>Fully Invoiced</v>
      </c>
      <c r="R575" t="str">
        <f>IFERROR(VLOOKUP(T[[#This Row],[warehouse]],Table2[],2,FALSE),"--")</f>
        <v>Crusher KHA- SMA</v>
      </c>
    </row>
    <row r="576" spans="1:18" x14ac:dyDescent="0.25">
      <c r="A576" t="s">
        <v>160</v>
      </c>
      <c r="B576" s="1">
        <v>43683</v>
      </c>
      <c r="C576" t="s">
        <v>666</v>
      </c>
      <c r="D576" t="s">
        <v>71</v>
      </c>
      <c r="E576" t="s">
        <v>548</v>
      </c>
      <c r="F576" t="s">
        <v>22</v>
      </c>
      <c r="G576" t="s">
        <v>23</v>
      </c>
      <c r="H576" t="s">
        <v>24</v>
      </c>
      <c r="I576">
        <v>800.95</v>
      </c>
      <c r="J576">
        <v>800.95</v>
      </c>
      <c r="K576">
        <v>800.95</v>
      </c>
      <c r="L576" t="s">
        <v>25</v>
      </c>
      <c r="M576" t="s">
        <v>26</v>
      </c>
      <c r="N576">
        <v>40000</v>
      </c>
      <c r="O576">
        <v>29126160</v>
      </c>
      <c r="P576" t="str">
        <f>IF(T[[#This Row],[qty_ordered]]&lt;&gt;T[[#This Row],[qty_received]],IF(T[[#This Row],[qty_received]]&gt;0,"Partial Received","Not Receviced"),"FullyReceived")</f>
        <v>FullyReceived</v>
      </c>
      <c r="Q576" t="str">
        <f>IF(T[[#This Row],[qty_received]]&lt;&gt;T[[#This Row],[qty_invoiced]],IF(T[[#This Row],[qty_invoiced]]&gt;0,"Partial Invoiced","Not Invoiced"),"Fully Invoiced")</f>
        <v>Fully Invoiced</v>
      </c>
      <c r="R576" t="str">
        <f>IFERROR(VLOOKUP(T[[#This Row],[warehouse]],Table2[],2,FALSE),"--")</f>
        <v>Crusher Almosaly-ALB</v>
      </c>
    </row>
    <row r="577" spans="1:18" x14ac:dyDescent="0.25">
      <c r="A577" t="s">
        <v>153</v>
      </c>
      <c r="B577" s="1">
        <v>43584</v>
      </c>
      <c r="C577" t="s">
        <v>457</v>
      </c>
      <c r="D577" t="s">
        <v>71</v>
      </c>
      <c r="E577" t="s">
        <v>299</v>
      </c>
      <c r="F577" t="s">
        <v>300</v>
      </c>
      <c r="G577" t="s">
        <v>301</v>
      </c>
      <c r="H577" t="s">
        <v>24</v>
      </c>
      <c r="I577">
        <v>300</v>
      </c>
      <c r="J577">
        <v>237.52</v>
      </c>
      <c r="K577">
        <v>237.52</v>
      </c>
      <c r="L577" t="s">
        <v>25</v>
      </c>
      <c r="M577" t="s">
        <v>132</v>
      </c>
      <c r="N577">
        <v>40909</v>
      </c>
      <c r="O577">
        <v>9716705.6799999997</v>
      </c>
      <c r="P577" t="str">
        <f>IF(T[[#This Row],[qty_ordered]]&lt;&gt;T[[#This Row],[qty_received]],IF(T[[#This Row],[qty_received]]&gt;0,"Partial Received","Not Receviced"),"FullyReceived")</f>
        <v>Partial Received</v>
      </c>
      <c r="Q577" t="str">
        <f>IF(T[[#This Row],[qty_received]]&lt;&gt;T[[#This Row],[qty_invoiced]],IF(T[[#This Row],[qty_invoiced]]&gt;0,"Partial Invoiced","Not Invoiced"),"Fully Invoiced")</f>
        <v>Fully Invoiced</v>
      </c>
      <c r="R577" t="str">
        <f>IFERROR(VLOOKUP(T[[#This Row],[warehouse]],Table2[],2,FALSE),"--")</f>
        <v>Sifters KHA -Alsoug Almahaly</v>
      </c>
    </row>
    <row r="578" spans="1:18" x14ac:dyDescent="0.25">
      <c r="A578" t="s">
        <v>502</v>
      </c>
      <c r="B578" s="1">
        <v>43705</v>
      </c>
      <c r="C578" t="s">
        <v>503</v>
      </c>
      <c r="D578" t="s">
        <v>20</v>
      </c>
      <c r="E578" t="s">
        <v>51</v>
      </c>
      <c r="F578" t="s">
        <v>247</v>
      </c>
      <c r="G578" t="s">
        <v>247</v>
      </c>
      <c r="H578" t="s">
        <v>54</v>
      </c>
      <c r="I578">
        <v>450</v>
      </c>
      <c r="J578">
        <v>0</v>
      </c>
      <c r="K578">
        <v>1</v>
      </c>
      <c r="L578" t="s">
        <v>25</v>
      </c>
      <c r="M578" t="s">
        <v>359</v>
      </c>
      <c r="N578">
        <v>2500</v>
      </c>
      <c r="O578">
        <v>0</v>
      </c>
      <c r="P578" t="str">
        <f>IF(T[[#This Row],[qty_ordered]]&lt;&gt;T[[#This Row],[qty_received]],IF(T[[#This Row],[qty_received]]&gt;0,"Partial Received","Not Receviced"),"FullyReceived")</f>
        <v>Not Receviced</v>
      </c>
      <c r="Q578" t="str">
        <f>IF(T[[#This Row],[qty_received]]&lt;&gt;T[[#This Row],[qty_invoiced]],IF(T[[#This Row],[qty_invoiced]]&gt;0,"Partial Invoiced","Not Invoiced"),"Fully Invoiced")</f>
        <v>Partial Invoiced</v>
      </c>
      <c r="R578" t="str">
        <f>IFERROR(VLOOKUP(T[[#This Row],[warehouse]],Table2[],2,FALSE),"--")</f>
        <v>--</v>
      </c>
    </row>
    <row r="579" spans="1:18" x14ac:dyDescent="0.25">
      <c r="A579" t="s">
        <v>235</v>
      </c>
      <c r="B579" s="1">
        <v>43710</v>
      </c>
      <c r="C579" t="s">
        <v>667</v>
      </c>
      <c r="D579" t="s">
        <v>20</v>
      </c>
      <c r="E579" t="s">
        <v>51</v>
      </c>
      <c r="F579" t="s">
        <v>52</v>
      </c>
      <c r="G579" t="s">
        <v>75</v>
      </c>
      <c r="H579" t="s">
        <v>54</v>
      </c>
      <c r="I579">
        <v>10200</v>
      </c>
      <c r="J579">
        <v>0</v>
      </c>
      <c r="K579">
        <v>1</v>
      </c>
      <c r="L579" t="s">
        <v>25</v>
      </c>
      <c r="M579" t="s">
        <v>359</v>
      </c>
      <c r="N579">
        <v>2.85</v>
      </c>
      <c r="O579">
        <v>0</v>
      </c>
      <c r="P579" t="str">
        <f>IF(T[[#This Row],[qty_ordered]]&lt;&gt;T[[#This Row],[qty_received]],IF(T[[#This Row],[qty_received]]&gt;0,"Partial Received","Not Receviced"),"FullyReceived")</f>
        <v>Not Receviced</v>
      </c>
      <c r="Q579" t="str">
        <f>IF(T[[#This Row],[qty_received]]&lt;&gt;T[[#This Row],[qty_invoiced]],IF(T[[#This Row],[qty_invoiced]]&gt;0,"Partial Invoiced","Not Invoiced"),"Fully Invoiced")</f>
        <v>Partial Invoiced</v>
      </c>
      <c r="R579" t="str">
        <f>IFERROR(VLOOKUP(T[[#This Row],[warehouse]],Table2[],2,FALSE),"--")</f>
        <v>--</v>
      </c>
    </row>
    <row r="580" spans="1:18" x14ac:dyDescent="0.25">
      <c r="A580" t="s">
        <v>160</v>
      </c>
      <c r="B580" s="1">
        <v>43521</v>
      </c>
      <c r="C580" t="s">
        <v>470</v>
      </c>
      <c r="D580" t="s">
        <v>71</v>
      </c>
      <c r="E580" t="s">
        <v>51</v>
      </c>
      <c r="F580" t="s">
        <v>52</v>
      </c>
      <c r="G580" t="s">
        <v>75</v>
      </c>
      <c r="H580" t="s">
        <v>54</v>
      </c>
      <c r="I580">
        <v>249.1</v>
      </c>
      <c r="J580">
        <v>0</v>
      </c>
      <c r="K580">
        <v>1</v>
      </c>
      <c r="L580" t="s">
        <v>25</v>
      </c>
      <c r="M580" t="s">
        <v>26</v>
      </c>
      <c r="N580">
        <v>2055.8000000000002</v>
      </c>
      <c r="O580">
        <v>0</v>
      </c>
      <c r="P580" t="str">
        <f>IF(T[[#This Row],[qty_ordered]]&lt;&gt;T[[#This Row],[qty_received]],IF(T[[#This Row],[qty_received]]&gt;0,"Partial Received","Not Receviced"),"FullyReceived")</f>
        <v>Not Receviced</v>
      </c>
      <c r="Q580" t="str">
        <f>IF(T[[#This Row],[qty_received]]&lt;&gt;T[[#This Row],[qty_invoiced]],IF(T[[#This Row],[qty_invoiced]]&gt;0,"Partial Invoiced","Not Invoiced"),"Fully Invoiced")</f>
        <v>Partial Invoiced</v>
      </c>
      <c r="R580" t="str">
        <f>IFERROR(VLOOKUP(T[[#This Row],[warehouse]],Table2[],2,FALSE),"--")</f>
        <v>--</v>
      </c>
    </row>
    <row r="581" spans="1:18" x14ac:dyDescent="0.25">
      <c r="A581" t="s">
        <v>84</v>
      </c>
      <c r="B581" s="1">
        <v>43739</v>
      </c>
      <c r="C581" t="s">
        <v>668</v>
      </c>
      <c r="D581" t="s">
        <v>71</v>
      </c>
      <c r="E581" t="s">
        <v>321</v>
      </c>
      <c r="F581" t="s">
        <v>167</v>
      </c>
      <c r="G581" t="s">
        <v>156</v>
      </c>
      <c r="H581" t="s">
        <v>24</v>
      </c>
      <c r="I581">
        <v>526.31600000000003</v>
      </c>
      <c r="J581">
        <v>441.07</v>
      </c>
      <c r="K581">
        <v>441.07</v>
      </c>
      <c r="L581" t="s">
        <v>25</v>
      </c>
      <c r="M581" t="s">
        <v>132</v>
      </c>
      <c r="N581">
        <v>95000</v>
      </c>
      <c r="O581">
        <v>41901650</v>
      </c>
      <c r="P581" t="str">
        <f>IF(T[[#This Row],[qty_ordered]]&lt;&gt;T[[#This Row],[qty_received]],IF(T[[#This Row],[qty_received]]&gt;0,"Partial Received","Not Receviced"),"FullyReceived")</f>
        <v>Partial Received</v>
      </c>
      <c r="Q581" t="str">
        <f>IF(T[[#This Row],[qty_received]]&lt;&gt;T[[#This Row],[qty_invoiced]],IF(T[[#This Row],[qty_invoiced]]&gt;0,"Partial Invoiced","Not Invoiced"),"Fully Invoiced")</f>
        <v>Fully Invoiced</v>
      </c>
      <c r="R581" t="str">
        <f>IFERROR(VLOOKUP(T[[#This Row],[warehouse]],Table2[],2,FALSE),"--")</f>
        <v>Crusher KHA- Other</v>
      </c>
    </row>
    <row r="582" spans="1:18" x14ac:dyDescent="0.25">
      <c r="A582" t="s">
        <v>669</v>
      </c>
      <c r="B582" s="1">
        <v>43740</v>
      </c>
      <c r="C582" t="s">
        <v>670</v>
      </c>
      <c r="D582" t="s">
        <v>71</v>
      </c>
      <c r="E582" t="s">
        <v>51</v>
      </c>
      <c r="F582" t="s">
        <v>52</v>
      </c>
      <c r="G582" t="s">
        <v>75</v>
      </c>
      <c r="H582" t="s">
        <v>54</v>
      </c>
      <c r="I582">
        <v>10827</v>
      </c>
      <c r="J582">
        <v>0</v>
      </c>
      <c r="K582">
        <v>1</v>
      </c>
      <c r="L582" t="s">
        <v>25</v>
      </c>
      <c r="M582" t="s">
        <v>359</v>
      </c>
      <c r="N582">
        <v>22.1568</v>
      </c>
      <c r="O582">
        <v>0</v>
      </c>
      <c r="P582" t="str">
        <f>IF(T[[#This Row],[qty_ordered]]&lt;&gt;T[[#This Row],[qty_received]],IF(T[[#This Row],[qty_received]]&gt;0,"Partial Received","Not Receviced"),"FullyReceived")</f>
        <v>Not Receviced</v>
      </c>
      <c r="Q582" t="str">
        <f>IF(T[[#This Row],[qty_received]]&lt;&gt;T[[#This Row],[qty_invoiced]],IF(T[[#This Row],[qty_invoiced]]&gt;0,"Partial Invoiced","Not Invoiced"),"Fully Invoiced")</f>
        <v>Partial Invoiced</v>
      </c>
      <c r="R582" t="str">
        <f>IFERROR(VLOOKUP(T[[#This Row],[warehouse]],Table2[],2,FALSE),"--")</f>
        <v>--</v>
      </c>
    </row>
    <row r="583" spans="1:18" x14ac:dyDescent="0.25">
      <c r="A583" t="s">
        <v>502</v>
      </c>
      <c r="B583" s="1">
        <v>43705</v>
      </c>
      <c r="C583" t="s">
        <v>503</v>
      </c>
      <c r="D583" t="s">
        <v>100</v>
      </c>
      <c r="E583" t="s">
        <v>51</v>
      </c>
      <c r="F583" t="s">
        <v>247</v>
      </c>
      <c r="G583" t="s">
        <v>247</v>
      </c>
      <c r="H583" t="s">
        <v>54</v>
      </c>
      <c r="I583">
        <v>500</v>
      </c>
      <c r="J583">
        <v>0</v>
      </c>
      <c r="K583">
        <v>1</v>
      </c>
      <c r="L583" t="s">
        <v>25</v>
      </c>
      <c r="M583" t="s">
        <v>359</v>
      </c>
      <c r="N583">
        <v>2500</v>
      </c>
      <c r="O583">
        <v>0</v>
      </c>
      <c r="P583" t="str">
        <f>IF(T[[#This Row],[qty_ordered]]&lt;&gt;T[[#This Row],[qty_received]],IF(T[[#This Row],[qty_received]]&gt;0,"Partial Received","Not Receviced"),"FullyReceived")</f>
        <v>Not Receviced</v>
      </c>
      <c r="Q583" t="str">
        <f>IF(T[[#This Row],[qty_received]]&lt;&gt;T[[#This Row],[qty_invoiced]],IF(T[[#This Row],[qty_invoiced]]&gt;0,"Partial Invoiced","Not Invoiced"),"Fully Invoiced")</f>
        <v>Partial Invoiced</v>
      </c>
      <c r="R583" t="str">
        <f>IFERROR(VLOOKUP(T[[#This Row],[warehouse]],Table2[],2,FALSE),"--")</f>
        <v>--</v>
      </c>
    </row>
    <row r="584" spans="1:18" x14ac:dyDescent="0.25">
      <c r="A584" t="s">
        <v>560</v>
      </c>
      <c r="B584" s="1">
        <v>43809</v>
      </c>
      <c r="C584" t="s">
        <v>562</v>
      </c>
      <c r="D584" t="s">
        <v>595</v>
      </c>
      <c r="E584" t="s">
        <v>51</v>
      </c>
      <c r="F584" t="s">
        <v>164</v>
      </c>
      <c r="G584" t="s">
        <v>164</v>
      </c>
      <c r="H584" t="s">
        <v>54</v>
      </c>
      <c r="I584">
        <v>34</v>
      </c>
      <c r="J584">
        <v>0</v>
      </c>
      <c r="K584">
        <v>1</v>
      </c>
      <c r="L584" t="s">
        <v>25</v>
      </c>
      <c r="M584" t="s">
        <v>359</v>
      </c>
      <c r="N584">
        <v>420</v>
      </c>
      <c r="O584">
        <v>0</v>
      </c>
      <c r="P584" t="str">
        <f>IF(T[[#This Row],[qty_ordered]]&lt;&gt;T[[#This Row],[qty_received]],IF(T[[#This Row],[qty_received]]&gt;0,"Partial Received","Not Receviced"),"FullyReceived")</f>
        <v>Not Receviced</v>
      </c>
      <c r="Q584" t="str">
        <f>IF(T[[#This Row],[qty_received]]&lt;&gt;T[[#This Row],[qty_invoiced]],IF(T[[#This Row],[qty_invoiced]]&gt;0,"Partial Invoiced","Not Invoiced"),"Fully Invoiced")</f>
        <v>Partial Invoiced</v>
      </c>
      <c r="R584" t="str">
        <f>IFERROR(VLOOKUP(T[[#This Row],[warehouse]],Table2[],2,FALSE),"--")</f>
        <v>--</v>
      </c>
    </row>
    <row r="585" spans="1:18" x14ac:dyDescent="0.25">
      <c r="A585" t="s">
        <v>560</v>
      </c>
      <c r="B585" s="1">
        <v>43809</v>
      </c>
      <c r="C585" t="s">
        <v>562</v>
      </c>
      <c r="D585" t="s">
        <v>596</v>
      </c>
      <c r="E585" t="s">
        <v>51</v>
      </c>
      <c r="F585" t="s">
        <v>164</v>
      </c>
      <c r="G585" t="s">
        <v>164</v>
      </c>
      <c r="H585" t="s">
        <v>54</v>
      </c>
      <c r="I585">
        <v>192</v>
      </c>
      <c r="J585">
        <v>0</v>
      </c>
      <c r="K585">
        <v>1</v>
      </c>
      <c r="L585" t="s">
        <v>25</v>
      </c>
      <c r="M585" t="s">
        <v>359</v>
      </c>
      <c r="N585">
        <v>275</v>
      </c>
      <c r="O585">
        <v>0</v>
      </c>
      <c r="P585" t="str">
        <f>IF(T[[#This Row],[qty_ordered]]&lt;&gt;T[[#This Row],[qty_received]],IF(T[[#This Row],[qty_received]]&gt;0,"Partial Received","Not Receviced"),"FullyReceived")</f>
        <v>Not Receviced</v>
      </c>
      <c r="Q585" t="str">
        <f>IF(T[[#This Row],[qty_received]]&lt;&gt;T[[#This Row],[qty_invoiced]],IF(T[[#This Row],[qty_invoiced]]&gt;0,"Partial Invoiced","Not Invoiced"),"Fully Invoiced")</f>
        <v>Partial Invoiced</v>
      </c>
      <c r="R585" t="str">
        <f>IFERROR(VLOOKUP(T[[#This Row],[warehouse]],Table2[],2,FALSE),"--")</f>
        <v>--</v>
      </c>
    </row>
    <row r="586" spans="1:18" x14ac:dyDescent="0.25">
      <c r="A586" t="s">
        <v>560</v>
      </c>
      <c r="B586" s="1">
        <v>43809</v>
      </c>
      <c r="C586" t="s">
        <v>562</v>
      </c>
      <c r="D586" t="s">
        <v>507</v>
      </c>
      <c r="E586" t="s">
        <v>51</v>
      </c>
      <c r="F586" t="s">
        <v>164</v>
      </c>
      <c r="G586" t="s">
        <v>164</v>
      </c>
      <c r="H586" t="s">
        <v>54</v>
      </c>
      <c r="I586">
        <v>170</v>
      </c>
      <c r="J586">
        <v>0</v>
      </c>
      <c r="K586">
        <v>1</v>
      </c>
      <c r="L586" t="s">
        <v>25</v>
      </c>
      <c r="M586" t="s">
        <v>359</v>
      </c>
      <c r="N586">
        <v>429.17649999999998</v>
      </c>
      <c r="O586">
        <v>0</v>
      </c>
      <c r="P586" t="str">
        <f>IF(T[[#This Row],[qty_ordered]]&lt;&gt;T[[#This Row],[qty_received]],IF(T[[#This Row],[qty_received]]&gt;0,"Partial Received","Not Receviced"),"FullyReceived")</f>
        <v>Not Receviced</v>
      </c>
      <c r="Q586" t="str">
        <f>IF(T[[#This Row],[qty_received]]&lt;&gt;T[[#This Row],[qty_invoiced]],IF(T[[#This Row],[qty_invoiced]]&gt;0,"Partial Invoiced","Not Invoiced"),"Fully Invoiced")</f>
        <v>Partial Invoiced</v>
      </c>
      <c r="R586" t="str">
        <f>IFERROR(VLOOKUP(T[[#This Row],[warehouse]],Table2[],2,FALSE),"--")</f>
        <v>--</v>
      </c>
    </row>
    <row r="587" spans="1:18" x14ac:dyDescent="0.25">
      <c r="A587" t="s">
        <v>560</v>
      </c>
      <c r="B587" s="1">
        <v>43809</v>
      </c>
      <c r="C587" t="s">
        <v>562</v>
      </c>
      <c r="D587" t="s">
        <v>508</v>
      </c>
      <c r="E587" t="s">
        <v>51</v>
      </c>
      <c r="F587" t="s">
        <v>164</v>
      </c>
      <c r="G587" t="s">
        <v>164</v>
      </c>
      <c r="H587" t="s">
        <v>54</v>
      </c>
      <c r="I587">
        <v>92</v>
      </c>
      <c r="J587">
        <v>0</v>
      </c>
      <c r="K587">
        <v>1</v>
      </c>
      <c r="L587" t="s">
        <v>25</v>
      </c>
      <c r="M587" t="s">
        <v>359</v>
      </c>
      <c r="N587">
        <v>277.7174</v>
      </c>
      <c r="O587">
        <v>0</v>
      </c>
      <c r="P587" t="str">
        <f>IF(T[[#This Row],[qty_ordered]]&lt;&gt;T[[#This Row],[qty_received]],IF(T[[#This Row],[qty_received]]&gt;0,"Partial Received","Not Receviced"),"FullyReceived")</f>
        <v>Not Receviced</v>
      </c>
      <c r="Q587" t="str">
        <f>IF(T[[#This Row],[qty_received]]&lt;&gt;T[[#This Row],[qty_invoiced]],IF(T[[#This Row],[qty_invoiced]]&gt;0,"Partial Invoiced","Not Invoiced"),"Fully Invoiced")</f>
        <v>Partial Invoiced</v>
      </c>
      <c r="R587" t="str">
        <f>IFERROR(VLOOKUP(T[[#This Row],[warehouse]],Table2[],2,FALSE),"--")</f>
        <v>--</v>
      </c>
    </row>
    <row r="588" spans="1:18" x14ac:dyDescent="0.25">
      <c r="A588" t="s">
        <v>423</v>
      </c>
      <c r="B588" s="1">
        <v>43850</v>
      </c>
      <c r="C588" t="s">
        <v>647</v>
      </c>
      <c r="D588" t="s">
        <v>71</v>
      </c>
      <c r="E588" t="s">
        <v>51</v>
      </c>
      <c r="F588" t="s">
        <v>546</v>
      </c>
      <c r="G588" t="s">
        <v>613</v>
      </c>
      <c r="H588" t="s">
        <v>54</v>
      </c>
      <c r="I588">
        <v>5000</v>
      </c>
      <c r="J588">
        <v>0</v>
      </c>
      <c r="K588">
        <v>1</v>
      </c>
      <c r="L588" t="s">
        <v>25</v>
      </c>
      <c r="M588" t="s">
        <v>359</v>
      </c>
      <c r="N588">
        <v>2.8</v>
      </c>
      <c r="O588">
        <v>0</v>
      </c>
      <c r="P588" t="str">
        <f>IF(T[[#This Row],[qty_ordered]]&lt;&gt;T[[#This Row],[qty_received]],IF(T[[#This Row],[qty_received]]&gt;0,"Partial Received","Not Receviced"),"FullyReceived")</f>
        <v>Not Receviced</v>
      </c>
      <c r="Q588" t="str">
        <f>IF(T[[#This Row],[qty_received]]&lt;&gt;T[[#This Row],[qty_invoiced]],IF(T[[#This Row],[qty_invoiced]]&gt;0,"Partial Invoiced","Not Invoiced"),"Fully Invoiced")</f>
        <v>Partial Invoiced</v>
      </c>
      <c r="R588" t="str">
        <f>IFERROR(VLOOKUP(T[[#This Row],[warehouse]],Table2[],2,FALSE),"--")</f>
        <v>--</v>
      </c>
    </row>
    <row r="589" spans="1:18" x14ac:dyDescent="0.25">
      <c r="A589" t="s">
        <v>423</v>
      </c>
      <c r="B589" s="1">
        <v>43850</v>
      </c>
      <c r="C589" t="s">
        <v>647</v>
      </c>
      <c r="D589" t="s">
        <v>100</v>
      </c>
      <c r="E589" t="s">
        <v>51</v>
      </c>
      <c r="F589" t="s">
        <v>546</v>
      </c>
      <c r="G589" t="s">
        <v>613</v>
      </c>
      <c r="H589" t="s">
        <v>54</v>
      </c>
      <c r="I589">
        <v>3000</v>
      </c>
      <c r="J589">
        <v>0</v>
      </c>
      <c r="K589">
        <v>1</v>
      </c>
      <c r="L589" t="s">
        <v>25</v>
      </c>
      <c r="M589" t="s">
        <v>359</v>
      </c>
      <c r="N589">
        <v>2.9</v>
      </c>
      <c r="O589">
        <v>0</v>
      </c>
      <c r="P589" t="str">
        <f>IF(T[[#This Row],[qty_ordered]]&lt;&gt;T[[#This Row],[qty_received]],IF(T[[#This Row],[qty_received]]&gt;0,"Partial Received","Not Receviced"),"FullyReceived")</f>
        <v>Not Receviced</v>
      </c>
      <c r="Q589" t="str">
        <f>IF(T[[#This Row],[qty_received]]&lt;&gt;T[[#This Row],[qty_invoiced]],IF(T[[#This Row],[qty_invoiced]]&gt;0,"Partial Invoiced","Not Invoiced"),"Fully Invoiced")</f>
        <v>Partial Invoiced</v>
      </c>
      <c r="R589" t="str">
        <f>IFERROR(VLOOKUP(T[[#This Row],[warehouse]],Table2[],2,FALSE),"--")</f>
        <v>--</v>
      </c>
    </row>
    <row r="590" spans="1:18" x14ac:dyDescent="0.25">
      <c r="A590" t="s">
        <v>658</v>
      </c>
      <c r="B590" s="1">
        <v>43888</v>
      </c>
      <c r="C590" t="s">
        <v>671</v>
      </c>
      <c r="D590" t="s">
        <v>20</v>
      </c>
      <c r="E590" t="s">
        <v>660</v>
      </c>
      <c r="F590" t="s">
        <v>661</v>
      </c>
      <c r="G590" t="s">
        <v>662</v>
      </c>
      <c r="H590" t="s">
        <v>663</v>
      </c>
      <c r="I590">
        <v>3073.6</v>
      </c>
      <c r="J590">
        <v>0</v>
      </c>
      <c r="K590">
        <v>0</v>
      </c>
      <c r="L590" t="s">
        <v>25</v>
      </c>
      <c r="M590" t="s">
        <v>132</v>
      </c>
      <c r="N590">
        <v>300</v>
      </c>
      <c r="O590">
        <v>0</v>
      </c>
      <c r="P590" t="str">
        <f>IF(T[[#This Row],[qty_ordered]]&lt;&gt;T[[#This Row],[qty_received]],IF(T[[#This Row],[qty_received]]&gt;0,"Partial Received","Not Receviced"),"FullyReceived")</f>
        <v>Not Receviced</v>
      </c>
      <c r="Q590" t="str">
        <f>IF(T[[#This Row],[qty_received]]&lt;&gt;T[[#This Row],[qty_invoiced]],IF(T[[#This Row],[qty_invoiced]]&gt;0,"Partial Invoiced","Not Invoiced"),"Fully Invoiced")</f>
        <v>Fully Invoiced</v>
      </c>
      <c r="R590" t="str">
        <f>IFERROR(VLOOKUP(T[[#This Row],[warehouse]],Table2[],2,FALSE),"--")</f>
        <v>SLAUGHTER HOUSE</v>
      </c>
    </row>
    <row r="591" spans="1:18" x14ac:dyDescent="0.25">
      <c r="A591" t="s">
        <v>235</v>
      </c>
      <c r="B591" s="1">
        <v>43849</v>
      </c>
      <c r="C591" t="s">
        <v>672</v>
      </c>
      <c r="D591" t="s">
        <v>100</v>
      </c>
      <c r="E591" t="s">
        <v>51</v>
      </c>
      <c r="F591" t="s">
        <v>546</v>
      </c>
      <c r="G591" t="s">
        <v>613</v>
      </c>
      <c r="H591" t="s">
        <v>54</v>
      </c>
      <c r="I591">
        <v>5000</v>
      </c>
      <c r="J591">
        <v>0</v>
      </c>
      <c r="K591">
        <v>1</v>
      </c>
      <c r="L591" t="s">
        <v>25</v>
      </c>
      <c r="M591" t="s">
        <v>533</v>
      </c>
      <c r="N591">
        <v>2.85</v>
      </c>
      <c r="O591">
        <v>0</v>
      </c>
      <c r="P591" t="str">
        <f>IF(T[[#This Row],[qty_ordered]]&lt;&gt;T[[#This Row],[qty_received]],IF(T[[#This Row],[qty_received]]&gt;0,"Partial Received","Not Receviced"),"FullyReceived")</f>
        <v>Not Receviced</v>
      </c>
      <c r="Q591" t="str">
        <f>IF(T[[#This Row],[qty_received]]&lt;&gt;T[[#This Row],[qty_invoiced]],IF(T[[#This Row],[qty_invoiced]]&gt;0,"Partial Invoiced","Not Invoiced"),"Fully Invoiced")</f>
        <v>Partial Invoiced</v>
      </c>
      <c r="R591" t="str">
        <f>IFERROR(VLOOKUP(T[[#This Row],[warehouse]],Table2[],2,FALSE),"--")</f>
        <v>--</v>
      </c>
    </row>
    <row r="592" spans="1:18" x14ac:dyDescent="0.25">
      <c r="A592" t="s">
        <v>235</v>
      </c>
      <c r="B592" s="1">
        <v>43849</v>
      </c>
      <c r="C592" t="s">
        <v>672</v>
      </c>
      <c r="D592" t="s">
        <v>88</v>
      </c>
      <c r="E592" t="s">
        <v>51</v>
      </c>
      <c r="F592" t="s">
        <v>546</v>
      </c>
      <c r="G592" t="s">
        <v>613</v>
      </c>
      <c r="H592" t="s">
        <v>54</v>
      </c>
      <c r="I592">
        <v>5000</v>
      </c>
      <c r="J592">
        <v>0</v>
      </c>
      <c r="K592">
        <v>1</v>
      </c>
      <c r="L592" t="s">
        <v>25</v>
      </c>
      <c r="M592" t="s">
        <v>533</v>
      </c>
      <c r="N592">
        <v>2.85</v>
      </c>
      <c r="O592">
        <v>0</v>
      </c>
      <c r="P592" t="str">
        <f>IF(T[[#This Row],[qty_ordered]]&lt;&gt;T[[#This Row],[qty_received]],IF(T[[#This Row],[qty_received]]&gt;0,"Partial Received","Not Receviced"),"FullyReceived")</f>
        <v>Not Receviced</v>
      </c>
      <c r="Q592" t="str">
        <f>IF(T[[#This Row],[qty_received]]&lt;&gt;T[[#This Row],[qty_invoiced]],IF(T[[#This Row],[qty_invoiced]]&gt;0,"Partial Invoiced","Not Invoiced"),"Fully Invoiced")</f>
        <v>Partial Invoiced</v>
      </c>
      <c r="R592" t="str">
        <f>IFERROR(VLOOKUP(T[[#This Row],[warehouse]],Table2[],2,FALSE),"--")</f>
        <v>--</v>
      </c>
    </row>
    <row r="593" spans="1:18" x14ac:dyDescent="0.25">
      <c r="A593" t="s">
        <v>669</v>
      </c>
      <c r="B593" s="1">
        <v>43891</v>
      </c>
      <c r="C593" t="s">
        <v>673</v>
      </c>
      <c r="D593" t="s">
        <v>20</v>
      </c>
      <c r="E593" t="s">
        <v>51</v>
      </c>
      <c r="F593" t="s">
        <v>674</v>
      </c>
      <c r="G593" t="s">
        <v>674</v>
      </c>
      <c r="H593" t="s">
        <v>54</v>
      </c>
      <c r="I593">
        <v>12000</v>
      </c>
      <c r="J593">
        <v>0</v>
      </c>
      <c r="K593">
        <v>1</v>
      </c>
      <c r="L593" t="s">
        <v>25</v>
      </c>
      <c r="M593" t="s">
        <v>533</v>
      </c>
      <c r="N593">
        <v>750</v>
      </c>
      <c r="O593">
        <v>0</v>
      </c>
      <c r="P593" t="str">
        <f>IF(T[[#This Row],[qty_ordered]]&lt;&gt;T[[#This Row],[qty_received]],IF(T[[#This Row],[qty_received]]&gt;0,"Partial Received","Not Receviced"),"FullyReceived")</f>
        <v>Not Receviced</v>
      </c>
      <c r="Q593" t="str">
        <f>IF(T[[#This Row],[qty_received]]&lt;&gt;T[[#This Row],[qty_invoiced]],IF(T[[#This Row],[qty_invoiced]]&gt;0,"Partial Invoiced","Not Invoiced"),"Fully Invoiced")</f>
        <v>Partial Invoiced</v>
      </c>
      <c r="R593" t="str">
        <f>IFERROR(VLOOKUP(T[[#This Row],[warehouse]],Table2[],2,FALSE),"--")</f>
        <v>--</v>
      </c>
    </row>
    <row r="594" spans="1:18" x14ac:dyDescent="0.25">
      <c r="A594" t="s">
        <v>153</v>
      </c>
      <c r="B594" s="1">
        <v>43807</v>
      </c>
      <c r="C594" t="s">
        <v>547</v>
      </c>
      <c r="D594" t="s">
        <v>88</v>
      </c>
      <c r="E594" t="s">
        <v>675</v>
      </c>
      <c r="F594" t="s">
        <v>167</v>
      </c>
      <c r="G594" t="s">
        <v>156</v>
      </c>
      <c r="H594" t="s">
        <v>24</v>
      </c>
      <c r="I594">
        <v>357.14299999999997</v>
      </c>
      <c r="J594">
        <v>0</v>
      </c>
      <c r="K594">
        <v>0</v>
      </c>
      <c r="L594" t="s">
        <v>25</v>
      </c>
      <c r="M594" t="s">
        <v>132</v>
      </c>
      <c r="N594">
        <v>140000</v>
      </c>
      <c r="O594">
        <v>0</v>
      </c>
      <c r="P594" t="str">
        <f>IF(T[[#This Row],[qty_ordered]]&lt;&gt;T[[#This Row],[qty_received]],IF(T[[#This Row],[qty_received]]&gt;0,"Partial Received","Not Receviced"),"FullyReceived")</f>
        <v>Not Receviced</v>
      </c>
      <c r="Q594" t="str">
        <f>IF(T[[#This Row],[qty_received]]&lt;&gt;T[[#This Row],[qty_invoiced]],IF(T[[#This Row],[qty_invoiced]]&gt;0,"Partial Invoiced","Not Invoiced"),"Fully Invoiced")</f>
        <v>Fully Invoiced</v>
      </c>
      <c r="R594" t="str">
        <f>IFERROR(VLOOKUP(T[[#This Row],[warehouse]],Table2[],2,FALSE),"--")</f>
        <v>CRUSHI- OTACHO-BAGIR</v>
      </c>
    </row>
    <row r="595" spans="1:18" x14ac:dyDescent="0.25">
      <c r="A595" t="s">
        <v>235</v>
      </c>
      <c r="B595" s="1">
        <v>43885</v>
      </c>
      <c r="C595" t="s">
        <v>676</v>
      </c>
      <c r="D595" t="s">
        <v>71</v>
      </c>
      <c r="E595" t="s">
        <v>51</v>
      </c>
      <c r="F595" t="s">
        <v>546</v>
      </c>
      <c r="G595" t="s">
        <v>677</v>
      </c>
      <c r="H595" t="s">
        <v>54</v>
      </c>
      <c r="I595">
        <v>7000</v>
      </c>
      <c r="J595">
        <v>0</v>
      </c>
      <c r="K595">
        <v>1</v>
      </c>
      <c r="L595" t="s">
        <v>25</v>
      </c>
      <c r="M595" t="s">
        <v>359</v>
      </c>
      <c r="N595">
        <v>2.85</v>
      </c>
      <c r="O595">
        <v>0</v>
      </c>
      <c r="P595" t="str">
        <f>IF(T[[#This Row],[qty_ordered]]&lt;&gt;T[[#This Row],[qty_received]],IF(T[[#This Row],[qty_received]]&gt;0,"Partial Received","Not Receviced"),"FullyReceived")</f>
        <v>Not Receviced</v>
      </c>
      <c r="Q595" t="str">
        <f>IF(T[[#This Row],[qty_received]]&lt;&gt;T[[#This Row],[qty_invoiced]],IF(T[[#This Row],[qty_invoiced]]&gt;0,"Partial Invoiced","Not Invoiced"),"Fully Invoiced")</f>
        <v>Partial Invoiced</v>
      </c>
      <c r="R595" t="str">
        <f>IFERROR(VLOOKUP(T[[#This Row],[warehouse]],Table2[],2,FALSE),"--")</f>
        <v>--</v>
      </c>
    </row>
    <row r="596" spans="1:18" x14ac:dyDescent="0.25">
      <c r="A596" t="s">
        <v>235</v>
      </c>
      <c r="B596" s="1">
        <v>43921</v>
      </c>
      <c r="C596" t="s">
        <v>678</v>
      </c>
      <c r="D596" t="s">
        <v>20</v>
      </c>
      <c r="E596" t="s">
        <v>51</v>
      </c>
      <c r="F596" t="s">
        <v>546</v>
      </c>
      <c r="G596" t="s">
        <v>613</v>
      </c>
      <c r="H596" t="s">
        <v>54</v>
      </c>
      <c r="I596">
        <v>5000</v>
      </c>
      <c r="J596">
        <v>0</v>
      </c>
      <c r="K596">
        <v>1</v>
      </c>
      <c r="L596" t="s">
        <v>25</v>
      </c>
      <c r="M596" t="s">
        <v>359</v>
      </c>
      <c r="N596">
        <v>2.85</v>
      </c>
      <c r="O596">
        <v>0</v>
      </c>
      <c r="P596" t="str">
        <f>IF(T[[#This Row],[qty_ordered]]&lt;&gt;T[[#This Row],[qty_received]],IF(T[[#This Row],[qty_received]]&gt;0,"Partial Received","Not Receviced"),"FullyReceived")</f>
        <v>Not Receviced</v>
      </c>
      <c r="Q596" t="str">
        <f>IF(T[[#This Row],[qty_received]]&lt;&gt;T[[#This Row],[qty_invoiced]],IF(T[[#This Row],[qty_invoiced]]&gt;0,"Partial Invoiced","Not Invoiced"),"Fully Invoiced")</f>
        <v>Partial Invoiced</v>
      </c>
      <c r="R596" t="str">
        <f>IFERROR(VLOOKUP(T[[#This Row],[warehouse]],Table2[],2,FALSE),"--")</f>
        <v>--</v>
      </c>
    </row>
    <row r="597" spans="1:18" x14ac:dyDescent="0.25">
      <c r="A597" t="s">
        <v>235</v>
      </c>
      <c r="B597" s="1">
        <v>43921</v>
      </c>
      <c r="C597" t="s">
        <v>679</v>
      </c>
      <c r="D597" t="s">
        <v>20</v>
      </c>
      <c r="E597" t="s">
        <v>51</v>
      </c>
      <c r="F597" t="s">
        <v>546</v>
      </c>
      <c r="G597" t="s">
        <v>613</v>
      </c>
      <c r="H597" t="s">
        <v>54</v>
      </c>
      <c r="I597">
        <v>30000</v>
      </c>
      <c r="J597">
        <v>0</v>
      </c>
      <c r="K597">
        <v>1</v>
      </c>
      <c r="L597" t="s">
        <v>25</v>
      </c>
      <c r="M597" t="s">
        <v>359</v>
      </c>
      <c r="N597">
        <v>2.85</v>
      </c>
      <c r="O597">
        <v>0</v>
      </c>
      <c r="P597" t="str">
        <f>IF(T[[#This Row],[qty_ordered]]&lt;&gt;T[[#This Row],[qty_received]],IF(T[[#This Row],[qty_received]]&gt;0,"Partial Received","Not Receviced"),"FullyReceived")</f>
        <v>Not Receviced</v>
      </c>
      <c r="Q597" t="str">
        <f>IF(T[[#This Row],[qty_received]]&lt;&gt;T[[#This Row],[qty_invoiced]],IF(T[[#This Row],[qty_invoiced]]&gt;0,"Partial Invoiced","Not Invoiced"),"Fully Invoiced")</f>
        <v>Partial Invoiced</v>
      </c>
      <c r="R597" t="str">
        <f>IFERROR(VLOOKUP(T[[#This Row],[warehouse]],Table2[],2,FALSE),"--")</f>
        <v>--</v>
      </c>
    </row>
    <row r="598" spans="1:18" x14ac:dyDescent="0.25">
      <c r="A598" t="s">
        <v>534</v>
      </c>
      <c r="B598" s="1">
        <v>43815</v>
      </c>
      <c r="C598" t="s">
        <v>616</v>
      </c>
      <c r="D598" t="s">
        <v>74</v>
      </c>
      <c r="E598" t="s">
        <v>28</v>
      </c>
      <c r="F598" t="s">
        <v>22</v>
      </c>
      <c r="G598" t="s">
        <v>23</v>
      </c>
      <c r="H598" t="s">
        <v>24</v>
      </c>
      <c r="I598">
        <v>1000</v>
      </c>
      <c r="J598">
        <v>672.2</v>
      </c>
      <c r="K598">
        <v>672.2</v>
      </c>
      <c r="L598" t="s">
        <v>25</v>
      </c>
      <c r="M598" t="s">
        <v>132</v>
      </c>
      <c r="N598">
        <v>80000</v>
      </c>
      <c r="O598">
        <v>53776000</v>
      </c>
      <c r="P598" t="str">
        <f>IF(T[[#This Row],[qty_ordered]]&lt;&gt;T[[#This Row],[qty_received]],IF(T[[#This Row],[qty_received]]&gt;0,"Partial Received","Not Receviced"),"FullyReceived")</f>
        <v>Partial Received</v>
      </c>
      <c r="Q598" t="str">
        <f>IF(T[[#This Row],[qty_received]]&lt;&gt;T[[#This Row],[qty_invoiced]],IF(T[[#This Row],[qty_invoiced]]&gt;0,"Partial Invoiced","Not Invoiced"),"Fully Invoiced")</f>
        <v>Fully Invoiced</v>
      </c>
      <c r="R598" t="str">
        <f>IFERROR(VLOOKUP(T[[#This Row],[warehouse]],Table2[],2,FALSE),"--")</f>
        <v>Crusher KHN -ASVOC</v>
      </c>
    </row>
    <row r="599" spans="1:18" x14ac:dyDescent="0.25">
      <c r="A599" t="s">
        <v>534</v>
      </c>
      <c r="B599" s="1">
        <v>43818</v>
      </c>
      <c r="C599" t="s">
        <v>680</v>
      </c>
      <c r="D599" t="s">
        <v>74</v>
      </c>
      <c r="E599" t="s">
        <v>548</v>
      </c>
      <c r="F599" t="s">
        <v>22</v>
      </c>
      <c r="G599" t="s">
        <v>23</v>
      </c>
      <c r="H599" t="s">
        <v>24</v>
      </c>
      <c r="I599">
        <v>1000</v>
      </c>
      <c r="J599">
        <v>634.94000000000005</v>
      </c>
      <c r="K599">
        <v>634.94000000000005</v>
      </c>
      <c r="L599" t="s">
        <v>25</v>
      </c>
      <c r="M599" t="s">
        <v>132</v>
      </c>
      <c r="N599">
        <v>80000</v>
      </c>
      <c r="O599">
        <v>50795200</v>
      </c>
      <c r="P599" t="str">
        <f>IF(T[[#This Row],[qty_ordered]]&lt;&gt;T[[#This Row],[qty_received]],IF(T[[#This Row],[qty_received]]&gt;0,"Partial Received","Not Receviced"),"FullyReceived")</f>
        <v>Partial Received</v>
      </c>
      <c r="Q599" t="str">
        <f>IF(T[[#This Row],[qty_received]]&lt;&gt;T[[#This Row],[qty_invoiced]],IF(T[[#This Row],[qty_invoiced]]&gt;0,"Partial Invoiced","Not Invoiced"),"Fully Invoiced")</f>
        <v>Fully Invoiced</v>
      </c>
      <c r="R599" t="str">
        <f>IFERROR(VLOOKUP(T[[#This Row],[warehouse]],Table2[],2,FALSE),"--")</f>
        <v>Crusher Almosaly-ALB</v>
      </c>
    </row>
    <row r="600" spans="1:18" x14ac:dyDescent="0.25">
      <c r="A600" t="s">
        <v>235</v>
      </c>
      <c r="B600" s="1">
        <v>43921</v>
      </c>
      <c r="C600" t="s">
        <v>678</v>
      </c>
      <c r="D600" t="s">
        <v>71</v>
      </c>
      <c r="E600" t="s">
        <v>51</v>
      </c>
      <c r="F600" t="s">
        <v>546</v>
      </c>
      <c r="G600" t="s">
        <v>613</v>
      </c>
      <c r="H600" t="s">
        <v>54</v>
      </c>
      <c r="I600">
        <v>10000</v>
      </c>
      <c r="J600">
        <v>0</v>
      </c>
      <c r="K600">
        <v>1</v>
      </c>
      <c r="L600" t="s">
        <v>25</v>
      </c>
      <c r="M600" t="s">
        <v>359</v>
      </c>
      <c r="N600">
        <v>2.85</v>
      </c>
      <c r="O600">
        <v>0</v>
      </c>
      <c r="P600" t="str">
        <f>IF(T[[#This Row],[qty_ordered]]&lt;&gt;T[[#This Row],[qty_received]],IF(T[[#This Row],[qty_received]]&gt;0,"Partial Received","Not Receviced"),"FullyReceived")</f>
        <v>Not Receviced</v>
      </c>
      <c r="Q600" t="str">
        <f>IF(T[[#This Row],[qty_received]]&lt;&gt;T[[#This Row],[qty_invoiced]],IF(T[[#This Row],[qty_invoiced]]&gt;0,"Partial Invoiced","Not Invoiced"),"Fully Invoiced")</f>
        <v>Partial Invoiced</v>
      </c>
      <c r="R600" t="str">
        <f>IFERROR(VLOOKUP(T[[#This Row],[warehouse]],Table2[],2,FALSE),"--")</f>
        <v>--</v>
      </c>
    </row>
    <row r="601" spans="1:18" x14ac:dyDescent="0.25">
      <c r="A601" t="s">
        <v>153</v>
      </c>
      <c r="B601" s="1">
        <v>44006</v>
      </c>
      <c r="C601" t="s">
        <v>681</v>
      </c>
      <c r="D601" t="s">
        <v>71</v>
      </c>
      <c r="E601" t="s">
        <v>552</v>
      </c>
      <c r="F601" t="s">
        <v>300</v>
      </c>
      <c r="G601" t="s">
        <v>301</v>
      </c>
      <c r="H601" t="s">
        <v>24</v>
      </c>
      <c r="I601">
        <v>600</v>
      </c>
      <c r="J601">
        <v>360.52</v>
      </c>
      <c r="K601">
        <v>360.52</v>
      </c>
      <c r="L601" t="s">
        <v>25</v>
      </c>
      <c r="M601" t="s">
        <v>132</v>
      </c>
      <c r="N601">
        <v>60000</v>
      </c>
      <c r="O601">
        <v>21631200</v>
      </c>
      <c r="P601" t="str">
        <f>IF(T[[#This Row],[qty_ordered]]&lt;&gt;T[[#This Row],[qty_received]],IF(T[[#This Row],[qty_received]]&gt;0,"Partial Received","Not Receviced"),"FullyReceived")</f>
        <v>Partial Received</v>
      </c>
      <c r="Q601" t="str">
        <f>IF(T[[#This Row],[qty_received]]&lt;&gt;T[[#This Row],[qty_invoiced]],IF(T[[#This Row],[qty_invoiced]]&gt;0,"Partial Invoiced","Not Invoiced"),"Fully Invoiced")</f>
        <v>Fully Invoiced</v>
      </c>
      <c r="R601" t="str">
        <f>IFERROR(VLOOKUP(T[[#This Row],[warehouse]],Table2[],2,FALSE),"--")</f>
        <v>SIFTER - SAN DA-PZU</v>
      </c>
    </row>
    <row r="602" spans="1:18" x14ac:dyDescent="0.25">
      <c r="A602" t="s">
        <v>423</v>
      </c>
      <c r="B602" s="1">
        <v>43895</v>
      </c>
      <c r="C602" t="s">
        <v>682</v>
      </c>
      <c r="D602" t="s">
        <v>100</v>
      </c>
      <c r="E602" t="s">
        <v>146</v>
      </c>
      <c r="F602" t="s">
        <v>312</v>
      </c>
      <c r="G602" t="s">
        <v>683</v>
      </c>
      <c r="H602" t="s">
        <v>149</v>
      </c>
      <c r="I602">
        <v>50000</v>
      </c>
      <c r="J602">
        <v>50000</v>
      </c>
      <c r="K602">
        <v>50000</v>
      </c>
      <c r="L602" t="s">
        <v>25</v>
      </c>
      <c r="M602" t="s">
        <v>575</v>
      </c>
      <c r="N602">
        <v>25</v>
      </c>
      <c r="O602">
        <v>1250000</v>
      </c>
      <c r="P602" t="str">
        <f>IF(T[[#This Row],[qty_ordered]]&lt;&gt;T[[#This Row],[qty_received]],IF(T[[#This Row],[qty_received]]&gt;0,"Partial Received","Not Receviced"),"FullyReceived")</f>
        <v>FullyReceived</v>
      </c>
      <c r="Q602" t="str">
        <f>IF(T[[#This Row],[qty_received]]&lt;&gt;T[[#This Row],[qty_invoiced]],IF(T[[#This Row],[qty_invoiced]]&gt;0,"Partial Invoiced","Not Invoiced"),"Fully Invoiced")</f>
        <v>Fully Invoiced</v>
      </c>
      <c r="R602" t="str">
        <f>IFERROR(VLOOKUP(T[[#This Row],[warehouse]],Table2[],2,FALSE),"--")</f>
        <v>Khtoum Main Warehouse</v>
      </c>
    </row>
    <row r="603" spans="1:18" x14ac:dyDescent="0.25">
      <c r="A603" t="s">
        <v>423</v>
      </c>
      <c r="B603" s="1">
        <v>43895</v>
      </c>
      <c r="C603" t="s">
        <v>682</v>
      </c>
      <c r="D603" t="s">
        <v>88</v>
      </c>
      <c r="E603" t="s">
        <v>146</v>
      </c>
      <c r="F603" t="s">
        <v>147</v>
      </c>
      <c r="G603" t="s">
        <v>148</v>
      </c>
      <c r="H603" t="s">
        <v>149</v>
      </c>
      <c r="I603">
        <v>3000</v>
      </c>
      <c r="J603">
        <v>3000</v>
      </c>
      <c r="K603">
        <v>3000</v>
      </c>
      <c r="L603" t="s">
        <v>25</v>
      </c>
      <c r="M603" t="s">
        <v>575</v>
      </c>
      <c r="N603">
        <v>27</v>
      </c>
      <c r="O603">
        <v>81000</v>
      </c>
      <c r="P603" t="str">
        <f>IF(T[[#This Row],[qty_ordered]]&lt;&gt;T[[#This Row],[qty_received]],IF(T[[#This Row],[qty_received]]&gt;0,"Partial Received","Not Receviced"),"FullyReceived")</f>
        <v>FullyReceived</v>
      </c>
      <c r="Q603" t="str">
        <f>IF(T[[#This Row],[qty_received]]&lt;&gt;T[[#This Row],[qty_invoiced]],IF(T[[#This Row],[qty_invoiced]]&gt;0,"Partial Invoiced","Not Invoiced"),"Fully Invoiced")</f>
        <v>Fully Invoiced</v>
      </c>
      <c r="R603" t="str">
        <f>IFERROR(VLOOKUP(T[[#This Row],[warehouse]],Table2[],2,FALSE),"--")</f>
        <v>Khtoum Main Warehouse</v>
      </c>
    </row>
    <row r="604" spans="1:18" x14ac:dyDescent="0.25">
      <c r="A604" t="s">
        <v>505</v>
      </c>
      <c r="B604" s="1">
        <v>43933</v>
      </c>
      <c r="C604" t="s">
        <v>684</v>
      </c>
      <c r="D604" t="s">
        <v>20</v>
      </c>
      <c r="E604" t="s">
        <v>51</v>
      </c>
      <c r="F604" t="s">
        <v>247</v>
      </c>
      <c r="G604" t="s">
        <v>685</v>
      </c>
      <c r="H604" t="s">
        <v>54</v>
      </c>
      <c r="I604">
        <v>700</v>
      </c>
      <c r="J604">
        <v>0</v>
      </c>
      <c r="K604">
        <v>1</v>
      </c>
      <c r="L604" t="s">
        <v>25</v>
      </c>
      <c r="M604" t="s">
        <v>533</v>
      </c>
      <c r="N604">
        <v>6000</v>
      </c>
      <c r="O604">
        <v>0</v>
      </c>
      <c r="P604" t="str">
        <f>IF(T[[#This Row],[qty_ordered]]&lt;&gt;T[[#This Row],[qty_received]],IF(T[[#This Row],[qty_received]]&gt;0,"Partial Received","Not Receviced"),"FullyReceived")</f>
        <v>Not Receviced</v>
      </c>
      <c r="Q604" t="str">
        <f>IF(T[[#This Row],[qty_received]]&lt;&gt;T[[#This Row],[qty_invoiced]],IF(T[[#This Row],[qty_invoiced]]&gt;0,"Partial Invoiced","Not Invoiced"),"Fully Invoiced")</f>
        <v>Partial Invoiced</v>
      </c>
      <c r="R604" t="str">
        <f>IFERROR(VLOOKUP(T[[#This Row],[warehouse]],Table2[],2,FALSE),"--")</f>
        <v>--</v>
      </c>
    </row>
    <row r="605" spans="1:18" x14ac:dyDescent="0.25">
      <c r="A605" t="s">
        <v>686</v>
      </c>
      <c r="B605" s="1">
        <v>43849</v>
      </c>
      <c r="C605" t="s">
        <v>687</v>
      </c>
      <c r="D605" t="s">
        <v>325</v>
      </c>
      <c r="E605" t="s">
        <v>51</v>
      </c>
      <c r="F605" t="s">
        <v>278</v>
      </c>
      <c r="G605" t="s">
        <v>279</v>
      </c>
      <c r="H605" t="s">
        <v>54</v>
      </c>
      <c r="I605">
        <v>22225</v>
      </c>
      <c r="J605">
        <v>0</v>
      </c>
      <c r="K605">
        <v>1</v>
      </c>
      <c r="L605" t="s">
        <v>25</v>
      </c>
      <c r="M605" t="s">
        <v>533</v>
      </c>
      <c r="N605">
        <v>5</v>
      </c>
      <c r="O605">
        <v>0</v>
      </c>
      <c r="P605" t="str">
        <f>IF(T[[#This Row],[qty_ordered]]&lt;&gt;T[[#This Row],[qty_received]],IF(T[[#This Row],[qty_received]]&gt;0,"Partial Received","Not Receviced"),"FullyReceived")</f>
        <v>Not Receviced</v>
      </c>
      <c r="Q605" t="str">
        <f>IF(T[[#This Row],[qty_received]]&lt;&gt;T[[#This Row],[qty_invoiced]],IF(T[[#This Row],[qty_invoiced]]&gt;0,"Partial Invoiced","Not Invoiced"),"Fully Invoiced")</f>
        <v>Partial Invoiced</v>
      </c>
      <c r="R605" t="str">
        <f>IFERROR(VLOOKUP(T[[#This Row],[warehouse]],Table2[],2,FALSE),"--")</f>
        <v>--</v>
      </c>
    </row>
    <row r="606" spans="1:18" x14ac:dyDescent="0.25">
      <c r="A606" t="s">
        <v>686</v>
      </c>
      <c r="B606" s="1">
        <v>43849</v>
      </c>
      <c r="C606" t="s">
        <v>687</v>
      </c>
      <c r="D606" t="s">
        <v>451</v>
      </c>
      <c r="E606" t="s">
        <v>51</v>
      </c>
      <c r="F606" t="s">
        <v>254</v>
      </c>
      <c r="G606" t="s">
        <v>255</v>
      </c>
      <c r="H606" t="s">
        <v>54</v>
      </c>
      <c r="I606">
        <v>17200</v>
      </c>
      <c r="J606">
        <v>0</v>
      </c>
      <c r="K606">
        <v>1</v>
      </c>
      <c r="L606" t="s">
        <v>25</v>
      </c>
      <c r="M606" t="s">
        <v>533</v>
      </c>
      <c r="N606">
        <v>5</v>
      </c>
      <c r="O606">
        <v>0</v>
      </c>
      <c r="P606" t="str">
        <f>IF(T[[#This Row],[qty_ordered]]&lt;&gt;T[[#This Row],[qty_received]],IF(T[[#This Row],[qty_received]]&gt;0,"Partial Received","Not Receviced"),"FullyReceived")</f>
        <v>Not Receviced</v>
      </c>
      <c r="Q606" t="str">
        <f>IF(T[[#This Row],[qty_received]]&lt;&gt;T[[#This Row],[qty_invoiced]],IF(T[[#This Row],[qty_invoiced]]&gt;0,"Partial Invoiced","Not Invoiced"),"Fully Invoiced")</f>
        <v>Partial Invoiced</v>
      </c>
      <c r="R606" t="str">
        <f>IFERROR(VLOOKUP(T[[#This Row],[warehouse]],Table2[],2,FALSE),"--")</f>
        <v>--</v>
      </c>
    </row>
    <row r="607" spans="1:18" x14ac:dyDescent="0.25">
      <c r="A607" t="s">
        <v>686</v>
      </c>
      <c r="B607" s="1">
        <v>43849</v>
      </c>
      <c r="C607" t="s">
        <v>687</v>
      </c>
      <c r="D607" t="s">
        <v>452</v>
      </c>
      <c r="E607" t="s">
        <v>51</v>
      </c>
      <c r="F607" t="s">
        <v>373</v>
      </c>
      <c r="G607" t="s">
        <v>373</v>
      </c>
      <c r="H607" t="s">
        <v>54</v>
      </c>
      <c r="I607">
        <v>15002</v>
      </c>
      <c r="J607">
        <v>0</v>
      </c>
      <c r="K607">
        <v>1</v>
      </c>
      <c r="L607" t="s">
        <v>25</v>
      </c>
      <c r="M607" t="s">
        <v>533</v>
      </c>
      <c r="N607">
        <v>5</v>
      </c>
      <c r="O607">
        <v>0</v>
      </c>
      <c r="P607" t="str">
        <f>IF(T[[#This Row],[qty_ordered]]&lt;&gt;T[[#This Row],[qty_received]],IF(T[[#This Row],[qty_received]]&gt;0,"Partial Received","Not Receviced"),"FullyReceived")</f>
        <v>Not Receviced</v>
      </c>
      <c r="Q607" t="str">
        <f>IF(T[[#This Row],[qty_received]]&lt;&gt;T[[#This Row],[qty_invoiced]],IF(T[[#This Row],[qty_invoiced]]&gt;0,"Partial Invoiced","Not Invoiced"),"Fully Invoiced")</f>
        <v>Partial Invoiced</v>
      </c>
      <c r="R607" t="str">
        <f>IFERROR(VLOOKUP(T[[#This Row],[warehouse]],Table2[],2,FALSE),"--")</f>
        <v>--</v>
      </c>
    </row>
    <row r="608" spans="1:18" x14ac:dyDescent="0.25">
      <c r="A608" t="s">
        <v>462</v>
      </c>
      <c r="B608" s="1">
        <v>43895</v>
      </c>
      <c r="C608" t="s">
        <v>688</v>
      </c>
      <c r="D608" t="s">
        <v>76</v>
      </c>
      <c r="E608" t="s">
        <v>51</v>
      </c>
      <c r="F608" t="s">
        <v>384</v>
      </c>
      <c r="G608" t="s">
        <v>384</v>
      </c>
      <c r="H608" t="s">
        <v>54</v>
      </c>
      <c r="I608">
        <v>60</v>
      </c>
      <c r="J608">
        <v>0</v>
      </c>
      <c r="K608">
        <v>1</v>
      </c>
      <c r="L608" t="s">
        <v>25</v>
      </c>
      <c r="M608" t="s">
        <v>533</v>
      </c>
      <c r="N608">
        <v>170</v>
      </c>
      <c r="O608">
        <v>0</v>
      </c>
      <c r="P608" t="str">
        <f>IF(T[[#This Row],[qty_ordered]]&lt;&gt;T[[#This Row],[qty_received]],IF(T[[#This Row],[qty_received]]&gt;0,"Partial Received","Not Receviced"),"FullyReceived")</f>
        <v>Not Receviced</v>
      </c>
      <c r="Q608" t="str">
        <f>IF(T[[#This Row],[qty_received]]&lt;&gt;T[[#This Row],[qty_invoiced]],IF(T[[#This Row],[qty_invoiced]]&gt;0,"Partial Invoiced","Not Invoiced"),"Fully Invoiced")</f>
        <v>Partial Invoiced</v>
      </c>
      <c r="R608" t="str">
        <f>IFERROR(VLOOKUP(T[[#This Row],[warehouse]],Table2[],2,FALSE),"--")</f>
        <v>--</v>
      </c>
    </row>
    <row r="609" spans="1:18" x14ac:dyDescent="0.25">
      <c r="A609" t="s">
        <v>462</v>
      </c>
      <c r="B609" s="1">
        <v>43895</v>
      </c>
      <c r="C609" t="s">
        <v>688</v>
      </c>
      <c r="D609" t="s">
        <v>212</v>
      </c>
      <c r="E609" t="s">
        <v>51</v>
      </c>
      <c r="F609" t="s">
        <v>433</v>
      </c>
      <c r="G609" t="s">
        <v>433</v>
      </c>
      <c r="H609" t="s">
        <v>54</v>
      </c>
      <c r="I609">
        <v>200</v>
      </c>
      <c r="J609">
        <v>0</v>
      </c>
      <c r="K609">
        <v>1</v>
      </c>
      <c r="L609" t="s">
        <v>25</v>
      </c>
      <c r="M609" t="s">
        <v>533</v>
      </c>
      <c r="N609">
        <v>110</v>
      </c>
      <c r="O609">
        <v>0</v>
      </c>
      <c r="P609" t="str">
        <f>IF(T[[#This Row],[qty_ordered]]&lt;&gt;T[[#This Row],[qty_received]],IF(T[[#This Row],[qty_received]]&gt;0,"Partial Received","Not Receviced"),"FullyReceived")</f>
        <v>Not Receviced</v>
      </c>
      <c r="Q609" t="str">
        <f>IF(T[[#This Row],[qty_received]]&lt;&gt;T[[#This Row],[qty_invoiced]],IF(T[[#This Row],[qty_invoiced]]&gt;0,"Partial Invoiced","Not Invoiced"),"Fully Invoiced")</f>
        <v>Partial Invoiced</v>
      </c>
      <c r="R609" t="str">
        <f>IFERROR(VLOOKUP(T[[#This Row],[warehouse]],Table2[],2,FALSE),"--")</f>
        <v>--</v>
      </c>
    </row>
    <row r="610" spans="1:18" x14ac:dyDescent="0.25">
      <c r="A610" t="s">
        <v>462</v>
      </c>
      <c r="B610" s="1">
        <v>43895</v>
      </c>
      <c r="C610" t="s">
        <v>688</v>
      </c>
      <c r="D610" t="s">
        <v>322</v>
      </c>
      <c r="E610" t="s">
        <v>51</v>
      </c>
      <c r="F610" t="s">
        <v>390</v>
      </c>
      <c r="G610" t="s">
        <v>390</v>
      </c>
      <c r="H610" t="s">
        <v>54</v>
      </c>
      <c r="I610">
        <v>4</v>
      </c>
      <c r="J610">
        <v>0</v>
      </c>
      <c r="K610">
        <v>1</v>
      </c>
      <c r="L610" t="s">
        <v>25</v>
      </c>
      <c r="M610" t="s">
        <v>533</v>
      </c>
      <c r="N610">
        <v>3500</v>
      </c>
      <c r="O610">
        <v>0</v>
      </c>
      <c r="P610" t="str">
        <f>IF(T[[#This Row],[qty_ordered]]&lt;&gt;T[[#This Row],[qty_received]],IF(T[[#This Row],[qty_received]]&gt;0,"Partial Received","Not Receviced"),"FullyReceived")</f>
        <v>Not Receviced</v>
      </c>
      <c r="Q610" t="str">
        <f>IF(T[[#This Row],[qty_received]]&lt;&gt;T[[#This Row],[qty_invoiced]],IF(T[[#This Row],[qty_invoiced]]&gt;0,"Partial Invoiced","Not Invoiced"),"Fully Invoiced")</f>
        <v>Partial Invoiced</v>
      </c>
      <c r="R610" t="str">
        <f>IFERROR(VLOOKUP(T[[#This Row],[warehouse]],Table2[],2,FALSE),"--")</f>
        <v>--</v>
      </c>
    </row>
    <row r="611" spans="1:18" x14ac:dyDescent="0.25">
      <c r="A611" t="s">
        <v>462</v>
      </c>
      <c r="B611" s="1">
        <v>43895</v>
      </c>
      <c r="C611" t="s">
        <v>688</v>
      </c>
      <c r="D611" t="s">
        <v>323</v>
      </c>
      <c r="E611" t="s">
        <v>51</v>
      </c>
      <c r="F611" t="s">
        <v>267</v>
      </c>
      <c r="G611" t="s">
        <v>267</v>
      </c>
      <c r="H611" t="s">
        <v>54</v>
      </c>
      <c r="I611">
        <v>10</v>
      </c>
      <c r="J611">
        <v>0</v>
      </c>
      <c r="K611">
        <v>1</v>
      </c>
      <c r="L611" t="s">
        <v>25</v>
      </c>
      <c r="M611" t="s">
        <v>533</v>
      </c>
      <c r="N611">
        <v>850</v>
      </c>
      <c r="O611">
        <v>0</v>
      </c>
      <c r="P611" t="str">
        <f>IF(T[[#This Row],[qty_ordered]]&lt;&gt;T[[#This Row],[qty_received]],IF(T[[#This Row],[qty_received]]&gt;0,"Partial Received","Not Receviced"),"FullyReceived")</f>
        <v>Not Receviced</v>
      </c>
      <c r="Q611" t="str">
        <f>IF(T[[#This Row],[qty_received]]&lt;&gt;T[[#This Row],[qty_invoiced]],IF(T[[#This Row],[qty_invoiced]]&gt;0,"Partial Invoiced","Not Invoiced"),"Fully Invoiced")</f>
        <v>Partial Invoiced</v>
      </c>
      <c r="R611" t="str">
        <f>IFERROR(VLOOKUP(T[[#This Row],[warehouse]],Table2[],2,FALSE),"--")</f>
        <v>--</v>
      </c>
    </row>
    <row r="612" spans="1:18" x14ac:dyDescent="0.25">
      <c r="A612" t="s">
        <v>462</v>
      </c>
      <c r="B612" s="1">
        <v>43895</v>
      </c>
      <c r="C612" t="s">
        <v>688</v>
      </c>
      <c r="D612" t="s">
        <v>324</v>
      </c>
      <c r="E612" t="s">
        <v>51</v>
      </c>
      <c r="F612" t="s">
        <v>278</v>
      </c>
      <c r="G612" t="s">
        <v>279</v>
      </c>
      <c r="H612" t="s">
        <v>54</v>
      </c>
      <c r="I612">
        <v>14285</v>
      </c>
      <c r="J612">
        <v>0</v>
      </c>
      <c r="K612">
        <v>1</v>
      </c>
      <c r="L612" t="s">
        <v>25</v>
      </c>
      <c r="M612" t="s">
        <v>533</v>
      </c>
      <c r="N612">
        <v>8</v>
      </c>
      <c r="O612">
        <v>0</v>
      </c>
      <c r="P612" t="str">
        <f>IF(T[[#This Row],[qty_ordered]]&lt;&gt;T[[#This Row],[qty_received]],IF(T[[#This Row],[qty_received]]&gt;0,"Partial Received","Not Receviced"),"FullyReceived")</f>
        <v>Not Receviced</v>
      </c>
      <c r="Q612" t="str">
        <f>IF(T[[#This Row],[qty_received]]&lt;&gt;T[[#This Row],[qty_invoiced]],IF(T[[#This Row],[qty_invoiced]]&gt;0,"Partial Invoiced","Not Invoiced"),"Fully Invoiced")</f>
        <v>Partial Invoiced</v>
      </c>
      <c r="R612" t="str">
        <f>IFERROR(VLOOKUP(T[[#This Row],[warehouse]],Table2[],2,FALSE),"--")</f>
        <v>--</v>
      </c>
    </row>
    <row r="613" spans="1:18" x14ac:dyDescent="0.25">
      <c r="A613" t="s">
        <v>462</v>
      </c>
      <c r="B613" s="1">
        <v>43895</v>
      </c>
      <c r="C613" t="s">
        <v>688</v>
      </c>
      <c r="D613" t="s">
        <v>325</v>
      </c>
      <c r="E613" t="s">
        <v>51</v>
      </c>
      <c r="F613" t="s">
        <v>254</v>
      </c>
      <c r="G613" t="s">
        <v>255</v>
      </c>
      <c r="H613" t="s">
        <v>54</v>
      </c>
      <c r="I613">
        <v>12500</v>
      </c>
      <c r="J613">
        <v>0</v>
      </c>
      <c r="K613">
        <v>1</v>
      </c>
      <c r="L613" t="s">
        <v>25</v>
      </c>
      <c r="M613" t="s">
        <v>533</v>
      </c>
      <c r="N613">
        <v>5</v>
      </c>
      <c r="O613">
        <v>0</v>
      </c>
      <c r="P613" t="str">
        <f>IF(T[[#This Row],[qty_ordered]]&lt;&gt;T[[#This Row],[qty_received]],IF(T[[#This Row],[qty_received]]&gt;0,"Partial Received","Not Receviced"),"FullyReceived")</f>
        <v>Not Receviced</v>
      </c>
      <c r="Q613" t="str">
        <f>IF(T[[#This Row],[qty_received]]&lt;&gt;T[[#This Row],[qty_invoiced]],IF(T[[#This Row],[qty_invoiced]]&gt;0,"Partial Invoiced","Not Invoiced"),"Fully Invoiced")</f>
        <v>Partial Invoiced</v>
      </c>
      <c r="R613" t="str">
        <f>IFERROR(VLOOKUP(T[[#This Row],[warehouse]],Table2[],2,FALSE),"--")</f>
        <v>--</v>
      </c>
    </row>
    <row r="614" spans="1:18" x14ac:dyDescent="0.25">
      <c r="A614" t="s">
        <v>462</v>
      </c>
      <c r="B614" s="1">
        <v>43895</v>
      </c>
      <c r="C614" t="s">
        <v>688</v>
      </c>
      <c r="D614" t="s">
        <v>451</v>
      </c>
      <c r="E614" t="s">
        <v>51</v>
      </c>
      <c r="F614" t="s">
        <v>373</v>
      </c>
      <c r="G614" t="s">
        <v>373</v>
      </c>
      <c r="H614" t="s">
        <v>54</v>
      </c>
      <c r="I614">
        <v>12500</v>
      </c>
      <c r="J614">
        <v>0</v>
      </c>
      <c r="K614">
        <v>1</v>
      </c>
      <c r="L614" t="s">
        <v>25</v>
      </c>
      <c r="M614" t="s">
        <v>533</v>
      </c>
      <c r="N614">
        <v>5</v>
      </c>
      <c r="O614">
        <v>0</v>
      </c>
      <c r="P614" t="str">
        <f>IF(T[[#This Row],[qty_ordered]]&lt;&gt;T[[#This Row],[qty_received]],IF(T[[#This Row],[qty_received]]&gt;0,"Partial Received","Not Receviced"),"FullyReceived")</f>
        <v>Not Receviced</v>
      </c>
      <c r="Q614" t="str">
        <f>IF(T[[#This Row],[qty_received]]&lt;&gt;T[[#This Row],[qty_invoiced]],IF(T[[#This Row],[qty_invoiced]]&gt;0,"Partial Invoiced","Not Invoiced"),"Fully Invoiced")</f>
        <v>Partial Invoiced</v>
      </c>
      <c r="R614" t="str">
        <f>IFERROR(VLOOKUP(T[[#This Row],[warehouse]],Table2[],2,FALSE),"--")</f>
        <v>--</v>
      </c>
    </row>
    <row r="615" spans="1:18" x14ac:dyDescent="0.25">
      <c r="A615" t="s">
        <v>689</v>
      </c>
      <c r="B615" s="1">
        <v>43891</v>
      </c>
      <c r="C615" t="s">
        <v>690</v>
      </c>
      <c r="D615" t="s">
        <v>71</v>
      </c>
      <c r="E615" t="s">
        <v>146</v>
      </c>
      <c r="F615" t="s">
        <v>691</v>
      </c>
      <c r="G615" t="s">
        <v>478</v>
      </c>
      <c r="H615" t="s">
        <v>24</v>
      </c>
      <c r="I615">
        <v>400</v>
      </c>
      <c r="J615">
        <v>320.55</v>
      </c>
      <c r="K615">
        <v>320.55</v>
      </c>
      <c r="L615" t="s">
        <v>25</v>
      </c>
      <c r="M615" t="s">
        <v>132</v>
      </c>
      <c r="N615">
        <v>185000</v>
      </c>
      <c r="O615">
        <v>59301750</v>
      </c>
      <c r="P615" t="str">
        <f>IF(T[[#This Row],[qty_ordered]]&lt;&gt;T[[#This Row],[qty_received]],IF(T[[#This Row],[qty_received]]&gt;0,"Partial Received","Not Receviced"),"FullyReceived")</f>
        <v>Partial Received</v>
      </c>
      <c r="Q615" t="str">
        <f>IF(T[[#This Row],[qty_received]]&lt;&gt;T[[#This Row],[qty_invoiced]],IF(T[[#This Row],[qty_invoiced]]&gt;0,"Partial Invoiced","Not Invoiced"),"Fully Invoiced")</f>
        <v>Fully Invoiced</v>
      </c>
      <c r="R615" t="str">
        <f>IFERROR(VLOOKUP(T[[#This Row],[warehouse]],Table2[],2,FALSE),"--")</f>
        <v>Khtoum Main Warehouse</v>
      </c>
    </row>
    <row r="616" spans="1:18" x14ac:dyDescent="0.25">
      <c r="A616" t="s">
        <v>423</v>
      </c>
      <c r="B616" s="1">
        <v>43972</v>
      </c>
      <c r="C616" t="s">
        <v>692</v>
      </c>
      <c r="D616" t="s">
        <v>20</v>
      </c>
      <c r="E616" t="s">
        <v>239</v>
      </c>
      <c r="F616" t="s">
        <v>294</v>
      </c>
      <c r="G616" t="s">
        <v>295</v>
      </c>
      <c r="H616" t="s">
        <v>149</v>
      </c>
      <c r="I616">
        <v>245000</v>
      </c>
      <c r="J616">
        <v>245000</v>
      </c>
      <c r="K616">
        <v>245000</v>
      </c>
      <c r="L616" t="s">
        <v>693</v>
      </c>
      <c r="M616" t="s">
        <v>575</v>
      </c>
      <c r="N616">
        <v>47.5</v>
      </c>
      <c r="O616">
        <v>11637500</v>
      </c>
      <c r="P616" t="str">
        <f>IF(T[[#This Row],[qty_ordered]]&lt;&gt;T[[#This Row],[qty_received]],IF(T[[#This Row],[qty_received]]&gt;0,"Partial Received","Not Receviced"),"FullyReceived")</f>
        <v>FullyReceived</v>
      </c>
      <c r="Q616" t="str">
        <f>IF(T[[#This Row],[qty_received]]&lt;&gt;T[[#This Row],[qty_invoiced]],IF(T[[#This Row],[qty_invoiced]]&gt;0,"Partial Invoiced","Not Invoiced"),"Fully Invoiced")</f>
        <v>Fully Invoiced</v>
      </c>
      <c r="R616" t="str">
        <f>IFERROR(VLOOKUP(T[[#This Row],[warehouse]],Table2[],2,FALSE),"--")</f>
        <v xml:space="preserve">Gadarif Main Store </v>
      </c>
    </row>
    <row r="617" spans="1:18" x14ac:dyDescent="0.25">
      <c r="A617" t="s">
        <v>686</v>
      </c>
      <c r="B617" s="1">
        <v>43849</v>
      </c>
      <c r="C617" t="s">
        <v>687</v>
      </c>
      <c r="D617" t="s">
        <v>694</v>
      </c>
      <c r="E617" t="s">
        <v>51</v>
      </c>
      <c r="F617" t="s">
        <v>247</v>
      </c>
      <c r="G617" t="s">
        <v>685</v>
      </c>
      <c r="H617" t="s">
        <v>54</v>
      </c>
      <c r="I617">
        <v>1500</v>
      </c>
      <c r="J617">
        <v>0</v>
      </c>
      <c r="K617">
        <v>1</v>
      </c>
      <c r="L617" t="s">
        <v>25</v>
      </c>
      <c r="M617" t="s">
        <v>533</v>
      </c>
      <c r="N617">
        <v>6500</v>
      </c>
      <c r="O617">
        <v>0</v>
      </c>
      <c r="P617" t="str">
        <f>IF(T[[#This Row],[qty_ordered]]&lt;&gt;T[[#This Row],[qty_received]],IF(T[[#This Row],[qty_received]]&gt;0,"Partial Received","Not Receviced"),"FullyReceived")</f>
        <v>Not Receviced</v>
      </c>
      <c r="Q617" t="str">
        <f>IF(T[[#This Row],[qty_received]]&lt;&gt;T[[#This Row],[qty_invoiced]],IF(T[[#This Row],[qty_invoiced]]&gt;0,"Partial Invoiced","Not Invoiced"),"Fully Invoiced")</f>
        <v>Partial Invoiced</v>
      </c>
      <c r="R617" t="str">
        <f>IFERROR(VLOOKUP(T[[#This Row],[warehouse]],Table2[],2,FALSE),"--")</f>
        <v>--</v>
      </c>
    </row>
    <row r="618" spans="1:18" x14ac:dyDescent="0.25">
      <c r="A618" t="s">
        <v>144</v>
      </c>
      <c r="B618" s="1">
        <v>43912</v>
      </c>
      <c r="C618" t="s">
        <v>695</v>
      </c>
      <c r="D618" t="s">
        <v>100</v>
      </c>
      <c r="E618" t="s">
        <v>146</v>
      </c>
      <c r="F618" t="s">
        <v>151</v>
      </c>
      <c r="G618" t="s">
        <v>152</v>
      </c>
      <c r="H618" t="s">
        <v>149</v>
      </c>
      <c r="I618">
        <v>100000</v>
      </c>
      <c r="J618">
        <v>80300</v>
      </c>
      <c r="K618">
        <v>80300</v>
      </c>
      <c r="L618" t="s">
        <v>25</v>
      </c>
      <c r="M618" t="s">
        <v>575</v>
      </c>
      <c r="N618">
        <v>12.3</v>
      </c>
      <c r="O618">
        <v>862188</v>
      </c>
      <c r="P618" t="str">
        <f>IF(T[[#This Row],[qty_ordered]]&lt;&gt;T[[#This Row],[qty_received]],IF(T[[#This Row],[qty_received]]&gt;0,"Partial Received","Not Receviced"),"FullyReceived")</f>
        <v>Partial Received</v>
      </c>
      <c r="Q618" t="str">
        <f>IF(T[[#This Row],[qty_received]]&lt;&gt;T[[#This Row],[qty_invoiced]],IF(T[[#This Row],[qty_invoiced]]&gt;0,"Partial Invoiced","Not Invoiced"),"Fully Invoiced")</f>
        <v>Fully Invoiced</v>
      </c>
      <c r="R618" t="str">
        <f>IFERROR(VLOOKUP(T[[#This Row],[warehouse]],Table2[],2,FALSE),"--")</f>
        <v>Khtoum Main Warehouse</v>
      </c>
    </row>
    <row r="619" spans="1:18" x14ac:dyDescent="0.25">
      <c r="A619" t="s">
        <v>303</v>
      </c>
      <c r="B619" s="1">
        <v>43992</v>
      </c>
      <c r="C619" t="s">
        <v>696</v>
      </c>
      <c r="D619" t="s">
        <v>20</v>
      </c>
      <c r="E619" t="s">
        <v>66</v>
      </c>
      <c r="F619" t="s">
        <v>697</v>
      </c>
      <c r="G619" t="s">
        <v>698</v>
      </c>
      <c r="H619" t="s">
        <v>531</v>
      </c>
      <c r="I619">
        <v>612</v>
      </c>
      <c r="J619">
        <v>612</v>
      </c>
      <c r="K619">
        <v>612</v>
      </c>
      <c r="L619" t="s">
        <v>25</v>
      </c>
      <c r="M619" t="s">
        <v>132</v>
      </c>
      <c r="N619">
        <v>6911.7939999999999</v>
      </c>
      <c r="O619">
        <v>4230017.9280000003</v>
      </c>
      <c r="P619" t="str">
        <f>IF(T[[#This Row],[qty_ordered]]&lt;&gt;T[[#This Row],[qty_received]],IF(T[[#This Row],[qty_received]]&gt;0,"Partial Received","Not Receviced"),"FullyReceived")</f>
        <v>FullyReceived</v>
      </c>
      <c r="Q619" t="str">
        <f>IF(T[[#This Row],[qty_received]]&lt;&gt;T[[#This Row],[qty_invoiced]],IF(T[[#This Row],[qty_invoiced]]&gt;0,"Partial Invoiced","Not Invoiced"),"Fully Invoiced")</f>
        <v>Fully Invoiced</v>
      </c>
      <c r="R619" t="str">
        <f>IFERROR(VLOOKUP(T[[#This Row],[warehouse]],Table2[],2,FALSE),"--")</f>
        <v>PZU Main Warehouse</v>
      </c>
    </row>
    <row r="620" spans="1:18" x14ac:dyDescent="0.25">
      <c r="A620" t="s">
        <v>505</v>
      </c>
      <c r="B620" s="1">
        <v>43933</v>
      </c>
      <c r="C620" t="s">
        <v>684</v>
      </c>
      <c r="D620" t="s">
        <v>88</v>
      </c>
      <c r="E620" t="s">
        <v>51</v>
      </c>
      <c r="F620" t="s">
        <v>278</v>
      </c>
      <c r="G620" t="s">
        <v>279</v>
      </c>
      <c r="H620" t="s">
        <v>54</v>
      </c>
      <c r="I620">
        <v>2760</v>
      </c>
      <c r="J620">
        <v>0</v>
      </c>
      <c r="K620">
        <v>1</v>
      </c>
      <c r="L620" t="s">
        <v>25</v>
      </c>
      <c r="M620" t="s">
        <v>533</v>
      </c>
      <c r="N620">
        <v>15</v>
      </c>
      <c r="O620">
        <v>0</v>
      </c>
      <c r="P620" t="str">
        <f>IF(T[[#This Row],[qty_ordered]]&lt;&gt;T[[#This Row],[qty_received]],IF(T[[#This Row],[qty_received]]&gt;0,"Partial Received","Not Receviced"),"FullyReceived")</f>
        <v>Not Receviced</v>
      </c>
      <c r="Q620" t="str">
        <f>IF(T[[#This Row],[qty_received]]&lt;&gt;T[[#This Row],[qty_invoiced]],IF(T[[#This Row],[qty_invoiced]]&gt;0,"Partial Invoiced","Not Invoiced"),"Fully Invoiced")</f>
        <v>Partial Invoiced</v>
      </c>
      <c r="R620" t="str">
        <f>IFERROR(VLOOKUP(T[[#This Row],[warehouse]],Table2[],2,FALSE),"--")</f>
        <v>--</v>
      </c>
    </row>
    <row r="621" spans="1:18" x14ac:dyDescent="0.25">
      <c r="A621" t="s">
        <v>505</v>
      </c>
      <c r="B621" s="1">
        <v>43933</v>
      </c>
      <c r="C621" t="s">
        <v>684</v>
      </c>
      <c r="D621" t="s">
        <v>74</v>
      </c>
      <c r="E621" t="s">
        <v>51</v>
      </c>
      <c r="F621" t="s">
        <v>384</v>
      </c>
      <c r="G621" t="s">
        <v>384</v>
      </c>
      <c r="H621" t="s">
        <v>54</v>
      </c>
      <c r="I621">
        <v>790</v>
      </c>
      <c r="J621">
        <v>0</v>
      </c>
      <c r="K621">
        <v>1</v>
      </c>
      <c r="L621" t="s">
        <v>25</v>
      </c>
      <c r="M621" t="s">
        <v>533</v>
      </c>
      <c r="N621">
        <v>6</v>
      </c>
      <c r="O621">
        <v>0</v>
      </c>
      <c r="P621" t="str">
        <f>IF(T[[#This Row],[qty_ordered]]&lt;&gt;T[[#This Row],[qty_received]],IF(T[[#This Row],[qty_received]]&gt;0,"Partial Received","Not Receviced"),"FullyReceived")</f>
        <v>Not Receviced</v>
      </c>
      <c r="Q621" t="str">
        <f>IF(T[[#This Row],[qty_received]]&lt;&gt;T[[#This Row],[qty_invoiced]],IF(T[[#This Row],[qty_invoiced]]&gt;0,"Partial Invoiced","Not Invoiced"),"Fully Invoiced")</f>
        <v>Partial Invoiced</v>
      </c>
      <c r="R621" t="str">
        <f>IFERROR(VLOOKUP(T[[#This Row],[warehouse]],Table2[],2,FALSE),"--")</f>
        <v>--</v>
      </c>
    </row>
    <row r="622" spans="1:18" x14ac:dyDescent="0.25">
      <c r="A622" t="s">
        <v>505</v>
      </c>
      <c r="B622" s="1">
        <v>43933</v>
      </c>
      <c r="C622" t="s">
        <v>684</v>
      </c>
      <c r="D622" t="s">
        <v>76</v>
      </c>
      <c r="E622" t="s">
        <v>51</v>
      </c>
      <c r="F622" t="s">
        <v>278</v>
      </c>
      <c r="G622" t="s">
        <v>279</v>
      </c>
      <c r="H622" t="s">
        <v>54</v>
      </c>
      <c r="I622">
        <v>600</v>
      </c>
      <c r="J622">
        <v>0</v>
      </c>
      <c r="K622">
        <v>1</v>
      </c>
      <c r="L622" t="s">
        <v>25</v>
      </c>
      <c r="M622" t="s">
        <v>533</v>
      </c>
      <c r="N622">
        <v>197.83333300000001</v>
      </c>
      <c r="O622">
        <v>0</v>
      </c>
      <c r="P622" t="str">
        <f>IF(T[[#This Row],[qty_ordered]]&lt;&gt;T[[#This Row],[qty_received]],IF(T[[#This Row],[qty_received]]&gt;0,"Partial Received","Not Receviced"),"FullyReceived")</f>
        <v>Not Receviced</v>
      </c>
      <c r="Q622" t="str">
        <f>IF(T[[#This Row],[qty_received]]&lt;&gt;T[[#This Row],[qty_invoiced]],IF(T[[#This Row],[qty_invoiced]]&gt;0,"Partial Invoiced","Not Invoiced"),"Fully Invoiced")</f>
        <v>Partial Invoiced</v>
      </c>
      <c r="R622" t="str">
        <f>IFERROR(VLOOKUP(T[[#This Row],[warehouse]],Table2[],2,FALSE),"--")</f>
        <v>--</v>
      </c>
    </row>
    <row r="623" spans="1:18" x14ac:dyDescent="0.25">
      <c r="A623" t="s">
        <v>505</v>
      </c>
      <c r="B623" s="1">
        <v>43933</v>
      </c>
      <c r="C623" t="s">
        <v>684</v>
      </c>
      <c r="D623" t="s">
        <v>212</v>
      </c>
      <c r="E623" t="s">
        <v>51</v>
      </c>
      <c r="F623" t="s">
        <v>254</v>
      </c>
      <c r="G623" t="s">
        <v>255</v>
      </c>
      <c r="H623" t="s">
        <v>54</v>
      </c>
      <c r="I623">
        <v>7425</v>
      </c>
      <c r="J623">
        <v>0</v>
      </c>
      <c r="K623">
        <v>1</v>
      </c>
      <c r="L623" t="s">
        <v>25</v>
      </c>
      <c r="M623" t="s">
        <v>533</v>
      </c>
      <c r="N623">
        <v>12</v>
      </c>
      <c r="O623">
        <v>0</v>
      </c>
      <c r="P623" t="str">
        <f>IF(T[[#This Row],[qty_ordered]]&lt;&gt;T[[#This Row],[qty_received]],IF(T[[#This Row],[qty_received]]&gt;0,"Partial Received","Not Receviced"),"FullyReceived")</f>
        <v>Not Receviced</v>
      </c>
      <c r="Q623" t="str">
        <f>IF(T[[#This Row],[qty_received]]&lt;&gt;T[[#This Row],[qty_invoiced]],IF(T[[#This Row],[qty_invoiced]]&gt;0,"Partial Invoiced","Not Invoiced"),"Fully Invoiced")</f>
        <v>Partial Invoiced</v>
      </c>
      <c r="R623" t="str">
        <f>IFERROR(VLOOKUP(T[[#This Row],[warehouse]],Table2[],2,FALSE),"--")</f>
        <v>--</v>
      </c>
    </row>
    <row r="624" spans="1:18" x14ac:dyDescent="0.25">
      <c r="A624" t="s">
        <v>505</v>
      </c>
      <c r="B624" s="1">
        <v>43933</v>
      </c>
      <c r="C624" t="s">
        <v>684</v>
      </c>
      <c r="D624" t="s">
        <v>322</v>
      </c>
      <c r="E624" t="s">
        <v>51</v>
      </c>
      <c r="F624" t="s">
        <v>278</v>
      </c>
      <c r="G624" t="s">
        <v>279</v>
      </c>
      <c r="H624" t="s">
        <v>54</v>
      </c>
      <c r="I624">
        <v>515</v>
      </c>
      <c r="J624">
        <v>0</v>
      </c>
      <c r="K624">
        <v>1</v>
      </c>
      <c r="L624" t="s">
        <v>25</v>
      </c>
      <c r="M624" t="s">
        <v>533</v>
      </c>
      <c r="N624">
        <v>7</v>
      </c>
      <c r="O624">
        <v>0</v>
      </c>
      <c r="P624" t="str">
        <f>IF(T[[#This Row],[qty_ordered]]&lt;&gt;T[[#This Row],[qty_received]],IF(T[[#This Row],[qty_received]]&gt;0,"Partial Received","Not Receviced"),"FullyReceived")</f>
        <v>Not Receviced</v>
      </c>
      <c r="Q624" t="str">
        <f>IF(T[[#This Row],[qty_received]]&lt;&gt;T[[#This Row],[qty_invoiced]],IF(T[[#This Row],[qty_invoiced]]&gt;0,"Partial Invoiced","Not Invoiced"),"Fully Invoiced")</f>
        <v>Partial Invoiced</v>
      </c>
      <c r="R624" t="str">
        <f>IFERROR(VLOOKUP(T[[#This Row],[warehouse]],Table2[],2,FALSE),"--")</f>
        <v>--</v>
      </c>
    </row>
    <row r="625" spans="1:18" x14ac:dyDescent="0.25">
      <c r="A625" t="s">
        <v>505</v>
      </c>
      <c r="B625" s="1">
        <v>43933</v>
      </c>
      <c r="C625" t="s">
        <v>684</v>
      </c>
      <c r="D625" t="s">
        <v>323</v>
      </c>
      <c r="E625" t="s">
        <v>51</v>
      </c>
      <c r="F625" t="s">
        <v>390</v>
      </c>
      <c r="G625" t="s">
        <v>390</v>
      </c>
      <c r="H625" t="s">
        <v>54</v>
      </c>
      <c r="I625">
        <v>1400</v>
      </c>
      <c r="J625">
        <v>0</v>
      </c>
      <c r="K625">
        <v>1</v>
      </c>
      <c r="L625" t="s">
        <v>25</v>
      </c>
      <c r="M625" t="s">
        <v>533</v>
      </c>
      <c r="N625">
        <v>12</v>
      </c>
      <c r="O625">
        <v>0</v>
      </c>
      <c r="P625" t="str">
        <f>IF(T[[#This Row],[qty_ordered]]&lt;&gt;T[[#This Row],[qty_received]],IF(T[[#This Row],[qty_received]]&gt;0,"Partial Received","Not Receviced"),"FullyReceived")</f>
        <v>Not Receviced</v>
      </c>
      <c r="Q625" t="str">
        <f>IF(T[[#This Row],[qty_received]]&lt;&gt;T[[#This Row],[qty_invoiced]],IF(T[[#This Row],[qty_invoiced]]&gt;0,"Partial Invoiced","Not Invoiced"),"Fully Invoiced")</f>
        <v>Partial Invoiced</v>
      </c>
      <c r="R625" t="str">
        <f>IFERROR(VLOOKUP(T[[#This Row],[warehouse]],Table2[],2,FALSE),"--")</f>
        <v>--</v>
      </c>
    </row>
    <row r="626" spans="1:18" x14ac:dyDescent="0.25">
      <c r="A626" t="s">
        <v>505</v>
      </c>
      <c r="B626" s="1">
        <v>43933</v>
      </c>
      <c r="C626" t="s">
        <v>684</v>
      </c>
      <c r="D626" t="s">
        <v>324</v>
      </c>
      <c r="E626" t="s">
        <v>51</v>
      </c>
      <c r="F626" t="s">
        <v>278</v>
      </c>
      <c r="G626" t="s">
        <v>279</v>
      </c>
      <c r="H626" t="s">
        <v>54</v>
      </c>
      <c r="I626">
        <v>1580</v>
      </c>
      <c r="J626">
        <v>0</v>
      </c>
      <c r="K626">
        <v>1</v>
      </c>
      <c r="L626" t="s">
        <v>25</v>
      </c>
      <c r="M626" t="s">
        <v>533</v>
      </c>
      <c r="N626">
        <v>4</v>
      </c>
      <c r="O626">
        <v>0</v>
      </c>
      <c r="P626" t="str">
        <f>IF(T[[#This Row],[qty_ordered]]&lt;&gt;T[[#This Row],[qty_received]],IF(T[[#This Row],[qty_received]]&gt;0,"Partial Received","Not Receviced"),"FullyReceived")</f>
        <v>Not Receviced</v>
      </c>
      <c r="Q626" t="str">
        <f>IF(T[[#This Row],[qty_received]]&lt;&gt;T[[#This Row],[qty_invoiced]],IF(T[[#This Row],[qty_invoiced]]&gt;0,"Partial Invoiced","Not Invoiced"),"Fully Invoiced")</f>
        <v>Partial Invoiced</v>
      </c>
      <c r="R626" t="str">
        <f>IFERROR(VLOOKUP(T[[#This Row],[warehouse]],Table2[],2,FALSE),"--")</f>
        <v>--</v>
      </c>
    </row>
    <row r="627" spans="1:18" x14ac:dyDescent="0.25">
      <c r="A627" t="s">
        <v>505</v>
      </c>
      <c r="B627" s="1">
        <v>43933</v>
      </c>
      <c r="C627" t="s">
        <v>684</v>
      </c>
      <c r="D627" t="s">
        <v>325</v>
      </c>
      <c r="E627" t="s">
        <v>51</v>
      </c>
      <c r="F627" t="s">
        <v>278</v>
      </c>
      <c r="G627" t="s">
        <v>279</v>
      </c>
      <c r="H627" t="s">
        <v>54</v>
      </c>
      <c r="I627">
        <v>80</v>
      </c>
      <c r="J627">
        <v>0</v>
      </c>
      <c r="K627">
        <v>1</v>
      </c>
      <c r="L627" t="s">
        <v>25</v>
      </c>
      <c r="M627" t="s">
        <v>533</v>
      </c>
      <c r="N627">
        <v>18</v>
      </c>
      <c r="O627">
        <v>0</v>
      </c>
      <c r="P627" t="str">
        <f>IF(T[[#This Row],[qty_ordered]]&lt;&gt;T[[#This Row],[qty_received]],IF(T[[#This Row],[qty_received]]&gt;0,"Partial Received","Not Receviced"),"FullyReceived")</f>
        <v>Not Receviced</v>
      </c>
      <c r="Q627" t="str">
        <f>IF(T[[#This Row],[qty_received]]&lt;&gt;T[[#This Row],[qty_invoiced]],IF(T[[#This Row],[qty_invoiced]]&gt;0,"Partial Invoiced","Not Invoiced"),"Fully Invoiced")</f>
        <v>Partial Invoiced</v>
      </c>
      <c r="R627" t="str">
        <f>IFERROR(VLOOKUP(T[[#This Row],[warehouse]],Table2[],2,FALSE),"--")</f>
        <v>--</v>
      </c>
    </row>
    <row r="628" spans="1:18" x14ac:dyDescent="0.25">
      <c r="A628" t="s">
        <v>181</v>
      </c>
      <c r="B628" s="1">
        <v>43913</v>
      </c>
      <c r="C628" t="s">
        <v>699</v>
      </c>
      <c r="D628" t="s">
        <v>100</v>
      </c>
      <c r="E628" t="s">
        <v>51</v>
      </c>
      <c r="F628" t="s">
        <v>183</v>
      </c>
      <c r="G628" t="s">
        <v>183</v>
      </c>
      <c r="H628" t="s">
        <v>54</v>
      </c>
      <c r="I628">
        <v>40.520000000000003</v>
      </c>
      <c r="J628">
        <v>0</v>
      </c>
      <c r="K628">
        <v>1</v>
      </c>
      <c r="L628" t="s">
        <v>25</v>
      </c>
      <c r="M628" t="s">
        <v>533</v>
      </c>
      <c r="N628">
        <v>675</v>
      </c>
      <c r="O628">
        <v>0</v>
      </c>
      <c r="P628" t="str">
        <f>IF(T[[#This Row],[qty_ordered]]&lt;&gt;T[[#This Row],[qty_received]],IF(T[[#This Row],[qty_received]]&gt;0,"Partial Received","Not Receviced"),"FullyReceived")</f>
        <v>Not Receviced</v>
      </c>
      <c r="Q628" t="str">
        <f>IF(T[[#This Row],[qty_received]]&lt;&gt;T[[#This Row],[qty_invoiced]],IF(T[[#This Row],[qty_invoiced]]&gt;0,"Partial Invoiced","Not Invoiced"),"Fully Invoiced")</f>
        <v>Partial Invoiced</v>
      </c>
      <c r="R628" t="str">
        <f>IFERROR(VLOOKUP(T[[#This Row],[warehouse]],Table2[],2,FALSE),"--")</f>
        <v>--</v>
      </c>
    </row>
    <row r="629" spans="1:18" x14ac:dyDescent="0.25">
      <c r="A629" t="s">
        <v>252</v>
      </c>
      <c r="B629" s="1">
        <v>43849</v>
      </c>
      <c r="C629" t="s">
        <v>638</v>
      </c>
      <c r="D629" t="s">
        <v>74</v>
      </c>
      <c r="E629" t="s">
        <v>51</v>
      </c>
      <c r="F629" t="s">
        <v>183</v>
      </c>
      <c r="G629" t="s">
        <v>183</v>
      </c>
      <c r="H629" t="s">
        <v>54</v>
      </c>
      <c r="I629">
        <v>346.62299999999999</v>
      </c>
      <c r="J629">
        <v>0</v>
      </c>
      <c r="K629">
        <v>1</v>
      </c>
      <c r="L629" t="s">
        <v>25</v>
      </c>
      <c r="M629" t="s">
        <v>533</v>
      </c>
      <c r="N629">
        <v>850</v>
      </c>
      <c r="O629">
        <v>0</v>
      </c>
      <c r="P629" t="str">
        <f>IF(T[[#This Row],[qty_ordered]]&lt;&gt;T[[#This Row],[qty_received]],IF(T[[#This Row],[qty_received]]&gt;0,"Partial Received","Not Receviced"),"FullyReceived")</f>
        <v>Not Receviced</v>
      </c>
      <c r="Q629" t="str">
        <f>IF(T[[#This Row],[qty_received]]&lt;&gt;T[[#This Row],[qty_invoiced]],IF(T[[#This Row],[qty_invoiced]]&gt;0,"Partial Invoiced","Not Invoiced"),"Fully Invoiced")</f>
        <v>Partial Invoiced</v>
      </c>
      <c r="R629" t="str">
        <f>IFERROR(VLOOKUP(T[[#This Row],[warehouse]],Table2[],2,FALSE),"--")</f>
        <v>--</v>
      </c>
    </row>
    <row r="630" spans="1:18" x14ac:dyDescent="0.25">
      <c r="A630" t="s">
        <v>72</v>
      </c>
      <c r="B630" s="1">
        <v>43857</v>
      </c>
      <c r="C630" t="s">
        <v>656</v>
      </c>
      <c r="D630" t="s">
        <v>100</v>
      </c>
      <c r="E630" t="s">
        <v>51</v>
      </c>
      <c r="F630" t="s">
        <v>183</v>
      </c>
      <c r="G630" t="s">
        <v>700</v>
      </c>
      <c r="H630" t="s">
        <v>54</v>
      </c>
      <c r="I630">
        <v>403.08</v>
      </c>
      <c r="J630">
        <v>0</v>
      </c>
      <c r="K630">
        <v>1</v>
      </c>
      <c r="L630" t="s">
        <v>25</v>
      </c>
      <c r="M630" t="s">
        <v>533</v>
      </c>
      <c r="N630">
        <v>1000</v>
      </c>
      <c r="O630">
        <v>0</v>
      </c>
      <c r="P630" t="str">
        <f>IF(T[[#This Row],[qty_ordered]]&lt;&gt;T[[#This Row],[qty_received]],IF(T[[#This Row],[qty_received]]&gt;0,"Partial Received","Not Receviced"),"FullyReceived")</f>
        <v>Not Receviced</v>
      </c>
      <c r="Q630" t="str">
        <f>IF(T[[#This Row],[qty_received]]&lt;&gt;T[[#This Row],[qty_invoiced]],IF(T[[#This Row],[qty_invoiced]]&gt;0,"Partial Invoiced","Not Invoiced"),"Fully Invoiced")</f>
        <v>Partial Invoiced</v>
      </c>
      <c r="R630" t="str">
        <f>IFERROR(VLOOKUP(T[[#This Row],[warehouse]],Table2[],2,FALSE),"--")</f>
        <v>--</v>
      </c>
    </row>
    <row r="631" spans="1:18" x14ac:dyDescent="0.25">
      <c r="A631" t="s">
        <v>72</v>
      </c>
      <c r="B631" s="1">
        <v>43857</v>
      </c>
      <c r="C631" t="s">
        <v>656</v>
      </c>
      <c r="D631" t="s">
        <v>88</v>
      </c>
      <c r="E631" t="s">
        <v>51</v>
      </c>
      <c r="F631" t="s">
        <v>183</v>
      </c>
      <c r="G631" t="s">
        <v>701</v>
      </c>
      <c r="H631" t="s">
        <v>54</v>
      </c>
      <c r="I631">
        <v>70</v>
      </c>
      <c r="J631">
        <v>0</v>
      </c>
      <c r="K631">
        <v>1</v>
      </c>
      <c r="L631" t="s">
        <v>25</v>
      </c>
      <c r="M631" t="s">
        <v>533</v>
      </c>
      <c r="N631">
        <v>1100</v>
      </c>
      <c r="O631">
        <v>0</v>
      </c>
      <c r="P631" t="str">
        <f>IF(T[[#This Row],[qty_ordered]]&lt;&gt;T[[#This Row],[qty_received]],IF(T[[#This Row],[qty_received]]&gt;0,"Partial Received","Not Receviced"),"FullyReceived")</f>
        <v>Not Receviced</v>
      </c>
      <c r="Q631" t="str">
        <f>IF(T[[#This Row],[qty_received]]&lt;&gt;T[[#This Row],[qty_invoiced]],IF(T[[#This Row],[qty_invoiced]]&gt;0,"Partial Invoiced","Not Invoiced"),"Fully Invoiced")</f>
        <v>Partial Invoiced</v>
      </c>
      <c r="R631" t="str">
        <f>IFERROR(VLOOKUP(T[[#This Row],[warehouse]],Table2[],2,FALSE),"--")</f>
        <v>--</v>
      </c>
    </row>
    <row r="632" spans="1:18" x14ac:dyDescent="0.25">
      <c r="A632" t="s">
        <v>686</v>
      </c>
      <c r="B632" s="1">
        <v>43849</v>
      </c>
      <c r="C632" t="s">
        <v>687</v>
      </c>
      <c r="D632" t="s">
        <v>702</v>
      </c>
      <c r="E632" t="s">
        <v>51</v>
      </c>
      <c r="F632" t="s">
        <v>247</v>
      </c>
      <c r="G632" t="s">
        <v>247</v>
      </c>
      <c r="H632" t="s">
        <v>54</v>
      </c>
      <c r="I632">
        <v>11.986000000000001</v>
      </c>
      <c r="J632">
        <v>0</v>
      </c>
      <c r="K632">
        <v>1</v>
      </c>
      <c r="L632" t="s">
        <v>25</v>
      </c>
      <c r="M632" t="s">
        <v>533</v>
      </c>
      <c r="N632">
        <v>6500</v>
      </c>
      <c r="O632">
        <v>0</v>
      </c>
      <c r="P632" t="str">
        <f>IF(T[[#This Row],[qty_ordered]]&lt;&gt;T[[#This Row],[qty_received]],IF(T[[#This Row],[qty_received]]&gt;0,"Partial Received","Not Receviced"),"FullyReceived")</f>
        <v>Not Receviced</v>
      </c>
      <c r="Q632" t="str">
        <f>IF(T[[#This Row],[qty_received]]&lt;&gt;T[[#This Row],[qty_invoiced]],IF(T[[#This Row],[qty_invoiced]]&gt;0,"Partial Invoiced","Not Invoiced"),"Fully Invoiced")</f>
        <v>Partial Invoiced</v>
      </c>
      <c r="R632" t="str">
        <f>IFERROR(VLOOKUP(T[[#This Row],[warehouse]],Table2[],2,FALSE),"--")</f>
        <v>--</v>
      </c>
    </row>
    <row r="633" spans="1:18" x14ac:dyDescent="0.25">
      <c r="A633" t="s">
        <v>703</v>
      </c>
      <c r="B633" s="1">
        <v>44039</v>
      </c>
      <c r="C633" t="s">
        <v>704</v>
      </c>
      <c r="D633" t="s">
        <v>20</v>
      </c>
      <c r="E633" t="s">
        <v>660</v>
      </c>
      <c r="F633" t="s">
        <v>705</v>
      </c>
      <c r="G633" t="s">
        <v>706</v>
      </c>
      <c r="H633" t="s">
        <v>663</v>
      </c>
      <c r="I633">
        <v>2901.7</v>
      </c>
      <c r="J633">
        <v>2901.7</v>
      </c>
      <c r="K633">
        <v>2901.7</v>
      </c>
      <c r="L633" t="s">
        <v>25</v>
      </c>
      <c r="M633" t="s">
        <v>707</v>
      </c>
      <c r="N633">
        <v>800</v>
      </c>
      <c r="O633">
        <v>2321360</v>
      </c>
      <c r="P633" t="str">
        <f>IF(T[[#This Row],[qty_ordered]]&lt;&gt;T[[#This Row],[qty_received]],IF(T[[#This Row],[qty_received]]&gt;0,"Partial Received","Not Receviced"),"FullyReceived")</f>
        <v>FullyReceived</v>
      </c>
      <c r="Q633" t="str">
        <f>IF(T[[#This Row],[qty_received]]&lt;&gt;T[[#This Row],[qty_invoiced]],IF(T[[#This Row],[qty_invoiced]]&gt;0,"Partial Invoiced","Not Invoiced"),"Fully Invoiced")</f>
        <v>Fully Invoiced</v>
      </c>
      <c r="R633" t="str">
        <f>IFERROR(VLOOKUP(T[[#This Row],[warehouse]],Table2[],2,FALSE),"--")</f>
        <v>SLAUGHTER HOUSE</v>
      </c>
    </row>
    <row r="634" spans="1:18" x14ac:dyDescent="0.25">
      <c r="A634" t="s">
        <v>303</v>
      </c>
      <c r="B634" s="1">
        <v>44039</v>
      </c>
      <c r="C634" t="s">
        <v>708</v>
      </c>
      <c r="D634" t="s">
        <v>20</v>
      </c>
      <c r="E634" t="s">
        <v>66</v>
      </c>
      <c r="F634" t="s">
        <v>709</v>
      </c>
      <c r="G634" t="s">
        <v>710</v>
      </c>
      <c r="H634" t="s">
        <v>711</v>
      </c>
      <c r="I634">
        <v>10683</v>
      </c>
      <c r="J634">
        <v>9993</v>
      </c>
      <c r="K634">
        <v>9993</v>
      </c>
      <c r="L634" t="s">
        <v>25</v>
      </c>
      <c r="M634" t="s">
        <v>707</v>
      </c>
      <c r="N634">
        <v>3100</v>
      </c>
      <c r="O634">
        <v>30978300</v>
      </c>
      <c r="P634" t="str">
        <f>IF(T[[#This Row],[qty_ordered]]&lt;&gt;T[[#This Row],[qty_received]],IF(T[[#This Row],[qty_received]]&gt;0,"Partial Received","Not Receviced"),"FullyReceived")</f>
        <v>Partial Received</v>
      </c>
      <c r="Q634" t="str">
        <f>IF(T[[#This Row],[qty_received]]&lt;&gt;T[[#This Row],[qty_invoiced]],IF(T[[#This Row],[qty_invoiced]]&gt;0,"Partial Invoiced","Not Invoiced"),"Fully Invoiced")</f>
        <v>Fully Invoiced</v>
      </c>
      <c r="R634" t="str">
        <f>IFERROR(VLOOKUP(T[[#This Row],[warehouse]],Table2[],2,FALSE),"--")</f>
        <v>PZU Main Warehouse</v>
      </c>
    </row>
    <row r="635" spans="1:18" x14ac:dyDescent="0.25">
      <c r="A635" t="s">
        <v>228</v>
      </c>
      <c r="B635" s="1">
        <v>44005</v>
      </c>
      <c r="C635" t="s">
        <v>712</v>
      </c>
      <c r="D635" t="s">
        <v>71</v>
      </c>
      <c r="E635" t="s">
        <v>239</v>
      </c>
      <c r="F635" t="s">
        <v>196</v>
      </c>
      <c r="G635" t="s">
        <v>197</v>
      </c>
      <c r="H635" t="s">
        <v>24</v>
      </c>
      <c r="I635">
        <v>50000</v>
      </c>
      <c r="J635">
        <v>2918.73</v>
      </c>
      <c r="K635">
        <v>2918.73</v>
      </c>
      <c r="L635" t="s">
        <v>25</v>
      </c>
      <c r="M635" t="s">
        <v>132</v>
      </c>
      <c r="N635">
        <v>50000</v>
      </c>
      <c r="O635">
        <v>145936500</v>
      </c>
      <c r="P635" t="str">
        <f>IF(T[[#This Row],[qty_ordered]]&lt;&gt;T[[#This Row],[qty_received]],IF(T[[#This Row],[qty_received]]&gt;0,"Partial Received","Not Receviced"),"FullyReceived")</f>
        <v>Partial Received</v>
      </c>
      <c r="Q635" t="str">
        <f>IF(T[[#This Row],[qty_received]]&lt;&gt;T[[#This Row],[qty_invoiced]],IF(T[[#This Row],[qty_invoiced]]&gt;0,"Partial Invoiced","Not Invoiced"),"Fully Invoiced")</f>
        <v>Fully Invoiced</v>
      </c>
      <c r="R635" t="str">
        <f>IFERROR(VLOOKUP(T[[#This Row],[warehouse]],Table2[],2,FALSE),"--")</f>
        <v xml:space="preserve">Gadarif Main Store </v>
      </c>
    </row>
    <row r="636" spans="1:18" x14ac:dyDescent="0.25">
      <c r="A636" t="s">
        <v>658</v>
      </c>
      <c r="B636" s="1">
        <v>44041</v>
      </c>
      <c r="C636" t="s">
        <v>713</v>
      </c>
      <c r="D636" t="s">
        <v>20</v>
      </c>
      <c r="E636" t="s">
        <v>660</v>
      </c>
      <c r="F636" t="s">
        <v>661</v>
      </c>
      <c r="G636" t="s">
        <v>662</v>
      </c>
      <c r="H636" t="s">
        <v>663</v>
      </c>
      <c r="I636">
        <v>3053.5</v>
      </c>
      <c r="J636">
        <v>0</v>
      </c>
      <c r="K636">
        <v>0</v>
      </c>
      <c r="L636" t="s">
        <v>25</v>
      </c>
      <c r="M636" t="s">
        <v>714</v>
      </c>
      <c r="N636">
        <v>380</v>
      </c>
      <c r="O636">
        <v>0</v>
      </c>
      <c r="P636" t="str">
        <f>IF(T[[#This Row],[qty_ordered]]&lt;&gt;T[[#This Row],[qty_received]],IF(T[[#This Row],[qty_received]]&gt;0,"Partial Received","Not Receviced"),"FullyReceived")</f>
        <v>Not Receviced</v>
      </c>
      <c r="Q636" t="str">
        <f>IF(T[[#This Row],[qty_received]]&lt;&gt;T[[#This Row],[qty_invoiced]],IF(T[[#This Row],[qty_invoiced]]&gt;0,"Partial Invoiced","Not Invoiced"),"Fully Invoiced")</f>
        <v>Fully Invoiced</v>
      </c>
      <c r="R636" t="str">
        <f>IFERROR(VLOOKUP(T[[#This Row],[warehouse]],Table2[],2,FALSE),"--")</f>
        <v>SLAUGHTER HOUSE</v>
      </c>
    </row>
    <row r="637" spans="1:18" x14ac:dyDescent="0.25">
      <c r="A637" t="s">
        <v>201</v>
      </c>
      <c r="B637" s="1">
        <v>44048</v>
      </c>
      <c r="C637" t="s">
        <v>715</v>
      </c>
      <c r="D637" t="s">
        <v>20</v>
      </c>
      <c r="E637" t="s">
        <v>146</v>
      </c>
      <c r="F637" t="s">
        <v>355</v>
      </c>
      <c r="G637" t="s">
        <v>356</v>
      </c>
      <c r="H637" t="s">
        <v>149</v>
      </c>
      <c r="I637">
        <v>10000</v>
      </c>
      <c r="J637">
        <v>0</v>
      </c>
      <c r="K637">
        <v>0</v>
      </c>
      <c r="L637" t="s">
        <v>25</v>
      </c>
      <c r="M637" t="s">
        <v>418</v>
      </c>
      <c r="N637">
        <v>702.88850000000002</v>
      </c>
      <c r="O637">
        <v>0</v>
      </c>
      <c r="P637" t="str">
        <f>IF(T[[#This Row],[qty_ordered]]&lt;&gt;T[[#This Row],[qty_received]],IF(T[[#This Row],[qty_received]]&gt;0,"Partial Received","Not Receviced"),"FullyReceived")</f>
        <v>Not Receviced</v>
      </c>
      <c r="Q637" t="str">
        <f>IF(T[[#This Row],[qty_received]]&lt;&gt;T[[#This Row],[qty_invoiced]],IF(T[[#This Row],[qty_invoiced]]&gt;0,"Partial Invoiced","Not Invoiced"),"Fully Invoiced")</f>
        <v>Fully Invoiced</v>
      </c>
      <c r="R637" t="str">
        <f>IFERROR(VLOOKUP(T[[#This Row],[warehouse]],Table2[],2,FALSE),"--")</f>
        <v>Khtoum Main Warehouse</v>
      </c>
    </row>
    <row r="638" spans="1:18" x14ac:dyDescent="0.25">
      <c r="A638" t="s">
        <v>153</v>
      </c>
      <c r="B638" s="1">
        <v>44034</v>
      </c>
      <c r="C638" t="s">
        <v>716</v>
      </c>
      <c r="D638" t="s">
        <v>71</v>
      </c>
      <c r="E638" t="s">
        <v>162</v>
      </c>
      <c r="F638" t="s">
        <v>108</v>
      </c>
      <c r="G638" t="s">
        <v>109</v>
      </c>
      <c r="H638" t="s">
        <v>24</v>
      </c>
      <c r="I638">
        <v>1000</v>
      </c>
      <c r="J638">
        <v>17.600000000000001</v>
      </c>
      <c r="K638">
        <v>17.600000000000001</v>
      </c>
      <c r="L638" t="s">
        <v>25</v>
      </c>
      <c r="M638" t="s">
        <v>132</v>
      </c>
      <c r="N638">
        <v>12000</v>
      </c>
      <c r="O638">
        <v>211200</v>
      </c>
      <c r="P638" t="str">
        <f>IF(T[[#This Row],[qty_ordered]]&lt;&gt;T[[#This Row],[qty_received]],IF(T[[#This Row],[qty_received]]&gt;0,"Partial Received","Not Receviced"),"FullyReceived")</f>
        <v>Partial Received</v>
      </c>
      <c r="Q638" t="str">
        <f>IF(T[[#This Row],[qty_received]]&lt;&gt;T[[#This Row],[qty_invoiced]],IF(T[[#This Row],[qty_invoiced]]&gt;0,"Partial Invoiced","Not Invoiced"),"Fully Invoiced")</f>
        <v>Fully Invoiced</v>
      </c>
      <c r="R638" t="str">
        <f>IFERROR(VLOOKUP(T[[#This Row],[warehouse]],Table2[],2,FALSE),"--")</f>
        <v>Sifters Mahasilna</v>
      </c>
    </row>
    <row r="639" spans="1:18" x14ac:dyDescent="0.25">
      <c r="A639" t="s">
        <v>703</v>
      </c>
      <c r="B639" s="1">
        <v>44053</v>
      </c>
      <c r="C639" t="s">
        <v>717</v>
      </c>
      <c r="D639" t="s">
        <v>20</v>
      </c>
      <c r="E639" t="s">
        <v>660</v>
      </c>
      <c r="F639" t="s">
        <v>705</v>
      </c>
      <c r="G639" t="s">
        <v>706</v>
      </c>
      <c r="H639" t="s">
        <v>663</v>
      </c>
      <c r="I639">
        <v>2964.6</v>
      </c>
      <c r="J639">
        <v>2964.6</v>
      </c>
      <c r="K639">
        <v>2964.6</v>
      </c>
      <c r="L639" t="s">
        <v>25</v>
      </c>
      <c r="M639" t="s">
        <v>132</v>
      </c>
      <c r="N639">
        <v>800</v>
      </c>
      <c r="O639">
        <v>2371680</v>
      </c>
      <c r="P639" t="str">
        <f>IF(T[[#This Row],[qty_ordered]]&lt;&gt;T[[#This Row],[qty_received]],IF(T[[#This Row],[qty_received]]&gt;0,"Partial Received","Not Receviced"),"FullyReceived")</f>
        <v>FullyReceived</v>
      </c>
      <c r="Q639" t="str">
        <f>IF(T[[#This Row],[qty_received]]&lt;&gt;T[[#This Row],[qty_invoiced]],IF(T[[#This Row],[qty_invoiced]]&gt;0,"Partial Invoiced","Not Invoiced"),"Fully Invoiced")</f>
        <v>Fully Invoiced</v>
      </c>
      <c r="R639" t="str">
        <f>IFERROR(VLOOKUP(T[[#This Row],[warehouse]],Table2[],2,FALSE),"--")</f>
        <v>SLAUGHTER HOUSE</v>
      </c>
    </row>
    <row r="640" spans="1:18" x14ac:dyDescent="0.25">
      <c r="A640" t="s">
        <v>423</v>
      </c>
      <c r="B640" s="1">
        <v>44053</v>
      </c>
      <c r="C640" t="s">
        <v>718</v>
      </c>
      <c r="D640" t="s">
        <v>20</v>
      </c>
      <c r="E640" t="s">
        <v>51</v>
      </c>
      <c r="F640" t="s">
        <v>546</v>
      </c>
      <c r="G640" t="s">
        <v>719</v>
      </c>
      <c r="H640" t="s">
        <v>54</v>
      </c>
      <c r="I640">
        <v>10000</v>
      </c>
      <c r="J640">
        <v>0</v>
      </c>
      <c r="K640">
        <v>1</v>
      </c>
      <c r="L640" t="s">
        <v>25</v>
      </c>
      <c r="M640" t="s">
        <v>533</v>
      </c>
      <c r="N640">
        <v>3.4</v>
      </c>
      <c r="O640">
        <v>0</v>
      </c>
      <c r="P640" t="str">
        <f>IF(T[[#This Row],[qty_ordered]]&lt;&gt;T[[#This Row],[qty_received]],IF(T[[#This Row],[qty_received]]&gt;0,"Partial Received","Not Receviced"),"FullyReceived")</f>
        <v>Not Receviced</v>
      </c>
      <c r="Q640" t="str">
        <f>IF(T[[#This Row],[qty_received]]&lt;&gt;T[[#This Row],[qty_invoiced]],IF(T[[#This Row],[qty_invoiced]]&gt;0,"Partial Invoiced","Not Invoiced"),"Fully Invoiced")</f>
        <v>Partial Invoiced</v>
      </c>
      <c r="R640" t="str">
        <f>IFERROR(VLOOKUP(T[[#This Row],[warehouse]],Table2[],2,FALSE),"--")</f>
        <v>--</v>
      </c>
    </row>
    <row r="641" spans="1:18" x14ac:dyDescent="0.25">
      <c r="A641" t="s">
        <v>658</v>
      </c>
      <c r="B641" s="1">
        <v>44053</v>
      </c>
      <c r="C641" t="s">
        <v>720</v>
      </c>
      <c r="D641" t="s">
        <v>20</v>
      </c>
      <c r="E641" t="s">
        <v>660</v>
      </c>
      <c r="F641" t="s">
        <v>661</v>
      </c>
      <c r="G641" t="s">
        <v>662</v>
      </c>
      <c r="H641" t="s">
        <v>663</v>
      </c>
      <c r="I641">
        <v>3053.5</v>
      </c>
      <c r="J641">
        <v>3053.5</v>
      </c>
      <c r="K641">
        <v>3053.5</v>
      </c>
      <c r="L641" t="s">
        <v>25</v>
      </c>
      <c r="M641" t="s">
        <v>132</v>
      </c>
      <c r="N641">
        <v>277.39999999999998</v>
      </c>
      <c r="O641">
        <v>847040.9</v>
      </c>
      <c r="P641" t="str">
        <f>IF(T[[#This Row],[qty_ordered]]&lt;&gt;T[[#This Row],[qty_received]],IF(T[[#This Row],[qty_received]]&gt;0,"Partial Received","Not Receviced"),"FullyReceived")</f>
        <v>FullyReceived</v>
      </c>
      <c r="Q641" t="str">
        <f>IF(T[[#This Row],[qty_received]]&lt;&gt;T[[#This Row],[qty_invoiced]],IF(T[[#This Row],[qty_invoiced]]&gt;0,"Partial Invoiced","Not Invoiced"),"Fully Invoiced")</f>
        <v>Fully Invoiced</v>
      </c>
      <c r="R641" t="str">
        <f>IFERROR(VLOOKUP(T[[#This Row],[warehouse]],Table2[],2,FALSE),"--")</f>
        <v>SLAUGHTER HOUSE</v>
      </c>
    </row>
    <row r="642" spans="1:18" x14ac:dyDescent="0.25">
      <c r="A642" t="s">
        <v>721</v>
      </c>
      <c r="B642" s="1">
        <v>44054</v>
      </c>
      <c r="C642" t="s">
        <v>722</v>
      </c>
      <c r="D642" t="s">
        <v>20</v>
      </c>
      <c r="E642" t="s">
        <v>723</v>
      </c>
      <c r="F642" t="s">
        <v>219</v>
      </c>
      <c r="G642" t="s">
        <v>724</v>
      </c>
      <c r="H642" t="s">
        <v>221</v>
      </c>
      <c r="I642">
        <v>35086.6</v>
      </c>
      <c r="J642">
        <v>35086.6</v>
      </c>
      <c r="K642">
        <v>35086.6</v>
      </c>
      <c r="L642" t="s">
        <v>25</v>
      </c>
      <c r="M642" t="s">
        <v>132</v>
      </c>
      <c r="N642">
        <v>8504.1433199999992</v>
      </c>
      <c r="O642">
        <v>298381475.01151198</v>
      </c>
      <c r="P642" t="str">
        <f>IF(T[[#This Row],[qty_ordered]]&lt;&gt;T[[#This Row],[qty_received]],IF(T[[#This Row],[qty_received]]&gt;0,"Partial Received","Not Receviced"),"FullyReceived")</f>
        <v>FullyReceived</v>
      </c>
      <c r="Q642" t="str">
        <f>IF(T[[#This Row],[qty_received]]&lt;&gt;T[[#This Row],[qty_invoiced]],IF(T[[#This Row],[qty_invoiced]]&gt;0,"Partial Invoiced","Not Invoiced"),"Fully Invoiced")</f>
        <v>Fully Invoiced</v>
      </c>
      <c r="R642" t="str">
        <f>IFERROR(VLOOKUP(T[[#This Row],[warehouse]],Table2[],2,FALSE),"--")</f>
        <v>YELLOW BEANS</v>
      </c>
    </row>
    <row r="643" spans="1:18" x14ac:dyDescent="0.25">
      <c r="A643" t="s">
        <v>725</v>
      </c>
      <c r="B643" s="1">
        <v>44055</v>
      </c>
      <c r="C643" t="s">
        <v>726</v>
      </c>
      <c r="D643" t="s">
        <v>20</v>
      </c>
      <c r="E643" t="s">
        <v>723</v>
      </c>
      <c r="F643" t="s">
        <v>219</v>
      </c>
      <c r="G643" t="s">
        <v>724</v>
      </c>
      <c r="H643" t="s">
        <v>221</v>
      </c>
      <c r="I643">
        <v>9042.3649999999998</v>
      </c>
      <c r="J643">
        <v>9042.3649999999998</v>
      </c>
      <c r="K643">
        <v>9042.3649999999998</v>
      </c>
      <c r="L643" t="s">
        <v>25</v>
      </c>
      <c r="M643" t="s">
        <v>132</v>
      </c>
      <c r="N643">
        <v>8390</v>
      </c>
      <c r="O643">
        <v>75865442.349999994</v>
      </c>
      <c r="P643" t="str">
        <f>IF(T[[#This Row],[qty_ordered]]&lt;&gt;T[[#This Row],[qty_received]],IF(T[[#This Row],[qty_received]]&gt;0,"Partial Received","Not Receviced"),"FullyReceived")</f>
        <v>FullyReceived</v>
      </c>
      <c r="Q643" t="str">
        <f>IF(T[[#This Row],[qty_received]]&lt;&gt;T[[#This Row],[qty_invoiced]],IF(T[[#This Row],[qty_invoiced]]&gt;0,"Partial Invoiced","Not Invoiced"),"Fully Invoiced")</f>
        <v>Fully Invoiced</v>
      </c>
      <c r="R643" t="str">
        <f>IFERROR(VLOOKUP(T[[#This Row],[warehouse]],Table2[],2,FALSE),"--")</f>
        <v>YELLOW BEANS</v>
      </c>
    </row>
    <row r="644" spans="1:18" x14ac:dyDescent="0.25">
      <c r="A644" t="s">
        <v>727</v>
      </c>
      <c r="B644" s="1">
        <v>44053</v>
      </c>
      <c r="C644" t="s">
        <v>728</v>
      </c>
      <c r="D644" t="s">
        <v>20</v>
      </c>
      <c r="E644" t="s">
        <v>723</v>
      </c>
      <c r="F644" t="s">
        <v>219</v>
      </c>
      <c r="G644" t="s">
        <v>724</v>
      </c>
      <c r="H644" t="s">
        <v>221</v>
      </c>
      <c r="I644">
        <v>2448.2649999999999</v>
      </c>
      <c r="J644">
        <v>2448.2649999999999</v>
      </c>
      <c r="K644">
        <v>2448.2649999999999</v>
      </c>
      <c r="L644" t="s">
        <v>25</v>
      </c>
      <c r="M644" t="s">
        <v>132</v>
      </c>
      <c r="N644">
        <v>8755.7199999999993</v>
      </c>
      <c r="O644">
        <v>21436322.825800002</v>
      </c>
      <c r="P644" t="str">
        <f>IF(T[[#This Row],[qty_ordered]]&lt;&gt;T[[#This Row],[qty_received]],IF(T[[#This Row],[qty_received]]&gt;0,"Partial Received","Not Receviced"),"FullyReceived")</f>
        <v>FullyReceived</v>
      </c>
      <c r="Q644" t="str">
        <f>IF(T[[#This Row],[qty_received]]&lt;&gt;T[[#This Row],[qty_invoiced]],IF(T[[#This Row],[qty_invoiced]]&gt;0,"Partial Invoiced","Not Invoiced"),"Fully Invoiced")</f>
        <v>Fully Invoiced</v>
      </c>
      <c r="R644" t="str">
        <f>IFERROR(VLOOKUP(T[[#This Row],[warehouse]],Table2[],2,FALSE),"--")</f>
        <v>YELLOW BEANS</v>
      </c>
    </row>
    <row r="645" spans="1:18" x14ac:dyDescent="0.25">
      <c r="A645" t="s">
        <v>658</v>
      </c>
      <c r="B645" s="1">
        <v>44069</v>
      </c>
      <c r="C645" t="s">
        <v>729</v>
      </c>
      <c r="D645" t="s">
        <v>20</v>
      </c>
      <c r="E645" t="s">
        <v>660</v>
      </c>
      <c r="F645" t="s">
        <v>661</v>
      </c>
      <c r="G645" t="s">
        <v>662</v>
      </c>
      <c r="H645" t="s">
        <v>663</v>
      </c>
      <c r="I645">
        <v>4581.6000000000004</v>
      </c>
      <c r="J645">
        <v>4581.6000000000004</v>
      </c>
      <c r="K645">
        <v>4581.6000000000004</v>
      </c>
      <c r="L645" t="s">
        <v>25</v>
      </c>
      <c r="M645" t="s">
        <v>132</v>
      </c>
      <c r="N645">
        <v>270</v>
      </c>
      <c r="O645">
        <v>1237032</v>
      </c>
      <c r="P645" t="str">
        <f>IF(T[[#This Row],[qty_ordered]]&lt;&gt;T[[#This Row],[qty_received]],IF(T[[#This Row],[qty_received]]&gt;0,"Partial Received","Not Receviced"),"FullyReceived")</f>
        <v>FullyReceived</v>
      </c>
      <c r="Q645" t="str">
        <f>IF(T[[#This Row],[qty_received]]&lt;&gt;T[[#This Row],[qty_invoiced]],IF(T[[#This Row],[qty_invoiced]]&gt;0,"Partial Invoiced","Not Invoiced"),"Fully Invoiced")</f>
        <v>Fully Invoiced</v>
      </c>
      <c r="R645" t="str">
        <f>IFERROR(VLOOKUP(T[[#This Row],[warehouse]],Table2[],2,FALSE),"--")</f>
        <v>SLAUGHTER HOUSE</v>
      </c>
    </row>
    <row r="646" spans="1:18" x14ac:dyDescent="0.25">
      <c r="A646" t="s">
        <v>727</v>
      </c>
      <c r="B646" s="1">
        <v>44054</v>
      </c>
      <c r="C646" t="s">
        <v>730</v>
      </c>
      <c r="D646" t="s">
        <v>20</v>
      </c>
      <c r="E646" t="s">
        <v>723</v>
      </c>
      <c r="F646" t="s">
        <v>219</v>
      </c>
      <c r="G646" t="s">
        <v>724</v>
      </c>
      <c r="H646" t="s">
        <v>221</v>
      </c>
      <c r="I646">
        <v>22920.65</v>
      </c>
      <c r="J646">
        <v>22920.65</v>
      </c>
      <c r="K646">
        <v>22920.65</v>
      </c>
      <c r="L646" t="s">
        <v>25</v>
      </c>
      <c r="M646" t="s">
        <v>132</v>
      </c>
      <c r="N646">
        <v>13705.944</v>
      </c>
      <c r="O646">
        <v>314149145.34359998</v>
      </c>
      <c r="P646" t="str">
        <f>IF(T[[#This Row],[qty_ordered]]&lt;&gt;T[[#This Row],[qty_received]],IF(T[[#This Row],[qty_received]]&gt;0,"Partial Received","Not Receviced"),"FullyReceived")</f>
        <v>FullyReceived</v>
      </c>
      <c r="Q646" t="str">
        <f>IF(T[[#This Row],[qty_received]]&lt;&gt;T[[#This Row],[qty_invoiced]],IF(T[[#This Row],[qty_invoiced]]&gt;0,"Partial Invoiced","Not Invoiced"),"Fully Invoiced")</f>
        <v>Fully Invoiced</v>
      </c>
      <c r="R646" t="str">
        <f>IFERROR(VLOOKUP(T[[#This Row],[warehouse]],Table2[],2,FALSE),"--")</f>
        <v>YELLOW BEANS</v>
      </c>
    </row>
    <row r="647" spans="1:18" x14ac:dyDescent="0.25">
      <c r="A647" t="s">
        <v>505</v>
      </c>
      <c r="B647" s="1">
        <v>43933</v>
      </c>
      <c r="C647" t="s">
        <v>684</v>
      </c>
      <c r="D647" t="s">
        <v>451</v>
      </c>
      <c r="E647" t="s">
        <v>51</v>
      </c>
      <c r="F647" t="s">
        <v>247</v>
      </c>
      <c r="G647" t="s">
        <v>247</v>
      </c>
      <c r="H647" t="s">
        <v>54</v>
      </c>
      <c r="I647">
        <v>1.64</v>
      </c>
      <c r="J647">
        <v>0</v>
      </c>
      <c r="K647">
        <v>1</v>
      </c>
      <c r="L647" t="s">
        <v>25</v>
      </c>
      <c r="M647" t="s">
        <v>533</v>
      </c>
      <c r="N647">
        <v>-6000</v>
      </c>
      <c r="O647">
        <v>0</v>
      </c>
      <c r="P647" t="str">
        <f>IF(T[[#This Row],[qty_ordered]]&lt;&gt;T[[#This Row],[qty_received]],IF(T[[#This Row],[qty_received]]&gt;0,"Partial Received","Not Receviced"),"FullyReceived")</f>
        <v>Not Receviced</v>
      </c>
      <c r="Q647" t="str">
        <f>IF(T[[#This Row],[qty_received]]&lt;&gt;T[[#This Row],[qty_invoiced]],IF(T[[#This Row],[qty_invoiced]]&gt;0,"Partial Invoiced","Not Invoiced"),"Fully Invoiced")</f>
        <v>Partial Invoiced</v>
      </c>
      <c r="R647" t="str">
        <f>IFERROR(VLOOKUP(T[[#This Row],[warehouse]],Table2[],2,FALSE),"--")</f>
        <v>--</v>
      </c>
    </row>
    <row r="648" spans="1:18" x14ac:dyDescent="0.25">
      <c r="A648" t="s">
        <v>505</v>
      </c>
      <c r="B648" s="1">
        <v>43933</v>
      </c>
      <c r="C648" t="s">
        <v>684</v>
      </c>
      <c r="D648" t="s">
        <v>452</v>
      </c>
      <c r="E648" t="s">
        <v>51</v>
      </c>
      <c r="F648" t="s">
        <v>247</v>
      </c>
      <c r="G648" t="s">
        <v>247</v>
      </c>
      <c r="H648" t="s">
        <v>54</v>
      </c>
      <c r="I648">
        <v>13.1</v>
      </c>
      <c r="J648">
        <v>0</v>
      </c>
      <c r="K648">
        <v>1</v>
      </c>
      <c r="L648" t="s">
        <v>25</v>
      </c>
      <c r="M648" t="s">
        <v>533</v>
      </c>
      <c r="N648">
        <v>6500</v>
      </c>
      <c r="O648">
        <v>0</v>
      </c>
      <c r="P648" t="str">
        <f>IF(T[[#This Row],[qty_ordered]]&lt;&gt;T[[#This Row],[qty_received]],IF(T[[#This Row],[qty_received]]&gt;0,"Partial Received","Not Receviced"),"FullyReceived")</f>
        <v>Not Receviced</v>
      </c>
      <c r="Q648" t="str">
        <f>IF(T[[#This Row],[qty_received]]&lt;&gt;T[[#This Row],[qty_invoiced]],IF(T[[#This Row],[qty_invoiced]]&gt;0,"Partial Invoiced","Not Invoiced"),"Fully Invoiced")</f>
        <v>Partial Invoiced</v>
      </c>
      <c r="R648" t="str">
        <f>IFERROR(VLOOKUP(T[[#This Row],[warehouse]],Table2[],2,FALSE),"--")</f>
        <v>--</v>
      </c>
    </row>
    <row r="649" spans="1:18" x14ac:dyDescent="0.25">
      <c r="A649" t="s">
        <v>493</v>
      </c>
      <c r="B649" s="1">
        <v>44056</v>
      </c>
      <c r="C649" t="s">
        <v>731</v>
      </c>
      <c r="D649" t="s">
        <v>20</v>
      </c>
      <c r="E649" t="s">
        <v>51</v>
      </c>
      <c r="F649" t="s">
        <v>52</v>
      </c>
      <c r="G649" t="s">
        <v>53</v>
      </c>
      <c r="H649" t="s">
        <v>54</v>
      </c>
      <c r="I649">
        <v>21</v>
      </c>
      <c r="J649">
        <v>0</v>
      </c>
      <c r="K649">
        <v>0</v>
      </c>
      <c r="L649" t="s">
        <v>25</v>
      </c>
      <c r="M649" t="s">
        <v>132</v>
      </c>
      <c r="N649">
        <v>280529.3</v>
      </c>
      <c r="O649">
        <v>0</v>
      </c>
      <c r="P649" t="str">
        <f>IF(T[[#This Row],[qty_ordered]]&lt;&gt;T[[#This Row],[qty_received]],IF(T[[#This Row],[qty_received]]&gt;0,"Partial Received","Not Receviced"),"FullyReceived")</f>
        <v>Not Receviced</v>
      </c>
      <c r="Q649" t="str">
        <f>IF(T[[#This Row],[qty_received]]&lt;&gt;T[[#This Row],[qty_invoiced]],IF(T[[#This Row],[qty_invoiced]]&gt;0,"Partial Invoiced","Not Invoiced"),"Fully Invoiced")</f>
        <v>Fully Invoiced</v>
      </c>
      <c r="R649" t="str">
        <f>IFERROR(VLOOKUP(T[[#This Row],[warehouse]],Table2[],2,FALSE),"--")</f>
        <v>--</v>
      </c>
    </row>
    <row r="650" spans="1:18" x14ac:dyDescent="0.25">
      <c r="A650" t="s">
        <v>732</v>
      </c>
      <c r="B650" s="1">
        <v>43872</v>
      </c>
      <c r="C650" t="s">
        <v>733</v>
      </c>
      <c r="D650" t="s">
        <v>88</v>
      </c>
      <c r="E650" t="s">
        <v>51</v>
      </c>
      <c r="F650" t="s">
        <v>164</v>
      </c>
      <c r="G650" t="s">
        <v>734</v>
      </c>
      <c r="H650" t="s">
        <v>54</v>
      </c>
      <c r="I650">
        <v>500</v>
      </c>
      <c r="J650">
        <v>0</v>
      </c>
      <c r="K650">
        <v>1</v>
      </c>
      <c r="L650" t="s">
        <v>25</v>
      </c>
      <c r="M650" t="s">
        <v>533</v>
      </c>
      <c r="N650">
        <v>30</v>
      </c>
      <c r="O650">
        <v>0</v>
      </c>
      <c r="P650" t="str">
        <f>IF(T[[#This Row],[qty_ordered]]&lt;&gt;T[[#This Row],[qty_received]],IF(T[[#This Row],[qty_received]]&gt;0,"Partial Received","Not Receviced"),"FullyReceived")</f>
        <v>Not Receviced</v>
      </c>
      <c r="Q650" t="str">
        <f>IF(T[[#This Row],[qty_received]]&lt;&gt;T[[#This Row],[qty_invoiced]],IF(T[[#This Row],[qty_invoiced]]&gt;0,"Partial Invoiced","Not Invoiced"),"Fully Invoiced")</f>
        <v>Partial Invoiced</v>
      </c>
      <c r="R650" t="str">
        <f>IFERROR(VLOOKUP(T[[#This Row],[warehouse]],Table2[],2,FALSE),"--")</f>
        <v>--</v>
      </c>
    </row>
    <row r="651" spans="1:18" x14ac:dyDescent="0.25">
      <c r="A651" t="s">
        <v>735</v>
      </c>
      <c r="B651" s="1">
        <v>44021</v>
      </c>
      <c r="C651" t="s">
        <v>736</v>
      </c>
      <c r="D651" t="s">
        <v>100</v>
      </c>
      <c r="E651" t="s">
        <v>51</v>
      </c>
      <c r="F651" t="s">
        <v>183</v>
      </c>
      <c r="G651" t="s">
        <v>737</v>
      </c>
      <c r="H651" t="s">
        <v>54</v>
      </c>
      <c r="I651">
        <v>500</v>
      </c>
      <c r="J651">
        <v>0</v>
      </c>
      <c r="K651">
        <v>1</v>
      </c>
      <c r="L651" t="s">
        <v>25</v>
      </c>
      <c r="M651" t="s">
        <v>533</v>
      </c>
      <c r="N651">
        <v>1250</v>
      </c>
      <c r="O651">
        <v>0</v>
      </c>
      <c r="P651" t="str">
        <f>IF(T[[#This Row],[qty_ordered]]&lt;&gt;T[[#This Row],[qty_received]],IF(T[[#This Row],[qty_received]]&gt;0,"Partial Received","Not Receviced"),"FullyReceived")</f>
        <v>Not Receviced</v>
      </c>
      <c r="Q651" t="str">
        <f>IF(T[[#This Row],[qty_received]]&lt;&gt;T[[#This Row],[qty_invoiced]],IF(T[[#This Row],[qty_invoiced]]&gt;0,"Partial Invoiced","Not Invoiced"),"Fully Invoiced")</f>
        <v>Partial Invoiced</v>
      </c>
      <c r="R651" t="str">
        <f>IFERROR(VLOOKUP(T[[#This Row],[warehouse]],Table2[],2,FALSE),"--")</f>
        <v>--</v>
      </c>
    </row>
    <row r="652" spans="1:18" x14ac:dyDescent="0.25">
      <c r="A652" t="s">
        <v>423</v>
      </c>
      <c r="B652" s="1">
        <v>44060</v>
      </c>
      <c r="C652" t="s">
        <v>738</v>
      </c>
      <c r="D652" t="s">
        <v>20</v>
      </c>
      <c r="E652" t="s">
        <v>239</v>
      </c>
      <c r="F652" t="s">
        <v>147</v>
      </c>
      <c r="G652" t="s">
        <v>148</v>
      </c>
      <c r="H652" t="s">
        <v>149</v>
      </c>
      <c r="I652">
        <v>10000</v>
      </c>
      <c r="J652">
        <v>0</v>
      </c>
      <c r="K652">
        <v>0</v>
      </c>
      <c r="L652" t="s">
        <v>59</v>
      </c>
      <c r="M652" t="s">
        <v>575</v>
      </c>
      <c r="N652">
        <v>51</v>
      </c>
      <c r="O652">
        <v>0</v>
      </c>
      <c r="P652" t="str">
        <f>IF(T[[#This Row],[qty_ordered]]&lt;&gt;T[[#This Row],[qty_received]],IF(T[[#This Row],[qty_received]]&gt;0,"Partial Received","Not Receviced"),"FullyReceived")</f>
        <v>Not Receviced</v>
      </c>
      <c r="Q652" t="str">
        <f>IF(T[[#This Row],[qty_received]]&lt;&gt;T[[#This Row],[qty_invoiced]],IF(T[[#This Row],[qty_invoiced]]&gt;0,"Partial Invoiced","Not Invoiced"),"Fully Invoiced")</f>
        <v>Fully Invoiced</v>
      </c>
      <c r="R652" t="str">
        <f>IFERROR(VLOOKUP(T[[#This Row],[warehouse]],Table2[],2,FALSE),"--")</f>
        <v xml:space="preserve">Gadarif Main Store </v>
      </c>
    </row>
    <row r="653" spans="1:18" x14ac:dyDescent="0.25">
      <c r="A653" t="s">
        <v>462</v>
      </c>
      <c r="B653" s="1">
        <v>43895</v>
      </c>
      <c r="C653" t="s">
        <v>688</v>
      </c>
      <c r="D653" t="s">
        <v>507</v>
      </c>
      <c r="E653" t="s">
        <v>51</v>
      </c>
      <c r="F653" t="s">
        <v>278</v>
      </c>
      <c r="G653" t="s">
        <v>279</v>
      </c>
      <c r="H653" t="s">
        <v>54</v>
      </c>
      <c r="I653">
        <v>6000</v>
      </c>
      <c r="J653">
        <v>0</v>
      </c>
      <c r="K653">
        <v>1</v>
      </c>
      <c r="L653" t="s">
        <v>25</v>
      </c>
      <c r="M653" t="s">
        <v>533</v>
      </c>
      <c r="N653">
        <v>6</v>
      </c>
      <c r="O653">
        <v>0</v>
      </c>
      <c r="P653" t="str">
        <f>IF(T[[#This Row],[qty_ordered]]&lt;&gt;T[[#This Row],[qty_received]],IF(T[[#This Row],[qty_received]]&gt;0,"Partial Received","Not Receviced"),"FullyReceived")</f>
        <v>Not Receviced</v>
      </c>
      <c r="Q653" t="str">
        <f>IF(T[[#This Row],[qty_received]]&lt;&gt;T[[#This Row],[qty_invoiced]],IF(T[[#This Row],[qty_invoiced]]&gt;0,"Partial Invoiced","Not Invoiced"),"Fully Invoiced")</f>
        <v>Partial Invoiced</v>
      </c>
      <c r="R653" t="str">
        <f>IFERROR(VLOOKUP(T[[#This Row],[warehouse]],Table2[],2,FALSE),"--")</f>
        <v>--</v>
      </c>
    </row>
    <row r="654" spans="1:18" x14ac:dyDescent="0.25">
      <c r="A654" t="s">
        <v>462</v>
      </c>
      <c r="B654" s="1">
        <v>43895</v>
      </c>
      <c r="C654" t="s">
        <v>688</v>
      </c>
      <c r="D654" t="s">
        <v>508</v>
      </c>
      <c r="E654" t="s">
        <v>51</v>
      </c>
      <c r="F654" t="s">
        <v>254</v>
      </c>
      <c r="G654" t="s">
        <v>255</v>
      </c>
      <c r="H654" t="s">
        <v>54</v>
      </c>
      <c r="I654">
        <v>5000</v>
      </c>
      <c r="J654">
        <v>0</v>
      </c>
      <c r="K654">
        <v>1</v>
      </c>
      <c r="L654" t="s">
        <v>25</v>
      </c>
      <c r="M654" t="s">
        <v>533</v>
      </c>
      <c r="N654">
        <v>5</v>
      </c>
      <c r="O654">
        <v>0</v>
      </c>
      <c r="P654" t="str">
        <f>IF(T[[#This Row],[qty_ordered]]&lt;&gt;T[[#This Row],[qty_received]],IF(T[[#This Row],[qty_received]]&gt;0,"Partial Received","Not Receviced"),"FullyReceived")</f>
        <v>Not Receviced</v>
      </c>
      <c r="Q654" t="str">
        <f>IF(T[[#This Row],[qty_received]]&lt;&gt;T[[#This Row],[qty_invoiced]],IF(T[[#This Row],[qty_invoiced]]&gt;0,"Partial Invoiced","Not Invoiced"),"Fully Invoiced")</f>
        <v>Partial Invoiced</v>
      </c>
      <c r="R654" t="str">
        <f>IFERROR(VLOOKUP(T[[#This Row],[warehouse]],Table2[],2,FALSE),"--")</f>
        <v>--</v>
      </c>
    </row>
    <row r="655" spans="1:18" x14ac:dyDescent="0.25">
      <c r="A655" t="s">
        <v>462</v>
      </c>
      <c r="B655" s="1">
        <v>43895</v>
      </c>
      <c r="C655" t="s">
        <v>688</v>
      </c>
      <c r="D655" t="s">
        <v>509</v>
      </c>
      <c r="E655" t="s">
        <v>51</v>
      </c>
      <c r="F655" t="s">
        <v>373</v>
      </c>
      <c r="G655" t="s">
        <v>373</v>
      </c>
      <c r="H655" t="s">
        <v>54</v>
      </c>
      <c r="I655">
        <v>5000</v>
      </c>
      <c r="J655">
        <v>0</v>
      </c>
      <c r="K655">
        <v>1</v>
      </c>
      <c r="L655" t="s">
        <v>25</v>
      </c>
      <c r="M655" t="s">
        <v>533</v>
      </c>
      <c r="N655">
        <v>5</v>
      </c>
      <c r="O655">
        <v>0</v>
      </c>
      <c r="P655" t="str">
        <f>IF(T[[#This Row],[qty_ordered]]&lt;&gt;T[[#This Row],[qty_received]],IF(T[[#This Row],[qty_received]]&gt;0,"Partial Received","Not Receviced"),"FullyReceived")</f>
        <v>Not Receviced</v>
      </c>
      <c r="Q655" t="str">
        <f>IF(T[[#This Row],[qty_received]]&lt;&gt;T[[#This Row],[qty_invoiced]],IF(T[[#This Row],[qty_invoiced]]&gt;0,"Partial Invoiced","Not Invoiced"),"Fully Invoiced")</f>
        <v>Partial Invoiced</v>
      </c>
      <c r="R655" t="str">
        <f>IFERROR(VLOOKUP(T[[#This Row],[warehouse]],Table2[],2,FALSE),"--")</f>
        <v>--</v>
      </c>
    </row>
    <row r="656" spans="1:18" x14ac:dyDescent="0.25">
      <c r="A656" t="s">
        <v>739</v>
      </c>
      <c r="B656" s="1">
        <v>44059</v>
      </c>
      <c r="C656" t="s">
        <v>740</v>
      </c>
      <c r="D656" t="s">
        <v>20</v>
      </c>
      <c r="E656" t="s">
        <v>660</v>
      </c>
      <c r="F656" t="s">
        <v>705</v>
      </c>
      <c r="G656" t="s">
        <v>706</v>
      </c>
      <c r="H656" t="s">
        <v>663</v>
      </c>
      <c r="I656">
        <v>2984.1</v>
      </c>
      <c r="J656">
        <v>2984.1</v>
      </c>
      <c r="K656">
        <v>2984.1</v>
      </c>
      <c r="L656" t="s">
        <v>25</v>
      </c>
      <c r="M656" t="s">
        <v>132</v>
      </c>
      <c r="N656">
        <v>800</v>
      </c>
      <c r="O656">
        <v>2387280</v>
      </c>
      <c r="P656" t="str">
        <f>IF(T[[#This Row],[qty_ordered]]&lt;&gt;T[[#This Row],[qty_received]],IF(T[[#This Row],[qty_received]]&gt;0,"Partial Received","Not Receviced"),"FullyReceived")</f>
        <v>FullyReceived</v>
      </c>
      <c r="Q656" t="str">
        <f>IF(T[[#This Row],[qty_received]]&lt;&gt;T[[#This Row],[qty_invoiced]],IF(T[[#This Row],[qty_invoiced]]&gt;0,"Partial Invoiced","Not Invoiced"),"Fully Invoiced")</f>
        <v>Fully Invoiced</v>
      </c>
      <c r="R656" t="str">
        <f>IFERROR(VLOOKUP(T[[#This Row],[warehouse]],Table2[],2,FALSE),"--")</f>
        <v>SLAUGHTER HOUSE</v>
      </c>
    </row>
    <row r="657" spans="1:18" x14ac:dyDescent="0.25">
      <c r="A657" t="s">
        <v>725</v>
      </c>
      <c r="B657" s="1">
        <v>44059</v>
      </c>
      <c r="C657" t="s">
        <v>741</v>
      </c>
      <c r="D657" t="s">
        <v>20</v>
      </c>
      <c r="E657" t="s">
        <v>723</v>
      </c>
      <c r="F657" t="s">
        <v>219</v>
      </c>
      <c r="G657" t="s">
        <v>724</v>
      </c>
      <c r="H657" t="s">
        <v>221</v>
      </c>
      <c r="I657">
        <v>29181.360000000001</v>
      </c>
      <c r="J657">
        <v>29181.360000000001</v>
      </c>
      <c r="K657">
        <v>29181.360000000001</v>
      </c>
      <c r="L657" t="s">
        <v>25</v>
      </c>
      <c r="M657" t="s">
        <v>132</v>
      </c>
      <c r="N657">
        <v>8000</v>
      </c>
      <c r="O657">
        <v>233450880</v>
      </c>
      <c r="P657" t="str">
        <f>IF(T[[#This Row],[qty_ordered]]&lt;&gt;T[[#This Row],[qty_received]],IF(T[[#This Row],[qty_received]]&gt;0,"Partial Received","Not Receviced"),"FullyReceived")</f>
        <v>FullyReceived</v>
      </c>
      <c r="Q657" t="str">
        <f>IF(T[[#This Row],[qty_received]]&lt;&gt;T[[#This Row],[qty_invoiced]],IF(T[[#This Row],[qty_invoiced]]&gt;0,"Partial Invoiced","Not Invoiced"),"Fully Invoiced")</f>
        <v>Fully Invoiced</v>
      </c>
      <c r="R657" t="str">
        <f>IFERROR(VLOOKUP(T[[#This Row],[warehouse]],Table2[],2,FALSE),"--")</f>
        <v>YELLOW BEANS</v>
      </c>
    </row>
    <row r="658" spans="1:18" x14ac:dyDescent="0.25">
      <c r="A658" t="s">
        <v>725</v>
      </c>
      <c r="B658" s="1">
        <v>44059</v>
      </c>
      <c r="C658" t="s">
        <v>741</v>
      </c>
      <c r="D658" t="s">
        <v>71</v>
      </c>
      <c r="E658" t="s">
        <v>723</v>
      </c>
      <c r="F658" t="s">
        <v>219</v>
      </c>
      <c r="G658" t="s">
        <v>724</v>
      </c>
      <c r="H658" t="s">
        <v>221</v>
      </c>
      <c r="I658">
        <v>39917.19</v>
      </c>
      <c r="J658">
        <v>39917.19</v>
      </c>
      <c r="K658">
        <v>39917.19</v>
      </c>
      <c r="L658" t="s">
        <v>25</v>
      </c>
      <c r="M658" t="s">
        <v>132</v>
      </c>
      <c r="N658">
        <v>7500</v>
      </c>
      <c r="O658">
        <v>299378925</v>
      </c>
      <c r="P658" t="str">
        <f>IF(T[[#This Row],[qty_ordered]]&lt;&gt;T[[#This Row],[qty_received]],IF(T[[#This Row],[qty_received]]&gt;0,"Partial Received","Not Receviced"),"FullyReceived")</f>
        <v>FullyReceived</v>
      </c>
      <c r="Q658" t="str">
        <f>IF(T[[#This Row],[qty_received]]&lt;&gt;T[[#This Row],[qty_invoiced]],IF(T[[#This Row],[qty_invoiced]]&gt;0,"Partial Invoiced","Not Invoiced"),"Fully Invoiced")</f>
        <v>Fully Invoiced</v>
      </c>
      <c r="R658" t="str">
        <f>IFERROR(VLOOKUP(T[[#This Row],[warehouse]],Table2[],2,FALSE),"--")</f>
        <v>YELLOW BEANS</v>
      </c>
    </row>
    <row r="659" spans="1:18" x14ac:dyDescent="0.25">
      <c r="A659" t="s">
        <v>732</v>
      </c>
      <c r="B659" s="1">
        <v>43872</v>
      </c>
      <c r="C659" t="s">
        <v>733</v>
      </c>
      <c r="D659" t="s">
        <v>100</v>
      </c>
      <c r="E659" t="s">
        <v>51</v>
      </c>
      <c r="F659" t="s">
        <v>164</v>
      </c>
      <c r="G659" t="s">
        <v>734</v>
      </c>
      <c r="H659" t="s">
        <v>54</v>
      </c>
      <c r="I659">
        <v>1412.644</v>
      </c>
      <c r="J659">
        <v>0</v>
      </c>
      <c r="K659">
        <v>1</v>
      </c>
      <c r="L659" t="s">
        <v>25</v>
      </c>
      <c r="M659" t="s">
        <v>533</v>
      </c>
      <c r="N659">
        <v>30</v>
      </c>
      <c r="O659">
        <v>0</v>
      </c>
      <c r="P659" t="str">
        <f>IF(T[[#This Row],[qty_ordered]]&lt;&gt;T[[#This Row],[qty_received]],IF(T[[#This Row],[qty_received]]&gt;0,"Partial Received","Not Receviced"),"FullyReceived")</f>
        <v>Not Receviced</v>
      </c>
      <c r="Q659" t="str">
        <f>IF(T[[#This Row],[qty_received]]&lt;&gt;T[[#This Row],[qty_invoiced]],IF(T[[#This Row],[qty_invoiced]]&gt;0,"Partial Invoiced","Not Invoiced"),"Fully Invoiced")</f>
        <v>Partial Invoiced</v>
      </c>
      <c r="R659" t="str">
        <f>IFERROR(VLOOKUP(T[[#This Row],[warehouse]],Table2[],2,FALSE),"--")</f>
        <v>--</v>
      </c>
    </row>
    <row r="660" spans="1:18" x14ac:dyDescent="0.25">
      <c r="A660" t="s">
        <v>242</v>
      </c>
      <c r="B660" s="1">
        <v>44060</v>
      </c>
      <c r="C660" t="s">
        <v>742</v>
      </c>
      <c r="D660" t="s">
        <v>20</v>
      </c>
      <c r="E660" t="s">
        <v>405</v>
      </c>
      <c r="F660" t="s">
        <v>244</v>
      </c>
      <c r="G660" t="s">
        <v>245</v>
      </c>
      <c r="H660" t="s">
        <v>24</v>
      </c>
      <c r="I660">
        <v>225.2</v>
      </c>
      <c r="J660">
        <v>225.2</v>
      </c>
      <c r="K660">
        <v>225.2</v>
      </c>
      <c r="L660" t="s">
        <v>25</v>
      </c>
      <c r="M660" t="s">
        <v>132</v>
      </c>
      <c r="N660">
        <v>160000</v>
      </c>
      <c r="O660">
        <v>36032000</v>
      </c>
      <c r="P660" t="str">
        <f>IF(T[[#This Row],[qty_ordered]]&lt;&gt;T[[#This Row],[qty_received]],IF(T[[#This Row],[qty_received]]&gt;0,"Partial Received","Not Receviced"),"FullyReceived")</f>
        <v>FullyReceived</v>
      </c>
      <c r="Q660" t="str">
        <f>IF(T[[#This Row],[qty_received]]&lt;&gt;T[[#This Row],[qty_invoiced]],IF(T[[#This Row],[qty_invoiced]]&gt;0,"Partial Invoiced","Not Invoiced"),"Fully Invoiced")</f>
        <v>Fully Invoiced</v>
      </c>
      <c r="R660" t="str">
        <f>IFERROR(VLOOKUP(T[[#This Row],[warehouse]],Table2[],2,FALSE),"--")</f>
        <v>GINNING ISHRAG-MDNI</v>
      </c>
    </row>
    <row r="661" spans="1:18" x14ac:dyDescent="0.25">
      <c r="A661" t="s">
        <v>423</v>
      </c>
      <c r="B661" s="1">
        <v>44060</v>
      </c>
      <c r="C661" t="s">
        <v>743</v>
      </c>
      <c r="D661" t="s">
        <v>20</v>
      </c>
      <c r="E661" t="s">
        <v>239</v>
      </c>
      <c r="F661" t="s">
        <v>147</v>
      </c>
      <c r="G661" t="s">
        <v>148</v>
      </c>
      <c r="H661" t="s">
        <v>149</v>
      </c>
      <c r="I661">
        <v>10000</v>
      </c>
      <c r="J661">
        <v>10000</v>
      </c>
      <c r="K661">
        <v>10000</v>
      </c>
      <c r="L661" t="s">
        <v>25</v>
      </c>
      <c r="M661" t="s">
        <v>744</v>
      </c>
      <c r="N661">
        <v>51</v>
      </c>
      <c r="O661">
        <v>510000</v>
      </c>
      <c r="P661" t="str">
        <f>IF(T[[#This Row],[qty_ordered]]&lt;&gt;T[[#This Row],[qty_received]],IF(T[[#This Row],[qty_received]]&gt;0,"Partial Received","Not Receviced"),"FullyReceived")</f>
        <v>FullyReceived</v>
      </c>
      <c r="Q661" t="str">
        <f>IF(T[[#This Row],[qty_received]]&lt;&gt;T[[#This Row],[qty_invoiced]],IF(T[[#This Row],[qty_invoiced]]&gt;0,"Partial Invoiced","Not Invoiced"),"Fully Invoiced")</f>
        <v>Fully Invoiced</v>
      </c>
      <c r="R661" t="str">
        <f>IFERROR(VLOOKUP(T[[#This Row],[warehouse]],Table2[],2,FALSE),"--")</f>
        <v xml:space="preserve">Gadarif Main Store </v>
      </c>
    </row>
    <row r="662" spans="1:18" x14ac:dyDescent="0.25">
      <c r="A662" t="s">
        <v>703</v>
      </c>
      <c r="B662" s="1">
        <v>44062</v>
      </c>
      <c r="C662" t="s">
        <v>745</v>
      </c>
      <c r="D662" t="s">
        <v>20</v>
      </c>
      <c r="E662" t="s">
        <v>660</v>
      </c>
      <c r="F662" t="s">
        <v>705</v>
      </c>
      <c r="G662" t="s">
        <v>706</v>
      </c>
      <c r="H662" t="s">
        <v>663</v>
      </c>
      <c r="I662">
        <v>4035</v>
      </c>
      <c r="J662">
        <v>4035</v>
      </c>
      <c r="K662">
        <v>4035</v>
      </c>
      <c r="L662" t="s">
        <v>25</v>
      </c>
      <c r="M662" t="s">
        <v>132</v>
      </c>
      <c r="N662">
        <v>800</v>
      </c>
      <c r="O662">
        <v>3228000</v>
      </c>
      <c r="P662" t="str">
        <f>IF(T[[#This Row],[qty_ordered]]&lt;&gt;T[[#This Row],[qty_received]],IF(T[[#This Row],[qty_received]]&gt;0,"Partial Received","Not Receviced"),"FullyReceived")</f>
        <v>FullyReceived</v>
      </c>
      <c r="Q662" t="str">
        <f>IF(T[[#This Row],[qty_received]]&lt;&gt;T[[#This Row],[qty_invoiced]],IF(T[[#This Row],[qty_invoiced]]&gt;0,"Partial Invoiced","Not Invoiced"),"Fully Invoiced")</f>
        <v>Fully Invoiced</v>
      </c>
      <c r="R662" t="str">
        <f>IFERROR(VLOOKUP(T[[#This Row],[warehouse]],Table2[],2,FALSE),"--")</f>
        <v>SLAUGHTER HOUSE</v>
      </c>
    </row>
    <row r="663" spans="1:18" x14ac:dyDescent="0.25">
      <c r="A663" t="s">
        <v>739</v>
      </c>
      <c r="B663" s="1">
        <v>44066</v>
      </c>
      <c r="C663" t="s">
        <v>746</v>
      </c>
      <c r="D663" t="s">
        <v>20</v>
      </c>
      <c r="E663" t="s">
        <v>660</v>
      </c>
      <c r="F663" t="s">
        <v>747</v>
      </c>
      <c r="G663" t="s">
        <v>748</v>
      </c>
      <c r="H663" t="s">
        <v>663</v>
      </c>
      <c r="I663">
        <v>1028.5</v>
      </c>
      <c r="J663">
        <v>1028.5</v>
      </c>
      <c r="K663">
        <v>1028.5</v>
      </c>
      <c r="L663" t="s">
        <v>25</v>
      </c>
      <c r="M663" t="s">
        <v>132</v>
      </c>
      <c r="N663">
        <v>670</v>
      </c>
      <c r="O663">
        <v>689095</v>
      </c>
      <c r="P663" t="str">
        <f>IF(T[[#This Row],[qty_ordered]]&lt;&gt;T[[#This Row],[qty_received]],IF(T[[#This Row],[qty_received]]&gt;0,"Partial Received","Not Receviced"),"FullyReceived")</f>
        <v>FullyReceived</v>
      </c>
      <c r="Q663" t="str">
        <f>IF(T[[#This Row],[qty_received]]&lt;&gt;T[[#This Row],[qty_invoiced]],IF(T[[#This Row],[qty_invoiced]]&gt;0,"Partial Invoiced","Not Invoiced"),"Fully Invoiced")</f>
        <v>Fully Invoiced</v>
      </c>
      <c r="R663" t="str">
        <f>IFERROR(VLOOKUP(T[[#This Row],[warehouse]],Table2[],2,FALSE),"--")</f>
        <v>SLAUGHTER HOUSE</v>
      </c>
    </row>
    <row r="664" spans="1:18" x14ac:dyDescent="0.25">
      <c r="A664" t="s">
        <v>739</v>
      </c>
      <c r="B664" s="1">
        <v>44068</v>
      </c>
      <c r="C664" t="s">
        <v>749</v>
      </c>
      <c r="D664" t="s">
        <v>20</v>
      </c>
      <c r="E664" t="s">
        <v>660</v>
      </c>
      <c r="F664" t="s">
        <v>705</v>
      </c>
      <c r="G664" t="s">
        <v>706</v>
      </c>
      <c r="H664" t="s">
        <v>663</v>
      </c>
      <c r="I664">
        <v>4102</v>
      </c>
      <c r="J664">
        <v>4102</v>
      </c>
      <c r="K664">
        <v>4102</v>
      </c>
      <c r="L664" t="s">
        <v>25</v>
      </c>
      <c r="M664" t="s">
        <v>132</v>
      </c>
      <c r="N664">
        <v>750</v>
      </c>
      <c r="O664">
        <v>3076500</v>
      </c>
      <c r="P664" t="str">
        <f>IF(T[[#This Row],[qty_ordered]]&lt;&gt;T[[#This Row],[qty_received]],IF(T[[#This Row],[qty_received]]&gt;0,"Partial Received","Not Receviced"),"FullyReceived")</f>
        <v>FullyReceived</v>
      </c>
      <c r="Q664" t="str">
        <f>IF(T[[#This Row],[qty_received]]&lt;&gt;T[[#This Row],[qty_invoiced]],IF(T[[#This Row],[qty_invoiced]]&gt;0,"Partial Invoiced","Not Invoiced"),"Fully Invoiced")</f>
        <v>Fully Invoiced</v>
      </c>
      <c r="R664" t="str">
        <f>IFERROR(VLOOKUP(T[[#This Row],[warehouse]],Table2[],2,FALSE),"--")</f>
        <v>SLAUGHTER HOUSE</v>
      </c>
    </row>
    <row r="665" spans="1:18" x14ac:dyDescent="0.25">
      <c r="A665" t="s">
        <v>739</v>
      </c>
      <c r="B665" s="1">
        <v>44068</v>
      </c>
      <c r="C665" t="s">
        <v>750</v>
      </c>
      <c r="D665" t="s">
        <v>20</v>
      </c>
      <c r="E665" t="s">
        <v>660</v>
      </c>
      <c r="F665" t="s">
        <v>747</v>
      </c>
      <c r="G665" t="s">
        <v>748</v>
      </c>
      <c r="H665" t="s">
        <v>663</v>
      </c>
      <c r="I665">
        <v>930.1</v>
      </c>
      <c r="J665">
        <v>930.1</v>
      </c>
      <c r="K665">
        <v>930.1</v>
      </c>
      <c r="L665" t="s">
        <v>25</v>
      </c>
      <c r="M665" t="s">
        <v>132</v>
      </c>
      <c r="N665">
        <v>640</v>
      </c>
      <c r="O665">
        <v>595264</v>
      </c>
      <c r="P665" t="str">
        <f>IF(T[[#This Row],[qty_ordered]]&lt;&gt;T[[#This Row],[qty_received]],IF(T[[#This Row],[qty_received]]&gt;0,"Partial Received","Not Receviced"),"FullyReceived")</f>
        <v>FullyReceived</v>
      </c>
      <c r="Q665" t="str">
        <f>IF(T[[#This Row],[qty_received]]&lt;&gt;T[[#This Row],[qty_invoiced]],IF(T[[#This Row],[qty_invoiced]]&gt;0,"Partial Invoiced","Not Invoiced"),"Fully Invoiced")</f>
        <v>Fully Invoiced</v>
      </c>
      <c r="R665" t="str">
        <f>IFERROR(VLOOKUP(T[[#This Row],[warehouse]],Table2[],2,FALSE),"--")</f>
        <v>SLAUGHTER HOUSE</v>
      </c>
    </row>
    <row r="666" spans="1:18" x14ac:dyDescent="0.25">
      <c r="A666" t="s">
        <v>260</v>
      </c>
      <c r="B666" s="1">
        <v>43961</v>
      </c>
      <c r="C666" t="s">
        <v>751</v>
      </c>
      <c r="D666" t="s">
        <v>752</v>
      </c>
      <c r="E666" t="s">
        <v>51</v>
      </c>
      <c r="F666" t="s">
        <v>753</v>
      </c>
      <c r="G666" t="s">
        <v>51</v>
      </c>
      <c r="H666" t="s">
        <v>54</v>
      </c>
      <c r="I666">
        <v>2400000</v>
      </c>
      <c r="J666">
        <v>0</v>
      </c>
      <c r="K666">
        <v>1</v>
      </c>
      <c r="L666" t="s">
        <v>25</v>
      </c>
      <c r="M666" t="s">
        <v>533</v>
      </c>
      <c r="N666">
        <v>0.17</v>
      </c>
      <c r="O666">
        <v>0</v>
      </c>
      <c r="P666" t="str">
        <f>IF(T[[#This Row],[qty_ordered]]&lt;&gt;T[[#This Row],[qty_received]],IF(T[[#This Row],[qty_received]]&gt;0,"Partial Received","Not Receviced"),"FullyReceived")</f>
        <v>Not Receviced</v>
      </c>
      <c r="Q666" t="str">
        <f>IF(T[[#This Row],[qty_received]]&lt;&gt;T[[#This Row],[qty_invoiced]],IF(T[[#This Row],[qty_invoiced]]&gt;0,"Partial Invoiced","Not Invoiced"),"Fully Invoiced")</f>
        <v>Partial Invoiced</v>
      </c>
      <c r="R666" t="str">
        <f>IFERROR(VLOOKUP(T[[#This Row],[warehouse]],Table2[],2,FALSE),"--")</f>
        <v>--</v>
      </c>
    </row>
    <row r="667" spans="1:18" x14ac:dyDescent="0.25">
      <c r="A667" t="s">
        <v>242</v>
      </c>
      <c r="B667" s="1">
        <v>44060</v>
      </c>
      <c r="C667" t="s">
        <v>742</v>
      </c>
      <c r="D667" t="s">
        <v>71</v>
      </c>
      <c r="E667" t="s">
        <v>66</v>
      </c>
      <c r="F667" t="s">
        <v>244</v>
      </c>
      <c r="G667" t="s">
        <v>245</v>
      </c>
      <c r="H667" t="s">
        <v>24</v>
      </c>
      <c r="I667">
        <v>554.98</v>
      </c>
      <c r="J667">
        <v>499.02</v>
      </c>
      <c r="K667">
        <v>499.02</v>
      </c>
      <c r="L667" t="s">
        <v>25</v>
      </c>
      <c r="M667" t="s">
        <v>132</v>
      </c>
      <c r="N667">
        <v>216000</v>
      </c>
      <c r="O667">
        <v>107788320</v>
      </c>
      <c r="P667" t="str">
        <f>IF(T[[#This Row],[qty_ordered]]&lt;&gt;T[[#This Row],[qty_received]],IF(T[[#This Row],[qty_received]]&gt;0,"Partial Received","Not Receviced"),"FullyReceived")</f>
        <v>Partial Received</v>
      </c>
      <c r="Q667" t="str">
        <f>IF(T[[#This Row],[qty_received]]&lt;&gt;T[[#This Row],[qty_invoiced]],IF(T[[#This Row],[qty_invoiced]]&gt;0,"Partial Invoiced","Not Invoiced"),"Fully Invoiced")</f>
        <v>Fully Invoiced</v>
      </c>
      <c r="R667" t="str">
        <f>IFERROR(VLOOKUP(T[[#This Row],[warehouse]],Table2[],2,FALSE),"--")</f>
        <v>PZU Main Warehouse</v>
      </c>
    </row>
    <row r="668" spans="1:18" x14ac:dyDescent="0.25">
      <c r="A668" t="s">
        <v>181</v>
      </c>
      <c r="B668" s="1">
        <v>43597</v>
      </c>
      <c r="C668" t="s">
        <v>754</v>
      </c>
      <c r="D668" t="s">
        <v>20</v>
      </c>
      <c r="E668" t="s">
        <v>51</v>
      </c>
      <c r="F668" t="s">
        <v>183</v>
      </c>
      <c r="G668" t="s">
        <v>183</v>
      </c>
      <c r="H668" t="s">
        <v>54</v>
      </c>
      <c r="I668">
        <v>274.22000000000003</v>
      </c>
      <c r="J668">
        <v>0</v>
      </c>
      <c r="K668">
        <v>1</v>
      </c>
      <c r="L668" t="s">
        <v>25</v>
      </c>
      <c r="M668" t="s">
        <v>26</v>
      </c>
      <c r="N668">
        <v>480</v>
      </c>
      <c r="O668">
        <v>0</v>
      </c>
      <c r="P668" t="str">
        <f>IF(T[[#This Row],[qty_ordered]]&lt;&gt;T[[#This Row],[qty_received]],IF(T[[#This Row],[qty_received]]&gt;0,"Partial Received","Not Receviced"),"FullyReceived")</f>
        <v>Not Receviced</v>
      </c>
      <c r="Q668" t="str">
        <f>IF(T[[#This Row],[qty_received]]&lt;&gt;T[[#This Row],[qty_invoiced]],IF(T[[#This Row],[qty_invoiced]]&gt;0,"Partial Invoiced","Not Invoiced"),"Fully Invoiced")</f>
        <v>Partial Invoiced</v>
      </c>
      <c r="R668" t="str">
        <f>IFERROR(VLOOKUP(T[[#This Row],[warehouse]],Table2[],2,FALSE),"--")</f>
        <v>--</v>
      </c>
    </row>
    <row r="669" spans="1:18" x14ac:dyDescent="0.25">
      <c r="A669" t="s">
        <v>423</v>
      </c>
      <c r="B669" s="1">
        <v>43571</v>
      </c>
      <c r="C669" t="s">
        <v>446</v>
      </c>
      <c r="D669" t="s">
        <v>212</v>
      </c>
      <c r="E669" t="s">
        <v>51</v>
      </c>
      <c r="F669" t="s">
        <v>52</v>
      </c>
      <c r="G669" t="s">
        <v>75</v>
      </c>
      <c r="H669" t="s">
        <v>54</v>
      </c>
      <c r="I669">
        <v>5000</v>
      </c>
      <c r="J669">
        <v>0</v>
      </c>
      <c r="K669">
        <v>1</v>
      </c>
      <c r="L669" t="s">
        <v>25</v>
      </c>
      <c r="M669" t="s">
        <v>26</v>
      </c>
      <c r="N669">
        <v>2.6</v>
      </c>
      <c r="O669">
        <v>0</v>
      </c>
      <c r="P669" t="str">
        <f>IF(T[[#This Row],[qty_ordered]]&lt;&gt;T[[#This Row],[qty_received]],IF(T[[#This Row],[qty_received]]&gt;0,"Partial Received","Not Receviced"),"FullyReceived")</f>
        <v>Not Receviced</v>
      </c>
      <c r="Q669" t="str">
        <f>IF(T[[#This Row],[qty_received]]&lt;&gt;T[[#This Row],[qty_invoiced]],IF(T[[#This Row],[qty_invoiced]]&gt;0,"Partial Invoiced","Not Invoiced"),"Fully Invoiced")</f>
        <v>Partial Invoiced</v>
      </c>
      <c r="R669" t="str">
        <f>IFERROR(VLOOKUP(T[[#This Row],[warehouse]],Table2[],2,FALSE),"--")</f>
        <v>--</v>
      </c>
    </row>
    <row r="670" spans="1:18" x14ac:dyDescent="0.25">
      <c r="A670" t="s">
        <v>423</v>
      </c>
      <c r="B670" s="1">
        <v>43571</v>
      </c>
      <c r="C670" t="s">
        <v>446</v>
      </c>
      <c r="D670" t="s">
        <v>322</v>
      </c>
      <c r="E670" t="s">
        <v>51</v>
      </c>
      <c r="F670" t="s">
        <v>52</v>
      </c>
      <c r="G670" t="s">
        <v>75</v>
      </c>
      <c r="H670" t="s">
        <v>54</v>
      </c>
      <c r="I670">
        <v>5000</v>
      </c>
      <c r="J670">
        <v>0</v>
      </c>
      <c r="K670">
        <v>1</v>
      </c>
      <c r="L670" t="s">
        <v>25</v>
      </c>
      <c r="M670" t="s">
        <v>26</v>
      </c>
      <c r="N670">
        <v>2.6</v>
      </c>
      <c r="O670">
        <v>0</v>
      </c>
      <c r="P670" t="str">
        <f>IF(T[[#This Row],[qty_ordered]]&lt;&gt;T[[#This Row],[qty_received]],IF(T[[#This Row],[qty_received]]&gt;0,"Partial Received","Not Receviced"),"FullyReceived")</f>
        <v>Not Receviced</v>
      </c>
      <c r="Q670" t="str">
        <f>IF(T[[#This Row],[qty_received]]&lt;&gt;T[[#This Row],[qty_invoiced]],IF(T[[#This Row],[qty_invoiced]]&gt;0,"Partial Invoiced","Not Invoiced"),"Fully Invoiced")</f>
        <v>Partial Invoiced</v>
      </c>
      <c r="R670" t="str">
        <f>IFERROR(VLOOKUP(T[[#This Row],[warehouse]],Table2[],2,FALSE),"--")</f>
        <v>--</v>
      </c>
    </row>
    <row r="671" spans="1:18" x14ac:dyDescent="0.25">
      <c r="A671" t="s">
        <v>160</v>
      </c>
      <c r="B671" s="1">
        <v>43580</v>
      </c>
      <c r="C671" t="s">
        <v>450</v>
      </c>
      <c r="D671" t="s">
        <v>71</v>
      </c>
      <c r="E671" t="s">
        <v>548</v>
      </c>
      <c r="F671" t="s">
        <v>22</v>
      </c>
      <c r="G671" t="s">
        <v>23</v>
      </c>
      <c r="H671" t="s">
        <v>24</v>
      </c>
      <c r="I671">
        <v>2500</v>
      </c>
      <c r="J671">
        <v>2426.5500000000002</v>
      </c>
      <c r="K671">
        <v>2426.5500000000002</v>
      </c>
      <c r="L671" t="s">
        <v>25</v>
      </c>
      <c r="M671" t="s">
        <v>26</v>
      </c>
      <c r="N671">
        <v>2400</v>
      </c>
      <c r="O671">
        <v>5823720</v>
      </c>
      <c r="P671" t="str">
        <f>IF(T[[#This Row],[qty_ordered]]&lt;&gt;T[[#This Row],[qty_received]],IF(T[[#This Row],[qty_received]]&gt;0,"Partial Received","Not Receviced"),"FullyReceived")</f>
        <v>Partial Received</v>
      </c>
      <c r="Q671" t="str">
        <f>IF(T[[#This Row],[qty_received]]&lt;&gt;T[[#This Row],[qty_invoiced]],IF(T[[#This Row],[qty_invoiced]]&gt;0,"Partial Invoiced","Not Invoiced"),"Fully Invoiced")</f>
        <v>Fully Invoiced</v>
      </c>
      <c r="R671" t="str">
        <f>IFERROR(VLOOKUP(T[[#This Row],[warehouse]],Table2[],2,FALSE),"--")</f>
        <v>Crusher Almosaly-ALB</v>
      </c>
    </row>
    <row r="672" spans="1:18" x14ac:dyDescent="0.25">
      <c r="A672" t="s">
        <v>235</v>
      </c>
      <c r="B672" s="1">
        <v>43601</v>
      </c>
      <c r="C672" t="s">
        <v>755</v>
      </c>
      <c r="D672" t="s">
        <v>20</v>
      </c>
      <c r="E672" t="s">
        <v>51</v>
      </c>
      <c r="F672" t="s">
        <v>52</v>
      </c>
      <c r="G672" t="s">
        <v>75</v>
      </c>
      <c r="H672" t="s">
        <v>54</v>
      </c>
      <c r="I672">
        <v>1200</v>
      </c>
      <c r="J672">
        <v>0</v>
      </c>
      <c r="K672">
        <v>1</v>
      </c>
      <c r="L672" t="s">
        <v>25</v>
      </c>
      <c r="M672" t="s">
        <v>26</v>
      </c>
      <c r="N672">
        <v>2.85</v>
      </c>
      <c r="O672">
        <v>0</v>
      </c>
      <c r="P672" t="str">
        <f>IF(T[[#This Row],[qty_ordered]]&lt;&gt;T[[#This Row],[qty_received]],IF(T[[#This Row],[qty_received]]&gt;0,"Partial Received","Not Receviced"),"FullyReceived")</f>
        <v>Not Receviced</v>
      </c>
      <c r="Q672" t="str">
        <f>IF(T[[#This Row],[qty_received]]&lt;&gt;T[[#This Row],[qty_invoiced]],IF(T[[#This Row],[qty_invoiced]]&gt;0,"Partial Invoiced","Not Invoiced"),"Fully Invoiced")</f>
        <v>Partial Invoiced</v>
      </c>
      <c r="R672" t="str">
        <f>IFERROR(VLOOKUP(T[[#This Row],[warehouse]],Table2[],2,FALSE),"--")</f>
        <v>--</v>
      </c>
    </row>
    <row r="673" spans="1:18" x14ac:dyDescent="0.25">
      <c r="A673" t="s">
        <v>252</v>
      </c>
      <c r="B673" s="1">
        <v>43489</v>
      </c>
      <c r="C673" t="s">
        <v>253</v>
      </c>
      <c r="D673" t="s">
        <v>323</v>
      </c>
      <c r="E673" t="s">
        <v>51</v>
      </c>
      <c r="F673" t="s">
        <v>183</v>
      </c>
      <c r="G673" t="s">
        <v>183</v>
      </c>
      <c r="H673" t="s">
        <v>54</v>
      </c>
      <c r="I673">
        <v>2000</v>
      </c>
      <c r="J673">
        <v>0</v>
      </c>
      <c r="K673">
        <v>1</v>
      </c>
      <c r="L673" t="s">
        <v>25</v>
      </c>
      <c r="M673" t="s">
        <v>26</v>
      </c>
      <c r="N673">
        <v>550</v>
      </c>
      <c r="O673">
        <v>0</v>
      </c>
      <c r="P673" t="str">
        <f>IF(T[[#This Row],[qty_ordered]]&lt;&gt;T[[#This Row],[qty_received]],IF(T[[#This Row],[qty_received]]&gt;0,"Partial Received","Not Receviced"),"FullyReceived")</f>
        <v>Not Receviced</v>
      </c>
      <c r="Q673" t="str">
        <f>IF(T[[#This Row],[qty_received]]&lt;&gt;T[[#This Row],[qty_invoiced]],IF(T[[#This Row],[qty_invoiced]]&gt;0,"Partial Invoiced","Not Invoiced"),"Fully Invoiced")</f>
        <v>Partial Invoiced</v>
      </c>
      <c r="R673" t="str">
        <f>IFERROR(VLOOKUP(T[[#This Row],[warehouse]],Table2[],2,FALSE),"--")</f>
        <v>--</v>
      </c>
    </row>
    <row r="674" spans="1:18" x14ac:dyDescent="0.25">
      <c r="A674" t="s">
        <v>252</v>
      </c>
      <c r="B674" s="1">
        <v>43489</v>
      </c>
      <c r="C674" t="s">
        <v>253</v>
      </c>
      <c r="D674" t="s">
        <v>324</v>
      </c>
      <c r="E674" t="s">
        <v>51</v>
      </c>
      <c r="F674" t="s">
        <v>254</v>
      </c>
      <c r="G674" t="s">
        <v>255</v>
      </c>
      <c r="H674" t="s">
        <v>54</v>
      </c>
      <c r="I674">
        <v>40000</v>
      </c>
      <c r="J674">
        <v>0</v>
      </c>
      <c r="K674">
        <v>1</v>
      </c>
      <c r="L674" t="s">
        <v>25</v>
      </c>
      <c r="M674" t="s">
        <v>26</v>
      </c>
      <c r="N674">
        <v>3</v>
      </c>
      <c r="O674">
        <v>0</v>
      </c>
      <c r="P674" t="str">
        <f>IF(T[[#This Row],[qty_ordered]]&lt;&gt;T[[#This Row],[qty_received]],IF(T[[#This Row],[qty_received]]&gt;0,"Partial Received","Not Receviced"),"FullyReceived")</f>
        <v>Not Receviced</v>
      </c>
      <c r="Q674" t="str">
        <f>IF(T[[#This Row],[qty_received]]&lt;&gt;T[[#This Row],[qty_invoiced]],IF(T[[#This Row],[qty_invoiced]]&gt;0,"Partial Invoiced","Not Invoiced"),"Fully Invoiced")</f>
        <v>Partial Invoiced</v>
      </c>
      <c r="R674" t="str">
        <f>IFERROR(VLOOKUP(T[[#This Row],[warehouse]],Table2[],2,FALSE),"--")</f>
        <v>--</v>
      </c>
    </row>
    <row r="675" spans="1:18" x14ac:dyDescent="0.25">
      <c r="A675" t="s">
        <v>400</v>
      </c>
      <c r="B675" s="1">
        <v>43601</v>
      </c>
      <c r="C675" t="s">
        <v>756</v>
      </c>
      <c r="D675" t="s">
        <v>20</v>
      </c>
      <c r="E675" t="s">
        <v>51</v>
      </c>
      <c r="F675" t="s">
        <v>183</v>
      </c>
      <c r="G675" t="s">
        <v>184</v>
      </c>
      <c r="H675" t="s">
        <v>54</v>
      </c>
      <c r="I675">
        <v>895.673</v>
      </c>
      <c r="J675">
        <v>0</v>
      </c>
      <c r="K675">
        <v>1</v>
      </c>
      <c r="L675" t="s">
        <v>25</v>
      </c>
      <c r="M675" t="s">
        <v>26</v>
      </c>
      <c r="N675">
        <v>425</v>
      </c>
      <c r="O675">
        <v>0</v>
      </c>
      <c r="P675" t="str">
        <f>IF(T[[#This Row],[qty_ordered]]&lt;&gt;T[[#This Row],[qty_received]],IF(T[[#This Row],[qty_received]]&gt;0,"Partial Received","Not Receviced"),"FullyReceived")</f>
        <v>Not Receviced</v>
      </c>
      <c r="Q675" t="str">
        <f>IF(T[[#This Row],[qty_received]]&lt;&gt;T[[#This Row],[qty_invoiced]],IF(T[[#This Row],[qty_invoiced]]&gt;0,"Partial Invoiced","Not Invoiced"),"Fully Invoiced")</f>
        <v>Partial Invoiced</v>
      </c>
      <c r="R675" t="str">
        <f>IFERROR(VLOOKUP(T[[#This Row],[warehouse]],Table2[],2,FALSE),"--")</f>
        <v>--</v>
      </c>
    </row>
    <row r="676" spans="1:18" x14ac:dyDescent="0.25">
      <c r="A676" t="s">
        <v>400</v>
      </c>
      <c r="B676" s="1">
        <v>43601</v>
      </c>
      <c r="C676" t="s">
        <v>756</v>
      </c>
      <c r="D676" t="s">
        <v>71</v>
      </c>
      <c r="E676" t="s">
        <v>51</v>
      </c>
      <c r="F676" t="s">
        <v>52</v>
      </c>
      <c r="G676" t="s">
        <v>75</v>
      </c>
      <c r="H676" t="s">
        <v>54</v>
      </c>
      <c r="I676">
        <v>10000</v>
      </c>
      <c r="J676">
        <v>0</v>
      </c>
      <c r="K676">
        <v>1</v>
      </c>
      <c r="L676" t="s">
        <v>25</v>
      </c>
      <c r="M676" t="s">
        <v>26</v>
      </c>
      <c r="N676">
        <v>1</v>
      </c>
      <c r="O676">
        <v>0</v>
      </c>
      <c r="P676" t="str">
        <f>IF(T[[#This Row],[qty_ordered]]&lt;&gt;T[[#This Row],[qty_received]],IF(T[[#This Row],[qty_received]]&gt;0,"Partial Received","Not Receviced"),"FullyReceived")</f>
        <v>Not Receviced</v>
      </c>
      <c r="Q676" t="str">
        <f>IF(T[[#This Row],[qty_received]]&lt;&gt;T[[#This Row],[qty_invoiced]],IF(T[[#This Row],[qty_invoiced]]&gt;0,"Partial Invoiced","Not Invoiced"),"Fully Invoiced")</f>
        <v>Partial Invoiced</v>
      </c>
      <c r="R676" t="str">
        <f>IFERROR(VLOOKUP(T[[#This Row],[warehouse]],Table2[],2,FALSE),"--")</f>
        <v>--</v>
      </c>
    </row>
    <row r="677" spans="1:18" x14ac:dyDescent="0.25">
      <c r="A677" t="s">
        <v>757</v>
      </c>
      <c r="B677" s="1">
        <v>43608</v>
      </c>
      <c r="C677" t="s">
        <v>758</v>
      </c>
      <c r="D677" t="s">
        <v>20</v>
      </c>
      <c r="E677" t="s">
        <v>51</v>
      </c>
      <c r="F677" t="s">
        <v>183</v>
      </c>
      <c r="G677" t="s">
        <v>183</v>
      </c>
      <c r="H677" t="s">
        <v>54</v>
      </c>
      <c r="I677">
        <v>867.68</v>
      </c>
      <c r="J677">
        <v>0</v>
      </c>
      <c r="K677">
        <v>1</v>
      </c>
      <c r="L677" t="s">
        <v>25</v>
      </c>
      <c r="M677" t="s">
        <v>26</v>
      </c>
      <c r="N677">
        <v>650</v>
      </c>
      <c r="O677">
        <v>0</v>
      </c>
      <c r="P677" t="str">
        <f>IF(T[[#This Row],[qty_ordered]]&lt;&gt;T[[#This Row],[qty_received]],IF(T[[#This Row],[qty_received]]&gt;0,"Partial Received","Not Receviced"),"FullyReceived")</f>
        <v>Not Receviced</v>
      </c>
      <c r="Q677" t="str">
        <f>IF(T[[#This Row],[qty_received]]&lt;&gt;T[[#This Row],[qty_invoiced]],IF(T[[#This Row],[qty_invoiced]]&gt;0,"Partial Invoiced","Not Invoiced"),"Fully Invoiced")</f>
        <v>Partial Invoiced</v>
      </c>
      <c r="R677" t="str">
        <f>IFERROR(VLOOKUP(T[[#This Row],[warehouse]],Table2[],2,FALSE),"--")</f>
        <v>--</v>
      </c>
    </row>
    <row r="678" spans="1:18" x14ac:dyDescent="0.25">
      <c r="A678" t="s">
        <v>757</v>
      </c>
      <c r="B678" s="1">
        <v>43608</v>
      </c>
      <c r="C678" t="s">
        <v>758</v>
      </c>
      <c r="D678" t="s">
        <v>71</v>
      </c>
      <c r="E678" t="s">
        <v>51</v>
      </c>
      <c r="F678" t="s">
        <v>185</v>
      </c>
      <c r="G678" t="s">
        <v>275</v>
      </c>
      <c r="H678" t="s">
        <v>54</v>
      </c>
      <c r="I678">
        <v>867</v>
      </c>
      <c r="J678">
        <v>0</v>
      </c>
      <c r="K678">
        <v>1</v>
      </c>
      <c r="L678" t="s">
        <v>25</v>
      </c>
      <c r="M678" t="s">
        <v>26</v>
      </c>
      <c r="N678">
        <v>457</v>
      </c>
      <c r="O678">
        <v>0</v>
      </c>
      <c r="P678" t="str">
        <f>IF(T[[#This Row],[qty_ordered]]&lt;&gt;T[[#This Row],[qty_received]],IF(T[[#This Row],[qty_received]]&gt;0,"Partial Received","Not Receviced"),"FullyReceived")</f>
        <v>Not Receviced</v>
      </c>
      <c r="Q678" t="str">
        <f>IF(T[[#This Row],[qty_received]]&lt;&gt;T[[#This Row],[qty_invoiced]],IF(T[[#This Row],[qty_invoiced]]&gt;0,"Partial Invoiced","Not Invoiced"),"Fully Invoiced")</f>
        <v>Partial Invoiced</v>
      </c>
      <c r="R678" t="str">
        <f>IFERROR(VLOOKUP(T[[#This Row],[warehouse]],Table2[],2,FALSE),"--")</f>
        <v>--</v>
      </c>
    </row>
    <row r="679" spans="1:18" x14ac:dyDescent="0.25">
      <c r="A679" t="s">
        <v>757</v>
      </c>
      <c r="B679" s="1">
        <v>43608</v>
      </c>
      <c r="C679" t="s">
        <v>758</v>
      </c>
      <c r="D679" t="s">
        <v>100</v>
      </c>
      <c r="E679" t="s">
        <v>51</v>
      </c>
      <c r="F679" t="s">
        <v>52</v>
      </c>
      <c r="G679" t="s">
        <v>75</v>
      </c>
      <c r="H679" t="s">
        <v>54</v>
      </c>
      <c r="I679">
        <v>600</v>
      </c>
      <c r="J679">
        <v>0</v>
      </c>
      <c r="K679">
        <v>1</v>
      </c>
      <c r="L679" t="s">
        <v>25</v>
      </c>
      <c r="M679" t="s">
        <v>26</v>
      </c>
      <c r="N679">
        <v>440</v>
      </c>
      <c r="O679">
        <v>0</v>
      </c>
      <c r="P679" t="str">
        <f>IF(T[[#This Row],[qty_ordered]]&lt;&gt;T[[#This Row],[qty_received]],IF(T[[#This Row],[qty_received]]&gt;0,"Partial Received","Not Receviced"),"FullyReceived")</f>
        <v>Not Receviced</v>
      </c>
      <c r="Q679" t="str">
        <f>IF(T[[#This Row],[qty_received]]&lt;&gt;T[[#This Row],[qty_invoiced]],IF(T[[#This Row],[qty_invoiced]]&gt;0,"Partial Invoiced","Not Invoiced"),"Fully Invoiced")</f>
        <v>Partial Invoiced</v>
      </c>
      <c r="R679" t="str">
        <f>IFERROR(VLOOKUP(T[[#This Row],[warehouse]],Table2[],2,FALSE),"--")</f>
        <v>--</v>
      </c>
    </row>
    <row r="680" spans="1:18" x14ac:dyDescent="0.25">
      <c r="A680" t="s">
        <v>423</v>
      </c>
      <c r="B680" s="1">
        <v>43608</v>
      </c>
      <c r="C680" t="s">
        <v>665</v>
      </c>
      <c r="D680" t="s">
        <v>20</v>
      </c>
      <c r="E680" t="s">
        <v>51</v>
      </c>
      <c r="F680" t="s">
        <v>52</v>
      </c>
      <c r="G680" t="s">
        <v>75</v>
      </c>
      <c r="H680" t="s">
        <v>54</v>
      </c>
      <c r="I680">
        <v>3000</v>
      </c>
      <c r="J680">
        <v>0</v>
      </c>
      <c r="K680">
        <v>1</v>
      </c>
      <c r="L680" t="s">
        <v>25</v>
      </c>
      <c r="M680" t="s">
        <v>26</v>
      </c>
      <c r="N680">
        <v>5</v>
      </c>
      <c r="O680">
        <v>0</v>
      </c>
      <c r="P680" t="str">
        <f>IF(T[[#This Row],[qty_ordered]]&lt;&gt;T[[#This Row],[qty_received]],IF(T[[#This Row],[qty_received]]&gt;0,"Partial Received","Not Receviced"),"FullyReceived")</f>
        <v>Not Receviced</v>
      </c>
      <c r="Q680" t="str">
        <f>IF(T[[#This Row],[qty_received]]&lt;&gt;T[[#This Row],[qty_invoiced]],IF(T[[#This Row],[qty_invoiced]]&gt;0,"Partial Invoiced","Not Invoiced"),"Fully Invoiced")</f>
        <v>Partial Invoiced</v>
      </c>
      <c r="R680" t="str">
        <f>IFERROR(VLOOKUP(T[[#This Row],[warehouse]],Table2[],2,FALSE),"--")</f>
        <v>--</v>
      </c>
    </row>
    <row r="681" spans="1:18" x14ac:dyDescent="0.25">
      <c r="A681" t="s">
        <v>357</v>
      </c>
      <c r="B681" s="1">
        <v>43471</v>
      </c>
      <c r="C681" t="s">
        <v>358</v>
      </c>
      <c r="D681" t="s">
        <v>614</v>
      </c>
      <c r="E681" t="s">
        <v>51</v>
      </c>
      <c r="F681" t="s">
        <v>52</v>
      </c>
      <c r="G681" t="s">
        <v>75</v>
      </c>
      <c r="H681" t="s">
        <v>54</v>
      </c>
      <c r="I681">
        <v>1124.3399999999999</v>
      </c>
      <c r="J681">
        <v>0</v>
      </c>
      <c r="K681">
        <v>1</v>
      </c>
      <c r="L681" t="s">
        <v>25</v>
      </c>
      <c r="M681" t="s">
        <v>359</v>
      </c>
      <c r="N681">
        <v>137.38999999999999</v>
      </c>
      <c r="O681">
        <v>0</v>
      </c>
      <c r="P681" t="str">
        <f>IF(T[[#This Row],[qty_ordered]]&lt;&gt;T[[#This Row],[qty_received]],IF(T[[#This Row],[qty_received]]&gt;0,"Partial Received","Not Receviced"),"FullyReceived")</f>
        <v>Not Receviced</v>
      </c>
      <c r="Q681" t="str">
        <f>IF(T[[#This Row],[qty_received]]&lt;&gt;T[[#This Row],[qty_invoiced]],IF(T[[#This Row],[qty_invoiced]]&gt;0,"Partial Invoiced","Not Invoiced"),"Fully Invoiced")</f>
        <v>Partial Invoiced</v>
      </c>
      <c r="R681" t="str">
        <f>IFERROR(VLOOKUP(T[[#This Row],[warehouse]],Table2[],2,FALSE),"--")</f>
        <v>--</v>
      </c>
    </row>
    <row r="682" spans="1:18" x14ac:dyDescent="0.25">
      <c r="A682" t="s">
        <v>357</v>
      </c>
      <c r="B682" s="1">
        <v>43471</v>
      </c>
      <c r="C682" t="s">
        <v>358</v>
      </c>
      <c r="D682" t="s">
        <v>615</v>
      </c>
      <c r="E682" t="s">
        <v>51</v>
      </c>
      <c r="F682" t="s">
        <v>267</v>
      </c>
      <c r="G682" t="s">
        <v>267</v>
      </c>
      <c r="H682" t="s">
        <v>54</v>
      </c>
      <c r="I682">
        <v>600</v>
      </c>
      <c r="J682">
        <v>0</v>
      </c>
      <c r="K682">
        <v>1</v>
      </c>
      <c r="L682" t="s">
        <v>25</v>
      </c>
      <c r="M682" t="s">
        <v>359</v>
      </c>
      <c r="N682">
        <v>20</v>
      </c>
      <c r="O682">
        <v>0</v>
      </c>
      <c r="P682" t="str">
        <f>IF(T[[#This Row],[qty_ordered]]&lt;&gt;T[[#This Row],[qty_received]],IF(T[[#This Row],[qty_received]]&gt;0,"Partial Received","Not Receviced"),"FullyReceived")</f>
        <v>Not Receviced</v>
      </c>
      <c r="Q682" t="str">
        <f>IF(T[[#This Row],[qty_received]]&lt;&gt;T[[#This Row],[qty_invoiced]],IF(T[[#This Row],[qty_invoiced]]&gt;0,"Partial Invoiced","Not Invoiced"),"Fully Invoiced")</f>
        <v>Partial Invoiced</v>
      </c>
      <c r="R682" t="str">
        <f>IFERROR(VLOOKUP(T[[#This Row],[warehouse]],Table2[],2,FALSE),"--")</f>
        <v>--</v>
      </c>
    </row>
    <row r="683" spans="1:18" x14ac:dyDescent="0.25">
      <c r="A683" t="s">
        <v>357</v>
      </c>
      <c r="B683" s="1">
        <v>43471</v>
      </c>
      <c r="C683" t="s">
        <v>358</v>
      </c>
      <c r="D683" t="s">
        <v>752</v>
      </c>
      <c r="E683" t="s">
        <v>51</v>
      </c>
      <c r="F683" t="s">
        <v>433</v>
      </c>
      <c r="G683" t="s">
        <v>433</v>
      </c>
      <c r="H683" t="s">
        <v>54</v>
      </c>
      <c r="I683">
        <v>450</v>
      </c>
      <c r="J683">
        <v>0</v>
      </c>
      <c r="K683">
        <v>1</v>
      </c>
      <c r="L683" t="s">
        <v>25</v>
      </c>
      <c r="M683" t="s">
        <v>359</v>
      </c>
      <c r="N683">
        <v>50</v>
      </c>
      <c r="O683">
        <v>0</v>
      </c>
      <c r="P683" t="str">
        <f>IF(T[[#This Row],[qty_ordered]]&lt;&gt;T[[#This Row],[qty_received]],IF(T[[#This Row],[qty_received]]&gt;0,"Partial Received","Not Receviced"),"FullyReceived")</f>
        <v>Not Receviced</v>
      </c>
      <c r="Q683" t="str">
        <f>IF(T[[#This Row],[qty_received]]&lt;&gt;T[[#This Row],[qty_invoiced]],IF(T[[#This Row],[qty_invoiced]]&gt;0,"Partial Invoiced","Not Invoiced"),"Fully Invoiced")</f>
        <v>Partial Invoiced</v>
      </c>
      <c r="R683" t="str">
        <f>IFERROR(VLOOKUP(T[[#This Row],[warehouse]],Table2[],2,FALSE),"--")</f>
        <v>--</v>
      </c>
    </row>
    <row r="684" spans="1:18" x14ac:dyDescent="0.25">
      <c r="A684" t="s">
        <v>357</v>
      </c>
      <c r="B684" s="1">
        <v>43471</v>
      </c>
      <c r="C684" t="s">
        <v>358</v>
      </c>
      <c r="D684" t="s">
        <v>759</v>
      </c>
      <c r="E684" t="s">
        <v>51</v>
      </c>
      <c r="F684" t="s">
        <v>52</v>
      </c>
      <c r="G684" t="s">
        <v>75</v>
      </c>
      <c r="H684" t="s">
        <v>54</v>
      </c>
      <c r="I684">
        <v>1300</v>
      </c>
      <c r="J684">
        <v>0</v>
      </c>
      <c r="K684">
        <v>1</v>
      </c>
      <c r="L684" t="s">
        <v>25</v>
      </c>
      <c r="M684" t="s">
        <v>359</v>
      </c>
      <c r="N684">
        <v>108</v>
      </c>
      <c r="O684">
        <v>0</v>
      </c>
      <c r="P684" t="str">
        <f>IF(T[[#This Row],[qty_ordered]]&lt;&gt;T[[#This Row],[qty_received]],IF(T[[#This Row],[qty_received]]&gt;0,"Partial Received","Not Receviced"),"FullyReceived")</f>
        <v>Not Receviced</v>
      </c>
      <c r="Q684" t="str">
        <f>IF(T[[#This Row],[qty_received]]&lt;&gt;T[[#This Row],[qty_invoiced]],IF(T[[#This Row],[qty_invoiced]]&gt;0,"Partial Invoiced","Not Invoiced"),"Fully Invoiced")</f>
        <v>Partial Invoiced</v>
      </c>
      <c r="R684" t="str">
        <f>IFERROR(VLOOKUP(T[[#This Row],[warehouse]],Table2[],2,FALSE),"--")</f>
        <v>--</v>
      </c>
    </row>
    <row r="685" spans="1:18" x14ac:dyDescent="0.25">
      <c r="A685" t="s">
        <v>357</v>
      </c>
      <c r="B685" s="1">
        <v>43471</v>
      </c>
      <c r="C685" t="s">
        <v>358</v>
      </c>
      <c r="D685" t="s">
        <v>694</v>
      </c>
      <c r="E685" t="s">
        <v>51</v>
      </c>
      <c r="F685" t="s">
        <v>390</v>
      </c>
      <c r="G685" t="s">
        <v>390</v>
      </c>
      <c r="H685" t="s">
        <v>54</v>
      </c>
      <c r="I685">
        <v>222.6</v>
      </c>
      <c r="J685">
        <v>0</v>
      </c>
      <c r="K685">
        <v>1</v>
      </c>
      <c r="L685" t="s">
        <v>25</v>
      </c>
      <c r="M685" t="s">
        <v>359</v>
      </c>
      <c r="N685">
        <v>20</v>
      </c>
      <c r="O685">
        <v>0</v>
      </c>
      <c r="P685" t="str">
        <f>IF(T[[#This Row],[qty_ordered]]&lt;&gt;T[[#This Row],[qty_received]],IF(T[[#This Row],[qty_received]]&gt;0,"Partial Received","Not Receviced"),"FullyReceived")</f>
        <v>Not Receviced</v>
      </c>
      <c r="Q685" t="str">
        <f>IF(T[[#This Row],[qty_received]]&lt;&gt;T[[#This Row],[qty_invoiced]],IF(T[[#This Row],[qty_invoiced]]&gt;0,"Partial Invoiced","Not Invoiced"),"Fully Invoiced")</f>
        <v>Partial Invoiced</v>
      </c>
      <c r="R685" t="str">
        <f>IFERROR(VLOOKUP(T[[#This Row],[warehouse]],Table2[],2,FALSE),"--")</f>
        <v>--</v>
      </c>
    </row>
    <row r="686" spans="1:18" x14ac:dyDescent="0.25">
      <c r="A686" t="s">
        <v>357</v>
      </c>
      <c r="B686" s="1">
        <v>43471</v>
      </c>
      <c r="C686" t="s">
        <v>358</v>
      </c>
      <c r="D686" t="s">
        <v>760</v>
      </c>
      <c r="E686" t="s">
        <v>51</v>
      </c>
      <c r="F686" t="s">
        <v>52</v>
      </c>
      <c r="G686" t="s">
        <v>75</v>
      </c>
      <c r="H686" t="s">
        <v>54</v>
      </c>
      <c r="I686">
        <v>1380.5</v>
      </c>
      <c r="J686">
        <v>0</v>
      </c>
      <c r="K686">
        <v>1</v>
      </c>
      <c r="L686" t="s">
        <v>25</v>
      </c>
      <c r="M686" t="s">
        <v>359</v>
      </c>
      <c r="N686">
        <v>10</v>
      </c>
      <c r="O686">
        <v>0</v>
      </c>
      <c r="P686" t="str">
        <f>IF(T[[#This Row],[qty_ordered]]&lt;&gt;T[[#This Row],[qty_received]],IF(T[[#This Row],[qty_received]]&gt;0,"Partial Received","Not Receviced"),"FullyReceived")</f>
        <v>Not Receviced</v>
      </c>
      <c r="Q686" t="str">
        <f>IF(T[[#This Row],[qty_received]]&lt;&gt;T[[#This Row],[qty_invoiced]],IF(T[[#This Row],[qty_invoiced]]&gt;0,"Partial Invoiced","Not Invoiced"),"Fully Invoiced")</f>
        <v>Partial Invoiced</v>
      </c>
      <c r="R686" t="str">
        <f>IFERROR(VLOOKUP(T[[#This Row],[warehouse]],Table2[],2,FALSE),"--")</f>
        <v>--</v>
      </c>
    </row>
    <row r="687" spans="1:18" x14ac:dyDescent="0.25">
      <c r="A687" t="s">
        <v>423</v>
      </c>
      <c r="B687" s="1">
        <v>43571</v>
      </c>
      <c r="C687" t="s">
        <v>446</v>
      </c>
      <c r="D687" t="s">
        <v>323</v>
      </c>
      <c r="E687" t="s">
        <v>51</v>
      </c>
      <c r="F687" t="s">
        <v>52</v>
      </c>
      <c r="G687" t="s">
        <v>75</v>
      </c>
      <c r="H687" t="s">
        <v>54</v>
      </c>
      <c r="I687">
        <v>5000</v>
      </c>
      <c r="J687">
        <v>0</v>
      </c>
      <c r="K687">
        <v>1</v>
      </c>
      <c r="L687" t="s">
        <v>25</v>
      </c>
      <c r="M687" t="s">
        <v>26</v>
      </c>
      <c r="N687">
        <v>2.6</v>
      </c>
      <c r="O687">
        <v>0</v>
      </c>
      <c r="P687" t="str">
        <f>IF(T[[#This Row],[qty_ordered]]&lt;&gt;T[[#This Row],[qty_received]],IF(T[[#This Row],[qty_received]]&gt;0,"Partial Received","Not Receviced"),"FullyReceived")</f>
        <v>Not Receviced</v>
      </c>
      <c r="Q687" t="str">
        <f>IF(T[[#This Row],[qty_received]]&lt;&gt;T[[#This Row],[qty_invoiced]],IF(T[[#This Row],[qty_invoiced]]&gt;0,"Partial Invoiced","Not Invoiced"),"Fully Invoiced")</f>
        <v>Partial Invoiced</v>
      </c>
      <c r="R687" t="str">
        <f>IFERROR(VLOOKUP(T[[#This Row],[warehouse]],Table2[],2,FALSE),"--")</f>
        <v>--</v>
      </c>
    </row>
    <row r="688" spans="1:18" x14ac:dyDescent="0.25">
      <c r="A688" t="s">
        <v>144</v>
      </c>
      <c r="B688" s="1">
        <v>43632</v>
      </c>
      <c r="C688" t="s">
        <v>761</v>
      </c>
      <c r="D688" t="s">
        <v>20</v>
      </c>
      <c r="E688" t="s">
        <v>146</v>
      </c>
      <c r="F688" t="s">
        <v>147</v>
      </c>
      <c r="G688" t="s">
        <v>148</v>
      </c>
      <c r="H688" t="s">
        <v>149</v>
      </c>
      <c r="I688">
        <v>54000</v>
      </c>
      <c r="J688">
        <v>30000</v>
      </c>
      <c r="K688">
        <v>30000</v>
      </c>
      <c r="L688" t="s">
        <v>25</v>
      </c>
      <c r="M688" t="s">
        <v>418</v>
      </c>
      <c r="N688">
        <v>6.9450000000000003</v>
      </c>
      <c r="O688">
        <v>208350</v>
      </c>
      <c r="P688" t="str">
        <f>IF(T[[#This Row],[qty_ordered]]&lt;&gt;T[[#This Row],[qty_received]],IF(T[[#This Row],[qty_received]]&gt;0,"Partial Received","Not Receviced"),"FullyReceived")</f>
        <v>Partial Received</v>
      </c>
      <c r="Q688" t="str">
        <f>IF(T[[#This Row],[qty_received]]&lt;&gt;T[[#This Row],[qty_invoiced]],IF(T[[#This Row],[qty_invoiced]]&gt;0,"Partial Invoiced","Not Invoiced"),"Fully Invoiced")</f>
        <v>Fully Invoiced</v>
      </c>
      <c r="R688" t="str">
        <f>IFERROR(VLOOKUP(T[[#This Row],[warehouse]],Table2[],2,FALSE),"--")</f>
        <v>Khtoum Main Warehouse</v>
      </c>
    </row>
    <row r="689" spans="1:18" x14ac:dyDescent="0.25">
      <c r="A689" t="s">
        <v>144</v>
      </c>
      <c r="B689" s="1">
        <v>43632</v>
      </c>
      <c r="C689" t="s">
        <v>761</v>
      </c>
      <c r="D689" t="s">
        <v>71</v>
      </c>
      <c r="E689" t="s">
        <v>146</v>
      </c>
      <c r="F689" t="s">
        <v>151</v>
      </c>
      <c r="G689" t="s">
        <v>152</v>
      </c>
      <c r="H689" t="s">
        <v>149</v>
      </c>
      <c r="I689">
        <v>54000</v>
      </c>
      <c r="J689">
        <v>54000</v>
      </c>
      <c r="K689">
        <v>54000</v>
      </c>
      <c r="L689" t="s">
        <v>25</v>
      </c>
      <c r="M689" t="s">
        <v>418</v>
      </c>
      <c r="N689">
        <v>6.9450000000000003</v>
      </c>
      <c r="O689">
        <v>375030</v>
      </c>
      <c r="P689" t="str">
        <f>IF(T[[#This Row],[qty_ordered]]&lt;&gt;T[[#This Row],[qty_received]],IF(T[[#This Row],[qty_received]]&gt;0,"Partial Received","Not Receviced"),"FullyReceived")</f>
        <v>FullyReceived</v>
      </c>
      <c r="Q689" t="str">
        <f>IF(T[[#This Row],[qty_received]]&lt;&gt;T[[#This Row],[qty_invoiced]],IF(T[[#This Row],[qty_invoiced]]&gt;0,"Partial Invoiced","Not Invoiced"),"Fully Invoiced")</f>
        <v>Fully Invoiced</v>
      </c>
      <c r="R689" t="str">
        <f>IFERROR(VLOOKUP(T[[#This Row],[warehouse]],Table2[],2,FALSE),"--")</f>
        <v>Khtoum Main Warehouse</v>
      </c>
    </row>
    <row r="690" spans="1:18" x14ac:dyDescent="0.25">
      <c r="A690" t="s">
        <v>144</v>
      </c>
      <c r="B690" s="1">
        <v>43632</v>
      </c>
      <c r="C690" t="s">
        <v>761</v>
      </c>
      <c r="D690" t="s">
        <v>100</v>
      </c>
      <c r="E690" t="s">
        <v>146</v>
      </c>
      <c r="F690" t="s">
        <v>312</v>
      </c>
      <c r="G690" t="s">
        <v>313</v>
      </c>
      <c r="H690" t="s">
        <v>149</v>
      </c>
      <c r="I690">
        <v>24000</v>
      </c>
      <c r="J690">
        <v>0</v>
      </c>
      <c r="K690">
        <v>0</v>
      </c>
      <c r="L690" t="s">
        <v>25</v>
      </c>
      <c r="M690" t="s">
        <v>418</v>
      </c>
      <c r="N690">
        <v>6.0750000000000002</v>
      </c>
      <c r="O690">
        <v>0</v>
      </c>
      <c r="P690" t="str">
        <f>IF(T[[#This Row],[qty_ordered]]&lt;&gt;T[[#This Row],[qty_received]],IF(T[[#This Row],[qty_received]]&gt;0,"Partial Received","Not Receviced"),"FullyReceived")</f>
        <v>Not Receviced</v>
      </c>
      <c r="Q690" t="str">
        <f>IF(T[[#This Row],[qty_received]]&lt;&gt;T[[#This Row],[qty_invoiced]],IF(T[[#This Row],[qty_invoiced]]&gt;0,"Partial Invoiced","Not Invoiced"),"Fully Invoiced")</f>
        <v>Fully Invoiced</v>
      </c>
      <c r="R690" t="str">
        <f>IFERROR(VLOOKUP(T[[#This Row],[warehouse]],Table2[],2,FALSE),"--")</f>
        <v>Khtoum Main Warehouse</v>
      </c>
    </row>
    <row r="691" spans="1:18" x14ac:dyDescent="0.25">
      <c r="A691" t="s">
        <v>462</v>
      </c>
      <c r="B691" s="1">
        <v>43597</v>
      </c>
      <c r="C691" t="s">
        <v>463</v>
      </c>
      <c r="D691" t="s">
        <v>88</v>
      </c>
      <c r="E691" t="s">
        <v>51</v>
      </c>
      <c r="F691" t="s">
        <v>247</v>
      </c>
      <c r="G691" t="s">
        <v>247</v>
      </c>
      <c r="H691" t="s">
        <v>54</v>
      </c>
      <c r="I691">
        <v>500</v>
      </c>
      <c r="J691">
        <v>0</v>
      </c>
      <c r="K691">
        <v>1</v>
      </c>
      <c r="L691" t="s">
        <v>25</v>
      </c>
      <c r="M691" t="s">
        <v>26</v>
      </c>
      <c r="N691">
        <v>2400</v>
      </c>
      <c r="O691">
        <v>0</v>
      </c>
      <c r="P691" t="str">
        <f>IF(T[[#This Row],[qty_ordered]]&lt;&gt;T[[#This Row],[qty_received]],IF(T[[#This Row],[qty_received]]&gt;0,"Partial Received","Not Receviced"),"FullyReceived")</f>
        <v>Not Receviced</v>
      </c>
      <c r="Q691" t="str">
        <f>IF(T[[#This Row],[qty_received]]&lt;&gt;T[[#This Row],[qty_invoiced]],IF(T[[#This Row],[qty_invoiced]]&gt;0,"Partial Invoiced","Not Invoiced"),"Fully Invoiced")</f>
        <v>Partial Invoiced</v>
      </c>
      <c r="R691" t="str">
        <f>IFERROR(VLOOKUP(T[[#This Row],[warehouse]],Table2[],2,FALSE),"--")</f>
        <v>--</v>
      </c>
    </row>
    <row r="692" spans="1:18" x14ac:dyDescent="0.25">
      <c r="A692" t="s">
        <v>153</v>
      </c>
      <c r="B692" s="1">
        <v>43636</v>
      </c>
      <c r="C692" t="s">
        <v>762</v>
      </c>
      <c r="D692" t="s">
        <v>20</v>
      </c>
      <c r="E692" t="s">
        <v>281</v>
      </c>
      <c r="F692" t="s">
        <v>526</v>
      </c>
      <c r="G692" t="s">
        <v>472</v>
      </c>
      <c r="H692" t="s">
        <v>123</v>
      </c>
      <c r="I692">
        <v>2000</v>
      </c>
      <c r="J692">
        <v>2000</v>
      </c>
      <c r="K692">
        <v>2000</v>
      </c>
      <c r="L692" t="s">
        <v>25</v>
      </c>
      <c r="M692" t="s">
        <v>132</v>
      </c>
      <c r="N692">
        <v>2500</v>
      </c>
      <c r="O692">
        <v>5000000</v>
      </c>
      <c r="P692" t="str">
        <f>IF(T[[#This Row],[qty_ordered]]&lt;&gt;T[[#This Row],[qty_received]],IF(T[[#This Row],[qty_received]]&gt;0,"Partial Received","Not Receviced"),"FullyReceived")</f>
        <v>FullyReceived</v>
      </c>
      <c r="Q692" t="str">
        <f>IF(T[[#This Row],[qty_received]]&lt;&gt;T[[#This Row],[qty_invoiced]],IF(T[[#This Row],[qty_invoiced]]&gt;0,"Partial Invoiced","Not Invoiced"),"Fully Invoiced")</f>
        <v>Fully Invoiced</v>
      </c>
      <c r="R692" t="str">
        <f>IFERROR(VLOOKUP(T[[#This Row],[warehouse]],Table2[],2,FALSE),"--")</f>
        <v>Crusher Alm Eldin-KH</v>
      </c>
    </row>
    <row r="693" spans="1:18" x14ac:dyDescent="0.25">
      <c r="A693" t="s">
        <v>160</v>
      </c>
      <c r="B693" s="1">
        <v>43640</v>
      </c>
      <c r="C693" t="s">
        <v>763</v>
      </c>
      <c r="D693" t="s">
        <v>20</v>
      </c>
      <c r="E693" t="s">
        <v>66</v>
      </c>
      <c r="F693" t="s">
        <v>330</v>
      </c>
      <c r="G693" t="s">
        <v>331</v>
      </c>
      <c r="H693" t="s">
        <v>123</v>
      </c>
      <c r="I693">
        <v>1217</v>
      </c>
      <c r="J693">
        <v>1217</v>
      </c>
      <c r="K693">
        <v>1217</v>
      </c>
      <c r="L693" t="s">
        <v>25</v>
      </c>
      <c r="M693" t="s">
        <v>26</v>
      </c>
      <c r="N693">
        <v>30000</v>
      </c>
      <c r="O693">
        <v>36510000</v>
      </c>
      <c r="P693" t="str">
        <f>IF(T[[#This Row],[qty_ordered]]&lt;&gt;T[[#This Row],[qty_received]],IF(T[[#This Row],[qty_received]]&gt;0,"Partial Received","Not Receviced"),"FullyReceived")</f>
        <v>FullyReceived</v>
      </c>
      <c r="Q693" t="str">
        <f>IF(T[[#This Row],[qty_received]]&lt;&gt;T[[#This Row],[qty_invoiced]],IF(T[[#This Row],[qty_invoiced]]&gt;0,"Partial Invoiced","Not Invoiced"),"Fully Invoiced")</f>
        <v>Fully Invoiced</v>
      </c>
      <c r="R693" t="str">
        <f>IFERROR(VLOOKUP(T[[#This Row],[warehouse]],Table2[],2,FALSE),"--")</f>
        <v>PZU Main Warehouse</v>
      </c>
    </row>
    <row r="694" spans="1:18" x14ac:dyDescent="0.25">
      <c r="A694" t="s">
        <v>160</v>
      </c>
      <c r="B694" s="1">
        <v>43536</v>
      </c>
      <c r="C694" t="s">
        <v>430</v>
      </c>
      <c r="D694" t="s">
        <v>71</v>
      </c>
      <c r="E694" t="s">
        <v>548</v>
      </c>
      <c r="F694" t="s">
        <v>22</v>
      </c>
      <c r="G694" t="s">
        <v>23</v>
      </c>
      <c r="H694" t="s">
        <v>24</v>
      </c>
      <c r="I694">
        <v>2500</v>
      </c>
      <c r="J694">
        <v>2232.33</v>
      </c>
      <c r="K694">
        <v>2232.33</v>
      </c>
      <c r="L694" t="s">
        <v>25</v>
      </c>
      <c r="M694" t="s">
        <v>26</v>
      </c>
      <c r="N694">
        <v>32874</v>
      </c>
      <c r="O694">
        <v>73385616.420000002</v>
      </c>
      <c r="P694" t="str">
        <f>IF(T[[#This Row],[qty_ordered]]&lt;&gt;T[[#This Row],[qty_received]],IF(T[[#This Row],[qty_received]]&gt;0,"Partial Received","Not Receviced"),"FullyReceived")</f>
        <v>Partial Received</v>
      </c>
      <c r="Q694" t="str">
        <f>IF(T[[#This Row],[qty_received]]&lt;&gt;T[[#This Row],[qty_invoiced]],IF(T[[#This Row],[qty_invoiced]]&gt;0,"Partial Invoiced","Not Invoiced"),"Fully Invoiced")</f>
        <v>Fully Invoiced</v>
      </c>
      <c r="R694" t="str">
        <f>IFERROR(VLOOKUP(T[[#This Row],[warehouse]],Table2[],2,FALSE),"--")</f>
        <v>Crusher Almosaly-ALB</v>
      </c>
    </row>
    <row r="695" spans="1:18" x14ac:dyDescent="0.25">
      <c r="A695" t="s">
        <v>252</v>
      </c>
      <c r="B695" s="1">
        <v>43643</v>
      </c>
      <c r="C695" t="s">
        <v>764</v>
      </c>
      <c r="D695" t="s">
        <v>20</v>
      </c>
      <c r="E695" t="s">
        <v>51</v>
      </c>
      <c r="F695" t="s">
        <v>183</v>
      </c>
      <c r="G695" t="s">
        <v>184</v>
      </c>
      <c r="H695" t="s">
        <v>54</v>
      </c>
      <c r="I695">
        <v>754.69500000000005</v>
      </c>
      <c r="J695">
        <v>0</v>
      </c>
      <c r="K695">
        <v>1</v>
      </c>
      <c r="L695" t="s">
        <v>25</v>
      </c>
      <c r="M695" t="s">
        <v>26</v>
      </c>
      <c r="N695">
        <v>550</v>
      </c>
      <c r="O695">
        <v>0</v>
      </c>
      <c r="P695" t="str">
        <f>IF(T[[#This Row],[qty_ordered]]&lt;&gt;T[[#This Row],[qty_received]],IF(T[[#This Row],[qty_received]]&gt;0,"Partial Received","Not Receviced"),"FullyReceived")</f>
        <v>Not Receviced</v>
      </c>
      <c r="Q695" t="str">
        <f>IF(T[[#This Row],[qty_received]]&lt;&gt;T[[#This Row],[qty_invoiced]],IF(T[[#This Row],[qty_invoiced]]&gt;0,"Partial Invoiced","Not Invoiced"),"Fully Invoiced")</f>
        <v>Partial Invoiced</v>
      </c>
      <c r="R695" t="str">
        <f>IFERROR(VLOOKUP(T[[#This Row],[warehouse]],Table2[],2,FALSE),"--")</f>
        <v>--</v>
      </c>
    </row>
    <row r="696" spans="1:18" x14ac:dyDescent="0.25">
      <c r="A696" t="s">
        <v>252</v>
      </c>
      <c r="B696" s="1">
        <v>43643</v>
      </c>
      <c r="C696" t="s">
        <v>764</v>
      </c>
      <c r="D696" t="s">
        <v>71</v>
      </c>
      <c r="E696" t="s">
        <v>51</v>
      </c>
      <c r="F696" t="s">
        <v>254</v>
      </c>
      <c r="G696" t="s">
        <v>255</v>
      </c>
      <c r="H696" t="s">
        <v>54</v>
      </c>
      <c r="I696">
        <v>13725</v>
      </c>
      <c r="J696">
        <v>0</v>
      </c>
      <c r="K696">
        <v>1</v>
      </c>
      <c r="L696" t="s">
        <v>25</v>
      </c>
      <c r="M696" t="s">
        <v>26</v>
      </c>
      <c r="N696">
        <v>3</v>
      </c>
      <c r="O696">
        <v>0</v>
      </c>
      <c r="P696" t="str">
        <f>IF(T[[#This Row],[qty_ordered]]&lt;&gt;T[[#This Row],[qty_received]],IF(T[[#This Row],[qty_received]]&gt;0,"Partial Received","Not Receviced"),"FullyReceived")</f>
        <v>Not Receviced</v>
      </c>
      <c r="Q696" t="str">
        <f>IF(T[[#This Row],[qty_received]]&lt;&gt;T[[#This Row],[qty_invoiced]],IF(T[[#This Row],[qty_invoiced]]&gt;0,"Partial Invoiced","Not Invoiced"),"Fully Invoiced")</f>
        <v>Partial Invoiced</v>
      </c>
      <c r="R696" t="str">
        <f>IFERROR(VLOOKUP(T[[#This Row],[warehouse]],Table2[],2,FALSE),"--")</f>
        <v>--</v>
      </c>
    </row>
    <row r="697" spans="1:18" x14ac:dyDescent="0.25">
      <c r="A697" t="s">
        <v>252</v>
      </c>
      <c r="B697" s="1">
        <v>43643</v>
      </c>
      <c r="C697" t="s">
        <v>764</v>
      </c>
      <c r="D697" t="s">
        <v>100</v>
      </c>
      <c r="E697" t="s">
        <v>51</v>
      </c>
      <c r="F697" t="s">
        <v>185</v>
      </c>
      <c r="G697" t="s">
        <v>186</v>
      </c>
      <c r="H697" t="s">
        <v>54</v>
      </c>
      <c r="I697">
        <v>760</v>
      </c>
      <c r="J697">
        <v>0</v>
      </c>
      <c r="K697">
        <v>1</v>
      </c>
      <c r="L697" t="s">
        <v>25</v>
      </c>
      <c r="M697" t="s">
        <v>26</v>
      </c>
      <c r="N697">
        <v>650</v>
      </c>
      <c r="O697">
        <v>0</v>
      </c>
      <c r="P697" t="str">
        <f>IF(T[[#This Row],[qty_ordered]]&lt;&gt;T[[#This Row],[qty_received]],IF(T[[#This Row],[qty_received]]&gt;0,"Partial Received","Not Receviced"),"FullyReceived")</f>
        <v>Not Receviced</v>
      </c>
      <c r="Q697" t="str">
        <f>IF(T[[#This Row],[qty_received]]&lt;&gt;T[[#This Row],[qty_invoiced]],IF(T[[#This Row],[qty_invoiced]]&gt;0,"Partial Invoiced","Not Invoiced"),"Fully Invoiced")</f>
        <v>Partial Invoiced</v>
      </c>
      <c r="R697" t="str">
        <f>IFERROR(VLOOKUP(T[[#This Row],[warehouse]],Table2[],2,FALSE),"--")</f>
        <v>--</v>
      </c>
    </row>
    <row r="698" spans="1:18" x14ac:dyDescent="0.25">
      <c r="A698" t="s">
        <v>252</v>
      </c>
      <c r="B698" s="1">
        <v>43643</v>
      </c>
      <c r="C698" t="s">
        <v>764</v>
      </c>
      <c r="D698" t="s">
        <v>88</v>
      </c>
      <c r="E698" t="s">
        <v>51</v>
      </c>
      <c r="F698" t="s">
        <v>373</v>
      </c>
      <c r="G698" t="s">
        <v>373</v>
      </c>
      <c r="H698" t="s">
        <v>54</v>
      </c>
      <c r="I698">
        <v>724</v>
      </c>
      <c r="J698">
        <v>0</v>
      </c>
      <c r="K698">
        <v>1</v>
      </c>
      <c r="L698" t="s">
        <v>25</v>
      </c>
      <c r="M698" t="s">
        <v>26</v>
      </c>
      <c r="N698">
        <v>650</v>
      </c>
      <c r="O698">
        <v>0</v>
      </c>
      <c r="P698" t="str">
        <f>IF(T[[#This Row],[qty_ordered]]&lt;&gt;T[[#This Row],[qty_received]],IF(T[[#This Row],[qty_received]]&gt;0,"Partial Received","Not Receviced"),"FullyReceived")</f>
        <v>Not Receviced</v>
      </c>
      <c r="Q698" t="str">
        <f>IF(T[[#This Row],[qty_received]]&lt;&gt;T[[#This Row],[qty_invoiced]],IF(T[[#This Row],[qty_invoiced]]&gt;0,"Partial Invoiced","Not Invoiced"),"Fully Invoiced")</f>
        <v>Partial Invoiced</v>
      </c>
      <c r="R698" t="str">
        <f>IFERROR(VLOOKUP(T[[#This Row],[warehouse]],Table2[],2,FALSE),"--")</f>
        <v>--</v>
      </c>
    </row>
    <row r="699" spans="1:18" x14ac:dyDescent="0.25">
      <c r="A699" t="s">
        <v>462</v>
      </c>
      <c r="B699" s="1">
        <v>43643</v>
      </c>
      <c r="C699" t="s">
        <v>504</v>
      </c>
      <c r="D699" t="s">
        <v>20</v>
      </c>
      <c r="E699" t="s">
        <v>51</v>
      </c>
      <c r="F699" t="s">
        <v>247</v>
      </c>
      <c r="G699" t="s">
        <v>247</v>
      </c>
      <c r="H699" t="s">
        <v>54</v>
      </c>
      <c r="I699">
        <v>302</v>
      </c>
      <c r="J699">
        <v>0</v>
      </c>
      <c r="K699">
        <v>1</v>
      </c>
      <c r="L699" t="s">
        <v>25</v>
      </c>
      <c r="M699" t="s">
        <v>359</v>
      </c>
      <c r="N699">
        <v>2400</v>
      </c>
      <c r="O699">
        <v>0</v>
      </c>
      <c r="P699" t="str">
        <f>IF(T[[#This Row],[qty_ordered]]&lt;&gt;T[[#This Row],[qty_received]],IF(T[[#This Row],[qty_received]]&gt;0,"Partial Received","Not Receviced"),"FullyReceived")</f>
        <v>Not Receviced</v>
      </c>
      <c r="Q699" t="str">
        <f>IF(T[[#This Row],[qty_received]]&lt;&gt;T[[#This Row],[qty_invoiced]],IF(T[[#This Row],[qty_invoiced]]&gt;0,"Partial Invoiced","Not Invoiced"),"Fully Invoiced")</f>
        <v>Partial Invoiced</v>
      </c>
      <c r="R699" t="str">
        <f>IFERROR(VLOOKUP(T[[#This Row],[warehouse]],Table2[],2,FALSE),"--")</f>
        <v>--</v>
      </c>
    </row>
    <row r="700" spans="1:18" x14ac:dyDescent="0.25">
      <c r="A700" t="s">
        <v>423</v>
      </c>
      <c r="B700" s="1">
        <v>43571</v>
      </c>
      <c r="C700" t="s">
        <v>446</v>
      </c>
      <c r="D700" t="s">
        <v>324</v>
      </c>
      <c r="E700" t="s">
        <v>51</v>
      </c>
      <c r="F700" t="s">
        <v>52</v>
      </c>
      <c r="G700" t="s">
        <v>75</v>
      </c>
      <c r="H700" t="s">
        <v>54</v>
      </c>
      <c r="I700">
        <v>5000</v>
      </c>
      <c r="J700">
        <v>0</v>
      </c>
      <c r="K700">
        <v>1</v>
      </c>
      <c r="L700" t="s">
        <v>25</v>
      </c>
      <c r="M700" t="s">
        <v>26</v>
      </c>
      <c r="N700">
        <v>2.6</v>
      </c>
      <c r="O700">
        <v>0</v>
      </c>
      <c r="P700" t="str">
        <f>IF(T[[#This Row],[qty_ordered]]&lt;&gt;T[[#This Row],[qty_received]],IF(T[[#This Row],[qty_received]]&gt;0,"Partial Received","Not Receviced"),"FullyReceived")</f>
        <v>Not Receviced</v>
      </c>
      <c r="Q700" t="str">
        <f>IF(T[[#This Row],[qty_received]]&lt;&gt;T[[#This Row],[qty_invoiced]],IF(T[[#This Row],[qty_invoiced]]&gt;0,"Partial Invoiced","Not Invoiced"),"Fully Invoiced")</f>
        <v>Partial Invoiced</v>
      </c>
      <c r="R700" t="str">
        <f>IFERROR(VLOOKUP(T[[#This Row],[warehouse]],Table2[],2,FALSE),"--")</f>
        <v>--</v>
      </c>
    </row>
    <row r="701" spans="1:18" x14ac:dyDescent="0.25">
      <c r="A701" t="s">
        <v>423</v>
      </c>
      <c r="B701" s="1">
        <v>43650</v>
      </c>
      <c r="C701" t="s">
        <v>611</v>
      </c>
      <c r="D701" t="s">
        <v>20</v>
      </c>
      <c r="E701" t="s">
        <v>51</v>
      </c>
      <c r="F701" t="s">
        <v>52</v>
      </c>
      <c r="G701" t="s">
        <v>75</v>
      </c>
      <c r="H701" t="s">
        <v>54</v>
      </c>
      <c r="I701">
        <v>500</v>
      </c>
      <c r="J701">
        <v>0</v>
      </c>
      <c r="K701">
        <v>1</v>
      </c>
      <c r="L701" t="s">
        <v>25</v>
      </c>
      <c r="M701" t="s">
        <v>26</v>
      </c>
      <c r="N701">
        <v>6</v>
      </c>
      <c r="O701">
        <v>0</v>
      </c>
      <c r="P701" t="str">
        <f>IF(T[[#This Row],[qty_ordered]]&lt;&gt;T[[#This Row],[qty_received]],IF(T[[#This Row],[qty_received]]&gt;0,"Partial Received","Not Receviced"),"FullyReceived")</f>
        <v>Not Receviced</v>
      </c>
      <c r="Q701" t="str">
        <f>IF(T[[#This Row],[qty_received]]&lt;&gt;T[[#This Row],[qty_invoiced]],IF(T[[#This Row],[qty_invoiced]]&gt;0,"Partial Invoiced","Not Invoiced"),"Fully Invoiced")</f>
        <v>Partial Invoiced</v>
      </c>
      <c r="R701" t="str">
        <f>IFERROR(VLOOKUP(T[[#This Row],[warehouse]],Table2[],2,FALSE),"--")</f>
        <v>--</v>
      </c>
    </row>
    <row r="702" spans="1:18" x14ac:dyDescent="0.25">
      <c r="A702" t="s">
        <v>462</v>
      </c>
      <c r="B702" s="1">
        <v>43643</v>
      </c>
      <c r="C702" t="s">
        <v>504</v>
      </c>
      <c r="D702" t="s">
        <v>71</v>
      </c>
      <c r="E702" t="s">
        <v>51</v>
      </c>
      <c r="F702" t="s">
        <v>247</v>
      </c>
      <c r="G702" t="s">
        <v>247</v>
      </c>
      <c r="H702" t="s">
        <v>54</v>
      </c>
      <c r="I702">
        <v>450</v>
      </c>
      <c r="J702">
        <v>0</v>
      </c>
      <c r="K702">
        <v>1</v>
      </c>
      <c r="L702" t="s">
        <v>25</v>
      </c>
      <c r="M702" t="s">
        <v>359</v>
      </c>
      <c r="N702">
        <v>3000</v>
      </c>
      <c r="O702">
        <v>0</v>
      </c>
      <c r="P702" t="str">
        <f>IF(T[[#This Row],[qty_ordered]]&lt;&gt;T[[#This Row],[qty_received]],IF(T[[#This Row],[qty_received]]&gt;0,"Partial Received","Not Receviced"),"FullyReceived")</f>
        <v>Not Receviced</v>
      </c>
      <c r="Q702" t="str">
        <f>IF(T[[#This Row],[qty_received]]&lt;&gt;T[[#This Row],[qty_invoiced]],IF(T[[#This Row],[qty_invoiced]]&gt;0,"Partial Invoiced","Not Invoiced"),"Fully Invoiced")</f>
        <v>Partial Invoiced</v>
      </c>
      <c r="R702" t="str">
        <f>IFERROR(VLOOKUP(T[[#This Row],[warehouse]],Table2[],2,FALSE),"--")</f>
        <v>--</v>
      </c>
    </row>
    <row r="703" spans="1:18" x14ac:dyDescent="0.25">
      <c r="A703" t="s">
        <v>462</v>
      </c>
      <c r="B703" s="1">
        <v>43643</v>
      </c>
      <c r="C703" t="s">
        <v>504</v>
      </c>
      <c r="D703" t="s">
        <v>100</v>
      </c>
      <c r="E703" t="s">
        <v>51</v>
      </c>
      <c r="F703" t="s">
        <v>247</v>
      </c>
      <c r="G703" t="s">
        <v>247</v>
      </c>
      <c r="H703" t="s">
        <v>54</v>
      </c>
      <c r="I703">
        <v>50</v>
      </c>
      <c r="J703">
        <v>0</v>
      </c>
      <c r="K703">
        <v>1</v>
      </c>
      <c r="L703" t="s">
        <v>25</v>
      </c>
      <c r="M703" t="s">
        <v>359</v>
      </c>
      <c r="N703">
        <v>3000</v>
      </c>
      <c r="O703">
        <v>0</v>
      </c>
      <c r="P703" t="str">
        <f>IF(T[[#This Row],[qty_ordered]]&lt;&gt;T[[#This Row],[qty_received]],IF(T[[#This Row],[qty_received]]&gt;0,"Partial Received","Not Receviced"),"FullyReceived")</f>
        <v>Not Receviced</v>
      </c>
      <c r="Q703" t="str">
        <f>IF(T[[#This Row],[qty_received]]&lt;&gt;T[[#This Row],[qty_invoiced]],IF(T[[#This Row],[qty_invoiced]]&gt;0,"Partial Invoiced","Not Invoiced"),"Fully Invoiced")</f>
        <v>Partial Invoiced</v>
      </c>
      <c r="R703" t="str">
        <f>IFERROR(VLOOKUP(T[[#This Row],[warehouse]],Table2[],2,FALSE),"--")</f>
        <v>--</v>
      </c>
    </row>
    <row r="704" spans="1:18" x14ac:dyDescent="0.25">
      <c r="A704" t="s">
        <v>765</v>
      </c>
      <c r="B704" s="1">
        <v>43640</v>
      </c>
      <c r="C704" t="s">
        <v>766</v>
      </c>
      <c r="D704" t="s">
        <v>20</v>
      </c>
      <c r="E704" t="s">
        <v>51</v>
      </c>
      <c r="F704" t="s">
        <v>183</v>
      </c>
      <c r="G704" t="s">
        <v>183</v>
      </c>
      <c r="H704" t="s">
        <v>54</v>
      </c>
      <c r="I704">
        <v>128</v>
      </c>
      <c r="J704">
        <v>0</v>
      </c>
      <c r="K704">
        <v>1</v>
      </c>
      <c r="L704" t="s">
        <v>25</v>
      </c>
      <c r="M704" t="s">
        <v>26</v>
      </c>
      <c r="N704">
        <v>500</v>
      </c>
      <c r="O704">
        <v>0</v>
      </c>
      <c r="P704" t="str">
        <f>IF(T[[#This Row],[qty_ordered]]&lt;&gt;T[[#This Row],[qty_received]],IF(T[[#This Row],[qty_received]]&gt;0,"Partial Received","Not Receviced"),"FullyReceived")</f>
        <v>Not Receviced</v>
      </c>
      <c r="Q704" t="str">
        <f>IF(T[[#This Row],[qty_received]]&lt;&gt;T[[#This Row],[qty_invoiced]],IF(T[[#This Row],[qty_invoiced]]&gt;0,"Partial Invoiced","Not Invoiced"),"Fully Invoiced")</f>
        <v>Partial Invoiced</v>
      </c>
      <c r="R704" t="str">
        <f>IFERROR(VLOOKUP(T[[#This Row],[warehouse]],Table2[],2,FALSE),"--")</f>
        <v>--</v>
      </c>
    </row>
    <row r="705" spans="1:18" x14ac:dyDescent="0.25">
      <c r="A705" t="s">
        <v>765</v>
      </c>
      <c r="B705" s="1">
        <v>43640</v>
      </c>
      <c r="C705" t="s">
        <v>766</v>
      </c>
      <c r="D705" t="s">
        <v>71</v>
      </c>
      <c r="E705" t="s">
        <v>51</v>
      </c>
      <c r="F705" t="s">
        <v>183</v>
      </c>
      <c r="G705" t="s">
        <v>92</v>
      </c>
      <c r="H705" t="s">
        <v>54</v>
      </c>
      <c r="I705">
        <v>104</v>
      </c>
      <c r="J705">
        <v>0</v>
      </c>
      <c r="K705">
        <v>1</v>
      </c>
      <c r="L705" t="s">
        <v>25</v>
      </c>
      <c r="M705" t="s">
        <v>26</v>
      </c>
      <c r="N705">
        <v>30</v>
      </c>
      <c r="O705">
        <v>0</v>
      </c>
      <c r="P705" t="str">
        <f>IF(T[[#This Row],[qty_ordered]]&lt;&gt;T[[#This Row],[qty_received]],IF(T[[#This Row],[qty_received]]&gt;0,"Partial Received","Not Receviced"),"FullyReceived")</f>
        <v>Not Receviced</v>
      </c>
      <c r="Q705" t="str">
        <f>IF(T[[#This Row],[qty_received]]&lt;&gt;T[[#This Row],[qty_invoiced]],IF(T[[#This Row],[qty_invoiced]]&gt;0,"Partial Invoiced","Not Invoiced"),"Fully Invoiced")</f>
        <v>Partial Invoiced</v>
      </c>
      <c r="R705" t="str">
        <f>IFERROR(VLOOKUP(T[[#This Row],[warehouse]],Table2[],2,FALSE),"--")</f>
        <v>--</v>
      </c>
    </row>
    <row r="706" spans="1:18" x14ac:dyDescent="0.25">
      <c r="A706" t="s">
        <v>765</v>
      </c>
      <c r="B706" s="1">
        <v>43640</v>
      </c>
      <c r="C706" t="s">
        <v>766</v>
      </c>
      <c r="D706" t="s">
        <v>100</v>
      </c>
      <c r="E706" t="s">
        <v>51</v>
      </c>
      <c r="F706" t="s">
        <v>52</v>
      </c>
      <c r="G706" t="s">
        <v>75</v>
      </c>
      <c r="H706" t="s">
        <v>54</v>
      </c>
      <c r="I706">
        <v>16</v>
      </c>
      <c r="J706">
        <v>0</v>
      </c>
      <c r="K706">
        <v>1</v>
      </c>
      <c r="L706" t="s">
        <v>25</v>
      </c>
      <c r="M706" t="s">
        <v>26</v>
      </c>
      <c r="N706">
        <v>30</v>
      </c>
      <c r="O706">
        <v>0</v>
      </c>
      <c r="P706" t="str">
        <f>IF(T[[#This Row],[qty_ordered]]&lt;&gt;T[[#This Row],[qty_received]],IF(T[[#This Row],[qty_received]]&gt;0,"Partial Received","Not Receviced"),"FullyReceived")</f>
        <v>Not Receviced</v>
      </c>
      <c r="Q706" t="str">
        <f>IF(T[[#This Row],[qty_received]]&lt;&gt;T[[#This Row],[qty_invoiced]],IF(T[[#This Row],[qty_invoiced]]&gt;0,"Partial Invoiced","Not Invoiced"),"Fully Invoiced")</f>
        <v>Partial Invoiced</v>
      </c>
      <c r="R706" t="str">
        <f>IFERROR(VLOOKUP(T[[#This Row],[warehouse]],Table2[],2,FALSE),"--")</f>
        <v>--</v>
      </c>
    </row>
    <row r="707" spans="1:18" x14ac:dyDescent="0.25">
      <c r="A707" t="s">
        <v>767</v>
      </c>
      <c r="B707" s="1">
        <v>43640</v>
      </c>
      <c r="C707" t="s">
        <v>768</v>
      </c>
      <c r="D707" t="s">
        <v>20</v>
      </c>
      <c r="E707" t="s">
        <v>51</v>
      </c>
      <c r="F707" t="s">
        <v>183</v>
      </c>
      <c r="G707" t="s">
        <v>769</v>
      </c>
      <c r="H707" t="s">
        <v>54</v>
      </c>
      <c r="I707">
        <v>36.341999999999999</v>
      </c>
      <c r="J707">
        <v>0</v>
      </c>
      <c r="K707">
        <v>1</v>
      </c>
      <c r="L707" t="s">
        <v>25</v>
      </c>
      <c r="M707" t="s">
        <v>26</v>
      </c>
      <c r="N707">
        <v>600</v>
      </c>
      <c r="O707">
        <v>0</v>
      </c>
      <c r="P707" t="str">
        <f>IF(T[[#This Row],[qty_ordered]]&lt;&gt;T[[#This Row],[qty_received]],IF(T[[#This Row],[qty_received]]&gt;0,"Partial Received","Not Receviced"),"FullyReceived")</f>
        <v>Not Receviced</v>
      </c>
      <c r="Q707" t="str">
        <f>IF(T[[#This Row],[qty_received]]&lt;&gt;T[[#This Row],[qty_invoiced]],IF(T[[#This Row],[qty_invoiced]]&gt;0,"Partial Invoiced","Not Invoiced"),"Fully Invoiced")</f>
        <v>Partial Invoiced</v>
      </c>
      <c r="R707" t="str">
        <f>IFERROR(VLOOKUP(T[[#This Row],[warehouse]],Table2[],2,FALSE),"--")</f>
        <v>--</v>
      </c>
    </row>
    <row r="708" spans="1:18" x14ac:dyDescent="0.25">
      <c r="A708" t="s">
        <v>770</v>
      </c>
      <c r="B708" s="1">
        <v>43640</v>
      </c>
      <c r="C708" t="s">
        <v>771</v>
      </c>
      <c r="D708" t="s">
        <v>20</v>
      </c>
      <c r="E708" t="s">
        <v>51</v>
      </c>
      <c r="F708" t="s">
        <v>267</v>
      </c>
      <c r="G708" t="s">
        <v>267</v>
      </c>
      <c r="H708" t="s">
        <v>54</v>
      </c>
      <c r="I708">
        <v>1170</v>
      </c>
      <c r="J708">
        <v>0</v>
      </c>
      <c r="K708">
        <v>1</v>
      </c>
      <c r="L708" t="s">
        <v>25</v>
      </c>
      <c r="M708" t="s">
        <v>26</v>
      </c>
      <c r="N708">
        <v>10</v>
      </c>
      <c r="O708">
        <v>0</v>
      </c>
      <c r="P708" t="str">
        <f>IF(T[[#This Row],[qty_ordered]]&lt;&gt;T[[#This Row],[qty_received]],IF(T[[#This Row],[qty_received]]&gt;0,"Partial Received","Not Receviced"),"FullyReceived")</f>
        <v>Not Receviced</v>
      </c>
      <c r="Q708" t="str">
        <f>IF(T[[#This Row],[qty_received]]&lt;&gt;T[[#This Row],[qty_invoiced]],IF(T[[#This Row],[qty_invoiced]]&gt;0,"Partial Invoiced","Not Invoiced"),"Fully Invoiced")</f>
        <v>Partial Invoiced</v>
      </c>
      <c r="R708" t="str">
        <f>IFERROR(VLOOKUP(T[[#This Row],[warehouse]],Table2[],2,FALSE),"--")</f>
        <v>--</v>
      </c>
    </row>
    <row r="709" spans="1:18" x14ac:dyDescent="0.25">
      <c r="A709" t="s">
        <v>770</v>
      </c>
      <c r="B709" s="1">
        <v>43640</v>
      </c>
      <c r="C709" t="s">
        <v>771</v>
      </c>
      <c r="D709" t="s">
        <v>71</v>
      </c>
      <c r="E709" t="s">
        <v>51</v>
      </c>
      <c r="F709" t="s">
        <v>254</v>
      </c>
      <c r="G709" t="s">
        <v>255</v>
      </c>
      <c r="H709" t="s">
        <v>54</v>
      </c>
      <c r="I709">
        <v>1170</v>
      </c>
      <c r="J709">
        <v>0</v>
      </c>
      <c r="K709">
        <v>1</v>
      </c>
      <c r="L709" t="s">
        <v>25</v>
      </c>
      <c r="M709" t="s">
        <v>26</v>
      </c>
      <c r="N709">
        <v>4</v>
      </c>
      <c r="O709">
        <v>0</v>
      </c>
      <c r="P709" t="str">
        <f>IF(T[[#This Row],[qty_ordered]]&lt;&gt;T[[#This Row],[qty_received]],IF(T[[#This Row],[qty_received]]&gt;0,"Partial Received","Not Receviced"),"FullyReceived")</f>
        <v>Not Receviced</v>
      </c>
      <c r="Q709" t="str">
        <f>IF(T[[#This Row],[qty_received]]&lt;&gt;T[[#This Row],[qty_invoiced]],IF(T[[#This Row],[qty_invoiced]]&gt;0,"Partial Invoiced","Not Invoiced"),"Fully Invoiced")</f>
        <v>Partial Invoiced</v>
      </c>
      <c r="R709" t="str">
        <f>IFERROR(VLOOKUP(T[[#This Row],[warehouse]],Table2[],2,FALSE),"--")</f>
        <v>--</v>
      </c>
    </row>
    <row r="710" spans="1:18" x14ac:dyDescent="0.25">
      <c r="A710" t="s">
        <v>770</v>
      </c>
      <c r="B710" s="1">
        <v>43640</v>
      </c>
      <c r="C710" t="s">
        <v>771</v>
      </c>
      <c r="D710" t="s">
        <v>100</v>
      </c>
      <c r="E710" t="s">
        <v>51</v>
      </c>
      <c r="F710" t="s">
        <v>183</v>
      </c>
      <c r="G710" t="s">
        <v>183</v>
      </c>
      <c r="H710" t="s">
        <v>54</v>
      </c>
      <c r="I710">
        <v>61</v>
      </c>
      <c r="J710">
        <v>0</v>
      </c>
      <c r="K710">
        <v>1</v>
      </c>
      <c r="L710" t="s">
        <v>25</v>
      </c>
      <c r="M710" t="s">
        <v>26</v>
      </c>
      <c r="N710">
        <v>600</v>
      </c>
      <c r="O710">
        <v>0</v>
      </c>
      <c r="P710" t="str">
        <f>IF(T[[#This Row],[qty_ordered]]&lt;&gt;T[[#This Row],[qty_received]],IF(T[[#This Row],[qty_received]]&gt;0,"Partial Received","Not Receviced"),"FullyReceived")</f>
        <v>Not Receviced</v>
      </c>
      <c r="Q710" t="str">
        <f>IF(T[[#This Row],[qty_received]]&lt;&gt;T[[#This Row],[qty_invoiced]],IF(T[[#This Row],[qty_invoiced]]&gt;0,"Partial Invoiced","Not Invoiced"),"Fully Invoiced")</f>
        <v>Partial Invoiced</v>
      </c>
      <c r="R710" t="str">
        <f>IFERROR(VLOOKUP(T[[#This Row],[warehouse]],Table2[],2,FALSE),"--")</f>
        <v>--</v>
      </c>
    </row>
    <row r="711" spans="1:18" x14ac:dyDescent="0.25">
      <c r="A711" t="s">
        <v>770</v>
      </c>
      <c r="B711" s="1">
        <v>43640</v>
      </c>
      <c r="C711" t="s">
        <v>771</v>
      </c>
      <c r="D711" t="s">
        <v>88</v>
      </c>
      <c r="E711" t="s">
        <v>51</v>
      </c>
      <c r="F711" t="s">
        <v>52</v>
      </c>
      <c r="G711" t="s">
        <v>75</v>
      </c>
      <c r="H711" t="s">
        <v>54</v>
      </c>
      <c r="I711">
        <v>1170</v>
      </c>
      <c r="J711">
        <v>0</v>
      </c>
      <c r="K711">
        <v>1</v>
      </c>
      <c r="L711" t="s">
        <v>25</v>
      </c>
      <c r="M711" t="s">
        <v>26</v>
      </c>
      <c r="N711">
        <v>3</v>
      </c>
      <c r="O711">
        <v>0</v>
      </c>
      <c r="P711" t="str">
        <f>IF(T[[#This Row],[qty_ordered]]&lt;&gt;T[[#This Row],[qty_received]],IF(T[[#This Row],[qty_received]]&gt;0,"Partial Received","Not Receviced"),"FullyReceived")</f>
        <v>Not Receviced</v>
      </c>
      <c r="Q711" t="str">
        <f>IF(T[[#This Row],[qty_received]]&lt;&gt;T[[#This Row],[qty_invoiced]],IF(T[[#This Row],[qty_invoiced]]&gt;0,"Partial Invoiced","Not Invoiced"),"Fully Invoiced")</f>
        <v>Partial Invoiced</v>
      </c>
      <c r="R711" t="str">
        <f>IFERROR(VLOOKUP(T[[#This Row],[warehouse]],Table2[],2,FALSE),"--")</f>
        <v>--</v>
      </c>
    </row>
    <row r="712" spans="1:18" x14ac:dyDescent="0.25">
      <c r="A712" t="s">
        <v>770</v>
      </c>
      <c r="B712" s="1">
        <v>43640</v>
      </c>
      <c r="C712" t="s">
        <v>771</v>
      </c>
      <c r="D712" t="s">
        <v>74</v>
      </c>
      <c r="E712" t="s">
        <v>51</v>
      </c>
      <c r="F712" t="s">
        <v>254</v>
      </c>
      <c r="G712" t="s">
        <v>255</v>
      </c>
      <c r="H712" t="s">
        <v>54</v>
      </c>
      <c r="I712">
        <v>358</v>
      </c>
      <c r="J712">
        <v>0</v>
      </c>
      <c r="K712">
        <v>1</v>
      </c>
      <c r="L712" t="s">
        <v>25</v>
      </c>
      <c r="M712" t="s">
        <v>26</v>
      </c>
      <c r="N712">
        <v>10</v>
      </c>
      <c r="O712">
        <v>0</v>
      </c>
      <c r="P712" t="str">
        <f>IF(T[[#This Row],[qty_ordered]]&lt;&gt;T[[#This Row],[qty_received]],IF(T[[#This Row],[qty_received]]&gt;0,"Partial Received","Not Receviced"),"FullyReceived")</f>
        <v>Not Receviced</v>
      </c>
      <c r="Q712" t="str">
        <f>IF(T[[#This Row],[qty_received]]&lt;&gt;T[[#This Row],[qty_invoiced]],IF(T[[#This Row],[qty_invoiced]]&gt;0,"Partial Invoiced","Not Invoiced"),"Fully Invoiced")</f>
        <v>Partial Invoiced</v>
      </c>
      <c r="R712" t="str">
        <f>IFERROR(VLOOKUP(T[[#This Row],[warehouse]],Table2[],2,FALSE),"--")</f>
        <v>--</v>
      </c>
    </row>
    <row r="713" spans="1:18" x14ac:dyDescent="0.25">
      <c r="A713" t="s">
        <v>235</v>
      </c>
      <c r="B713" s="1">
        <v>43669</v>
      </c>
      <c r="C713" t="s">
        <v>772</v>
      </c>
      <c r="D713" t="s">
        <v>20</v>
      </c>
      <c r="E713" t="s">
        <v>51</v>
      </c>
      <c r="F713" t="s">
        <v>52</v>
      </c>
      <c r="G713" t="s">
        <v>75</v>
      </c>
      <c r="H713" t="s">
        <v>54</v>
      </c>
      <c r="I713">
        <v>10</v>
      </c>
      <c r="J713">
        <v>0</v>
      </c>
      <c r="K713">
        <v>1</v>
      </c>
      <c r="L713" t="s">
        <v>25</v>
      </c>
      <c r="M713" t="s">
        <v>26</v>
      </c>
      <c r="N713">
        <v>240</v>
      </c>
      <c r="O713">
        <v>0</v>
      </c>
      <c r="P713" t="str">
        <f>IF(T[[#This Row],[qty_ordered]]&lt;&gt;T[[#This Row],[qty_received]],IF(T[[#This Row],[qty_received]]&gt;0,"Partial Received","Not Receviced"),"FullyReceived")</f>
        <v>Not Receviced</v>
      </c>
      <c r="Q713" t="str">
        <f>IF(T[[#This Row],[qty_received]]&lt;&gt;T[[#This Row],[qty_invoiced]],IF(T[[#This Row],[qty_invoiced]]&gt;0,"Partial Invoiced","Not Invoiced"),"Fully Invoiced")</f>
        <v>Partial Invoiced</v>
      </c>
      <c r="R713" t="str">
        <f>IFERROR(VLOOKUP(T[[#This Row],[warehouse]],Table2[],2,FALSE),"--")</f>
        <v>--</v>
      </c>
    </row>
    <row r="714" spans="1:18" x14ac:dyDescent="0.25">
      <c r="A714" t="s">
        <v>84</v>
      </c>
      <c r="B714" s="1">
        <v>43669</v>
      </c>
      <c r="C714" t="s">
        <v>773</v>
      </c>
      <c r="D714" t="s">
        <v>20</v>
      </c>
      <c r="E714" t="s">
        <v>51</v>
      </c>
      <c r="F714" t="s">
        <v>369</v>
      </c>
      <c r="G714" t="s">
        <v>369</v>
      </c>
      <c r="H714" t="s">
        <v>54</v>
      </c>
      <c r="I714">
        <v>525</v>
      </c>
      <c r="J714">
        <v>0</v>
      </c>
      <c r="K714">
        <v>1</v>
      </c>
      <c r="L714" t="s">
        <v>25</v>
      </c>
      <c r="M714" t="s">
        <v>132</v>
      </c>
      <c r="N714">
        <v>744.76</v>
      </c>
      <c r="O714">
        <v>0</v>
      </c>
      <c r="P714" t="str">
        <f>IF(T[[#This Row],[qty_ordered]]&lt;&gt;T[[#This Row],[qty_received]],IF(T[[#This Row],[qty_received]]&gt;0,"Partial Received","Not Receviced"),"FullyReceived")</f>
        <v>Not Receviced</v>
      </c>
      <c r="Q714" t="str">
        <f>IF(T[[#This Row],[qty_received]]&lt;&gt;T[[#This Row],[qty_invoiced]],IF(T[[#This Row],[qty_invoiced]]&gt;0,"Partial Invoiced","Not Invoiced"),"Fully Invoiced")</f>
        <v>Partial Invoiced</v>
      </c>
      <c r="R714" t="str">
        <f>IFERROR(VLOOKUP(T[[#This Row],[warehouse]],Table2[],2,FALSE),"--")</f>
        <v>--</v>
      </c>
    </row>
    <row r="715" spans="1:18" x14ac:dyDescent="0.25">
      <c r="A715" t="s">
        <v>260</v>
      </c>
      <c r="B715" s="1">
        <v>43670</v>
      </c>
      <c r="C715" t="s">
        <v>581</v>
      </c>
      <c r="D715" t="s">
        <v>20</v>
      </c>
      <c r="E715" t="s">
        <v>51</v>
      </c>
      <c r="F715" t="s">
        <v>278</v>
      </c>
      <c r="G715" t="s">
        <v>279</v>
      </c>
      <c r="H715" t="s">
        <v>54</v>
      </c>
      <c r="I715">
        <v>58000</v>
      </c>
      <c r="J715">
        <v>0</v>
      </c>
      <c r="K715">
        <v>1</v>
      </c>
      <c r="L715" t="s">
        <v>25</v>
      </c>
      <c r="M715" t="s">
        <v>26</v>
      </c>
      <c r="N715">
        <v>8</v>
      </c>
      <c r="O715">
        <v>0</v>
      </c>
      <c r="P715" t="str">
        <f>IF(T[[#This Row],[qty_ordered]]&lt;&gt;T[[#This Row],[qty_received]],IF(T[[#This Row],[qty_received]]&gt;0,"Partial Received","Not Receviced"),"FullyReceived")</f>
        <v>Not Receviced</v>
      </c>
      <c r="Q715" t="str">
        <f>IF(T[[#This Row],[qty_received]]&lt;&gt;T[[#This Row],[qty_invoiced]],IF(T[[#This Row],[qty_invoiced]]&gt;0,"Partial Invoiced","Not Invoiced"),"Fully Invoiced")</f>
        <v>Partial Invoiced</v>
      </c>
      <c r="R715" t="str">
        <f>IFERROR(VLOOKUP(T[[#This Row],[warehouse]],Table2[],2,FALSE),"--")</f>
        <v>--</v>
      </c>
    </row>
    <row r="716" spans="1:18" x14ac:dyDescent="0.25">
      <c r="A716" t="s">
        <v>144</v>
      </c>
      <c r="B716" s="1">
        <v>43632</v>
      </c>
      <c r="C716" t="s">
        <v>774</v>
      </c>
      <c r="D716" t="s">
        <v>20</v>
      </c>
      <c r="E716" t="s">
        <v>146</v>
      </c>
      <c r="F716" t="s">
        <v>147</v>
      </c>
      <c r="G716" t="s">
        <v>148</v>
      </c>
      <c r="H716" t="s">
        <v>149</v>
      </c>
      <c r="I716">
        <v>54000</v>
      </c>
      <c r="J716">
        <v>18000</v>
      </c>
      <c r="K716">
        <v>18000</v>
      </c>
      <c r="L716" t="s">
        <v>25</v>
      </c>
      <c r="M716" t="s">
        <v>575</v>
      </c>
      <c r="N716">
        <v>6.9450000000000003</v>
      </c>
      <c r="O716">
        <v>125010</v>
      </c>
      <c r="P716" t="str">
        <f>IF(T[[#This Row],[qty_ordered]]&lt;&gt;T[[#This Row],[qty_received]],IF(T[[#This Row],[qty_received]]&gt;0,"Partial Received","Not Receviced"),"FullyReceived")</f>
        <v>Partial Received</v>
      </c>
      <c r="Q716" t="str">
        <f>IF(T[[#This Row],[qty_received]]&lt;&gt;T[[#This Row],[qty_invoiced]],IF(T[[#This Row],[qty_invoiced]]&gt;0,"Partial Invoiced","Not Invoiced"),"Fully Invoiced")</f>
        <v>Fully Invoiced</v>
      </c>
      <c r="R716" t="str">
        <f>IFERROR(VLOOKUP(T[[#This Row],[warehouse]],Table2[],2,FALSE),"--")</f>
        <v>Khtoum Main Warehouse</v>
      </c>
    </row>
    <row r="717" spans="1:18" x14ac:dyDescent="0.25">
      <c r="A717" t="s">
        <v>144</v>
      </c>
      <c r="B717" s="1">
        <v>43632</v>
      </c>
      <c r="C717" t="s">
        <v>774</v>
      </c>
      <c r="D717" t="s">
        <v>71</v>
      </c>
      <c r="E717" t="s">
        <v>146</v>
      </c>
      <c r="F717" t="s">
        <v>151</v>
      </c>
      <c r="G717" t="s">
        <v>152</v>
      </c>
      <c r="H717" t="s">
        <v>149</v>
      </c>
      <c r="I717">
        <v>54000</v>
      </c>
      <c r="J717">
        <v>54000</v>
      </c>
      <c r="K717">
        <v>54000</v>
      </c>
      <c r="L717" t="s">
        <v>25</v>
      </c>
      <c r="M717" t="s">
        <v>575</v>
      </c>
      <c r="N717">
        <v>6.9450000000000003</v>
      </c>
      <c r="O717">
        <v>375030</v>
      </c>
      <c r="P717" t="str">
        <f>IF(T[[#This Row],[qty_ordered]]&lt;&gt;T[[#This Row],[qty_received]],IF(T[[#This Row],[qty_received]]&gt;0,"Partial Received","Not Receviced"),"FullyReceived")</f>
        <v>FullyReceived</v>
      </c>
      <c r="Q717" t="str">
        <f>IF(T[[#This Row],[qty_received]]&lt;&gt;T[[#This Row],[qty_invoiced]],IF(T[[#This Row],[qty_invoiced]]&gt;0,"Partial Invoiced","Not Invoiced"),"Fully Invoiced")</f>
        <v>Fully Invoiced</v>
      </c>
      <c r="R717" t="str">
        <f>IFERROR(VLOOKUP(T[[#This Row],[warehouse]],Table2[],2,FALSE),"--")</f>
        <v>Khtoum Main Warehouse</v>
      </c>
    </row>
    <row r="718" spans="1:18" x14ac:dyDescent="0.25">
      <c r="A718" t="s">
        <v>144</v>
      </c>
      <c r="B718" s="1">
        <v>43632</v>
      </c>
      <c r="C718" t="s">
        <v>774</v>
      </c>
      <c r="D718" t="s">
        <v>100</v>
      </c>
      <c r="E718" t="s">
        <v>146</v>
      </c>
      <c r="F718" t="s">
        <v>312</v>
      </c>
      <c r="G718" t="s">
        <v>313</v>
      </c>
      <c r="H718" t="s">
        <v>149</v>
      </c>
      <c r="I718">
        <v>24000</v>
      </c>
      <c r="J718">
        <v>0</v>
      </c>
      <c r="K718">
        <v>0</v>
      </c>
      <c r="L718" t="s">
        <v>25</v>
      </c>
      <c r="M718" t="s">
        <v>575</v>
      </c>
      <c r="N718">
        <v>6.0750000000000002</v>
      </c>
      <c r="O718">
        <v>0</v>
      </c>
      <c r="P718" t="str">
        <f>IF(T[[#This Row],[qty_ordered]]&lt;&gt;T[[#This Row],[qty_received]],IF(T[[#This Row],[qty_received]]&gt;0,"Partial Received","Not Receviced"),"FullyReceived")</f>
        <v>Not Receviced</v>
      </c>
      <c r="Q718" t="str">
        <f>IF(T[[#This Row],[qty_received]]&lt;&gt;T[[#This Row],[qty_invoiced]],IF(T[[#This Row],[qty_invoiced]]&gt;0,"Partial Invoiced","Not Invoiced"),"Fully Invoiced")</f>
        <v>Fully Invoiced</v>
      </c>
      <c r="R718" t="str">
        <f>IFERROR(VLOOKUP(T[[#This Row],[warehouse]],Table2[],2,FALSE),"--")</f>
        <v>Khtoum Main Warehouse</v>
      </c>
    </row>
    <row r="719" spans="1:18" x14ac:dyDescent="0.25">
      <c r="A719" t="s">
        <v>153</v>
      </c>
      <c r="B719" s="1">
        <v>43534</v>
      </c>
      <c r="C719" t="s">
        <v>476</v>
      </c>
      <c r="D719" t="s">
        <v>71</v>
      </c>
      <c r="E719" t="s">
        <v>410</v>
      </c>
      <c r="F719" t="s">
        <v>775</v>
      </c>
      <c r="G719" t="s">
        <v>776</v>
      </c>
      <c r="H719" t="s">
        <v>777</v>
      </c>
      <c r="I719">
        <v>880</v>
      </c>
      <c r="J719">
        <v>880</v>
      </c>
      <c r="K719">
        <v>880</v>
      </c>
      <c r="L719" t="s">
        <v>25</v>
      </c>
      <c r="M719" t="s">
        <v>132</v>
      </c>
      <c r="N719">
        <v>4000</v>
      </c>
      <c r="O719">
        <v>3520000</v>
      </c>
      <c r="P719" t="str">
        <f>IF(T[[#This Row],[qty_ordered]]&lt;&gt;T[[#This Row],[qty_received]],IF(T[[#This Row],[qty_received]]&gt;0,"Partial Received","Not Receviced"),"FullyReceived")</f>
        <v>FullyReceived</v>
      </c>
      <c r="Q719" t="str">
        <f>IF(T[[#This Row],[qty_received]]&lt;&gt;T[[#This Row],[qty_invoiced]],IF(T[[#This Row],[qty_invoiced]]&gt;0,"Partial Invoiced","Not Invoiced"),"Fully Invoiced")</f>
        <v>Fully Invoiced</v>
      </c>
      <c r="R719" t="str">
        <f>IFERROR(VLOOKUP(T[[#This Row],[warehouse]],Table2[],2,FALSE),"--")</f>
        <v>SFITER GUM Masaaie</v>
      </c>
    </row>
    <row r="720" spans="1:18" x14ac:dyDescent="0.25">
      <c r="A720" t="s">
        <v>235</v>
      </c>
      <c r="B720" s="1">
        <v>43669</v>
      </c>
      <c r="C720" t="s">
        <v>778</v>
      </c>
      <c r="D720" t="s">
        <v>20</v>
      </c>
      <c r="E720" t="s">
        <v>51</v>
      </c>
      <c r="F720" t="s">
        <v>52</v>
      </c>
      <c r="G720" t="s">
        <v>75</v>
      </c>
      <c r="H720" t="s">
        <v>54</v>
      </c>
      <c r="I720">
        <v>12500</v>
      </c>
      <c r="J720">
        <v>0</v>
      </c>
      <c r="K720">
        <v>1</v>
      </c>
      <c r="L720" t="s">
        <v>25</v>
      </c>
      <c r="M720" t="s">
        <v>26</v>
      </c>
      <c r="N720">
        <v>2.85</v>
      </c>
      <c r="O720">
        <v>0</v>
      </c>
      <c r="P720" t="str">
        <f>IF(T[[#This Row],[qty_ordered]]&lt;&gt;T[[#This Row],[qty_received]],IF(T[[#This Row],[qty_received]]&gt;0,"Partial Received","Not Receviced"),"FullyReceived")</f>
        <v>Not Receviced</v>
      </c>
      <c r="Q720" t="str">
        <f>IF(T[[#This Row],[qty_received]]&lt;&gt;T[[#This Row],[qty_invoiced]],IF(T[[#This Row],[qty_invoiced]]&gt;0,"Partial Invoiced","Not Invoiced"),"Fully Invoiced")</f>
        <v>Partial Invoiced</v>
      </c>
      <c r="R720" t="str">
        <f>IFERROR(VLOOKUP(T[[#This Row],[warehouse]],Table2[],2,FALSE),"--")</f>
        <v>--</v>
      </c>
    </row>
    <row r="721" spans="1:18" x14ac:dyDescent="0.25">
      <c r="A721" t="s">
        <v>235</v>
      </c>
      <c r="B721" s="1">
        <v>43669</v>
      </c>
      <c r="C721" t="s">
        <v>779</v>
      </c>
      <c r="D721" t="s">
        <v>20</v>
      </c>
      <c r="E721" t="s">
        <v>51</v>
      </c>
      <c r="F721" t="s">
        <v>52</v>
      </c>
      <c r="G721" t="s">
        <v>75</v>
      </c>
      <c r="H721" t="s">
        <v>54</v>
      </c>
      <c r="I721">
        <v>10000</v>
      </c>
      <c r="J721">
        <v>0</v>
      </c>
      <c r="K721">
        <v>1</v>
      </c>
      <c r="L721" t="s">
        <v>25</v>
      </c>
      <c r="M721" t="s">
        <v>26</v>
      </c>
      <c r="N721">
        <v>2.85</v>
      </c>
      <c r="O721">
        <v>0</v>
      </c>
      <c r="P721" t="str">
        <f>IF(T[[#This Row],[qty_ordered]]&lt;&gt;T[[#This Row],[qty_received]],IF(T[[#This Row],[qty_received]]&gt;0,"Partial Received","Not Receviced"),"FullyReceived")</f>
        <v>Not Receviced</v>
      </c>
      <c r="Q721" t="str">
        <f>IF(T[[#This Row],[qty_received]]&lt;&gt;T[[#This Row],[qty_invoiced]],IF(T[[#This Row],[qty_invoiced]]&gt;0,"Partial Invoiced","Not Invoiced"),"Fully Invoiced")</f>
        <v>Partial Invoiced</v>
      </c>
      <c r="R721" t="str">
        <f>IFERROR(VLOOKUP(T[[#This Row],[warehouse]],Table2[],2,FALSE),"--")</f>
        <v>--</v>
      </c>
    </row>
    <row r="722" spans="1:18" x14ac:dyDescent="0.25">
      <c r="A722" t="s">
        <v>252</v>
      </c>
      <c r="B722" s="1">
        <v>43489</v>
      </c>
      <c r="C722" t="s">
        <v>253</v>
      </c>
      <c r="D722" t="s">
        <v>325</v>
      </c>
      <c r="E722" t="s">
        <v>51</v>
      </c>
      <c r="F722" t="s">
        <v>183</v>
      </c>
      <c r="G722" t="s">
        <v>183</v>
      </c>
      <c r="H722" t="s">
        <v>54</v>
      </c>
      <c r="I722">
        <v>66.915000000000006</v>
      </c>
      <c r="J722">
        <v>0</v>
      </c>
      <c r="K722">
        <v>1</v>
      </c>
      <c r="L722" t="s">
        <v>25</v>
      </c>
      <c r="M722" t="s">
        <v>26</v>
      </c>
      <c r="N722">
        <v>550</v>
      </c>
      <c r="O722">
        <v>0</v>
      </c>
      <c r="P722" t="str">
        <f>IF(T[[#This Row],[qty_ordered]]&lt;&gt;T[[#This Row],[qty_received]],IF(T[[#This Row],[qty_received]]&gt;0,"Partial Received","Not Receviced"),"FullyReceived")</f>
        <v>Not Receviced</v>
      </c>
      <c r="Q722" t="str">
        <f>IF(T[[#This Row],[qty_received]]&lt;&gt;T[[#This Row],[qty_invoiced]],IF(T[[#This Row],[qty_invoiced]]&gt;0,"Partial Invoiced","Not Invoiced"),"Fully Invoiced")</f>
        <v>Partial Invoiced</v>
      </c>
      <c r="R722" t="str">
        <f>IFERROR(VLOOKUP(T[[#This Row],[warehouse]],Table2[],2,FALSE),"--")</f>
        <v>--</v>
      </c>
    </row>
    <row r="723" spans="1:18" x14ac:dyDescent="0.25">
      <c r="A723" t="s">
        <v>252</v>
      </c>
      <c r="B723" s="1">
        <v>43489</v>
      </c>
      <c r="C723" t="s">
        <v>253</v>
      </c>
      <c r="D723" t="s">
        <v>451</v>
      </c>
      <c r="E723" t="s">
        <v>51</v>
      </c>
      <c r="F723" t="s">
        <v>254</v>
      </c>
      <c r="G723" t="s">
        <v>255</v>
      </c>
      <c r="H723" t="s">
        <v>54</v>
      </c>
      <c r="I723">
        <v>1021</v>
      </c>
      <c r="J723">
        <v>0</v>
      </c>
      <c r="K723">
        <v>1</v>
      </c>
      <c r="L723" t="s">
        <v>25</v>
      </c>
      <c r="M723" t="s">
        <v>26</v>
      </c>
      <c r="N723">
        <v>3</v>
      </c>
      <c r="O723">
        <v>0</v>
      </c>
      <c r="P723" t="str">
        <f>IF(T[[#This Row],[qty_ordered]]&lt;&gt;T[[#This Row],[qty_received]],IF(T[[#This Row],[qty_received]]&gt;0,"Partial Received","Not Receviced"),"FullyReceived")</f>
        <v>Not Receviced</v>
      </c>
      <c r="Q723" t="str">
        <f>IF(T[[#This Row],[qty_received]]&lt;&gt;T[[#This Row],[qty_invoiced]],IF(T[[#This Row],[qty_invoiced]]&gt;0,"Partial Invoiced","Not Invoiced"),"Fully Invoiced")</f>
        <v>Partial Invoiced</v>
      </c>
      <c r="R723" t="str">
        <f>IFERROR(VLOOKUP(T[[#This Row],[warehouse]],Table2[],2,FALSE),"--")</f>
        <v>--</v>
      </c>
    </row>
    <row r="724" spans="1:18" x14ac:dyDescent="0.25">
      <c r="A724" t="s">
        <v>160</v>
      </c>
      <c r="B724" s="1">
        <v>43580</v>
      </c>
      <c r="C724" t="s">
        <v>450</v>
      </c>
      <c r="D724" t="s">
        <v>100</v>
      </c>
      <c r="E724" t="s">
        <v>30</v>
      </c>
      <c r="F724" t="s">
        <v>22</v>
      </c>
      <c r="G724" t="s">
        <v>23</v>
      </c>
      <c r="H724" t="s">
        <v>24</v>
      </c>
      <c r="I724">
        <v>2000</v>
      </c>
      <c r="J724">
        <v>1337.15</v>
      </c>
      <c r="K724">
        <v>1337.15</v>
      </c>
      <c r="L724" t="s">
        <v>25</v>
      </c>
      <c r="M724" t="s">
        <v>26</v>
      </c>
      <c r="N724">
        <v>36000</v>
      </c>
      <c r="O724">
        <v>48137400</v>
      </c>
      <c r="P724" t="str">
        <f>IF(T[[#This Row],[qty_ordered]]&lt;&gt;T[[#This Row],[qty_received]],IF(T[[#This Row],[qty_received]]&gt;0,"Partial Received","Not Receviced"),"FullyReceived")</f>
        <v>Partial Received</v>
      </c>
      <c r="Q724" t="str">
        <f>IF(T[[#This Row],[qty_received]]&lt;&gt;T[[#This Row],[qty_invoiced]],IF(T[[#This Row],[qty_invoiced]]&gt;0,"Partial Invoiced","Not Invoiced"),"Fully Invoiced")</f>
        <v>Fully Invoiced</v>
      </c>
      <c r="R724" t="str">
        <f>IFERROR(VLOOKUP(T[[#This Row],[warehouse]],Table2[],2,FALSE),"--")</f>
        <v>Crusher KHA- SMA</v>
      </c>
    </row>
    <row r="725" spans="1:18" x14ac:dyDescent="0.25">
      <c r="A725" t="s">
        <v>181</v>
      </c>
      <c r="B725" s="1">
        <v>43669</v>
      </c>
      <c r="C725" t="s">
        <v>780</v>
      </c>
      <c r="D725" t="s">
        <v>20</v>
      </c>
      <c r="E725" t="s">
        <v>51</v>
      </c>
      <c r="F725" t="s">
        <v>183</v>
      </c>
      <c r="G725" t="s">
        <v>183</v>
      </c>
      <c r="H725" t="s">
        <v>54</v>
      </c>
      <c r="I725">
        <v>121.19</v>
      </c>
      <c r="J725">
        <v>0</v>
      </c>
      <c r="K725">
        <v>1</v>
      </c>
      <c r="L725" t="s">
        <v>25</v>
      </c>
      <c r="M725" t="s">
        <v>26</v>
      </c>
      <c r="N725">
        <v>480</v>
      </c>
      <c r="O725">
        <v>0</v>
      </c>
      <c r="P725" t="str">
        <f>IF(T[[#This Row],[qty_ordered]]&lt;&gt;T[[#This Row],[qty_received]],IF(T[[#This Row],[qty_received]]&gt;0,"Partial Received","Not Receviced"),"FullyReceived")</f>
        <v>Not Receviced</v>
      </c>
      <c r="Q725" t="str">
        <f>IF(T[[#This Row],[qty_received]]&lt;&gt;T[[#This Row],[qty_invoiced]],IF(T[[#This Row],[qty_invoiced]]&gt;0,"Partial Invoiced","Not Invoiced"),"Fully Invoiced")</f>
        <v>Partial Invoiced</v>
      </c>
      <c r="R725" t="str">
        <f>IFERROR(VLOOKUP(T[[#This Row],[warehouse]],Table2[],2,FALSE),"--")</f>
        <v>--</v>
      </c>
    </row>
    <row r="726" spans="1:18" x14ac:dyDescent="0.25">
      <c r="A726" t="s">
        <v>260</v>
      </c>
      <c r="B726" s="1">
        <v>43670</v>
      </c>
      <c r="C726" t="s">
        <v>581</v>
      </c>
      <c r="D726" t="s">
        <v>71</v>
      </c>
      <c r="E726" t="s">
        <v>51</v>
      </c>
      <c r="F726" t="s">
        <v>262</v>
      </c>
      <c r="G726" t="s">
        <v>264</v>
      </c>
      <c r="H726" t="s">
        <v>54</v>
      </c>
      <c r="I726">
        <v>58000</v>
      </c>
      <c r="J726">
        <v>0</v>
      </c>
      <c r="K726">
        <v>1</v>
      </c>
      <c r="L726" t="s">
        <v>25</v>
      </c>
      <c r="M726" t="s">
        <v>26</v>
      </c>
      <c r="N726">
        <v>4</v>
      </c>
      <c r="O726">
        <v>0</v>
      </c>
      <c r="P726" t="str">
        <f>IF(T[[#This Row],[qty_ordered]]&lt;&gt;T[[#This Row],[qty_received]],IF(T[[#This Row],[qty_received]]&gt;0,"Partial Received","Not Receviced"),"FullyReceived")</f>
        <v>Not Receviced</v>
      </c>
      <c r="Q726" t="str">
        <f>IF(T[[#This Row],[qty_received]]&lt;&gt;T[[#This Row],[qty_invoiced]],IF(T[[#This Row],[qty_invoiced]]&gt;0,"Partial Invoiced","Not Invoiced"),"Fully Invoiced")</f>
        <v>Partial Invoiced</v>
      </c>
      <c r="R726" t="str">
        <f>IFERROR(VLOOKUP(T[[#This Row],[warehouse]],Table2[],2,FALSE),"--")</f>
        <v>--</v>
      </c>
    </row>
    <row r="727" spans="1:18" x14ac:dyDescent="0.25">
      <c r="A727" t="s">
        <v>260</v>
      </c>
      <c r="B727" s="1">
        <v>43670</v>
      </c>
      <c r="C727" t="s">
        <v>581</v>
      </c>
      <c r="D727" t="s">
        <v>100</v>
      </c>
      <c r="E727" t="s">
        <v>51</v>
      </c>
      <c r="F727" t="s">
        <v>52</v>
      </c>
      <c r="G727" t="s">
        <v>75</v>
      </c>
      <c r="H727" t="s">
        <v>54</v>
      </c>
      <c r="I727">
        <v>58000</v>
      </c>
      <c r="J727">
        <v>0</v>
      </c>
      <c r="K727">
        <v>1</v>
      </c>
      <c r="L727" t="s">
        <v>25</v>
      </c>
      <c r="M727" t="s">
        <v>26</v>
      </c>
      <c r="N727">
        <v>9</v>
      </c>
      <c r="O727">
        <v>0</v>
      </c>
      <c r="P727" t="str">
        <f>IF(T[[#This Row],[qty_ordered]]&lt;&gt;T[[#This Row],[qty_received]],IF(T[[#This Row],[qty_received]]&gt;0,"Partial Received","Not Receviced"),"FullyReceived")</f>
        <v>Not Receviced</v>
      </c>
      <c r="Q727" t="str">
        <f>IF(T[[#This Row],[qty_received]]&lt;&gt;T[[#This Row],[qty_invoiced]],IF(T[[#This Row],[qty_invoiced]]&gt;0,"Partial Invoiced","Not Invoiced"),"Fully Invoiced")</f>
        <v>Partial Invoiced</v>
      </c>
      <c r="R727" t="str">
        <f>IFERROR(VLOOKUP(T[[#This Row],[warehouse]],Table2[],2,FALSE),"--")</f>
        <v>--</v>
      </c>
    </row>
    <row r="728" spans="1:18" x14ac:dyDescent="0.25">
      <c r="A728" t="s">
        <v>462</v>
      </c>
      <c r="B728" s="1">
        <v>43895</v>
      </c>
      <c r="C728" t="s">
        <v>688</v>
      </c>
      <c r="D728" t="s">
        <v>510</v>
      </c>
      <c r="E728" t="s">
        <v>51</v>
      </c>
      <c r="F728" t="s">
        <v>433</v>
      </c>
      <c r="G728" t="s">
        <v>433</v>
      </c>
      <c r="H728" t="s">
        <v>54</v>
      </c>
      <c r="I728">
        <v>5000</v>
      </c>
      <c r="J728">
        <v>0</v>
      </c>
      <c r="K728">
        <v>1</v>
      </c>
      <c r="L728" t="s">
        <v>25</v>
      </c>
      <c r="M728" t="s">
        <v>533</v>
      </c>
      <c r="N728">
        <v>3</v>
      </c>
      <c r="O728">
        <v>0</v>
      </c>
      <c r="P728" t="str">
        <f>IF(T[[#This Row],[qty_ordered]]&lt;&gt;T[[#This Row],[qty_received]],IF(T[[#This Row],[qty_received]]&gt;0,"Partial Received","Not Receviced"),"FullyReceived")</f>
        <v>Not Receviced</v>
      </c>
      <c r="Q728" t="str">
        <f>IF(T[[#This Row],[qty_received]]&lt;&gt;T[[#This Row],[qty_invoiced]],IF(T[[#This Row],[qty_invoiced]]&gt;0,"Partial Invoiced","Not Invoiced"),"Fully Invoiced")</f>
        <v>Partial Invoiced</v>
      </c>
      <c r="R728" t="str">
        <f>IFERROR(VLOOKUP(T[[#This Row],[warehouse]],Table2[],2,FALSE),"--")</f>
        <v>--</v>
      </c>
    </row>
    <row r="729" spans="1:18" x14ac:dyDescent="0.25">
      <c r="A729" t="s">
        <v>462</v>
      </c>
      <c r="B729" s="1">
        <v>43895</v>
      </c>
      <c r="C729" t="s">
        <v>688</v>
      </c>
      <c r="D729" t="s">
        <v>511</v>
      </c>
      <c r="E729" t="s">
        <v>51</v>
      </c>
      <c r="F729" t="s">
        <v>433</v>
      </c>
      <c r="G729" t="s">
        <v>433</v>
      </c>
      <c r="H729" t="s">
        <v>54</v>
      </c>
      <c r="I729">
        <v>23</v>
      </c>
      <c r="J729">
        <v>0</v>
      </c>
      <c r="K729">
        <v>1</v>
      </c>
      <c r="L729" t="s">
        <v>25</v>
      </c>
      <c r="M729" t="s">
        <v>533</v>
      </c>
      <c r="N729">
        <v>170</v>
      </c>
      <c r="O729">
        <v>0</v>
      </c>
      <c r="P729" t="str">
        <f>IF(T[[#This Row],[qty_ordered]]&lt;&gt;T[[#This Row],[qty_received]],IF(T[[#This Row],[qty_received]]&gt;0,"Partial Received","Not Receviced"),"FullyReceived")</f>
        <v>Not Receviced</v>
      </c>
      <c r="Q729" t="str">
        <f>IF(T[[#This Row],[qty_received]]&lt;&gt;T[[#This Row],[qty_invoiced]],IF(T[[#This Row],[qty_invoiced]]&gt;0,"Partial Invoiced","Not Invoiced"),"Fully Invoiced")</f>
        <v>Partial Invoiced</v>
      </c>
      <c r="R729" t="str">
        <f>IFERROR(VLOOKUP(T[[#This Row],[warehouse]],Table2[],2,FALSE),"--")</f>
        <v>--</v>
      </c>
    </row>
    <row r="730" spans="1:18" x14ac:dyDescent="0.25">
      <c r="A730" t="s">
        <v>658</v>
      </c>
      <c r="B730" s="1">
        <v>44066</v>
      </c>
      <c r="C730" t="s">
        <v>781</v>
      </c>
      <c r="D730" t="s">
        <v>20</v>
      </c>
      <c r="E730" t="s">
        <v>660</v>
      </c>
      <c r="F730" t="s">
        <v>661</v>
      </c>
      <c r="G730" t="s">
        <v>662</v>
      </c>
      <c r="H730" t="s">
        <v>663</v>
      </c>
      <c r="I730">
        <v>2994.4</v>
      </c>
      <c r="J730">
        <v>2994.4</v>
      </c>
      <c r="K730">
        <v>2994.4</v>
      </c>
      <c r="L730" t="s">
        <v>25</v>
      </c>
      <c r="M730" t="s">
        <v>132</v>
      </c>
      <c r="N730">
        <v>800</v>
      </c>
      <c r="O730">
        <v>2395520</v>
      </c>
      <c r="P730" t="str">
        <f>IF(T[[#This Row],[qty_ordered]]&lt;&gt;T[[#This Row],[qty_received]],IF(T[[#This Row],[qty_received]]&gt;0,"Partial Received","Not Receviced"),"FullyReceived")</f>
        <v>FullyReceived</v>
      </c>
      <c r="Q730" t="str">
        <f>IF(T[[#This Row],[qty_received]]&lt;&gt;T[[#This Row],[qty_invoiced]],IF(T[[#This Row],[qty_invoiced]]&gt;0,"Partial Invoiced","Not Invoiced"),"Fully Invoiced")</f>
        <v>Fully Invoiced</v>
      </c>
      <c r="R730" t="str">
        <f>IFERROR(VLOOKUP(T[[#This Row],[warehouse]],Table2[],2,FALSE),"--")</f>
        <v>SLAUGHTER HOUSE</v>
      </c>
    </row>
    <row r="731" spans="1:18" x14ac:dyDescent="0.25">
      <c r="A731" t="s">
        <v>658</v>
      </c>
      <c r="B731" s="1">
        <v>44066</v>
      </c>
      <c r="C731" t="s">
        <v>782</v>
      </c>
      <c r="D731" t="s">
        <v>20</v>
      </c>
      <c r="E731" t="s">
        <v>660</v>
      </c>
      <c r="F731" t="s">
        <v>661</v>
      </c>
      <c r="G731" t="s">
        <v>662</v>
      </c>
      <c r="H731" t="s">
        <v>663</v>
      </c>
      <c r="I731">
        <v>3050.9</v>
      </c>
      <c r="J731">
        <v>3050.9</v>
      </c>
      <c r="K731">
        <v>3050.9</v>
      </c>
      <c r="L731" t="s">
        <v>25</v>
      </c>
      <c r="M731" t="s">
        <v>132</v>
      </c>
      <c r="N731">
        <v>800</v>
      </c>
      <c r="O731">
        <v>2440720</v>
      </c>
      <c r="P731" t="str">
        <f>IF(T[[#This Row],[qty_ordered]]&lt;&gt;T[[#This Row],[qty_received]],IF(T[[#This Row],[qty_received]]&gt;0,"Partial Received","Not Receviced"),"FullyReceived")</f>
        <v>FullyReceived</v>
      </c>
      <c r="Q731" t="str">
        <f>IF(T[[#This Row],[qty_received]]&lt;&gt;T[[#This Row],[qty_invoiced]],IF(T[[#This Row],[qty_invoiced]]&gt;0,"Partial Invoiced","Not Invoiced"),"Fully Invoiced")</f>
        <v>Fully Invoiced</v>
      </c>
      <c r="R731" t="str">
        <f>IFERROR(VLOOKUP(T[[#This Row],[warehouse]],Table2[],2,FALSE),"--")</f>
        <v>SLAUGHTER HOUSE</v>
      </c>
    </row>
    <row r="732" spans="1:18" x14ac:dyDescent="0.25">
      <c r="A732" t="s">
        <v>153</v>
      </c>
      <c r="B732" s="1">
        <v>43906</v>
      </c>
      <c r="C732" t="s">
        <v>783</v>
      </c>
      <c r="D732" t="s">
        <v>71</v>
      </c>
      <c r="E732" t="s">
        <v>410</v>
      </c>
      <c r="F732" t="s">
        <v>691</v>
      </c>
      <c r="G732" t="s">
        <v>478</v>
      </c>
      <c r="H732" t="s">
        <v>24</v>
      </c>
      <c r="I732">
        <v>1000</v>
      </c>
      <c r="J732">
        <v>33.049999999999997</v>
      </c>
      <c r="K732">
        <v>33.049999999999997</v>
      </c>
      <c r="L732" t="s">
        <v>25</v>
      </c>
      <c r="M732" t="s">
        <v>132</v>
      </c>
      <c r="N732">
        <v>190000</v>
      </c>
      <c r="O732">
        <v>6279500</v>
      </c>
      <c r="P732" t="str">
        <f>IF(T[[#This Row],[qty_ordered]]&lt;&gt;T[[#This Row],[qty_received]],IF(T[[#This Row],[qty_received]]&gt;0,"Partial Received","Not Receviced"),"FullyReceived")</f>
        <v>Partial Received</v>
      </c>
      <c r="Q732" t="str">
        <f>IF(T[[#This Row],[qty_received]]&lt;&gt;T[[#This Row],[qty_invoiced]],IF(T[[#This Row],[qty_invoiced]]&gt;0,"Partial Invoiced","Not Invoiced"),"Fully Invoiced")</f>
        <v>Fully Invoiced</v>
      </c>
      <c r="R732" t="str">
        <f>IFERROR(VLOOKUP(T[[#This Row],[warehouse]],Table2[],2,FALSE),"--")</f>
        <v>SFITER GUM Masaaie</v>
      </c>
    </row>
    <row r="733" spans="1:18" x14ac:dyDescent="0.25">
      <c r="A733" t="s">
        <v>428</v>
      </c>
      <c r="B733" s="1">
        <v>44073</v>
      </c>
      <c r="C733" t="s">
        <v>784</v>
      </c>
      <c r="D733" t="s">
        <v>20</v>
      </c>
      <c r="E733" t="s">
        <v>51</v>
      </c>
      <c r="F733" t="s">
        <v>278</v>
      </c>
      <c r="G733" t="s">
        <v>279</v>
      </c>
      <c r="H733" t="s">
        <v>54</v>
      </c>
      <c r="I733">
        <v>1657</v>
      </c>
      <c r="J733">
        <v>0</v>
      </c>
      <c r="K733">
        <v>1</v>
      </c>
      <c r="L733" t="s">
        <v>25</v>
      </c>
      <c r="M733" t="s">
        <v>533</v>
      </c>
      <c r="N733">
        <v>35.301749999999998</v>
      </c>
      <c r="O733">
        <v>0</v>
      </c>
      <c r="P733" t="str">
        <f>IF(T[[#This Row],[qty_ordered]]&lt;&gt;T[[#This Row],[qty_received]],IF(T[[#This Row],[qty_received]]&gt;0,"Partial Received","Not Receviced"),"FullyReceived")</f>
        <v>Not Receviced</v>
      </c>
      <c r="Q733" t="str">
        <f>IF(T[[#This Row],[qty_received]]&lt;&gt;T[[#This Row],[qty_invoiced]],IF(T[[#This Row],[qty_invoiced]]&gt;0,"Partial Invoiced","Not Invoiced"),"Fully Invoiced")</f>
        <v>Partial Invoiced</v>
      </c>
      <c r="R733" t="str">
        <f>IFERROR(VLOOKUP(T[[#This Row],[warehouse]],Table2[],2,FALSE),"--")</f>
        <v>--</v>
      </c>
    </row>
    <row r="734" spans="1:18" x14ac:dyDescent="0.25">
      <c r="A734" t="s">
        <v>260</v>
      </c>
      <c r="B734" s="1">
        <v>43961</v>
      </c>
      <c r="C734" t="s">
        <v>751</v>
      </c>
      <c r="D734" t="s">
        <v>615</v>
      </c>
      <c r="E734" t="s">
        <v>51</v>
      </c>
      <c r="F734" t="s">
        <v>267</v>
      </c>
      <c r="G734" t="s">
        <v>785</v>
      </c>
      <c r="H734" t="s">
        <v>54</v>
      </c>
      <c r="I734">
        <v>240000</v>
      </c>
      <c r="J734">
        <v>0</v>
      </c>
      <c r="K734">
        <v>1</v>
      </c>
      <c r="L734" t="s">
        <v>25</v>
      </c>
      <c r="M734" t="s">
        <v>533</v>
      </c>
      <c r="N734">
        <v>10</v>
      </c>
      <c r="O734">
        <v>0</v>
      </c>
      <c r="P734" t="str">
        <f>IF(T[[#This Row],[qty_ordered]]&lt;&gt;T[[#This Row],[qty_received]],IF(T[[#This Row],[qty_received]]&gt;0,"Partial Received","Not Receviced"),"FullyReceived")</f>
        <v>Not Receviced</v>
      </c>
      <c r="Q734" t="str">
        <f>IF(T[[#This Row],[qty_received]]&lt;&gt;T[[#This Row],[qty_invoiced]],IF(T[[#This Row],[qty_invoiced]]&gt;0,"Partial Invoiced","Not Invoiced"),"Fully Invoiced")</f>
        <v>Partial Invoiced</v>
      </c>
      <c r="R734" t="str">
        <f>IFERROR(VLOOKUP(T[[#This Row],[warehouse]],Table2[],2,FALSE),"--")</f>
        <v>--</v>
      </c>
    </row>
    <row r="735" spans="1:18" x14ac:dyDescent="0.25">
      <c r="A735" t="s">
        <v>739</v>
      </c>
      <c r="B735" s="1">
        <v>44074</v>
      </c>
      <c r="C735" t="s">
        <v>786</v>
      </c>
      <c r="D735" t="s">
        <v>20</v>
      </c>
      <c r="E735" t="s">
        <v>660</v>
      </c>
      <c r="F735" t="s">
        <v>705</v>
      </c>
      <c r="G735" t="s">
        <v>706</v>
      </c>
      <c r="H735" t="s">
        <v>663</v>
      </c>
      <c r="I735">
        <v>1046.8</v>
      </c>
      <c r="J735">
        <v>1046.8</v>
      </c>
      <c r="K735">
        <v>1046.8</v>
      </c>
      <c r="L735" t="s">
        <v>25</v>
      </c>
      <c r="M735" t="s">
        <v>707</v>
      </c>
      <c r="N735">
        <v>770</v>
      </c>
      <c r="O735">
        <v>806036</v>
      </c>
      <c r="P735" t="str">
        <f>IF(T[[#This Row],[qty_ordered]]&lt;&gt;T[[#This Row],[qty_received]],IF(T[[#This Row],[qty_received]]&gt;0,"Partial Received","Not Receviced"),"FullyReceived")</f>
        <v>FullyReceived</v>
      </c>
      <c r="Q735" t="str">
        <f>IF(T[[#This Row],[qty_received]]&lt;&gt;T[[#This Row],[qty_invoiced]],IF(T[[#This Row],[qty_invoiced]]&gt;0,"Partial Invoiced","Not Invoiced"),"Fully Invoiced")</f>
        <v>Fully Invoiced</v>
      </c>
      <c r="R735" t="str">
        <f>IFERROR(VLOOKUP(T[[#This Row],[warehouse]],Table2[],2,FALSE),"--")</f>
        <v>SLAUGHTER HOUSE</v>
      </c>
    </row>
    <row r="736" spans="1:18" x14ac:dyDescent="0.25">
      <c r="A736" t="s">
        <v>739</v>
      </c>
      <c r="B736" s="1">
        <v>44074</v>
      </c>
      <c r="C736" t="s">
        <v>787</v>
      </c>
      <c r="D736" t="s">
        <v>20</v>
      </c>
      <c r="E736" t="s">
        <v>660</v>
      </c>
      <c r="F736" t="s">
        <v>747</v>
      </c>
      <c r="G736" t="s">
        <v>748</v>
      </c>
      <c r="H736" t="s">
        <v>663</v>
      </c>
      <c r="I736">
        <v>914.8</v>
      </c>
      <c r="J736">
        <v>914.8</v>
      </c>
      <c r="K736">
        <v>914.8</v>
      </c>
      <c r="L736" t="s">
        <v>25</v>
      </c>
      <c r="M736" t="s">
        <v>707</v>
      </c>
      <c r="N736">
        <v>660</v>
      </c>
      <c r="O736">
        <v>603768</v>
      </c>
      <c r="P736" t="str">
        <f>IF(T[[#This Row],[qty_ordered]]&lt;&gt;T[[#This Row],[qty_received]],IF(T[[#This Row],[qty_received]]&gt;0,"Partial Received","Not Receviced"),"FullyReceived")</f>
        <v>FullyReceived</v>
      </c>
      <c r="Q736" t="str">
        <f>IF(T[[#This Row],[qty_received]]&lt;&gt;T[[#This Row],[qty_invoiced]],IF(T[[#This Row],[qty_invoiced]]&gt;0,"Partial Invoiced","Not Invoiced"),"Fully Invoiced")</f>
        <v>Fully Invoiced</v>
      </c>
      <c r="R736" t="str">
        <f>IFERROR(VLOOKUP(T[[#This Row],[warehouse]],Table2[],2,FALSE),"--")</f>
        <v>SLAUGHTER HOUSE</v>
      </c>
    </row>
    <row r="737" spans="1:18" x14ac:dyDescent="0.25">
      <c r="A737" t="s">
        <v>495</v>
      </c>
      <c r="B737" s="1">
        <v>44074</v>
      </c>
      <c r="C737" t="s">
        <v>788</v>
      </c>
      <c r="D737" t="s">
        <v>20</v>
      </c>
      <c r="E737" t="s">
        <v>51</v>
      </c>
      <c r="F737" t="s">
        <v>183</v>
      </c>
      <c r="G737" t="s">
        <v>789</v>
      </c>
      <c r="H737" t="s">
        <v>54</v>
      </c>
      <c r="I737">
        <v>679.721</v>
      </c>
      <c r="J737">
        <v>0</v>
      </c>
      <c r="K737">
        <v>1</v>
      </c>
      <c r="L737" t="s">
        <v>25</v>
      </c>
      <c r="M737" t="s">
        <v>533</v>
      </c>
      <c r="N737">
        <v>1000</v>
      </c>
      <c r="O737">
        <v>0</v>
      </c>
      <c r="P737" t="str">
        <f>IF(T[[#This Row],[qty_ordered]]&lt;&gt;T[[#This Row],[qty_received]],IF(T[[#This Row],[qty_received]]&gt;0,"Partial Received","Not Receviced"),"FullyReceived")</f>
        <v>Not Receviced</v>
      </c>
      <c r="Q737" t="str">
        <f>IF(T[[#This Row],[qty_received]]&lt;&gt;T[[#This Row],[qty_invoiced]],IF(T[[#This Row],[qty_invoiced]]&gt;0,"Partial Invoiced","Not Invoiced"),"Fully Invoiced")</f>
        <v>Partial Invoiced</v>
      </c>
      <c r="R737" t="str">
        <f>IFERROR(VLOOKUP(T[[#This Row],[warehouse]],Table2[],2,FALSE),"--")</f>
        <v>--</v>
      </c>
    </row>
    <row r="738" spans="1:18" x14ac:dyDescent="0.25">
      <c r="A738" t="s">
        <v>72</v>
      </c>
      <c r="B738" s="1">
        <v>43857</v>
      </c>
      <c r="C738" t="s">
        <v>656</v>
      </c>
      <c r="D738" t="s">
        <v>74</v>
      </c>
      <c r="E738" t="s">
        <v>51</v>
      </c>
      <c r="F738" t="s">
        <v>183</v>
      </c>
      <c r="G738" t="s">
        <v>183</v>
      </c>
      <c r="H738" t="s">
        <v>54</v>
      </c>
      <c r="I738">
        <v>299.5</v>
      </c>
      <c r="J738">
        <v>0</v>
      </c>
      <c r="K738">
        <v>1</v>
      </c>
      <c r="L738" t="s">
        <v>25</v>
      </c>
      <c r="M738" t="s">
        <v>533</v>
      </c>
      <c r="N738">
        <v>1200</v>
      </c>
      <c r="O738">
        <v>0</v>
      </c>
      <c r="P738" t="str">
        <f>IF(T[[#This Row],[qty_ordered]]&lt;&gt;T[[#This Row],[qty_received]],IF(T[[#This Row],[qty_received]]&gt;0,"Partial Received","Not Receviced"),"FullyReceived")</f>
        <v>Not Receviced</v>
      </c>
      <c r="Q738" t="str">
        <f>IF(T[[#This Row],[qty_received]]&lt;&gt;T[[#This Row],[qty_invoiced]],IF(T[[#This Row],[qty_invoiced]]&gt;0,"Partial Invoiced","Not Invoiced"),"Fully Invoiced")</f>
        <v>Partial Invoiced</v>
      </c>
      <c r="R738" t="str">
        <f>IFERROR(VLOOKUP(T[[#This Row],[warehouse]],Table2[],2,FALSE),"--")</f>
        <v>--</v>
      </c>
    </row>
    <row r="739" spans="1:18" x14ac:dyDescent="0.25">
      <c r="A739" t="s">
        <v>790</v>
      </c>
      <c r="B739" s="1">
        <v>44074</v>
      </c>
      <c r="C739" t="s">
        <v>791</v>
      </c>
      <c r="D739" t="s">
        <v>20</v>
      </c>
      <c r="E739" t="s">
        <v>51</v>
      </c>
      <c r="F739" t="s">
        <v>164</v>
      </c>
      <c r="G739" t="s">
        <v>792</v>
      </c>
      <c r="H739" t="s">
        <v>54</v>
      </c>
      <c r="I739">
        <v>36584</v>
      </c>
      <c r="J739">
        <v>0</v>
      </c>
      <c r="K739">
        <v>1</v>
      </c>
      <c r="L739" t="s">
        <v>25</v>
      </c>
      <c r="M739" t="s">
        <v>533</v>
      </c>
      <c r="N739">
        <v>2</v>
      </c>
      <c r="O739">
        <v>0</v>
      </c>
      <c r="P739" t="str">
        <f>IF(T[[#This Row],[qty_ordered]]&lt;&gt;T[[#This Row],[qty_received]],IF(T[[#This Row],[qty_received]]&gt;0,"Partial Received","Not Receviced"),"FullyReceived")</f>
        <v>Not Receviced</v>
      </c>
      <c r="Q739" t="str">
        <f>IF(T[[#This Row],[qty_received]]&lt;&gt;T[[#This Row],[qty_invoiced]],IF(T[[#This Row],[qty_invoiced]]&gt;0,"Partial Invoiced","Not Invoiced"),"Fully Invoiced")</f>
        <v>Partial Invoiced</v>
      </c>
      <c r="R739" t="str">
        <f>IFERROR(VLOOKUP(T[[#This Row],[warehouse]],Table2[],2,FALSE),"--")</f>
        <v>--</v>
      </c>
    </row>
    <row r="740" spans="1:18" x14ac:dyDescent="0.25">
      <c r="A740" t="s">
        <v>428</v>
      </c>
      <c r="B740" s="1">
        <v>44073</v>
      </c>
      <c r="C740" t="s">
        <v>784</v>
      </c>
      <c r="D740" t="s">
        <v>71</v>
      </c>
      <c r="E740" t="s">
        <v>51</v>
      </c>
      <c r="F740" t="s">
        <v>278</v>
      </c>
      <c r="G740" t="s">
        <v>279</v>
      </c>
      <c r="H740" t="s">
        <v>54</v>
      </c>
      <c r="I740">
        <v>18930</v>
      </c>
      <c r="J740">
        <v>0</v>
      </c>
      <c r="K740">
        <v>1</v>
      </c>
      <c r="L740" t="s">
        <v>25</v>
      </c>
      <c r="M740" t="s">
        <v>533</v>
      </c>
      <c r="N740">
        <v>16.790807999999998</v>
      </c>
      <c r="O740">
        <v>0</v>
      </c>
      <c r="P740" t="str">
        <f>IF(T[[#This Row],[qty_ordered]]&lt;&gt;T[[#This Row],[qty_received]],IF(T[[#This Row],[qty_received]]&gt;0,"Partial Received","Not Receviced"),"FullyReceived")</f>
        <v>Not Receviced</v>
      </c>
      <c r="Q740" t="str">
        <f>IF(T[[#This Row],[qty_received]]&lt;&gt;T[[#This Row],[qty_invoiced]],IF(T[[#This Row],[qty_invoiced]]&gt;0,"Partial Invoiced","Not Invoiced"),"Fully Invoiced")</f>
        <v>Partial Invoiced</v>
      </c>
      <c r="R740" t="str">
        <f>IFERROR(VLOOKUP(T[[#This Row],[warehouse]],Table2[],2,FALSE),"--")</f>
        <v>--</v>
      </c>
    </row>
    <row r="741" spans="1:18" x14ac:dyDescent="0.25">
      <c r="A741" t="s">
        <v>428</v>
      </c>
      <c r="B741" s="1">
        <v>44073</v>
      </c>
      <c r="C741" t="s">
        <v>784</v>
      </c>
      <c r="D741" t="s">
        <v>100</v>
      </c>
      <c r="E741" t="s">
        <v>51</v>
      </c>
      <c r="F741" t="s">
        <v>793</v>
      </c>
      <c r="G741" t="s">
        <v>794</v>
      </c>
      <c r="H741" t="s">
        <v>54</v>
      </c>
      <c r="I741">
        <v>6</v>
      </c>
      <c r="J741">
        <v>0</v>
      </c>
      <c r="K741">
        <v>1</v>
      </c>
      <c r="L741" t="s">
        <v>25</v>
      </c>
      <c r="M741" t="s">
        <v>533</v>
      </c>
      <c r="N741">
        <v>83.333299999999994</v>
      </c>
      <c r="O741">
        <v>0</v>
      </c>
      <c r="P741" t="str">
        <f>IF(T[[#This Row],[qty_ordered]]&lt;&gt;T[[#This Row],[qty_received]],IF(T[[#This Row],[qty_received]]&gt;0,"Partial Received","Not Receviced"),"FullyReceived")</f>
        <v>Not Receviced</v>
      </c>
      <c r="Q741" t="str">
        <f>IF(T[[#This Row],[qty_received]]&lt;&gt;T[[#This Row],[qty_invoiced]],IF(T[[#This Row],[qty_invoiced]]&gt;0,"Partial Invoiced","Not Invoiced"),"Fully Invoiced")</f>
        <v>Partial Invoiced</v>
      </c>
      <c r="R741" t="str">
        <f>IFERROR(VLOOKUP(T[[#This Row],[warehouse]],Table2[],2,FALSE),"--")</f>
        <v>--</v>
      </c>
    </row>
    <row r="742" spans="1:18" x14ac:dyDescent="0.25">
      <c r="A742" t="s">
        <v>428</v>
      </c>
      <c r="B742" s="1">
        <v>44073</v>
      </c>
      <c r="C742" t="s">
        <v>784</v>
      </c>
      <c r="D742" t="s">
        <v>88</v>
      </c>
      <c r="E742" t="s">
        <v>51</v>
      </c>
      <c r="F742" t="s">
        <v>793</v>
      </c>
      <c r="G742" t="s">
        <v>794</v>
      </c>
      <c r="H742" t="s">
        <v>54</v>
      </c>
      <c r="I742">
        <v>38</v>
      </c>
      <c r="J742">
        <v>0</v>
      </c>
      <c r="K742">
        <v>1</v>
      </c>
      <c r="L742" t="s">
        <v>25</v>
      </c>
      <c r="M742" t="s">
        <v>533</v>
      </c>
      <c r="N742">
        <v>150</v>
      </c>
      <c r="O742">
        <v>0</v>
      </c>
      <c r="P742" t="str">
        <f>IF(T[[#This Row],[qty_ordered]]&lt;&gt;T[[#This Row],[qty_received]],IF(T[[#This Row],[qty_received]]&gt;0,"Partial Received","Not Receviced"),"FullyReceived")</f>
        <v>Not Receviced</v>
      </c>
      <c r="Q742" t="str">
        <f>IF(T[[#This Row],[qty_received]]&lt;&gt;T[[#This Row],[qty_invoiced]],IF(T[[#This Row],[qty_invoiced]]&gt;0,"Partial Invoiced","Not Invoiced"),"Fully Invoiced")</f>
        <v>Partial Invoiced</v>
      </c>
      <c r="R742" t="str">
        <f>IFERROR(VLOOKUP(T[[#This Row],[warehouse]],Table2[],2,FALSE),"--")</f>
        <v>--</v>
      </c>
    </row>
    <row r="743" spans="1:18" x14ac:dyDescent="0.25">
      <c r="A743" t="s">
        <v>428</v>
      </c>
      <c r="B743" s="1">
        <v>44073</v>
      </c>
      <c r="C743" t="s">
        <v>784</v>
      </c>
      <c r="D743" t="s">
        <v>74</v>
      </c>
      <c r="E743" t="s">
        <v>51</v>
      </c>
      <c r="F743" t="s">
        <v>185</v>
      </c>
      <c r="G743" t="s">
        <v>275</v>
      </c>
      <c r="H743" t="s">
        <v>54</v>
      </c>
      <c r="I743">
        <v>1</v>
      </c>
      <c r="J743">
        <v>0</v>
      </c>
      <c r="K743">
        <v>1</v>
      </c>
      <c r="L743" t="s">
        <v>25</v>
      </c>
      <c r="M743" t="s">
        <v>533</v>
      </c>
      <c r="N743">
        <v>2000</v>
      </c>
      <c r="O743">
        <v>0</v>
      </c>
      <c r="P743" t="str">
        <f>IF(T[[#This Row],[qty_ordered]]&lt;&gt;T[[#This Row],[qty_received]],IF(T[[#This Row],[qty_received]]&gt;0,"Partial Received","Not Receviced"),"FullyReceived")</f>
        <v>Not Receviced</v>
      </c>
      <c r="Q743" t="str">
        <f>IF(T[[#This Row],[qty_received]]&lt;&gt;T[[#This Row],[qty_invoiced]],IF(T[[#This Row],[qty_invoiced]]&gt;0,"Partial Invoiced","Not Invoiced"),"Fully Invoiced")</f>
        <v>Partial Invoiced</v>
      </c>
      <c r="R743" t="str">
        <f>IFERROR(VLOOKUP(T[[#This Row],[warehouse]],Table2[],2,FALSE),"--")</f>
        <v>--</v>
      </c>
    </row>
    <row r="744" spans="1:18" x14ac:dyDescent="0.25">
      <c r="A744" t="s">
        <v>428</v>
      </c>
      <c r="B744" s="1">
        <v>44073</v>
      </c>
      <c r="C744" t="s">
        <v>784</v>
      </c>
      <c r="D744" t="s">
        <v>76</v>
      </c>
      <c r="E744" t="s">
        <v>51</v>
      </c>
      <c r="F744" t="s">
        <v>793</v>
      </c>
      <c r="G744" t="s">
        <v>794</v>
      </c>
      <c r="H744" t="s">
        <v>54</v>
      </c>
      <c r="I744">
        <v>11</v>
      </c>
      <c r="J744">
        <v>0</v>
      </c>
      <c r="K744">
        <v>1</v>
      </c>
      <c r="L744" t="s">
        <v>25</v>
      </c>
      <c r="M744" t="s">
        <v>533</v>
      </c>
      <c r="N744">
        <v>150</v>
      </c>
      <c r="O744">
        <v>0</v>
      </c>
      <c r="P744" t="str">
        <f>IF(T[[#This Row],[qty_ordered]]&lt;&gt;T[[#This Row],[qty_received]],IF(T[[#This Row],[qty_received]]&gt;0,"Partial Received","Not Receviced"),"FullyReceived")</f>
        <v>Not Receviced</v>
      </c>
      <c r="Q744" t="str">
        <f>IF(T[[#This Row],[qty_received]]&lt;&gt;T[[#This Row],[qty_invoiced]],IF(T[[#This Row],[qty_invoiced]]&gt;0,"Partial Invoiced","Not Invoiced"),"Fully Invoiced")</f>
        <v>Partial Invoiced</v>
      </c>
      <c r="R744" t="str">
        <f>IFERROR(VLOOKUP(T[[#This Row],[warehouse]],Table2[],2,FALSE),"--")</f>
        <v>--</v>
      </c>
    </row>
    <row r="745" spans="1:18" x14ac:dyDescent="0.25">
      <c r="A745" t="s">
        <v>428</v>
      </c>
      <c r="B745" s="1">
        <v>44073</v>
      </c>
      <c r="C745" t="s">
        <v>784</v>
      </c>
      <c r="D745" t="s">
        <v>212</v>
      </c>
      <c r="E745" t="s">
        <v>51</v>
      </c>
      <c r="F745" t="s">
        <v>278</v>
      </c>
      <c r="G745" t="s">
        <v>279</v>
      </c>
      <c r="H745" t="s">
        <v>54</v>
      </c>
      <c r="I745">
        <v>4800</v>
      </c>
      <c r="J745">
        <v>0</v>
      </c>
      <c r="K745">
        <v>1</v>
      </c>
      <c r="L745" t="s">
        <v>25</v>
      </c>
      <c r="M745" t="s">
        <v>533</v>
      </c>
      <c r="N745">
        <v>24.041667</v>
      </c>
      <c r="O745">
        <v>0</v>
      </c>
      <c r="P745" t="str">
        <f>IF(T[[#This Row],[qty_ordered]]&lt;&gt;T[[#This Row],[qty_received]],IF(T[[#This Row],[qty_received]]&gt;0,"Partial Received","Not Receviced"),"FullyReceived")</f>
        <v>Not Receviced</v>
      </c>
      <c r="Q745" t="str">
        <f>IF(T[[#This Row],[qty_received]]&lt;&gt;T[[#This Row],[qty_invoiced]],IF(T[[#This Row],[qty_invoiced]]&gt;0,"Partial Invoiced","Not Invoiced"),"Fully Invoiced")</f>
        <v>Partial Invoiced</v>
      </c>
      <c r="R745" t="str">
        <f>IFERROR(VLOOKUP(T[[#This Row],[warehouse]],Table2[],2,FALSE),"--")</f>
        <v>--</v>
      </c>
    </row>
    <row r="746" spans="1:18" x14ac:dyDescent="0.25">
      <c r="A746" t="s">
        <v>795</v>
      </c>
      <c r="B746" s="1">
        <v>44074</v>
      </c>
      <c r="C746" t="s">
        <v>796</v>
      </c>
      <c r="D746" t="s">
        <v>20</v>
      </c>
      <c r="E746" t="s">
        <v>797</v>
      </c>
      <c r="F746" t="s">
        <v>167</v>
      </c>
      <c r="G746" t="s">
        <v>156</v>
      </c>
      <c r="H746" t="s">
        <v>24</v>
      </c>
      <c r="I746">
        <v>330</v>
      </c>
      <c r="J746">
        <v>318.82</v>
      </c>
      <c r="K746">
        <v>318.82</v>
      </c>
      <c r="L746" t="s">
        <v>25</v>
      </c>
      <c r="M746" t="s">
        <v>707</v>
      </c>
      <c r="N746">
        <v>28800</v>
      </c>
      <c r="O746">
        <v>9182016</v>
      </c>
      <c r="P746" t="str">
        <f>IF(T[[#This Row],[qty_ordered]]&lt;&gt;T[[#This Row],[qty_received]],IF(T[[#This Row],[qty_received]]&gt;0,"Partial Received","Not Receviced"),"FullyReceived")</f>
        <v>Partial Received</v>
      </c>
      <c r="Q746" t="str">
        <f>IF(T[[#This Row],[qty_received]]&lt;&gt;T[[#This Row],[qty_invoiced]],IF(T[[#This Row],[qty_invoiced]]&gt;0,"Partial Invoiced","Not Invoiced"),"Fully Invoiced")</f>
        <v>Fully Invoiced</v>
      </c>
      <c r="R746" t="str">
        <f>IFERROR(VLOOKUP(T[[#This Row],[warehouse]],Table2[],2,FALSE),"--")</f>
        <v>CRUSHER- MARHAB</v>
      </c>
    </row>
    <row r="747" spans="1:18" x14ac:dyDescent="0.25">
      <c r="A747" t="s">
        <v>493</v>
      </c>
      <c r="B747" s="1">
        <v>44075</v>
      </c>
      <c r="C747" t="s">
        <v>798</v>
      </c>
      <c r="D747" t="s">
        <v>20</v>
      </c>
      <c r="E747" t="s">
        <v>51</v>
      </c>
      <c r="F747" t="s">
        <v>52</v>
      </c>
      <c r="G747" t="s">
        <v>799</v>
      </c>
      <c r="H747" t="s">
        <v>54</v>
      </c>
      <c r="I747">
        <v>28</v>
      </c>
      <c r="J747">
        <v>0</v>
      </c>
      <c r="K747">
        <v>0</v>
      </c>
      <c r="L747" t="s">
        <v>59</v>
      </c>
      <c r="M747" t="s">
        <v>132</v>
      </c>
      <c r="N747">
        <v>383703.1</v>
      </c>
      <c r="O747">
        <v>0</v>
      </c>
      <c r="P747" t="str">
        <f>IF(T[[#This Row],[qty_ordered]]&lt;&gt;T[[#This Row],[qty_received]],IF(T[[#This Row],[qty_received]]&gt;0,"Partial Received","Not Receviced"),"FullyReceived")</f>
        <v>Not Receviced</v>
      </c>
      <c r="Q747" t="str">
        <f>IF(T[[#This Row],[qty_received]]&lt;&gt;T[[#This Row],[qty_invoiced]],IF(T[[#This Row],[qty_invoiced]]&gt;0,"Partial Invoiced","Not Invoiced"),"Fully Invoiced")</f>
        <v>Fully Invoiced</v>
      </c>
      <c r="R747" t="str">
        <f>IFERROR(VLOOKUP(T[[#This Row],[warehouse]],Table2[],2,FALSE),"--")</f>
        <v>--</v>
      </c>
    </row>
    <row r="748" spans="1:18" x14ac:dyDescent="0.25">
      <c r="A748" t="s">
        <v>235</v>
      </c>
      <c r="B748" s="1">
        <v>44075</v>
      </c>
      <c r="C748" t="s">
        <v>800</v>
      </c>
      <c r="D748" t="s">
        <v>20</v>
      </c>
      <c r="E748" t="s">
        <v>51</v>
      </c>
      <c r="F748" t="s">
        <v>546</v>
      </c>
      <c r="G748" t="s">
        <v>719</v>
      </c>
      <c r="H748" t="s">
        <v>54</v>
      </c>
      <c r="I748">
        <v>5000</v>
      </c>
      <c r="J748">
        <v>0</v>
      </c>
      <c r="K748">
        <v>1</v>
      </c>
      <c r="L748" t="s">
        <v>25</v>
      </c>
      <c r="M748" t="s">
        <v>533</v>
      </c>
      <c r="N748">
        <v>4.5</v>
      </c>
      <c r="O748">
        <v>0</v>
      </c>
      <c r="P748" t="str">
        <f>IF(T[[#This Row],[qty_ordered]]&lt;&gt;T[[#This Row],[qty_received]],IF(T[[#This Row],[qty_received]]&gt;0,"Partial Received","Not Receviced"),"FullyReceived")</f>
        <v>Not Receviced</v>
      </c>
      <c r="Q748" t="str">
        <f>IF(T[[#This Row],[qty_received]]&lt;&gt;T[[#This Row],[qty_invoiced]],IF(T[[#This Row],[qty_invoiced]]&gt;0,"Partial Invoiced","Not Invoiced"),"Fully Invoiced")</f>
        <v>Partial Invoiced</v>
      </c>
      <c r="R748" t="str">
        <f>IFERROR(VLOOKUP(T[[#This Row],[warehouse]],Table2[],2,FALSE),"--")</f>
        <v>--</v>
      </c>
    </row>
    <row r="749" spans="1:18" x14ac:dyDescent="0.25">
      <c r="A749" t="s">
        <v>801</v>
      </c>
      <c r="B749" s="1">
        <v>44077</v>
      </c>
      <c r="C749" t="s">
        <v>802</v>
      </c>
      <c r="D749" t="s">
        <v>20</v>
      </c>
      <c r="E749" t="s">
        <v>51</v>
      </c>
      <c r="F749" t="s">
        <v>183</v>
      </c>
      <c r="G749" t="s">
        <v>803</v>
      </c>
      <c r="H749" t="s">
        <v>54</v>
      </c>
      <c r="I749">
        <v>516.64200000000005</v>
      </c>
      <c r="J749">
        <v>0</v>
      </c>
      <c r="K749">
        <v>1</v>
      </c>
      <c r="L749" t="s">
        <v>25</v>
      </c>
      <c r="M749" t="s">
        <v>533</v>
      </c>
      <c r="N749">
        <v>1700</v>
      </c>
      <c r="O749">
        <v>0</v>
      </c>
      <c r="P749" t="str">
        <f>IF(T[[#This Row],[qty_ordered]]&lt;&gt;T[[#This Row],[qty_received]],IF(T[[#This Row],[qty_received]]&gt;0,"Partial Received","Not Receviced"),"FullyReceived")</f>
        <v>Not Receviced</v>
      </c>
      <c r="Q749" t="str">
        <f>IF(T[[#This Row],[qty_received]]&lt;&gt;T[[#This Row],[qty_invoiced]],IF(T[[#This Row],[qty_invoiced]]&gt;0,"Partial Invoiced","Not Invoiced"),"Fully Invoiced")</f>
        <v>Partial Invoiced</v>
      </c>
      <c r="R749" t="str">
        <f>IFERROR(VLOOKUP(T[[#This Row],[warehouse]],Table2[],2,FALSE),"--")</f>
        <v>--</v>
      </c>
    </row>
    <row r="750" spans="1:18" x14ac:dyDescent="0.25">
      <c r="A750" t="s">
        <v>804</v>
      </c>
      <c r="B750" s="1">
        <v>44076</v>
      </c>
      <c r="C750" t="s">
        <v>805</v>
      </c>
      <c r="D750" t="s">
        <v>20</v>
      </c>
      <c r="E750" t="s">
        <v>51</v>
      </c>
      <c r="F750" t="s">
        <v>806</v>
      </c>
      <c r="G750" t="s">
        <v>806</v>
      </c>
      <c r="H750" t="s">
        <v>54</v>
      </c>
      <c r="I750">
        <v>507</v>
      </c>
      <c r="J750">
        <v>0</v>
      </c>
      <c r="K750">
        <v>1</v>
      </c>
      <c r="L750" t="s">
        <v>25</v>
      </c>
      <c r="M750" t="s">
        <v>132</v>
      </c>
      <c r="N750">
        <v>900</v>
      </c>
      <c r="O750">
        <v>0</v>
      </c>
      <c r="P750" t="str">
        <f>IF(T[[#This Row],[qty_ordered]]&lt;&gt;T[[#This Row],[qty_received]],IF(T[[#This Row],[qty_received]]&gt;0,"Partial Received","Not Receviced"),"FullyReceived")</f>
        <v>Not Receviced</v>
      </c>
      <c r="Q750" t="str">
        <f>IF(T[[#This Row],[qty_received]]&lt;&gt;T[[#This Row],[qty_invoiced]],IF(T[[#This Row],[qty_invoiced]]&gt;0,"Partial Invoiced","Not Invoiced"),"Fully Invoiced")</f>
        <v>Partial Invoiced</v>
      </c>
      <c r="R750" t="str">
        <f>IFERROR(VLOOKUP(T[[#This Row],[warehouse]],Table2[],2,FALSE),"--")</f>
        <v>--</v>
      </c>
    </row>
    <row r="751" spans="1:18" x14ac:dyDescent="0.25">
      <c r="A751" t="s">
        <v>269</v>
      </c>
      <c r="B751" s="1">
        <v>43828</v>
      </c>
      <c r="C751" t="s">
        <v>807</v>
      </c>
      <c r="D751" t="s">
        <v>71</v>
      </c>
      <c r="E751" t="s">
        <v>51</v>
      </c>
      <c r="F751" t="s">
        <v>183</v>
      </c>
      <c r="G751" t="s">
        <v>808</v>
      </c>
      <c r="H751" t="s">
        <v>54</v>
      </c>
      <c r="I751">
        <v>38.703000000000003</v>
      </c>
      <c r="J751">
        <v>0</v>
      </c>
      <c r="K751">
        <v>1</v>
      </c>
      <c r="L751" t="s">
        <v>25</v>
      </c>
      <c r="M751" t="s">
        <v>533</v>
      </c>
      <c r="N751">
        <v>600</v>
      </c>
      <c r="O751">
        <v>0</v>
      </c>
      <c r="P751" t="str">
        <f>IF(T[[#This Row],[qty_ordered]]&lt;&gt;T[[#This Row],[qty_received]],IF(T[[#This Row],[qty_received]]&gt;0,"Partial Received","Not Receviced"),"FullyReceived")</f>
        <v>Not Receviced</v>
      </c>
      <c r="Q751" t="str">
        <f>IF(T[[#This Row],[qty_received]]&lt;&gt;T[[#This Row],[qty_invoiced]],IF(T[[#This Row],[qty_invoiced]]&gt;0,"Partial Invoiced","Not Invoiced"),"Fully Invoiced")</f>
        <v>Partial Invoiced</v>
      </c>
      <c r="R751" t="str">
        <f>IFERROR(VLOOKUP(T[[#This Row],[warehouse]],Table2[],2,FALSE),"--")</f>
        <v>--</v>
      </c>
    </row>
    <row r="752" spans="1:18" x14ac:dyDescent="0.25">
      <c r="A752" t="s">
        <v>790</v>
      </c>
      <c r="B752" s="1">
        <v>44074</v>
      </c>
      <c r="C752" t="s">
        <v>809</v>
      </c>
      <c r="D752" t="s">
        <v>20</v>
      </c>
      <c r="E752" t="s">
        <v>51</v>
      </c>
      <c r="F752" t="s">
        <v>164</v>
      </c>
      <c r="G752" t="s">
        <v>734</v>
      </c>
      <c r="H752" t="s">
        <v>54</v>
      </c>
      <c r="I752">
        <v>2466</v>
      </c>
      <c r="J752">
        <v>0</v>
      </c>
      <c r="K752">
        <v>1</v>
      </c>
      <c r="L752" t="s">
        <v>25</v>
      </c>
      <c r="M752" t="s">
        <v>533</v>
      </c>
      <c r="N752">
        <v>2</v>
      </c>
      <c r="O752">
        <v>0</v>
      </c>
      <c r="P752" t="str">
        <f>IF(T[[#This Row],[qty_ordered]]&lt;&gt;T[[#This Row],[qty_received]],IF(T[[#This Row],[qty_received]]&gt;0,"Partial Received","Not Receviced"),"FullyReceived")</f>
        <v>Not Receviced</v>
      </c>
      <c r="Q752" t="str">
        <f>IF(T[[#This Row],[qty_received]]&lt;&gt;T[[#This Row],[qty_invoiced]],IF(T[[#This Row],[qty_invoiced]]&gt;0,"Partial Invoiced","Not Invoiced"),"Fully Invoiced")</f>
        <v>Partial Invoiced</v>
      </c>
      <c r="R752" t="str">
        <f>IFERROR(VLOOKUP(T[[#This Row],[warehouse]],Table2[],2,FALSE),"--")</f>
        <v>--</v>
      </c>
    </row>
    <row r="753" spans="1:18" x14ac:dyDescent="0.25">
      <c r="A753" t="s">
        <v>790</v>
      </c>
      <c r="B753" s="1">
        <v>44074</v>
      </c>
      <c r="C753" t="s">
        <v>809</v>
      </c>
      <c r="D753" t="s">
        <v>71</v>
      </c>
      <c r="E753" t="s">
        <v>51</v>
      </c>
      <c r="F753" t="s">
        <v>164</v>
      </c>
      <c r="G753" t="s">
        <v>734</v>
      </c>
      <c r="H753" t="s">
        <v>54</v>
      </c>
      <c r="I753">
        <v>10195</v>
      </c>
      <c r="J753">
        <v>0</v>
      </c>
      <c r="K753">
        <v>1</v>
      </c>
      <c r="L753" t="s">
        <v>25</v>
      </c>
      <c r="M753" t="s">
        <v>533</v>
      </c>
      <c r="N753">
        <v>2</v>
      </c>
      <c r="O753">
        <v>0</v>
      </c>
      <c r="P753" t="str">
        <f>IF(T[[#This Row],[qty_ordered]]&lt;&gt;T[[#This Row],[qty_received]],IF(T[[#This Row],[qty_received]]&gt;0,"Partial Received","Not Receviced"),"FullyReceived")</f>
        <v>Not Receviced</v>
      </c>
      <c r="Q753" t="str">
        <f>IF(T[[#This Row],[qty_received]]&lt;&gt;T[[#This Row],[qty_invoiced]],IF(T[[#This Row],[qty_invoiced]]&gt;0,"Partial Invoiced","Not Invoiced"),"Fully Invoiced")</f>
        <v>Partial Invoiced</v>
      </c>
      <c r="R753" t="str">
        <f>IFERROR(VLOOKUP(T[[#This Row],[warehouse]],Table2[],2,FALSE),"--")</f>
        <v>--</v>
      </c>
    </row>
    <row r="754" spans="1:18" x14ac:dyDescent="0.25">
      <c r="A754" t="s">
        <v>732</v>
      </c>
      <c r="B754" s="1">
        <v>43872</v>
      </c>
      <c r="C754" t="s">
        <v>733</v>
      </c>
      <c r="D754" t="s">
        <v>74</v>
      </c>
      <c r="E754" t="s">
        <v>51</v>
      </c>
      <c r="F754" t="s">
        <v>164</v>
      </c>
      <c r="G754" t="s">
        <v>734</v>
      </c>
      <c r="H754" t="s">
        <v>54</v>
      </c>
      <c r="I754">
        <v>200</v>
      </c>
      <c r="J754">
        <v>0</v>
      </c>
      <c r="K754">
        <v>1</v>
      </c>
      <c r="L754" t="s">
        <v>25</v>
      </c>
      <c r="M754" t="s">
        <v>533</v>
      </c>
      <c r="N754">
        <v>30</v>
      </c>
      <c r="O754">
        <v>0</v>
      </c>
      <c r="P754" t="str">
        <f>IF(T[[#This Row],[qty_ordered]]&lt;&gt;T[[#This Row],[qty_received]],IF(T[[#This Row],[qty_received]]&gt;0,"Partial Received","Not Receviced"),"FullyReceived")</f>
        <v>Not Receviced</v>
      </c>
      <c r="Q754" t="str">
        <f>IF(T[[#This Row],[qty_received]]&lt;&gt;T[[#This Row],[qty_invoiced]],IF(T[[#This Row],[qty_invoiced]]&gt;0,"Partial Invoiced","Not Invoiced"),"Fully Invoiced")</f>
        <v>Partial Invoiced</v>
      </c>
      <c r="R754" t="str">
        <f>IFERROR(VLOOKUP(T[[#This Row],[warehouse]],Table2[],2,FALSE),"--")</f>
        <v>--</v>
      </c>
    </row>
    <row r="755" spans="1:18" x14ac:dyDescent="0.25">
      <c r="A755" t="s">
        <v>732</v>
      </c>
      <c r="B755" s="1">
        <v>43872</v>
      </c>
      <c r="C755" t="s">
        <v>733</v>
      </c>
      <c r="D755" t="s">
        <v>76</v>
      </c>
      <c r="E755" t="s">
        <v>51</v>
      </c>
      <c r="F755" t="s">
        <v>164</v>
      </c>
      <c r="G755" t="s">
        <v>734</v>
      </c>
      <c r="H755" t="s">
        <v>54</v>
      </c>
      <c r="I755">
        <v>200</v>
      </c>
      <c r="J755">
        <v>0</v>
      </c>
      <c r="K755">
        <v>1</v>
      </c>
      <c r="L755" t="s">
        <v>25</v>
      </c>
      <c r="M755" t="s">
        <v>533</v>
      </c>
      <c r="N755">
        <v>30</v>
      </c>
      <c r="O755">
        <v>0</v>
      </c>
      <c r="P755" t="str">
        <f>IF(T[[#This Row],[qty_ordered]]&lt;&gt;T[[#This Row],[qty_received]],IF(T[[#This Row],[qty_received]]&gt;0,"Partial Received","Not Receviced"),"FullyReceived")</f>
        <v>Not Receviced</v>
      </c>
      <c r="Q755" t="str">
        <f>IF(T[[#This Row],[qty_received]]&lt;&gt;T[[#This Row],[qty_invoiced]],IF(T[[#This Row],[qty_invoiced]]&gt;0,"Partial Invoiced","Not Invoiced"),"Fully Invoiced")</f>
        <v>Partial Invoiced</v>
      </c>
      <c r="R755" t="str">
        <f>IFERROR(VLOOKUP(T[[#This Row],[warehouse]],Table2[],2,FALSE),"--")</f>
        <v>--</v>
      </c>
    </row>
    <row r="756" spans="1:18" x14ac:dyDescent="0.25">
      <c r="A756" t="s">
        <v>493</v>
      </c>
      <c r="B756" s="1">
        <v>44075</v>
      </c>
      <c r="C756" t="s">
        <v>810</v>
      </c>
      <c r="D756" t="s">
        <v>20</v>
      </c>
      <c r="E756" t="s">
        <v>51</v>
      </c>
      <c r="F756" t="s">
        <v>52</v>
      </c>
      <c r="G756" t="s">
        <v>75</v>
      </c>
      <c r="H756" t="s">
        <v>54</v>
      </c>
      <c r="I756">
        <v>28</v>
      </c>
      <c r="J756">
        <v>0</v>
      </c>
      <c r="K756">
        <v>1</v>
      </c>
      <c r="L756" t="s">
        <v>25</v>
      </c>
      <c r="M756" t="s">
        <v>132</v>
      </c>
      <c r="N756">
        <v>383703.1</v>
      </c>
      <c r="O756">
        <v>0</v>
      </c>
      <c r="P756" t="str">
        <f>IF(T[[#This Row],[qty_ordered]]&lt;&gt;T[[#This Row],[qty_received]],IF(T[[#This Row],[qty_received]]&gt;0,"Partial Received","Not Receviced"),"FullyReceived")</f>
        <v>Not Receviced</v>
      </c>
      <c r="Q756" t="str">
        <f>IF(T[[#This Row],[qty_received]]&lt;&gt;T[[#This Row],[qty_invoiced]],IF(T[[#This Row],[qty_invoiced]]&gt;0,"Partial Invoiced","Not Invoiced"),"Fully Invoiced")</f>
        <v>Partial Invoiced</v>
      </c>
      <c r="R756" t="str">
        <f>IFERROR(VLOOKUP(T[[#This Row],[warehouse]],Table2[],2,FALSE),"--")</f>
        <v>--</v>
      </c>
    </row>
    <row r="757" spans="1:18" x14ac:dyDescent="0.25">
      <c r="A757" t="s">
        <v>235</v>
      </c>
      <c r="B757" s="1">
        <v>43849</v>
      </c>
      <c r="C757" t="s">
        <v>672</v>
      </c>
      <c r="D757" t="s">
        <v>323</v>
      </c>
      <c r="E757" t="s">
        <v>51</v>
      </c>
      <c r="F757" t="s">
        <v>546</v>
      </c>
      <c r="G757" t="s">
        <v>811</v>
      </c>
      <c r="H757" t="s">
        <v>54</v>
      </c>
      <c r="I757">
        <v>5000</v>
      </c>
      <c r="J757">
        <v>0</v>
      </c>
      <c r="K757">
        <v>1</v>
      </c>
      <c r="L757" t="s">
        <v>25</v>
      </c>
      <c r="M757" t="s">
        <v>533</v>
      </c>
      <c r="N757">
        <v>4.5</v>
      </c>
      <c r="O757">
        <v>0</v>
      </c>
      <c r="P757" t="str">
        <f>IF(T[[#This Row],[qty_ordered]]&lt;&gt;T[[#This Row],[qty_received]],IF(T[[#This Row],[qty_received]]&gt;0,"Partial Received","Not Receviced"),"FullyReceived")</f>
        <v>Not Receviced</v>
      </c>
      <c r="Q757" t="str">
        <f>IF(T[[#This Row],[qty_received]]&lt;&gt;T[[#This Row],[qty_invoiced]],IF(T[[#This Row],[qty_invoiced]]&gt;0,"Partial Invoiced","Not Invoiced"),"Fully Invoiced")</f>
        <v>Partial Invoiced</v>
      </c>
      <c r="R757" t="str">
        <f>IFERROR(VLOOKUP(T[[#This Row],[warehouse]],Table2[],2,FALSE),"--")</f>
        <v>--</v>
      </c>
    </row>
    <row r="758" spans="1:18" x14ac:dyDescent="0.25">
      <c r="A758" t="s">
        <v>235</v>
      </c>
      <c r="B758" s="1">
        <v>43849</v>
      </c>
      <c r="C758" t="s">
        <v>672</v>
      </c>
      <c r="D758" t="s">
        <v>324</v>
      </c>
      <c r="E758" t="s">
        <v>51</v>
      </c>
      <c r="F758" t="s">
        <v>546</v>
      </c>
      <c r="G758" t="s">
        <v>811</v>
      </c>
      <c r="H758" t="s">
        <v>54</v>
      </c>
      <c r="I758">
        <v>3000</v>
      </c>
      <c r="J758">
        <v>0</v>
      </c>
      <c r="K758">
        <v>1</v>
      </c>
      <c r="L758" t="s">
        <v>25</v>
      </c>
      <c r="M758" t="s">
        <v>533</v>
      </c>
      <c r="N758">
        <v>4.5</v>
      </c>
      <c r="O758">
        <v>0</v>
      </c>
      <c r="P758" t="str">
        <f>IF(T[[#This Row],[qty_ordered]]&lt;&gt;T[[#This Row],[qty_received]],IF(T[[#This Row],[qty_received]]&gt;0,"Partial Received","Not Receviced"),"FullyReceived")</f>
        <v>Not Receviced</v>
      </c>
      <c r="Q758" t="str">
        <f>IF(T[[#This Row],[qty_received]]&lt;&gt;T[[#This Row],[qty_invoiced]],IF(T[[#This Row],[qty_invoiced]]&gt;0,"Partial Invoiced","Not Invoiced"),"Fully Invoiced")</f>
        <v>Partial Invoiced</v>
      </c>
      <c r="R758" t="str">
        <f>IFERROR(VLOOKUP(T[[#This Row],[warehouse]],Table2[],2,FALSE),"--")</f>
        <v>--</v>
      </c>
    </row>
    <row r="759" spans="1:18" x14ac:dyDescent="0.25">
      <c r="A759" t="s">
        <v>721</v>
      </c>
      <c r="B759" s="1">
        <v>44054</v>
      </c>
      <c r="C759" t="s">
        <v>722</v>
      </c>
      <c r="D759" t="s">
        <v>71</v>
      </c>
      <c r="E759" t="s">
        <v>723</v>
      </c>
      <c r="F759" t="s">
        <v>219</v>
      </c>
      <c r="G759" t="s">
        <v>724</v>
      </c>
      <c r="H759" t="s">
        <v>221</v>
      </c>
      <c r="I759">
        <v>13920.79</v>
      </c>
      <c r="J759">
        <v>13920.79</v>
      </c>
      <c r="K759">
        <v>13920.79</v>
      </c>
      <c r="L759" t="s">
        <v>25</v>
      </c>
      <c r="M759" t="s">
        <v>132</v>
      </c>
      <c r="N759">
        <v>8732.4881000000005</v>
      </c>
      <c r="O759">
        <v>121563133.017599</v>
      </c>
      <c r="P759" t="str">
        <f>IF(T[[#This Row],[qty_ordered]]&lt;&gt;T[[#This Row],[qty_received]],IF(T[[#This Row],[qty_received]]&gt;0,"Partial Received","Not Receviced"),"FullyReceived")</f>
        <v>FullyReceived</v>
      </c>
      <c r="Q759" t="str">
        <f>IF(T[[#This Row],[qty_received]]&lt;&gt;T[[#This Row],[qty_invoiced]],IF(T[[#This Row],[qty_invoiced]]&gt;0,"Partial Invoiced","Not Invoiced"),"Fully Invoiced")</f>
        <v>Fully Invoiced</v>
      </c>
      <c r="R759" t="str">
        <f>IFERROR(VLOOKUP(T[[#This Row],[warehouse]],Table2[],2,FALSE),"--")</f>
        <v>YELLOW BEANS</v>
      </c>
    </row>
    <row r="760" spans="1:18" x14ac:dyDescent="0.25">
      <c r="A760" t="s">
        <v>812</v>
      </c>
      <c r="B760" s="1">
        <v>44082</v>
      </c>
      <c r="C760" t="s">
        <v>813</v>
      </c>
      <c r="D760" t="s">
        <v>20</v>
      </c>
      <c r="E760" t="s">
        <v>51</v>
      </c>
      <c r="F760" t="s">
        <v>183</v>
      </c>
      <c r="G760" t="s">
        <v>803</v>
      </c>
      <c r="H760" t="s">
        <v>54</v>
      </c>
      <c r="I760">
        <v>400</v>
      </c>
      <c r="J760">
        <v>0</v>
      </c>
      <c r="K760">
        <v>1</v>
      </c>
      <c r="L760" t="s">
        <v>25</v>
      </c>
      <c r="M760" t="s">
        <v>533</v>
      </c>
      <c r="N760">
        <v>1610</v>
      </c>
      <c r="O760">
        <v>0</v>
      </c>
      <c r="P760" t="str">
        <f>IF(T[[#This Row],[qty_ordered]]&lt;&gt;T[[#This Row],[qty_received]],IF(T[[#This Row],[qty_received]]&gt;0,"Partial Received","Not Receviced"),"FullyReceived")</f>
        <v>Not Receviced</v>
      </c>
      <c r="Q760" t="str">
        <f>IF(T[[#This Row],[qty_received]]&lt;&gt;T[[#This Row],[qty_invoiced]],IF(T[[#This Row],[qty_invoiced]]&gt;0,"Partial Invoiced","Not Invoiced"),"Fully Invoiced")</f>
        <v>Partial Invoiced</v>
      </c>
      <c r="R760" t="str">
        <f>IFERROR(VLOOKUP(T[[#This Row],[warehouse]],Table2[],2,FALSE),"--")</f>
        <v>--</v>
      </c>
    </row>
    <row r="761" spans="1:18" x14ac:dyDescent="0.25">
      <c r="A761" t="s">
        <v>84</v>
      </c>
      <c r="B761" s="1">
        <v>44084</v>
      </c>
      <c r="C761" t="s">
        <v>814</v>
      </c>
      <c r="D761" t="s">
        <v>20</v>
      </c>
      <c r="E761" t="s">
        <v>552</v>
      </c>
      <c r="F761" t="s">
        <v>300</v>
      </c>
      <c r="G761" t="s">
        <v>301</v>
      </c>
      <c r="H761" t="s">
        <v>24</v>
      </c>
      <c r="I761">
        <v>500</v>
      </c>
      <c r="J761">
        <v>115.2</v>
      </c>
      <c r="K761">
        <v>115.2</v>
      </c>
      <c r="L761" t="s">
        <v>25</v>
      </c>
      <c r="M761" t="s">
        <v>132</v>
      </c>
      <c r="N761">
        <v>110000</v>
      </c>
      <c r="O761">
        <v>12672000</v>
      </c>
      <c r="P761" t="str">
        <f>IF(T[[#This Row],[qty_ordered]]&lt;&gt;T[[#This Row],[qty_received]],IF(T[[#This Row],[qty_received]]&gt;0,"Partial Received","Not Receviced"),"FullyReceived")</f>
        <v>Partial Received</v>
      </c>
      <c r="Q761" t="str">
        <f>IF(T[[#This Row],[qty_received]]&lt;&gt;T[[#This Row],[qty_invoiced]],IF(T[[#This Row],[qty_invoiced]]&gt;0,"Partial Invoiced","Not Invoiced"),"Fully Invoiced")</f>
        <v>Fully Invoiced</v>
      </c>
      <c r="R761" t="str">
        <f>IFERROR(VLOOKUP(T[[#This Row],[warehouse]],Table2[],2,FALSE),"--")</f>
        <v>SIFTER - SAN DA-PZU</v>
      </c>
    </row>
    <row r="762" spans="1:18" x14ac:dyDescent="0.25">
      <c r="A762" t="s">
        <v>815</v>
      </c>
      <c r="B762" s="1">
        <v>44006</v>
      </c>
      <c r="C762" t="s">
        <v>816</v>
      </c>
      <c r="D762" t="s">
        <v>71</v>
      </c>
      <c r="E762" t="s">
        <v>111</v>
      </c>
      <c r="F762" t="s">
        <v>108</v>
      </c>
      <c r="G762" t="s">
        <v>109</v>
      </c>
      <c r="H762" t="s">
        <v>24</v>
      </c>
      <c r="I762">
        <v>865.96</v>
      </c>
      <c r="J762">
        <v>865.96</v>
      </c>
      <c r="K762">
        <v>865.96</v>
      </c>
      <c r="L762" t="s">
        <v>25</v>
      </c>
      <c r="M762" t="s">
        <v>132</v>
      </c>
      <c r="N762">
        <v>193575</v>
      </c>
      <c r="O762">
        <v>167628207</v>
      </c>
      <c r="P762" t="str">
        <f>IF(T[[#This Row],[qty_ordered]]&lt;&gt;T[[#This Row],[qty_received]],IF(T[[#This Row],[qty_received]]&gt;0,"Partial Received","Not Receviced"),"FullyReceived")</f>
        <v>FullyReceived</v>
      </c>
      <c r="Q762" t="str">
        <f>IF(T[[#This Row],[qty_received]]&lt;&gt;T[[#This Row],[qty_invoiced]],IF(T[[#This Row],[qty_invoiced]]&gt;0,"Partial Invoiced","Not Invoiced"),"Fully Invoiced")</f>
        <v>Fully Invoiced</v>
      </c>
      <c r="R762" t="str">
        <f>IFERROR(VLOOKUP(T[[#This Row],[warehouse]],Table2[],2,FALSE),"--")</f>
        <v>Sifting PZU-Al Jawhra</v>
      </c>
    </row>
    <row r="763" spans="1:18" x14ac:dyDescent="0.25">
      <c r="A763" t="s">
        <v>505</v>
      </c>
      <c r="B763" s="1">
        <v>43933</v>
      </c>
      <c r="C763" t="s">
        <v>684</v>
      </c>
      <c r="D763" t="s">
        <v>615</v>
      </c>
      <c r="E763" t="s">
        <v>51</v>
      </c>
      <c r="F763" t="s">
        <v>278</v>
      </c>
      <c r="G763" t="s">
        <v>279</v>
      </c>
      <c r="H763" t="s">
        <v>54</v>
      </c>
      <c r="I763">
        <v>7511</v>
      </c>
      <c r="J763">
        <v>0</v>
      </c>
      <c r="K763">
        <v>1</v>
      </c>
      <c r="L763" t="s">
        <v>25</v>
      </c>
      <c r="M763" t="s">
        <v>533</v>
      </c>
      <c r="N763">
        <v>15</v>
      </c>
      <c r="O763">
        <v>0</v>
      </c>
      <c r="P763" t="str">
        <f>IF(T[[#This Row],[qty_ordered]]&lt;&gt;T[[#This Row],[qty_received]],IF(T[[#This Row],[qty_received]]&gt;0,"Partial Received","Not Receviced"),"FullyReceived")</f>
        <v>Not Receviced</v>
      </c>
      <c r="Q763" t="str">
        <f>IF(T[[#This Row],[qty_received]]&lt;&gt;T[[#This Row],[qty_invoiced]],IF(T[[#This Row],[qty_invoiced]]&gt;0,"Partial Invoiced","Not Invoiced"),"Fully Invoiced")</f>
        <v>Partial Invoiced</v>
      </c>
      <c r="R763" t="str">
        <f>IFERROR(VLOOKUP(T[[#This Row],[warehouse]],Table2[],2,FALSE),"--")</f>
        <v>--</v>
      </c>
    </row>
    <row r="764" spans="1:18" x14ac:dyDescent="0.25">
      <c r="A764" t="s">
        <v>423</v>
      </c>
      <c r="B764" s="1">
        <v>43808</v>
      </c>
      <c r="C764" t="s">
        <v>817</v>
      </c>
      <c r="D764" t="s">
        <v>20</v>
      </c>
      <c r="E764" t="s">
        <v>51</v>
      </c>
      <c r="F764" t="s">
        <v>546</v>
      </c>
      <c r="G764" t="s">
        <v>546</v>
      </c>
      <c r="H764" t="s">
        <v>54</v>
      </c>
      <c r="I764">
        <v>5000</v>
      </c>
      <c r="J764">
        <v>0</v>
      </c>
      <c r="K764">
        <v>1</v>
      </c>
      <c r="L764" t="s">
        <v>25</v>
      </c>
      <c r="M764" t="s">
        <v>359</v>
      </c>
      <c r="N764">
        <v>2.8</v>
      </c>
      <c r="O764">
        <v>0</v>
      </c>
      <c r="P764" t="str">
        <f>IF(T[[#This Row],[qty_ordered]]&lt;&gt;T[[#This Row],[qty_received]],IF(T[[#This Row],[qty_received]]&gt;0,"Partial Received","Not Receviced"),"FullyReceived")</f>
        <v>Not Receviced</v>
      </c>
      <c r="Q764" t="str">
        <f>IF(T[[#This Row],[qty_received]]&lt;&gt;T[[#This Row],[qty_invoiced]],IF(T[[#This Row],[qty_invoiced]]&gt;0,"Partial Invoiced","Not Invoiced"),"Fully Invoiced")</f>
        <v>Partial Invoiced</v>
      </c>
      <c r="R764" t="str">
        <f>IFERROR(VLOOKUP(T[[#This Row],[warehouse]],Table2[],2,FALSE),"--")</f>
        <v>--</v>
      </c>
    </row>
    <row r="765" spans="1:18" x14ac:dyDescent="0.25">
      <c r="A765" t="s">
        <v>235</v>
      </c>
      <c r="B765" s="1">
        <v>43674</v>
      </c>
      <c r="C765" t="s">
        <v>586</v>
      </c>
      <c r="D765" t="s">
        <v>71</v>
      </c>
      <c r="E765" t="s">
        <v>51</v>
      </c>
      <c r="F765" t="s">
        <v>818</v>
      </c>
      <c r="G765" t="s">
        <v>819</v>
      </c>
      <c r="H765" t="s">
        <v>54</v>
      </c>
      <c r="I765">
        <v>6</v>
      </c>
      <c r="J765">
        <v>0</v>
      </c>
      <c r="K765">
        <v>1</v>
      </c>
      <c r="L765" t="s">
        <v>25</v>
      </c>
      <c r="M765" t="s">
        <v>359</v>
      </c>
      <c r="N765">
        <v>320</v>
      </c>
      <c r="O765">
        <v>0</v>
      </c>
      <c r="P765" t="str">
        <f>IF(T[[#This Row],[qty_ordered]]&lt;&gt;T[[#This Row],[qty_received]],IF(T[[#This Row],[qty_received]]&gt;0,"Partial Received","Not Receviced"),"FullyReceived")</f>
        <v>Not Receviced</v>
      </c>
      <c r="Q765" t="str">
        <f>IF(T[[#This Row],[qty_received]]&lt;&gt;T[[#This Row],[qty_invoiced]],IF(T[[#This Row],[qty_invoiced]]&gt;0,"Partial Invoiced","Not Invoiced"),"Fully Invoiced")</f>
        <v>Partial Invoiced</v>
      </c>
      <c r="R765" t="str">
        <f>IFERROR(VLOOKUP(T[[#This Row],[warehouse]],Table2[],2,FALSE),"--")</f>
        <v>--</v>
      </c>
    </row>
    <row r="766" spans="1:18" x14ac:dyDescent="0.25">
      <c r="A766" t="s">
        <v>560</v>
      </c>
      <c r="B766" s="1">
        <v>43809</v>
      </c>
      <c r="C766" t="s">
        <v>561</v>
      </c>
      <c r="D766" t="s">
        <v>71</v>
      </c>
      <c r="E766" t="s">
        <v>51</v>
      </c>
      <c r="F766" t="s">
        <v>164</v>
      </c>
      <c r="G766" t="s">
        <v>164</v>
      </c>
      <c r="H766" t="s">
        <v>54</v>
      </c>
      <c r="I766">
        <v>40</v>
      </c>
      <c r="J766">
        <v>0</v>
      </c>
      <c r="K766">
        <v>1</v>
      </c>
      <c r="L766" t="s">
        <v>25</v>
      </c>
      <c r="M766" t="s">
        <v>359</v>
      </c>
      <c r="N766">
        <v>300</v>
      </c>
      <c r="O766">
        <v>0</v>
      </c>
      <c r="P766" t="str">
        <f>IF(T[[#This Row],[qty_ordered]]&lt;&gt;T[[#This Row],[qty_received]],IF(T[[#This Row],[qty_received]]&gt;0,"Partial Received","Not Receviced"),"FullyReceived")</f>
        <v>Not Receviced</v>
      </c>
      <c r="Q766" t="str">
        <f>IF(T[[#This Row],[qty_received]]&lt;&gt;T[[#This Row],[qty_invoiced]],IF(T[[#This Row],[qty_invoiced]]&gt;0,"Partial Invoiced","Not Invoiced"),"Fully Invoiced")</f>
        <v>Partial Invoiced</v>
      </c>
      <c r="R766" t="str">
        <f>IFERROR(VLOOKUP(T[[#This Row],[warehouse]],Table2[],2,FALSE),"--")</f>
        <v>--</v>
      </c>
    </row>
    <row r="767" spans="1:18" x14ac:dyDescent="0.25">
      <c r="A767" t="s">
        <v>560</v>
      </c>
      <c r="B767" s="1">
        <v>43809</v>
      </c>
      <c r="C767" t="s">
        <v>561</v>
      </c>
      <c r="D767" t="s">
        <v>100</v>
      </c>
      <c r="E767" t="s">
        <v>51</v>
      </c>
      <c r="F767" t="s">
        <v>164</v>
      </c>
      <c r="G767" t="s">
        <v>164</v>
      </c>
      <c r="H767" t="s">
        <v>54</v>
      </c>
      <c r="I767">
        <v>98</v>
      </c>
      <c r="J767">
        <v>0</v>
      </c>
      <c r="K767">
        <v>1</v>
      </c>
      <c r="L767" t="s">
        <v>25</v>
      </c>
      <c r="M767" t="s">
        <v>359</v>
      </c>
      <c r="N767">
        <v>300</v>
      </c>
      <c r="O767">
        <v>0</v>
      </c>
      <c r="P767" t="str">
        <f>IF(T[[#This Row],[qty_ordered]]&lt;&gt;T[[#This Row],[qty_received]],IF(T[[#This Row],[qty_received]]&gt;0,"Partial Received","Not Receviced"),"FullyReceived")</f>
        <v>Not Receviced</v>
      </c>
      <c r="Q767" t="str">
        <f>IF(T[[#This Row],[qty_received]]&lt;&gt;T[[#This Row],[qty_invoiced]],IF(T[[#This Row],[qty_invoiced]]&gt;0,"Partial Invoiced","Not Invoiced"),"Fully Invoiced")</f>
        <v>Partial Invoiced</v>
      </c>
      <c r="R767" t="str">
        <f>IFERROR(VLOOKUP(T[[#This Row],[warehouse]],Table2[],2,FALSE),"--")</f>
        <v>--</v>
      </c>
    </row>
    <row r="768" spans="1:18" x14ac:dyDescent="0.25">
      <c r="A768" t="s">
        <v>560</v>
      </c>
      <c r="B768" s="1">
        <v>43809</v>
      </c>
      <c r="C768" t="s">
        <v>561</v>
      </c>
      <c r="D768" t="s">
        <v>88</v>
      </c>
      <c r="E768" t="s">
        <v>51</v>
      </c>
      <c r="F768" t="s">
        <v>164</v>
      </c>
      <c r="G768" t="s">
        <v>164</v>
      </c>
      <c r="H768" t="s">
        <v>54</v>
      </c>
      <c r="I768">
        <v>65</v>
      </c>
      <c r="J768">
        <v>0</v>
      </c>
      <c r="K768">
        <v>1</v>
      </c>
      <c r="L768" t="s">
        <v>25</v>
      </c>
      <c r="M768" t="s">
        <v>359</v>
      </c>
      <c r="N768">
        <v>300</v>
      </c>
      <c r="O768">
        <v>0</v>
      </c>
      <c r="P768" t="str">
        <f>IF(T[[#This Row],[qty_ordered]]&lt;&gt;T[[#This Row],[qty_received]],IF(T[[#This Row],[qty_received]]&gt;0,"Partial Received","Not Receviced"),"FullyReceived")</f>
        <v>Not Receviced</v>
      </c>
      <c r="Q768" t="str">
        <f>IF(T[[#This Row],[qty_received]]&lt;&gt;T[[#This Row],[qty_invoiced]],IF(T[[#This Row],[qty_invoiced]]&gt;0,"Partial Invoiced","Not Invoiced"),"Fully Invoiced")</f>
        <v>Partial Invoiced</v>
      </c>
      <c r="R768" t="str">
        <f>IFERROR(VLOOKUP(T[[#This Row],[warehouse]],Table2[],2,FALSE),"--")</f>
        <v>--</v>
      </c>
    </row>
    <row r="769" spans="1:18" x14ac:dyDescent="0.25">
      <c r="A769" t="s">
        <v>560</v>
      </c>
      <c r="B769" s="1">
        <v>43809</v>
      </c>
      <c r="C769" t="s">
        <v>561</v>
      </c>
      <c r="D769" t="s">
        <v>74</v>
      </c>
      <c r="E769" t="s">
        <v>51</v>
      </c>
      <c r="F769" t="s">
        <v>164</v>
      </c>
      <c r="G769" t="s">
        <v>164</v>
      </c>
      <c r="H769" t="s">
        <v>54</v>
      </c>
      <c r="I769">
        <v>84</v>
      </c>
      <c r="J769">
        <v>0</v>
      </c>
      <c r="K769">
        <v>1</v>
      </c>
      <c r="L769" t="s">
        <v>25</v>
      </c>
      <c r="M769" t="s">
        <v>359</v>
      </c>
      <c r="N769">
        <v>300</v>
      </c>
      <c r="O769">
        <v>0</v>
      </c>
      <c r="P769" t="str">
        <f>IF(T[[#This Row],[qty_ordered]]&lt;&gt;T[[#This Row],[qty_received]],IF(T[[#This Row],[qty_received]]&gt;0,"Partial Received","Not Receviced"),"FullyReceived")</f>
        <v>Not Receviced</v>
      </c>
      <c r="Q769" t="str">
        <f>IF(T[[#This Row],[qty_received]]&lt;&gt;T[[#This Row],[qty_invoiced]],IF(T[[#This Row],[qty_invoiced]]&gt;0,"Partial Invoiced","Not Invoiced"),"Fully Invoiced")</f>
        <v>Partial Invoiced</v>
      </c>
      <c r="R769" t="str">
        <f>IFERROR(VLOOKUP(T[[#This Row],[warehouse]],Table2[],2,FALSE),"--")</f>
        <v>--</v>
      </c>
    </row>
    <row r="770" spans="1:18" x14ac:dyDescent="0.25">
      <c r="A770" t="s">
        <v>560</v>
      </c>
      <c r="B770" s="1">
        <v>43809</v>
      </c>
      <c r="C770" t="s">
        <v>561</v>
      </c>
      <c r="D770" t="s">
        <v>76</v>
      </c>
      <c r="E770" t="s">
        <v>51</v>
      </c>
      <c r="F770" t="s">
        <v>164</v>
      </c>
      <c r="G770" t="s">
        <v>164</v>
      </c>
      <c r="H770" t="s">
        <v>54</v>
      </c>
      <c r="I770">
        <v>69</v>
      </c>
      <c r="J770">
        <v>0</v>
      </c>
      <c r="K770">
        <v>1</v>
      </c>
      <c r="L770" t="s">
        <v>25</v>
      </c>
      <c r="M770" t="s">
        <v>359</v>
      </c>
      <c r="N770">
        <v>300</v>
      </c>
      <c r="O770">
        <v>0</v>
      </c>
      <c r="P770" t="str">
        <f>IF(T[[#This Row],[qty_ordered]]&lt;&gt;T[[#This Row],[qty_received]],IF(T[[#This Row],[qty_received]]&gt;0,"Partial Received","Not Receviced"),"FullyReceived")</f>
        <v>Not Receviced</v>
      </c>
      <c r="Q770" t="str">
        <f>IF(T[[#This Row],[qty_received]]&lt;&gt;T[[#This Row],[qty_invoiced]],IF(T[[#This Row],[qty_invoiced]]&gt;0,"Partial Invoiced","Not Invoiced"),"Fully Invoiced")</f>
        <v>Partial Invoiced</v>
      </c>
      <c r="R770" t="str">
        <f>IFERROR(VLOOKUP(T[[#This Row],[warehouse]],Table2[],2,FALSE),"--")</f>
        <v>--</v>
      </c>
    </row>
    <row r="771" spans="1:18" x14ac:dyDescent="0.25">
      <c r="A771" t="s">
        <v>560</v>
      </c>
      <c r="B771" s="1">
        <v>43809</v>
      </c>
      <c r="C771" t="s">
        <v>561</v>
      </c>
      <c r="D771" t="s">
        <v>212</v>
      </c>
      <c r="E771" t="s">
        <v>51</v>
      </c>
      <c r="F771" t="s">
        <v>164</v>
      </c>
      <c r="G771" t="s">
        <v>164</v>
      </c>
      <c r="H771" t="s">
        <v>54</v>
      </c>
      <c r="I771">
        <v>121</v>
      </c>
      <c r="J771">
        <v>0</v>
      </c>
      <c r="K771">
        <v>1</v>
      </c>
      <c r="L771" t="s">
        <v>25</v>
      </c>
      <c r="M771" t="s">
        <v>359</v>
      </c>
      <c r="N771">
        <v>278.51239700000002</v>
      </c>
      <c r="O771">
        <v>0</v>
      </c>
      <c r="P771" t="str">
        <f>IF(T[[#This Row],[qty_ordered]]&lt;&gt;T[[#This Row],[qty_received]],IF(T[[#This Row],[qty_received]]&gt;0,"Partial Received","Not Receviced"),"FullyReceived")</f>
        <v>Not Receviced</v>
      </c>
      <c r="Q771" t="str">
        <f>IF(T[[#This Row],[qty_received]]&lt;&gt;T[[#This Row],[qty_invoiced]],IF(T[[#This Row],[qty_invoiced]]&gt;0,"Partial Invoiced","Not Invoiced"),"Fully Invoiced")</f>
        <v>Partial Invoiced</v>
      </c>
      <c r="R771" t="str">
        <f>IFERROR(VLOOKUP(T[[#This Row],[warehouse]],Table2[],2,FALSE),"--")</f>
        <v>--</v>
      </c>
    </row>
    <row r="772" spans="1:18" x14ac:dyDescent="0.25">
      <c r="A772" t="s">
        <v>560</v>
      </c>
      <c r="B772" s="1">
        <v>43809</v>
      </c>
      <c r="C772" t="s">
        <v>561</v>
      </c>
      <c r="D772" t="s">
        <v>322</v>
      </c>
      <c r="E772" t="s">
        <v>51</v>
      </c>
      <c r="F772" t="s">
        <v>164</v>
      </c>
      <c r="G772" t="s">
        <v>164</v>
      </c>
      <c r="H772" t="s">
        <v>54</v>
      </c>
      <c r="I772">
        <v>40</v>
      </c>
      <c r="J772">
        <v>0</v>
      </c>
      <c r="K772">
        <v>1</v>
      </c>
      <c r="L772" t="s">
        <v>25</v>
      </c>
      <c r="M772" t="s">
        <v>359</v>
      </c>
      <c r="N772">
        <v>300</v>
      </c>
      <c r="O772">
        <v>0</v>
      </c>
      <c r="P772" t="str">
        <f>IF(T[[#This Row],[qty_ordered]]&lt;&gt;T[[#This Row],[qty_received]],IF(T[[#This Row],[qty_received]]&gt;0,"Partial Received","Not Receviced"),"FullyReceived")</f>
        <v>Not Receviced</v>
      </c>
      <c r="Q772" t="str">
        <f>IF(T[[#This Row],[qty_received]]&lt;&gt;T[[#This Row],[qty_invoiced]],IF(T[[#This Row],[qty_invoiced]]&gt;0,"Partial Invoiced","Not Invoiced"),"Fully Invoiced")</f>
        <v>Partial Invoiced</v>
      </c>
      <c r="R772" t="str">
        <f>IFERROR(VLOOKUP(T[[#This Row],[warehouse]],Table2[],2,FALSE),"--")</f>
        <v>--</v>
      </c>
    </row>
    <row r="773" spans="1:18" x14ac:dyDescent="0.25">
      <c r="A773" t="s">
        <v>560</v>
      </c>
      <c r="B773" s="1">
        <v>43809</v>
      </c>
      <c r="C773" t="s">
        <v>561</v>
      </c>
      <c r="D773" t="s">
        <v>323</v>
      </c>
      <c r="E773" t="s">
        <v>51</v>
      </c>
      <c r="F773" t="s">
        <v>164</v>
      </c>
      <c r="G773" t="s">
        <v>164</v>
      </c>
      <c r="H773" t="s">
        <v>54</v>
      </c>
      <c r="I773">
        <v>28</v>
      </c>
      <c r="J773">
        <v>0</v>
      </c>
      <c r="K773">
        <v>1</v>
      </c>
      <c r="L773" t="s">
        <v>25</v>
      </c>
      <c r="M773" t="s">
        <v>359</v>
      </c>
      <c r="N773">
        <v>300</v>
      </c>
      <c r="O773">
        <v>0</v>
      </c>
      <c r="P773" t="str">
        <f>IF(T[[#This Row],[qty_ordered]]&lt;&gt;T[[#This Row],[qty_received]],IF(T[[#This Row],[qty_received]]&gt;0,"Partial Received","Not Receviced"),"FullyReceived")</f>
        <v>Not Receviced</v>
      </c>
      <c r="Q773" t="str">
        <f>IF(T[[#This Row],[qty_received]]&lt;&gt;T[[#This Row],[qty_invoiced]],IF(T[[#This Row],[qty_invoiced]]&gt;0,"Partial Invoiced","Not Invoiced"),"Fully Invoiced")</f>
        <v>Partial Invoiced</v>
      </c>
      <c r="R773" t="str">
        <f>IFERROR(VLOOKUP(T[[#This Row],[warehouse]],Table2[],2,FALSE),"--")</f>
        <v>--</v>
      </c>
    </row>
    <row r="774" spans="1:18" x14ac:dyDescent="0.25">
      <c r="A774" t="s">
        <v>560</v>
      </c>
      <c r="B774" s="1">
        <v>43809</v>
      </c>
      <c r="C774" t="s">
        <v>561</v>
      </c>
      <c r="D774" t="s">
        <v>324</v>
      </c>
      <c r="E774" t="s">
        <v>51</v>
      </c>
      <c r="F774" t="s">
        <v>164</v>
      </c>
      <c r="G774" t="s">
        <v>164</v>
      </c>
      <c r="H774" t="s">
        <v>54</v>
      </c>
      <c r="I774">
        <v>24</v>
      </c>
      <c r="J774">
        <v>0</v>
      </c>
      <c r="K774">
        <v>1</v>
      </c>
      <c r="L774" t="s">
        <v>25</v>
      </c>
      <c r="M774" t="s">
        <v>359</v>
      </c>
      <c r="N774">
        <v>300</v>
      </c>
      <c r="O774">
        <v>0</v>
      </c>
      <c r="P774" t="str">
        <f>IF(T[[#This Row],[qty_ordered]]&lt;&gt;T[[#This Row],[qty_received]],IF(T[[#This Row],[qty_received]]&gt;0,"Partial Received","Not Receviced"),"FullyReceived")</f>
        <v>Not Receviced</v>
      </c>
      <c r="Q774" t="str">
        <f>IF(T[[#This Row],[qty_received]]&lt;&gt;T[[#This Row],[qty_invoiced]],IF(T[[#This Row],[qty_invoiced]]&gt;0,"Partial Invoiced","Not Invoiced"),"Fully Invoiced")</f>
        <v>Partial Invoiced</v>
      </c>
      <c r="R774" t="str">
        <f>IFERROR(VLOOKUP(T[[#This Row],[warehouse]],Table2[],2,FALSE),"--")</f>
        <v>--</v>
      </c>
    </row>
    <row r="775" spans="1:18" x14ac:dyDescent="0.25">
      <c r="A775" t="s">
        <v>560</v>
      </c>
      <c r="B775" s="1">
        <v>43809</v>
      </c>
      <c r="C775" t="s">
        <v>561</v>
      </c>
      <c r="D775" t="s">
        <v>325</v>
      </c>
      <c r="E775" t="s">
        <v>51</v>
      </c>
      <c r="F775" t="s">
        <v>164</v>
      </c>
      <c r="G775" t="s">
        <v>164</v>
      </c>
      <c r="H775" t="s">
        <v>54</v>
      </c>
      <c r="I775">
        <v>240</v>
      </c>
      <c r="J775">
        <v>0</v>
      </c>
      <c r="K775">
        <v>1</v>
      </c>
      <c r="L775" t="s">
        <v>25</v>
      </c>
      <c r="M775" t="s">
        <v>359</v>
      </c>
      <c r="N775">
        <v>300</v>
      </c>
      <c r="O775">
        <v>0</v>
      </c>
      <c r="P775" t="str">
        <f>IF(T[[#This Row],[qty_ordered]]&lt;&gt;T[[#This Row],[qty_received]],IF(T[[#This Row],[qty_received]]&gt;0,"Partial Received","Not Receviced"),"FullyReceived")</f>
        <v>Not Receviced</v>
      </c>
      <c r="Q775" t="str">
        <f>IF(T[[#This Row],[qty_received]]&lt;&gt;T[[#This Row],[qty_invoiced]],IF(T[[#This Row],[qty_invoiced]]&gt;0,"Partial Invoiced","Not Invoiced"),"Fully Invoiced")</f>
        <v>Partial Invoiced</v>
      </c>
      <c r="R775" t="str">
        <f>IFERROR(VLOOKUP(T[[#This Row],[warehouse]],Table2[],2,FALSE),"--")</f>
        <v>--</v>
      </c>
    </row>
    <row r="776" spans="1:18" x14ac:dyDescent="0.25">
      <c r="A776" t="s">
        <v>560</v>
      </c>
      <c r="B776" s="1">
        <v>43809</v>
      </c>
      <c r="C776" t="s">
        <v>561</v>
      </c>
      <c r="D776" t="s">
        <v>451</v>
      </c>
      <c r="E776" t="s">
        <v>51</v>
      </c>
      <c r="F776" t="s">
        <v>164</v>
      </c>
      <c r="G776" t="s">
        <v>164</v>
      </c>
      <c r="H776" t="s">
        <v>54</v>
      </c>
      <c r="I776">
        <v>54</v>
      </c>
      <c r="J776">
        <v>0</v>
      </c>
      <c r="K776">
        <v>1</v>
      </c>
      <c r="L776" t="s">
        <v>25</v>
      </c>
      <c r="M776" t="s">
        <v>359</v>
      </c>
      <c r="N776">
        <v>300</v>
      </c>
      <c r="O776">
        <v>0</v>
      </c>
      <c r="P776" t="str">
        <f>IF(T[[#This Row],[qty_ordered]]&lt;&gt;T[[#This Row],[qty_received]],IF(T[[#This Row],[qty_received]]&gt;0,"Partial Received","Not Receviced"),"FullyReceived")</f>
        <v>Not Receviced</v>
      </c>
      <c r="Q776" t="str">
        <f>IF(T[[#This Row],[qty_received]]&lt;&gt;T[[#This Row],[qty_invoiced]],IF(T[[#This Row],[qty_invoiced]]&gt;0,"Partial Invoiced","Not Invoiced"),"Fully Invoiced")</f>
        <v>Partial Invoiced</v>
      </c>
      <c r="R776" t="str">
        <f>IFERROR(VLOOKUP(T[[#This Row],[warehouse]],Table2[],2,FALSE),"--")</f>
        <v>--</v>
      </c>
    </row>
    <row r="777" spans="1:18" x14ac:dyDescent="0.25">
      <c r="A777" t="s">
        <v>560</v>
      </c>
      <c r="B777" s="1">
        <v>43809</v>
      </c>
      <c r="C777" t="s">
        <v>561</v>
      </c>
      <c r="D777" t="s">
        <v>452</v>
      </c>
      <c r="E777" t="s">
        <v>51</v>
      </c>
      <c r="F777" t="s">
        <v>164</v>
      </c>
      <c r="G777" t="s">
        <v>164</v>
      </c>
      <c r="H777" t="s">
        <v>54</v>
      </c>
      <c r="I777">
        <v>36</v>
      </c>
      <c r="J777">
        <v>0</v>
      </c>
      <c r="K777">
        <v>1</v>
      </c>
      <c r="L777" t="s">
        <v>25</v>
      </c>
      <c r="M777" t="s">
        <v>359</v>
      </c>
      <c r="N777">
        <v>300</v>
      </c>
      <c r="O777">
        <v>0</v>
      </c>
      <c r="P777" t="str">
        <f>IF(T[[#This Row],[qty_ordered]]&lt;&gt;T[[#This Row],[qty_received]],IF(T[[#This Row],[qty_received]]&gt;0,"Partial Received","Not Receviced"),"FullyReceived")</f>
        <v>Not Receviced</v>
      </c>
      <c r="Q777" t="str">
        <f>IF(T[[#This Row],[qty_received]]&lt;&gt;T[[#This Row],[qty_invoiced]],IF(T[[#This Row],[qty_invoiced]]&gt;0,"Partial Invoiced","Not Invoiced"),"Fully Invoiced")</f>
        <v>Partial Invoiced</v>
      </c>
      <c r="R777" t="str">
        <f>IFERROR(VLOOKUP(T[[#This Row],[warehouse]],Table2[],2,FALSE),"--")</f>
        <v>--</v>
      </c>
    </row>
    <row r="778" spans="1:18" x14ac:dyDescent="0.25">
      <c r="A778" t="s">
        <v>560</v>
      </c>
      <c r="B778" s="1">
        <v>43809</v>
      </c>
      <c r="C778" t="s">
        <v>561</v>
      </c>
      <c r="D778" t="s">
        <v>614</v>
      </c>
      <c r="E778" t="s">
        <v>51</v>
      </c>
      <c r="F778" t="s">
        <v>164</v>
      </c>
      <c r="G778" t="s">
        <v>164</v>
      </c>
      <c r="H778" t="s">
        <v>54</v>
      </c>
      <c r="I778">
        <v>88</v>
      </c>
      <c r="J778">
        <v>0</v>
      </c>
      <c r="K778">
        <v>1</v>
      </c>
      <c r="L778" t="s">
        <v>25</v>
      </c>
      <c r="M778" t="s">
        <v>359</v>
      </c>
      <c r="N778">
        <v>300</v>
      </c>
      <c r="O778">
        <v>0</v>
      </c>
      <c r="P778" t="str">
        <f>IF(T[[#This Row],[qty_ordered]]&lt;&gt;T[[#This Row],[qty_received]],IF(T[[#This Row],[qty_received]]&gt;0,"Partial Received","Not Receviced"),"FullyReceived")</f>
        <v>Not Receviced</v>
      </c>
      <c r="Q778" t="str">
        <f>IF(T[[#This Row],[qty_received]]&lt;&gt;T[[#This Row],[qty_invoiced]],IF(T[[#This Row],[qty_invoiced]]&gt;0,"Partial Invoiced","Not Invoiced"),"Fully Invoiced")</f>
        <v>Partial Invoiced</v>
      </c>
      <c r="R778" t="str">
        <f>IFERROR(VLOOKUP(T[[#This Row],[warehouse]],Table2[],2,FALSE),"--")</f>
        <v>--</v>
      </c>
    </row>
    <row r="779" spans="1:18" x14ac:dyDescent="0.25">
      <c r="A779" t="s">
        <v>560</v>
      </c>
      <c r="B779" s="1">
        <v>43809</v>
      </c>
      <c r="C779" t="s">
        <v>561</v>
      </c>
      <c r="D779" t="s">
        <v>615</v>
      </c>
      <c r="E779" t="s">
        <v>51</v>
      </c>
      <c r="F779" t="s">
        <v>164</v>
      </c>
      <c r="G779" t="s">
        <v>164</v>
      </c>
      <c r="H779" t="s">
        <v>54</v>
      </c>
      <c r="I779">
        <v>33</v>
      </c>
      <c r="J779">
        <v>0</v>
      </c>
      <c r="K779">
        <v>1</v>
      </c>
      <c r="L779" t="s">
        <v>25</v>
      </c>
      <c r="M779" t="s">
        <v>359</v>
      </c>
      <c r="N779">
        <v>300</v>
      </c>
      <c r="O779">
        <v>0</v>
      </c>
      <c r="P779" t="str">
        <f>IF(T[[#This Row],[qty_ordered]]&lt;&gt;T[[#This Row],[qty_received]],IF(T[[#This Row],[qty_received]]&gt;0,"Partial Received","Not Receviced"),"FullyReceived")</f>
        <v>Not Receviced</v>
      </c>
      <c r="Q779" t="str">
        <f>IF(T[[#This Row],[qty_received]]&lt;&gt;T[[#This Row],[qty_invoiced]],IF(T[[#This Row],[qty_invoiced]]&gt;0,"Partial Invoiced","Not Invoiced"),"Fully Invoiced")</f>
        <v>Partial Invoiced</v>
      </c>
      <c r="R779" t="str">
        <f>IFERROR(VLOOKUP(T[[#This Row],[warehouse]],Table2[],2,FALSE),"--")</f>
        <v>--</v>
      </c>
    </row>
    <row r="780" spans="1:18" x14ac:dyDescent="0.25">
      <c r="A780" t="s">
        <v>560</v>
      </c>
      <c r="B780" s="1">
        <v>43809</v>
      </c>
      <c r="C780" t="s">
        <v>561</v>
      </c>
      <c r="D780" t="s">
        <v>752</v>
      </c>
      <c r="E780" t="s">
        <v>51</v>
      </c>
      <c r="F780" t="s">
        <v>164</v>
      </c>
      <c r="G780" t="s">
        <v>164</v>
      </c>
      <c r="H780" t="s">
        <v>54</v>
      </c>
      <c r="I780">
        <v>20</v>
      </c>
      <c r="J780">
        <v>0</v>
      </c>
      <c r="K780">
        <v>1</v>
      </c>
      <c r="L780" t="s">
        <v>25</v>
      </c>
      <c r="M780" t="s">
        <v>359</v>
      </c>
      <c r="N780">
        <v>300</v>
      </c>
      <c r="O780">
        <v>0</v>
      </c>
      <c r="P780" t="str">
        <f>IF(T[[#This Row],[qty_ordered]]&lt;&gt;T[[#This Row],[qty_received]],IF(T[[#This Row],[qty_received]]&gt;0,"Partial Received","Not Receviced"),"FullyReceived")</f>
        <v>Not Receviced</v>
      </c>
      <c r="Q780" t="str">
        <f>IF(T[[#This Row],[qty_received]]&lt;&gt;T[[#This Row],[qty_invoiced]],IF(T[[#This Row],[qty_invoiced]]&gt;0,"Partial Invoiced","Not Invoiced"),"Fully Invoiced")</f>
        <v>Partial Invoiced</v>
      </c>
      <c r="R780" t="str">
        <f>IFERROR(VLOOKUP(T[[#This Row],[warehouse]],Table2[],2,FALSE),"--")</f>
        <v>--</v>
      </c>
    </row>
    <row r="781" spans="1:18" x14ac:dyDescent="0.25">
      <c r="A781" t="s">
        <v>534</v>
      </c>
      <c r="B781" s="1">
        <v>43787</v>
      </c>
      <c r="C781" t="s">
        <v>535</v>
      </c>
      <c r="D781" t="s">
        <v>71</v>
      </c>
      <c r="E781" t="s">
        <v>162</v>
      </c>
      <c r="F781" t="s">
        <v>47</v>
      </c>
      <c r="G781" t="s">
        <v>48</v>
      </c>
      <c r="H781" t="s">
        <v>24</v>
      </c>
      <c r="I781">
        <v>1000</v>
      </c>
      <c r="J781">
        <v>720.04</v>
      </c>
      <c r="K781">
        <v>720.04</v>
      </c>
      <c r="L781" t="s">
        <v>25</v>
      </c>
      <c r="M781" t="s">
        <v>132</v>
      </c>
      <c r="N781">
        <v>100000</v>
      </c>
      <c r="O781">
        <v>72004000</v>
      </c>
      <c r="P781" t="str">
        <f>IF(T[[#This Row],[qty_ordered]]&lt;&gt;T[[#This Row],[qty_received]],IF(T[[#This Row],[qty_received]]&gt;0,"Partial Received","Not Receviced"),"FullyReceived")</f>
        <v>Partial Received</v>
      </c>
      <c r="Q781" t="str">
        <f>IF(T[[#This Row],[qty_received]]&lt;&gt;T[[#This Row],[qty_invoiced]],IF(T[[#This Row],[qty_invoiced]]&gt;0,"Partial Invoiced","Not Invoiced"),"Fully Invoiced")</f>
        <v>Fully Invoiced</v>
      </c>
      <c r="R781" t="str">
        <f>IFERROR(VLOOKUP(T[[#This Row],[warehouse]],Table2[],2,FALSE),"--")</f>
        <v>Sifters Mahasilna</v>
      </c>
    </row>
    <row r="782" spans="1:18" x14ac:dyDescent="0.25">
      <c r="A782" t="s">
        <v>252</v>
      </c>
      <c r="B782" s="1">
        <v>43816</v>
      </c>
      <c r="C782" t="s">
        <v>820</v>
      </c>
      <c r="D782" t="s">
        <v>20</v>
      </c>
      <c r="E782" t="s">
        <v>51</v>
      </c>
      <c r="F782" t="s">
        <v>183</v>
      </c>
      <c r="G782" t="s">
        <v>183</v>
      </c>
      <c r="H782" t="s">
        <v>54</v>
      </c>
      <c r="I782">
        <v>391.93200000000002</v>
      </c>
      <c r="J782">
        <v>0</v>
      </c>
      <c r="K782">
        <v>1</v>
      </c>
      <c r="L782" t="s">
        <v>25</v>
      </c>
      <c r="M782" t="s">
        <v>359</v>
      </c>
      <c r="N782">
        <v>850</v>
      </c>
      <c r="O782">
        <v>0</v>
      </c>
      <c r="P782" t="str">
        <f>IF(T[[#This Row],[qty_ordered]]&lt;&gt;T[[#This Row],[qty_received]],IF(T[[#This Row],[qty_received]]&gt;0,"Partial Received","Not Receviced"),"FullyReceived")</f>
        <v>Not Receviced</v>
      </c>
      <c r="Q782" t="str">
        <f>IF(T[[#This Row],[qty_received]]&lt;&gt;T[[#This Row],[qty_invoiced]],IF(T[[#This Row],[qty_invoiced]]&gt;0,"Partial Invoiced","Not Invoiced"),"Fully Invoiced")</f>
        <v>Partial Invoiced</v>
      </c>
      <c r="R782" t="str">
        <f>IFERROR(VLOOKUP(T[[#This Row],[warehouse]],Table2[],2,FALSE),"--")</f>
        <v>--</v>
      </c>
    </row>
    <row r="783" spans="1:18" x14ac:dyDescent="0.25">
      <c r="A783" t="s">
        <v>821</v>
      </c>
      <c r="B783" s="1">
        <v>43817</v>
      </c>
      <c r="C783" t="s">
        <v>822</v>
      </c>
      <c r="D783" t="s">
        <v>20</v>
      </c>
      <c r="E783" t="s">
        <v>66</v>
      </c>
      <c r="F783" t="s">
        <v>244</v>
      </c>
      <c r="G783" t="s">
        <v>245</v>
      </c>
      <c r="H783" t="s">
        <v>24</v>
      </c>
      <c r="I783">
        <v>2855.13</v>
      </c>
      <c r="J783">
        <v>2855.13</v>
      </c>
      <c r="K783">
        <v>2855.13</v>
      </c>
      <c r="L783" t="s">
        <v>25</v>
      </c>
      <c r="M783" t="s">
        <v>132</v>
      </c>
      <c r="N783">
        <v>179055.51762999999</v>
      </c>
      <c r="O783">
        <v>408163098.74268103</v>
      </c>
      <c r="P783" t="str">
        <f>IF(T[[#This Row],[qty_ordered]]&lt;&gt;T[[#This Row],[qty_received]],IF(T[[#This Row],[qty_received]]&gt;0,"Partial Received","Not Receviced"),"FullyReceived")</f>
        <v>FullyReceived</v>
      </c>
      <c r="Q783" t="str">
        <f>IF(T[[#This Row],[qty_received]]&lt;&gt;T[[#This Row],[qty_invoiced]],IF(T[[#This Row],[qty_invoiced]]&gt;0,"Partial Invoiced","Not Invoiced"),"Fully Invoiced")</f>
        <v>Fully Invoiced</v>
      </c>
      <c r="R783" t="str">
        <f>IFERROR(VLOOKUP(T[[#This Row],[warehouse]],Table2[],2,FALSE),"--")</f>
        <v>PZU Main Warehouse</v>
      </c>
    </row>
    <row r="784" spans="1:18" x14ac:dyDescent="0.25">
      <c r="A784" t="s">
        <v>534</v>
      </c>
      <c r="B784" s="1">
        <v>43818</v>
      </c>
      <c r="C784" t="s">
        <v>680</v>
      </c>
      <c r="D784" t="s">
        <v>20</v>
      </c>
      <c r="E784" t="s">
        <v>823</v>
      </c>
      <c r="F784" t="s">
        <v>22</v>
      </c>
      <c r="G784" t="s">
        <v>23</v>
      </c>
      <c r="H784" t="s">
        <v>24</v>
      </c>
      <c r="I784">
        <v>1000</v>
      </c>
      <c r="J784">
        <v>616.86</v>
      </c>
      <c r="K784">
        <v>616.86</v>
      </c>
      <c r="L784" t="s">
        <v>25</v>
      </c>
      <c r="M784" t="s">
        <v>132</v>
      </c>
      <c r="N784">
        <v>50000</v>
      </c>
      <c r="O784">
        <v>30843000</v>
      </c>
      <c r="P784" t="str">
        <f>IF(T[[#This Row],[qty_ordered]]&lt;&gt;T[[#This Row],[qty_received]],IF(T[[#This Row],[qty_received]]&gt;0,"Partial Received","Not Receviced"),"FullyReceived")</f>
        <v>Partial Received</v>
      </c>
      <c r="Q784" t="str">
        <f>IF(T[[#This Row],[qty_received]]&lt;&gt;T[[#This Row],[qty_invoiced]],IF(T[[#This Row],[qty_invoiced]]&gt;0,"Partial Invoiced","Not Invoiced"),"Fully Invoiced")</f>
        <v>Fully Invoiced</v>
      </c>
      <c r="R784" t="str">
        <f>IFERROR(VLOOKUP(T[[#This Row],[warehouse]],Table2[],2,FALSE),"--")</f>
        <v>Crusher - Al haramain</v>
      </c>
    </row>
    <row r="785" spans="1:18" x14ac:dyDescent="0.25">
      <c r="A785" t="s">
        <v>534</v>
      </c>
      <c r="B785" s="1">
        <v>43821</v>
      </c>
      <c r="C785" t="s">
        <v>824</v>
      </c>
      <c r="D785" t="s">
        <v>20</v>
      </c>
      <c r="E785" t="s">
        <v>239</v>
      </c>
      <c r="F785" t="s">
        <v>37</v>
      </c>
      <c r="G785" t="s">
        <v>38</v>
      </c>
      <c r="H785" t="s">
        <v>24</v>
      </c>
      <c r="I785">
        <v>1586.01</v>
      </c>
      <c r="J785">
        <v>1586.01</v>
      </c>
      <c r="K785">
        <v>1586.01</v>
      </c>
      <c r="L785" t="s">
        <v>25</v>
      </c>
      <c r="M785" t="s">
        <v>132</v>
      </c>
      <c r="N785">
        <v>100000</v>
      </c>
      <c r="O785">
        <v>158601000</v>
      </c>
      <c r="P785" t="str">
        <f>IF(T[[#This Row],[qty_ordered]]&lt;&gt;T[[#This Row],[qty_received]],IF(T[[#This Row],[qty_received]]&gt;0,"Partial Received","Not Receviced"),"FullyReceived")</f>
        <v>FullyReceived</v>
      </c>
      <c r="Q785" t="str">
        <f>IF(T[[#This Row],[qty_received]]&lt;&gt;T[[#This Row],[qty_invoiced]],IF(T[[#This Row],[qty_invoiced]]&gt;0,"Partial Invoiced","Not Invoiced"),"Fully Invoiced")</f>
        <v>Fully Invoiced</v>
      </c>
      <c r="R785" t="str">
        <f>IFERROR(VLOOKUP(T[[#This Row],[warehouse]],Table2[],2,FALSE),"--")</f>
        <v xml:space="preserve">Gadarif Main Store </v>
      </c>
    </row>
    <row r="786" spans="1:18" x14ac:dyDescent="0.25">
      <c r="A786" t="s">
        <v>534</v>
      </c>
      <c r="B786" s="1">
        <v>43815</v>
      </c>
      <c r="C786" t="s">
        <v>616</v>
      </c>
      <c r="D786" t="s">
        <v>71</v>
      </c>
      <c r="E786" t="s">
        <v>825</v>
      </c>
      <c r="F786" t="s">
        <v>22</v>
      </c>
      <c r="G786" t="s">
        <v>23</v>
      </c>
      <c r="H786" t="s">
        <v>24</v>
      </c>
      <c r="I786">
        <v>6412.05</v>
      </c>
      <c r="J786">
        <v>6412.05</v>
      </c>
      <c r="K786">
        <v>6412.05</v>
      </c>
      <c r="L786" t="s">
        <v>25</v>
      </c>
      <c r="M786" t="s">
        <v>132</v>
      </c>
      <c r="N786">
        <v>99500</v>
      </c>
      <c r="O786">
        <v>323594980</v>
      </c>
      <c r="P786" t="str">
        <f>IF(T[[#This Row],[qty_ordered]]&lt;&gt;T[[#This Row],[qty_received]],IF(T[[#This Row],[qty_received]]&gt;0,"Partial Received","Not Receviced"),"FullyReceived")</f>
        <v>FullyReceived</v>
      </c>
      <c r="Q786" t="str">
        <f>IF(T[[#This Row],[qty_received]]&lt;&gt;T[[#This Row],[qty_invoiced]],IF(T[[#This Row],[qty_invoiced]]&gt;0,"Partial Invoiced","Not Invoiced"),"Fully Invoiced")</f>
        <v>Fully Invoiced</v>
      </c>
      <c r="R786" t="str">
        <f>IFERROR(VLOOKUP(T[[#This Row],[warehouse]],Table2[],2,FALSE),"--")</f>
        <v>CRUSHER HASABO</v>
      </c>
    </row>
    <row r="787" spans="1:18" x14ac:dyDescent="0.25">
      <c r="A787" t="s">
        <v>153</v>
      </c>
      <c r="B787" s="1">
        <v>43821</v>
      </c>
      <c r="C787" t="s">
        <v>826</v>
      </c>
      <c r="D787" t="s">
        <v>20</v>
      </c>
      <c r="E787" t="s">
        <v>226</v>
      </c>
      <c r="F787" t="s">
        <v>474</v>
      </c>
      <c r="G787" t="s">
        <v>475</v>
      </c>
      <c r="H787" t="s">
        <v>24</v>
      </c>
      <c r="I787">
        <v>500</v>
      </c>
      <c r="J787">
        <v>149.72</v>
      </c>
      <c r="K787">
        <v>149.72</v>
      </c>
      <c r="L787" t="s">
        <v>25</v>
      </c>
      <c r="M787" t="s">
        <v>132</v>
      </c>
      <c r="N787">
        <v>46000</v>
      </c>
      <c r="O787">
        <v>6887120</v>
      </c>
      <c r="P787" t="str">
        <f>IF(T[[#This Row],[qty_ordered]]&lt;&gt;T[[#This Row],[qty_received]],IF(T[[#This Row],[qty_received]]&gt;0,"Partial Received","Not Receviced"),"FullyReceived")</f>
        <v>Partial Received</v>
      </c>
      <c r="Q787" t="str">
        <f>IF(T[[#This Row],[qty_received]]&lt;&gt;T[[#This Row],[qty_invoiced]],IF(T[[#This Row],[qty_invoiced]]&gt;0,"Partial Invoiced","Not Invoiced"),"Fully Invoiced")</f>
        <v>Fully Invoiced</v>
      </c>
      <c r="R787" t="str">
        <f>IFERROR(VLOOKUP(T[[#This Row],[warehouse]],Table2[],2,FALSE),"--")</f>
        <v>Karrar Sorting and Sifting - OMD</v>
      </c>
    </row>
    <row r="788" spans="1:18" x14ac:dyDescent="0.25">
      <c r="A788" t="s">
        <v>539</v>
      </c>
      <c r="B788" s="1">
        <v>43794</v>
      </c>
      <c r="C788" t="s">
        <v>540</v>
      </c>
      <c r="D788" t="s">
        <v>100</v>
      </c>
      <c r="E788" t="s">
        <v>146</v>
      </c>
      <c r="F788" t="s">
        <v>86</v>
      </c>
      <c r="G788" t="s">
        <v>87</v>
      </c>
      <c r="H788" t="s">
        <v>24</v>
      </c>
      <c r="I788">
        <v>500</v>
      </c>
      <c r="J788">
        <v>343.46</v>
      </c>
      <c r="K788">
        <v>343.46</v>
      </c>
      <c r="L788" t="s">
        <v>25</v>
      </c>
      <c r="M788" t="s">
        <v>132</v>
      </c>
      <c r="N788">
        <v>90112.5</v>
      </c>
      <c r="O788">
        <v>30950039.25</v>
      </c>
      <c r="P788" t="str">
        <f>IF(T[[#This Row],[qty_ordered]]&lt;&gt;T[[#This Row],[qty_received]],IF(T[[#This Row],[qty_received]]&gt;0,"Partial Received","Not Receviced"),"FullyReceived")</f>
        <v>Partial Received</v>
      </c>
      <c r="Q788" t="str">
        <f>IF(T[[#This Row],[qty_received]]&lt;&gt;T[[#This Row],[qty_invoiced]],IF(T[[#This Row],[qty_invoiced]]&gt;0,"Partial Invoiced","Not Invoiced"),"Fully Invoiced")</f>
        <v>Fully Invoiced</v>
      </c>
      <c r="R788" t="str">
        <f>IFERROR(VLOOKUP(T[[#This Row],[warehouse]],Table2[],2,FALSE),"--")</f>
        <v>Khtoum Main Warehouse</v>
      </c>
    </row>
    <row r="789" spans="1:18" x14ac:dyDescent="0.25">
      <c r="A789" t="s">
        <v>539</v>
      </c>
      <c r="B789" s="1">
        <v>43794</v>
      </c>
      <c r="C789" t="s">
        <v>540</v>
      </c>
      <c r="D789" t="s">
        <v>88</v>
      </c>
      <c r="E789" t="s">
        <v>553</v>
      </c>
      <c r="F789" t="s">
        <v>86</v>
      </c>
      <c r="G789" t="s">
        <v>87</v>
      </c>
      <c r="H789" t="s">
        <v>24</v>
      </c>
      <c r="I789">
        <v>500</v>
      </c>
      <c r="J789">
        <v>0</v>
      </c>
      <c r="K789">
        <v>0</v>
      </c>
      <c r="L789" t="s">
        <v>25</v>
      </c>
      <c r="M789" t="s">
        <v>132</v>
      </c>
      <c r="N789">
        <v>90112.5</v>
      </c>
      <c r="O789">
        <v>0</v>
      </c>
      <c r="P789" t="str">
        <f>IF(T[[#This Row],[qty_ordered]]&lt;&gt;T[[#This Row],[qty_received]],IF(T[[#This Row],[qty_received]]&gt;0,"Partial Received","Not Receviced"),"FullyReceived")</f>
        <v>Not Receviced</v>
      </c>
      <c r="Q789" t="str">
        <f>IF(T[[#This Row],[qty_received]]&lt;&gt;T[[#This Row],[qty_invoiced]],IF(T[[#This Row],[qty_invoiced]]&gt;0,"Partial Invoiced","Not Invoiced"),"Fully Invoiced")</f>
        <v>Fully Invoiced</v>
      </c>
      <c r="R789" t="str">
        <f>IFERROR(VLOOKUP(T[[#This Row],[warehouse]],Table2[],2,FALSE),"--")</f>
        <v>SIFTING HMA-SOBA</v>
      </c>
    </row>
    <row r="790" spans="1:18" x14ac:dyDescent="0.25">
      <c r="A790" t="s">
        <v>534</v>
      </c>
      <c r="B790" s="1">
        <v>43815</v>
      </c>
      <c r="C790" t="s">
        <v>827</v>
      </c>
      <c r="D790" t="s">
        <v>20</v>
      </c>
      <c r="E790" t="s">
        <v>192</v>
      </c>
      <c r="F790" t="s">
        <v>47</v>
      </c>
      <c r="G790" t="s">
        <v>48</v>
      </c>
      <c r="H790" t="s">
        <v>24</v>
      </c>
      <c r="I790">
        <v>1000</v>
      </c>
      <c r="J790">
        <v>0</v>
      </c>
      <c r="K790">
        <v>0</v>
      </c>
      <c r="L790" t="s">
        <v>25</v>
      </c>
      <c r="M790" t="s">
        <v>132</v>
      </c>
      <c r="N790">
        <v>89000</v>
      </c>
      <c r="O790">
        <v>0</v>
      </c>
      <c r="P790" t="str">
        <f>IF(T[[#This Row],[qty_ordered]]&lt;&gt;T[[#This Row],[qty_received]],IF(T[[#This Row],[qty_received]]&gt;0,"Partial Received","Not Receviced"),"FullyReceived")</f>
        <v>Not Receviced</v>
      </c>
      <c r="Q790" t="str">
        <f>IF(T[[#This Row],[qty_received]]&lt;&gt;T[[#This Row],[qty_invoiced]],IF(T[[#This Row],[qty_invoiced]]&gt;0,"Partial Invoiced","Not Invoiced"),"Fully Invoiced")</f>
        <v>Fully Invoiced</v>
      </c>
      <c r="R790" t="str">
        <f>IFERROR(VLOOKUP(T[[#This Row],[warehouse]],Table2[],2,FALSE),"--")</f>
        <v>BAYADER SIFTER-OMD</v>
      </c>
    </row>
    <row r="791" spans="1:18" x14ac:dyDescent="0.25">
      <c r="A791" t="s">
        <v>828</v>
      </c>
      <c r="B791" s="1">
        <v>43816</v>
      </c>
      <c r="C791" t="s">
        <v>829</v>
      </c>
      <c r="D791" t="s">
        <v>20</v>
      </c>
      <c r="E791" t="s">
        <v>548</v>
      </c>
      <c r="F791" t="s">
        <v>167</v>
      </c>
      <c r="G791" t="s">
        <v>156</v>
      </c>
      <c r="H791" t="s">
        <v>24</v>
      </c>
      <c r="I791">
        <v>500.69</v>
      </c>
      <c r="J791">
        <v>500.69</v>
      </c>
      <c r="K791">
        <v>500.69</v>
      </c>
      <c r="L791" t="s">
        <v>25</v>
      </c>
      <c r="M791" t="s">
        <v>132</v>
      </c>
      <c r="N791">
        <v>105000</v>
      </c>
      <c r="O791">
        <v>52572450</v>
      </c>
      <c r="P791" t="str">
        <f>IF(T[[#This Row],[qty_ordered]]&lt;&gt;T[[#This Row],[qty_received]],IF(T[[#This Row],[qty_received]]&gt;0,"Partial Received","Not Receviced"),"FullyReceived")</f>
        <v>FullyReceived</v>
      </c>
      <c r="Q791" t="str">
        <f>IF(T[[#This Row],[qty_received]]&lt;&gt;T[[#This Row],[qty_invoiced]],IF(T[[#This Row],[qty_invoiced]]&gt;0,"Partial Invoiced","Not Invoiced"),"Fully Invoiced")</f>
        <v>Fully Invoiced</v>
      </c>
      <c r="R791" t="str">
        <f>IFERROR(VLOOKUP(T[[#This Row],[warehouse]],Table2[],2,FALSE),"--")</f>
        <v>Crusher Almosaly-ALB</v>
      </c>
    </row>
    <row r="792" spans="1:18" x14ac:dyDescent="0.25">
      <c r="A792" t="s">
        <v>84</v>
      </c>
      <c r="B792" s="1">
        <v>43786</v>
      </c>
      <c r="C792" t="s">
        <v>830</v>
      </c>
      <c r="D792" t="s">
        <v>71</v>
      </c>
      <c r="E792" t="s">
        <v>162</v>
      </c>
      <c r="F792" t="s">
        <v>108</v>
      </c>
      <c r="G792" t="s">
        <v>109</v>
      </c>
      <c r="H792" t="s">
        <v>24</v>
      </c>
      <c r="I792">
        <v>500</v>
      </c>
      <c r="J792">
        <v>0</v>
      </c>
      <c r="K792">
        <v>0</v>
      </c>
      <c r="L792" t="s">
        <v>25</v>
      </c>
      <c r="M792" t="s">
        <v>132</v>
      </c>
      <c r="N792">
        <v>84310</v>
      </c>
      <c r="O792">
        <v>0</v>
      </c>
      <c r="P792" t="str">
        <f>IF(T[[#This Row],[qty_ordered]]&lt;&gt;T[[#This Row],[qty_received]],IF(T[[#This Row],[qty_received]]&gt;0,"Partial Received","Not Receviced"),"FullyReceived")</f>
        <v>Not Receviced</v>
      </c>
      <c r="Q792" t="str">
        <f>IF(T[[#This Row],[qty_received]]&lt;&gt;T[[#This Row],[qty_invoiced]],IF(T[[#This Row],[qty_invoiced]]&gt;0,"Partial Invoiced","Not Invoiced"),"Fully Invoiced")</f>
        <v>Fully Invoiced</v>
      </c>
      <c r="R792" t="str">
        <f>IFERROR(VLOOKUP(T[[#This Row],[warehouse]],Table2[],2,FALSE),"--")</f>
        <v>Sifters Mahasilna</v>
      </c>
    </row>
    <row r="793" spans="1:18" x14ac:dyDescent="0.25">
      <c r="A793" t="s">
        <v>618</v>
      </c>
      <c r="B793" s="1">
        <v>43818</v>
      </c>
      <c r="C793" t="s">
        <v>619</v>
      </c>
      <c r="D793" t="s">
        <v>20</v>
      </c>
      <c r="E793" t="s">
        <v>146</v>
      </c>
      <c r="F793" t="s">
        <v>86</v>
      </c>
      <c r="G793" t="s">
        <v>87</v>
      </c>
      <c r="H793" t="s">
        <v>24</v>
      </c>
      <c r="I793">
        <v>1536.95</v>
      </c>
      <c r="J793">
        <v>1536.95</v>
      </c>
      <c r="K793">
        <v>1536.95</v>
      </c>
      <c r="L793" t="s">
        <v>25</v>
      </c>
      <c r="M793" t="s">
        <v>132</v>
      </c>
      <c r="N793">
        <v>91225</v>
      </c>
      <c r="O793">
        <v>140208263.75</v>
      </c>
      <c r="P793" t="str">
        <f>IF(T[[#This Row],[qty_ordered]]&lt;&gt;T[[#This Row],[qty_received]],IF(T[[#This Row],[qty_received]]&gt;0,"Partial Received","Not Receviced"),"FullyReceived")</f>
        <v>FullyReceived</v>
      </c>
      <c r="Q793" t="str">
        <f>IF(T[[#This Row],[qty_received]]&lt;&gt;T[[#This Row],[qty_invoiced]],IF(T[[#This Row],[qty_invoiced]]&gt;0,"Partial Invoiced","Not Invoiced"),"Fully Invoiced")</f>
        <v>Fully Invoiced</v>
      </c>
      <c r="R793" t="str">
        <f>IFERROR(VLOOKUP(T[[#This Row],[warehouse]],Table2[],2,FALSE),"--")</f>
        <v>Khtoum Main Warehouse</v>
      </c>
    </row>
    <row r="794" spans="1:18" x14ac:dyDescent="0.25">
      <c r="A794" t="s">
        <v>534</v>
      </c>
      <c r="B794" s="1">
        <v>43821</v>
      </c>
      <c r="C794" t="s">
        <v>831</v>
      </c>
      <c r="D794" t="s">
        <v>20</v>
      </c>
      <c r="E794" t="s">
        <v>405</v>
      </c>
      <c r="F794" t="s">
        <v>341</v>
      </c>
      <c r="G794" t="s">
        <v>342</v>
      </c>
      <c r="H794" t="s">
        <v>24</v>
      </c>
      <c r="I794">
        <v>1839.9079999999999</v>
      </c>
      <c r="J794">
        <v>1839.9079999999999</v>
      </c>
      <c r="K794">
        <v>1839.9079999999999</v>
      </c>
      <c r="L794" t="s">
        <v>25</v>
      </c>
      <c r="M794" t="s">
        <v>132</v>
      </c>
      <c r="N794">
        <v>39285.714286000002</v>
      </c>
      <c r="O794">
        <v>72282100.000525698</v>
      </c>
      <c r="P794" t="str">
        <f>IF(T[[#This Row],[qty_ordered]]&lt;&gt;T[[#This Row],[qty_received]],IF(T[[#This Row],[qty_received]]&gt;0,"Partial Received","Not Receviced"),"FullyReceived")</f>
        <v>FullyReceived</v>
      </c>
      <c r="Q794" t="str">
        <f>IF(T[[#This Row],[qty_received]]&lt;&gt;T[[#This Row],[qty_invoiced]],IF(T[[#This Row],[qty_invoiced]]&gt;0,"Partial Invoiced","Not Invoiced"),"Fully Invoiced")</f>
        <v>Fully Invoiced</v>
      </c>
      <c r="R794" t="str">
        <f>IFERROR(VLOOKUP(T[[#This Row],[warehouse]],Table2[],2,FALSE),"--")</f>
        <v>GINNING ISHRAG-MDNI</v>
      </c>
    </row>
    <row r="795" spans="1:18" x14ac:dyDescent="0.25">
      <c r="A795" t="s">
        <v>269</v>
      </c>
      <c r="B795" s="1">
        <v>43828</v>
      </c>
      <c r="C795" t="s">
        <v>807</v>
      </c>
      <c r="D795" t="s">
        <v>20</v>
      </c>
      <c r="E795" t="s">
        <v>51</v>
      </c>
      <c r="F795" t="s">
        <v>183</v>
      </c>
      <c r="G795" t="s">
        <v>183</v>
      </c>
      <c r="H795" t="s">
        <v>54</v>
      </c>
      <c r="I795">
        <v>500</v>
      </c>
      <c r="J795">
        <v>0</v>
      </c>
      <c r="K795">
        <v>1</v>
      </c>
      <c r="L795" t="s">
        <v>25</v>
      </c>
      <c r="M795" t="s">
        <v>533</v>
      </c>
      <c r="N795">
        <v>600</v>
      </c>
      <c r="O795">
        <v>0</v>
      </c>
      <c r="P795" t="str">
        <f>IF(T[[#This Row],[qty_ordered]]&lt;&gt;T[[#This Row],[qty_received]],IF(T[[#This Row],[qty_received]]&gt;0,"Partial Received","Not Receviced"),"FullyReceived")</f>
        <v>Not Receviced</v>
      </c>
      <c r="Q795" t="str">
        <f>IF(T[[#This Row],[qty_received]]&lt;&gt;T[[#This Row],[qty_invoiced]],IF(T[[#This Row],[qty_invoiced]]&gt;0,"Partial Invoiced","Not Invoiced"),"Fully Invoiced")</f>
        <v>Partial Invoiced</v>
      </c>
      <c r="R795" t="str">
        <f>IFERROR(VLOOKUP(T[[#This Row],[warehouse]],Table2[],2,FALSE),"--")</f>
        <v>--</v>
      </c>
    </row>
    <row r="796" spans="1:18" x14ac:dyDescent="0.25">
      <c r="A796" t="s">
        <v>534</v>
      </c>
      <c r="B796" s="1">
        <v>43818</v>
      </c>
      <c r="C796" t="s">
        <v>680</v>
      </c>
      <c r="D796" t="s">
        <v>88</v>
      </c>
      <c r="E796" t="s">
        <v>629</v>
      </c>
      <c r="F796" t="s">
        <v>22</v>
      </c>
      <c r="G796" t="s">
        <v>23</v>
      </c>
      <c r="H796" t="s">
        <v>24</v>
      </c>
      <c r="I796">
        <v>3243.36</v>
      </c>
      <c r="J796">
        <v>3243.36</v>
      </c>
      <c r="K796">
        <v>3243.36</v>
      </c>
      <c r="L796" t="s">
        <v>25</v>
      </c>
      <c r="M796" t="s">
        <v>132</v>
      </c>
      <c r="N796">
        <v>87000</v>
      </c>
      <c r="O796">
        <v>167239960</v>
      </c>
      <c r="P796" t="str">
        <f>IF(T[[#This Row],[qty_ordered]]&lt;&gt;T[[#This Row],[qty_received]],IF(T[[#This Row],[qty_received]]&gt;0,"Partial Received","Not Receviced"),"FullyReceived")</f>
        <v>FullyReceived</v>
      </c>
      <c r="Q796" t="str">
        <f>IF(T[[#This Row],[qty_received]]&lt;&gt;T[[#This Row],[qty_invoiced]],IF(T[[#This Row],[qty_invoiced]]&gt;0,"Partial Invoiced","Not Invoiced"),"Fully Invoiced")</f>
        <v>Fully Invoiced</v>
      </c>
      <c r="R796" t="str">
        <f>IFERROR(VLOOKUP(T[[#This Row],[warehouse]],Table2[],2,FALSE),"--")</f>
        <v>SOPC Sifting &amp; Sorting</v>
      </c>
    </row>
    <row r="797" spans="1:18" x14ac:dyDescent="0.25">
      <c r="A797" t="s">
        <v>228</v>
      </c>
      <c r="B797" s="1">
        <v>43816</v>
      </c>
      <c r="C797" t="s">
        <v>832</v>
      </c>
      <c r="D797" t="s">
        <v>71</v>
      </c>
      <c r="E797" t="s">
        <v>833</v>
      </c>
      <c r="F797" t="s">
        <v>196</v>
      </c>
      <c r="G797" t="s">
        <v>197</v>
      </c>
      <c r="H797" t="s">
        <v>24</v>
      </c>
      <c r="I797">
        <v>5044.8500000000004</v>
      </c>
      <c r="J797">
        <v>5044.8500000000004</v>
      </c>
      <c r="K797">
        <v>5044.8500000000004</v>
      </c>
      <c r="L797" t="s">
        <v>25</v>
      </c>
      <c r="M797" t="s">
        <v>132</v>
      </c>
      <c r="N797">
        <v>39210</v>
      </c>
      <c r="O797">
        <v>100897000</v>
      </c>
      <c r="P797" t="str">
        <f>IF(T[[#This Row],[qty_ordered]]&lt;&gt;T[[#This Row],[qty_received]],IF(T[[#This Row],[qty_received]]&gt;0,"Partial Received","Not Receviced"),"FullyReceived")</f>
        <v>FullyReceived</v>
      </c>
      <c r="Q797" t="str">
        <f>IF(T[[#This Row],[qty_received]]&lt;&gt;T[[#This Row],[qty_invoiced]],IF(T[[#This Row],[qty_invoiced]]&gt;0,"Partial Invoiced","Not Invoiced"),"Fully Invoiced")</f>
        <v>Fully Invoiced</v>
      </c>
      <c r="R797" t="str">
        <f>IFERROR(VLOOKUP(T[[#This Row],[warehouse]],Table2[],2,FALSE),"--")</f>
        <v>CROPS MARKET-GDARIF</v>
      </c>
    </row>
    <row r="798" spans="1:18" x14ac:dyDescent="0.25">
      <c r="A798" t="s">
        <v>618</v>
      </c>
      <c r="B798" s="1">
        <v>43818</v>
      </c>
      <c r="C798" t="s">
        <v>619</v>
      </c>
      <c r="D798" t="s">
        <v>71</v>
      </c>
      <c r="E798" t="s">
        <v>192</v>
      </c>
      <c r="F798" t="s">
        <v>86</v>
      </c>
      <c r="G798" t="s">
        <v>87</v>
      </c>
      <c r="H798" t="s">
        <v>24</v>
      </c>
      <c r="I798">
        <v>500</v>
      </c>
      <c r="J798">
        <v>278.95</v>
      </c>
      <c r="K798">
        <v>278.95</v>
      </c>
      <c r="L798" t="s">
        <v>25</v>
      </c>
      <c r="M798" t="s">
        <v>132</v>
      </c>
      <c r="N798">
        <v>91225</v>
      </c>
      <c r="O798">
        <v>25447213.75</v>
      </c>
      <c r="P798" t="str">
        <f>IF(T[[#This Row],[qty_ordered]]&lt;&gt;T[[#This Row],[qty_received]],IF(T[[#This Row],[qty_received]]&gt;0,"Partial Received","Not Receviced"),"FullyReceived")</f>
        <v>Partial Received</v>
      </c>
      <c r="Q798" t="str">
        <f>IF(T[[#This Row],[qty_received]]&lt;&gt;T[[#This Row],[qty_invoiced]],IF(T[[#This Row],[qty_invoiced]]&gt;0,"Partial Invoiced","Not Invoiced"),"Fully Invoiced")</f>
        <v>Fully Invoiced</v>
      </c>
      <c r="R798" t="str">
        <f>IFERROR(VLOOKUP(T[[#This Row],[warehouse]],Table2[],2,FALSE),"--")</f>
        <v>BAYADER SIFTER-OMD</v>
      </c>
    </row>
    <row r="799" spans="1:18" x14ac:dyDescent="0.25">
      <c r="A799" t="s">
        <v>224</v>
      </c>
      <c r="B799" s="1">
        <v>43796</v>
      </c>
      <c r="C799" t="s">
        <v>541</v>
      </c>
      <c r="D799" t="s">
        <v>71</v>
      </c>
      <c r="E799" t="s">
        <v>51</v>
      </c>
      <c r="F799" t="s">
        <v>183</v>
      </c>
      <c r="G799" t="s">
        <v>183</v>
      </c>
      <c r="H799" t="s">
        <v>54</v>
      </c>
      <c r="I799">
        <v>681.56</v>
      </c>
      <c r="J799">
        <v>0</v>
      </c>
      <c r="K799">
        <v>1</v>
      </c>
      <c r="L799" t="s">
        <v>25</v>
      </c>
      <c r="M799" t="s">
        <v>359</v>
      </c>
      <c r="N799">
        <v>750</v>
      </c>
      <c r="O799">
        <v>0</v>
      </c>
      <c r="P799" t="str">
        <f>IF(T[[#This Row],[qty_ordered]]&lt;&gt;T[[#This Row],[qty_received]],IF(T[[#This Row],[qty_received]]&gt;0,"Partial Received","Not Receviced"),"FullyReceived")</f>
        <v>Not Receviced</v>
      </c>
      <c r="Q799" t="str">
        <f>IF(T[[#This Row],[qty_received]]&lt;&gt;T[[#This Row],[qty_invoiced]],IF(T[[#This Row],[qty_invoiced]]&gt;0,"Partial Invoiced","Not Invoiced"),"Fully Invoiced")</f>
        <v>Partial Invoiced</v>
      </c>
      <c r="R799" t="str">
        <f>IFERROR(VLOOKUP(T[[#This Row],[warehouse]],Table2[],2,FALSE),"--")</f>
        <v>--</v>
      </c>
    </row>
    <row r="800" spans="1:18" x14ac:dyDescent="0.25">
      <c r="A800" t="s">
        <v>160</v>
      </c>
      <c r="B800" s="1">
        <v>43507</v>
      </c>
      <c r="C800" t="s">
        <v>258</v>
      </c>
      <c r="D800" t="s">
        <v>88</v>
      </c>
      <c r="E800" t="s">
        <v>51</v>
      </c>
      <c r="F800" t="s">
        <v>52</v>
      </c>
      <c r="G800" t="s">
        <v>75</v>
      </c>
      <c r="H800" t="s">
        <v>54</v>
      </c>
      <c r="I800">
        <v>3140.88</v>
      </c>
      <c r="J800">
        <v>0</v>
      </c>
      <c r="K800">
        <v>0</v>
      </c>
      <c r="L800" t="s">
        <v>25</v>
      </c>
      <c r="M800" t="s">
        <v>26</v>
      </c>
      <c r="N800">
        <v>5894.25</v>
      </c>
      <c r="O800">
        <v>0</v>
      </c>
      <c r="P800" t="str">
        <f>IF(T[[#This Row],[qty_ordered]]&lt;&gt;T[[#This Row],[qty_received]],IF(T[[#This Row],[qty_received]]&gt;0,"Partial Received","Not Receviced"),"FullyReceived")</f>
        <v>Not Receviced</v>
      </c>
      <c r="Q800" t="str">
        <f>IF(T[[#This Row],[qty_received]]&lt;&gt;T[[#This Row],[qty_invoiced]],IF(T[[#This Row],[qty_invoiced]]&gt;0,"Partial Invoiced","Not Invoiced"),"Fully Invoiced")</f>
        <v>Fully Invoiced</v>
      </c>
      <c r="R800" t="str">
        <f>IFERROR(VLOOKUP(T[[#This Row],[warehouse]],Table2[],2,FALSE),"--")</f>
        <v>--</v>
      </c>
    </row>
    <row r="801" spans="1:18" x14ac:dyDescent="0.25">
      <c r="A801" t="s">
        <v>160</v>
      </c>
      <c r="B801" s="1">
        <v>43534</v>
      </c>
      <c r="C801" t="s">
        <v>403</v>
      </c>
      <c r="D801" t="s">
        <v>71</v>
      </c>
      <c r="E801" t="s">
        <v>51</v>
      </c>
      <c r="F801" t="s">
        <v>52</v>
      </c>
      <c r="G801" t="s">
        <v>53</v>
      </c>
      <c r="H801" t="s">
        <v>54</v>
      </c>
      <c r="I801">
        <v>947.01199999999994</v>
      </c>
      <c r="J801">
        <v>0</v>
      </c>
      <c r="K801">
        <v>0</v>
      </c>
      <c r="L801" t="s">
        <v>25</v>
      </c>
      <c r="M801" t="s">
        <v>26</v>
      </c>
      <c r="N801">
        <v>7480.46</v>
      </c>
      <c r="O801">
        <v>0</v>
      </c>
      <c r="P801" t="str">
        <f>IF(T[[#This Row],[qty_ordered]]&lt;&gt;T[[#This Row],[qty_received]],IF(T[[#This Row],[qty_received]]&gt;0,"Partial Received","Not Receviced"),"FullyReceived")</f>
        <v>Not Receviced</v>
      </c>
      <c r="Q801" t="str">
        <f>IF(T[[#This Row],[qty_received]]&lt;&gt;T[[#This Row],[qty_invoiced]],IF(T[[#This Row],[qty_invoiced]]&gt;0,"Partial Invoiced","Not Invoiced"),"Fully Invoiced")</f>
        <v>Fully Invoiced</v>
      </c>
      <c r="R801" t="str">
        <f>IFERROR(VLOOKUP(T[[#This Row],[warehouse]],Table2[],2,FALSE),"--")</f>
        <v>--</v>
      </c>
    </row>
    <row r="802" spans="1:18" x14ac:dyDescent="0.25">
      <c r="A802" t="s">
        <v>228</v>
      </c>
      <c r="B802" s="1">
        <v>43816</v>
      </c>
      <c r="C802" t="s">
        <v>832</v>
      </c>
      <c r="D802" t="s">
        <v>20</v>
      </c>
      <c r="E802" t="s">
        <v>621</v>
      </c>
      <c r="F802" t="s">
        <v>196</v>
      </c>
      <c r="G802" t="s">
        <v>197</v>
      </c>
      <c r="H802" t="s">
        <v>24</v>
      </c>
      <c r="I802">
        <v>15365.602999999999</v>
      </c>
      <c r="J802">
        <v>15365.602999999999</v>
      </c>
      <c r="K802">
        <v>15365.602999999999</v>
      </c>
      <c r="L802" t="s">
        <v>25</v>
      </c>
      <c r="M802" t="s">
        <v>132</v>
      </c>
      <c r="N802">
        <v>20000</v>
      </c>
      <c r="O802">
        <v>307312060</v>
      </c>
      <c r="P802" t="str">
        <f>IF(T[[#This Row],[qty_ordered]]&lt;&gt;T[[#This Row],[qty_received]],IF(T[[#This Row],[qty_received]]&gt;0,"Partial Received","Not Receviced"),"FullyReceived")</f>
        <v>FullyReceived</v>
      </c>
      <c r="Q802" t="str">
        <f>IF(T[[#This Row],[qty_received]]&lt;&gt;T[[#This Row],[qty_invoiced]],IF(T[[#This Row],[qty_invoiced]]&gt;0,"Partial Invoiced","Not Invoiced"),"Fully Invoiced")</f>
        <v>Fully Invoiced</v>
      </c>
      <c r="R802" t="str">
        <f>IFERROR(VLOOKUP(T[[#This Row],[warehouse]],Table2[],2,FALSE),"--")</f>
        <v>SIFTER CONCRETE SILO</v>
      </c>
    </row>
    <row r="803" spans="1:18" x14ac:dyDescent="0.25">
      <c r="A803" t="s">
        <v>534</v>
      </c>
      <c r="B803" s="1">
        <v>43818</v>
      </c>
      <c r="C803" t="s">
        <v>834</v>
      </c>
      <c r="D803" t="s">
        <v>20</v>
      </c>
      <c r="E803" t="s">
        <v>239</v>
      </c>
      <c r="F803" t="s">
        <v>37</v>
      </c>
      <c r="G803" t="s">
        <v>38</v>
      </c>
      <c r="H803" t="s">
        <v>24</v>
      </c>
      <c r="I803">
        <v>1177.82</v>
      </c>
      <c r="J803">
        <v>1177.82</v>
      </c>
      <c r="K803">
        <v>1177.82</v>
      </c>
      <c r="L803" t="s">
        <v>25</v>
      </c>
      <c r="M803" t="s">
        <v>132</v>
      </c>
      <c r="N803">
        <v>91893</v>
      </c>
      <c r="O803">
        <v>108233413.26000001</v>
      </c>
      <c r="P803" t="str">
        <f>IF(T[[#This Row],[qty_ordered]]&lt;&gt;T[[#This Row],[qty_received]],IF(T[[#This Row],[qty_received]]&gt;0,"Partial Received","Not Receviced"),"FullyReceived")</f>
        <v>FullyReceived</v>
      </c>
      <c r="Q803" t="str">
        <f>IF(T[[#This Row],[qty_received]]&lt;&gt;T[[#This Row],[qty_invoiced]],IF(T[[#This Row],[qty_invoiced]]&gt;0,"Partial Invoiced","Not Invoiced"),"Fully Invoiced")</f>
        <v>Fully Invoiced</v>
      </c>
      <c r="R803" t="str">
        <f>IFERROR(VLOOKUP(T[[#This Row],[warehouse]],Table2[],2,FALSE),"--")</f>
        <v xml:space="preserve">Gadarif Main Store </v>
      </c>
    </row>
    <row r="804" spans="1:18" x14ac:dyDescent="0.25">
      <c r="A804" t="s">
        <v>534</v>
      </c>
      <c r="B804" s="1">
        <v>43818</v>
      </c>
      <c r="C804" t="s">
        <v>835</v>
      </c>
      <c r="D804" t="s">
        <v>20</v>
      </c>
      <c r="E804" t="s">
        <v>111</v>
      </c>
      <c r="F804" t="s">
        <v>47</v>
      </c>
      <c r="G804" t="s">
        <v>48</v>
      </c>
      <c r="H804" t="s">
        <v>24</v>
      </c>
      <c r="I804">
        <v>2000</v>
      </c>
      <c r="J804">
        <v>1223.6600000000001</v>
      </c>
      <c r="K804">
        <v>1223.6600000000001</v>
      </c>
      <c r="L804" t="s">
        <v>25</v>
      </c>
      <c r="M804" t="s">
        <v>132</v>
      </c>
      <c r="N804">
        <v>92894</v>
      </c>
      <c r="O804">
        <v>113670672.04000001</v>
      </c>
      <c r="P804" t="str">
        <f>IF(T[[#This Row],[qty_ordered]]&lt;&gt;T[[#This Row],[qty_received]],IF(T[[#This Row],[qty_received]]&gt;0,"Partial Received","Not Receviced"),"FullyReceived")</f>
        <v>Partial Received</v>
      </c>
      <c r="Q804" t="str">
        <f>IF(T[[#This Row],[qty_received]]&lt;&gt;T[[#This Row],[qty_invoiced]],IF(T[[#This Row],[qty_invoiced]]&gt;0,"Partial Invoiced","Not Invoiced"),"Fully Invoiced")</f>
        <v>Fully Invoiced</v>
      </c>
      <c r="R804" t="str">
        <f>IFERROR(VLOOKUP(T[[#This Row],[warehouse]],Table2[],2,FALSE),"--")</f>
        <v>Sifting PZU-Al Jawhra</v>
      </c>
    </row>
    <row r="805" spans="1:18" x14ac:dyDescent="0.25">
      <c r="A805" t="s">
        <v>534</v>
      </c>
      <c r="B805" s="1">
        <v>43818</v>
      </c>
      <c r="C805" t="s">
        <v>836</v>
      </c>
      <c r="D805" t="s">
        <v>20</v>
      </c>
      <c r="E805" t="s">
        <v>30</v>
      </c>
      <c r="F805" t="s">
        <v>22</v>
      </c>
      <c r="G805" t="s">
        <v>23</v>
      </c>
      <c r="H805" t="s">
        <v>24</v>
      </c>
      <c r="I805">
        <v>220</v>
      </c>
      <c r="J805">
        <v>212.88</v>
      </c>
      <c r="K805">
        <v>212.88</v>
      </c>
      <c r="L805" t="s">
        <v>25</v>
      </c>
      <c r="M805" t="s">
        <v>132</v>
      </c>
      <c r="N805">
        <v>55000</v>
      </c>
      <c r="O805">
        <v>11708400</v>
      </c>
      <c r="P805" t="str">
        <f>IF(T[[#This Row],[qty_ordered]]&lt;&gt;T[[#This Row],[qty_received]],IF(T[[#This Row],[qty_received]]&gt;0,"Partial Received","Not Receviced"),"FullyReceived")</f>
        <v>Partial Received</v>
      </c>
      <c r="Q805" t="str">
        <f>IF(T[[#This Row],[qty_received]]&lt;&gt;T[[#This Row],[qty_invoiced]],IF(T[[#This Row],[qty_invoiced]]&gt;0,"Partial Invoiced","Not Invoiced"),"Fully Invoiced")</f>
        <v>Fully Invoiced</v>
      </c>
      <c r="R805" t="str">
        <f>IFERROR(VLOOKUP(T[[#This Row],[warehouse]],Table2[],2,FALSE),"--")</f>
        <v>Crusher KHA- SMA</v>
      </c>
    </row>
    <row r="806" spans="1:18" x14ac:dyDescent="0.25">
      <c r="A806" t="s">
        <v>224</v>
      </c>
      <c r="B806" s="1">
        <v>43832</v>
      </c>
      <c r="C806" t="s">
        <v>224</v>
      </c>
      <c r="D806" t="s">
        <v>20</v>
      </c>
      <c r="E806" t="s">
        <v>51</v>
      </c>
      <c r="F806" t="s">
        <v>183</v>
      </c>
      <c r="G806" t="s">
        <v>183</v>
      </c>
      <c r="H806" t="s">
        <v>54</v>
      </c>
      <c r="I806">
        <v>124.07</v>
      </c>
      <c r="J806">
        <v>0</v>
      </c>
      <c r="K806">
        <v>0</v>
      </c>
      <c r="L806" t="s">
        <v>59</v>
      </c>
      <c r="M806" t="s">
        <v>359</v>
      </c>
      <c r="N806">
        <v>750</v>
      </c>
      <c r="O806">
        <v>0</v>
      </c>
      <c r="P806" t="str">
        <f>IF(T[[#This Row],[qty_ordered]]&lt;&gt;T[[#This Row],[qty_received]],IF(T[[#This Row],[qty_received]]&gt;0,"Partial Received","Not Receviced"),"FullyReceived")</f>
        <v>Not Receviced</v>
      </c>
      <c r="Q806" t="str">
        <f>IF(T[[#This Row],[qty_received]]&lt;&gt;T[[#This Row],[qty_invoiced]],IF(T[[#This Row],[qty_invoiced]]&gt;0,"Partial Invoiced","Not Invoiced"),"Fully Invoiced")</f>
        <v>Fully Invoiced</v>
      </c>
      <c r="R806" t="str">
        <f>IFERROR(VLOOKUP(T[[#This Row],[warehouse]],Table2[],2,FALSE),"--")</f>
        <v>--</v>
      </c>
    </row>
    <row r="807" spans="1:18" x14ac:dyDescent="0.25">
      <c r="A807" t="s">
        <v>534</v>
      </c>
      <c r="B807" s="1">
        <v>43793</v>
      </c>
      <c r="C807" t="s">
        <v>538</v>
      </c>
      <c r="D807" t="s">
        <v>71</v>
      </c>
      <c r="E807" t="s">
        <v>162</v>
      </c>
      <c r="F807" t="s">
        <v>41</v>
      </c>
      <c r="G807" t="s">
        <v>42</v>
      </c>
      <c r="H807" t="s">
        <v>24</v>
      </c>
      <c r="I807">
        <v>1000</v>
      </c>
      <c r="J807">
        <v>284.14</v>
      </c>
      <c r="K807">
        <v>284.14</v>
      </c>
      <c r="L807" t="s">
        <v>25</v>
      </c>
      <c r="M807" t="s">
        <v>132</v>
      </c>
      <c r="N807">
        <v>84550</v>
      </c>
      <c r="O807">
        <v>24024037</v>
      </c>
      <c r="P807" t="str">
        <f>IF(T[[#This Row],[qty_ordered]]&lt;&gt;T[[#This Row],[qty_received]],IF(T[[#This Row],[qty_received]]&gt;0,"Partial Received","Not Receviced"),"FullyReceived")</f>
        <v>Partial Received</v>
      </c>
      <c r="Q807" t="str">
        <f>IF(T[[#This Row],[qty_received]]&lt;&gt;T[[#This Row],[qty_invoiced]],IF(T[[#This Row],[qty_invoiced]]&gt;0,"Partial Invoiced","Not Invoiced"),"Fully Invoiced")</f>
        <v>Fully Invoiced</v>
      </c>
      <c r="R807" t="str">
        <f>IFERROR(VLOOKUP(T[[#This Row],[warehouse]],Table2[],2,FALSE),"--")</f>
        <v>Sifters Mahasilna</v>
      </c>
    </row>
    <row r="808" spans="1:18" x14ac:dyDescent="0.25">
      <c r="A808" t="s">
        <v>642</v>
      </c>
      <c r="B808" s="1">
        <v>43835</v>
      </c>
      <c r="C808" t="s">
        <v>643</v>
      </c>
      <c r="D808" t="s">
        <v>20</v>
      </c>
      <c r="E808" t="s">
        <v>51</v>
      </c>
      <c r="F808" t="s">
        <v>183</v>
      </c>
      <c r="G808" t="s">
        <v>183</v>
      </c>
      <c r="H808" t="s">
        <v>54</v>
      </c>
      <c r="I808">
        <v>2000</v>
      </c>
      <c r="J808">
        <v>0</v>
      </c>
      <c r="K808">
        <v>1</v>
      </c>
      <c r="L808" t="s">
        <v>25</v>
      </c>
      <c r="M808" t="s">
        <v>533</v>
      </c>
      <c r="N808">
        <v>2500</v>
      </c>
      <c r="O808">
        <v>0</v>
      </c>
      <c r="P808" t="str">
        <f>IF(T[[#This Row],[qty_ordered]]&lt;&gt;T[[#This Row],[qty_received]],IF(T[[#This Row],[qty_received]]&gt;0,"Partial Received","Not Receviced"),"FullyReceived")</f>
        <v>Not Receviced</v>
      </c>
      <c r="Q808" t="str">
        <f>IF(T[[#This Row],[qty_received]]&lt;&gt;T[[#This Row],[qty_invoiced]],IF(T[[#This Row],[qty_invoiced]]&gt;0,"Partial Invoiced","Not Invoiced"),"Fully Invoiced")</f>
        <v>Partial Invoiced</v>
      </c>
      <c r="R808" t="str">
        <f>IFERROR(VLOOKUP(T[[#This Row],[warehouse]],Table2[],2,FALSE),"--")</f>
        <v>--</v>
      </c>
    </row>
    <row r="809" spans="1:18" x14ac:dyDescent="0.25">
      <c r="A809" t="s">
        <v>828</v>
      </c>
      <c r="B809" s="1">
        <v>43816</v>
      </c>
      <c r="C809" t="s">
        <v>829</v>
      </c>
      <c r="D809" t="s">
        <v>71</v>
      </c>
      <c r="E809" t="s">
        <v>281</v>
      </c>
      <c r="F809" t="s">
        <v>167</v>
      </c>
      <c r="G809" t="s">
        <v>156</v>
      </c>
      <c r="H809" t="s">
        <v>24</v>
      </c>
      <c r="I809">
        <v>1000</v>
      </c>
      <c r="J809">
        <v>0</v>
      </c>
      <c r="K809">
        <v>0</v>
      </c>
      <c r="L809" t="s">
        <v>25</v>
      </c>
      <c r="M809" t="s">
        <v>132</v>
      </c>
      <c r="N809">
        <v>110500</v>
      </c>
      <c r="O809">
        <v>0</v>
      </c>
      <c r="P809" t="str">
        <f>IF(T[[#This Row],[qty_ordered]]&lt;&gt;T[[#This Row],[qty_received]],IF(T[[#This Row],[qty_received]]&gt;0,"Partial Received","Not Receviced"),"FullyReceived")</f>
        <v>Not Receviced</v>
      </c>
      <c r="Q809" t="str">
        <f>IF(T[[#This Row],[qty_received]]&lt;&gt;T[[#This Row],[qty_invoiced]],IF(T[[#This Row],[qty_invoiced]]&gt;0,"Partial Invoiced","Not Invoiced"),"Fully Invoiced")</f>
        <v>Fully Invoiced</v>
      </c>
      <c r="R809" t="str">
        <f>IFERROR(VLOOKUP(T[[#This Row],[warehouse]],Table2[],2,FALSE),"--")</f>
        <v>Crusher Alm Eldin-KH</v>
      </c>
    </row>
    <row r="810" spans="1:18" x14ac:dyDescent="0.25">
      <c r="A810" t="s">
        <v>160</v>
      </c>
      <c r="B810" s="1">
        <v>43517</v>
      </c>
      <c r="C810" t="s">
        <v>292</v>
      </c>
      <c r="D810" t="s">
        <v>88</v>
      </c>
      <c r="E810" t="s">
        <v>51</v>
      </c>
      <c r="F810" t="s">
        <v>52</v>
      </c>
      <c r="G810" t="s">
        <v>837</v>
      </c>
      <c r="H810" t="s">
        <v>54</v>
      </c>
      <c r="I810">
        <v>899.94</v>
      </c>
      <c r="J810">
        <v>0</v>
      </c>
      <c r="K810">
        <v>0</v>
      </c>
      <c r="L810" t="s">
        <v>25</v>
      </c>
      <c r="M810" t="s">
        <v>26</v>
      </c>
      <c r="N810">
        <v>13.86</v>
      </c>
      <c r="O810">
        <v>0</v>
      </c>
      <c r="P810" t="str">
        <f>IF(T[[#This Row],[qty_ordered]]&lt;&gt;T[[#This Row],[qty_received]],IF(T[[#This Row],[qty_received]]&gt;0,"Partial Received","Not Receviced"),"FullyReceived")</f>
        <v>Not Receviced</v>
      </c>
      <c r="Q810" t="str">
        <f>IF(T[[#This Row],[qty_received]]&lt;&gt;T[[#This Row],[qty_invoiced]],IF(T[[#This Row],[qty_invoiced]]&gt;0,"Partial Invoiced","Not Invoiced"),"Fully Invoiced")</f>
        <v>Fully Invoiced</v>
      </c>
      <c r="R810" t="str">
        <f>IFERROR(VLOOKUP(T[[#This Row],[warehouse]],Table2[],2,FALSE),"--")</f>
        <v>--</v>
      </c>
    </row>
    <row r="811" spans="1:18" x14ac:dyDescent="0.25">
      <c r="A811" t="s">
        <v>160</v>
      </c>
      <c r="B811" s="1">
        <v>43579</v>
      </c>
      <c r="C811" t="s">
        <v>455</v>
      </c>
      <c r="D811" t="s">
        <v>71</v>
      </c>
      <c r="E811" t="s">
        <v>51</v>
      </c>
      <c r="F811" t="s">
        <v>52</v>
      </c>
      <c r="G811" t="s">
        <v>838</v>
      </c>
      <c r="H811" t="s">
        <v>54</v>
      </c>
      <c r="I811">
        <v>140</v>
      </c>
      <c r="J811">
        <v>0</v>
      </c>
      <c r="K811">
        <v>0</v>
      </c>
      <c r="L811" t="s">
        <v>25</v>
      </c>
      <c r="M811" t="s">
        <v>26</v>
      </c>
      <c r="N811">
        <v>-15550</v>
      </c>
      <c r="O811">
        <v>0</v>
      </c>
      <c r="P811" t="str">
        <f>IF(T[[#This Row],[qty_ordered]]&lt;&gt;T[[#This Row],[qty_received]],IF(T[[#This Row],[qty_received]]&gt;0,"Partial Received","Not Receviced"),"FullyReceived")</f>
        <v>Not Receviced</v>
      </c>
      <c r="Q811" t="str">
        <f>IF(T[[#This Row],[qty_received]]&lt;&gt;T[[#This Row],[qty_invoiced]],IF(T[[#This Row],[qty_invoiced]]&gt;0,"Partial Invoiced","Not Invoiced"),"Fully Invoiced")</f>
        <v>Fully Invoiced</v>
      </c>
      <c r="R811" t="str">
        <f>IFERROR(VLOOKUP(T[[#This Row],[warehouse]],Table2[],2,FALSE),"--")</f>
        <v>--</v>
      </c>
    </row>
    <row r="812" spans="1:18" x14ac:dyDescent="0.25">
      <c r="A812" t="s">
        <v>502</v>
      </c>
      <c r="B812" s="1">
        <v>43705</v>
      </c>
      <c r="C812" t="s">
        <v>503</v>
      </c>
      <c r="D812" t="s">
        <v>74</v>
      </c>
      <c r="E812" t="s">
        <v>51</v>
      </c>
      <c r="F812" t="s">
        <v>247</v>
      </c>
      <c r="G812" t="s">
        <v>247</v>
      </c>
      <c r="H812" t="s">
        <v>54</v>
      </c>
      <c r="I812">
        <v>79.966999999999999</v>
      </c>
      <c r="J812">
        <v>0</v>
      </c>
      <c r="K812">
        <v>1</v>
      </c>
      <c r="L812" t="s">
        <v>25</v>
      </c>
      <c r="M812" t="s">
        <v>359</v>
      </c>
      <c r="N812">
        <v>2500</v>
      </c>
      <c r="O812">
        <v>0</v>
      </c>
      <c r="P812" t="str">
        <f>IF(T[[#This Row],[qty_ordered]]&lt;&gt;T[[#This Row],[qty_received]],IF(T[[#This Row],[qty_received]]&gt;0,"Partial Received","Not Receviced"),"FullyReceived")</f>
        <v>Not Receviced</v>
      </c>
      <c r="Q812" t="str">
        <f>IF(T[[#This Row],[qty_received]]&lt;&gt;T[[#This Row],[qty_invoiced]],IF(T[[#This Row],[qty_invoiced]]&gt;0,"Partial Invoiced","Not Invoiced"),"Fully Invoiced")</f>
        <v>Partial Invoiced</v>
      </c>
      <c r="R812" t="str">
        <f>IFERROR(VLOOKUP(T[[#This Row],[warehouse]],Table2[],2,FALSE),"--")</f>
        <v>--</v>
      </c>
    </row>
    <row r="813" spans="1:18" x14ac:dyDescent="0.25">
      <c r="A813" t="s">
        <v>502</v>
      </c>
      <c r="B813" s="1">
        <v>43705</v>
      </c>
      <c r="C813" t="s">
        <v>503</v>
      </c>
      <c r="D813" t="s">
        <v>76</v>
      </c>
      <c r="E813" t="s">
        <v>51</v>
      </c>
      <c r="F813" t="s">
        <v>247</v>
      </c>
      <c r="G813" t="s">
        <v>247</v>
      </c>
      <c r="H813" t="s">
        <v>54</v>
      </c>
      <c r="I813">
        <v>600</v>
      </c>
      <c r="J813">
        <v>0</v>
      </c>
      <c r="K813">
        <v>1</v>
      </c>
      <c r="L813" t="s">
        <v>25</v>
      </c>
      <c r="M813" t="s">
        <v>359</v>
      </c>
      <c r="N813">
        <v>100</v>
      </c>
      <c r="O813">
        <v>0</v>
      </c>
      <c r="P813" t="str">
        <f>IF(T[[#This Row],[qty_ordered]]&lt;&gt;T[[#This Row],[qty_received]],IF(T[[#This Row],[qty_received]]&gt;0,"Partial Received","Not Receviced"),"FullyReceived")</f>
        <v>Not Receviced</v>
      </c>
      <c r="Q813" t="str">
        <f>IF(T[[#This Row],[qty_received]]&lt;&gt;T[[#This Row],[qty_invoiced]],IF(T[[#This Row],[qty_invoiced]]&gt;0,"Partial Invoiced","Not Invoiced"),"Fully Invoiced")</f>
        <v>Partial Invoiced</v>
      </c>
      <c r="R813" t="str">
        <f>IFERROR(VLOOKUP(T[[#This Row],[warehouse]],Table2[],2,FALSE),"--")</f>
        <v>--</v>
      </c>
    </row>
    <row r="814" spans="1:18" x14ac:dyDescent="0.25">
      <c r="A814" t="s">
        <v>534</v>
      </c>
      <c r="B814" s="1">
        <v>43822</v>
      </c>
      <c r="C814" t="s">
        <v>839</v>
      </c>
      <c r="D814" t="s">
        <v>20</v>
      </c>
      <c r="E814" t="s">
        <v>66</v>
      </c>
      <c r="F814" t="s">
        <v>67</v>
      </c>
      <c r="G814" t="s">
        <v>68</v>
      </c>
      <c r="H814" t="s">
        <v>24</v>
      </c>
      <c r="I814">
        <v>1038.2</v>
      </c>
      <c r="J814">
        <v>1038.2</v>
      </c>
      <c r="K814">
        <v>1038.2</v>
      </c>
      <c r="L814" t="s">
        <v>25</v>
      </c>
      <c r="M814" t="s">
        <v>714</v>
      </c>
      <c r="N814">
        <v>95000</v>
      </c>
      <c r="O814">
        <v>98629000</v>
      </c>
      <c r="P814" t="str">
        <f>IF(T[[#This Row],[qty_ordered]]&lt;&gt;T[[#This Row],[qty_received]],IF(T[[#This Row],[qty_received]]&gt;0,"Partial Received","Not Receviced"),"FullyReceived")</f>
        <v>FullyReceived</v>
      </c>
      <c r="Q814" t="str">
        <f>IF(T[[#This Row],[qty_received]]&lt;&gt;T[[#This Row],[qty_invoiced]],IF(T[[#This Row],[qty_invoiced]]&gt;0,"Partial Invoiced","Not Invoiced"),"Fully Invoiced")</f>
        <v>Fully Invoiced</v>
      </c>
      <c r="R814" t="str">
        <f>IFERROR(VLOOKUP(T[[#This Row],[warehouse]],Table2[],2,FALSE),"--")</f>
        <v>PZU Main Warehouse</v>
      </c>
    </row>
    <row r="815" spans="1:18" x14ac:dyDescent="0.25">
      <c r="A815" t="s">
        <v>534</v>
      </c>
      <c r="B815" s="1">
        <v>43815</v>
      </c>
      <c r="C815" t="s">
        <v>616</v>
      </c>
      <c r="D815" t="s">
        <v>100</v>
      </c>
      <c r="E815" t="s">
        <v>823</v>
      </c>
      <c r="F815" t="s">
        <v>22</v>
      </c>
      <c r="G815" t="s">
        <v>23</v>
      </c>
      <c r="H815" t="s">
        <v>24</v>
      </c>
      <c r="I815">
        <v>3375.75</v>
      </c>
      <c r="J815">
        <v>3375.75</v>
      </c>
      <c r="K815">
        <v>3375.75</v>
      </c>
      <c r="L815" t="s">
        <v>25</v>
      </c>
      <c r="M815" t="s">
        <v>132</v>
      </c>
      <c r="N815">
        <v>104000</v>
      </c>
      <c r="O815">
        <v>264972060</v>
      </c>
      <c r="P815" t="str">
        <f>IF(T[[#This Row],[qty_ordered]]&lt;&gt;T[[#This Row],[qty_received]],IF(T[[#This Row],[qty_received]]&gt;0,"Partial Received","Not Receviced"),"FullyReceived")</f>
        <v>FullyReceived</v>
      </c>
      <c r="Q815" t="str">
        <f>IF(T[[#This Row],[qty_received]]&lt;&gt;T[[#This Row],[qty_invoiced]],IF(T[[#This Row],[qty_invoiced]]&gt;0,"Partial Invoiced","Not Invoiced"),"Fully Invoiced")</f>
        <v>Fully Invoiced</v>
      </c>
      <c r="R815" t="str">
        <f>IFERROR(VLOOKUP(T[[#This Row],[warehouse]],Table2[],2,FALSE),"--")</f>
        <v>Crusher - Al haramain</v>
      </c>
    </row>
    <row r="816" spans="1:18" x14ac:dyDescent="0.25">
      <c r="A816" t="s">
        <v>160</v>
      </c>
      <c r="B816" s="1">
        <v>43718</v>
      </c>
      <c r="C816" t="s">
        <v>517</v>
      </c>
      <c r="D816" t="s">
        <v>71</v>
      </c>
      <c r="E816" t="s">
        <v>51</v>
      </c>
      <c r="F816" t="s">
        <v>52</v>
      </c>
      <c r="G816" t="s">
        <v>838</v>
      </c>
      <c r="H816" t="s">
        <v>54</v>
      </c>
      <c r="I816">
        <v>1794</v>
      </c>
      <c r="J816">
        <v>0</v>
      </c>
      <c r="K816">
        <v>0</v>
      </c>
      <c r="L816" t="s">
        <v>25</v>
      </c>
      <c r="M816" t="s">
        <v>132</v>
      </c>
      <c r="N816">
        <v>-13.88</v>
      </c>
      <c r="O816">
        <v>0</v>
      </c>
      <c r="P816" t="str">
        <f>IF(T[[#This Row],[qty_ordered]]&lt;&gt;T[[#This Row],[qty_received]],IF(T[[#This Row],[qty_received]]&gt;0,"Partial Received","Not Receviced"),"FullyReceived")</f>
        <v>Not Receviced</v>
      </c>
      <c r="Q816" t="str">
        <f>IF(T[[#This Row],[qty_received]]&lt;&gt;T[[#This Row],[qty_invoiced]],IF(T[[#This Row],[qty_invoiced]]&gt;0,"Partial Invoiced","Not Invoiced"),"Fully Invoiced")</f>
        <v>Fully Invoiced</v>
      </c>
      <c r="R816" t="str">
        <f>IFERROR(VLOOKUP(T[[#This Row],[warehouse]],Table2[],2,FALSE),"--")</f>
        <v>--</v>
      </c>
    </row>
    <row r="817" spans="1:18" x14ac:dyDescent="0.25">
      <c r="A817" t="s">
        <v>153</v>
      </c>
      <c r="B817" s="1">
        <v>43821</v>
      </c>
      <c r="C817" t="s">
        <v>826</v>
      </c>
      <c r="D817" t="s">
        <v>100</v>
      </c>
      <c r="E817" t="s">
        <v>840</v>
      </c>
      <c r="F817" t="s">
        <v>474</v>
      </c>
      <c r="G817" t="s">
        <v>475</v>
      </c>
      <c r="H817" t="s">
        <v>24</v>
      </c>
      <c r="I817">
        <v>1000</v>
      </c>
      <c r="J817">
        <v>651.24</v>
      </c>
      <c r="K817">
        <v>651.24</v>
      </c>
      <c r="L817" t="s">
        <v>25</v>
      </c>
      <c r="M817" t="s">
        <v>132</v>
      </c>
      <c r="N817">
        <v>50000</v>
      </c>
      <c r="O817">
        <v>32562000</v>
      </c>
      <c r="P817" t="str">
        <f>IF(T[[#This Row],[qty_ordered]]&lt;&gt;T[[#This Row],[qty_received]],IF(T[[#This Row],[qty_received]]&gt;0,"Partial Received","Not Receviced"),"FullyReceived")</f>
        <v>Partial Received</v>
      </c>
      <c r="Q817" t="str">
        <f>IF(T[[#This Row],[qty_received]]&lt;&gt;T[[#This Row],[qty_invoiced]],IF(T[[#This Row],[qty_invoiced]]&gt;0,"Partial Invoiced","Not Invoiced"),"Fully Invoiced")</f>
        <v>Fully Invoiced</v>
      </c>
      <c r="R817" t="str">
        <f>IFERROR(VLOOKUP(T[[#This Row],[warehouse]],Table2[],2,FALSE),"--")</f>
        <v>ALTILAL</v>
      </c>
    </row>
    <row r="818" spans="1:18" x14ac:dyDescent="0.25">
      <c r="A818" t="s">
        <v>201</v>
      </c>
      <c r="B818" s="1">
        <v>43842</v>
      </c>
      <c r="C818" t="s">
        <v>841</v>
      </c>
      <c r="D818" t="s">
        <v>20</v>
      </c>
      <c r="E818" t="s">
        <v>203</v>
      </c>
      <c r="F818" t="s">
        <v>204</v>
      </c>
      <c r="G818" t="s">
        <v>205</v>
      </c>
      <c r="H818" t="s">
        <v>206</v>
      </c>
      <c r="I818">
        <v>320</v>
      </c>
      <c r="J818">
        <v>309</v>
      </c>
      <c r="K818">
        <v>309</v>
      </c>
      <c r="L818" t="s">
        <v>25</v>
      </c>
      <c r="M818" t="s">
        <v>150</v>
      </c>
      <c r="N818">
        <v>35527.285300000003</v>
      </c>
      <c r="O818">
        <v>10977931.1577</v>
      </c>
      <c r="P818" t="str">
        <f>IF(T[[#This Row],[qty_ordered]]&lt;&gt;T[[#This Row],[qty_received]],IF(T[[#This Row],[qty_received]]&gt;0,"Partial Received","Not Receviced"),"FullyReceived")</f>
        <v>Partial Received</v>
      </c>
      <c r="Q818" t="str">
        <f>IF(T[[#This Row],[qty_received]]&lt;&gt;T[[#This Row],[qty_invoiced]],IF(T[[#This Row],[qty_invoiced]]&gt;0,"Partial Invoiced","Not Invoiced"),"Fully Invoiced")</f>
        <v>Fully Invoiced</v>
      </c>
      <c r="R818" t="str">
        <f>IFERROR(VLOOKUP(T[[#This Row],[warehouse]],Table2[],2,FALSE),"--")</f>
        <v>PZU Packaging Warehouse</v>
      </c>
    </row>
    <row r="819" spans="1:18" x14ac:dyDescent="0.25">
      <c r="A819" t="s">
        <v>144</v>
      </c>
      <c r="B819" s="1">
        <v>43844</v>
      </c>
      <c r="C819" t="s">
        <v>842</v>
      </c>
      <c r="D819" t="s">
        <v>20</v>
      </c>
      <c r="E819" t="s">
        <v>146</v>
      </c>
      <c r="F819" t="s">
        <v>147</v>
      </c>
      <c r="G819" t="s">
        <v>148</v>
      </c>
      <c r="H819" t="s">
        <v>149</v>
      </c>
      <c r="I819">
        <v>60000</v>
      </c>
      <c r="J819">
        <v>2400</v>
      </c>
      <c r="K819">
        <v>2400</v>
      </c>
      <c r="L819" t="s">
        <v>25</v>
      </c>
      <c r="M819" t="s">
        <v>575</v>
      </c>
      <c r="N819">
        <v>7.41</v>
      </c>
      <c r="O819">
        <v>17784</v>
      </c>
      <c r="P819" t="str">
        <f>IF(T[[#This Row],[qty_ordered]]&lt;&gt;T[[#This Row],[qty_received]],IF(T[[#This Row],[qty_received]]&gt;0,"Partial Received","Not Receviced"),"FullyReceived")</f>
        <v>Partial Received</v>
      </c>
      <c r="Q819" t="str">
        <f>IF(T[[#This Row],[qty_received]]&lt;&gt;T[[#This Row],[qty_invoiced]],IF(T[[#This Row],[qty_invoiced]]&gt;0,"Partial Invoiced","Not Invoiced"),"Fully Invoiced")</f>
        <v>Fully Invoiced</v>
      </c>
      <c r="R819" t="str">
        <f>IFERROR(VLOOKUP(T[[#This Row],[warehouse]],Table2[],2,FALSE),"--")</f>
        <v>Khtoum Main Warehouse</v>
      </c>
    </row>
    <row r="820" spans="1:18" x14ac:dyDescent="0.25">
      <c r="A820" t="s">
        <v>144</v>
      </c>
      <c r="B820" s="1">
        <v>43844</v>
      </c>
      <c r="C820" t="s">
        <v>842</v>
      </c>
      <c r="D820" t="s">
        <v>71</v>
      </c>
      <c r="E820" t="s">
        <v>146</v>
      </c>
      <c r="F820" t="s">
        <v>151</v>
      </c>
      <c r="G820" t="s">
        <v>152</v>
      </c>
      <c r="H820" t="s">
        <v>149</v>
      </c>
      <c r="I820">
        <v>180000</v>
      </c>
      <c r="J820">
        <v>95800</v>
      </c>
      <c r="K820">
        <v>95800</v>
      </c>
      <c r="L820" t="s">
        <v>25</v>
      </c>
      <c r="M820" t="s">
        <v>575</v>
      </c>
      <c r="N820">
        <v>7.41</v>
      </c>
      <c r="O820">
        <v>709878</v>
      </c>
      <c r="P820" t="str">
        <f>IF(T[[#This Row],[qty_ordered]]&lt;&gt;T[[#This Row],[qty_received]],IF(T[[#This Row],[qty_received]]&gt;0,"Partial Received","Not Receviced"),"FullyReceived")</f>
        <v>Partial Received</v>
      </c>
      <c r="Q820" t="str">
        <f>IF(T[[#This Row],[qty_received]]&lt;&gt;T[[#This Row],[qty_invoiced]],IF(T[[#This Row],[qty_invoiced]]&gt;0,"Partial Invoiced","Not Invoiced"),"Fully Invoiced")</f>
        <v>Fully Invoiced</v>
      </c>
      <c r="R820" t="str">
        <f>IFERROR(VLOOKUP(T[[#This Row],[warehouse]],Table2[],2,FALSE),"--")</f>
        <v>Khtoum Main Warehouse</v>
      </c>
    </row>
    <row r="821" spans="1:18" x14ac:dyDescent="0.25">
      <c r="A821" t="s">
        <v>618</v>
      </c>
      <c r="B821" s="1">
        <v>43818</v>
      </c>
      <c r="C821" t="s">
        <v>619</v>
      </c>
      <c r="D821" t="s">
        <v>100</v>
      </c>
      <c r="E821" t="s">
        <v>162</v>
      </c>
      <c r="F821" t="s">
        <v>86</v>
      </c>
      <c r="G821" t="s">
        <v>87</v>
      </c>
      <c r="H821" t="s">
        <v>24</v>
      </c>
      <c r="I821">
        <v>2366.44</v>
      </c>
      <c r="J821">
        <v>2366.44</v>
      </c>
      <c r="K821">
        <v>2366.44</v>
      </c>
      <c r="L821" t="s">
        <v>25</v>
      </c>
      <c r="M821" t="s">
        <v>132</v>
      </c>
      <c r="N821">
        <v>91225</v>
      </c>
      <c r="O821">
        <v>215878489</v>
      </c>
      <c r="P821" t="str">
        <f>IF(T[[#This Row],[qty_ordered]]&lt;&gt;T[[#This Row],[qty_received]],IF(T[[#This Row],[qty_received]]&gt;0,"Partial Received","Not Receviced"),"FullyReceived")</f>
        <v>FullyReceived</v>
      </c>
      <c r="Q821" t="str">
        <f>IF(T[[#This Row],[qty_received]]&lt;&gt;T[[#This Row],[qty_invoiced]],IF(T[[#This Row],[qty_invoiced]]&gt;0,"Partial Invoiced","Not Invoiced"),"Fully Invoiced")</f>
        <v>Fully Invoiced</v>
      </c>
      <c r="R821" t="str">
        <f>IFERROR(VLOOKUP(T[[#This Row],[warehouse]],Table2[],2,FALSE),"--")</f>
        <v>Sifters Mahasilna</v>
      </c>
    </row>
    <row r="822" spans="1:18" x14ac:dyDescent="0.25">
      <c r="A822" t="s">
        <v>252</v>
      </c>
      <c r="B822" s="1">
        <v>43835</v>
      </c>
      <c r="C822" t="s">
        <v>843</v>
      </c>
      <c r="D822" t="s">
        <v>71</v>
      </c>
      <c r="E822" t="s">
        <v>51</v>
      </c>
      <c r="F822" t="s">
        <v>183</v>
      </c>
      <c r="G822" t="s">
        <v>183</v>
      </c>
      <c r="H822" t="s">
        <v>54</v>
      </c>
      <c r="I822">
        <v>76.930000000000007</v>
      </c>
      <c r="J822">
        <v>0</v>
      </c>
      <c r="K822">
        <v>1</v>
      </c>
      <c r="L822" t="s">
        <v>25</v>
      </c>
      <c r="M822" t="s">
        <v>533</v>
      </c>
      <c r="N822">
        <v>850</v>
      </c>
      <c r="O822">
        <v>0</v>
      </c>
      <c r="P822" t="str">
        <f>IF(T[[#This Row],[qty_ordered]]&lt;&gt;T[[#This Row],[qty_received]],IF(T[[#This Row],[qty_received]]&gt;0,"Partial Received","Not Receviced"),"FullyReceived")</f>
        <v>Not Receviced</v>
      </c>
      <c r="Q822" t="str">
        <f>IF(T[[#This Row],[qty_received]]&lt;&gt;T[[#This Row],[qty_invoiced]],IF(T[[#This Row],[qty_invoiced]]&gt;0,"Partial Invoiced","Not Invoiced"),"Fully Invoiced")</f>
        <v>Partial Invoiced</v>
      </c>
      <c r="R822" t="str">
        <f>IFERROR(VLOOKUP(T[[#This Row],[warehouse]],Table2[],2,FALSE),"--")</f>
        <v>--</v>
      </c>
    </row>
    <row r="823" spans="1:18" x14ac:dyDescent="0.25">
      <c r="A823" t="s">
        <v>686</v>
      </c>
      <c r="B823" s="1">
        <v>43849</v>
      </c>
      <c r="C823" t="s">
        <v>687</v>
      </c>
      <c r="D823" t="s">
        <v>20</v>
      </c>
      <c r="E823" t="s">
        <v>51</v>
      </c>
      <c r="F823" t="s">
        <v>247</v>
      </c>
      <c r="G823" t="s">
        <v>247</v>
      </c>
      <c r="H823" t="s">
        <v>54</v>
      </c>
      <c r="I823">
        <v>1012.782</v>
      </c>
      <c r="J823">
        <v>0</v>
      </c>
      <c r="K823">
        <v>1</v>
      </c>
      <c r="L823" t="s">
        <v>25</v>
      </c>
      <c r="M823" t="s">
        <v>533</v>
      </c>
      <c r="N823">
        <v>3500</v>
      </c>
      <c r="O823">
        <v>0</v>
      </c>
      <c r="P823" t="str">
        <f>IF(T[[#This Row],[qty_ordered]]&lt;&gt;T[[#This Row],[qty_received]],IF(T[[#This Row],[qty_received]]&gt;0,"Partial Received","Not Receviced"),"FullyReceived")</f>
        <v>Not Receviced</v>
      </c>
      <c r="Q823" t="str">
        <f>IF(T[[#This Row],[qty_received]]&lt;&gt;T[[#This Row],[qty_invoiced]],IF(T[[#This Row],[qty_invoiced]]&gt;0,"Partial Invoiced","Not Invoiced"),"Fully Invoiced")</f>
        <v>Partial Invoiced</v>
      </c>
      <c r="R823" t="str">
        <f>IFERROR(VLOOKUP(T[[#This Row],[warehouse]],Table2[],2,FALSE),"--")</f>
        <v>--</v>
      </c>
    </row>
    <row r="824" spans="1:18" x14ac:dyDescent="0.25">
      <c r="A824" t="s">
        <v>795</v>
      </c>
      <c r="B824" s="1">
        <v>44074</v>
      </c>
      <c r="C824" t="s">
        <v>796</v>
      </c>
      <c r="D824" t="s">
        <v>71</v>
      </c>
      <c r="E824" t="s">
        <v>844</v>
      </c>
      <c r="F824" t="s">
        <v>167</v>
      </c>
      <c r="G824" t="s">
        <v>156</v>
      </c>
      <c r="H824" t="s">
        <v>24</v>
      </c>
      <c r="I824">
        <v>633</v>
      </c>
      <c r="J824">
        <v>599.94000000000005</v>
      </c>
      <c r="K824">
        <v>599.94000000000005</v>
      </c>
      <c r="L824" t="s">
        <v>25</v>
      </c>
      <c r="M824" t="s">
        <v>707</v>
      </c>
      <c r="N824">
        <v>317535.54502000002</v>
      </c>
      <c r="O824">
        <v>190502274.87929901</v>
      </c>
      <c r="P824" t="str">
        <f>IF(T[[#This Row],[qty_ordered]]&lt;&gt;T[[#This Row],[qty_received]],IF(T[[#This Row],[qty_received]]&gt;0,"Partial Received","Not Receviced"),"FullyReceived")</f>
        <v>Partial Received</v>
      </c>
      <c r="Q824" t="str">
        <f>IF(T[[#This Row],[qty_received]]&lt;&gt;T[[#This Row],[qty_invoiced]],IF(T[[#This Row],[qty_invoiced]]&gt;0,"Partial Invoiced","Not Invoiced"),"Fully Invoiced")</f>
        <v>Fully Invoiced</v>
      </c>
      <c r="R824" t="str">
        <f>IFERROR(VLOOKUP(T[[#This Row],[warehouse]],Table2[],2,FALSE),"--")</f>
        <v>ALNASRI / CRUSHING</v>
      </c>
    </row>
    <row r="825" spans="1:18" x14ac:dyDescent="0.25">
      <c r="A825" t="s">
        <v>658</v>
      </c>
      <c r="B825" s="1">
        <v>44082</v>
      </c>
      <c r="C825" t="s">
        <v>845</v>
      </c>
      <c r="D825" t="s">
        <v>20</v>
      </c>
      <c r="E825" t="s">
        <v>660</v>
      </c>
      <c r="F825" t="s">
        <v>661</v>
      </c>
      <c r="G825" t="s">
        <v>662</v>
      </c>
      <c r="H825" t="s">
        <v>663</v>
      </c>
      <c r="I825">
        <v>4017.6</v>
      </c>
      <c r="J825">
        <v>4017.6</v>
      </c>
      <c r="K825">
        <v>4017.6</v>
      </c>
      <c r="L825" t="s">
        <v>25</v>
      </c>
      <c r="M825" t="s">
        <v>132</v>
      </c>
      <c r="N825">
        <v>270</v>
      </c>
      <c r="O825">
        <v>1084752</v>
      </c>
      <c r="P825" t="str">
        <f>IF(T[[#This Row],[qty_ordered]]&lt;&gt;T[[#This Row],[qty_received]],IF(T[[#This Row],[qty_received]]&gt;0,"Partial Received","Not Receviced"),"FullyReceived")</f>
        <v>FullyReceived</v>
      </c>
      <c r="Q825" t="str">
        <f>IF(T[[#This Row],[qty_received]]&lt;&gt;T[[#This Row],[qty_invoiced]],IF(T[[#This Row],[qty_invoiced]]&gt;0,"Partial Invoiced","Not Invoiced"),"Fully Invoiced")</f>
        <v>Fully Invoiced</v>
      </c>
      <c r="R825" t="str">
        <f>IFERROR(VLOOKUP(T[[#This Row],[warehouse]],Table2[],2,FALSE),"--")</f>
        <v>SLAUGHTER HOUSE</v>
      </c>
    </row>
    <row r="826" spans="1:18" x14ac:dyDescent="0.25">
      <c r="A826" t="s">
        <v>505</v>
      </c>
      <c r="B826" s="1">
        <v>43933</v>
      </c>
      <c r="C826" t="s">
        <v>684</v>
      </c>
      <c r="D826" t="s">
        <v>614</v>
      </c>
      <c r="E826" t="s">
        <v>51</v>
      </c>
      <c r="F826" t="s">
        <v>278</v>
      </c>
      <c r="G826" t="s">
        <v>279</v>
      </c>
      <c r="H826" t="s">
        <v>54</v>
      </c>
      <c r="I826">
        <v>7067</v>
      </c>
      <c r="J826">
        <v>0</v>
      </c>
      <c r="K826">
        <v>1</v>
      </c>
      <c r="L826" t="s">
        <v>25</v>
      </c>
      <c r="M826" t="s">
        <v>533</v>
      </c>
      <c r="N826">
        <v>12</v>
      </c>
      <c r="O826">
        <v>0</v>
      </c>
      <c r="P826" t="str">
        <f>IF(T[[#This Row],[qty_ordered]]&lt;&gt;T[[#This Row],[qty_received]],IF(T[[#This Row],[qty_received]]&gt;0,"Partial Received","Not Receviced"),"FullyReceived")</f>
        <v>Not Receviced</v>
      </c>
      <c r="Q826" t="str">
        <f>IF(T[[#This Row],[qty_received]]&lt;&gt;T[[#This Row],[qty_invoiced]],IF(T[[#This Row],[qty_invoiced]]&gt;0,"Partial Invoiced","Not Invoiced"),"Fully Invoiced")</f>
        <v>Partial Invoiced</v>
      </c>
      <c r="R826" t="str">
        <f>IFERROR(VLOOKUP(T[[#This Row],[warehouse]],Table2[],2,FALSE),"--")</f>
        <v>--</v>
      </c>
    </row>
    <row r="827" spans="1:18" x14ac:dyDescent="0.25">
      <c r="A827" t="s">
        <v>505</v>
      </c>
      <c r="B827" s="1">
        <v>43933</v>
      </c>
      <c r="C827" t="s">
        <v>684</v>
      </c>
      <c r="D827" t="s">
        <v>752</v>
      </c>
      <c r="E827" t="s">
        <v>51</v>
      </c>
      <c r="F827" t="s">
        <v>254</v>
      </c>
      <c r="G827" t="s">
        <v>255</v>
      </c>
      <c r="H827" t="s">
        <v>54</v>
      </c>
      <c r="I827">
        <v>870</v>
      </c>
      <c r="J827">
        <v>0</v>
      </c>
      <c r="K827">
        <v>1</v>
      </c>
      <c r="L827" t="s">
        <v>25</v>
      </c>
      <c r="M827" t="s">
        <v>533</v>
      </c>
      <c r="N827">
        <v>12</v>
      </c>
      <c r="O827">
        <v>0</v>
      </c>
      <c r="P827" t="str">
        <f>IF(T[[#This Row],[qty_ordered]]&lt;&gt;T[[#This Row],[qty_received]],IF(T[[#This Row],[qty_received]]&gt;0,"Partial Received","Not Receviced"),"FullyReceived")</f>
        <v>Not Receviced</v>
      </c>
      <c r="Q827" t="str">
        <f>IF(T[[#This Row],[qty_received]]&lt;&gt;T[[#This Row],[qty_invoiced]],IF(T[[#This Row],[qty_invoiced]]&gt;0,"Partial Invoiced","Not Invoiced"),"Fully Invoiced")</f>
        <v>Partial Invoiced</v>
      </c>
      <c r="R827" t="str">
        <f>IFERROR(VLOOKUP(T[[#This Row],[warehouse]],Table2[],2,FALSE),"--")</f>
        <v>--</v>
      </c>
    </row>
    <row r="828" spans="1:18" x14ac:dyDescent="0.25">
      <c r="A828" t="s">
        <v>505</v>
      </c>
      <c r="B828" s="1">
        <v>43933</v>
      </c>
      <c r="C828" t="s">
        <v>684</v>
      </c>
      <c r="D828" t="s">
        <v>759</v>
      </c>
      <c r="E828" t="s">
        <v>51</v>
      </c>
      <c r="F828" t="s">
        <v>254</v>
      </c>
      <c r="G828" t="s">
        <v>255</v>
      </c>
      <c r="H828" t="s">
        <v>54</v>
      </c>
      <c r="I828">
        <v>9180</v>
      </c>
      <c r="J828">
        <v>0</v>
      </c>
      <c r="K828">
        <v>1</v>
      </c>
      <c r="L828" t="s">
        <v>25</v>
      </c>
      <c r="M828" t="s">
        <v>533</v>
      </c>
      <c r="N828">
        <v>15</v>
      </c>
      <c r="O828">
        <v>0</v>
      </c>
      <c r="P828" t="str">
        <f>IF(T[[#This Row],[qty_ordered]]&lt;&gt;T[[#This Row],[qty_received]],IF(T[[#This Row],[qty_received]]&gt;0,"Partial Received","Not Receviced"),"FullyReceived")</f>
        <v>Not Receviced</v>
      </c>
      <c r="Q828" t="str">
        <f>IF(T[[#This Row],[qty_received]]&lt;&gt;T[[#This Row],[qty_invoiced]],IF(T[[#This Row],[qty_invoiced]]&gt;0,"Partial Invoiced","Not Invoiced"),"Fully Invoiced")</f>
        <v>Partial Invoiced</v>
      </c>
      <c r="R828" t="str">
        <f>IFERROR(VLOOKUP(T[[#This Row],[warehouse]],Table2[],2,FALSE),"--")</f>
        <v>--</v>
      </c>
    </row>
    <row r="829" spans="1:18" x14ac:dyDescent="0.25">
      <c r="A829" t="s">
        <v>505</v>
      </c>
      <c r="B829" s="1">
        <v>43933</v>
      </c>
      <c r="C829" t="s">
        <v>684</v>
      </c>
      <c r="D829" t="s">
        <v>694</v>
      </c>
      <c r="E829" t="s">
        <v>51</v>
      </c>
      <c r="F829" t="s">
        <v>384</v>
      </c>
      <c r="G829" t="s">
        <v>384</v>
      </c>
      <c r="H829" t="s">
        <v>54</v>
      </c>
      <c r="I829">
        <v>615</v>
      </c>
      <c r="J829">
        <v>0</v>
      </c>
      <c r="K829">
        <v>1</v>
      </c>
      <c r="L829" t="s">
        <v>25</v>
      </c>
      <c r="M829" t="s">
        <v>533</v>
      </c>
      <c r="N829">
        <v>8</v>
      </c>
      <c r="O829">
        <v>0</v>
      </c>
      <c r="P829" t="str">
        <f>IF(T[[#This Row],[qty_ordered]]&lt;&gt;T[[#This Row],[qty_received]],IF(T[[#This Row],[qty_received]]&gt;0,"Partial Received","Not Receviced"),"FullyReceived")</f>
        <v>Not Receviced</v>
      </c>
      <c r="Q829" t="str">
        <f>IF(T[[#This Row],[qty_received]]&lt;&gt;T[[#This Row],[qty_invoiced]],IF(T[[#This Row],[qty_invoiced]]&gt;0,"Partial Invoiced","Not Invoiced"),"Fully Invoiced")</f>
        <v>Partial Invoiced</v>
      </c>
      <c r="R829" t="str">
        <f>IFERROR(VLOOKUP(T[[#This Row],[warehouse]],Table2[],2,FALSE),"--")</f>
        <v>--</v>
      </c>
    </row>
    <row r="830" spans="1:18" x14ac:dyDescent="0.25">
      <c r="A830" t="s">
        <v>505</v>
      </c>
      <c r="B830" s="1">
        <v>43933</v>
      </c>
      <c r="C830" t="s">
        <v>684</v>
      </c>
      <c r="D830" t="s">
        <v>760</v>
      </c>
      <c r="E830" t="s">
        <v>51</v>
      </c>
      <c r="F830" t="s">
        <v>384</v>
      </c>
      <c r="G830" t="s">
        <v>384</v>
      </c>
      <c r="H830" t="s">
        <v>54</v>
      </c>
      <c r="I830">
        <v>50</v>
      </c>
      <c r="J830">
        <v>0</v>
      </c>
      <c r="K830">
        <v>1</v>
      </c>
      <c r="L830" t="s">
        <v>25</v>
      </c>
      <c r="M830" t="s">
        <v>533</v>
      </c>
      <c r="N830">
        <v>15</v>
      </c>
      <c r="O830">
        <v>0</v>
      </c>
      <c r="P830" t="str">
        <f>IF(T[[#This Row],[qty_ordered]]&lt;&gt;T[[#This Row],[qty_received]],IF(T[[#This Row],[qty_received]]&gt;0,"Partial Received","Not Receviced"),"FullyReceived")</f>
        <v>Not Receviced</v>
      </c>
      <c r="Q830" t="str">
        <f>IF(T[[#This Row],[qty_received]]&lt;&gt;T[[#This Row],[qty_invoiced]],IF(T[[#This Row],[qty_invoiced]]&gt;0,"Partial Invoiced","Not Invoiced"),"Fully Invoiced")</f>
        <v>Partial Invoiced</v>
      </c>
      <c r="R830" t="str">
        <f>IFERROR(VLOOKUP(T[[#This Row],[warehouse]],Table2[],2,FALSE),"--")</f>
        <v>--</v>
      </c>
    </row>
    <row r="831" spans="1:18" x14ac:dyDescent="0.25">
      <c r="A831" t="s">
        <v>505</v>
      </c>
      <c r="B831" s="1">
        <v>43933</v>
      </c>
      <c r="C831" t="s">
        <v>684</v>
      </c>
      <c r="D831" t="s">
        <v>591</v>
      </c>
      <c r="E831" t="s">
        <v>51</v>
      </c>
      <c r="F831" t="s">
        <v>278</v>
      </c>
      <c r="G831" t="s">
        <v>279</v>
      </c>
      <c r="H831" t="s">
        <v>54</v>
      </c>
      <c r="I831">
        <v>300</v>
      </c>
      <c r="J831">
        <v>0</v>
      </c>
      <c r="K831">
        <v>1</v>
      </c>
      <c r="L831" t="s">
        <v>25</v>
      </c>
      <c r="M831" t="s">
        <v>533</v>
      </c>
      <c r="N831">
        <v>215</v>
      </c>
      <c r="O831">
        <v>0</v>
      </c>
      <c r="P831" t="str">
        <f>IF(T[[#This Row],[qty_ordered]]&lt;&gt;T[[#This Row],[qty_received]],IF(T[[#This Row],[qty_received]]&gt;0,"Partial Received","Not Receviced"),"FullyReceived")</f>
        <v>Not Receviced</v>
      </c>
      <c r="Q831" t="str">
        <f>IF(T[[#This Row],[qty_received]]&lt;&gt;T[[#This Row],[qty_invoiced]],IF(T[[#This Row],[qty_invoiced]]&gt;0,"Partial Invoiced","Not Invoiced"),"Fully Invoiced")</f>
        <v>Partial Invoiced</v>
      </c>
      <c r="R831" t="str">
        <f>IFERROR(VLOOKUP(T[[#This Row],[warehouse]],Table2[],2,FALSE),"--")</f>
        <v>--</v>
      </c>
    </row>
    <row r="832" spans="1:18" x14ac:dyDescent="0.25">
      <c r="A832" t="s">
        <v>505</v>
      </c>
      <c r="B832" s="1">
        <v>43933</v>
      </c>
      <c r="C832" t="s">
        <v>684</v>
      </c>
      <c r="D832" t="s">
        <v>592</v>
      </c>
      <c r="E832" t="s">
        <v>51</v>
      </c>
      <c r="F832" t="s">
        <v>254</v>
      </c>
      <c r="G832" t="s">
        <v>255</v>
      </c>
      <c r="H832" t="s">
        <v>54</v>
      </c>
      <c r="I832">
        <v>2000</v>
      </c>
      <c r="J832">
        <v>0</v>
      </c>
      <c r="K832">
        <v>1</v>
      </c>
      <c r="L832" t="s">
        <v>25</v>
      </c>
      <c r="M832" t="s">
        <v>533</v>
      </c>
      <c r="N832">
        <v>30</v>
      </c>
      <c r="O832">
        <v>0</v>
      </c>
      <c r="P832" t="str">
        <f>IF(T[[#This Row],[qty_ordered]]&lt;&gt;T[[#This Row],[qty_received]],IF(T[[#This Row],[qty_received]]&gt;0,"Partial Received","Not Receviced"),"FullyReceived")</f>
        <v>Not Receviced</v>
      </c>
      <c r="Q832" t="str">
        <f>IF(T[[#This Row],[qty_received]]&lt;&gt;T[[#This Row],[qty_invoiced]],IF(T[[#This Row],[qty_invoiced]]&gt;0,"Partial Invoiced","Not Invoiced"),"Fully Invoiced")</f>
        <v>Partial Invoiced</v>
      </c>
      <c r="R832" t="str">
        <f>IFERROR(VLOOKUP(T[[#This Row],[warehouse]],Table2[],2,FALSE),"--")</f>
        <v>--</v>
      </c>
    </row>
    <row r="833" spans="1:18" x14ac:dyDescent="0.25">
      <c r="A833" t="s">
        <v>400</v>
      </c>
      <c r="B833" s="1">
        <v>43865</v>
      </c>
      <c r="C833" t="s">
        <v>623</v>
      </c>
      <c r="D833" t="s">
        <v>88</v>
      </c>
      <c r="E833" t="s">
        <v>51</v>
      </c>
      <c r="F833" t="s">
        <v>183</v>
      </c>
      <c r="G833" t="s">
        <v>808</v>
      </c>
      <c r="H833" t="s">
        <v>54</v>
      </c>
      <c r="I833">
        <v>49</v>
      </c>
      <c r="J833">
        <v>0</v>
      </c>
      <c r="K833">
        <v>1</v>
      </c>
      <c r="L833" t="s">
        <v>25</v>
      </c>
      <c r="M833" t="s">
        <v>533</v>
      </c>
      <c r="N833">
        <v>400</v>
      </c>
      <c r="O833">
        <v>0</v>
      </c>
      <c r="P833" t="str">
        <f>IF(T[[#This Row],[qty_ordered]]&lt;&gt;T[[#This Row],[qty_received]],IF(T[[#This Row],[qty_received]]&gt;0,"Partial Received","Not Receviced"),"FullyReceived")</f>
        <v>Not Receviced</v>
      </c>
      <c r="Q833" t="str">
        <f>IF(T[[#This Row],[qty_received]]&lt;&gt;T[[#This Row],[qty_invoiced]],IF(T[[#This Row],[qty_invoiced]]&gt;0,"Partial Invoiced","Not Invoiced"),"Fully Invoiced")</f>
        <v>Partial Invoiced</v>
      </c>
      <c r="R833" t="str">
        <f>IFERROR(VLOOKUP(T[[#This Row],[warehouse]],Table2[],2,FALSE),"--")</f>
        <v>--</v>
      </c>
    </row>
    <row r="834" spans="1:18" x14ac:dyDescent="0.25">
      <c r="A834" t="s">
        <v>400</v>
      </c>
      <c r="B834" s="1">
        <v>43865</v>
      </c>
      <c r="C834" t="s">
        <v>623</v>
      </c>
      <c r="D834" t="s">
        <v>74</v>
      </c>
      <c r="E834" t="s">
        <v>51</v>
      </c>
      <c r="F834" t="s">
        <v>183</v>
      </c>
      <c r="G834" t="s">
        <v>808</v>
      </c>
      <c r="H834" t="s">
        <v>54</v>
      </c>
      <c r="I834">
        <v>395.68700000000001</v>
      </c>
      <c r="J834">
        <v>0</v>
      </c>
      <c r="K834">
        <v>1</v>
      </c>
      <c r="L834" t="s">
        <v>25</v>
      </c>
      <c r="M834" t="s">
        <v>533</v>
      </c>
      <c r="N834">
        <v>1000</v>
      </c>
      <c r="O834">
        <v>0</v>
      </c>
      <c r="P834" t="str">
        <f>IF(T[[#This Row],[qty_ordered]]&lt;&gt;T[[#This Row],[qty_received]],IF(T[[#This Row],[qty_received]]&gt;0,"Partial Received","Not Receviced"),"FullyReceived")</f>
        <v>Not Receviced</v>
      </c>
      <c r="Q834" t="str">
        <f>IF(T[[#This Row],[qty_received]]&lt;&gt;T[[#This Row],[qty_invoiced]],IF(T[[#This Row],[qty_invoiced]]&gt;0,"Partial Invoiced","Not Invoiced"),"Fully Invoiced")</f>
        <v>Partial Invoiced</v>
      </c>
      <c r="R834" t="str">
        <f>IFERROR(VLOOKUP(T[[#This Row],[warehouse]],Table2[],2,FALSE),"--")</f>
        <v>--</v>
      </c>
    </row>
    <row r="835" spans="1:18" x14ac:dyDescent="0.25">
      <c r="A835" t="s">
        <v>400</v>
      </c>
      <c r="B835" s="1">
        <v>43865</v>
      </c>
      <c r="C835" t="s">
        <v>623</v>
      </c>
      <c r="D835" t="s">
        <v>76</v>
      </c>
      <c r="E835" t="s">
        <v>51</v>
      </c>
      <c r="F835" t="s">
        <v>278</v>
      </c>
      <c r="G835" t="s">
        <v>279</v>
      </c>
      <c r="H835" t="s">
        <v>54</v>
      </c>
      <c r="I835">
        <v>1</v>
      </c>
      <c r="J835">
        <v>0</v>
      </c>
      <c r="K835">
        <v>1</v>
      </c>
      <c r="L835" t="s">
        <v>25</v>
      </c>
      <c r="M835" t="s">
        <v>533</v>
      </c>
      <c r="N835">
        <v>76545</v>
      </c>
      <c r="O835">
        <v>0</v>
      </c>
      <c r="P835" t="str">
        <f>IF(T[[#This Row],[qty_ordered]]&lt;&gt;T[[#This Row],[qty_received]],IF(T[[#This Row],[qty_received]]&gt;0,"Partial Received","Not Receviced"),"FullyReceived")</f>
        <v>Not Receviced</v>
      </c>
      <c r="Q835" t="str">
        <f>IF(T[[#This Row],[qty_received]]&lt;&gt;T[[#This Row],[qty_invoiced]],IF(T[[#This Row],[qty_invoiced]]&gt;0,"Partial Invoiced","Not Invoiced"),"Fully Invoiced")</f>
        <v>Partial Invoiced</v>
      </c>
      <c r="R835" t="str">
        <f>IFERROR(VLOOKUP(T[[#This Row],[warehouse]],Table2[],2,FALSE),"--")</f>
        <v>--</v>
      </c>
    </row>
    <row r="836" spans="1:18" x14ac:dyDescent="0.25">
      <c r="A836" t="s">
        <v>735</v>
      </c>
      <c r="B836" s="1">
        <v>44021</v>
      </c>
      <c r="C836" t="s">
        <v>736</v>
      </c>
      <c r="D836" t="s">
        <v>88</v>
      </c>
      <c r="E836" t="s">
        <v>51</v>
      </c>
      <c r="F836" t="s">
        <v>183</v>
      </c>
      <c r="G836" t="s">
        <v>737</v>
      </c>
      <c r="H836" t="s">
        <v>54</v>
      </c>
      <c r="I836">
        <v>500</v>
      </c>
      <c r="J836">
        <v>0</v>
      </c>
      <c r="K836">
        <v>1</v>
      </c>
      <c r="L836" t="s">
        <v>25</v>
      </c>
      <c r="M836" t="s">
        <v>533</v>
      </c>
      <c r="N836">
        <v>1250</v>
      </c>
      <c r="O836">
        <v>0</v>
      </c>
      <c r="P836" t="str">
        <f>IF(T[[#This Row],[qty_ordered]]&lt;&gt;T[[#This Row],[qty_received]],IF(T[[#This Row],[qty_received]]&gt;0,"Partial Received","Not Receviced"),"FullyReceived")</f>
        <v>Not Receviced</v>
      </c>
      <c r="Q836" t="str">
        <f>IF(T[[#This Row],[qty_received]]&lt;&gt;T[[#This Row],[qty_invoiced]],IF(T[[#This Row],[qty_invoiced]]&gt;0,"Partial Invoiced","Not Invoiced"),"Fully Invoiced")</f>
        <v>Partial Invoiced</v>
      </c>
      <c r="R836" t="str">
        <f>IFERROR(VLOOKUP(T[[#This Row],[warehouse]],Table2[],2,FALSE),"--")</f>
        <v>--</v>
      </c>
    </row>
    <row r="837" spans="1:18" x14ac:dyDescent="0.25">
      <c r="A837" t="s">
        <v>400</v>
      </c>
      <c r="B837" s="1">
        <v>43865</v>
      </c>
      <c r="C837" t="s">
        <v>623</v>
      </c>
      <c r="D837" t="s">
        <v>212</v>
      </c>
      <c r="E837" t="s">
        <v>51</v>
      </c>
      <c r="F837" t="s">
        <v>793</v>
      </c>
      <c r="G837" t="s">
        <v>846</v>
      </c>
      <c r="H837" t="s">
        <v>54</v>
      </c>
      <c r="I837">
        <v>11</v>
      </c>
      <c r="J837">
        <v>0</v>
      </c>
      <c r="K837">
        <v>1</v>
      </c>
      <c r="L837" t="s">
        <v>25</v>
      </c>
      <c r="M837" t="s">
        <v>533</v>
      </c>
      <c r="N837">
        <v>200</v>
      </c>
      <c r="O837">
        <v>0</v>
      </c>
      <c r="P837" t="str">
        <f>IF(T[[#This Row],[qty_ordered]]&lt;&gt;T[[#This Row],[qty_received]],IF(T[[#This Row],[qty_received]]&gt;0,"Partial Received","Not Receviced"),"FullyReceived")</f>
        <v>Not Receviced</v>
      </c>
      <c r="Q837" t="str">
        <f>IF(T[[#This Row],[qty_received]]&lt;&gt;T[[#This Row],[qty_invoiced]],IF(T[[#This Row],[qty_invoiced]]&gt;0,"Partial Invoiced","Not Invoiced"),"Fully Invoiced")</f>
        <v>Partial Invoiced</v>
      </c>
      <c r="R837" t="str">
        <f>IFERROR(VLOOKUP(T[[#This Row],[warehouse]],Table2[],2,FALSE),"--")</f>
        <v>--</v>
      </c>
    </row>
    <row r="838" spans="1:18" x14ac:dyDescent="0.25">
      <c r="A838" t="s">
        <v>739</v>
      </c>
      <c r="B838" s="1">
        <v>44082</v>
      </c>
      <c r="C838" t="s">
        <v>847</v>
      </c>
      <c r="D838" t="s">
        <v>100</v>
      </c>
      <c r="E838" t="s">
        <v>660</v>
      </c>
      <c r="F838" t="s">
        <v>747</v>
      </c>
      <c r="G838" t="s">
        <v>748</v>
      </c>
      <c r="H838" t="s">
        <v>663</v>
      </c>
      <c r="I838">
        <v>456.9</v>
      </c>
      <c r="J838">
        <v>456.9</v>
      </c>
      <c r="K838">
        <v>456.9</v>
      </c>
      <c r="L838" t="s">
        <v>25</v>
      </c>
      <c r="M838" t="s">
        <v>132</v>
      </c>
      <c r="N838">
        <v>700</v>
      </c>
      <c r="O838">
        <v>319830</v>
      </c>
      <c r="P838" t="str">
        <f>IF(T[[#This Row],[qty_ordered]]&lt;&gt;T[[#This Row],[qty_received]],IF(T[[#This Row],[qty_received]]&gt;0,"Partial Received","Not Receviced"),"FullyReceived")</f>
        <v>FullyReceived</v>
      </c>
      <c r="Q838" t="str">
        <f>IF(T[[#This Row],[qty_received]]&lt;&gt;T[[#This Row],[qty_invoiced]],IF(T[[#This Row],[qty_invoiced]]&gt;0,"Partial Invoiced","Not Invoiced"),"Fully Invoiced")</f>
        <v>Fully Invoiced</v>
      </c>
      <c r="R838" t="str">
        <f>IFERROR(VLOOKUP(T[[#This Row],[warehouse]],Table2[],2,FALSE),"--")</f>
        <v>SLAUGHTER HOUSE</v>
      </c>
    </row>
    <row r="839" spans="1:18" x14ac:dyDescent="0.25">
      <c r="A839" t="s">
        <v>658</v>
      </c>
      <c r="B839" s="1">
        <v>44082</v>
      </c>
      <c r="C839" t="s">
        <v>845</v>
      </c>
      <c r="D839" t="s">
        <v>100</v>
      </c>
      <c r="E839" t="s">
        <v>660</v>
      </c>
      <c r="F839" t="s">
        <v>661</v>
      </c>
      <c r="G839" t="s">
        <v>662</v>
      </c>
      <c r="H839" t="s">
        <v>663</v>
      </c>
      <c r="I839">
        <v>4058.2</v>
      </c>
      <c r="J839">
        <v>4058.2</v>
      </c>
      <c r="K839">
        <v>4058.2</v>
      </c>
      <c r="L839" t="s">
        <v>25</v>
      </c>
      <c r="M839" t="s">
        <v>132</v>
      </c>
      <c r="N839">
        <v>270</v>
      </c>
      <c r="O839">
        <v>1095714</v>
      </c>
      <c r="P839" t="str">
        <f>IF(T[[#This Row],[qty_ordered]]&lt;&gt;T[[#This Row],[qty_received]],IF(T[[#This Row],[qty_received]]&gt;0,"Partial Received","Not Receviced"),"FullyReceived")</f>
        <v>FullyReceived</v>
      </c>
      <c r="Q839" t="str">
        <f>IF(T[[#This Row],[qty_received]]&lt;&gt;T[[#This Row],[qty_invoiced]],IF(T[[#This Row],[qty_invoiced]]&gt;0,"Partial Invoiced","Not Invoiced"),"Fully Invoiced")</f>
        <v>Fully Invoiced</v>
      </c>
      <c r="R839" t="str">
        <f>IFERROR(VLOOKUP(T[[#This Row],[warehouse]],Table2[],2,FALSE),"--")</f>
        <v>SLAUGHTER HOUSE</v>
      </c>
    </row>
    <row r="840" spans="1:18" x14ac:dyDescent="0.25">
      <c r="A840" t="s">
        <v>153</v>
      </c>
      <c r="B840" s="1">
        <v>44095</v>
      </c>
      <c r="C840" t="s">
        <v>848</v>
      </c>
      <c r="D840" t="s">
        <v>20</v>
      </c>
      <c r="E840" t="s">
        <v>214</v>
      </c>
      <c r="F840" t="s">
        <v>167</v>
      </c>
      <c r="G840" t="s">
        <v>156</v>
      </c>
      <c r="H840" t="s">
        <v>24</v>
      </c>
      <c r="I840">
        <v>650</v>
      </c>
      <c r="J840">
        <v>650</v>
      </c>
      <c r="K840">
        <v>650</v>
      </c>
      <c r="L840" t="s">
        <v>25</v>
      </c>
      <c r="M840" t="s">
        <v>132</v>
      </c>
      <c r="N840">
        <v>400000</v>
      </c>
      <c r="O840">
        <v>260000000</v>
      </c>
      <c r="P840" t="str">
        <f>IF(T[[#This Row],[qty_ordered]]&lt;&gt;T[[#This Row],[qty_received]],IF(T[[#This Row],[qty_received]]&gt;0,"Partial Received","Not Receviced"),"FullyReceived")</f>
        <v>FullyReceived</v>
      </c>
      <c r="Q840" t="str">
        <f>IF(T[[#This Row],[qty_received]]&lt;&gt;T[[#This Row],[qty_invoiced]],IF(T[[#This Row],[qty_invoiced]]&gt;0,"Partial Invoiced","Not Invoiced"),"Fully Invoiced")</f>
        <v>Fully Invoiced</v>
      </c>
      <c r="R840" t="str">
        <f>IFERROR(VLOOKUP(T[[#This Row],[warehouse]],Table2[],2,FALSE),"--")</f>
        <v>CRUSHER ELBALOLA</v>
      </c>
    </row>
    <row r="841" spans="1:18" x14ac:dyDescent="0.25">
      <c r="A841" t="s">
        <v>84</v>
      </c>
      <c r="B841" s="1">
        <v>44095</v>
      </c>
      <c r="C841" t="s">
        <v>849</v>
      </c>
      <c r="D841" t="s">
        <v>20</v>
      </c>
      <c r="E841" t="s">
        <v>66</v>
      </c>
      <c r="F841" t="s">
        <v>167</v>
      </c>
      <c r="G841" t="s">
        <v>156</v>
      </c>
      <c r="H841" t="s">
        <v>24</v>
      </c>
      <c r="I841">
        <v>500</v>
      </c>
      <c r="J841">
        <v>0</v>
      </c>
      <c r="K841">
        <v>0</v>
      </c>
      <c r="L841" t="s">
        <v>25</v>
      </c>
      <c r="M841" t="s">
        <v>132</v>
      </c>
      <c r="N841">
        <v>350000</v>
      </c>
      <c r="O841">
        <v>0</v>
      </c>
      <c r="P841" t="str">
        <f>IF(T[[#This Row],[qty_ordered]]&lt;&gt;T[[#This Row],[qty_received]],IF(T[[#This Row],[qty_received]]&gt;0,"Partial Received","Not Receviced"),"FullyReceived")</f>
        <v>Not Receviced</v>
      </c>
      <c r="Q841" t="str">
        <f>IF(T[[#This Row],[qty_received]]&lt;&gt;T[[#This Row],[qty_invoiced]],IF(T[[#This Row],[qty_invoiced]]&gt;0,"Partial Invoiced","Not Invoiced"),"Fully Invoiced")</f>
        <v>Fully Invoiced</v>
      </c>
      <c r="R841" t="str">
        <f>IFERROR(VLOOKUP(T[[#This Row],[warehouse]],Table2[],2,FALSE),"--")</f>
        <v>PZU Main Warehouse</v>
      </c>
    </row>
    <row r="842" spans="1:18" x14ac:dyDescent="0.25">
      <c r="A842" t="s">
        <v>423</v>
      </c>
      <c r="B842" s="1">
        <v>44096</v>
      </c>
      <c r="C842" t="s">
        <v>850</v>
      </c>
      <c r="D842" t="s">
        <v>20</v>
      </c>
      <c r="E842" t="s">
        <v>203</v>
      </c>
      <c r="F842" t="s">
        <v>151</v>
      </c>
      <c r="G842" t="s">
        <v>152</v>
      </c>
      <c r="H842" t="s">
        <v>149</v>
      </c>
      <c r="I842">
        <v>18000</v>
      </c>
      <c r="J842">
        <v>18000</v>
      </c>
      <c r="K842">
        <v>18000</v>
      </c>
      <c r="L842" t="s">
        <v>25</v>
      </c>
      <c r="M842" t="s">
        <v>575</v>
      </c>
      <c r="N842">
        <v>69</v>
      </c>
      <c r="O842">
        <v>1242000</v>
      </c>
      <c r="P842" t="str">
        <f>IF(T[[#This Row],[qty_ordered]]&lt;&gt;T[[#This Row],[qty_received]],IF(T[[#This Row],[qty_received]]&gt;0,"Partial Received","Not Receviced"),"FullyReceived")</f>
        <v>FullyReceived</v>
      </c>
      <c r="Q842" t="str">
        <f>IF(T[[#This Row],[qty_received]]&lt;&gt;T[[#This Row],[qty_invoiced]],IF(T[[#This Row],[qty_invoiced]]&gt;0,"Partial Invoiced","Not Invoiced"),"Fully Invoiced")</f>
        <v>Fully Invoiced</v>
      </c>
      <c r="R842" t="str">
        <f>IFERROR(VLOOKUP(T[[#This Row],[warehouse]],Table2[],2,FALSE),"--")</f>
        <v>PZU Packaging Warehouse</v>
      </c>
    </row>
    <row r="843" spans="1:18" x14ac:dyDescent="0.25">
      <c r="A843" t="s">
        <v>423</v>
      </c>
      <c r="B843" s="1">
        <v>44096</v>
      </c>
      <c r="C843" t="s">
        <v>850</v>
      </c>
      <c r="D843" t="s">
        <v>71</v>
      </c>
      <c r="E843" t="s">
        <v>203</v>
      </c>
      <c r="F843" t="s">
        <v>147</v>
      </c>
      <c r="G843" t="s">
        <v>148</v>
      </c>
      <c r="H843" t="s">
        <v>149</v>
      </c>
      <c r="I843">
        <v>21000</v>
      </c>
      <c r="J843">
        <v>21000</v>
      </c>
      <c r="K843">
        <v>21000</v>
      </c>
      <c r="L843" t="s">
        <v>25</v>
      </c>
      <c r="M843" t="s">
        <v>575</v>
      </c>
      <c r="N843">
        <v>69</v>
      </c>
      <c r="O843">
        <v>1449000</v>
      </c>
      <c r="P843" t="str">
        <f>IF(T[[#This Row],[qty_ordered]]&lt;&gt;T[[#This Row],[qty_received]],IF(T[[#This Row],[qty_received]]&gt;0,"Partial Received","Not Receviced"),"FullyReceived")</f>
        <v>FullyReceived</v>
      </c>
      <c r="Q843" t="str">
        <f>IF(T[[#This Row],[qty_received]]&lt;&gt;T[[#This Row],[qty_invoiced]],IF(T[[#This Row],[qty_invoiced]]&gt;0,"Partial Invoiced","Not Invoiced"),"Fully Invoiced")</f>
        <v>Fully Invoiced</v>
      </c>
      <c r="R843" t="str">
        <f>IFERROR(VLOOKUP(T[[#This Row],[warehouse]],Table2[],2,FALSE),"--")</f>
        <v>PZU Packaging Warehouse</v>
      </c>
    </row>
    <row r="844" spans="1:18" x14ac:dyDescent="0.25">
      <c r="A844" t="s">
        <v>423</v>
      </c>
      <c r="B844" s="1">
        <v>44096</v>
      </c>
      <c r="C844" t="s">
        <v>851</v>
      </c>
      <c r="D844" t="s">
        <v>20</v>
      </c>
      <c r="E844" t="s">
        <v>146</v>
      </c>
      <c r="F844" t="s">
        <v>147</v>
      </c>
      <c r="G844" t="s">
        <v>148</v>
      </c>
      <c r="H844" t="s">
        <v>149</v>
      </c>
      <c r="I844">
        <v>12000</v>
      </c>
      <c r="J844">
        <v>12000</v>
      </c>
      <c r="K844">
        <v>12000</v>
      </c>
      <c r="L844" t="s">
        <v>25</v>
      </c>
      <c r="M844" t="s">
        <v>575</v>
      </c>
      <c r="N844">
        <v>65</v>
      </c>
      <c r="O844">
        <v>780000</v>
      </c>
      <c r="P844" t="str">
        <f>IF(T[[#This Row],[qty_ordered]]&lt;&gt;T[[#This Row],[qty_received]],IF(T[[#This Row],[qty_received]]&gt;0,"Partial Received","Not Receviced"),"FullyReceived")</f>
        <v>FullyReceived</v>
      </c>
      <c r="Q844" t="str">
        <f>IF(T[[#This Row],[qty_received]]&lt;&gt;T[[#This Row],[qty_invoiced]],IF(T[[#This Row],[qty_invoiced]]&gt;0,"Partial Invoiced","Not Invoiced"),"Fully Invoiced")</f>
        <v>Fully Invoiced</v>
      </c>
      <c r="R844" t="str">
        <f>IFERROR(VLOOKUP(T[[#This Row],[warehouse]],Table2[],2,FALSE),"--")</f>
        <v>Khtoum Main Warehouse</v>
      </c>
    </row>
    <row r="845" spans="1:18" x14ac:dyDescent="0.25">
      <c r="A845" t="s">
        <v>534</v>
      </c>
      <c r="B845" s="1">
        <v>43874</v>
      </c>
      <c r="C845" t="s">
        <v>631</v>
      </c>
      <c r="D845" t="s">
        <v>71</v>
      </c>
      <c r="E845" t="s">
        <v>66</v>
      </c>
      <c r="F845" t="s">
        <v>327</v>
      </c>
      <c r="G845" t="s">
        <v>328</v>
      </c>
      <c r="H845" t="s">
        <v>123</v>
      </c>
      <c r="I845">
        <v>15000</v>
      </c>
      <c r="J845">
        <v>9070</v>
      </c>
      <c r="K845">
        <v>9070</v>
      </c>
      <c r="L845" t="s">
        <v>25</v>
      </c>
      <c r="M845" t="s">
        <v>132</v>
      </c>
      <c r="N845">
        <v>8300</v>
      </c>
      <c r="O845">
        <v>75281000</v>
      </c>
      <c r="P845" t="str">
        <f>IF(T[[#This Row],[qty_ordered]]&lt;&gt;T[[#This Row],[qty_received]],IF(T[[#This Row],[qty_received]]&gt;0,"Partial Received","Not Receviced"),"FullyReceived")</f>
        <v>Partial Received</v>
      </c>
      <c r="Q845" t="str">
        <f>IF(T[[#This Row],[qty_received]]&lt;&gt;T[[#This Row],[qty_invoiced]],IF(T[[#This Row],[qty_invoiced]]&gt;0,"Partial Invoiced","Not Invoiced"),"Fully Invoiced")</f>
        <v>Fully Invoiced</v>
      </c>
      <c r="R845" t="str">
        <f>IFERROR(VLOOKUP(T[[#This Row],[warehouse]],Table2[],2,FALSE),"--")</f>
        <v>PZU Main Warehouse</v>
      </c>
    </row>
    <row r="846" spans="1:18" x14ac:dyDescent="0.25">
      <c r="A846" t="s">
        <v>153</v>
      </c>
      <c r="B846" s="1">
        <v>44095</v>
      </c>
      <c r="C846" t="s">
        <v>848</v>
      </c>
      <c r="D846" t="s">
        <v>71</v>
      </c>
      <c r="E846" t="s">
        <v>66</v>
      </c>
      <c r="F846" t="s">
        <v>167</v>
      </c>
      <c r="G846" t="s">
        <v>156</v>
      </c>
      <c r="H846" t="s">
        <v>24</v>
      </c>
      <c r="I846">
        <v>375</v>
      </c>
      <c r="J846">
        <v>0</v>
      </c>
      <c r="K846">
        <v>0</v>
      </c>
      <c r="L846" t="s">
        <v>25</v>
      </c>
      <c r="M846" t="s">
        <v>132</v>
      </c>
      <c r="N846">
        <v>400000</v>
      </c>
      <c r="O846">
        <v>0</v>
      </c>
      <c r="P846" t="str">
        <f>IF(T[[#This Row],[qty_ordered]]&lt;&gt;T[[#This Row],[qty_received]],IF(T[[#This Row],[qty_received]]&gt;0,"Partial Received","Not Receviced"),"FullyReceived")</f>
        <v>Not Receviced</v>
      </c>
      <c r="Q846" t="str">
        <f>IF(T[[#This Row],[qty_received]]&lt;&gt;T[[#This Row],[qty_invoiced]],IF(T[[#This Row],[qty_invoiced]]&gt;0,"Partial Invoiced","Not Invoiced"),"Fully Invoiced")</f>
        <v>Fully Invoiced</v>
      </c>
      <c r="R846" t="str">
        <f>IFERROR(VLOOKUP(T[[#This Row],[warehouse]],Table2[],2,FALSE),"--")</f>
        <v>PZU Main Warehouse</v>
      </c>
    </row>
    <row r="847" spans="1:18" x14ac:dyDescent="0.25">
      <c r="A847" t="s">
        <v>153</v>
      </c>
      <c r="B847" s="1">
        <v>44095</v>
      </c>
      <c r="C847" t="s">
        <v>848</v>
      </c>
      <c r="D847" t="s">
        <v>100</v>
      </c>
      <c r="E847" t="s">
        <v>66</v>
      </c>
      <c r="F847" t="s">
        <v>167</v>
      </c>
      <c r="G847" t="s">
        <v>156</v>
      </c>
      <c r="H847" t="s">
        <v>24</v>
      </c>
      <c r="I847">
        <v>286</v>
      </c>
      <c r="J847">
        <v>0</v>
      </c>
      <c r="K847">
        <v>0</v>
      </c>
      <c r="L847" t="s">
        <v>25</v>
      </c>
      <c r="M847" t="s">
        <v>132</v>
      </c>
      <c r="N847">
        <v>420000</v>
      </c>
      <c r="O847">
        <v>0</v>
      </c>
      <c r="P847" t="str">
        <f>IF(T[[#This Row],[qty_ordered]]&lt;&gt;T[[#This Row],[qty_received]],IF(T[[#This Row],[qty_received]]&gt;0,"Partial Received","Not Receviced"),"FullyReceived")</f>
        <v>Not Receviced</v>
      </c>
      <c r="Q847" t="str">
        <f>IF(T[[#This Row],[qty_received]]&lt;&gt;T[[#This Row],[qty_invoiced]],IF(T[[#This Row],[qty_invoiced]]&gt;0,"Partial Invoiced","Not Invoiced"),"Fully Invoiced")</f>
        <v>Fully Invoiced</v>
      </c>
      <c r="R847" t="str">
        <f>IFERROR(VLOOKUP(T[[#This Row],[warehouse]],Table2[],2,FALSE),"--")</f>
        <v>PZU Main Warehouse</v>
      </c>
    </row>
    <row r="848" spans="1:18" x14ac:dyDescent="0.25">
      <c r="A848" t="s">
        <v>852</v>
      </c>
      <c r="B848" s="1">
        <v>44091</v>
      </c>
      <c r="C848" t="s">
        <v>853</v>
      </c>
      <c r="D848" t="s">
        <v>20</v>
      </c>
      <c r="E848" t="s">
        <v>51</v>
      </c>
      <c r="F848" t="s">
        <v>52</v>
      </c>
      <c r="G848" t="s">
        <v>75</v>
      </c>
      <c r="H848" t="s">
        <v>54</v>
      </c>
      <c r="I848">
        <v>1</v>
      </c>
      <c r="J848">
        <v>0</v>
      </c>
      <c r="K848">
        <v>1</v>
      </c>
      <c r="L848" t="s">
        <v>25</v>
      </c>
      <c r="M848" t="s">
        <v>132</v>
      </c>
      <c r="N848">
        <v>143000</v>
      </c>
      <c r="O848">
        <v>0</v>
      </c>
      <c r="P848" t="str">
        <f>IF(T[[#This Row],[qty_ordered]]&lt;&gt;T[[#This Row],[qty_received]],IF(T[[#This Row],[qty_received]]&gt;0,"Partial Received","Not Receviced"),"FullyReceived")</f>
        <v>Not Receviced</v>
      </c>
      <c r="Q848" t="str">
        <f>IF(T[[#This Row],[qty_received]]&lt;&gt;T[[#This Row],[qty_invoiced]],IF(T[[#This Row],[qty_invoiced]]&gt;0,"Partial Invoiced","Not Invoiced"),"Fully Invoiced")</f>
        <v>Partial Invoiced</v>
      </c>
      <c r="R848" t="str">
        <f>IFERROR(VLOOKUP(T[[#This Row],[warehouse]],Table2[],2,FALSE),"--")</f>
        <v>--</v>
      </c>
    </row>
    <row r="849" spans="1:18" x14ac:dyDescent="0.25">
      <c r="A849" t="s">
        <v>423</v>
      </c>
      <c r="B849" s="1">
        <v>44096</v>
      </c>
      <c r="C849" t="s">
        <v>851</v>
      </c>
      <c r="D849" t="s">
        <v>71</v>
      </c>
      <c r="E849" t="s">
        <v>146</v>
      </c>
      <c r="F849" t="s">
        <v>147</v>
      </c>
      <c r="G849" t="s">
        <v>148</v>
      </c>
      <c r="H849" t="s">
        <v>149</v>
      </c>
      <c r="I849">
        <v>21000</v>
      </c>
      <c r="J849">
        <v>21000</v>
      </c>
      <c r="K849">
        <v>21000</v>
      </c>
      <c r="L849" t="s">
        <v>25</v>
      </c>
      <c r="M849" t="s">
        <v>575</v>
      </c>
      <c r="N849">
        <v>65</v>
      </c>
      <c r="O849">
        <v>1365000</v>
      </c>
      <c r="P849" t="str">
        <f>IF(T[[#This Row],[qty_ordered]]&lt;&gt;T[[#This Row],[qty_received]],IF(T[[#This Row],[qty_received]]&gt;0,"Partial Received","Not Receviced"),"FullyReceived")</f>
        <v>FullyReceived</v>
      </c>
      <c r="Q849" t="str">
        <f>IF(T[[#This Row],[qty_received]]&lt;&gt;T[[#This Row],[qty_invoiced]],IF(T[[#This Row],[qty_invoiced]]&gt;0,"Partial Invoiced","Not Invoiced"),"Fully Invoiced")</f>
        <v>Fully Invoiced</v>
      </c>
      <c r="R849" t="str">
        <f>IFERROR(VLOOKUP(T[[#This Row],[warehouse]],Table2[],2,FALSE),"--")</f>
        <v>Khtoum Main Warehouse</v>
      </c>
    </row>
    <row r="850" spans="1:18" x14ac:dyDescent="0.25">
      <c r="A850" t="s">
        <v>153</v>
      </c>
      <c r="B850" s="1">
        <v>44095</v>
      </c>
      <c r="C850" t="s">
        <v>848</v>
      </c>
      <c r="D850" t="s">
        <v>88</v>
      </c>
      <c r="E850" t="s">
        <v>66</v>
      </c>
      <c r="F850" t="s">
        <v>167</v>
      </c>
      <c r="G850" t="s">
        <v>156</v>
      </c>
      <c r="H850" t="s">
        <v>24</v>
      </c>
      <c r="I850">
        <v>189</v>
      </c>
      <c r="J850">
        <v>0</v>
      </c>
      <c r="K850">
        <v>0</v>
      </c>
      <c r="L850" t="s">
        <v>25</v>
      </c>
      <c r="M850" t="s">
        <v>132</v>
      </c>
      <c r="N850">
        <v>420000</v>
      </c>
      <c r="O850">
        <v>0</v>
      </c>
      <c r="P850" t="str">
        <f>IF(T[[#This Row],[qty_ordered]]&lt;&gt;T[[#This Row],[qty_received]],IF(T[[#This Row],[qty_received]]&gt;0,"Partial Received","Not Receviced"),"FullyReceived")</f>
        <v>Not Receviced</v>
      </c>
      <c r="Q850" t="str">
        <f>IF(T[[#This Row],[qty_received]]&lt;&gt;T[[#This Row],[qty_invoiced]],IF(T[[#This Row],[qty_invoiced]]&gt;0,"Partial Invoiced","Not Invoiced"),"Fully Invoiced")</f>
        <v>Fully Invoiced</v>
      </c>
      <c r="R850" t="str">
        <f>IFERROR(VLOOKUP(T[[#This Row],[warehouse]],Table2[],2,FALSE),"--")</f>
        <v>PZU Main Warehouse</v>
      </c>
    </row>
    <row r="851" spans="1:18" x14ac:dyDescent="0.25">
      <c r="A851" t="s">
        <v>721</v>
      </c>
      <c r="B851" s="1">
        <v>44054</v>
      </c>
      <c r="C851" t="s">
        <v>722</v>
      </c>
      <c r="D851" t="s">
        <v>88</v>
      </c>
      <c r="E851" t="s">
        <v>723</v>
      </c>
      <c r="F851" t="s">
        <v>219</v>
      </c>
      <c r="G851" t="s">
        <v>724</v>
      </c>
      <c r="H851" t="s">
        <v>221</v>
      </c>
      <c r="I851">
        <v>21641.599999999999</v>
      </c>
      <c r="J851">
        <v>21641.599999999999</v>
      </c>
      <c r="K851">
        <v>21641.599999999999</v>
      </c>
      <c r="L851" t="s">
        <v>25</v>
      </c>
      <c r="M851" t="s">
        <v>132</v>
      </c>
      <c r="N851">
        <v>13619.025</v>
      </c>
      <c r="O851">
        <v>294737491.44</v>
      </c>
      <c r="P851" t="str">
        <f>IF(T[[#This Row],[qty_ordered]]&lt;&gt;T[[#This Row],[qty_received]],IF(T[[#This Row],[qty_received]]&gt;0,"Partial Received","Not Receviced"),"FullyReceived")</f>
        <v>FullyReceived</v>
      </c>
      <c r="Q851" t="str">
        <f>IF(T[[#This Row],[qty_received]]&lt;&gt;T[[#This Row],[qty_invoiced]],IF(T[[#This Row],[qty_invoiced]]&gt;0,"Partial Invoiced","Not Invoiced"),"Fully Invoiced")</f>
        <v>Fully Invoiced</v>
      </c>
      <c r="R851" t="str">
        <f>IFERROR(VLOOKUP(T[[#This Row],[warehouse]],Table2[],2,FALSE),"--")</f>
        <v>YELLOW BEANS</v>
      </c>
    </row>
    <row r="852" spans="1:18" x14ac:dyDescent="0.25">
      <c r="A852" t="s">
        <v>72</v>
      </c>
      <c r="B852" s="1">
        <v>43857</v>
      </c>
      <c r="C852" t="s">
        <v>656</v>
      </c>
      <c r="D852" t="s">
        <v>76</v>
      </c>
      <c r="E852" t="s">
        <v>51</v>
      </c>
      <c r="F852" t="s">
        <v>183</v>
      </c>
      <c r="G852" t="s">
        <v>854</v>
      </c>
      <c r="H852" t="s">
        <v>54</v>
      </c>
      <c r="I852">
        <v>103.59</v>
      </c>
      <c r="J852">
        <v>0</v>
      </c>
      <c r="K852">
        <v>1</v>
      </c>
      <c r="L852" t="s">
        <v>25</v>
      </c>
      <c r="M852" t="s">
        <v>533</v>
      </c>
      <c r="N852">
        <v>1200</v>
      </c>
      <c r="O852">
        <v>0</v>
      </c>
      <c r="P852" t="str">
        <f>IF(T[[#This Row],[qty_ordered]]&lt;&gt;T[[#This Row],[qty_received]],IF(T[[#This Row],[qty_received]]&gt;0,"Partial Received","Not Receviced"),"FullyReceived")</f>
        <v>Not Receviced</v>
      </c>
      <c r="Q852" t="str">
        <f>IF(T[[#This Row],[qty_received]]&lt;&gt;T[[#This Row],[qty_invoiced]],IF(T[[#This Row],[qty_invoiced]]&gt;0,"Partial Invoiced","Not Invoiced"),"Fully Invoiced")</f>
        <v>Partial Invoiced</v>
      </c>
      <c r="R852" t="str">
        <f>IFERROR(VLOOKUP(T[[#This Row],[warehouse]],Table2[],2,FALSE),"--")</f>
        <v>--</v>
      </c>
    </row>
    <row r="853" spans="1:18" x14ac:dyDescent="0.25">
      <c r="A853" t="s">
        <v>72</v>
      </c>
      <c r="B853" s="1">
        <v>43857</v>
      </c>
      <c r="C853" t="s">
        <v>656</v>
      </c>
      <c r="D853" t="s">
        <v>212</v>
      </c>
      <c r="E853" t="s">
        <v>51</v>
      </c>
      <c r="F853" t="s">
        <v>254</v>
      </c>
      <c r="G853" t="s">
        <v>255</v>
      </c>
      <c r="H853" t="s">
        <v>54</v>
      </c>
      <c r="I853">
        <v>1900</v>
      </c>
      <c r="J853">
        <v>0</v>
      </c>
      <c r="K853">
        <v>1</v>
      </c>
      <c r="L853" t="s">
        <v>25</v>
      </c>
      <c r="M853" t="s">
        <v>533</v>
      </c>
      <c r="N853">
        <v>15</v>
      </c>
      <c r="O853">
        <v>0</v>
      </c>
      <c r="P853" t="str">
        <f>IF(T[[#This Row],[qty_ordered]]&lt;&gt;T[[#This Row],[qty_received]],IF(T[[#This Row],[qty_received]]&gt;0,"Partial Received","Not Receviced"),"FullyReceived")</f>
        <v>Not Receviced</v>
      </c>
      <c r="Q853" t="str">
        <f>IF(T[[#This Row],[qty_received]]&lt;&gt;T[[#This Row],[qty_invoiced]],IF(T[[#This Row],[qty_invoiced]]&gt;0,"Partial Invoiced","Not Invoiced"),"Fully Invoiced")</f>
        <v>Partial Invoiced</v>
      </c>
      <c r="R853" t="str">
        <f>IFERROR(VLOOKUP(T[[#This Row],[warehouse]],Table2[],2,FALSE),"--")</f>
        <v>--</v>
      </c>
    </row>
    <row r="854" spans="1:18" x14ac:dyDescent="0.25">
      <c r="A854" t="s">
        <v>72</v>
      </c>
      <c r="B854" s="1">
        <v>43857</v>
      </c>
      <c r="C854" t="s">
        <v>656</v>
      </c>
      <c r="D854" t="s">
        <v>322</v>
      </c>
      <c r="E854" t="s">
        <v>51</v>
      </c>
      <c r="F854" t="s">
        <v>254</v>
      </c>
      <c r="G854" t="s">
        <v>255</v>
      </c>
      <c r="H854" t="s">
        <v>54</v>
      </c>
      <c r="I854">
        <v>4</v>
      </c>
      <c r="J854">
        <v>0</v>
      </c>
      <c r="K854">
        <v>1</v>
      </c>
      <c r="L854" t="s">
        <v>25</v>
      </c>
      <c r="M854" t="s">
        <v>533</v>
      </c>
      <c r="N854">
        <v>1500</v>
      </c>
      <c r="O854">
        <v>0</v>
      </c>
      <c r="P854" t="str">
        <f>IF(T[[#This Row],[qty_ordered]]&lt;&gt;T[[#This Row],[qty_received]],IF(T[[#This Row],[qty_received]]&gt;0,"Partial Received","Not Receviced"),"FullyReceived")</f>
        <v>Not Receviced</v>
      </c>
      <c r="Q854" t="str">
        <f>IF(T[[#This Row],[qty_received]]&lt;&gt;T[[#This Row],[qty_invoiced]],IF(T[[#This Row],[qty_invoiced]]&gt;0,"Partial Invoiced","Not Invoiced"),"Fully Invoiced")</f>
        <v>Partial Invoiced</v>
      </c>
      <c r="R854" t="str">
        <f>IFERROR(VLOOKUP(T[[#This Row],[warehouse]],Table2[],2,FALSE),"--")</f>
        <v>--</v>
      </c>
    </row>
    <row r="855" spans="1:18" x14ac:dyDescent="0.25">
      <c r="A855" t="s">
        <v>72</v>
      </c>
      <c r="B855" s="1">
        <v>43857</v>
      </c>
      <c r="C855" t="s">
        <v>656</v>
      </c>
      <c r="D855" t="s">
        <v>323</v>
      </c>
      <c r="E855" t="s">
        <v>51</v>
      </c>
      <c r="F855" t="s">
        <v>254</v>
      </c>
      <c r="G855" t="s">
        <v>255</v>
      </c>
      <c r="H855" t="s">
        <v>54</v>
      </c>
      <c r="I855">
        <v>1900</v>
      </c>
      <c r="J855">
        <v>0</v>
      </c>
      <c r="K855">
        <v>1</v>
      </c>
      <c r="L855" t="s">
        <v>25</v>
      </c>
      <c r="M855" t="s">
        <v>533</v>
      </c>
      <c r="N855">
        <v>3.6842109999999999</v>
      </c>
      <c r="O855">
        <v>0</v>
      </c>
      <c r="P855" t="str">
        <f>IF(T[[#This Row],[qty_ordered]]&lt;&gt;T[[#This Row],[qty_received]],IF(T[[#This Row],[qty_received]]&gt;0,"Partial Received","Not Receviced"),"FullyReceived")</f>
        <v>Not Receviced</v>
      </c>
      <c r="Q855" t="str">
        <f>IF(T[[#This Row],[qty_received]]&lt;&gt;T[[#This Row],[qty_invoiced]],IF(T[[#This Row],[qty_invoiced]]&gt;0,"Partial Invoiced","Not Invoiced"),"Fully Invoiced")</f>
        <v>Partial Invoiced</v>
      </c>
      <c r="R855" t="str">
        <f>IFERROR(VLOOKUP(T[[#This Row],[warehouse]],Table2[],2,FALSE),"--")</f>
        <v>--</v>
      </c>
    </row>
    <row r="856" spans="1:18" x14ac:dyDescent="0.25">
      <c r="A856" t="s">
        <v>727</v>
      </c>
      <c r="B856" s="1">
        <v>44053</v>
      </c>
      <c r="C856" t="s">
        <v>728</v>
      </c>
      <c r="D856" t="s">
        <v>100</v>
      </c>
      <c r="E856" t="s">
        <v>723</v>
      </c>
      <c r="F856" t="s">
        <v>219</v>
      </c>
      <c r="G856" t="s">
        <v>724</v>
      </c>
      <c r="H856" t="s">
        <v>221</v>
      </c>
      <c r="I856">
        <v>12103.92</v>
      </c>
      <c r="J856">
        <v>12103.92</v>
      </c>
      <c r="K856">
        <v>12103.92</v>
      </c>
      <c r="L856" t="s">
        <v>25</v>
      </c>
      <c r="M856" t="s">
        <v>132</v>
      </c>
      <c r="N856">
        <v>11606.29</v>
      </c>
      <c r="O856">
        <v>140481605.6568</v>
      </c>
      <c r="P856" t="str">
        <f>IF(T[[#This Row],[qty_ordered]]&lt;&gt;T[[#This Row],[qty_received]],IF(T[[#This Row],[qty_received]]&gt;0,"Partial Received","Not Receviced"),"FullyReceived")</f>
        <v>FullyReceived</v>
      </c>
      <c r="Q856" t="str">
        <f>IF(T[[#This Row],[qty_received]]&lt;&gt;T[[#This Row],[qty_invoiced]],IF(T[[#This Row],[qty_invoiced]]&gt;0,"Partial Invoiced","Not Invoiced"),"Fully Invoiced")</f>
        <v>Fully Invoiced</v>
      </c>
      <c r="R856" t="str">
        <f>IFERROR(VLOOKUP(T[[#This Row],[warehouse]],Table2[],2,FALSE),"--")</f>
        <v>YELLOW BEANS</v>
      </c>
    </row>
    <row r="857" spans="1:18" x14ac:dyDescent="0.25">
      <c r="A857" t="s">
        <v>727</v>
      </c>
      <c r="B857" s="1">
        <v>44053</v>
      </c>
      <c r="C857" t="s">
        <v>728</v>
      </c>
      <c r="D857" t="s">
        <v>88</v>
      </c>
      <c r="E857" t="s">
        <v>723</v>
      </c>
      <c r="F857" t="s">
        <v>219</v>
      </c>
      <c r="G857" t="s">
        <v>724</v>
      </c>
      <c r="H857" t="s">
        <v>221</v>
      </c>
      <c r="I857">
        <v>11915.8</v>
      </c>
      <c r="J857">
        <v>11915.8</v>
      </c>
      <c r="K857">
        <v>11915.8</v>
      </c>
      <c r="L857" t="s">
        <v>25</v>
      </c>
      <c r="M857" t="s">
        <v>132</v>
      </c>
      <c r="N857">
        <v>14623.966</v>
      </c>
      <c r="O857">
        <v>174256254.06279999</v>
      </c>
      <c r="P857" t="str">
        <f>IF(T[[#This Row],[qty_ordered]]&lt;&gt;T[[#This Row],[qty_received]],IF(T[[#This Row],[qty_received]]&gt;0,"Partial Received","Not Receviced"),"FullyReceived")</f>
        <v>FullyReceived</v>
      </c>
      <c r="Q857" t="str">
        <f>IF(T[[#This Row],[qty_received]]&lt;&gt;T[[#This Row],[qty_invoiced]],IF(T[[#This Row],[qty_invoiced]]&gt;0,"Partial Invoiced","Not Invoiced"),"Fully Invoiced")</f>
        <v>Fully Invoiced</v>
      </c>
      <c r="R857" t="str">
        <f>IFERROR(VLOOKUP(T[[#This Row],[warehouse]],Table2[],2,FALSE),"--")</f>
        <v>YELLOW BEANS</v>
      </c>
    </row>
    <row r="858" spans="1:18" x14ac:dyDescent="0.25">
      <c r="A858" t="s">
        <v>727</v>
      </c>
      <c r="B858" s="1">
        <v>44053</v>
      </c>
      <c r="C858" t="s">
        <v>728</v>
      </c>
      <c r="D858" t="s">
        <v>74</v>
      </c>
      <c r="E858" t="s">
        <v>723</v>
      </c>
      <c r="F858" t="s">
        <v>219</v>
      </c>
      <c r="G858" t="s">
        <v>724</v>
      </c>
      <c r="H858" t="s">
        <v>221</v>
      </c>
      <c r="I858">
        <v>12179.45</v>
      </c>
      <c r="J858">
        <v>12179.45</v>
      </c>
      <c r="K858">
        <v>12179.45</v>
      </c>
      <c r="L858" t="s">
        <v>25</v>
      </c>
      <c r="M858" t="s">
        <v>132</v>
      </c>
      <c r="N858">
        <v>14623.94</v>
      </c>
      <c r="O858">
        <v>178111546.03299999</v>
      </c>
      <c r="P858" t="str">
        <f>IF(T[[#This Row],[qty_ordered]]&lt;&gt;T[[#This Row],[qty_received]],IF(T[[#This Row],[qty_received]]&gt;0,"Partial Received","Not Receviced"),"FullyReceived")</f>
        <v>FullyReceived</v>
      </c>
      <c r="Q858" t="str">
        <f>IF(T[[#This Row],[qty_received]]&lt;&gt;T[[#This Row],[qty_invoiced]],IF(T[[#This Row],[qty_invoiced]]&gt;0,"Partial Invoiced","Not Invoiced"),"Fully Invoiced")</f>
        <v>Fully Invoiced</v>
      </c>
      <c r="R858" t="str">
        <f>IFERROR(VLOOKUP(T[[#This Row],[warehouse]],Table2[],2,FALSE),"--")</f>
        <v>YELLOW BEANS</v>
      </c>
    </row>
    <row r="859" spans="1:18" x14ac:dyDescent="0.25">
      <c r="A859" t="s">
        <v>727</v>
      </c>
      <c r="B859" s="1">
        <v>44053</v>
      </c>
      <c r="C859" t="s">
        <v>728</v>
      </c>
      <c r="D859" t="s">
        <v>76</v>
      </c>
      <c r="E859" t="s">
        <v>723</v>
      </c>
      <c r="F859" t="s">
        <v>219</v>
      </c>
      <c r="G859" t="s">
        <v>724</v>
      </c>
      <c r="H859" t="s">
        <v>221</v>
      </c>
      <c r="I859">
        <v>13144.79</v>
      </c>
      <c r="J859">
        <v>13144.79</v>
      </c>
      <c r="K859">
        <v>13144.79</v>
      </c>
      <c r="L859" t="s">
        <v>25</v>
      </c>
      <c r="M859" t="s">
        <v>132</v>
      </c>
      <c r="N859">
        <v>14984.69</v>
      </c>
      <c r="O859">
        <v>196970603.2651</v>
      </c>
      <c r="P859" t="str">
        <f>IF(T[[#This Row],[qty_ordered]]&lt;&gt;T[[#This Row],[qty_received]],IF(T[[#This Row],[qty_received]]&gt;0,"Partial Received","Not Receviced"),"FullyReceived")</f>
        <v>FullyReceived</v>
      </c>
      <c r="Q859" t="str">
        <f>IF(T[[#This Row],[qty_received]]&lt;&gt;T[[#This Row],[qty_invoiced]],IF(T[[#This Row],[qty_invoiced]]&gt;0,"Partial Invoiced","Not Invoiced"),"Fully Invoiced")</f>
        <v>Fully Invoiced</v>
      </c>
      <c r="R859" t="str">
        <f>IFERROR(VLOOKUP(T[[#This Row],[warehouse]],Table2[],2,FALSE),"--")</f>
        <v>YELLOW BEANS</v>
      </c>
    </row>
    <row r="860" spans="1:18" x14ac:dyDescent="0.25">
      <c r="A860" t="s">
        <v>462</v>
      </c>
      <c r="B860" s="1">
        <v>43643</v>
      </c>
      <c r="C860" t="s">
        <v>504</v>
      </c>
      <c r="D860" t="s">
        <v>451</v>
      </c>
      <c r="E860" t="s">
        <v>51</v>
      </c>
      <c r="F860" t="s">
        <v>247</v>
      </c>
      <c r="G860" t="s">
        <v>247</v>
      </c>
      <c r="H860" t="s">
        <v>54</v>
      </c>
      <c r="I860">
        <v>374</v>
      </c>
      <c r="J860">
        <v>0</v>
      </c>
      <c r="K860">
        <v>1</v>
      </c>
      <c r="L860" t="s">
        <v>25</v>
      </c>
      <c r="M860" t="s">
        <v>359</v>
      </c>
      <c r="N860">
        <v>3000</v>
      </c>
      <c r="O860">
        <v>0</v>
      </c>
      <c r="P860" t="str">
        <f>IF(T[[#This Row],[qty_ordered]]&lt;&gt;T[[#This Row],[qty_received]],IF(T[[#This Row],[qty_received]]&gt;0,"Partial Received","Not Receviced"),"FullyReceived")</f>
        <v>Not Receviced</v>
      </c>
      <c r="Q860" t="str">
        <f>IF(T[[#This Row],[qty_received]]&lt;&gt;T[[#This Row],[qty_invoiced]],IF(T[[#This Row],[qty_invoiced]]&gt;0,"Partial Invoiced","Not Invoiced"),"Fully Invoiced")</f>
        <v>Partial Invoiced</v>
      </c>
      <c r="R860" t="str">
        <f>IFERROR(VLOOKUP(T[[#This Row],[warehouse]],Table2[],2,FALSE),"--")</f>
        <v>--</v>
      </c>
    </row>
    <row r="861" spans="1:18" x14ac:dyDescent="0.25">
      <c r="A861" t="s">
        <v>462</v>
      </c>
      <c r="B861" s="1">
        <v>43643</v>
      </c>
      <c r="C861" t="s">
        <v>504</v>
      </c>
      <c r="D861" t="s">
        <v>452</v>
      </c>
      <c r="E861" t="s">
        <v>51</v>
      </c>
      <c r="F861" t="s">
        <v>247</v>
      </c>
      <c r="G861" t="s">
        <v>247</v>
      </c>
      <c r="H861" t="s">
        <v>54</v>
      </c>
      <c r="I861">
        <v>50</v>
      </c>
      <c r="J861">
        <v>0</v>
      </c>
      <c r="K861">
        <v>1</v>
      </c>
      <c r="L861" t="s">
        <v>25</v>
      </c>
      <c r="M861" t="s">
        <v>359</v>
      </c>
      <c r="N861">
        <v>3000</v>
      </c>
      <c r="O861">
        <v>0</v>
      </c>
      <c r="P861" t="str">
        <f>IF(T[[#This Row],[qty_ordered]]&lt;&gt;T[[#This Row],[qty_received]],IF(T[[#This Row],[qty_received]]&gt;0,"Partial Received","Not Receviced"),"FullyReceived")</f>
        <v>Not Receviced</v>
      </c>
      <c r="Q861" t="str">
        <f>IF(T[[#This Row],[qty_received]]&lt;&gt;T[[#This Row],[qty_invoiced]],IF(T[[#This Row],[qty_invoiced]]&gt;0,"Partial Invoiced","Not Invoiced"),"Fully Invoiced")</f>
        <v>Partial Invoiced</v>
      </c>
      <c r="R861" t="str">
        <f>IFERROR(VLOOKUP(T[[#This Row],[warehouse]],Table2[],2,FALSE),"--")</f>
        <v>--</v>
      </c>
    </row>
    <row r="862" spans="1:18" x14ac:dyDescent="0.25">
      <c r="A862" t="s">
        <v>181</v>
      </c>
      <c r="B862" s="1">
        <v>43732</v>
      </c>
      <c r="C862" t="s">
        <v>855</v>
      </c>
      <c r="D862" t="s">
        <v>20</v>
      </c>
      <c r="E862" t="s">
        <v>51</v>
      </c>
      <c r="F862" t="s">
        <v>183</v>
      </c>
      <c r="G862" t="s">
        <v>183</v>
      </c>
      <c r="H862" t="s">
        <v>54</v>
      </c>
      <c r="I862">
        <v>55.12</v>
      </c>
      <c r="J862">
        <v>0</v>
      </c>
      <c r="K862">
        <v>1</v>
      </c>
      <c r="L862" t="s">
        <v>25</v>
      </c>
      <c r="M862" t="s">
        <v>359</v>
      </c>
      <c r="N862">
        <v>575</v>
      </c>
      <c r="O862">
        <v>0</v>
      </c>
      <c r="P862" t="str">
        <f>IF(T[[#This Row],[qty_ordered]]&lt;&gt;T[[#This Row],[qty_received]],IF(T[[#This Row],[qty_received]]&gt;0,"Partial Received","Not Receviced"),"FullyReceived")</f>
        <v>Not Receviced</v>
      </c>
      <c r="Q862" t="str">
        <f>IF(T[[#This Row],[qty_received]]&lt;&gt;T[[#This Row],[qty_invoiced]],IF(T[[#This Row],[qty_invoiced]]&gt;0,"Partial Invoiced","Not Invoiced"),"Fully Invoiced")</f>
        <v>Partial Invoiced</v>
      </c>
      <c r="R862" t="str">
        <f>IFERROR(VLOOKUP(T[[#This Row],[warehouse]],Table2[],2,FALSE),"--")</f>
        <v>--</v>
      </c>
    </row>
    <row r="863" spans="1:18" x14ac:dyDescent="0.25">
      <c r="A863" t="s">
        <v>669</v>
      </c>
      <c r="B863" s="1">
        <v>43740</v>
      </c>
      <c r="C863" t="s">
        <v>670</v>
      </c>
      <c r="D863" t="s">
        <v>20</v>
      </c>
      <c r="E863" t="s">
        <v>51</v>
      </c>
      <c r="F863" t="s">
        <v>52</v>
      </c>
      <c r="G863" t="s">
        <v>75</v>
      </c>
      <c r="H863" t="s">
        <v>54</v>
      </c>
      <c r="I863">
        <v>10827</v>
      </c>
      <c r="J863">
        <v>0</v>
      </c>
      <c r="K863">
        <v>1</v>
      </c>
      <c r="L863" t="s">
        <v>25</v>
      </c>
      <c r="M863" t="s">
        <v>359</v>
      </c>
      <c r="N863">
        <v>750</v>
      </c>
      <c r="O863">
        <v>0</v>
      </c>
      <c r="P863" t="str">
        <f>IF(T[[#This Row],[qty_ordered]]&lt;&gt;T[[#This Row],[qty_received]],IF(T[[#This Row],[qty_received]]&gt;0,"Partial Received","Not Receviced"),"FullyReceived")</f>
        <v>Not Receviced</v>
      </c>
      <c r="Q863" t="str">
        <f>IF(T[[#This Row],[qty_received]]&lt;&gt;T[[#This Row],[qty_invoiced]],IF(T[[#This Row],[qty_invoiced]]&gt;0,"Partial Invoiced","Not Invoiced"),"Fully Invoiced")</f>
        <v>Partial Invoiced</v>
      </c>
      <c r="R863" t="str">
        <f>IFERROR(VLOOKUP(T[[#This Row],[warehouse]],Table2[],2,FALSE),"--")</f>
        <v>--</v>
      </c>
    </row>
    <row r="864" spans="1:18" x14ac:dyDescent="0.25">
      <c r="A864" t="s">
        <v>462</v>
      </c>
      <c r="B864" s="1">
        <v>43745</v>
      </c>
      <c r="C864" t="s">
        <v>856</v>
      </c>
      <c r="D864" t="s">
        <v>20</v>
      </c>
      <c r="E864" t="s">
        <v>51</v>
      </c>
      <c r="F864" t="s">
        <v>247</v>
      </c>
      <c r="G864" t="s">
        <v>247</v>
      </c>
      <c r="H864" t="s">
        <v>54</v>
      </c>
      <c r="I864">
        <v>434</v>
      </c>
      <c r="J864">
        <v>0</v>
      </c>
      <c r="K864">
        <v>1</v>
      </c>
      <c r="L864" t="s">
        <v>25</v>
      </c>
      <c r="M864" t="s">
        <v>359</v>
      </c>
      <c r="N864">
        <v>3000</v>
      </c>
      <c r="O864">
        <v>0</v>
      </c>
      <c r="P864" t="str">
        <f>IF(T[[#This Row],[qty_ordered]]&lt;&gt;T[[#This Row],[qty_received]],IF(T[[#This Row],[qty_received]]&gt;0,"Partial Received","Not Receviced"),"FullyReceived")</f>
        <v>Not Receviced</v>
      </c>
      <c r="Q864" t="str">
        <f>IF(T[[#This Row],[qty_received]]&lt;&gt;T[[#This Row],[qty_invoiced]],IF(T[[#This Row],[qty_invoiced]]&gt;0,"Partial Invoiced","Not Invoiced"),"Fully Invoiced")</f>
        <v>Partial Invoiced</v>
      </c>
      <c r="R864" t="str">
        <f>IFERROR(VLOOKUP(T[[#This Row],[warehouse]],Table2[],2,FALSE),"--")</f>
        <v>--</v>
      </c>
    </row>
    <row r="865" spans="1:18" x14ac:dyDescent="0.25">
      <c r="A865" t="s">
        <v>790</v>
      </c>
      <c r="B865" s="1">
        <v>43753</v>
      </c>
      <c r="C865" t="s">
        <v>857</v>
      </c>
      <c r="D865" t="s">
        <v>20</v>
      </c>
      <c r="E865" t="s">
        <v>51</v>
      </c>
      <c r="F865" t="s">
        <v>164</v>
      </c>
      <c r="G865" t="s">
        <v>164</v>
      </c>
      <c r="H865" t="s">
        <v>54</v>
      </c>
      <c r="I865">
        <v>7205</v>
      </c>
      <c r="J865">
        <v>0</v>
      </c>
      <c r="K865">
        <v>1</v>
      </c>
      <c r="L865" t="s">
        <v>25</v>
      </c>
      <c r="M865" t="s">
        <v>359</v>
      </c>
      <c r="N865">
        <v>2</v>
      </c>
      <c r="O865">
        <v>0</v>
      </c>
      <c r="P865" t="str">
        <f>IF(T[[#This Row],[qty_ordered]]&lt;&gt;T[[#This Row],[qty_received]],IF(T[[#This Row],[qty_received]]&gt;0,"Partial Received","Not Receviced"),"FullyReceived")</f>
        <v>Not Receviced</v>
      </c>
      <c r="Q865" t="str">
        <f>IF(T[[#This Row],[qty_received]]&lt;&gt;T[[#This Row],[qty_invoiced]],IF(T[[#This Row],[qty_invoiced]]&gt;0,"Partial Invoiced","Not Invoiced"),"Fully Invoiced")</f>
        <v>Partial Invoiced</v>
      </c>
      <c r="R865" t="str">
        <f>IFERROR(VLOOKUP(T[[#This Row],[warehouse]],Table2[],2,FALSE),"--")</f>
        <v>--</v>
      </c>
    </row>
    <row r="866" spans="1:18" x14ac:dyDescent="0.25">
      <c r="A866" t="s">
        <v>160</v>
      </c>
      <c r="B866" s="1">
        <v>43446</v>
      </c>
      <c r="C866" t="s">
        <v>349</v>
      </c>
      <c r="D866" t="s">
        <v>71</v>
      </c>
      <c r="E866" t="s">
        <v>51</v>
      </c>
      <c r="F866" t="s">
        <v>52</v>
      </c>
      <c r="G866" t="s">
        <v>75</v>
      </c>
      <c r="H866" t="s">
        <v>54</v>
      </c>
      <c r="I866">
        <v>1803.5</v>
      </c>
      <c r="J866">
        <v>0</v>
      </c>
      <c r="K866">
        <v>0</v>
      </c>
      <c r="L866" t="s">
        <v>25</v>
      </c>
      <c r="M866" t="s">
        <v>26</v>
      </c>
      <c r="N866">
        <v>30369.25</v>
      </c>
      <c r="O866">
        <v>0</v>
      </c>
      <c r="P866" t="str">
        <f>IF(T[[#This Row],[qty_ordered]]&lt;&gt;T[[#This Row],[qty_received]],IF(T[[#This Row],[qty_received]]&gt;0,"Partial Received","Not Receviced"),"FullyReceived")</f>
        <v>Not Receviced</v>
      </c>
      <c r="Q866" t="str">
        <f>IF(T[[#This Row],[qty_received]]&lt;&gt;T[[#This Row],[qty_invoiced]],IF(T[[#This Row],[qty_invoiced]]&gt;0,"Partial Invoiced","Not Invoiced"),"Fully Invoiced")</f>
        <v>Fully Invoiced</v>
      </c>
      <c r="R866" t="str">
        <f>IFERROR(VLOOKUP(T[[#This Row],[warehouse]],Table2[],2,FALSE),"--")</f>
        <v>--</v>
      </c>
    </row>
    <row r="867" spans="1:18" x14ac:dyDescent="0.25">
      <c r="A867" t="s">
        <v>160</v>
      </c>
      <c r="B867" s="1">
        <v>43457</v>
      </c>
      <c r="C867" t="s">
        <v>216</v>
      </c>
      <c r="D867" t="s">
        <v>100</v>
      </c>
      <c r="E867" t="s">
        <v>51</v>
      </c>
      <c r="F867" t="s">
        <v>52</v>
      </c>
      <c r="G867" t="s">
        <v>75</v>
      </c>
      <c r="H867" t="s">
        <v>54</v>
      </c>
      <c r="I867">
        <v>972.92</v>
      </c>
      <c r="J867">
        <v>0</v>
      </c>
      <c r="K867">
        <v>0</v>
      </c>
      <c r="L867" t="s">
        <v>25</v>
      </c>
      <c r="M867" t="s">
        <v>26</v>
      </c>
      <c r="N867">
        <v>57364.25</v>
      </c>
      <c r="O867">
        <v>0</v>
      </c>
      <c r="P867" t="str">
        <f>IF(T[[#This Row],[qty_ordered]]&lt;&gt;T[[#This Row],[qty_received]],IF(T[[#This Row],[qty_received]]&gt;0,"Partial Received","Not Receviced"),"FullyReceived")</f>
        <v>Not Receviced</v>
      </c>
      <c r="Q867" t="str">
        <f>IF(T[[#This Row],[qty_received]]&lt;&gt;T[[#This Row],[qty_invoiced]],IF(T[[#This Row],[qty_invoiced]]&gt;0,"Partial Invoiced","Not Invoiced"),"Fully Invoiced")</f>
        <v>Fully Invoiced</v>
      </c>
      <c r="R867" t="str">
        <f>IFERROR(VLOOKUP(T[[#This Row],[warehouse]],Table2[],2,FALSE),"--")</f>
        <v>--</v>
      </c>
    </row>
    <row r="868" spans="1:18" x14ac:dyDescent="0.25">
      <c r="A868" t="s">
        <v>84</v>
      </c>
      <c r="B868" s="1">
        <v>43739</v>
      </c>
      <c r="C868" t="s">
        <v>668</v>
      </c>
      <c r="D868" t="s">
        <v>100</v>
      </c>
      <c r="E868" t="s">
        <v>548</v>
      </c>
      <c r="F868" t="s">
        <v>167</v>
      </c>
      <c r="G868" t="s">
        <v>156</v>
      </c>
      <c r="H868" t="s">
        <v>24</v>
      </c>
      <c r="I868">
        <v>150</v>
      </c>
      <c r="J868">
        <v>71.02</v>
      </c>
      <c r="K868">
        <v>71.02</v>
      </c>
      <c r="L868" t="s">
        <v>25</v>
      </c>
      <c r="M868" t="s">
        <v>132</v>
      </c>
      <c r="N868">
        <v>86000</v>
      </c>
      <c r="O868">
        <v>6107720</v>
      </c>
      <c r="P868" t="str">
        <f>IF(T[[#This Row],[qty_ordered]]&lt;&gt;T[[#This Row],[qty_received]],IF(T[[#This Row],[qty_received]]&gt;0,"Partial Received","Not Receviced"),"FullyReceived")</f>
        <v>Partial Received</v>
      </c>
      <c r="Q868" t="str">
        <f>IF(T[[#This Row],[qty_received]]&lt;&gt;T[[#This Row],[qty_invoiced]],IF(T[[#This Row],[qty_invoiced]]&gt;0,"Partial Invoiced","Not Invoiced"),"Fully Invoiced")</f>
        <v>Fully Invoiced</v>
      </c>
      <c r="R868" t="str">
        <f>IFERROR(VLOOKUP(T[[#This Row],[warehouse]],Table2[],2,FALSE),"--")</f>
        <v>Crusher Almosaly-ALB</v>
      </c>
    </row>
    <row r="869" spans="1:18" x14ac:dyDescent="0.25">
      <c r="A869" t="s">
        <v>153</v>
      </c>
      <c r="B869" s="1">
        <v>43514</v>
      </c>
      <c r="C869" t="s">
        <v>280</v>
      </c>
      <c r="D869" t="s">
        <v>71</v>
      </c>
      <c r="E869" t="s">
        <v>214</v>
      </c>
      <c r="F869" t="s">
        <v>167</v>
      </c>
      <c r="G869" t="s">
        <v>156</v>
      </c>
      <c r="H869" t="s">
        <v>24</v>
      </c>
      <c r="I869">
        <v>151.96</v>
      </c>
      <c r="J869">
        <v>78.819999999999993</v>
      </c>
      <c r="K869">
        <v>78.819999999999993</v>
      </c>
      <c r="L869" t="s">
        <v>25</v>
      </c>
      <c r="M869" t="s">
        <v>132</v>
      </c>
      <c r="N869">
        <v>86800</v>
      </c>
      <c r="O869">
        <v>6841576</v>
      </c>
      <c r="P869" t="str">
        <f>IF(T[[#This Row],[qty_ordered]]&lt;&gt;T[[#This Row],[qty_received]],IF(T[[#This Row],[qty_received]]&gt;0,"Partial Received","Not Receviced"),"FullyReceived")</f>
        <v>Partial Received</v>
      </c>
      <c r="Q869" t="str">
        <f>IF(T[[#This Row],[qty_received]]&lt;&gt;T[[#This Row],[qty_invoiced]],IF(T[[#This Row],[qty_invoiced]]&gt;0,"Partial Invoiced","Not Invoiced"),"Fully Invoiced")</f>
        <v>Fully Invoiced</v>
      </c>
      <c r="R869" t="str">
        <f>IFERROR(VLOOKUP(T[[#This Row],[warehouse]],Table2[],2,FALSE),"--")</f>
        <v>CRUSHER ELBALOLA</v>
      </c>
    </row>
    <row r="870" spans="1:18" x14ac:dyDescent="0.25">
      <c r="A870" t="s">
        <v>160</v>
      </c>
      <c r="B870" s="1">
        <v>43474</v>
      </c>
      <c r="C870" t="s">
        <v>366</v>
      </c>
      <c r="D870" t="s">
        <v>100</v>
      </c>
      <c r="E870" t="s">
        <v>823</v>
      </c>
      <c r="F870" t="s">
        <v>22</v>
      </c>
      <c r="G870" t="s">
        <v>23</v>
      </c>
      <c r="H870" t="s">
        <v>24</v>
      </c>
      <c r="I870">
        <v>800</v>
      </c>
      <c r="J870">
        <v>719.59</v>
      </c>
      <c r="K870">
        <v>719.59</v>
      </c>
      <c r="L870" t="s">
        <v>25</v>
      </c>
      <c r="M870" t="s">
        <v>26</v>
      </c>
      <c r="N870">
        <v>32793.94</v>
      </c>
      <c r="O870">
        <v>23598191.284600001</v>
      </c>
      <c r="P870" t="str">
        <f>IF(T[[#This Row],[qty_ordered]]&lt;&gt;T[[#This Row],[qty_received]],IF(T[[#This Row],[qty_received]]&gt;0,"Partial Received","Not Receviced"),"FullyReceived")</f>
        <v>Partial Received</v>
      </c>
      <c r="Q870" t="str">
        <f>IF(T[[#This Row],[qty_received]]&lt;&gt;T[[#This Row],[qty_invoiced]],IF(T[[#This Row],[qty_invoiced]]&gt;0,"Partial Invoiced","Not Invoiced"),"Fully Invoiced")</f>
        <v>Fully Invoiced</v>
      </c>
      <c r="R870" t="str">
        <f>IFERROR(VLOOKUP(T[[#This Row],[warehouse]],Table2[],2,FALSE),"--")</f>
        <v>Crusher - Al haramain</v>
      </c>
    </row>
    <row r="871" spans="1:18" x14ac:dyDescent="0.25">
      <c r="A871" t="s">
        <v>357</v>
      </c>
      <c r="B871" s="1">
        <v>43471</v>
      </c>
      <c r="C871" t="s">
        <v>358</v>
      </c>
      <c r="D871" t="s">
        <v>858</v>
      </c>
      <c r="E871" t="s">
        <v>51</v>
      </c>
      <c r="F871" t="s">
        <v>52</v>
      </c>
      <c r="G871" t="s">
        <v>274</v>
      </c>
      <c r="H871" t="s">
        <v>54</v>
      </c>
      <c r="I871">
        <v>327.39999999999998</v>
      </c>
      <c r="J871">
        <v>0</v>
      </c>
      <c r="K871">
        <v>1</v>
      </c>
      <c r="L871" t="s">
        <v>25</v>
      </c>
      <c r="M871" t="s">
        <v>359</v>
      </c>
      <c r="N871">
        <v>137.38999999999999</v>
      </c>
      <c r="O871">
        <v>0</v>
      </c>
      <c r="P871" t="str">
        <f>IF(T[[#This Row],[qty_ordered]]&lt;&gt;T[[#This Row],[qty_received]],IF(T[[#This Row],[qty_received]]&gt;0,"Partial Received","Not Receviced"),"FullyReceived")</f>
        <v>Not Receviced</v>
      </c>
      <c r="Q871" t="str">
        <f>IF(T[[#This Row],[qty_received]]&lt;&gt;T[[#This Row],[qty_invoiced]],IF(T[[#This Row],[qty_invoiced]]&gt;0,"Partial Invoiced","Not Invoiced"),"Fully Invoiced")</f>
        <v>Partial Invoiced</v>
      </c>
      <c r="R871" t="str">
        <f>IFERROR(VLOOKUP(T[[#This Row],[warehouse]],Table2[],2,FALSE),"--")</f>
        <v>--</v>
      </c>
    </row>
    <row r="872" spans="1:18" x14ac:dyDescent="0.25">
      <c r="A872" t="s">
        <v>462</v>
      </c>
      <c r="B872" s="1">
        <v>43745</v>
      </c>
      <c r="C872" t="s">
        <v>856</v>
      </c>
      <c r="D872" t="s">
        <v>71</v>
      </c>
      <c r="E872" t="s">
        <v>51</v>
      </c>
      <c r="F872" t="s">
        <v>247</v>
      </c>
      <c r="G872" t="s">
        <v>247</v>
      </c>
      <c r="H872" t="s">
        <v>54</v>
      </c>
      <c r="I872">
        <v>50</v>
      </c>
      <c r="J872">
        <v>0</v>
      </c>
      <c r="K872">
        <v>1</v>
      </c>
      <c r="L872" t="s">
        <v>25</v>
      </c>
      <c r="M872" t="s">
        <v>359</v>
      </c>
      <c r="N872">
        <v>3000</v>
      </c>
      <c r="O872">
        <v>0</v>
      </c>
      <c r="P872" t="str">
        <f>IF(T[[#This Row],[qty_ordered]]&lt;&gt;T[[#This Row],[qty_received]],IF(T[[#This Row],[qty_received]]&gt;0,"Partial Received","Not Receviced"),"FullyReceived")</f>
        <v>Not Receviced</v>
      </c>
      <c r="Q872" t="str">
        <f>IF(T[[#This Row],[qty_received]]&lt;&gt;T[[#This Row],[qty_invoiced]],IF(T[[#This Row],[qty_invoiced]]&gt;0,"Partial Invoiced","Not Invoiced"),"Fully Invoiced")</f>
        <v>Partial Invoiced</v>
      </c>
      <c r="R872" t="str">
        <f>IFERROR(VLOOKUP(T[[#This Row],[warehouse]],Table2[],2,FALSE),"--")</f>
        <v>--</v>
      </c>
    </row>
    <row r="873" spans="1:18" x14ac:dyDescent="0.25">
      <c r="A873" t="s">
        <v>84</v>
      </c>
      <c r="B873" s="1">
        <v>43751</v>
      </c>
      <c r="C873" t="s">
        <v>859</v>
      </c>
      <c r="D873" t="s">
        <v>20</v>
      </c>
      <c r="E873" t="s">
        <v>66</v>
      </c>
      <c r="F873" t="s">
        <v>86</v>
      </c>
      <c r="G873" t="s">
        <v>87</v>
      </c>
      <c r="H873" t="s">
        <v>24</v>
      </c>
      <c r="I873">
        <v>430.87</v>
      </c>
      <c r="J873">
        <v>0</v>
      </c>
      <c r="K873">
        <v>0</v>
      </c>
      <c r="L873" t="s">
        <v>25</v>
      </c>
      <c r="M873" t="s">
        <v>132</v>
      </c>
      <c r="N873">
        <v>81000</v>
      </c>
      <c r="O873">
        <v>0</v>
      </c>
      <c r="P873" t="str">
        <f>IF(T[[#This Row],[qty_ordered]]&lt;&gt;T[[#This Row],[qty_received]],IF(T[[#This Row],[qty_received]]&gt;0,"Partial Received","Not Receviced"),"FullyReceived")</f>
        <v>Not Receviced</v>
      </c>
      <c r="Q873" t="str">
        <f>IF(T[[#This Row],[qty_received]]&lt;&gt;T[[#This Row],[qty_invoiced]],IF(T[[#This Row],[qty_invoiced]]&gt;0,"Partial Invoiced","Not Invoiced"),"Fully Invoiced")</f>
        <v>Fully Invoiced</v>
      </c>
      <c r="R873" t="str">
        <f>IFERROR(VLOOKUP(T[[#This Row],[warehouse]],Table2[],2,FALSE),"--")</f>
        <v>PZU Main Warehouse</v>
      </c>
    </row>
    <row r="874" spans="1:18" x14ac:dyDescent="0.25">
      <c r="A874" t="s">
        <v>357</v>
      </c>
      <c r="B874" s="1">
        <v>43471</v>
      </c>
      <c r="C874" t="s">
        <v>358</v>
      </c>
      <c r="D874" t="s">
        <v>860</v>
      </c>
      <c r="E874" t="s">
        <v>51</v>
      </c>
      <c r="F874" t="s">
        <v>267</v>
      </c>
      <c r="G874" t="s">
        <v>267</v>
      </c>
      <c r="H874" t="s">
        <v>54</v>
      </c>
      <c r="I874">
        <v>466</v>
      </c>
      <c r="J874">
        <v>0</v>
      </c>
      <c r="K874">
        <v>1</v>
      </c>
      <c r="L874" t="s">
        <v>25</v>
      </c>
      <c r="M874" t="s">
        <v>359</v>
      </c>
      <c r="N874">
        <v>20</v>
      </c>
      <c r="O874">
        <v>0</v>
      </c>
      <c r="P874" t="str">
        <f>IF(T[[#This Row],[qty_ordered]]&lt;&gt;T[[#This Row],[qty_received]],IF(T[[#This Row],[qty_received]]&gt;0,"Partial Received","Not Receviced"),"FullyReceived")</f>
        <v>Not Receviced</v>
      </c>
      <c r="Q874" t="str">
        <f>IF(T[[#This Row],[qty_received]]&lt;&gt;T[[#This Row],[qty_invoiced]],IF(T[[#This Row],[qty_invoiced]]&gt;0,"Partial Invoiced","Not Invoiced"),"Fully Invoiced")</f>
        <v>Partial Invoiced</v>
      </c>
      <c r="R874" t="str">
        <f>IFERROR(VLOOKUP(T[[#This Row],[warehouse]],Table2[],2,FALSE),"--")</f>
        <v>--</v>
      </c>
    </row>
    <row r="875" spans="1:18" x14ac:dyDescent="0.25">
      <c r="A875" t="s">
        <v>357</v>
      </c>
      <c r="B875" s="1">
        <v>43471</v>
      </c>
      <c r="C875" t="s">
        <v>358</v>
      </c>
      <c r="D875" t="s">
        <v>861</v>
      </c>
      <c r="E875" t="s">
        <v>51</v>
      </c>
      <c r="F875" t="s">
        <v>433</v>
      </c>
      <c r="G875" t="s">
        <v>433</v>
      </c>
      <c r="H875" t="s">
        <v>54</v>
      </c>
      <c r="I875">
        <v>466</v>
      </c>
      <c r="J875">
        <v>0</v>
      </c>
      <c r="K875">
        <v>1</v>
      </c>
      <c r="L875" t="s">
        <v>25</v>
      </c>
      <c r="M875" t="s">
        <v>359</v>
      </c>
      <c r="N875">
        <v>50</v>
      </c>
      <c r="O875">
        <v>0</v>
      </c>
      <c r="P875" t="str">
        <f>IF(T[[#This Row],[qty_ordered]]&lt;&gt;T[[#This Row],[qty_received]],IF(T[[#This Row],[qty_received]]&gt;0,"Partial Received","Not Receviced"),"FullyReceived")</f>
        <v>Not Receviced</v>
      </c>
      <c r="Q875" t="str">
        <f>IF(T[[#This Row],[qty_received]]&lt;&gt;T[[#This Row],[qty_invoiced]],IF(T[[#This Row],[qty_invoiced]]&gt;0,"Partial Invoiced","Not Invoiced"),"Fully Invoiced")</f>
        <v>Partial Invoiced</v>
      </c>
      <c r="R875" t="str">
        <f>IFERROR(VLOOKUP(T[[#This Row],[warehouse]],Table2[],2,FALSE),"--")</f>
        <v>--</v>
      </c>
    </row>
    <row r="876" spans="1:18" x14ac:dyDescent="0.25">
      <c r="A876" t="s">
        <v>357</v>
      </c>
      <c r="B876" s="1">
        <v>43471</v>
      </c>
      <c r="C876" t="s">
        <v>358</v>
      </c>
      <c r="D876" t="s">
        <v>862</v>
      </c>
      <c r="E876" t="s">
        <v>51</v>
      </c>
      <c r="F876" t="s">
        <v>52</v>
      </c>
      <c r="G876" t="s">
        <v>75</v>
      </c>
      <c r="H876" t="s">
        <v>54</v>
      </c>
      <c r="I876">
        <v>650</v>
      </c>
      <c r="J876">
        <v>0</v>
      </c>
      <c r="K876">
        <v>1</v>
      </c>
      <c r="L876" t="s">
        <v>25</v>
      </c>
      <c r="M876" t="s">
        <v>359</v>
      </c>
      <c r="N876">
        <v>108</v>
      </c>
      <c r="O876">
        <v>0</v>
      </c>
      <c r="P876" t="str">
        <f>IF(T[[#This Row],[qty_ordered]]&lt;&gt;T[[#This Row],[qty_received]],IF(T[[#This Row],[qty_received]]&gt;0,"Partial Received","Not Receviced"),"FullyReceived")</f>
        <v>Not Receviced</v>
      </c>
      <c r="Q876" t="str">
        <f>IF(T[[#This Row],[qty_received]]&lt;&gt;T[[#This Row],[qty_invoiced]],IF(T[[#This Row],[qty_invoiced]]&gt;0,"Partial Invoiced","Not Invoiced"),"Fully Invoiced")</f>
        <v>Partial Invoiced</v>
      </c>
      <c r="R876" t="str">
        <f>IFERROR(VLOOKUP(T[[#This Row],[warehouse]],Table2[],2,FALSE),"--")</f>
        <v>--</v>
      </c>
    </row>
    <row r="877" spans="1:18" x14ac:dyDescent="0.25">
      <c r="A877" t="s">
        <v>357</v>
      </c>
      <c r="B877" s="1">
        <v>43471</v>
      </c>
      <c r="C877" t="s">
        <v>358</v>
      </c>
      <c r="D877" t="s">
        <v>863</v>
      </c>
      <c r="E877" t="s">
        <v>51</v>
      </c>
      <c r="F877" t="s">
        <v>390</v>
      </c>
      <c r="G877" t="s">
        <v>390</v>
      </c>
      <c r="H877" t="s">
        <v>54</v>
      </c>
      <c r="I877">
        <v>559.20000000000005</v>
      </c>
      <c r="J877">
        <v>0</v>
      </c>
      <c r="K877">
        <v>1</v>
      </c>
      <c r="L877" t="s">
        <v>25</v>
      </c>
      <c r="M877" t="s">
        <v>359</v>
      </c>
      <c r="N877">
        <v>20</v>
      </c>
      <c r="O877">
        <v>0</v>
      </c>
      <c r="P877" t="str">
        <f>IF(T[[#This Row],[qty_ordered]]&lt;&gt;T[[#This Row],[qty_received]],IF(T[[#This Row],[qty_received]]&gt;0,"Partial Received","Not Receviced"),"FullyReceived")</f>
        <v>Not Receviced</v>
      </c>
      <c r="Q877" t="str">
        <f>IF(T[[#This Row],[qty_received]]&lt;&gt;T[[#This Row],[qty_invoiced]],IF(T[[#This Row],[qty_invoiced]]&gt;0,"Partial Invoiced","Not Invoiced"),"Fully Invoiced")</f>
        <v>Partial Invoiced</v>
      </c>
      <c r="R877" t="str">
        <f>IFERROR(VLOOKUP(T[[#This Row],[warehouse]],Table2[],2,FALSE),"--")</f>
        <v>--</v>
      </c>
    </row>
    <row r="878" spans="1:18" x14ac:dyDescent="0.25">
      <c r="A878" t="s">
        <v>357</v>
      </c>
      <c r="B878" s="1">
        <v>43471</v>
      </c>
      <c r="C878" t="s">
        <v>358</v>
      </c>
      <c r="D878" t="s">
        <v>864</v>
      </c>
      <c r="E878" t="s">
        <v>51</v>
      </c>
      <c r="F878" t="s">
        <v>52</v>
      </c>
      <c r="G878" t="s">
        <v>75</v>
      </c>
      <c r="H878" t="s">
        <v>54</v>
      </c>
      <c r="I878">
        <v>1467</v>
      </c>
      <c r="J878">
        <v>0</v>
      </c>
      <c r="K878">
        <v>1</v>
      </c>
      <c r="L878" t="s">
        <v>25</v>
      </c>
      <c r="M878" t="s">
        <v>359</v>
      </c>
      <c r="N878">
        <v>10</v>
      </c>
      <c r="O878">
        <v>0</v>
      </c>
      <c r="P878" t="str">
        <f>IF(T[[#This Row],[qty_ordered]]&lt;&gt;T[[#This Row],[qty_received]],IF(T[[#This Row],[qty_received]]&gt;0,"Partial Received","Not Receviced"),"FullyReceived")</f>
        <v>Not Receviced</v>
      </c>
      <c r="Q878" t="str">
        <f>IF(T[[#This Row],[qty_received]]&lt;&gt;T[[#This Row],[qty_invoiced]],IF(T[[#This Row],[qty_invoiced]]&gt;0,"Partial Invoiced","Not Invoiced"),"Fully Invoiced")</f>
        <v>Partial Invoiced</v>
      </c>
      <c r="R878" t="str">
        <f>IFERROR(VLOOKUP(T[[#This Row],[warehouse]],Table2[],2,FALSE),"--")</f>
        <v>--</v>
      </c>
    </row>
    <row r="879" spans="1:18" x14ac:dyDescent="0.25">
      <c r="A879" t="s">
        <v>502</v>
      </c>
      <c r="B879" s="1">
        <v>43705</v>
      </c>
      <c r="C879" t="s">
        <v>503</v>
      </c>
      <c r="D879" t="s">
        <v>88</v>
      </c>
      <c r="E879" t="s">
        <v>51</v>
      </c>
      <c r="F879" t="s">
        <v>247</v>
      </c>
      <c r="G879" t="s">
        <v>247</v>
      </c>
      <c r="H879" t="s">
        <v>54</v>
      </c>
      <c r="I879">
        <v>500</v>
      </c>
      <c r="J879">
        <v>0</v>
      </c>
      <c r="K879">
        <v>1</v>
      </c>
      <c r="L879" t="s">
        <v>25</v>
      </c>
      <c r="M879" t="s">
        <v>359</v>
      </c>
      <c r="N879">
        <v>2500</v>
      </c>
      <c r="O879">
        <v>0</v>
      </c>
      <c r="P879" t="str">
        <f>IF(T[[#This Row],[qty_ordered]]&lt;&gt;T[[#This Row],[qty_received]],IF(T[[#This Row],[qty_received]]&gt;0,"Partial Received","Not Receviced"),"FullyReceived")</f>
        <v>Not Receviced</v>
      </c>
      <c r="Q879" t="str">
        <f>IF(T[[#This Row],[qty_received]]&lt;&gt;T[[#This Row],[qty_invoiced]],IF(T[[#This Row],[qty_invoiced]]&gt;0,"Partial Invoiced","Not Invoiced"),"Fully Invoiced")</f>
        <v>Partial Invoiced</v>
      </c>
      <c r="R879" t="str">
        <f>IFERROR(VLOOKUP(T[[#This Row],[warehouse]],Table2[],2,FALSE),"--")</f>
        <v>--</v>
      </c>
    </row>
    <row r="880" spans="1:18" x14ac:dyDescent="0.25">
      <c r="A880" t="s">
        <v>686</v>
      </c>
      <c r="B880" s="1">
        <v>43766</v>
      </c>
      <c r="C880" t="s">
        <v>865</v>
      </c>
      <c r="D880" t="s">
        <v>20</v>
      </c>
      <c r="E880" t="s">
        <v>51</v>
      </c>
      <c r="F880" t="s">
        <v>247</v>
      </c>
      <c r="G880" t="s">
        <v>247</v>
      </c>
      <c r="H880" t="s">
        <v>54</v>
      </c>
      <c r="I880">
        <v>715035</v>
      </c>
      <c r="J880">
        <v>0</v>
      </c>
      <c r="K880">
        <v>1</v>
      </c>
      <c r="L880" t="s">
        <v>25</v>
      </c>
      <c r="M880" t="s">
        <v>359</v>
      </c>
      <c r="N880">
        <v>3</v>
      </c>
      <c r="O880">
        <v>0</v>
      </c>
      <c r="P880" t="str">
        <f>IF(T[[#This Row],[qty_ordered]]&lt;&gt;T[[#This Row],[qty_received]],IF(T[[#This Row],[qty_received]]&gt;0,"Partial Received","Not Receviced"),"FullyReceived")</f>
        <v>Not Receviced</v>
      </c>
      <c r="Q880" t="str">
        <f>IF(T[[#This Row],[qty_received]]&lt;&gt;T[[#This Row],[qty_invoiced]],IF(T[[#This Row],[qty_invoiced]]&gt;0,"Partial Invoiced","Not Invoiced"),"Fully Invoiced")</f>
        <v>Partial Invoiced</v>
      </c>
      <c r="R880" t="str">
        <f>IFERROR(VLOOKUP(T[[#This Row],[warehouse]],Table2[],2,FALSE),"--")</f>
        <v>--</v>
      </c>
    </row>
    <row r="881" spans="1:18" x14ac:dyDescent="0.25">
      <c r="A881" t="s">
        <v>534</v>
      </c>
      <c r="B881" s="1">
        <v>43772</v>
      </c>
      <c r="C881" t="s">
        <v>866</v>
      </c>
      <c r="D881" t="s">
        <v>20</v>
      </c>
      <c r="E881" t="s">
        <v>66</v>
      </c>
      <c r="F881" t="s">
        <v>67</v>
      </c>
      <c r="G881" t="s">
        <v>68</v>
      </c>
      <c r="H881" t="s">
        <v>24</v>
      </c>
      <c r="I881">
        <v>2400</v>
      </c>
      <c r="J881">
        <v>2393.85</v>
      </c>
      <c r="K881">
        <v>2393.85</v>
      </c>
      <c r="L881" t="s">
        <v>25</v>
      </c>
      <c r="M881" t="s">
        <v>132</v>
      </c>
      <c r="N881">
        <v>83000</v>
      </c>
      <c r="O881">
        <v>198689550</v>
      </c>
      <c r="P881" t="str">
        <f>IF(T[[#This Row],[qty_ordered]]&lt;&gt;T[[#This Row],[qty_received]],IF(T[[#This Row],[qty_received]]&gt;0,"Partial Received","Not Receviced"),"FullyReceived")</f>
        <v>Partial Received</v>
      </c>
      <c r="Q881" t="str">
        <f>IF(T[[#This Row],[qty_received]]&lt;&gt;T[[#This Row],[qty_invoiced]],IF(T[[#This Row],[qty_invoiced]]&gt;0,"Partial Invoiced","Not Invoiced"),"Fully Invoiced")</f>
        <v>Fully Invoiced</v>
      </c>
      <c r="R881" t="str">
        <f>IFERROR(VLOOKUP(T[[#This Row],[warehouse]],Table2[],2,FALSE),"--")</f>
        <v>PZU Main Warehouse</v>
      </c>
    </row>
    <row r="882" spans="1:18" x14ac:dyDescent="0.25">
      <c r="A882" t="s">
        <v>867</v>
      </c>
      <c r="B882" s="1">
        <v>43772</v>
      </c>
      <c r="C882" t="s">
        <v>868</v>
      </c>
      <c r="D882" t="s">
        <v>20</v>
      </c>
      <c r="E882" t="s">
        <v>51</v>
      </c>
      <c r="F882" t="s">
        <v>164</v>
      </c>
      <c r="G882" t="s">
        <v>164</v>
      </c>
      <c r="H882" t="s">
        <v>54</v>
      </c>
      <c r="I882">
        <v>1</v>
      </c>
      <c r="J882">
        <v>0</v>
      </c>
      <c r="K882">
        <v>1</v>
      </c>
      <c r="L882" t="s">
        <v>25</v>
      </c>
      <c r="M882" t="s">
        <v>359</v>
      </c>
      <c r="N882">
        <v>3675</v>
      </c>
      <c r="O882">
        <v>0</v>
      </c>
      <c r="P882" t="str">
        <f>IF(T[[#This Row],[qty_ordered]]&lt;&gt;T[[#This Row],[qty_received]],IF(T[[#This Row],[qty_received]]&gt;0,"Partial Received","Not Receviced"),"FullyReceived")</f>
        <v>Not Receviced</v>
      </c>
      <c r="Q882" t="str">
        <f>IF(T[[#This Row],[qty_received]]&lt;&gt;T[[#This Row],[qty_invoiced]],IF(T[[#This Row],[qty_invoiced]]&gt;0,"Partial Invoiced","Not Invoiced"),"Fully Invoiced")</f>
        <v>Partial Invoiced</v>
      </c>
      <c r="R882" t="str">
        <f>IFERROR(VLOOKUP(T[[#This Row],[warehouse]],Table2[],2,FALSE),"--")</f>
        <v>--</v>
      </c>
    </row>
    <row r="883" spans="1:18" x14ac:dyDescent="0.25">
      <c r="A883" t="s">
        <v>144</v>
      </c>
      <c r="B883" s="1">
        <v>43774</v>
      </c>
      <c r="C883" t="s">
        <v>869</v>
      </c>
      <c r="D883" t="s">
        <v>20</v>
      </c>
      <c r="E883" t="s">
        <v>146</v>
      </c>
      <c r="F883" t="s">
        <v>147</v>
      </c>
      <c r="G883" t="s">
        <v>148</v>
      </c>
      <c r="H883" t="s">
        <v>149</v>
      </c>
      <c r="I883">
        <v>62000</v>
      </c>
      <c r="J883">
        <v>62000</v>
      </c>
      <c r="K883">
        <v>62000</v>
      </c>
      <c r="L883" t="s">
        <v>25</v>
      </c>
      <c r="M883" t="s">
        <v>150</v>
      </c>
      <c r="N883">
        <v>6.81</v>
      </c>
      <c r="O883">
        <v>422220</v>
      </c>
      <c r="P883" t="str">
        <f>IF(T[[#This Row],[qty_ordered]]&lt;&gt;T[[#This Row],[qty_received]],IF(T[[#This Row],[qty_received]]&gt;0,"Partial Received","Not Receviced"),"FullyReceived")</f>
        <v>FullyReceived</v>
      </c>
      <c r="Q883" t="str">
        <f>IF(T[[#This Row],[qty_received]]&lt;&gt;T[[#This Row],[qty_invoiced]],IF(T[[#This Row],[qty_invoiced]]&gt;0,"Partial Invoiced","Not Invoiced"),"Fully Invoiced")</f>
        <v>Fully Invoiced</v>
      </c>
      <c r="R883" t="str">
        <f>IFERROR(VLOOKUP(T[[#This Row],[warehouse]],Table2[],2,FALSE),"--")</f>
        <v>Khtoum Main Warehouse</v>
      </c>
    </row>
    <row r="884" spans="1:18" x14ac:dyDescent="0.25">
      <c r="A884" t="s">
        <v>160</v>
      </c>
      <c r="B884" s="1">
        <v>43571</v>
      </c>
      <c r="C884" t="s">
        <v>453</v>
      </c>
      <c r="D884" t="s">
        <v>100</v>
      </c>
      <c r="E884" t="s">
        <v>51</v>
      </c>
      <c r="F884" t="s">
        <v>52</v>
      </c>
      <c r="G884" t="s">
        <v>75</v>
      </c>
      <c r="H884" t="s">
        <v>54</v>
      </c>
      <c r="I884">
        <v>999.3</v>
      </c>
      <c r="J884">
        <v>0</v>
      </c>
      <c r="K884">
        <v>0</v>
      </c>
      <c r="L884" t="s">
        <v>25</v>
      </c>
      <c r="M884" t="s">
        <v>26</v>
      </c>
      <c r="N884">
        <v>2277.21</v>
      </c>
      <c r="O884">
        <v>0</v>
      </c>
      <c r="P884" t="str">
        <f>IF(T[[#This Row],[qty_ordered]]&lt;&gt;T[[#This Row],[qty_received]],IF(T[[#This Row],[qty_received]]&gt;0,"Partial Received","Not Receviced"),"FullyReceived")</f>
        <v>Not Receviced</v>
      </c>
      <c r="Q884" t="str">
        <f>IF(T[[#This Row],[qty_received]]&lt;&gt;T[[#This Row],[qty_invoiced]],IF(T[[#This Row],[qty_invoiced]]&gt;0,"Partial Invoiced","Not Invoiced"),"Fully Invoiced")</f>
        <v>Fully Invoiced</v>
      </c>
      <c r="R884" t="str">
        <f>IFERROR(VLOOKUP(T[[#This Row],[warehouse]],Table2[],2,FALSE),"--")</f>
        <v>--</v>
      </c>
    </row>
    <row r="885" spans="1:18" x14ac:dyDescent="0.25">
      <c r="A885" t="s">
        <v>160</v>
      </c>
      <c r="B885" s="1">
        <v>43419</v>
      </c>
      <c r="C885" t="s">
        <v>365</v>
      </c>
      <c r="D885" t="s">
        <v>71</v>
      </c>
      <c r="E885" t="s">
        <v>51</v>
      </c>
      <c r="F885" t="s">
        <v>52</v>
      </c>
      <c r="G885" t="s">
        <v>75</v>
      </c>
      <c r="H885" t="s">
        <v>54</v>
      </c>
      <c r="I885">
        <v>669.01</v>
      </c>
      <c r="J885">
        <v>0</v>
      </c>
      <c r="K885">
        <v>0</v>
      </c>
      <c r="L885" t="s">
        <v>25</v>
      </c>
      <c r="M885" t="s">
        <v>26</v>
      </c>
      <c r="N885">
        <v>59496.7</v>
      </c>
      <c r="O885">
        <v>0</v>
      </c>
      <c r="P885" t="str">
        <f>IF(T[[#This Row],[qty_ordered]]&lt;&gt;T[[#This Row],[qty_received]],IF(T[[#This Row],[qty_received]]&gt;0,"Partial Received","Not Receviced"),"FullyReceived")</f>
        <v>Not Receviced</v>
      </c>
      <c r="Q885" t="str">
        <f>IF(T[[#This Row],[qty_received]]&lt;&gt;T[[#This Row],[qty_invoiced]],IF(T[[#This Row],[qty_invoiced]]&gt;0,"Partial Invoiced","Not Invoiced"),"Fully Invoiced")</f>
        <v>Fully Invoiced</v>
      </c>
      <c r="R885" t="str">
        <f>IFERROR(VLOOKUP(T[[#This Row],[warehouse]],Table2[],2,FALSE),"--")</f>
        <v>--</v>
      </c>
    </row>
    <row r="886" spans="1:18" x14ac:dyDescent="0.25">
      <c r="A886" t="s">
        <v>160</v>
      </c>
      <c r="B886" s="1">
        <v>43536</v>
      </c>
      <c r="C886" t="s">
        <v>430</v>
      </c>
      <c r="D886" t="s">
        <v>100</v>
      </c>
      <c r="E886" t="s">
        <v>51</v>
      </c>
      <c r="F886" t="s">
        <v>52</v>
      </c>
      <c r="G886" t="s">
        <v>75</v>
      </c>
      <c r="H886" t="s">
        <v>54</v>
      </c>
      <c r="I886">
        <v>3844.57</v>
      </c>
      <c r="J886">
        <v>0</v>
      </c>
      <c r="K886">
        <v>1</v>
      </c>
      <c r="L886" t="s">
        <v>25</v>
      </c>
      <c r="M886" t="s">
        <v>26</v>
      </c>
      <c r="N886">
        <v>16440</v>
      </c>
      <c r="O886">
        <v>0</v>
      </c>
      <c r="P886" t="str">
        <f>IF(T[[#This Row],[qty_ordered]]&lt;&gt;T[[#This Row],[qty_received]],IF(T[[#This Row],[qty_received]]&gt;0,"Partial Received","Not Receviced"),"FullyReceived")</f>
        <v>Not Receviced</v>
      </c>
      <c r="Q886" t="str">
        <f>IF(T[[#This Row],[qty_received]]&lt;&gt;T[[#This Row],[qty_invoiced]],IF(T[[#This Row],[qty_invoiced]]&gt;0,"Partial Invoiced","Not Invoiced"),"Fully Invoiced")</f>
        <v>Partial Invoiced</v>
      </c>
      <c r="R886" t="str">
        <f>IFERROR(VLOOKUP(T[[#This Row],[warehouse]],Table2[],2,FALSE),"--")</f>
        <v>--</v>
      </c>
    </row>
    <row r="887" spans="1:18" x14ac:dyDescent="0.25">
      <c r="A887" t="s">
        <v>160</v>
      </c>
      <c r="B887" s="1">
        <v>43478</v>
      </c>
      <c r="C887" t="s">
        <v>199</v>
      </c>
      <c r="D887" t="s">
        <v>88</v>
      </c>
      <c r="E887" t="s">
        <v>51</v>
      </c>
      <c r="F887" t="s">
        <v>52</v>
      </c>
      <c r="G887" t="s">
        <v>75</v>
      </c>
      <c r="H887" t="s">
        <v>54</v>
      </c>
      <c r="I887">
        <v>1583.03</v>
      </c>
      <c r="J887">
        <v>0</v>
      </c>
      <c r="K887">
        <v>1</v>
      </c>
      <c r="L887" t="s">
        <v>25</v>
      </c>
      <c r="M887" t="s">
        <v>26</v>
      </c>
      <c r="N887">
        <v>622</v>
      </c>
      <c r="O887">
        <v>0</v>
      </c>
      <c r="P887" t="str">
        <f>IF(T[[#This Row],[qty_ordered]]&lt;&gt;T[[#This Row],[qty_received]],IF(T[[#This Row],[qty_received]]&gt;0,"Partial Received","Not Receviced"),"FullyReceived")</f>
        <v>Not Receviced</v>
      </c>
      <c r="Q887" t="str">
        <f>IF(T[[#This Row],[qty_received]]&lt;&gt;T[[#This Row],[qty_invoiced]],IF(T[[#This Row],[qty_invoiced]]&gt;0,"Partial Invoiced","Not Invoiced"),"Fully Invoiced")</f>
        <v>Partial Invoiced</v>
      </c>
      <c r="R887" t="str">
        <f>IFERROR(VLOOKUP(T[[#This Row],[warehouse]],Table2[],2,FALSE),"--")</f>
        <v>--</v>
      </c>
    </row>
    <row r="888" spans="1:18" x14ac:dyDescent="0.25">
      <c r="A888" t="s">
        <v>597</v>
      </c>
      <c r="B888" s="1">
        <v>43678</v>
      </c>
      <c r="C888" t="s">
        <v>598</v>
      </c>
      <c r="D888" t="s">
        <v>71</v>
      </c>
      <c r="E888" t="s">
        <v>51</v>
      </c>
      <c r="F888" t="s">
        <v>183</v>
      </c>
      <c r="G888" t="s">
        <v>184</v>
      </c>
      <c r="H888" t="s">
        <v>54</v>
      </c>
      <c r="I888">
        <v>23</v>
      </c>
      <c r="J888">
        <v>0</v>
      </c>
      <c r="K888">
        <v>1</v>
      </c>
      <c r="L888" t="s">
        <v>25</v>
      </c>
      <c r="M888" t="s">
        <v>359</v>
      </c>
      <c r="N888">
        <v>400</v>
      </c>
      <c r="O888">
        <v>0</v>
      </c>
      <c r="P888" t="str">
        <f>IF(T[[#This Row],[qty_ordered]]&lt;&gt;T[[#This Row],[qty_received]],IF(T[[#This Row],[qty_received]]&gt;0,"Partial Received","Not Receviced"),"FullyReceived")</f>
        <v>Not Receviced</v>
      </c>
      <c r="Q888" t="str">
        <f>IF(T[[#This Row],[qty_received]]&lt;&gt;T[[#This Row],[qty_invoiced]],IF(T[[#This Row],[qty_invoiced]]&gt;0,"Partial Invoiced","Not Invoiced"),"Fully Invoiced")</f>
        <v>Partial Invoiced</v>
      </c>
      <c r="R888" t="str">
        <f>IFERROR(VLOOKUP(T[[#This Row],[warehouse]],Table2[],2,FALSE),"--")</f>
        <v>--</v>
      </c>
    </row>
    <row r="889" spans="1:18" x14ac:dyDescent="0.25">
      <c r="A889" t="s">
        <v>144</v>
      </c>
      <c r="B889" s="1">
        <v>43774</v>
      </c>
      <c r="C889" t="s">
        <v>869</v>
      </c>
      <c r="D889" t="s">
        <v>71</v>
      </c>
      <c r="E889" t="s">
        <v>146</v>
      </c>
      <c r="F889" t="s">
        <v>151</v>
      </c>
      <c r="G889" t="s">
        <v>152</v>
      </c>
      <c r="H889" t="s">
        <v>149</v>
      </c>
      <c r="I889">
        <v>130000</v>
      </c>
      <c r="J889">
        <v>130000</v>
      </c>
      <c r="K889">
        <v>130000</v>
      </c>
      <c r="L889" t="s">
        <v>25</v>
      </c>
      <c r="M889" t="s">
        <v>150</v>
      </c>
      <c r="N889">
        <v>6.81</v>
      </c>
      <c r="O889">
        <v>885300</v>
      </c>
      <c r="P889" t="str">
        <f>IF(T[[#This Row],[qty_ordered]]&lt;&gt;T[[#This Row],[qty_received]],IF(T[[#This Row],[qty_received]]&gt;0,"Partial Received","Not Receviced"),"FullyReceived")</f>
        <v>FullyReceived</v>
      </c>
      <c r="Q889" t="str">
        <f>IF(T[[#This Row],[qty_received]]&lt;&gt;T[[#This Row],[qty_invoiced]],IF(T[[#This Row],[qty_invoiced]]&gt;0,"Partial Invoiced","Not Invoiced"),"Fully Invoiced")</f>
        <v>Fully Invoiced</v>
      </c>
      <c r="R889" t="str">
        <f>IFERROR(VLOOKUP(T[[#This Row],[warehouse]],Table2[],2,FALSE),"--")</f>
        <v>Khtoum Main Warehouse</v>
      </c>
    </row>
    <row r="890" spans="1:18" x14ac:dyDescent="0.25">
      <c r="A890" t="s">
        <v>242</v>
      </c>
      <c r="B890" s="1">
        <v>43775</v>
      </c>
      <c r="C890" t="s">
        <v>870</v>
      </c>
      <c r="D890" t="s">
        <v>20</v>
      </c>
      <c r="E890" t="s">
        <v>66</v>
      </c>
      <c r="F890" t="s">
        <v>244</v>
      </c>
      <c r="G890" t="s">
        <v>245</v>
      </c>
      <c r="H890" t="s">
        <v>24</v>
      </c>
      <c r="I890">
        <v>2222.5700000000002</v>
      </c>
      <c r="J890">
        <v>2222.5700000000002</v>
      </c>
      <c r="K890">
        <v>2222.5700000000002</v>
      </c>
      <c r="L890" t="s">
        <v>25</v>
      </c>
      <c r="M890" t="s">
        <v>132</v>
      </c>
      <c r="N890">
        <v>100000</v>
      </c>
      <c r="O890">
        <v>222257000</v>
      </c>
      <c r="P890" t="str">
        <f>IF(T[[#This Row],[qty_ordered]]&lt;&gt;T[[#This Row],[qty_received]],IF(T[[#This Row],[qty_received]]&gt;0,"Partial Received","Not Receviced"),"FullyReceived")</f>
        <v>FullyReceived</v>
      </c>
      <c r="Q890" t="str">
        <f>IF(T[[#This Row],[qty_received]]&lt;&gt;T[[#This Row],[qty_invoiced]],IF(T[[#This Row],[qty_invoiced]]&gt;0,"Partial Invoiced","Not Invoiced"),"Fully Invoiced")</f>
        <v>Fully Invoiced</v>
      </c>
      <c r="R890" t="str">
        <f>IFERROR(VLOOKUP(T[[#This Row],[warehouse]],Table2[],2,FALSE),"--")</f>
        <v>PZU Main Warehouse</v>
      </c>
    </row>
    <row r="891" spans="1:18" x14ac:dyDescent="0.25">
      <c r="A891" t="s">
        <v>201</v>
      </c>
      <c r="B891" s="1">
        <v>43780</v>
      </c>
      <c r="C891" t="s">
        <v>871</v>
      </c>
      <c r="D891" t="s">
        <v>20</v>
      </c>
      <c r="E891" t="s">
        <v>146</v>
      </c>
      <c r="F891" t="s">
        <v>872</v>
      </c>
      <c r="G891" t="s">
        <v>873</v>
      </c>
      <c r="H891" t="s">
        <v>149</v>
      </c>
      <c r="I891">
        <v>1500</v>
      </c>
      <c r="J891">
        <v>1400</v>
      </c>
      <c r="K891">
        <v>1400</v>
      </c>
      <c r="L891" t="s">
        <v>25</v>
      </c>
      <c r="M891" t="s">
        <v>575</v>
      </c>
      <c r="N891">
        <v>212.42500000000001</v>
      </c>
      <c r="O891">
        <v>297395</v>
      </c>
      <c r="P891" t="str">
        <f>IF(T[[#This Row],[qty_ordered]]&lt;&gt;T[[#This Row],[qty_received]],IF(T[[#This Row],[qty_received]]&gt;0,"Partial Received","Not Receviced"),"FullyReceived")</f>
        <v>Partial Received</v>
      </c>
      <c r="Q891" t="str">
        <f>IF(T[[#This Row],[qty_received]]&lt;&gt;T[[#This Row],[qty_invoiced]],IF(T[[#This Row],[qty_invoiced]]&gt;0,"Partial Invoiced","Not Invoiced"),"Fully Invoiced")</f>
        <v>Fully Invoiced</v>
      </c>
      <c r="R891" t="str">
        <f>IFERROR(VLOOKUP(T[[#This Row],[warehouse]],Table2[],2,FALSE),"--")</f>
        <v>Khtoum Main Warehouse</v>
      </c>
    </row>
    <row r="892" spans="1:18" x14ac:dyDescent="0.25">
      <c r="A892" t="s">
        <v>201</v>
      </c>
      <c r="B892" s="1">
        <v>43780</v>
      </c>
      <c r="C892" t="s">
        <v>871</v>
      </c>
      <c r="D892" t="s">
        <v>71</v>
      </c>
      <c r="E892" t="s">
        <v>146</v>
      </c>
      <c r="F892" t="s">
        <v>874</v>
      </c>
      <c r="G892" t="s">
        <v>875</v>
      </c>
      <c r="H892" t="s">
        <v>149</v>
      </c>
      <c r="I892">
        <v>1625</v>
      </c>
      <c r="J892">
        <v>1625</v>
      </c>
      <c r="K892">
        <v>1625</v>
      </c>
      <c r="L892" t="s">
        <v>25</v>
      </c>
      <c r="M892" t="s">
        <v>575</v>
      </c>
      <c r="N892">
        <v>72.5</v>
      </c>
      <c r="O892">
        <v>117812.5</v>
      </c>
      <c r="P892" t="str">
        <f>IF(T[[#This Row],[qty_ordered]]&lt;&gt;T[[#This Row],[qty_received]],IF(T[[#This Row],[qty_received]]&gt;0,"Partial Received","Not Receviced"),"FullyReceived")</f>
        <v>FullyReceived</v>
      </c>
      <c r="Q892" t="str">
        <f>IF(T[[#This Row],[qty_received]]&lt;&gt;T[[#This Row],[qty_invoiced]],IF(T[[#This Row],[qty_invoiced]]&gt;0,"Partial Invoiced","Not Invoiced"),"Fully Invoiced")</f>
        <v>Fully Invoiced</v>
      </c>
      <c r="R892" t="str">
        <f>IFERROR(VLOOKUP(T[[#This Row],[warehouse]],Table2[],2,FALSE),"--")</f>
        <v>Khtoum Main Warehouse</v>
      </c>
    </row>
    <row r="893" spans="1:18" x14ac:dyDescent="0.25">
      <c r="A893" t="s">
        <v>201</v>
      </c>
      <c r="B893" s="1">
        <v>43780</v>
      </c>
      <c r="C893" t="s">
        <v>871</v>
      </c>
      <c r="D893" t="s">
        <v>100</v>
      </c>
      <c r="E893" t="s">
        <v>51</v>
      </c>
      <c r="F893" t="s">
        <v>369</v>
      </c>
      <c r="G893" t="s">
        <v>369</v>
      </c>
      <c r="H893" t="s">
        <v>54</v>
      </c>
      <c r="I893">
        <v>1</v>
      </c>
      <c r="J893">
        <v>0</v>
      </c>
      <c r="K893">
        <v>1</v>
      </c>
      <c r="L893" t="s">
        <v>25</v>
      </c>
      <c r="M893" t="s">
        <v>575</v>
      </c>
      <c r="N893">
        <v>234836.54949999999</v>
      </c>
      <c r="O893">
        <v>0</v>
      </c>
      <c r="P893" t="str">
        <f>IF(T[[#This Row],[qty_ordered]]&lt;&gt;T[[#This Row],[qty_received]],IF(T[[#This Row],[qty_received]]&gt;0,"Partial Received","Not Receviced"),"FullyReceived")</f>
        <v>Not Receviced</v>
      </c>
      <c r="Q893" t="str">
        <f>IF(T[[#This Row],[qty_received]]&lt;&gt;T[[#This Row],[qty_invoiced]],IF(T[[#This Row],[qty_invoiced]]&gt;0,"Partial Invoiced","Not Invoiced"),"Fully Invoiced")</f>
        <v>Partial Invoiced</v>
      </c>
      <c r="R893" t="str">
        <f>IFERROR(VLOOKUP(T[[#This Row],[warehouse]],Table2[],2,FALSE),"--")</f>
        <v>--</v>
      </c>
    </row>
    <row r="894" spans="1:18" x14ac:dyDescent="0.25">
      <c r="A894" t="s">
        <v>84</v>
      </c>
      <c r="B894" s="1">
        <v>43781</v>
      </c>
      <c r="C894" t="s">
        <v>876</v>
      </c>
      <c r="D894" t="s">
        <v>20</v>
      </c>
      <c r="E894" t="s">
        <v>192</v>
      </c>
      <c r="F894" t="s">
        <v>108</v>
      </c>
      <c r="G894" t="s">
        <v>109</v>
      </c>
      <c r="H894" t="s">
        <v>24</v>
      </c>
      <c r="I894">
        <v>1109.72</v>
      </c>
      <c r="J894">
        <v>1109.72</v>
      </c>
      <c r="K894">
        <v>1109.72</v>
      </c>
      <c r="L894" t="s">
        <v>25</v>
      </c>
      <c r="M894" t="s">
        <v>132</v>
      </c>
      <c r="N894">
        <v>79000</v>
      </c>
      <c r="O894">
        <v>87667880</v>
      </c>
      <c r="P894" t="str">
        <f>IF(T[[#This Row],[qty_ordered]]&lt;&gt;T[[#This Row],[qty_received]],IF(T[[#This Row],[qty_received]]&gt;0,"Partial Received","Not Receviced"),"FullyReceived")</f>
        <v>FullyReceived</v>
      </c>
      <c r="Q894" t="str">
        <f>IF(T[[#This Row],[qty_received]]&lt;&gt;T[[#This Row],[qty_invoiced]],IF(T[[#This Row],[qty_invoiced]]&gt;0,"Partial Invoiced","Not Invoiced"),"Fully Invoiced")</f>
        <v>Fully Invoiced</v>
      </c>
      <c r="R894" t="str">
        <f>IFERROR(VLOOKUP(T[[#This Row],[warehouse]],Table2[],2,FALSE),"--")</f>
        <v>BAYADER SIFTER-OMD</v>
      </c>
    </row>
    <row r="895" spans="1:18" x14ac:dyDescent="0.25">
      <c r="A895" t="s">
        <v>84</v>
      </c>
      <c r="B895" s="1">
        <v>43786</v>
      </c>
      <c r="C895" t="s">
        <v>830</v>
      </c>
      <c r="D895" t="s">
        <v>20</v>
      </c>
      <c r="E895" t="s">
        <v>162</v>
      </c>
      <c r="F895" t="s">
        <v>108</v>
      </c>
      <c r="G895" t="s">
        <v>109</v>
      </c>
      <c r="H895" t="s">
        <v>24</v>
      </c>
      <c r="I895">
        <v>1000</v>
      </c>
      <c r="J895">
        <v>252.32</v>
      </c>
      <c r="K895">
        <v>252.32</v>
      </c>
      <c r="L895" t="s">
        <v>25</v>
      </c>
      <c r="M895" t="s">
        <v>132</v>
      </c>
      <c r="N895">
        <v>100000</v>
      </c>
      <c r="O895">
        <v>25232000</v>
      </c>
      <c r="P895" t="str">
        <f>IF(T[[#This Row],[qty_ordered]]&lt;&gt;T[[#This Row],[qty_received]],IF(T[[#This Row],[qty_received]]&gt;0,"Partial Received","Not Receviced"),"FullyReceived")</f>
        <v>Partial Received</v>
      </c>
      <c r="Q895" t="str">
        <f>IF(T[[#This Row],[qty_received]]&lt;&gt;T[[#This Row],[qty_invoiced]],IF(T[[#This Row],[qty_invoiced]]&gt;0,"Partial Invoiced","Not Invoiced"),"Fully Invoiced")</f>
        <v>Fully Invoiced</v>
      </c>
      <c r="R895" t="str">
        <f>IFERROR(VLOOKUP(T[[#This Row],[warehouse]],Table2[],2,FALSE),"--")</f>
        <v>Sifters Mahasilna</v>
      </c>
    </row>
    <row r="896" spans="1:18" x14ac:dyDescent="0.25">
      <c r="A896" t="s">
        <v>84</v>
      </c>
      <c r="B896" s="1">
        <v>43751</v>
      </c>
      <c r="C896" t="s">
        <v>877</v>
      </c>
      <c r="D896" t="s">
        <v>20</v>
      </c>
      <c r="E896" t="s">
        <v>66</v>
      </c>
      <c r="F896" t="s">
        <v>167</v>
      </c>
      <c r="G896" t="s">
        <v>156</v>
      </c>
      <c r="H896" t="s">
        <v>24</v>
      </c>
      <c r="I896">
        <v>700</v>
      </c>
      <c r="J896">
        <v>0</v>
      </c>
      <c r="K896">
        <v>0</v>
      </c>
      <c r="L896" t="s">
        <v>25</v>
      </c>
      <c r="M896" t="s">
        <v>132</v>
      </c>
      <c r="N896">
        <v>93000</v>
      </c>
      <c r="O896">
        <v>0</v>
      </c>
      <c r="P896" t="str">
        <f>IF(T[[#This Row],[qty_ordered]]&lt;&gt;T[[#This Row],[qty_received]],IF(T[[#This Row],[qty_received]]&gt;0,"Partial Received","Not Receviced"),"FullyReceived")</f>
        <v>Not Receviced</v>
      </c>
      <c r="Q896" t="str">
        <f>IF(T[[#This Row],[qty_received]]&lt;&gt;T[[#This Row],[qty_invoiced]],IF(T[[#This Row],[qty_invoiced]]&gt;0,"Partial Invoiced","Not Invoiced"),"Fully Invoiced")</f>
        <v>Fully Invoiced</v>
      </c>
      <c r="R896" t="str">
        <f>IFERROR(VLOOKUP(T[[#This Row],[warehouse]],Table2[],2,FALSE),"--")</f>
        <v>PZU Main Warehouse</v>
      </c>
    </row>
    <row r="897" spans="1:18" x14ac:dyDescent="0.25">
      <c r="A897" t="s">
        <v>201</v>
      </c>
      <c r="B897" s="1">
        <v>43755</v>
      </c>
      <c r="C897" t="s">
        <v>878</v>
      </c>
      <c r="D897" t="s">
        <v>20</v>
      </c>
      <c r="E897" t="s">
        <v>203</v>
      </c>
      <c r="F897" t="s">
        <v>204</v>
      </c>
      <c r="G897" t="s">
        <v>205</v>
      </c>
      <c r="H897" t="s">
        <v>206</v>
      </c>
      <c r="I897">
        <v>320</v>
      </c>
      <c r="J897">
        <v>320</v>
      </c>
      <c r="K897">
        <v>320</v>
      </c>
      <c r="L897" t="s">
        <v>25</v>
      </c>
      <c r="M897" t="s">
        <v>150</v>
      </c>
      <c r="N897">
        <v>25373.25</v>
      </c>
      <c r="O897">
        <v>8119440</v>
      </c>
      <c r="P897" t="str">
        <f>IF(T[[#This Row],[qty_ordered]]&lt;&gt;T[[#This Row],[qty_received]],IF(T[[#This Row],[qty_received]]&gt;0,"Partial Received","Not Receviced"),"FullyReceived")</f>
        <v>FullyReceived</v>
      </c>
      <c r="Q897" t="str">
        <f>IF(T[[#This Row],[qty_received]]&lt;&gt;T[[#This Row],[qty_invoiced]],IF(T[[#This Row],[qty_invoiced]]&gt;0,"Partial Invoiced","Not Invoiced"),"Fully Invoiced")</f>
        <v>Fully Invoiced</v>
      </c>
      <c r="R897" t="str">
        <f>IFERROR(VLOOKUP(T[[#This Row],[warehouse]],Table2[],2,FALSE),"--")</f>
        <v>PZU Packaging Warehouse</v>
      </c>
    </row>
    <row r="898" spans="1:18" x14ac:dyDescent="0.25">
      <c r="A898" t="s">
        <v>160</v>
      </c>
      <c r="B898" s="1">
        <v>43452</v>
      </c>
      <c r="C898" t="s">
        <v>161</v>
      </c>
      <c r="D898" t="s">
        <v>88</v>
      </c>
      <c r="E898" t="s">
        <v>51</v>
      </c>
      <c r="F898" t="s">
        <v>52</v>
      </c>
      <c r="G898" t="s">
        <v>53</v>
      </c>
      <c r="H898" t="s">
        <v>54</v>
      </c>
      <c r="I898">
        <v>3945.04</v>
      </c>
      <c r="J898">
        <v>0</v>
      </c>
      <c r="K898">
        <v>0</v>
      </c>
      <c r="L898" t="s">
        <v>25</v>
      </c>
      <c r="M898" t="s">
        <v>26</v>
      </c>
      <c r="N898">
        <v>29513.75</v>
      </c>
      <c r="O898">
        <v>0</v>
      </c>
      <c r="P898" t="str">
        <f>IF(T[[#This Row],[qty_ordered]]&lt;&gt;T[[#This Row],[qty_received]],IF(T[[#This Row],[qty_received]]&gt;0,"Partial Received","Not Receviced"),"FullyReceived")</f>
        <v>Not Receviced</v>
      </c>
      <c r="Q898" t="str">
        <f>IF(T[[#This Row],[qty_received]]&lt;&gt;T[[#This Row],[qty_invoiced]],IF(T[[#This Row],[qty_invoiced]]&gt;0,"Partial Invoiced","Not Invoiced"),"Fully Invoiced")</f>
        <v>Fully Invoiced</v>
      </c>
      <c r="R898" t="str">
        <f>IFERROR(VLOOKUP(T[[#This Row],[warehouse]],Table2[],2,FALSE),"--")</f>
        <v>--</v>
      </c>
    </row>
    <row r="899" spans="1:18" x14ac:dyDescent="0.25">
      <c r="A899" t="s">
        <v>498</v>
      </c>
      <c r="B899" s="1">
        <v>43760</v>
      </c>
      <c r="C899" t="s">
        <v>879</v>
      </c>
      <c r="D899" t="s">
        <v>20</v>
      </c>
      <c r="E899" t="s">
        <v>51</v>
      </c>
      <c r="F899" t="s">
        <v>164</v>
      </c>
      <c r="G899" t="s">
        <v>164</v>
      </c>
      <c r="H899" t="s">
        <v>54</v>
      </c>
      <c r="I899">
        <v>18147</v>
      </c>
      <c r="J899">
        <v>0</v>
      </c>
      <c r="K899">
        <v>1</v>
      </c>
      <c r="L899" t="s">
        <v>25</v>
      </c>
      <c r="M899" t="s">
        <v>359</v>
      </c>
      <c r="N899">
        <v>2</v>
      </c>
      <c r="O899">
        <v>0</v>
      </c>
      <c r="P899" t="str">
        <f>IF(T[[#This Row],[qty_ordered]]&lt;&gt;T[[#This Row],[qty_received]],IF(T[[#This Row],[qty_received]]&gt;0,"Partial Received","Not Receviced"),"FullyReceived")</f>
        <v>Not Receviced</v>
      </c>
      <c r="Q899" t="str">
        <f>IF(T[[#This Row],[qty_received]]&lt;&gt;T[[#This Row],[qty_invoiced]],IF(T[[#This Row],[qty_invoiced]]&gt;0,"Partial Invoiced","Not Invoiced"),"Fully Invoiced")</f>
        <v>Partial Invoiced</v>
      </c>
      <c r="R899" t="str">
        <f>IFERROR(VLOOKUP(T[[#This Row],[warehouse]],Table2[],2,FALSE),"--")</f>
        <v>--</v>
      </c>
    </row>
    <row r="900" spans="1:18" x14ac:dyDescent="0.25">
      <c r="A900" t="s">
        <v>84</v>
      </c>
      <c r="B900" s="1">
        <v>43781</v>
      </c>
      <c r="C900" t="s">
        <v>876</v>
      </c>
      <c r="D900" t="s">
        <v>71</v>
      </c>
      <c r="E900" t="s">
        <v>259</v>
      </c>
      <c r="F900" t="s">
        <v>108</v>
      </c>
      <c r="G900" t="s">
        <v>109</v>
      </c>
      <c r="H900" t="s">
        <v>24</v>
      </c>
      <c r="I900">
        <v>1983.62</v>
      </c>
      <c r="J900">
        <v>1983.62</v>
      </c>
      <c r="K900">
        <v>1983.62</v>
      </c>
      <c r="L900" t="s">
        <v>25</v>
      </c>
      <c r="M900" t="s">
        <v>132</v>
      </c>
      <c r="N900">
        <v>97000</v>
      </c>
      <c r="O900">
        <v>192411140</v>
      </c>
      <c r="P900" t="str">
        <f>IF(T[[#This Row],[qty_ordered]]&lt;&gt;T[[#This Row],[qty_received]],IF(T[[#This Row],[qty_received]]&gt;0,"Partial Received","Not Receviced"),"FullyReceived")</f>
        <v>FullyReceived</v>
      </c>
      <c r="Q900" t="str">
        <f>IF(T[[#This Row],[qty_received]]&lt;&gt;T[[#This Row],[qty_invoiced]],IF(T[[#This Row],[qty_invoiced]]&gt;0,"Partial Invoiced","Not Invoiced"),"Fully Invoiced")</f>
        <v>Fully Invoiced</v>
      </c>
      <c r="R900" t="str">
        <f>IFERROR(VLOOKUP(T[[#This Row],[warehouse]],Table2[],2,FALSE),"--")</f>
        <v>Sifters Bahri-Libyan</v>
      </c>
    </row>
    <row r="901" spans="1:18" x14ac:dyDescent="0.25">
      <c r="A901" t="s">
        <v>153</v>
      </c>
      <c r="B901" s="1">
        <v>43796</v>
      </c>
      <c r="C901" t="s">
        <v>880</v>
      </c>
      <c r="D901" t="s">
        <v>20</v>
      </c>
      <c r="E901" t="s">
        <v>66</v>
      </c>
      <c r="F901" t="s">
        <v>86</v>
      </c>
      <c r="G901" t="s">
        <v>87</v>
      </c>
      <c r="H901" t="s">
        <v>24</v>
      </c>
      <c r="I901">
        <v>1636.05</v>
      </c>
      <c r="J901">
        <v>0</v>
      </c>
      <c r="K901">
        <v>0</v>
      </c>
      <c r="L901" t="s">
        <v>25</v>
      </c>
      <c r="M901" t="s">
        <v>132</v>
      </c>
      <c r="N901">
        <v>100000</v>
      </c>
      <c r="O901">
        <v>0</v>
      </c>
      <c r="P901" t="str">
        <f>IF(T[[#This Row],[qty_ordered]]&lt;&gt;T[[#This Row],[qty_received]],IF(T[[#This Row],[qty_received]]&gt;0,"Partial Received","Not Receviced"),"FullyReceived")</f>
        <v>Not Receviced</v>
      </c>
      <c r="Q901" t="str">
        <f>IF(T[[#This Row],[qty_received]]&lt;&gt;T[[#This Row],[qty_invoiced]],IF(T[[#This Row],[qty_invoiced]]&gt;0,"Partial Invoiced","Not Invoiced"),"Fully Invoiced")</f>
        <v>Fully Invoiced</v>
      </c>
      <c r="R901" t="str">
        <f>IFERROR(VLOOKUP(T[[#This Row],[warehouse]],Table2[],2,FALSE),"--")</f>
        <v>PZU Main Warehouse</v>
      </c>
    </row>
    <row r="902" spans="1:18" x14ac:dyDescent="0.25">
      <c r="A902" t="s">
        <v>235</v>
      </c>
      <c r="B902" s="1">
        <v>43800</v>
      </c>
      <c r="C902" t="s">
        <v>545</v>
      </c>
      <c r="D902" t="s">
        <v>71</v>
      </c>
      <c r="E902" t="s">
        <v>51</v>
      </c>
      <c r="F902" t="s">
        <v>546</v>
      </c>
      <c r="G902" t="s">
        <v>546</v>
      </c>
      <c r="H902" t="s">
        <v>54</v>
      </c>
      <c r="I902">
        <v>20000</v>
      </c>
      <c r="J902">
        <v>0</v>
      </c>
      <c r="K902">
        <v>1</v>
      </c>
      <c r="L902" t="s">
        <v>25</v>
      </c>
      <c r="M902" t="s">
        <v>359</v>
      </c>
      <c r="N902">
        <v>2.85</v>
      </c>
      <c r="O902">
        <v>0</v>
      </c>
      <c r="P902" t="str">
        <f>IF(T[[#This Row],[qty_ordered]]&lt;&gt;T[[#This Row],[qty_received]],IF(T[[#This Row],[qty_received]]&gt;0,"Partial Received","Not Receviced"),"FullyReceived")</f>
        <v>Not Receviced</v>
      </c>
      <c r="Q902" t="str">
        <f>IF(T[[#This Row],[qty_received]]&lt;&gt;T[[#This Row],[qty_invoiced]],IF(T[[#This Row],[qty_invoiced]]&gt;0,"Partial Invoiced","Not Invoiced"),"Fully Invoiced")</f>
        <v>Partial Invoiced</v>
      </c>
      <c r="R902" t="str">
        <f>IFERROR(VLOOKUP(T[[#This Row],[warehouse]],Table2[],2,FALSE),"--")</f>
        <v>--</v>
      </c>
    </row>
    <row r="903" spans="1:18" x14ac:dyDescent="0.25">
      <c r="A903" t="s">
        <v>353</v>
      </c>
      <c r="B903" s="1">
        <v>43815</v>
      </c>
      <c r="C903" t="s">
        <v>617</v>
      </c>
      <c r="D903" t="s">
        <v>71</v>
      </c>
      <c r="E903" t="s">
        <v>146</v>
      </c>
      <c r="F903" t="s">
        <v>294</v>
      </c>
      <c r="G903" t="s">
        <v>295</v>
      </c>
      <c r="H903" t="s">
        <v>149</v>
      </c>
      <c r="I903">
        <v>244800</v>
      </c>
      <c r="J903">
        <v>244800</v>
      </c>
      <c r="K903">
        <v>244800</v>
      </c>
      <c r="L903" t="s">
        <v>25</v>
      </c>
      <c r="M903" t="s">
        <v>150</v>
      </c>
      <c r="N903">
        <v>27</v>
      </c>
      <c r="O903">
        <v>6609600</v>
      </c>
      <c r="P903" t="str">
        <f>IF(T[[#This Row],[qty_ordered]]&lt;&gt;T[[#This Row],[qty_received]],IF(T[[#This Row],[qty_received]]&gt;0,"Partial Received","Not Receviced"),"FullyReceived")</f>
        <v>FullyReceived</v>
      </c>
      <c r="Q903" t="str">
        <f>IF(T[[#This Row],[qty_received]]&lt;&gt;T[[#This Row],[qty_invoiced]],IF(T[[#This Row],[qty_invoiced]]&gt;0,"Partial Invoiced","Not Invoiced"),"Fully Invoiced")</f>
        <v>Fully Invoiced</v>
      </c>
      <c r="R903" t="str">
        <f>IFERROR(VLOOKUP(T[[#This Row],[warehouse]],Table2[],2,FALSE),"--")</f>
        <v>Khtoum Main Warehouse</v>
      </c>
    </row>
    <row r="904" spans="1:18" x14ac:dyDescent="0.25">
      <c r="A904" t="s">
        <v>160</v>
      </c>
      <c r="B904" s="1">
        <v>43580</v>
      </c>
      <c r="C904" t="s">
        <v>450</v>
      </c>
      <c r="D904" t="s">
        <v>88</v>
      </c>
      <c r="E904" t="s">
        <v>51</v>
      </c>
      <c r="F904" t="s">
        <v>52</v>
      </c>
      <c r="G904" t="s">
        <v>75</v>
      </c>
      <c r="H904" t="s">
        <v>54</v>
      </c>
      <c r="I904">
        <v>4925.09</v>
      </c>
      <c r="J904">
        <v>0</v>
      </c>
      <c r="K904">
        <v>0</v>
      </c>
      <c r="L904" t="s">
        <v>25</v>
      </c>
      <c r="M904" t="s">
        <v>26</v>
      </c>
      <c r="N904">
        <v>33600</v>
      </c>
      <c r="O904">
        <v>0</v>
      </c>
      <c r="P904" t="str">
        <f>IF(T[[#This Row],[qty_ordered]]&lt;&gt;T[[#This Row],[qty_received]],IF(T[[#This Row],[qty_received]]&gt;0,"Partial Received","Not Receviced"),"FullyReceived")</f>
        <v>Not Receviced</v>
      </c>
      <c r="Q904" t="str">
        <f>IF(T[[#This Row],[qty_received]]&lt;&gt;T[[#This Row],[qty_invoiced]],IF(T[[#This Row],[qty_invoiced]]&gt;0,"Partial Invoiced","Not Invoiced"),"Fully Invoiced")</f>
        <v>Fully Invoiced</v>
      </c>
      <c r="R904" t="str">
        <f>IFERROR(VLOOKUP(T[[#This Row],[warehouse]],Table2[],2,FALSE),"--")</f>
        <v>--</v>
      </c>
    </row>
    <row r="905" spans="1:18" x14ac:dyDescent="0.25">
      <c r="A905" t="s">
        <v>160</v>
      </c>
      <c r="B905" s="1">
        <v>43580</v>
      </c>
      <c r="C905" t="s">
        <v>450</v>
      </c>
      <c r="D905" t="s">
        <v>74</v>
      </c>
      <c r="E905" t="s">
        <v>51</v>
      </c>
      <c r="F905" t="s">
        <v>52</v>
      </c>
      <c r="G905" t="s">
        <v>75</v>
      </c>
      <c r="H905" t="s">
        <v>54</v>
      </c>
      <c r="I905">
        <v>332.53</v>
      </c>
      <c r="J905">
        <v>0</v>
      </c>
      <c r="K905">
        <v>0</v>
      </c>
      <c r="L905" t="s">
        <v>25</v>
      </c>
      <c r="M905" t="s">
        <v>26</v>
      </c>
      <c r="N905">
        <v>36000</v>
      </c>
      <c r="O905">
        <v>0</v>
      </c>
      <c r="P905" t="str">
        <f>IF(T[[#This Row],[qty_ordered]]&lt;&gt;T[[#This Row],[qty_received]],IF(T[[#This Row],[qty_received]]&gt;0,"Partial Received","Not Receviced"),"FullyReceived")</f>
        <v>Not Receviced</v>
      </c>
      <c r="Q905" t="str">
        <f>IF(T[[#This Row],[qty_received]]&lt;&gt;T[[#This Row],[qty_invoiced]],IF(T[[#This Row],[qty_invoiced]]&gt;0,"Partial Invoiced","Not Invoiced"),"Fully Invoiced")</f>
        <v>Fully Invoiced</v>
      </c>
      <c r="R905" t="str">
        <f>IFERROR(VLOOKUP(T[[#This Row],[warehouse]],Table2[],2,FALSE),"--")</f>
        <v>--</v>
      </c>
    </row>
    <row r="906" spans="1:18" x14ac:dyDescent="0.25">
      <c r="A906" t="s">
        <v>153</v>
      </c>
      <c r="B906" s="1">
        <v>43804</v>
      </c>
      <c r="C906" t="s">
        <v>881</v>
      </c>
      <c r="D906" t="s">
        <v>100</v>
      </c>
      <c r="E906" t="s">
        <v>66</v>
      </c>
      <c r="F906" t="s">
        <v>167</v>
      </c>
      <c r="G906" t="s">
        <v>156</v>
      </c>
      <c r="H906" t="s">
        <v>24</v>
      </c>
      <c r="I906">
        <v>1000</v>
      </c>
      <c r="J906">
        <v>84.42</v>
      </c>
      <c r="K906">
        <v>84.42</v>
      </c>
      <c r="L906" t="s">
        <v>25</v>
      </c>
      <c r="M906" t="s">
        <v>132</v>
      </c>
      <c r="N906">
        <v>105000</v>
      </c>
      <c r="O906">
        <v>8864100</v>
      </c>
      <c r="P906" t="str">
        <f>IF(T[[#This Row],[qty_ordered]]&lt;&gt;T[[#This Row],[qty_received]],IF(T[[#This Row],[qty_received]]&gt;0,"Partial Received","Not Receviced"),"FullyReceived")</f>
        <v>Partial Received</v>
      </c>
      <c r="Q906" t="str">
        <f>IF(T[[#This Row],[qty_received]]&lt;&gt;T[[#This Row],[qty_invoiced]],IF(T[[#This Row],[qty_invoiced]]&gt;0,"Partial Invoiced","Not Invoiced"),"Fully Invoiced")</f>
        <v>Fully Invoiced</v>
      </c>
      <c r="R906" t="str">
        <f>IFERROR(VLOOKUP(T[[#This Row],[warehouse]],Table2[],2,FALSE),"--")</f>
        <v>PZU Main Warehouse</v>
      </c>
    </row>
    <row r="907" spans="1:18" x14ac:dyDescent="0.25">
      <c r="A907" t="s">
        <v>153</v>
      </c>
      <c r="B907" s="1">
        <v>43821</v>
      </c>
      <c r="C907" t="s">
        <v>826</v>
      </c>
      <c r="D907" t="s">
        <v>71</v>
      </c>
      <c r="E907" t="s">
        <v>64</v>
      </c>
      <c r="F907" t="s">
        <v>474</v>
      </c>
      <c r="G907" t="s">
        <v>475</v>
      </c>
      <c r="H907" t="s">
        <v>24</v>
      </c>
      <c r="I907">
        <v>1236.71</v>
      </c>
      <c r="J907">
        <v>1236.71</v>
      </c>
      <c r="K907">
        <v>1236.71</v>
      </c>
      <c r="L907" t="s">
        <v>25</v>
      </c>
      <c r="M907" t="s">
        <v>132</v>
      </c>
      <c r="N907">
        <v>50000</v>
      </c>
      <c r="O907">
        <v>61835500</v>
      </c>
      <c r="P907" t="str">
        <f>IF(T[[#This Row],[qty_ordered]]&lt;&gt;T[[#This Row],[qty_received]],IF(T[[#This Row],[qty_received]]&gt;0,"Partial Received","Not Receviced"),"FullyReceived")</f>
        <v>FullyReceived</v>
      </c>
      <c r="Q907" t="str">
        <f>IF(T[[#This Row],[qty_received]]&lt;&gt;T[[#This Row],[qty_invoiced]],IF(T[[#This Row],[qty_invoiced]]&gt;0,"Partial Invoiced","Not Invoiced"),"Fully Invoiced")</f>
        <v>Fully Invoiced</v>
      </c>
      <c r="R907" t="str">
        <f>IFERROR(VLOOKUP(T[[#This Row],[warehouse]],Table2[],2,FALSE),"--")</f>
        <v>Stuffing OMD-ALGOMIA</v>
      </c>
    </row>
    <row r="908" spans="1:18" x14ac:dyDescent="0.25">
      <c r="A908" t="s">
        <v>153</v>
      </c>
      <c r="B908" s="1">
        <v>43804</v>
      </c>
      <c r="C908" t="s">
        <v>881</v>
      </c>
      <c r="D908" t="s">
        <v>20</v>
      </c>
      <c r="E908" t="s">
        <v>281</v>
      </c>
      <c r="F908" t="s">
        <v>167</v>
      </c>
      <c r="G908" t="s">
        <v>156</v>
      </c>
      <c r="H908" t="s">
        <v>24</v>
      </c>
      <c r="I908">
        <v>500</v>
      </c>
      <c r="J908">
        <v>414.73</v>
      </c>
      <c r="K908">
        <v>414.73</v>
      </c>
      <c r="L908" t="s">
        <v>25</v>
      </c>
      <c r="M908" t="s">
        <v>132</v>
      </c>
      <c r="N908">
        <v>103500</v>
      </c>
      <c r="O908">
        <v>42924555</v>
      </c>
      <c r="P908" t="str">
        <f>IF(T[[#This Row],[qty_ordered]]&lt;&gt;T[[#This Row],[qty_received]],IF(T[[#This Row],[qty_received]]&gt;0,"Partial Received","Not Receviced"),"FullyReceived")</f>
        <v>Partial Received</v>
      </c>
      <c r="Q908" t="str">
        <f>IF(T[[#This Row],[qty_received]]&lt;&gt;T[[#This Row],[qty_invoiced]],IF(T[[#This Row],[qty_invoiced]]&gt;0,"Partial Invoiced","Not Invoiced"),"Fully Invoiced")</f>
        <v>Fully Invoiced</v>
      </c>
      <c r="R908" t="str">
        <f>IFERROR(VLOOKUP(T[[#This Row],[warehouse]],Table2[],2,FALSE),"--")</f>
        <v>Crusher Alm Eldin-KH</v>
      </c>
    </row>
    <row r="909" spans="1:18" x14ac:dyDescent="0.25">
      <c r="A909" t="s">
        <v>153</v>
      </c>
      <c r="B909" s="1">
        <v>43804</v>
      </c>
      <c r="C909" t="s">
        <v>881</v>
      </c>
      <c r="D909" t="s">
        <v>71</v>
      </c>
      <c r="E909" t="s">
        <v>214</v>
      </c>
      <c r="F909" t="s">
        <v>167</v>
      </c>
      <c r="G909" t="s">
        <v>156</v>
      </c>
      <c r="H909" t="s">
        <v>24</v>
      </c>
      <c r="I909">
        <v>2212.59</v>
      </c>
      <c r="J909">
        <v>2212.59</v>
      </c>
      <c r="K909">
        <v>2212.59</v>
      </c>
      <c r="L909" t="s">
        <v>25</v>
      </c>
      <c r="M909" t="s">
        <v>132</v>
      </c>
      <c r="N909">
        <v>118000</v>
      </c>
      <c r="O909">
        <v>266065720</v>
      </c>
      <c r="P909" t="str">
        <f>IF(T[[#This Row],[qty_ordered]]&lt;&gt;T[[#This Row],[qty_received]],IF(T[[#This Row],[qty_received]]&gt;0,"Partial Received","Not Receviced"),"FullyReceived")</f>
        <v>FullyReceived</v>
      </c>
      <c r="Q909" t="str">
        <f>IF(T[[#This Row],[qty_received]]&lt;&gt;T[[#This Row],[qty_invoiced]],IF(T[[#This Row],[qty_invoiced]]&gt;0,"Partial Invoiced","Not Invoiced"),"Fully Invoiced")</f>
        <v>Fully Invoiced</v>
      </c>
      <c r="R909" t="str">
        <f>IFERROR(VLOOKUP(T[[#This Row],[warehouse]],Table2[],2,FALSE),"--")</f>
        <v>CRUSHER ELBALOLA</v>
      </c>
    </row>
    <row r="910" spans="1:18" x14ac:dyDescent="0.25">
      <c r="A910" t="s">
        <v>534</v>
      </c>
      <c r="B910" s="1">
        <v>43818</v>
      </c>
      <c r="C910" t="s">
        <v>680</v>
      </c>
      <c r="D910" t="s">
        <v>71</v>
      </c>
      <c r="E910" t="s">
        <v>825</v>
      </c>
      <c r="F910" t="s">
        <v>22</v>
      </c>
      <c r="G910" t="s">
        <v>23</v>
      </c>
      <c r="H910" t="s">
        <v>24</v>
      </c>
      <c r="I910">
        <v>500</v>
      </c>
      <c r="J910">
        <v>388</v>
      </c>
      <c r="K910">
        <v>388</v>
      </c>
      <c r="L910" t="s">
        <v>25</v>
      </c>
      <c r="M910" t="s">
        <v>132</v>
      </c>
      <c r="N910">
        <v>50000</v>
      </c>
      <c r="O910">
        <v>19400000</v>
      </c>
      <c r="P910" t="str">
        <f>IF(T[[#This Row],[qty_ordered]]&lt;&gt;T[[#This Row],[qty_received]],IF(T[[#This Row],[qty_received]]&gt;0,"Partial Received","Not Receviced"),"FullyReceived")</f>
        <v>Partial Received</v>
      </c>
      <c r="Q910" t="str">
        <f>IF(T[[#This Row],[qty_received]]&lt;&gt;T[[#This Row],[qty_invoiced]],IF(T[[#This Row],[qty_invoiced]]&gt;0,"Partial Invoiced","Not Invoiced"),"Fully Invoiced")</f>
        <v>Fully Invoiced</v>
      </c>
      <c r="R910" t="str">
        <f>IFERROR(VLOOKUP(T[[#This Row],[warehouse]],Table2[],2,FALSE),"--")</f>
        <v>CRUSHER HASABO</v>
      </c>
    </row>
    <row r="911" spans="1:18" x14ac:dyDescent="0.25">
      <c r="A911" t="s">
        <v>534</v>
      </c>
      <c r="B911" s="1">
        <v>43818</v>
      </c>
      <c r="C911" t="s">
        <v>680</v>
      </c>
      <c r="D911" t="s">
        <v>100</v>
      </c>
      <c r="E911" t="s">
        <v>28</v>
      </c>
      <c r="F911" t="s">
        <v>22</v>
      </c>
      <c r="G911" t="s">
        <v>23</v>
      </c>
      <c r="H911" t="s">
        <v>24</v>
      </c>
      <c r="I911">
        <v>440</v>
      </c>
      <c r="J911">
        <v>294.45999999999998</v>
      </c>
      <c r="K911">
        <v>294.45999999999998</v>
      </c>
      <c r="L911" t="s">
        <v>25</v>
      </c>
      <c r="M911" t="s">
        <v>132</v>
      </c>
      <c r="N911">
        <v>50000</v>
      </c>
      <c r="O911">
        <v>14723000</v>
      </c>
      <c r="P911" t="str">
        <f>IF(T[[#This Row],[qty_ordered]]&lt;&gt;T[[#This Row],[qty_received]],IF(T[[#This Row],[qty_received]]&gt;0,"Partial Received","Not Receviced"),"FullyReceived")</f>
        <v>Partial Received</v>
      </c>
      <c r="Q911" t="str">
        <f>IF(T[[#This Row],[qty_received]]&lt;&gt;T[[#This Row],[qty_invoiced]],IF(T[[#This Row],[qty_invoiced]]&gt;0,"Partial Invoiced","Not Invoiced"),"Fully Invoiced")</f>
        <v>Fully Invoiced</v>
      </c>
      <c r="R911" t="str">
        <f>IFERROR(VLOOKUP(T[[#This Row],[warehouse]],Table2[],2,FALSE),"--")</f>
        <v>Crusher KHN -ASVOC</v>
      </c>
    </row>
    <row r="912" spans="1:18" x14ac:dyDescent="0.25">
      <c r="A912" t="s">
        <v>260</v>
      </c>
      <c r="B912" s="1">
        <v>43832</v>
      </c>
      <c r="C912" t="s">
        <v>882</v>
      </c>
      <c r="D912" t="s">
        <v>20</v>
      </c>
      <c r="E912" t="s">
        <v>51</v>
      </c>
      <c r="F912" t="s">
        <v>266</v>
      </c>
      <c r="G912" t="s">
        <v>266</v>
      </c>
      <c r="H912" t="s">
        <v>54</v>
      </c>
      <c r="I912">
        <v>57000</v>
      </c>
      <c r="J912">
        <v>0</v>
      </c>
      <c r="K912">
        <v>1</v>
      </c>
      <c r="L912" t="s">
        <v>25</v>
      </c>
      <c r="M912" t="s">
        <v>533</v>
      </c>
      <c r="N912">
        <v>15.4</v>
      </c>
      <c r="O912">
        <v>0</v>
      </c>
      <c r="P912" t="str">
        <f>IF(T[[#This Row],[qty_ordered]]&lt;&gt;T[[#This Row],[qty_received]],IF(T[[#This Row],[qty_received]]&gt;0,"Partial Received","Not Receviced"),"FullyReceived")</f>
        <v>Not Receviced</v>
      </c>
      <c r="Q912" t="str">
        <f>IF(T[[#This Row],[qty_received]]&lt;&gt;T[[#This Row],[qty_invoiced]],IF(T[[#This Row],[qty_invoiced]]&gt;0,"Partial Invoiced","Not Invoiced"),"Fully Invoiced")</f>
        <v>Partial Invoiced</v>
      </c>
      <c r="R912" t="str">
        <f>IFERROR(VLOOKUP(T[[#This Row],[warehouse]],Table2[],2,FALSE),"--")</f>
        <v>--</v>
      </c>
    </row>
    <row r="913" spans="1:18" x14ac:dyDescent="0.25">
      <c r="A913" t="s">
        <v>260</v>
      </c>
      <c r="B913" s="1">
        <v>43832</v>
      </c>
      <c r="C913" t="s">
        <v>882</v>
      </c>
      <c r="D913" t="s">
        <v>71</v>
      </c>
      <c r="E913" t="s">
        <v>51</v>
      </c>
      <c r="F913" t="s">
        <v>262</v>
      </c>
      <c r="G913" t="s">
        <v>262</v>
      </c>
      <c r="H913" t="s">
        <v>54</v>
      </c>
      <c r="I913">
        <v>57000</v>
      </c>
      <c r="J913">
        <v>0</v>
      </c>
      <c r="K913">
        <v>1</v>
      </c>
      <c r="L913" t="s">
        <v>25</v>
      </c>
      <c r="M913" t="s">
        <v>533</v>
      </c>
      <c r="N913">
        <v>10</v>
      </c>
      <c r="O913">
        <v>0</v>
      </c>
      <c r="P913" t="str">
        <f>IF(T[[#This Row],[qty_ordered]]&lt;&gt;T[[#This Row],[qty_received]],IF(T[[#This Row],[qty_received]]&gt;0,"Partial Received","Not Receviced"),"FullyReceived")</f>
        <v>Not Receviced</v>
      </c>
      <c r="Q913" t="str">
        <f>IF(T[[#This Row],[qty_received]]&lt;&gt;T[[#This Row],[qty_invoiced]],IF(T[[#This Row],[qty_invoiced]]&gt;0,"Partial Invoiced","Not Invoiced"),"Fully Invoiced")</f>
        <v>Partial Invoiced</v>
      </c>
      <c r="R913" t="str">
        <f>IFERROR(VLOOKUP(T[[#This Row],[warehouse]],Table2[],2,FALSE),"--")</f>
        <v>--</v>
      </c>
    </row>
    <row r="914" spans="1:18" x14ac:dyDescent="0.25">
      <c r="A914" t="s">
        <v>260</v>
      </c>
      <c r="B914" s="1">
        <v>43832</v>
      </c>
      <c r="C914" t="s">
        <v>882</v>
      </c>
      <c r="D914" t="s">
        <v>100</v>
      </c>
      <c r="E914" t="s">
        <v>51</v>
      </c>
      <c r="F914" t="s">
        <v>183</v>
      </c>
      <c r="G914" t="s">
        <v>183</v>
      </c>
      <c r="H914" t="s">
        <v>54</v>
      </c>
      <c r="I914">
        <v>5420</v>
      </c>
      <c r="J914">
        <v>0</v>
      </c>
      <c r="K914">
        <v>1</v>
      </c>
      <c r="L914" t="s">
        <v>25</v>
      </c>
      <c r="M914" t="s">
        <v>533</v>
      </c>
      <c r="N914">
        <v>60</v>
      </c>
      <c r="O914">
        <v>0</v>
      </c>
      <c r="P914" t="str">
        <f>IF(T[[#This Row],[qty_ordered]]&lt;&gt;T[[#This Row],[qty_received]],IF(T[[#This Row],[qty_received]]&gt;0,"Partial Received","Not Receviced"),"FullyReceived")</f>
        <v>Not Receviced</v>
      </c>
      <c r="Q914" t="str">
        <f>IF(T[[#This Row],[qty_received]]&lt;&gt;T[[#This Row],[qty_invoiced]],IF(T[[#This Row],[qty_invoiced]]&gt;0,"Partial Invoiced","Not Invoiced"),"Fully Invoiced")</f>
        <v>Partial Invoiced</v>
      </c>
      <c r="R914" t="str">
        <f>IFERROR(VLOOKUP(T[[#This Row],[warehouse]],Table2[],2,FALSE),"--")</f>
        <v>--</v>
      </c>
    </row>
    <row r="915" spans="1:18" x14ac:dyDescent="0.25">
      <c r="A915" t="s">
        <v>260</v>
      </c>
      <c r="B915" s="1">
        <v>43832</v>
      </c>
      <c r="C915" t="s">
        <v>882</v>
      </c>
      <c r="D915" t="s">
        <v>88</v>
      </c>
      <c r="E915" t="s">
        <v>51</v>
      </c>
      <c r="F915" t="s">
        <v>254</v>
      </c>
      <c r="G915" t="s">
        <v>255</v>
      </c>
      <c r="H915" t="s">
        <v>54</v>
      </c>
      <c r="I915">
        <v>114000</v>
      </c>
      <c r="J915">
        <v>0</v>
      </c>
      <c r="K915">
        <v>1</v>
      </c>
      <c r="L915" t="s">
        <v>25</v>
      </c>
      <c r="M915" t="s">
        <v>533</v>
      </c>
      <c r="N915">
        <v>5</v>
      </c>
      <c r="O915">
        <v>0</v>
      </c>
      <c r="P915" t="str">
        <f>IF(T[[#This Row],[qty_ordered]]&lt;&gt;T[[#This Row],[qty_received]],IF(T[[#This Row],[qty_received]]&gt;0,"Partial Received","Not Receviced"),"FullyReceived")</f>
        <v>Not Receviced</v>
      </c>
      <c r="Q915" t="str">
        <f>IF(T[[#This Row],[qty_received]]&lt;&gt;T[[#This Row],[qty_invoiced]],IF(T[[#This Row],[qty_invoiced]]&gt;0,"Partial Invoiced","Not Invoiced"),"Fully Invoiced")</f>
        <v>Partial Invoiced</v>
      </c>
      <c r="R915" t="str">
        <f>IFERROR(VLOOKUP(T[[#This Row],[warehouse]],Table2[],2,FALSE),"--")</f>
        <v>--</v>
      </c>
    </row>
    <row r="916" spans="1:18" x14ac:dyDescent="0.25">
      <c r="A916" t="s">
        <v>534</v>
      </c>
      <c r="B916" s="1">
        <v>43818</v>
      </c>
      <c r="C916" t="s">
        <v>834</v>
      </c>
      <c r="D916" t="s">
        <v>71</v>
      </c>
      <c r="E916" t="s">
        <v>36</v>
      </c>
      <c r="F916" t="s">
        <v>37</v>
      </c>
      <c r="G916" t="s">
        <v>38</v>
      </c>
      <c r="H916" t="s">
        <v>24</v>
      </c>
      <c r="I916">
        <v>1000</v>
      </c>
      <c r="J916">
        <v>549.28</v>
      </c>
      <c r="K916">
        <v>549.28</v>
      </c>
      <c r="L916" t="s">
        <v>25</v>
      </c>
      <c r="M916" t="s">
        <v>132</v>
      </c>
      <c r="N916">
        <v>91893</v>
      </c>
      <c r="O916">
        <v>50474987.039999999</v>
      </c>
      <c r="P916" t="str">
        <f>IF(T[[#This Row],[qty_ordered]]&lt;&gt;T[[#This Row],[qty_received]],IF(T[[#This Row],[qty_received]]&gt;0,"Partial Received","Not Receviced"),"FullyReceived")</f>
        <v>Partial Received</v>
      </c>
      <c r="Q916" t="str">
        <f>IF(T[[#This Row],[qty_received]]&lt;&gt;T[[#This Row],[qty_invoiced]],IF(T[[#This Row],[qty_invoiced]]&gt;0,"Partial Invoiced","Not Invoiced"),"Fully Invoiced")</f>
        <v>Fully Invoiced</v>
      </c>
      <c r="R916" t="str">
        <f>IFERROR(VLOOKUP(T[[#This Row],[warehouse]],Table2[],2,FALSE),"--")</f>
        <v>Sifter Gadarif -Copen</v>
      </c>
    </row>
    <row r="917" spans="1:18" x14ac:dyDescent="0.25">
      <c r="A917" t="s">
        <v>160</v>
      </c>
      <c r="B917" s="1">
        <v>43474</v>
      </c>
      <c r="C917" t="s">
        <v>366</v>
      </c>
      <c r="D917" t="s">
        <v>88</v>
      </c>
      <c r="E917" t="s">
        <v>51</v>
      </c>
      <c r="F917" t="s">
        <v>52</v>
      </c>
      <c r="G917" t="s">
        <v>883</v>
      </c>
      <c r="H917" t="s">
        <v>54</v>
      </c>
      <c r="I917">
        <v>8019.61</v>
      </c>
      <c r="J917">
        <v>0</v>
      </c>
      <c r="K917">
        <v>0</v>
      </c>
      <c r="L917" t="s">
        <v>25</v>
      </c>
      <c r="M917" t="s">
        <v>26</v>
      </c>
      <c r="N917">
        <v>14112.93</v>
      </c>
      <c r="O917">
        <v>0</v>
      </c>
      <c r="P917" t="str">
        <f>IF(T[[#This Row],[qty_ordered]]&lt;&gt;T[[#This Row],[qty_received]],IF(T[[#This Row],[qty_received]]&gt;0,"Partial Received","Not Receviced"),"FullyReceived")</f>
        <v>Not Receviced</v>
      </c>
      <c r="Q917" t="str">
        <f>IF(T[[#This Row],[qty_received]]&lt;&gt;T[[#This Row],[qty_invoiced]],IF(T[[#This Row],[qty_invoiced]]&gt;0,"Partial Invoiced","Not Invoiced"),"Fully Invoiced")</f>
        <v>Fully Invoiced</v>
      </c>
      <c r="R917" t="str">
        <f>IFERROR(VLOOKUP(T[[#This Row],[warehouse]],Table2[],2,FALSE),"--")</f>
        <v>--</v>
      </c>
    </row>
    <row r="918" spans="1:18" x14ac:dyDescent="0.25">
      <c r="A918" t="s">
        <v>160</v>
      </c>
      <c r="B918" s="1">
        <v>43457</v>
      </c>
      <c r="C918" t="s">
        <v>339</v>
      </c>
      <c r="D918" t="s">
        <v>71</v>
      </c>
      <c r="E918" t="s">
        <v>51</v>
      </c>
      <c r="F918" t="s">
        <v>52</v>
      </c>
      <c r="G918" t="s">
        <v>838</v>
      </c>
      <c r="H918" t="s">
        <v>54</v>
      </c>
      <c r="I918">
        <v>5745.14</v>
      </c>
      <c r="J918">
        <v>0</v>
      </c>
      <c r="K918">
        <v>0</v>
      </c>
      <c r="L918" t="s">
        <v>25</v>
      </c>
      <c r="M918" t="s">
        <v>26</v>
      </c>
      <c r="N918">
        <v>-41749</v>
      </c>
      <c r="O918">
        <v>0</v>
      </c>
      <c r="P918" t="str">
        <f>IF(T[[#This Row],[qty_ordered]]&lt;&gt;T[[#This Row],[qty_received]],IF(T[[#This Row],[qty_received]]&gt;0,"Partial Received","Not Receviced"),"FullyReceived")</f>
        <v>Not Receviced</v>
      </c>
      <c r="Q918" t="str">
        <f>IF(T[[#This Row],[qty_received]]&lt;&gt;T[[#This Row],[qty_invoiced]],IF(T[[#This Row],[qty_invoiced]]&gt;0,"Partial Invoiced","Not Invoiced"),"Fully Invoiced")</f>
        <v>Fully Invoiced</v>
      </c>
      <c r="R918" t="str">
        <f>IFERROR(VLOOKUP(T[[#This Row],[warehouse]],Table2[],2,FALSE),"--")</f>
        <v>--</v>
      </c>
    </row>
    <row r="919" spans="1:18" x14ac:dyDescent="0.25">
      <c r="A919" t="s">
        <v>502</v>
      </c>
      <c r="B919" s="1">
        <v>43705</v>
      </c>
      <c r="C919" t="s">
        <v>503</v>
      </c>
      <c r="D919" t="s">
        <v>212</v>
      </c>
      <c r="E919" t="s">
        <v>51</v>
      </c>
      <c r="F919" t="s">
        <v>247</v>
      </c>
      <c r="G919" t="s">
        <v>247</v>
      </c>
      <c r="H919" t="s">
        <v>54</v>
      </c>
      <c r="I919">
        <v>3700</v>
      </c>
      <c r="J919">
        <v>0</v>
      </c>
      <c r="K919">
        <v>1</v>
      </c>
      <c r="L919" t="s">
        <v>25</v>
      </c>
      <c r="M919" t="s">
        <v>359</v>
      </c>
      <c r="N919">
        <v>118.93300000000001</v>
      </c>
      <c r="O919">
        <v>0</v>
      </c>
      <c r="P919" t="str">
        <f>IF(T[[#This Row],[qty_ordered]]&lt;&gt;T[[#This Row],[qty_received]],IF(T[[#This Row],[qty_received]]&gt;0,"Partial Received","Not Receviced"),"FullyReceived")</f>
        <v>Not Receviced</v>
      </c>
      <c r="Q919" t="str">
        <f>IF(T[[#This Row],[qty_received]]&lt;&gt;T[[#This Row],[qty_invoiced]],IF(T[[#This Row],[qty_invoiced]]&gt;0,"Partial Invoiced","Not Invoiced"),"Fully Invoiced")</f>
        <v>Partial Invoiced</v>
      </c>
      <c r="R919" t="str">
        <f>IFERROR(VLOOKUP(T[[#This Row],[warehouse]],Table2[],2,FALSE),"--")</f>
        <v>--</v>
      </c>
    </row>
    <row r="920" spans="1:18" x14ac:dyDescent="0.25">
      <c r="A920" t="s">
        <v>181</v>
      </c>
      <c r="B920" s="1">
        <v>43787</v>
      </c>
      <c r="C920" t="s">
        <v>532</v>
      </c>
      <c r="D920" t="s">
        <v>74</v>
      </c>
      <c r="E920" t="s">
        <v>51</v>
      </c>
      <c r="F920" t="s">
        <v>183</v>
      </c>
      <c r="G920" t="s">
        <v>884</v>
      </c>
      <c r="H920" t="s">
        <v>54</v>
      </c>
      <c r="I920">
        <v>500</v>
      </c>
      <c r="J920">
        <v>0</v>
      </c>
      <c r="K920">
        <v>1</v>
      </c>
      <c r="L920" t="s">
        <v>25</v>
      </c>
      <c r="M920" t="s">
        <v>533</v>
      </c>
      <c r="N920">
        <v>675</v>
      </c>
      <c r="O920">
        <v>0</v>
      </c>
      <c r="P920" t="str">
        <f>IF(T[[#This Row],[qty_ordered]]&lt;&gt;T[[#This Row],[qty_received]],IF(T[[#This Row],[qty_received]]&gt;0,"Partial Received","Not Receviced"),"FullyReceived")</f>
        <v>Not Receviced</v>
      </c>
      <c r="Q920" t="str">
        <f>IF(T[[#This Row],[qty_received]]&lt;&gt;T[[#This Row],[qty_invoiced]],IF(T[[#This Row],[qty_invoiced]]&gt;0,"Partial Invoiced","Not Invoiced"),"Fully Invoiced")</f>
        <v>Partial Invoiced</v>
      </c>
      <c r="R920" t="str">
        <f>IFERROR(VLOOKUP(T[[#This Row],[warehouse]],Table2[],2,FALSE),"--")</f>
        <v>--</v>
      </c>
    </row>
    <row r="921" spans="1:18" x14ac:dyDescent="0.25">
      <c r="A921" t="s">
        <v>815</v>
      </c>
      <c r="B921" s="1">
        <v>43852</v>
      </c>
      <c r="C921" t="s">
        <v>885</v>
      </c>
      <c r="D921" t="s">
        <v>100</v>
      </c>
      <c r="E921" t="s">
        <v>886</v>
      </c>
      <c r="F921" t="s">
        <v>108</v>
      </c>
      <c r="G921" t="s">
        <v>109</v>
      </c>
      <c r="H921" t="s">
        <v>24</v>
      </c>
      <c r="I921">
        <v>683.08</v>
      </c>
      <c r="J921">
        <v>683.08</v>
      </c>
      <c r="K921">
        <v>683.08</v>
      </c>
      <c r="L921" t="s">
        <v>25</v>
      </c>
      <c r="M921" t="s">
        <v>132</v>
      </c>
      <c r="N921">
        <v>90500</v>
      </c>
      <c r="O921">
        <v>61818740</v>
      </c>
      <c r="P921" t="str">
        <f>IF(T[[#This Row],[qty_ordered]]&lt;&gt;T[[#This Row],[qty_received]],IF(T[[#This Row],[qty_received]]&gt;0,"Partial Received","Not Receviced"),"FullyReceived")</f>
        <v>FullyReceived</v>
      </c>
      <c r="Q921" t="str">
        <f>IF(T[[#This Row],[qty_received]]&lt;&gt;T[[#This Row],[qty_invoiced]],IF(T[[#This Row],[qty_invoiced]]&gt;0,"Partial Invoiced","Not Invoiced"),"Fully Invoiced")</f>
        <v>Fully Invoiced</v>
      </c>
      <c r="R921" t="str">
        <f>IFERROR(VLOOKUP(T[[#This Row],[warehouse]],Table2[],2,FALSE),"--")</f>
        <v>SFITING-SAWARY-SOBA</v>
      </c>
    </row>
    <row r="922" spans="1:18" x14ac:dyDescent="0.25">
      <c r="A922" t="s">
        <v>260</v>
      </c>
      <c r="B922" s="1">
        <v>43832</v>
      </c>
      <c r="C922" t="s">
        <v>882</v>
      </c>
      <c r="D922" t="s">
        <v>323</v>
      </c>
      <c r="E922" t="s">
        <v>51</v>
      </c>
      <c r="F922" t="s">
        <v>266</v>
      </c>
      <c r="G922" t="s">
        <v>266</v>
      </c>
      <c r="H922" t="s">
        <v>54</v>
      </c>
      <c r="I922">
        <v>140000</v>
      </c>
      <c r="J922">
        <v>0</v>
      </c>
      <c r="K922">
        <v>1</v>
      </c>
      <c r="L922" t="s">
        <v>25</v>
      </c>
      <c r="M922" t="s">
        <v>533</v>
      </c>
      <c r="N922">
        <v>15.4</v>
      </c>
      <c r="O922">
        <v>0</v>
      </c>
      <c r="P922" t="str">
        <f>IF(T[[#This Row],[qty_ordered]]&lt;&gt;T[[#This Row],[qty_received]],IF(T[[#This Row],[qty_received]]&gt;0,"Partial Received","Not Receviced"),"FullyReceived")</f>
        <v>Not Receviced</v>
      </c>
      <c r="Q922" t="str">
        <f>IF(T[[#This Row],[qty_received]]&lt;&gt;T[[#This Row],[qty_invoiced]],IF(T[[#This Row],[qty_invoiced]]&gt;0,"Partial Invoiced","Not Invoiced"),"Fully Invoiced")</f>
        <v>Partial Invoiced</v>
      </c>
      <c r="R922" t="str">
        <f>IFERROR(VLOOKUP(T[[#This Row],[warehouse]],Table2[],2,FALSE),"--")</f>
        <v>--</v>
      </c>
    </row>
    <row r="923" spans="1:18" x14ac:dyDescent="0.25">
      <c r="A923" t="s">
        <v>260</v>
      </c>
      <c r="B923" s="1">
        <v>43832</v>
      </c>
      <c r="C923" t="s">
        <v>882</v>
      </c>
      <c r="D923" t="s">
        <v>324</v>
      </c>
      <c r="E923" t="s">
        <v>51</v>
      </c>
      <c r="F923" t="s">
        <v>262</v>
      </c>
      <c r="G923" t="s">
        <v>262</v>
      </c>
      <c r="H923" t="s">
        <v>54</v>
      </c>
      <c r="I923">
        <v>140000</v>
      </c>
      <c r="J923">
        <v>0</v>
      </c>
      <c r="K923">
        <v>1</v>
      </c>
      <c r="L923" t="s">
        <v>25</v>
      </c>
      <c r="M923" t="s">
        <v>533</v>
      </c>
      <c r="N923">
        <v>10</v>
      </c>
      <c r="O923">
        <v>0</v>
      </c>
      <c r="P923" t="str">
        <f>IF(T[[#This Row],[qty_ordered]]&lt;&gt;T[[#This Row],[qty_received]],IF(T[[#This Row],[qty_received]]&gt;0,"Partial Received","Not Receviced"),"FullyReceived")</f>
        <v>Not Receviced</v>
      </c>
      <c r="Q923" t="str">
        <f>IF(T[[#This Row],[qty_received]]&lt;&gt;T[[#This Row],[qty_invoiced]],IF(T[[#This Row],[qty_invoiced]]&gt;0,"Partial Invoiced","Not Invoiced"),"Fully Invoiced")</f>
        <v>Partial Invoiced</v>
      </c>
      <c r="R923" t="str">
        <f>IFERROR(VLOOKUP(T[[#This Row],[warehouse]],Table2[],2,FALSE),"--")</f>
        <v>--</v>
      </c>
    </row>
    <row r="924" spans="1:18" x14ac:dyDescent="0.25">
      <c r="A924" t="s">
        <v>260</v>
      </c>
      <c r="B924" s="1">
        <v>43832</v>
      </c>
      <c r="C924" t="s">
        <v>882</v>
      </c>
      <c r="D924" t="s">
        <v>325</v>
      </c>
      <c r="E924" t="s">
        <v>51</v>
      </c>
      <c r="F924" t="s">
        <v>183</v>
      </c>
      <c r="G924" t="s">
        <v>183</v>
      </c>
      <c r="H924" t="s">
        <v>54</v>
      </c>
      <c r="I924">
        <v>12400</v>
      </c>
      <c r="J924">
        <v>0</v>
      </c>
      <c r="K924">
        <v>1</v>
      </c>
      <c r="L924" t="s">
        <v>25</v>
      </c>
      <c r="M924" t="s">
        <v>533</v>
      </c>
      <c r="N924">
        <v>60</v>
      </c>
      <c r="O924">
        <v>0</v>
      </c>
      <c r="P924" t="str">
        <f>IF(T[[#This Row],[qty_ordered]]&lt;&gt;T[[#This Row],[qty_received]],IF(T[[#This Row],[qty_received]]&gt;0,"Partial Received","Not Receviced"),"FullyReceived")</f>
        <v>Not Receviced</v>
      </c>
      <c r="Q924" t="str">
        <f>IF(T[[#This Row],[qty_received]]&lt;&gt;T[[#This Row],[qty_invoiced]],IF(T[[#This Row],[qty_invoiced]]&gt;0,"Partial Invoiced","Not Invoiced"),"Fully Invoiced")</f>
        <v>Partial Invoiced</v>
      </c>
      <c r="R924" t="str">
        <f>IFERROR(VLOOKUP(T[[#This Row],[warehouse]],Table2[],2,FALSE),"--")</f>
        <v>--</v>
      </c>
    </row>
    <row r="925" spans="1:18" x14ac:dyDescent="0.25">
      <c r="A925" t="s">
        <v>260</v>
      </c>
      <c r="B925" s="1">
        <v>43832</v>
      </c>
      <c r="C925" t="s">
        <v>882</v>
      </c>
      <c r="D925" t="s">
        <v>451</v>
      </c>
      <c r="E925" t="s">
        <v>51</v>
      </c>
      <c r="F925" t="s">
        <v>254</v>
      </c>
      <c r="G925" t="s">
        <v>255</v>
      </c>
      <c r="H925" t="s">
        <v>54</v>
      </c>
      <c r="I925">
        <v>280000</v>
      </c>
      <c r="J925">
        <v>0</v>
      </c>
      <c r="K925">
        <v>1</v>
      </c>
      <c r="L925" t="s">
        <v>25</v>
      </c>
      <c r="M925" t="s">
        <v>533</v>
      </c>
      <c r="N925">
        <v>5</v>
      </c>
      <c r="O925">
        <v>0</v>
      </c>
      <c r="P925" t="str">
        <f>IF(T[[#This Row],[qty_ordered]]&lt;&gt;T[[#This Row],[qty_received]],IF(T[[#This Row],[qty_received]]&gt;0,"Partial Received","Not Receviced"),"FullyReceived")</f>
        <v>Not Receviced</v>
      </c>
      <c r="Q925" t="str">
        <f>IF(T[[#This Row],[qty_received]]&lt;&gt;T[[#This Row],[qty_invoiced]],IF(T[[#This Row],[qty_invoiced]]&gt;0,"Partial Invoiced","Not Invoiced"),"Fully Invoiced")</f>
        <v>Partial Invoiced</v>
      </c>
      <c r="R925" t="str">
        <f>IFERROR(VLOOKUP(T[[#This Row],[warehouse]],Table2[],2,FALSE),"--")</f>
        <v>--</v>
      </c>
    </row>
    <row r="926" spans="1:18" x14ac:dyDescent="0.25">
      <c r="A926" t="s">
        <v>887</v>
      </c>
      <c r="B926" s="1">
        <v>43893</v>
      </c>
      <c r="C926" t="s">
        <v>888</v>
      </c>
      <c r="D926" t="s">
        <v>20</v>
      </c>
      <c r="E926" t="s">
        <v>51</v>
      </c>
      <c r="F926" t="s">
        <v>164</v>
      </c>
      <c r="G926" t="s">
        <v>164</v>
      </c>
      <c r="H926" t="s">
        <v>54</v>
      </c>
      <c r="I926">
        <v>22232</v>
      </c>
      <c r="J926">
        <v>0</v>
      </c>
      <c r="K926">
        <v>1</v>
      </c>
      <c r="L926" t="s">
        <v>25</v>
      </c>
      <c r="M926" t="s">
        <v>359</v>
      </c>
      <c r="N926">
        <v>3</v>
      </c>
      <c r="O926">
        <v>0</v>
      </c>
      <c r="P926" t="str">
        <f>IF(T[[#This Row],[qty_ordered]]&lt;&gt;T[[#This Row],[qty_received]],IF(T[[#This Row],[qty_received]]&gt;0,"Partial Received","Not Receviced"),"FullyReceived")</f>
        <v>Not Receviced</v>
      </c>
      <c r="Q926" t="str">
        <f>IF(T[[#This Row],[qty_received]]&lt;&gt;T[[#This Row],[qty_invoiced]],IF(T[[#This Row],[qty_invoiced]]&gt;0,"Partial Invoiced","Not Invoiced"),"Fully Invoiced")</f>
        <v>Partial Invoiced</v>
      </c>
      <c r="R926" t="str">
        <f>IFERROR(VLOOKUP(T[[#This Row],[warehouse]],Table2[],2,FALSE),"--")</f>
        <v>--</v>
      </c>
    </row>
    <row r="927" spans="1:18" x14ac:dyDescent="0.25">
      <c r="A927" t="s">
        <v>618</v>
      </c>
      <c r="B927" s="1">
        <v>43846</v>
      </c>
      <c r="C927" t="s">
        <v>889</v>
      </c>
      <c r="D927" t="s">
        <v>71</v>
      </c>
      <c r="E927" t="s">
        <v>890</v>
      </c>
      <c r="F927" t="s">
        <v>486</v>
      </c>
      <c r="G927" t="s">
        <v>487</v>
      </c>
      <c r="H927" t="s">
        <v>24</v>
      </c>
      <c r="I927">
        <v>1000</v>
      </c>
      <c r="J927">
        <v>525.36</v>
      </c>
      <c r="K927">
        <v>525.36</v>
      </c>
      <c r="L927" t="s">
        <v>25</v>
      </c>
      <c r="M927" t="s">
        <v>132</v>
      </c>
      <c r="N927">
        <v>100000</v>
      </c>
      <c r="O927">
        <v>52536000</v>
      </c>
      <c r="P927" t="str">
        <f>IF(T[[#This Row],[qty_ordered]]&lt;&gt;T[[#This Row],[qty_received]],IF(T[[#This Row],[qty_received]]&gt;0,"Partial Received","Not Receviced"),"FullyReceived")</f>
        <v>Partial Received</v>
      </c>
      <c r="Q927" t="str">
        <f>IF(T[[#This Row],[qty_received]]&lt;&gt;T[[#This Row],[qty_invoiced]],IF(T[[#This Row],[qty_invoiced]]&gt;0,"Partial Invoiced","Not Invoiced"),"Fully Invoiced")</f>
        <v>Fully Invoiced</v>
      </c>
      <c r="R927" t="str">
        <f>IFERROR(VLOOKUP(T[[#This Row],[warehouse]],Table2[],2,FALSE),"--")</f>
        <v>GREEN CROPS SIFTING</v>
      </c>
    </row>
    <row r="928" spans="1:18" x14ac:dyDescent="0.25">
      <c r="A928" t="s">
        <v>252</v>
      </c>
      <c r="B928" s="1">
        <v>43808</v>
      </c>
      <c r="C928" t="s">
        <v>556</v>
      </c>
      <c r="D928" t="s">
        <v>71</v>
      </c>
      <c r="E928" t="s">
        <v>51</v>
      </c>
      <c r="F928" t="s">
        <v>183</v>
      </c>
      <c r="G928" t="s">
        <v>891</v>
      </c>
      <c r="H928" t="s">
        <v>54</v>
      </c>
      <c r="I928">
        <v>500</v>
      </c>
      <c r="J928">
        <v>0</v>
      </c>
      <c r="K928">
        <v>1</v>
      </c>
      <c r="L928" t="s">
        <v>25</v>
      </c>
      <c r="M928" t="s">
        <v>533</v>
      </c>
      <c r="N928">
        <v>850</v>
      </c>
      <c r="O928">
        <v>0</v>
      </c>
      <c r="P928" t="str">
        <f>IF(T[[#This Row],[qty_ordered]]&lt;&gt;T[[#This Row],[qty_received]],IF(T[[#This Row],[qty_received]]&gt;0,"Partial Received","Not Receviced"),"FullyReceived")</f>
        <v>Not Receviced</v>
      </c>
      <c r="Q928" t="str">
        <f>IF(T[[#This Row],[qty_received]]&lt;&gt;T[[#This Row],[qty_invoiced]],IF(T[[#This Row],[qty_invoiced]]&gt;0,"Partial Invoiced","Not Invoiced"),"Fully Invoiced")</f>
        <v>Partial Invoiced</v>
      </c>
      <c r="R928" t="str">
        <f>IFERROR(VLOOKUP(T[[#This Row],[warehouse]],Table2[],2,FALSE),"--")</f>
        <v>--</v>
      </c>
    </row>
    <row r="929" spans="1:18" x14ac:dyDescent="0.25">
      <c r="A929" t="s">
        <v>815</v>
      </c>
      <c r="B929" s="1">
        <v>43852</v>
      </c>
      <c r="C929" t="s">
        <v>885</v>
      </c>
      <c r="D929" t="s">
        <v>88</v>
      </c>
      <c r="E929" t="s">
        <v>162</v>
      </c>
      <c r="F929" t="s">
        <v>108</v>
      </c>
      <c r="G929" t="s">
        <v>109</v>
      </c>
      <c r="H929" t="s">
        <v>24</v>
      </c>
      <c r="I929">
        <v>1000</v>
      </c>
      <c r="J929">
        <v>201.7</v>
      </c>
      <c r="K929">
        <v>201.7</v>
      </c>
      <c r="L929" t="s">
        <v>25</v>
      </c>
      <c r="M929" t="s">
        <v>132</v>
      </c>
      <c r="N929">
        <v>93500</v>
      </c>
      <c r="O929">
        <v>18858950</v>
      </c>
      <c r="P929" t="str">
        <f>IF(T[[#This Row],[qty_ordered]]&lt;&gt;T[[#This Row],[qty_received]],IF(T[[#This Row],[qty_received]]&gt;0,"Partial Received","Not Receviced"),"FullyReceived")</f>
        <v>Partial Received</v>
      </c>
      <c r="Q929" t="str">
        <f>IF(T[[#This Row],[qty_received]]&lt;&gt;T[[#This Row],[qty_invoiced]],IF(T[[#This Row],[qty_invoiced]]&gt;0,"Partial Invoiced","Not Invoiced"),"Fully Invoiced")</f>
        <v>Fully Invoiced</v>
      </c>
      <c r="R929" t="str">
        <f>IFERROR(VLOOKUP(T[[#This Row],[warehouse]],Table2[],2,FALSE),"--")</f>
        <v>Sifters Mahasilna</v>
      </c>
    </row>
    <row r="930" spans="1:18" x14ac:dyDescent="0.25">
      <c r="A930" t="s">
        <v>423</v>
      </c>
      <c r="B930" s="1">
        <v>43850</v>
      </c>
      <c r="C930" t="s">
        <v>647</v>
      </c>
      <c r="D930" t="s">
        <v>74</v>
      </c>
      <c r="E930" t="s">
        <v>51</v>
      </c>
      <c r="F930" t="s">
        <v>546</v>
      </c>
      <c r="G930" t="s">
        <v>613</v>
      </c>
      <c r="H930" t="s">
        <v>54</v>
      </c>
      <c r="I930">
        <v>5000</v>
      </c>
      <c r="J930">
        <v>0</v>
      </c>
      <c r="K930">
        <v>1</v>
      </c>
      <c r="L930" t="s">
        <v>25</v>
      </c>
      <c r="M930" t="s">
        <v>359</v>
      </c>
      <c r="N930">
        <v>2.9</v>
      </c>
      <c r="O930">
        <v>0</v>
      </c>
      <c r="P930" t="str">
        <f>IF(T[[#This Row],[qty_ordered]]&lt;&gt;T[[#This Row],[qty_received]],IF(T[[#This Row],[qty_received]]&gt;0,"Partial Received","Not Receviced"),"FullyReceived")</f>
        <v>Not Receviced</v>
      </c>
      <c r="Q930" t="str">
        <f>IF(T[[#This Row],[qty_received]]&lt;&gt;T[[#This Row],[qty_invoiced]],IF(T[[#This Row],[qty_invoiced]]&gt;0,"Partial Invoiced","Not Invoiced"),"Fully Invoiced")</f>
        <v>Partial Invoiced</v>
      </c>
      <c r="R930" t="str">
        <f>IFERROR(VLOOKUP(T[[#This Row],[warehouse]],Table2[],2,FALSE),"--")</f>
        <v>--</v>
      </c>
    </row>
    <row r="931" spans="1:18" x14ac:dyDescent="0.25">
      <c r="A931" t="s">
        <v>423</v>
      </c>
      <c r="B931" s="1">
        <v>43885</v>
      </c>
      <c r="C931" t="s">
        <v>651</v>
      </c>
      <c r="D931" t="s">
        <v>71</v>
      </c>
      <c r="E931" t="s">
        <v>51</v>
      </c>
      <c r="F931" t="s">
        <v>546</v>
      </c>
      <c r="G931" t="s">
        <v>613</v>
      </c>
      <c r="H931" t="s">
        <v>54</v>
      </c>
      <c r="I931">
        <v>12000</v>
      </c>
      <c r="J931">
        <v>0</v>
      </c>
      <c r="K931">
        <v>1</v>
      </c>
      <c r="L931" t="s">
        <v>25</v>
      </c>
      <c r="M931" t="s">
        <v>359</v>
      </c>
      <c r="N931">
        <v>2.9</v>
      </c>
      <c r="O931">
        <v>0</v>
      </c>
      <c r="P931" t="str">
        <f>IF(T[[#This Row],[qty_ordered]]&lt;&gt;T[[#This Row],[qty_received]],IF(T[[#This Row],[qty_received]]&gt;0,"Partial Received","Not Receviced"),"FullyReceived")</f>
        <v>Not Receviced</v>
      </c>
      <c r="Q931" t="str">
        <f>IF(T[[#This Row],[qty_received]]&lt;&gt;T[[#This Row],[qty_invoiced]],IF(T[[#This Row],[qty_invoiced]]&gt;0,"Partial Invoiced","Not Invoiced"),"Fully Invoiced")</f>
        <v>Partial Invoiced</v>
      </c>
      <c r="R931" t="str">
        <f>IFERROR(VLOOKUP(T[[#This Row],[warehouse]],Table2[],2,FALSE),"--")</f>
        <v>--</v>
      </c>
    </row>
    <row r="932" spans="1:18" x14ac:dyDescent="0.25">
      <c r="A932" t="s">
        <v>739</v>
      </c>
      <c r="B932" s="1">
        <v>44082</v>
      </c>
      <c r="C932" t="s">
        <v>892</v>
      </c>
      <c r="D932" t="s">
        <v>71</v>
      </c>
      <c r="E932" t="s">
        <v>660</v>
      </c>
      <c r="F932" t="s">
        <v>705</v>
      </c>
      <c r="G932" t="s">
        <v>706</v>
      </c>
      <c r="H932" t="s">
        <v>663</v>
      </c>
      <c r="I932">
        <v>4217.6000000000004</v>
      </c>
      <c r="J932">
        <v>4217.6000000000004</v>
      </c>
      <c r="K932">
        <v>4217.6000000000004</v>
      </c>
      <c r="L932" t="s">
        <v>25</v>
      </c>
      <c r="M932" t="s">
        <v>132</v>
      </c>
      <c r="N932">
        <v>800</v>
      </c>
      <c r="O932">
        <v>3374080</v>
      </c>
      <c r="P932" t="str">
        <f>IF(T[[#This Row],[qty_ordered]]&lt;&gt;T[[#This Row],[qty_received]],IF(T[[#This Row],[qty_received]]&gt;0,"Partial Received","Not Receviced"),"FullyReceived")</f>
        <v>FullyReceived</v>
      </c>
      <c r="Q932" t="str">
        <f>IF(T[[#This Row],[qty_received]]&lt;&gt;T[[#This Row],[qty_invoiced]],IF(T[[#This Row],[qty_invoiced]]&gt;0,"Partial Invoiced","Not Invoiced"),"Fully Invoiced")</f>
        <v>Fully Invoiced</v>
      </c>
      <c r="R932" t="str">
        <f>IFERROR(VLOOKUP(T[[#This Row],[warehouse]],Table2[],2,FALSE),"--")</f>
        <v>SLAUGHTER HOUSE</v>
      </c>
    </row>
    <row r="933" spans="1:18" x14ac:dyDescent="0.25">
      <c r="A933" t="s">
        <v>893</v>
      </c>
      <c r="B933" s="1">
        <v>44102</v>
      </c>
      <c r="C933" t="s">
        <v>894</v>
      </c>
      <c r="D933" t="s">
        <v>20</v>
      </c>
      <c r="E933" t="s">
        <v>552</v>
      </c>
      <c r="F933" t="s">
        <v>300</v>
      </c>
      <c r="G933" t="s">
        <v>301</v>
      </c>
      <c r="H933" t="s">
        <v>24</v>
      </c>
      <c r="I933">
        <v>821.98</v>
      </c>
      <c r="J933">
        <v>821.98</v>
      </c>
      <c r="K933">
        <v>821.98</v>
      </c>
      <c r="L933" t="s">
        <v>25</v>
      </c>
      <c r="M933" t="s">
        <v>132</v>
      </c>
      <c r="N933">
        <v>95454.545454999999</v>
      </c>
      <c r="O933">
        <v>78461727.273100898</v>
      </c>
      <c r="P933" t="str">
        <f>IF(T[[#This Row],[qty_ordered]]&lt;&gt;T[[#This Row],[qty_received]],IF(T[[#This Row],[qty_received]]&gt;0,"Partial Received","Not Receviced"),"FullyReceived")</f>
        <v>FullyReceived</v>
      </c>
      <c r="Q933" t="str">
        <f>IF(T[[#This Row],[qty_received]]&lt;&gt;T[[#This Row],[qty_invoiced]],IF(T[[#This Row],[qty_invoiced]]&gt;0,"Partial Invoiced","Not Invoiced"),"Fully Invoiced")</f>
        <v>Fully Invoiced</v>
      </c>
      <c r="R933" t="str">
        <f>IFERROR(VLOOKUP(T[[#This Row],[warehouse]],Table2[],2,FALSE),"--")</f>
        <v>SIFTER - SAN DA-PZU</v>
      </c>
    </row>
    <row r="934" spans="1:18" x14ac:dyDescent="0.25">
      <c r="A934" t="s">
        <v>423</v>
      </c>
      <c r="B934" s="1">
        <v>43850</v>
      </c>
      <c r="C934" t="s">
        <v>895</v>
      </c>
      <c r="D934" t="s">
        <v>71</v>
      </c>
      <c r="E934" t="s">
        <v>51</v>
      </c>
      <c r="F934" t="s">
        <v>546</v>
      </c>
      <c r="G934" t="s">
        <v>896</v>
      </c>
      <c r="H934" t="s">
        <v>54</v>
      </c>
      <c r="I934">
        <v>5300</v>
      </c>
      <c r="J934">
        <v>0</v>
      </c>
      <c r="K934">
        <v>1</v>
      </c>
      <c r="L934" t="s">
        <v>25</v>
      </c>
      <c r="M934" t="s">
        <v>359</v>
      </c>
      <c r="N934">
        <v>4.5</v>
      </c>
      <c r="O934">
        <v>0</v>
      </c>
      <c r="P934" t="str">
        <f>IF(T[[#This Row],[qty_ordered]]&lt;&gt;T[[#This Row],[qty_received]],IF(T[[#This Row],[qty_received]]&gt;0,"Partial Received","Not Receviced"),"FullyReceived")</f>
        <v>Not Receviced</v>
      </c>
      <c r="Q934" t="str">
        <f>IF(T[[#This Row],[qty_received]]&lt;&gt;T[[#This Row],[qty_invoiced]],IF(T[[#This Row],[qty_invoiced]]&gt;0,"Partial Invoiced","Not Invoiced"),"Fully Invoiced")</f>
        <v>Partial Invoiced</v>
      </c>
      <c r="R934" t="str">
        <f>IFERROR(VLOOKUP(T[[#This Row],[warehouse]],Table2[],2,FALSE),"--")</f>
        <v>--</v>
      </c>
    </row>
    <row r="935" spans="1:18" x14ac:dyDescent="0.25">
      <c r="A935" t="s">
        <v>423</v>
      </c>
      <c r="B935" s="1">
        <v>44088</v>
      </c>
      <c r="C935" t="s">
        <v>897</v>
      </c>
      <c r="D935" t="s">
        <v>20</v>
      </c>
      <c r="E935" t="s">
        <v>51</v>
      </c>
      <c r="F935" t="s">
        <v>546</v>
      </c>
      <c r="G935" t="s">
        <v>896</v>
      </c>
      <c r="H935" t="s">
        <v>54</v>
      </c>
      <c r="I935">
        <v>7440</v>
      </c>
      <c r="J935">
        <v>0</v>
      </c>
      <c r="K935">
        <v>1</v>
      </c>
      <c r="L935" t="s">
        <v>25</v>
      </c>
      <c r="M935" t="s">
        <v>533</v>
      </c>
      <c r="N935">
        <v>4.5</v>
      </c>
      <c r="O935">
        <v>0</v>
      </c>
      <c r="P935" t="str">
        <f>IF(T[[#This Row],[qty_ordered]]&lt;&gt;T[[#This Row],[qty_received]],IF(T[[#This Row],[qty_received]]&gt;0,"Partial Received","Not Receviced"),"FullyReceived")</f>
        <v>Not Receviced</v>
      </c>
      <c r="Q935" t="str">
        <f>IF(T[[#This Row],[qty_received]]&lt;&gt;T[[#This Row],[qty_invoiced]],IF(T[[#This Row],[qty_invoiced]]&gt;0,"Partial Invoiced","Not Invoiced"),"Fully Invoiced")</f>
        <v>Partial Invoiced</v>
      </c>
      <c r="R935" t="str">
        <f>IFERROR(VLOOKUP(T[[#This Row],[warehouse]],Table2[],2,FALSE),"--")</f>
        <v>--</v>
      </c>
    </row>
    <row r="936" spans="1:18" x14ac:dyDescent="0.25">
      <c r="A936" t="s">
        <v>423</v>
      </c>
      <c r="B936" s="1">
        <v>44088</v>
      </c>
      <c r="C936" t="s">
        <v>897</v>
      </c>
      <c r="D936" t="s">
        <v>71</v>
      </c>
      <c r="E936" t="s">
        <v>51</v>
      </c>
      <c r="F936" t="s">
        <v>546</v>
      </c>
      <c r="G936" t="s">
        <v>896</v>
      </c>
      <c r="H936" t="s">
        <v>54</v>
      </c>
      <c r="I936">
        <v>1160</v>
      </c>
      <c r="J936">
        <v>0</v>
      </c>
      <c r="K936">
        <v>1</v>
      </c>
      <c r="L936" t="s">
        <v>25</v>
      </c>
      <c r="M936" t="s">
        <v>533</v>
      </c>
      <c r="N936">
        <v>4.5</v>
      </c>
      <c r="O936">
        <v>0</v>
      </c>
      <c r="P936" t="str">
        <f>IF(T[[#This Row],[qty_ordered]]&lt;&gt;T[[#This Row],[qty_received]],IF(T[[#This Row],[qty_received]]&gt;0,"Partial Received","Not Receviced"),"FullyReceived")</f>
        <v>Not Receviced</v>
      </c>
      <c r="Q936" t="str">
        <f>IF(T[[#This Row],[qty_received]]&lt;&gt;T[[#This Row],[qty_invoiced]],IF(T[[#This Row],[qty_invoiced]]&gt;0,"Partial Invoiced","Not Invoiced"),"Fully Invoiced")</f>
        <v>Partial Invoiced</v>
      </c>
      <c r="R936" t="str">
        <f>IFERROR(VLOOKUP(T[[#This Row],[warehouse]],Table2[],2,FALSE),"--")</f>
        <v>--</v>
      </c>
    </row>
    <row r="937" spans="1:18" x14ac:dyDescent="0.25">
      <c r="A937" t="s">
        <v>721</v>
      </c>
      <c r="B937" s="1">
        <v>44054</v>
      </c>
      <c r="C937" t="s">
        <v>722</v>
      </c>
      <c r="D937" t="s">
        <v>100</v>
      </c>
      <c r="E937" t="s">
        <v>723</v>
      </c>
      <c r="F937" t="s">
        <v>219</v>
      </c>
      <c r="G937" t="s">
        <v>724</v>
      </c>
      <c r="H937" t="s">
        <v>221</v>
      </c>
      <c r="I937">
        <v>15263.45</v>
      </c>
      <c r="J937">
        <v>15263.45</v>
      </c>
      <c r="K937">
        <v>15263.45</v>
      </c>
      <c r="L937" t="s">
        <v>25</v>
      </c>
      <c r="M937" t="s">
        <v>132</v>
      </c>
      <c r="N937">
        <v>10058.2853</v>
      </c>
      <c r="O937">
        <v>153524134.76228499</v>
      </c>
      <c r="P937" t="str">
        <f>IF(T[[#This Row],[qty_ordered]]&lt;&gt;T[[#This Row],[qty_received]],IF(T[[#This Row],[qty_received]]&gt;0,"Partial Received","Not Receviced"),"FullyReceived")</f>
        <v>FullyReceived</v>
      </c>
      <c r="Q937" t="str">
        <f>IF(T[[#This Row],[qty_received]]&lt;&gt;T[[#This Row],[qty_invoiced]],IF(T[[#This Row],[qty_invoiced]]&gt;0,"Partial Invoiced","Not Invoiced"),"Fully Invoiced")</f>
        <v>Fully Invoiced</v>
      </c>
      <c r="R937" t="str">
        <f>IFERROR(VLOOKUP(T[[#This Row],[warehouse]],Table2[],2,FALSE),"--")</f>
        <v>YELLOW BEANS</v>
      </c>
    </row>
    <row r="938" spans="1:18" x14ac:dyDescent="0.25">
      <c r="A938" t="s">
        <v>224</v>
      </c>
      <c r="B938" s="1">
        <v>44088</v>
      </c>
      <c r="C938" t="s">
        <v>898</v>
      </c>
      <c r="D938" t="s">
        <v>20</v>
      </c>
      <c r="E938" t="s">
        <v>51</v>
      </c>
      <c r="F938" t="s">
        <v>183</v>
      </c>
      <c r="G938" t="s">
        <v>899</v>
      </c>
      <c r="H938" t="s">
        <v>54</v>
      </c>
      <c r="I938">
        <v>360.46</v>
      </c>
      <c r="J938">
        <v>0</v>
      </c>
      <c r="K938">
        <v>1</v>
      </c>
      <c r="L938" t="s">
        <v>25</v>
      </c>
      <c r="M938" t="s">
        <v>533</v>
      </c>
      <c r="N938">
        <v>1300</v>
      </c>
      <c r="O938">
        <v>0</v>
      </c>
      <c r="P938" t="str">
        <f>IF(T[[#This Row],[qty_ordered]]&lt;&gt;T[[#This Row],[qty_received]],IF(T[[#This Row],[qty_received]]&gt;0,"Partial Received","Not Receviced"),"FullyReceived")</f>
        <v>Not Receviced</v>
      </c>
      <c r="Q938" t="str">
        <f>IF(T[[#This Row],[qty_received]]&lt;&gt;T[[#This Row],[qty_invoiced]],IF(T[[#This Row],[qty_invoiced]]&gt;0,"Partial Invoiced","Not Invoiced"),"Fully Invoiced")</f>
        <v>Partial Invoiced</v>
      </c>
      <c r="R938" t="str">
        <f>IFERROR(VLOOKUP(T[[#This Row],[warehouse]],Table2[],2,FALSE),"--")</f>
        <v>--</v>
      </c>
    </row>
    <row r="939" spans="1:18" x14ac:dyDescent="0.25">
      <c r="A939" t="s">
        <v>727</v>
      </c>
      <c r="B939" s="1">
        <v>44053</v>
      </c>
      <c r="C939" t="s">
        <v>728</v>
      </c>
      <c r="D939" t="s">
        <v>212</v>
      </c>
      <c r="E939" t="s">
        <v>723</v>
      </c>
      <c r="F939" t="s">
        <v>219</v>
      </c>
      <c r="G939" t="s">
        <v>724</v>
      </c>
      <c r="H939" t="s">
        <v>221</v>
      </c>
      <c r="I939">
        <v>12280.05</v>
      </c>
      <c r="J939">
        <v>12280.05</v>
      </c>
      <c r="K939">
        <v>12280.05</v>
      </c>
      <c r="L939" t="s">
        <v>25</v>
      </c>
      <c r="M939" t="s">
        <v>132</v>
      </c>
      <c r="N939">
        <v>14554.45</v>
      </c>
      <c r="O939">
        <v>178729373.7225</v>
      </c>
      <c r="P939" t="str">
        <f>IF(T[[#This Row],[qty_ordered]]&lt;&gt;T[[#This Row],[qty_received]],IF(T[[#This Row],[qty_received]]&gt;0,"Partial Received","Not Receviced"),"FullyReceived")</f>
        <v>FullyReceived</v>
      </c>
      <c r="Q939" t="str">
        <f>IF(T[[#This Row],[qty_received]]&lt;&gt;T[[#This Row],[qty_invoiced]],IF(T[[#This Row],[qty_invoiced]]&gt;0,"Partial Invoiced","Not Invoiced"),"Fully Invoiced")</f>
        <v>Fully Invoiced</v>
      </c>
      <c r="R939" t="str">
        <f>IFERROR(VLOOKUP(T[[#This Row],[warehouse]],Table2[],2,FALSE),"--")</f>
        <v>YELLOW BEANS</v>
      </c>
    </row>
    <row r="940" spans="1:18" x14ac:dyDescent="0.25">
      <c r="A940" t="s">
        <v>727</v>
      </c>
      <c r="B940" s="1">
        <v>44053</v>
      </c>
      <c r="C940" t="s">
        <v>728</v>
      </c>
      <c r="D940" t="s">
        <v>322</v>
      </c>
      <c r="E940" t="s">
        <v>723</v>
      </c>
      <c r="F940" t="s">
        <v>219</v>
      </c>
      <c r="G940" t="s">
        <v>724</v>
      </c>
      <c r="H940" t="s">
        <v>221</v>
      </c>
      <c r="I940">
        <v>12168.03</v>
      </c>
      <c r="J940">
        <v>12168.03</v>
      </c>
      <c r="K940">
        <v>12168.03</v>
      </c>
      <c r="L940" t="s">
        <v>25</v>
      </c>
      <c r="M940" t="s">
        <v>132</v>
      </c>
      <c r="N940">
        <v>14545.01</v>
      </c>
      <c r="O940">
        <v>176984118.03029999</v>
      </c>
      <c r="P940" t="str">
        <f>IF(T[[#This Row],[qty_ordered]]&lt;&gt;T[[#This Row],[qty_received]],IF(T[[#This Row],[qty_received]]&gt;0,"Partial Received","Not Receviced"),"FullyReceived")</f>
        <v>FullyReceived</v>
      </c>
      <c r="Q940" t="str">
        <f>IF(T[[#This Row],[qty_received]]&lt;&gt;T[[#This Row],[qty_invoiced]],IF(T[[#This Row],[qty_invoiced]]&gt;0,"Partial Invoiced","Not Invoiced"),"Fully Invoiced")</f>
        <v>Fully Invoiced</v>
      </c>
      <c r="R940" t="str">
        <f>IFERROR(VLOOKUP(T[[#This Row],[warehouse]],Table2[],2,FALSE),"--")</f>
        <v>YELLOW BEANS</v>
      </c>
    </row>
    <row r="941" spans="1:18" x14ac:dyDescent="0.25">
      <c r="A941" t="s">
        <v>84</v>
      </c>
      <c r="B941" s="1">
        <v>44095</v>
      </c>
      <c r="C941" t="s">
        <v>849</v>
      </c>
      <c r="D941" t="s">
        <v>100</v>
      </c>
      <c r="E941" t="s">
        <v>192</v>
      </c>
      <c r="F941" t="s">
        <v>86</v>
      </c>
      <c r="G941" t="s">
        <v>87</v>
      </c>
      <c r="H941" t="s">
        <v>24</v>
      </c>
      <c r="I941">
        <v>1035.6400000000001</v>
      </c>
      <c r="J941">
        <v>1035.6400000000001</v>
      </c>
      <c r="K941">
        <v>1035.6400000000001</v>
      </c>
      <c r="L941" t="s">
        <v>25</v>
      </c>
      <c r="M941" t="s">
        <v>132</v>
      </c>
      <c r="N941">
        <v>250000</v>
      </c>
      <c r="O941">
        <v>258910000</v>
      </c>
      <c r="P941" t="str">
        <f>IF(T[[#This Row],[qty_ordered]]&lt;&gt;T[[#This Row],[qty_received]],IF(T[[#This Row],[qty_received]]&gt;0,"Partial Received","Not Receviced"),"FullyReceived")</f>
        <v>FullyReceived</v>
      </c>
      <c r="Q941" t="str">
        <f>IF(T[[#This Row],[qty_received]]&lt;&gt;T[[#This Row],[qty_invoiced]],IF(T[[#This Row],[qty_invoiced]]&gt;0,"Partial Invoiced","Not Invoiced"),"Fully Invoiced")</f>
        <v>Fully Invoiced</v>
      </c>
      <c r="R941" t="str">
        <f>IFERROR(VLOOKUP(T[[#This Row],[warehouse]],Table2[],2,FALSE),"--")</f>
        <v>BAYADER SIFTER-OMD</v>
      </c>
    </row>
    <row r="942" spans="1:18" x14ac:dyDescent="0.25">
      <c r="A942" t="s">
        <v>815</v>
      </c>
      <c r="B942" s="1">
        <v>44104</v>
      </c>
      <c r="C942" t="s">
        <v>900</v>
      </c>
      <c r="D942" t="s">
        <v>71</v>
      </c>
      <c r="E942" t="s">
        <v>162</v>
      </c>
      <c r="F942" t="s">
        <v>108</v>
      </c>
      <c r="G942" t="s">
        <v>109</v>
      </c>
      <c r="H942" t="s">
        <v>24</v>
      </c>
      <c r="I942">
        <v>729.08</v>
      </c>
      <c r="J942">
        <v>729.08</v>
      </c>
      <c r="K942">
        <v>729.08</v>
      </c>
      <c r="L942" t="s">
        <v>25</v>
      </c>
      <c r="M942" t="s">
        <v>132</v>
      </c>
      <c r="N942">
        <v>213000</v>
      </c>
      <c r="O942">
        <v>155294040</v>
      </c>
      <c r="P942" t="str">
        <f>IF(T[[#This Row],[qty_ordered]]&lt;&gt;T[[#This Row],[qty_received]],IF(T[[#This Row],[qty_received]]&gt;0,"Partial Received","Not Receviced"),"FullyReceived")</f>
        <v>FullyReceived</v>
      </c>
      <c r="Q942" t="str">
        <f>IF(T[[#This Row],[qty_received]]&lt;&gt;T[[#This Row],[qty_invoiced]],IF(T[[#This Row],[qty_invoiced]]&gt;0,"Partial Invoiced","Not Invoiced"),"Fully Invoiced")</f>
        <v>Fully Invoiced</v>
      </c>
      <c r="R942" t="str">
        <f>IFERROR(VLOOKUP(T[[#This Row],[warehouse]],Table2[],2,FALSE),"--")</f>
        <v>Sifters Mahasilna</v>
      </c>
    </row>
    <row r="943" spans="1:18" x14ac:dyDescent="0.25">
      <c r="A943" t="s">
        <v>224</v>
      </c>
      <c r="B943" s="1">
        <v>43853</v>
      </c>
      <c r="C943" t="s">
        <v>901</v>
      </c>
      <c r="D943" t="s">
        <v>71</v>
      </c>
      <c r="E943" t="s">
        <v>51</v>
      </c>
      <c r="F943" t="s">
        <v>183</v>
      </c>
      <c r="G943" t="s">
        <v>902</v>
      </c>
      <c r="H943" t="s">
        <v>54</v>
      </c>
      <c r="I943">
        <v>900</v>
      </c>
      <c r="J943">
        <v>0</v>
      </c>
      <c r="K943">
        <v>1</v>
      </c>
      <c r="L943" t="s">
        <v>25</v>
      </c>
      <c r="M943" t="s">
        <v>533</v>
      </c>
      <c r="N943">
        <v>1500</v>
      </c>
      <c r="O943">
        <v>0</v>
      </c>
      <c r="P943" t="str">
        <f>IF(T[[#This Row],[qty_ordered]]&lt;&gt;T[[#This Row],[qty_received]],IF(T[[#This Row],[qty_received]]&gt;0,"Partial Received","Not Receviced"),"FullyReceived")</f>
        <v>Not Receviced</v>
      </c>
      <c r="Q943" t="str">
        <f>IF(T[[#This Row],[qty_received]]&lt;&gt;T[[#This Row],[qty_invoiced]],IF(T[[#This Row],[qty_invoiced]]&gt;0,"Partial Invoiced","Not Invoiced"),"Fully Invoiced")</f>
        <v>Partial Invoiced</v>
      </c>
      <c r="R943" t="str">
        <f>IFERROR(VLOOKUP(T[[#This Row],[warehouse]],Table2[],2,FALSE),"--")</f>
        <v>--</v>
      </c>
    </row>
    <row r="944" spans="1:18" x14ac:dyDescent="0.25">
      <c r="A944" t="s">
        <v>242</v>
      </c>
      <c r="B944" s="1">
        <v>44102</v>
      </c>
      <c r="C944" t="s">
        <v>903</v>
      </c>
      <c r="D944" t="s">
        <v>20</v>
      </c>
      <c r="E944" t="s">
        <v>66</v>
      </c>
      <c r="F944" t="s">
        <v>244</v>
      </c>
      <c r="G944" t="s">
        <v>245</v>
      </c>
      <c r="H944" t="s">
        <v>24</v>
      </c>
      <c r="I944">
        <v>400</v>
      </c>
      <c r="J944">
        <v>400</v>
      </c>
      <c r="K944">
        <v>400</v>
      </c>
      <c r="L944" t="s">
        <v>25</v>
      </c>
      <c r="M944" t="s">
        <v>707</v>
      </c>
      <c r="N944">
        <v>260000</v>
      </c>
      <c r="O944">
        <v>104000000</v>
      </c>
      <c r="P944" t="str">
        <f>IF(T[[#This Row],[qty_ordered]]&lt;&gt;T[[#This Row],[qty_received]],IF(T[[#This Row],[qty_received]]&gt;0,"Partial Received","Not Receviced"),"FullyReceived")</f>
        <v>FullyReceived</v>
      </c>
      <c r="Q944" t="str">
        <f>IF(T[[#This Row],[qty_received]]&lt;&gt;T[[#This Row],[qty_invoiced]],IF(T[[#This Row],[qty_invoiced]]&gt;0,"Partial Invoiced","Not Invoiced"),"Fully Invoiced")</f>
        <v>Fully Invoiced</v>
      </c>
      <c r="R944" t="str">
        <f>IFERROR(VLOOKUP(T[[#This Row],[warehouse]],Table2[],2,FALSE),"--")</f>
        <v>PZU Main Warehouse</v>
      </c>
    </row>
    <row r="945" spans="1:18" x14ac:dyDescent="0.25">
      <c r="A945" t="s">
        <v>153</v>
      </c>
      <c r="B945" s="1">
        <v>44102</v>
      </c>
      <c r="C945" t="s">
        <v>904</v>
      </c>
      <c r="D945" t="s">
        <v>71</v>
      </c>
      <c r="E945" t="s">
        <v>146</v>
      </c>
      <c r="F945" t="s">
        <v>86</v>
      </c>
      <c r="G945" t="s">
        <v>87</v>
      </c>
      <c r="H945" t="s">
        <v>24</v>
      </c>
      <c r="I945">
        <v>1000</v>
      </c>
      <c r="J945">
        <v>806.96</v>
      </c>
      <c r="K945">
        <v>806.96</v>
      </c>
      <c r="L945" t="s">
        <v>25</v>
      </c>
      <c r="M945" t="s">
        <v>132</v>
      </c>
      <c r="N945">
        <v>250000</v>
      </c>
      <c r="O945">
        <v>201740000</v>
      </c>
      <c r="P945" t="str">
        <f>IF(T[[#This Row],[qty_ordered]]&lt;&gt;T[[#This Row],[qty_received]],IF(T[[#This Row],[qty_received]]&gt;0,"Partial Received","Not Receviced"),"FullyReceived")</f>
        <v>Partial Received</v>
      </c>
      <c r="Q945" t="str">
        <f>IF(T[[#This Row],[qty_received]]&lt;&gt;T[[#This Row],[qty_invoiced]],IF(T[[#This Row],[qty_invoiced]]&gt;0,"Partial Invoiced","Not Invoiced"),"Fully Invoiced")</f>
        <v>Fully Invoiced</v>
      </c>
      <c r="R945" t="str">
        <f>IFERROR(VLOOKUP(T[[#This Row],[warehouse]],Table2[],2,FALSE),"--")</f>
        <v>Khtoum Main Warehouse</v>
      </c>
    </row>
    <row r="946" spans="1:18" x14ac:dyDescent="0.25">
      <c r="A946" t="s">
        <v>905</v>
      </c>
      <c r="B946" s="1">
        <v>44116</v>
      </c>
      <c r="C946" t="s">
        <v>906</v>
      </c>
      <c r="D946" t="s">
        <v>20</v>
      </c>
      <c r="E946" t="s">
        <v>66</v>
      </c>
      <c r="F946" t="s">
        <v>709</v>
      </c>
      <c r="G946" t="s">
        <v>710</v>
      </c>
      <c r="H946" t="s">
        <v>711</v>
      </c>
      <c r="I946">
        <v>5289</v>
      </c>
      <c r="J946">
        <v>5289</v>
      </c>
      <c r="K946">
        <v>5289</v>
      </c>
      <c r="L946" t="s">
        <v>25</v>
      </c>
      <c r="M946" t="s">
        <v>132</v>
      </c>
      <c r="N946">
        <v>4400</v>
      </c>
      <c r="O946">
        <v>23271600</v>
      </c>
      <c r="P946" t="str">
        <f>IF(T[[#This Row],[qty_ordered]]&lt;&gt;T[[#This Row],[qty_received]],IF(T[[#This Row],[qty_received]]&gt;0,"Partial Received","Not Receviced"),"FullyReceived")</f>
        <v>FullyReceived</v>
      </c>
      <c r="Q946" t="str">
        <f>IF(T[[#This Row],[qty_received]]&lt;&gt;T[[#This Row],[qty_invoiced]],IF(T[[#This Row],[qty_invoiced]]&gt;0,"Partial Invoiced","Not Invoiced"),"Fully Invoiced")</f>
        <v>Fully Invoiced</v>
      </c>
      <c r="R946" t="str">
        <f>IFERROR(VLOOKUP(T[[#This Row],[warehouse]],Table2[],2,FALSE),"--")</f>
        <v>PZU Main Warehouse</v>
      </c>
    </row>
    <row r="947" spans="1:18" x14ac:dyDescent="0.25">
      <c r="A947" t="s">
        <v>812</v>
      </c>
      <c r="B947" s="1">
        <v>44082</v>
      </c>
      <c r="C947" t="s">
        <v>813</v>
      </c>
      <c r="D947" t="s">
        <v>71</v>
      </c>
      <c r="E947" t="s">
        <v>51</v>
      </c>
      <c r="F947" t="s">
        <v>183</v>
      </c>
      <c r="G947" t="s">
        <v>907</v>
      </c>
      <c r="H947" t="s">
        <v>54</v>
      </c>
      <c r="I947">
        <v>448.06</v>
      </c>
      <c r="J947">
        <v>0</v>
      </c>
      <c r="K947">
        <v>1</v>
      </c>
      <c r="L947" t="s">
        <v>25</v>
      </c>
      <c r="M947" t="s">
        <v>533</v>
      </c>
      <c r="N947">
        <v>1610</v>
      </c>
      <c r="O947">
        <v>0</v>
      </c>
      <c r="P947" t="str">
        <f>IF(T[[#This Row],[qty_ordered]]&lt;&gt;T[[#This Row],[qty_received]],IF(T[[#This Row],[qty_received]]&gt;0,"Partial Received","Not Receviced"),"FullyReceived")</f>
        <v>Not Receviced</v>
      </c>
      <c r="Q947" t="str">
        <f>IF(T[[#This Row],[qty_received]]&lt;&gt;T[[#This Row],[qty_invoiced]],IF(T[[#This Row],[qty_invoiced]]&gt;0,"Partial Invoiced","Not Invoiced"),"Fully Invoiced")</f>
        <v>Partial Invoiced</v>
      </c>
      <c r="R947" t="str">
        <f>IFERROR(VLOOKUP(T[[#This Row],[warehouse]],Table2[],2,FALSE),"--")</f>
        <v>--</v>
      </c>
    </row>
    <row r="948" spans="1:18" x14ac:dyDescent="0.25">
      <c r="A948" t="s">
        <v>84</v>
      </c>
      <c r="B948" s="1">
        <v>44095</v>
      </c>
      <c r="C948" t="s">
        <v>849</v>
      </c>
      <c r="D948" t="s">
        <v>88</v>
      </c>
      <c r="E948" t="s">
        <v>908</v>
      </c>
      <c r="F948" t="s">
        <v>86</v>
      </c>
      <c r="G948" t="s">
        <v>87</v>
      </c>
      <c r="H948" t="s">
        <v>24</v>
      </c>
      <c r="I948">
        <v>299.625</v>
      </c>
      <c r="J948">
        <v>0</v>
      </c>
      <c r="K948">
        <v>0</v>
      </c>
      <c r="L948" t="s">
        <v>25</v>
      </c>
      <c r="M948" t="s">
        <v>132</v>
      </c>
      <c r="N948">
        <v>267000.41720000003</v>
      </c>
      <c r="O948">
        <v>0</v>
      </c>
      <c r="P948" t="str">
        <f>IF(T[[#This Row],[qty_ordered]]&lt;&gt;T[[#This Row],[qty_received]],IF(T[[#This Row],[qty_received]]&gt;0,"Partial Received","Not Receviced"),"FullyReceived")</f>
        <v>Not Receviced</v>
      </c>
      <c r="Q948" t="str">
        <f>IF(T[[#This Row],[qty_received]]&lt;&gt;T[[#This Row],[qty_invoiced]],IF(T[[#This Row],[qty_invoiced]]&gt;0,"Partial Invoiced","Not Invoiced"),"Fully Invoiced")</f>
        <v>Fully Invoiced</v>
      </c>
      <c r="R948" t="str">
        <f>IFERROR(VLOOKUP(T[[#This Row],[warehouse]],Table2[],2,FALSE),"--")</f>
        <v>SIFTER- ALNAZER-OMDU</v>
      </c>
    </row>
    <row r="949" spans="1:18" x14ac:dyDescent="0.25">
      <c r="A949" t="s">
        <v>739</v>
      </c>
      <c r="B949" s="1">
        <v>44082</v>
      </c>
      <c r="C949" t="s">
        <v>847</v>
      </c>
      <c r="D949" t="s">
        <v>74</v>
      </c>
      <c r="E949" t="s">
        <v>660</v>
      </c>
      <c r="F949" t="s">
        <v>747</v>
      </c>
      <c r="G949" t="s">
        <v>748</v>
      </c>
      <c r="H949" t="s">
        <v>663</v>
      </c>
      <c r="I949">
        <v>517.1</v>
      </c>
      <c r="J949">
        <v>517.1</v>
      </c>
      <c r="K949">
        <v>517.1</v>
      </c>
      <c r="L949" t="s">
        <v>25</v>
      </c>
      <c r="M949" t="s">
        <v>132</v>
      </c>
      <c r="N949">
        <v>750</v>
      </c>
      <c r="O949">
        <v>387825</v>
      </c>
      <c r="P949" t="str">
        <f>IF(T[[#This Row],[qty_ordered]]&lt;&gt;T[[#This Row],[qty_received]],IF(T[[#This Row],[qty_received]]&gt;0,"Partial Received","Not Receviced"),"FullyReceived")</f>
        <v>FullyReceived</v>
      </c>
      <c r="Q949" t="str">
        <f>IF(T[[#This Row],[qty_received]]&lt;&gt;T[[#This Row],[qty_invoiced]],IF(T[[#This Row],[qty_invoiced]]&gt;0,"Partial Invoiced","Not Invoiced"),"Fully Invoiced")</f>
        <v>Fully Invoiced</v>
      </c>
      <c r="R949" t="str">
        <f>IFERROR(VLOOKUP(T[[#This Row],[warehouse]],Table2[],2,FALSE),"--")</f>
        <v>SLAUGHTER HOUSE</v>
      </c>
    </row>
    <row r="950" spans="1:18" x14ac:dyDescent="0.25">
      <c r="A950" t="s">
        <v>739</v>
      </c>
      <c r="B950" s="1">
        <v>44082</v>
      </c>
      <c r="C950" t="s">
        <v>892</v>
      </c>
      <c r="D950" t="s">
        <v>88</v>
      </c>
      <c r="E950" t="s">
        <v>660</v>
      </c>
      <c r="F950" t="s">
        <v>705</v>
      </c>
      <c r="G950" t="s">
        <v>706</v>
      </c>
      <c r="H950" t="s">
        <v>663</v>
      </c>
      <c r="I950">
        <v>2871.5</v>
      </c>
      <c r="J950">
        <v>2871.5</v>
      </c>
      <c r="K950">
        <v>2871.5</v>
      </c>
      <c r="L950" t="s">
        <v>25</v>
      </c>
      <c r="M950" t="s">
        <v>132</v>
      </c>
      <c r="N950">
        <v>800</v>
      </c>
      <c r="O950">
        <v>2297200</v>
      </c>
      <c r="P950" t="str">
        <f>IF(T[[#This Row],[qty_ordered]]&lt;&gt;T[[#This Row],[qty_received]],IF(T[[#This Row],[qty_received]]&gt;0,"Partial Received","Not Receviced"),"FullyReceived")</f>
        <v>FullyReceived</v>
      </c>
      <c r="Q950" t="str">
        <f>IF(T[[#This Row],[qty_received]]&lt;&gt;T[[#This Row],[qty_invoiced]],IF(T[[#This Row],[qty_invoiced]]&gt;0,"Partial Invoiced","Not Invoiced"),"Fully Invoiced")</f>
        <v>Fully Invoiced</v>
      </c>
      <c r="R950" t="str">
        <f>IFERROR(VLOOKUP(T[[#This Row],[warehouse]],Table2[],2,FALSE),"--")</f>
        <v>SLAUGHTER HOUSE</v>
      </c>
    </row>
    <row r="951" spans="1:18" x14ac:dyDescent="0.25">
      <c r="A951" t="s">
        <v>658</v>
      </c>
      <c r="B951" s="1">
        <v>44082</v>
      </c>
      <c r="C951" t="s">
        <v>845</v>
      </c>
      <c r="D951" t="s">
        <v>88</v>
      </c>
      <c r="E951" t="s">
        <v>660</v>
      </c>
      <c r="F951" t="s">
        <v>661</v>
      </c>
      <c r="G951" t="s">
        <v>662</v>
      </c>
      <c r="H951" t="s">
        <v>663</v>
      </c>
      <c r="I951">
        <v>3025</v>
      </c>
      <c r="J951">
        <v>3025</v>
      </c>
      <c r="K951">
        <v>3025</v>
      </c>
      <c r="L951" t="s">
        <v>25</v>
      </c>
      <c r="M951" t="s">
        <v>132</v>
      </c>
      <c r="N951">
        <v>600</v>
      </c>
      <c r="O951">
        <v>1815000</v>
      </c>
      <c r="P951" t="str">
        <f>IF(T[[#This Row],[qty_ordered]]&lt;&gt;T[[#This Row],[qty_received]],IF(T[[#This Row],[qty_received]]&gt;0,"Partial Received","Not Receviced"),"FullyReceived")</f>
        <v>FullyReceived</v>
      </c>
      <c r="Q951" t="str">
        <f>IF(T[[#This Row],[qty_received]]&lt;&gt;T[[#This Row],[qty_invoiced]],IF(T[[#This Row],[qty_invoiced]]&gt;0,"Partial Invoiced","Not Invoiced"),"Fully Invoiced")</f>
        <v>Fully Invoiced</v>
      </c>
      <c r="R951" t="str">
        <f>IFERROR(VLOOKUP(T[[#This Row],[warehouse]],Table2[],2,FALSE),"--")</f>
        <v>SLAUGHTER HOUSE</v>
      </c>
    </row>
    <row r="952" spans="1:18" x14ac:dyDescent="0.25">
      <c r="A952" t="s">
        <v>423</v>
      </c>
      <c r="B952" s="1">
        <v>44118</v>
      </c>
      <c r="C952" t="s">
        <v>909</v>
      </c>
      <c r="D952" t="s">
        <v>20</v>
      </c>
      <c r="E952" t="s">
        <v>146</v>
      </c>
      <c r="F952" t="s">
        <v>151</v>
      </c>
      <c r="G952" t="s">
        <v>152</v>
      </c>
      <c r="H952" t="s">
        <v>149</v>
      </c>
      <c r="I952">
        <v>20000</v>
      </c>
      <c r="J952">
        <v>20000</v>
      </c>
      <c r="K952">
        <v>20000</v>
      </c>
      <c r="L952" t="s">
        <v>25</v>
      </c>
      <c r="M952" t="s">
        <v>575</v>
      </c>
      <c r="N952">
        <v>44</v>
      </c>
      <c r="O952">
        <v>1380000</v>
      </c>
      <c r="P952" t="str">
        <f>IF(T[[#This Row],[qty_ordered]]&lt;&gt;T[[#This Row],[qty_received]],IF(T[[#This Row],[qty_received]]&gt;0,"Partial Received","Not Receviced"),"FullyReceived")</f>
        <v>FullyReceived</v>
      </c>
      <c r="Q952" t="str">
        <f>IF(T[[#This Row],[qty_received]]&lt;&gt;T[[#This Row],[qty_invoiced]],IF(T[[#This Row],[qty_invoiced]]&gt;0,"Partial Invoiced","Not Invoiced"),"Fully Invoiced")</f>
        <v>Fully Invoiced</v>
      </c>
      <c r="R952" t="str">
        <f>IFERROR(VLOOKUP(T[[#This Row],[warehouse]],Table2[],2,FALSE),"--")</f>
        <v>Khtoum Main Warehouse</v>
      </c>
    </row>
    <row r="953" spans="1:18" x14ac:dyDescent="0.25">
      <c r="A953" t="s">
        <v>423</v>
      </c>
      <c r="B953" s="1">
        <v>44118</v>
      </c>
      <c r="C953" t="s">
        <v>909</v>
      </c>
      <c r="D953" t="s">
        <v>71</v>
      </c>
      <c r="E953" t="s">
        <v>146</v>
      </c>
      <c r="F953" t="s">
        <v>151</v>
      </c>
      <c r="G953" t="s">
        <v>152</v>
      </c>
      <c r="H953" t="s">
        <v>149</v>
      </c>
      <c r="I953">
        <v>20000</v>
      </c>
      <c r="J953">
        <v>20000</v>
      </c>
      <c r="K953">
        <v>20000</v>
      </c>
      <c r="L953" t="s">
        <v>25</v>
      </c>
      <c r="M953" t="s">
        <v>575</v>
      </c>
      <c r="N953">
        <v>69</v>
      </c>
      <c r="O953">
        <v>1380000</v>
      </c>
      <c r="P953" t="str">
        <f>IF(T[[#This Row],[qty_ordered]]&lt;&gt;T[[#This Row],[qty_received]],IF(T[[#This Row],[qty_received]]&gt;0,"Partial Received","Not Receviced"),"FullyReceived")</f>
        <v>FullyReceived</v>
      </c>
      <c r="Q953" t="str">
        <f>IF(T[[#This Row],[qty_received]]&lt;&gt;T[[#This Row],[qty_invoiced]],IF(T[[#This Row],[qty_invoiced]]&gt;0,"Partial Invoiced","Not Invoiced"),"Fully Invoiced")</f>
        <v>Fully Invoiced</v>
      </c>
      <c r="R953" t="str">
        <f>IFERROR(VLOOKUP(T[[#This Row],[warehouse]],Table2[],2,FALSE),"--")</f>
        <v>Khtoum Main Warehouse</v>
      </c>
    </row>
    <row r="954" spans="1:18" x14ac:dyDescent="0.25">
      <c r="A954" t="s">
        <v>804</v>
      </c>
      <c r="B954" s="1">
        <v>44076</v>
      </c>
      <c r="C954" t="s">
        <v>805</v>
      </c>
      <c r="D954" t="s">
        <v>71</v>
      </c>
      <c r="E954" t="s">
        <v>51</v>
      </c>
      <c r="F954" t="s">
        <v>806</v>
      </c>
      <c r="G954" t="s">
        <v>806</v>
      </c>
      <c r="H954" t="s">
        <v>54</v>
      </c>
      <c r="I954">
        <v>1449</v>
      </c>
      <c r="J954">
        <v>0</v>
      </c>
      <c r="K954">
        <v>1</v>
      </c>
      <c r="L954" t="s">
        <v>25</v>
      </c>
      <c r="M954" t="s">
        <v>132</v>
      </c>
      <c r="N954">
        <v>1400</v>
      </c>
      <c r="O954">
        <v>0</v>
      </c>
      <c r="P954" t="str">
        <f>IF(T[[#This Row],[qty_ordered]]&lt;&gt;T[[#This Row],[qty_received]],IF(T[[#This Row],[qty_received]]&gt;0,"Partial Received","Not Receviced"),"FullyReceived")</f>
        <v>Not Receviced</v>
      </c>
      <c r="Q954" t="str">
        <f>IF(T[[#This Row],[qty_received]]&lt;&gt;T[[#This Row],[qty_invoiced]],IF(T[[#This Row],[qty_invoiced]]&gt;0,"Partial Invoiced","Not Invoiced"),"Fully Invoiced")</f>
        <v>Partial Invoiced</v>
      </c>
      <c r="R954" t="str">
        <f>IFERROR(VLOOKUP(T[[#This Row],[warehouse]],Table2[],2,FALSE),"--")</f>
        <v>--</v>
      </c>
    </row>
    <row r="955" spans="1:18" x14ac:dyDescent="0.25">
      <c r="A955" t="s">
        <v>727</v>
      </c>
      <c r="B955" s="1">
        <v>44053</v>
      </c>
      <c r="C955" t="s">
        <v>728</v>
      </c>
      <c r="D955" t="s">
        <v>323</v>
      </c>
      <c r="E955" t="s">
        <v>723</v>
      </c>
      <c r="F955" t="s">
        <v>219</v>
      </c>
      <c r="G955" t="s">
        <v>724</v>
      </c>
      <c r="H955" t="s">
        <v>221</v>
      </c>
      <c r="I955">
        <v>72535.53</v>
      </c>
      <c r="J955">
        <v>72535.53</v>
      </c>
      <c r="K955">
        <v>72535.53</v>
      </c>
      <c r="L955" t="s">
        <v>25</v>
      </c>
      <c r="M955" t="s">
        <v>132</v>
      </c>
      <c r="N955">
        <v>13525.49</v>
      </c>
      <c r="O955">
        <v>981078585.65970004</v>
      </c>
      <c r="P955" t="str">
        <f>IF(T[[#This Row],[qty_ordered]]&lt;&gt;T[[#This Row],[qty_received]],IF(T[[#This Row],[qty_received]]&gt;0,"Partial Received","Not Receviced"),"FullyReceived")</f>
        <v>FullyReceived</v>
      </c>
      <c r="Q955" t="str">
        <f>IF(T[[#This Row],[qty_received]]&lt;&gt;T[[#This Row],[qty_invoiced]],IF(T[[#This Row],[qty_invoiced]]&gt;0,"Partial Invoiced","Not Invoiced"),"Fully Invoiced")</f>
        <v>Fully Invoiced</v>
      </c>
      <c r="R955" t="str">
        <f>IFERROR(VLOOKUP(T[[#This Row],[warehouse]],Table2[],2,FALSE),"--")</f>
        <v>YELLOW BEANS</v>
      </c>
    </row>
    <row r="956" spans="1:18" x14ac:dyDescent="0.25">
      <c r="A956" t="s">
        <v>303</v>
      </c>
      <c r="B956" s="1">
        <v>43825</v>
      </c>
      <c r="C956" t="s">
        <v>910</v>
      </c>
      <c r="D956" t="s">
        <v>20</v>
      </c>
      <c r="E956" t="s">
        <v>66</v>
      </c>
      <c r="F956" t="s">
        <v>709</v>
      </c>
      <c r="G956" t="s">
        <v>710</v>
      </c>
      <c r="H956" t="s">
        <v>711</v>
      </c>
      <c r="I956">
        <v>10000</v>
      </c>
      <c r="J956">
        <v>4950</v>
      </c>
      <c r="K956">
        <v>4950</v>
      </c>
      <c r="L956" t="s">
        <v>25</v>
      </c>
      <c r="M956" t="s">
        <v>714</v>
      </c>
      <c r="N956">
        <v>1200</v>
      </c>
      <c r="O956">
        <v>5940000</v>
      </c>
      <c r="P956" t="str">
        <f>IF(T[[#This Row],[qty_ordered]]&lt;&gt;T[[#This Row],[qty_received]],IF(T[[#This Row],[qty_received]]&gt;0,"Partial Received","Not Receviced"),"FullyReceived")</f>
        <v>Partial Received</v>
      </c>
      <c r="Q956" t="str">
        <f>IF(T[[#This Row],[qty_received]]&lt;&gt;T[[#This Row],[qty_invoiced]],IF(T[[#This Row],[qty_invoiced]]&gt;0,"Partial Invoiced","Not Invoiced"),"Fully Invoiced")</f>
        <v>Fully Invoiced</v>
      </c>
      <c r="R956" t="str">
        <f>IFERROR(VLOOKUP(T[[#This Row],[warehouse]],Table2[],2,FALSE),"--")</f>
        <v>PZU Main Warehouse</v>
      </c>
    </row>
    <row r="957" spans="1:18" x14ac:dyDescent="0.25">
      <c r="A957" t="s">
        <v>252</v>
      </c>
      <c r="B957" s="1">
        <v>43835</v>
      </c>
      <c r="C957" t="s">
        <v>843</v>
      </c>
      <c r="D957" t="s">
        <v>20</v>
      </c>
      <c r="E957" t="s">
        <v>51</v>
      </c>
      <c r="F957" t="s">
        <v>183</v>
      </c>
      <c r="G957" t="s">
        <v>183</v>
      </c>
      <c r="H957" t="s">
        <v>54</v>
      </c>
      <c r="I957">
        <v>500</v>
      </c>
      <c r="J957">
        <v>0</v>
      </c>
      <c r="K957">
        <v>1</v>
      </c>
      <c r="L957" t="s">
        <v>25</v>
      </c>
      <c r="M957" t="s">
        <v>533</v>
      </c>
      <c r="N957">
        <v>850</v>
      </c>
      <c r="O957">
        <v>0</v>
      </c>
      <c r="P957" t="str">
        <f>IF(T[[#This Row],[qty_ordered]]&lt;&gt;T[[#This Row],[qty_received]],IF(T[[#This Row],[qty_received]]&gt;0,"Partial Received","Not Receviced"),"FullyReceived")</f>
        <v>Not Receviced</v>
      </c>
      <c r="Q957" t="str">
        <f>IF(T[[#This Row],[qty_received]]&lt;&gt;T[[#This Row],[qty_invoiced]],IF(T[[#This Row],[qty_invoiced]]&gt;0,"Partial Invoiced","Not Invoiced"),"Fully Invoiced")</f>
        <v>Partial Invoiced</v>
      </c>
      <c r="R957" t="str">
        <f>IFERROR(VLOOKUP(T[[#This Row],[warehouse]],Table2[],2,FALSE),"--")</f>
        <v>--</v>
      </c>
    </row>
    <row r="958" spans="1:18" x14ac:dyDescent="0.25">
      <c r="A958" t="s">
        <v>911</v>
      </c>
      <c r="B958" s="1">
        <v>43845</v>
      </c>
      <c r="C958" t="s">
        <v>912</v>
      </c>
      <c r="D958" t="s">
        <v>20</v>
      </c>
      <c r="E958" t="s">
        <v>200</v>
      </c>
      <c r="F958" t="s">
        <v>37</v>
      </c>
      <c r="G958" t="s">
        <v>38</v>
      </c>
      <c r="H958" t="s">
        <v>24</v>
      </c>
      <c r="I958">
        <v>400</v>
      </c>
      <c r="J958">
        <v>367.29</v>
      </c>
      <c r="K958">
        <v>367.29</v>
      </c>
      <c r="L958" t="s">
        <v>25</v>
      </c>
      <c r="M958" t="s">
        <v>132</v>
      </c>
      <c r="N958">
        <v>90780</v>
      </c>
      <c r="O958">
        <v>33342586.199999999</v>
      </c>
      <c r="P958" t="str">
        <f>IF(T[[#This Row],[qty_ordered]]&lt;&gt;T[[#This Row],[qty_received]],IF(T[[#This Row],[qty_received]]&gt;0,"Partial Received","Not Receviced"),"FullyReceived")</f>
        <v>Partial Received</v>
      </c>
      <c r="Q958" t="str">
        <f>IF(T[[#This Row],[qty_received]]&lt;&gt;T[[#This Row],[qty_invoiced]],IF(T[[#This Row],[qty_invoiced]]&gt;0,"Partial Invoiced","Not Invoiced"),"Fully Invoiced")</f>
        <v>Fully Invoiced</v>
      </c>
      <c r="R958" t="str">
        <f>IFERROR(VLOOKUP(T[[#This Row],[warehouse]],Table2[],2,FALSE),"--")</f>
        <v>SIFITING ORGANICA</v>
      </c>
    </row>
    <row r="959" spans="1:18" x14ac:dyDescent="0.25">
      <c r="A959" t="s">
        <v>534</v>
      </c>
      <c r="B959" s="1">
        <v>43815</v>
      </c>
      <c r="C959" t="s">
        <v>827</v>
      </c>
      <c r="D959" t="s">
        <v>71</v>
      </c>
      <c r="E959" t="s">
        <v>44</v>
      </c>
      <c r="F959" t="s">
        <v>47</v>
      </c>
      <c r="G959" t="s">
        <v>48</v>
      </c>
      <c r="H959" t="s">
        <v>24</v>
      </c>
      <c r="I959">
        <v>1000</v>
      </c>
      <c r="J959">
        <v>60.9</v>
      </c>
      <c r="K959">
        <v>60.9</v>
      </c>
      <c r="L959" t="s">
        <v>25</v>
      </c>
      <c r="M959" t="s">
        <v>132</v>
      </c>
      <c r="N959">
        <v>89000</v>
      </c>
      <c r="O959">
        <v>5420100</v>
      </c>
      <c r="P959" t="str">
        <f>IF(T[[#This Row],[qty_ordered]]&lt;&gt;T[[#This Row],[qty_received]],IF(T[[#This Row],[qty_received]]&gt;0,"Partial Received","Not Receviced"),"FullyReceived")</f>
        <v>Partial Received</v>
      </c>
      <c r="Q959" t="str">
        <f>IF(T[[#This Row],[qty_received]]&lt;&gt;T[[#This Row],[qty_invoiced]],IF(T[[#This Row],[qty_invoiced]]&gt;0,"Partial Invoiced","Not Invoiced"),"Fully Invoiced")</f>
        <v>Fully Invoiced</v>
      </c>
      <c r="R959" t="str">
        <f>IFERROR(VLOOKUP(T[[#This Row],[warehouse]],Table2[],2,FALSE),"--")</f>
        <v>Sifter OMD - Yara (AlNawris)</v>
      </c>
    </row>
    <row r="960" spans="1:18" x14ac:dyDescent="0.25">
      <c r="A960" t="s">
        <v>252</v>
      </c>
      <c r="B960" s="1">
        <v>43849</v>
      </c>
      <c r="C960" t="s">
        <v>638</v>
      </c>
      <c r="D960" t="s">
        <v>20</v>
      </c>
      <c r="E960" t="s">
        <v>51</v>
      </c>
      <c r="F960" t="s">
        <v>183</v>
      </c>
      <c r="G960" t="s">
        <v>183</v>
      </c>
      <c r="H960" t="s">
        <v>54</v>
      </c>
      <c r="I960">
        <v>500</v>
      </c>
      <c r="J960">
        <v>0</v>
      </c>
      <c r="K960">
        <v>1</v>
      </c>
      <c r="L960" t="s">
        <v>25</v>
      </c>
      <c r="M960" t="s">
        <v>533</v>
      </c>
      <c r="N960">
        <v>850</v>
      </c>
      <c r="O960">
        <v>0</v>
      </c>
      <c r="P960" t="str">
        <f>IF(T[[#This Row],[qty_ordered]]&lt;&gt;T[[#This Row],[qty_received]],IF(T[[#This Row],[qty_received]]&gt;0,"Partial Received","Not Receviced"),"FullyReceived")</f>
        <v>Not Receviced</v>
      </c>
      <c r="Q960" t="str">
        <f>IF(T[[#This Row],[qty_received]]&lt;&gt;T[[#This Row],[qty_invoiced]],IF(T[[#This Row],[qty_invoiced]]&gt;0,"Partial Invoiced","Not Invoiced"),"Fully Invoiced")</f>
        <v>Partial Invoiced</v>
      </c>
      <c r="R960" t="str">
        <f>IFERROR(VLOOKUP(T[[#This Row],[warehouse]],Table2[],2,FALSE),"--")</f>
        <v>--</v>
      </c>
    </row>
    <row r="961" spans="1:18" x14ac:dyDescent="0.25">
      <c r="A961" t="s">
        <v>235</v>
      </c>
      <c r="B961" s="1">
        <v>43849</v>
      </c>
      <c r="C961" t="s">
        <v>913</v>
      </c>
      <c r="D961" t="s">
        <v>20</v>
      </c>
      <c r="E961" t="s">
        <v>51</v>
      </c>
      <c r="F961" t="s">
        <v>818</v>
      </c>
      <c r="G961" t="s">
        <v>819</v>
      </c>
      <c r="H961" t="s">
        <v>54</v>
      </c>
      <c r="I961">
        <v>10</v>
      </c>
      <c r="J961">
        <v>0</v>
      </c>
      <c r="K961">
        <v>1</v>
      </c>
      <c r="L961" t="s">
        <v>25</v>
      </c>
      <c r="M961" t="s">
        <v>359</v>
      </c>
      <c r="N961">
        <v>360</v>
      </c>
      <c r="O961">
        <v>0</v>
      </c>
      <c r="P961" t="str">
        <f>IF(T[[#This Row],[qty_ordered]]&lt;&gt;T[[#This Row],[qty_received]],IF(T[[#This Row],[qty_received]]&gt;0,"Partial Received","Not Receviced"),"FullyReceived")</f>
        <v>Not Receviced</v>
      </c>
      <c r="Q961" t="str">
        <f>IF(T[[#This Row],[qty_received]]&lt;&gt;T[[#This Row],[qty_invoiced]],IF(T[[#This Row],[qty_invoiced]]&gt;0,"Partial Invoiced","Not Invoiced"),"Fully Invoiced")</f>
        <v>Partial Invoiced</v>
      </c>
      <c r="R961" t="str">
        <f>IFERROR(VLOOKUP(T[[#This Row],[warehouse]],Table2[],2,FALSE),"--")</f>
        <v>--</v>
      </c>
    </row>
    <row r="962" spans="1:18" x14ac:dyDescent="0.25">
      <c r="A962" t="s">
        <v>423</v>
      </c>
      <c r="B962" s="1">
        <v>43850</v>
      </c>
      <c r="C962" t="s">
        <v>895</v>
      </c>
      <c r="D962" t="s">
        <v>20</v>
      </c>
      <c r="E962" t="s">
        <v>51</v>
      </c>
      <c r="F962" t="s">
        <v>546</v>
      </c>
      <c r="G962" t="s">
        <v>613</v>
      </c>
      <c r="H962" t="s">
        <v>54</v>
      </c>
      <c r="I962">
        <v>20000</v>
      </c>
      <c r="J962">
        <v>0</v>
      </c>
      <c r="K962">
        <v>1</v>
      </c>
      <c r="L962" t="s">
        <v>25</v>
      </c>
      <c r="M962" t="s">
        <v>359</v>
      </c>
      <c r="N962">
        <v>2.8</v>
      </c>
      <c r="O962">
        <v>0</v>
      </c>
      <c r="P962" t="str">
        <f>IF(T[[#This Row],[qty_ordered]]&lt;&gt;T[[#This Row],[qty_received]],IF(T[[#This Row],[qty_received]]&gt;0,"Partial Received","Not Receviced"),"FullyReceived")</f>
        <v>Not Receviced</v>
      </c>
      <c r="Q962" t="str">
        <f>IF(T[[#This Row],[qty_received]]&lt;&gt;T[[#This Row],[qty_invoiced]],IF(T[[#This Row],[qty_invoiced]]&gt;0,"Partial Invoiced","Not Invoiced"),"Fully Invoiced")</f>
        <v>Partial Invoiced</v>
      </c>
      <c r="R962" t="str">
        <f>IFERROR(VLOOKUP(T[[#This Row],[warehouse]],Table2[],2,FALSE),"--")</f>
        <v>--</v>
      </c>
    </row>
    <row r="963" spans="1:18" x14ac:dyDescent="0.25">
      <c r="A963" t="s">
        <v>423</v>
      </c>
      <c r="B963" s="1">
        <v>43850</v>
      </c>
      <c r="C963" t="s">
        <v>647</v>
      </c>
      <c r="D963" t="s">
        <v>20</v>
      </c>
      <c r="E963" t="s">
        <v>51</v>
      </c>
      <c r="F963" t="s">
        <v>546</v>
      </c>
      <c r="G963" t="s">
        <v>613</v>
      </c>
      <c r="H963" t="s">
        <v>54</v>
      </c>
      <c r="I963">
        <v>10000</v>
      </c>
      <c r="J963">
        <v>0</v>
      </c>
      <c r="K963">
        <v>1</v>
      </c>
      <c r="L963" t="s">
        <v>25</v>
      </c>
      <c r="M963" t="s">
        <v>359</v>
      </c>
      <c r="N963">
        <v>2.8</v>
      </c>
      <c r="O963">
        <v>0</v>
      </c>
      <c r="P963" t="str">
        <f>IF(T[[#This Row],[qty_ordered]]&lt;&gt;T[[#This Row],[qty_received]],IF(T[[#This Row],[qty_received]]&gt;0,"Partial Received","Not Receviced"),"FullyReceived")</f>
        <v>Not Receviced</v>
      </c>
      <c r="Q963" t="str">
        <f>IF(T[[#This Row],[qty_received]]&lt;&gt;T[[#This Row],[qty_invoiced]],IF(T[[#This Row],[qty_invoiced]]&gt;0,"Partial Invoiced","Not Invoiced"),"Fully Invoiced")</f>
        <v>Partial Invoiced</v>
      </c>
      <c r="R963" t="str">
        <f>IFERROR(VLOOKUP(T[[#This Row],[warehouse]],Table2[],2,FALSE),"--")</f>
        <v>--</v>
      </c>
    </row>
    <row r="964" spans="1:18" x14ac:dyDescent="0.25">
      <c r="A964" t="s">
        <v>423</v>
      </c>
      <c r="B964" s="1">
        <v>43850</v>
      </c>
      <c r="C964" t="s">
        <v>914</v>
      </c>
      <c r="D964" t="s">
        <v>20</v>
      </c>
      <c r="E964" t="s">
        <v>51</v>
      </c>
      <c r="F964" t="s">
        <v>546</v>
      </c>
      <c r="G964" t="s">
        <v>613</v>
      </c>
      <c r="H964" t="s">
        <v>54</v>
      </c>
      <c r="I964">
        <v>10000</v>
      </c>
      <c r="J964">
        <v>0</v>
      </c>
      <c r="K964">
        <v>1</v>
      </c>
      <c r="L964" t="s">
        <v>25</v>
      </c>
      <c r="M964" t="s">
        <v>359</v>
      </c>
      <c r="N964">
        <v>2.8</v>
      </c>
      <c r="O964">
        <v>0</v>
      </c>
      <c r="P964" t="str">
        <f>IF(T[[#This Row],[qty_ordered]]&lt;&gt;T[[#This Row],[qty_received]],IF(T[[#This Row],[qty_received]]&gt;0,"Partial Received","Not Receviced"),"FullyReceived")</f>
        <v>Not Receviced</v>
      </c>
      <c r="Q964" t="str">
        <f>IF(T[[#This Row],[qty_received]]&lt;&gt;T[[#This Row],[qty_invoiced]],IF(T[[#This Row],[qty_invoiced]]&gt;0,"Partial Invoiced","Not Invoiced"),"Fully Invoiced")</f>
        <v>Partial Invoiced</v>
      </c>
      <c r="R964" t="str">
        <f>IFERROR(VLOOKUP(T[[#This Row],[warehouse]],Table2[],2,FALSE),"--")</f>
        <v>--</v>
      </c>
    </row>
    <row r="965" spans="1:18" x14ac:dyDescent="0.25">
      <c r="A965" t="s">
        <v>423</v>
      </c>
      <c r="B965" s="1">
        <v>43850</v>
      </c>
      <c r="C965" t="s">
        <v>914</v>
      </c>
      <c r="D965" t="s">
        <v>71</v>
      </c>
      <c r="E965" t="s">
        <v>51</v>
      </c>
      <c r="F965" t="s">
        <v>546</v>
      </c>
      <c r="G965" t="s">
        <v>613</v>
      </c>
      <c r="H965" t="s">
        <v>54</v>
      </c>
      <c r="I965">
        <v>10000</v>
      </c>
      <c r="J965">
        <v>0</v>
      </c>
      <c r="K965">
        <v>1</v>
      </c>
      <c r="L965" t="s">
        <v>25</v>
      </c>
      <c r="M965" t="s">
        <v>359</v>
      </c>
      <c r="N965">
        <v>0.8</v>
      </c>
      <c r="O965">
        <v>0</v>
      </c>
      <c r="P965" t="str">
        <f>IF(T[[#This Row],[qty_ordered]]&lt;&gt;T[[#This Row],[qty_received]],IF(T[[#This Row],[qty_received]]&gt;0,"Partial Received","Not Receviced"),"FullyReceived")</f>
        <v>Not Receviced</v>
      </c>
      <c r="Q965" t="str">
        <f>IF(T[[#This Row],[qty_received]]&lt;&gt;T[[#This Row],[qty_invoiced]],IF(T[[#This Row],[qty_invoiced]]&gt;0,"Partial Invoiced","Not Invoiced"),"Fully Invoiced")</f>
        <v>Partial Invoiced</v>
      </c>
      <c r="R965" t="str">
        <f>IFERROR(VLOOKUP(T[[#This Row],[warehouse]],Table2[],2,FALSE),"--")</f>
        <v>--</v>
      </c>
    </row>
    <row r="966" spans="1:18" x14ac:dyDescent="0.25">
      <c r="A966" t="s">
        <v>423</v>
      </c>
      <c r="B966" s="1">
        <v>43850</v>
      </c>
      <c r="C966" t="s">
        <v>914</v>
      </c>
      <c r="D966" t="s">
        <v>100</v>
      </c>
      <c r="E966" t="s">
        <v>51</v>
      </c>
      <c r="F966" t="s">
        <v>546</v>
      </c>
      <c r="G966" t="s">
        <v>613</v>
      </c>
      <c r="H966" t="s">
        <v>54</v>
      </c>
      <c r="I966">
        <v>20000</v>
      </c>
      <c r="J966">
        <v>0</v>
      </c>
      <c r="K966">
        <v>1</v>
      </c>
      <c r="L966" t="s">
        <v>25</v>
      </c>
      <c r="M966" t="s">
        <v>359</v>
      </c>
      <c r="N966">
        <v>2.8</v>
      </c>
      <c r="O966">
        <v>0</v>
      </c>
      <c r="P966" t="str">
        <f>IF(T[[#This Row],[qty_ordered]]&lt;&gt;T[[#This Row],[qty_received]],IF(T[[#This Row],[qty_received]]&gt;0,"Partial Received","Not Receviced"),"FullyReceived")</f>
        <v>Not Receviced</v>
      </c>
      <c r="Q966" t="str">
        <f>IF(T[[#This Row],[qty_received]]&lt;&gt;T[[#This Row],[qty_invoiced]],IF(T[[#This Row],[qty_invoiced]]&gt;0,"Partial Invoiced","Not Invoiced"),"Fully Invoiced")</f>
        <v>Partial Invoiced</v>
      </c>
      <c r="R966" t="str">
        <f>IFERROR(VLOOKUP(T[[#This Row],[warehouse]],Table2[],2,FALSE),"--")</f>
        <v>--</v>
      </c>
    </row>
    <row r="967" spans="1:18" x14ac:dyDescent="0.25">
      <c r="A967" t="s">
        <v>423</v>
      </c>
      <c r="B967" s="1">
        <v>43850</v>
      </c>
      <c r="C967" t="s">
        <v>915</v>
      </c>
      <c r="D967" t="s">
        <v>20</v>
      </c>
      <c r="E967" t="s">
        <v>51</v>
      </c>
      <c r="F967" t="s">
        <v>546</v>
      </c>
      <c r="G967" t="s">
        <v>613</v>
      </c>
      <c r="H967" t="s">
        <v>54</v>
      </c>
      <c r="I967">
        <v>7900</v>
      </c>
      <c r="J967">
        <v>0</v>
      </c>
      <c r="K967">
        <v>1</v>
      </c>
      <c r="L967" t="s">
        <v>25</v>
      </c>
      <c r="M967" t="s">
        <v>359</v>
      </c>
      <c r="N967">
        <v>5.83</v>
      </c>
      <c r="O967">
        <v>0</v>
      </c>
      <c r="P967" t="str">
        <f>IF(T[[#This Row],[qty_ordered]]&lt;&gt;T[[#This Row],[qty_received]],IF(T[[#This Row],[qty_received]]&gt;0,"Partial Received","Not Receviced"),"FullyReceived")</f>
        <v>Not Receviced</v>
      </c>
      <c r="Q967" t="str">
        <f>IF(T[[#This Row],[qty_received]]&lt;&gt;T[[#This Row],[qty_invoiced]],IF(T[[#This Row],[qty_invoiced]]&gt;0,"Partial Invoiced","Not Invoiced"),"Fully Invoiced")</f>
        <v>Partial Invoiced</v>
      </c>
      <c r="R967" t="str">
        <f>IFERROR(VLOOKUP(T[[#This Row],[warehouse]],Table2[],2,FALSE),"--")</f>
        <v>--</v>
      </c>
    </row>
    <row r="968" spans="1:18" x14ac:dyDescent="0.25">
      <c r="A968" t="s">
        <v>224</v>
      </c>
      <c r="B968" s="1">
        <v>43832</v>
      </c>
      <c r="C968" t="s">
        <v>916</v>
      </c>
      <c r="D968" t="s">
        <v>20</v>
      </c>
      <c r="E968" t="s">
        <v>51</v>
      </c>
      <c r="F968" t="s">
        <v>183</v>
      </c>
      <c r="G968" t="s">
        <v>183</v>
      </c>
      <c r="H968" t="s">
        <v>54</v>
      </c>
      <c r="I968">
        <v>124.07</v>
      </c>
      <c r="J968">
        <v>0</v>
      </c>
      <c r="K968">
        <v>1</v>
      </c>
      <c r="L968" t="s">
        <v>25</v>
      </c>
      <c r="M968" t="s">
        <v>359</v>
      </c>
      <c r="N968">
        <v>750</v>
      </c>
      <c r="O968">
        <v>0</v>
      </c>
      <c r="P968" t="str">
        <f>IF(T[[#This Row],[qty_ordered]]&lt;&gt;T[[#This Row],[qty_received]],IF(T[[#This Row],[qty_received]]&gt;0,"Partial Received","Not Receviced"),"FullyReceived")</f>
        <v>Not Receviced</v>
      </c>
      <c r="Q968" t="str">
        <f>IF(T[[#This Row],[qty_received]]&lt;&gt;T[[#This Row],[qty_invoiced]],IF(T[[#This Row],[qty_invoiced]]&gt;0,"Partial Invoiced","Not Invoiced"),"Fully Invoiced")</f>
        <v>Partial Invoiced</v>
      </c>
      <c r="R968" t="str">
        <f>IFERROR(VLOOKUP(T[[#This Row],[warehouse]],Table2[],2,FALSE),"--")</f>
        <v>--</v>
      </c>
    </row>
    <row r="969" spans="1:18" x14ac:dyDescent="0.25">
      <c r="A969" t="s">
        <v>534</v>
      </c>
      <c r="B969" s="1">
        <v>43815</v>
      </c>
      <c r="C969" t="s">
        <v>616</v>
      </c>
      <c r="D969" t="s">
        <v>88</v>
      </c>
      <c r="E969" t="s">
        <v>629</v>
      </c>
      <c r="F969" t="s">
        <v>22</v>
      </c>
      <c r="G969" t="s">
        <v>23</v>
      </c>
      <c r="H969" t="s">
        <v>24</v>
      </c>
      <c r="I969">
        <v>3000</v>
      </c>
      <c r="J969">
        <v>2578.34</v>
      </c>
      <c r="K969">
        <v>2578.34</v>
      </c>
      <c r="L969" t="s">
        <v>25</v>
      </c>
      <c r="M969" t="s">
        <v>132</v>
      </c>
      <c r="N969">
        <v>53000</v>
      </c>
      <c r="O969">
        <v>136652020</v>
      </c>
      <c r="P969" t="str">
        <f>IF(T[[#This Row],[qty_ordered]]&lt;&gt;T[[#This Row],[qty_received]],IF(T[[#This Row],[qty_received]]&gt;0,"Partial Received","Not Receviced"),"FullyReceived")</f>
        <v>Partial Received</v>
      </c>
      <c r="Q969" t="str">
        <f>IF(T[[#This Row],[qty_received]]&lt;&gt;T[[#This Row],[qty_invoiced]],IF(T[[#This Row],[qty_invoiced]]&gt;0,"Partial Invoiced","Not Invoiced"),"Fully Invoiced")</f>
        <v>Fully Invoiced</v>
      </c>
      <c r="R969" t="str">
        <f>IFERROR(VLOOKUP(T[[#This Row],[warehouse]],Table2[],2,FALSE),"--")</f>
        <v>SOPC Sifting &amp; Sorting</v>
      </c>
    </row>
    <row r="970" spans="1:18" x14ac:dyDescent="0.25">
      <c r="A970" t="s">
        <v>153</v>
      </c>
      <c r="B970" s="1">
        <v>43804</v>
      </c>
      <c r="C970" t="s">
        <v>881</v>
      </c>
      <c r="D970" t="s">
        <v>88</v>
      </c>
      <c r="E970" t="s">
        <v>166</v>
      </c>
      <c r="F970" t="s">
        <v>167</v>
      </c>
      <c r="G970" t="s">
        <v>156</v>
      </c>
      <c r="H970" t="s">
        <v>24</v>
      </c>
      <c r="I970">
        <v>833.33299999999997</v>
      </c>
      <c r="J970">
        <v>0</v>
      </c>
      <c r="K970">
        <v>0</v>
      </c>
      <c r="L970" t="s">
        <v>25</v>
      </c>
      <c r="M970" t="s">
        <v>132</v>
      </c>
      <c r="N970">
        <v>120000</v>
      </c>
      <c r="O970">
        <v>0</v>
      </c>
      <c r="P970" t="str">
        <f>IF(T[[#This Row],[qty_ordered]]&lt;&gt;T[[#This Row],[qty_received]],IF(T[[#This Row],[qty_received]]&gt;0,"Partial Received","Not Receviced"),"FullyReceived")</f>
        <v>Not Receviced</v>
      </c>
      <c r="Q970" t="str">
        <f>IF(T[[#This Row],[qty_received]]&lt;&gt;T[[#This Row],[qty_invoiced]],IF(T[[#This Row],[qty_invoiced]]&gt;0,"Partial Invoiced","Not Invoiced"),"Fully Invoiced")</f>
        <v>Fully Invoiced</v>
      </c>
      <c r="R970" t="str">
        <f>IFERROR(VLOOKUP(T[[#This Row],[warehouse]],Table2[],2,FALSE),"--")</f>
        <v>Crusher Al-Teital -K</v>
      </c>
    </row>
    <row r="971" spans="1:18" x14ac:dyDescent="0.25">
      <c r="A971" t="s">
        <v>757</v>
      </c>
      <c r="B971" s="1">
        <v>43852</v>
      </c>
      <c r="C971" t="s">
        <v>917</v>
      </c>
      <c r="D971" t="s">
        <v>20</v>
      </c>
      <c r="E971" t="s">
        <v>51</v>
      </c>
      <c r="F971" t="s">
        <v>183</v>
      </c>
      <c r="G971" t="s">
        <v>184</v>
      </c>
      <c r="H971" t="s">
        <v>54</v>
      </c>
      <c r="I971">
        <v>176.43</v>
      </c>
      <c r="J971">
        <v>0</v>
      </c>
      <c r="K971">
        <v>1</v>
      </c>
      <c r="L971" t="s">
        <v>25</v>
      </c>
      <c r="M971" t="s">
        <v>533</v>
      </c>
      <c r="N971">
        <v>800</v>
      </c>
      <c r="O971">
        <v>0</v>
      </c>
      <c r="P971" t="str">
        <f>IF(T[[#This Row],[qty_ordered]]&lt;&gt;T[[#This Row],[qty_received]],IF(T[[#This Row],[qty_received]]&gt;0,"Partial Received","Not Receviced"),"FullyReceived")</f>
        <v>Not Receviced</v>
      </c>
      <c r="Q971" t="str">
        <f>IF(T[[#This Row],[qty_received]]&lt;&gt;T[[#This Row],[qty_invoiced]],IF(T[[#This Row],[qty_invoiced]]&gt;0,"Partial Invoiced","Not Invoiced"),"Fully Invoiced")</f>
        <v>Partial Invoiced</v>
      </c>
      <c r="R971" t="str">
        <f>IFERROR(VLOOKUP(T[[#This Row],[warehouse]],Table2[],2,FALSE),"--")</f>
        <v>--</v>
      </c>
    </row>
    <row r="972" spans="1:18" x14ac:dyDescent="0.25">
      <c r="A972" t="s">
        <v>534</v>
      </c>
      <c r="B972" s="1">
        <v>43793</v>
      </c>
      <c r="C972" t="s">
        <v>538</v>
      </c>
      <c r="D972" t="s">
        <v>100</v>
      </c>
      <c r="E972" t="s">
        <v>553</v>
      </c>
      <c r="F972" t="s">
        <v>41</v>
      </c>
      <c r="G972" t="s">
        <v>42</v>
      </c>
      <c r="H972" t="s">
        <v>24</v>
      </c>
      <c r="I972">
        <v>500</v>
      </c>
      <c r="J972">
        <v>199.7</v>
      </c>
      <c r="K972">
        <v>199.7</v>
      </c>
      <c r="L972" t="s">
        <v>25</v>
      </c>
      <c r="M972" t="s">
        <v>132</v>
      </c>
      <c r="N972">
        <v>84550</v>
      </c>
      <c r="O972">
        <v>16884635</v>
      </c>
      <c r="P972" t="str">
        <f>IF(T[[#This Row],[qty_ordered]]&lt;&gt;T[[#This Row],[qty_received]],IF(T[[#This Row],[qty_received]]&gt;0,"Partial Received","Not Receviced"),"FullyReceived")</f>
        <v>Partial Received</v>
      </c>
      <c r="Q972" t="str">
        <f>IF(T[[#This Row],[qty_received]]&lt;&gt;T[[#This Row],[qty_invoiced]],IF(T[[#This Row],[qty_invoiced]]&gt;0,"Partial Invoiced","Not Invoiced"),"Fully Invoiced")</f>
        <v>Fully Invoiced</v>
      </c>
      <c r="R972" t="str">
        <f>IFERROR(VLOOKUP(T[[#This Row],[warehouse]],Table2[],2,FALSE),"--")</f>
        <v>SIFTING HMA-SOBA</v>
      </c>
    </row>
    <row r="973" spans="1:18" x14ac:dyDescent="0.25">
      <c r="A973" t="s">
        <v>534</v>
      </c>
      <c r="B973" s="1">
        <v>43793</v>
      </c>
      <c r="C973" t="s">
        <v>551</v>
      </c>
      <c r="D973" t="s">
        <v>71</v>
      </c>
      <c r="E973" t="s">
        <v>918</v>
      </c>
      <c r="F973" t="s">
        <v>47</v>
      </c>
      <c r="G973" t="s">
        <v>48</v>
      </c>
      <c r="H973" t="s">
        <v>24</v>
      </c>
      <c r="I973">
        <v>2075.84</v>
      </c>
      <c r="J973">
        <v>2075.84</v>
      </c>
      <c r="K973">
        <v>2075.84</v>
      </c>
      <c r="L973" t="s">
        <v>25</v>
      </c>
      <c r="M973" t="s">
        <v>132</v>
      </c>
      <c r="N973">
        <v>87000</v>
      </c>
      <c r="O973">
        <v>180598080</v>
      </c>
      <c r="P973" t="str">
        <f>IF(T[[#This Row],[qty_ordered]]&lt;&gt;T[[#This Row],[qty_received]],IF(T[[#This Row],[qty_received]]&gt;0,"Partial Received","Not Receviced"),"FullyReceived")</f>
        <v>FullyReceived</v>
      </c>
      <c r="Q973" t="str">
        <f>IF(T[[#This Row],[qty_received]]&lt;&gt;T[[#This Row],[qty_invoiced]],IF(T[[#This Row],[qty_invoiced]]&gt;0,"Partial Invoiced","Not Invoiced"),"Fully Invoiced")</f>
        <v>Fully Invoiced</v>
      </c>
      <c r="R973" t="str">
        <f>IFERROR(VLOOKUP(T[[#This Row],[warehouse]],Table2[],2,FALSE),"--")</f>
        <v>SIFTER GZ -PZU</v>
      </c>
    </row>
    <row r="974" spans="1:18" x14ac:dyDescent="0.25">
      <c r="A974" t="s">
        <v>919</v>
      </c>
      <c r="B974" s="1">
        <v>43856</v>
      </c>
      <c r="C974" t="s">
        <v>920</v>
      </c>
      <c r="D974" t="s">
        <v>20</v>
      </c>
      <c r="E974" t="s">
        <v>629</v>
      </c>
      <c r="F974" t="s">
        <v>22</v>
      </c>
      <c r="G974" t="s">
        <v>23</v>
      </c>
      <c r="H974" t="s">
        <v>24</v>
      </c>
      <c r="I974">
        <v>2500</v>
      </c>
      <c r="J974">
        <v>0</v>
      </c>
      <c r="K974">
        <v>0</v>
      </c>
      <c r="L974" t="s">
        <v>25</v>
      </c>
      <c r="M974" t="s">
        <v>132</v>
      </c>
      <c r="N974">
        <v>60000</v>
      </c>
      <c r="O974">
        <v>0</v>
      </c>
      <c r="P974" t="str">
        <f>IF(T[[#This Row],[qty_ordered]]&lt;&gt;T[[#This Row],[qty_received]],IF(T[[#This Row],[qty_received]]&gt;0,"Partial Received","Not Receviced"),"FullyReceived")</f>
        <v>Not Receviced</v>
      </c>
      <c r="Q974" t="str">
        <f>IF(T[[#This Row],[qty_received]]&lt;&gt;T[[#This Row],[qty_invoiced]],IF(T[[#This Row],[qty_invoiced]]&gt;0,"Partial Invoiced","Not Invoiced"),"Fully Invoiced")</f>
        <v>Fully Invoiced</v>
      </c>
      <c r="R974" t="str">
        <f>IFERROR(VLOOKUP(T[[#This Row],[warehouse]],Table2[],2,FALSE),"--")</f>
        <v>SOPC Sifting &amp; Sorting</v>
      </c>
    </row>
    <row r="975" spans="1:18" x14ac:dyDescent="0.25">
      <c r="A975" t="s">
        <v>534</v>
      </c>
      <c r="B975" s="1">
        <v>43818</v>
      </c>
      <c r="C975" t="s">
        <v>835</v>
      </c>
      <c r="D975" t="s">
        <v>71</v>
      </c>
      <c r="E975" t="s">
        <v>46</v>
      </c>
      <c r="F975" t="s">
        <v>47</v>
      </c>
      <c r="G975" t="s">
        <v>48</v>
      </c>
      <c r="H975" t="s">
        <v>24</v>
      </c>
      <c r="I975">
        <v>1000</v>
      </c>
      <c r="J975">
        <v>330.52</v>
      </c>
      <c r="K975">
        <v>330.52</v>
      </c>
      <c r="L975" t="s">
        <v>25</v>
      </c>
      <c r="M975" t="s">
        <v>132</v>
      </c>
      <c r="N975">
        <v>91225</v>
      </c>
      <c r="O975">
        <v>30151687</v>
      </c>
      <c r="P975" t="str">
        <f>IF(T[[#This Row],[qty_ordered]]&lt;&gt;T[[#This Row],[qty_received]],IF(T[[#This Row],[qty_received]]&gt;0,"Partial Received","Not Receviced"),"FullyReceived")</f>
        <v>Partial Received</v>
      </c>
      <c r="Q975" t="str">
        <f>IF(T[[#This Row],[qty_received]]&lt;&gt;T[[#This Row],[qty_invoiced]],IF(T[[#This Row],[qty_invoiced]]&gt;0,"Partial Invoiced","Not Invoiced"),"Fully Invoiced")</f>
        <v>Fully Invoiced</v>
      </c>
      <c r="R975" t="str">
        <f>IFERROR(VLOOKUP(T[[#This Row],[warehouse]],Table2[],2,FALSE),"--")</f>
        <v xml:space="preserve">Sifter PZU - Tabil </v>
      </c>
    </row>
    <row r="976" spans="1:18" x14ac:dyDescent="0.25">
      <c r="A976" t="s">
        <v>601</v>
      </c>
      <c r="B976" s="1">
        <v>43857</v>
      </c>
      <c r="C976" t="s">
        <v>921</v>
      </c>
      <c r="D976" t="s">
        <v>20</v>
      </c>
      <c r="E976" t="s">
        <v>203</v>
      </c>
      <c r="F976" t="s">
        <v>603</v>
      </c>
      <c r="G976" t="s">
        <v>604</v>
      </c>
      <c r="H976" t="s">
        <v>149</v>
      </c>
      <c r="I976">
        <v>10</v>
      </c>
      <c r="J976">
        <v>10</v>
      </c>
      <c r="K976">
        <v>10</v>
      </c>
      <c r="L976" t="s">
        <v>25</v>
      </c>
      <c r="M976" t="s">
        <v>150</v>
      </c>
      <c r="N976">
        <v>103500</v>
      </c>
      <c r="O976">
        <v>1035000</v>
      </c>
      <c r="P976" t="str">
        <f>IF(T[[#This Row],[qty_ordered]]&lt;&gt;T[[#This Row],[qty_received]],IF(T[[#This Row],[qty_received]]&gt;0,"Partial Received","Not Receviced"),"FullyReceived")</f>
        <v>FullyReceived</v>
      </c>
      <c r="Q976" t="str">
        <f>IF(T[[#This Row],[qty_received]]&lt;&gt;T[[#This Row],[qty_invoiced]],IF(T[[#This Row],[qty_invoiced]]&gt;0,"Partial Invoiced","Not Invoiced"),"Fully Invoiced")</f>
        <v>Fully Invoiced</v>
      </c>
      <c r="R976" t="str">
        <f>IFERROR(VLOOKUP(T[[#This Row],[warehouse]],Table2[],2,FALSE),"--")</f>
        <v>PZU Packaging Warehouse</v>
      </c>
    </row>
    <row r="977" spans="1:18" x14ac:dyDescent="0.25">
      <c r="A977" t="s">
        <v>181</v>
      </c>
      <c r="B977" s="1">
        <v>43787</v>
      </c>
      <c r="C977" t="s">
        <v>532</v>
      </c>
      <c r="D977" t="s">
        <v>88</v>
      </c>
      <c r="E977" t="s">
        <v>51</v>
      </c>
      <c r="F977" t="s">
        <v>183</v>
      </c>
      <c r="G977" t="s">
        <v>183</v>
      </c>
      <c r="H977" t="s">
        <v>54</v>
      </c>
      <c r="I977">
        <v>500</v>
      </c>
      <c r="J977">
        <v>0</v>
      </c>
      <c r="K977">
        <v>1</v>
      </c>
      <c r="L977" t="s">
        <v>25</v>
      </c>
      <c r="M977" t="s">
        <v>533</v>
      </c>
      <c r="N977">
        <v>675</v>
      </c>
      <c r="O977">
        <v>0</v>
      </c>
      <c r="P977" t="str">
        <f>IF(T[[#This Row],[qty_ordered]]&lt;&gt;T[[#This Row],[qty_received]],IF(T[[#This Row],[qty_received]]&gt;0,"Partial Received","Not Receviced"),"FullyReceived")</f>
        <v>Not Receviced</v>
      </c>
      <c r="Q977" t="str">
        <f>IF(T[[#This Row],[qty_received]]&lt;&gt;T[[#This Row],[qty_invoiced]],IF(T[[#This Row],[qty_invoiced]]&gt;0,"Partial Invoiced","Not Invoiced"),"Fully Invoiced")</f>
        <v>Partial Invoiced</v>
      </c>
      <c r="R977" t="str">
        <f>IFERROR(VLOOKUP(T[[#This Row],[warehouse]],Table2[],2,FALSE),"--")</f>
        <v>--</v>
      </c>
    </row>
    <row r="978" spans="1:18" x14ac:dyDescent="0.25">
      <c r="A978" t="s">
        <v>144</v>
      </c>
      <c r="B978" s="1">
        <v>43858</v>
      </c>
      <c r="C978" t="s">
        <v>922</v>
      </c>
      <c r="D978" t="s">
        <v>20</v>
      </c>
      <c r="E978" t="s">
        <v>203</v>
      </c>
      <c r="F978" t="s">
        <v>147</v>
      </c>
      <c r="G978" t="s">
        <v>148</v>
      </c>
      <c r="H978" t="s">
        <v>149</v>
      </c>
      <c r="I978">
        <v>8780</v>
      </c>
      <c r="J978">
        <v>8780</v>
      </c>
      <c r="K978">
        <v>8780</v>
      </c>
      <c r="L978" t="s">
        <v>25</v>
      </c>
      <c r="M978" t="s">
        <v>575</v>
      </c>
      <c r="N978">
        <v>9.6300000000000008</v>
      </c>
      <c r="O978">
        <v>79421.399999999994</v>
      </c>
      <c r="P978" t="str">
        <f>IF(T[[#This Row],[qty_ordered]]&lt;&gt;T[[#This Row],[qty_received]],IF(T[[#This Row],[qty_received]]&gt;0,"Partial Received","Not Receviced"),"FullyReceived")</f>
        <v>FullyReceived</v>
      </c>
      <c r="Q978" t="str">
        <f>IF(T[[#This Row],[qty_received]]&lt;&gt;T[[#This Row],[qty_invoiced]],IF(T[[#This Row],[qty_invoiced]]&gt;0,"Partial Invoiced","Not Invoiced"),"Fully Invoiced")</f>
        <v>Fully Invoiced</v>
      </c>
      <c r="R978" t="str">
        <f>IFERROR(VLOOKUP(T[[#This Row],[warehouse]],Table2[],2,FALSE),"--")</f>
        <v>PZU Packaging Warehouse</v>
      </c>
    </row>
    <row r="979" spans="1:18" x14ac:dyDescent="0.25">
      <c r="A979" t="s">
        <v>144</v>
      </c>
      <c r="B979" s="1">
        <v>43858</v>
      </c>
      <c r="C979" t="s">
        <v>634</v>
      </c>
      <c r="D979" t="s">
        <v>20</v>
      </c>
      <c r="E979" t="s">
        <v>146</v>
      </c>
      <c r="F979" t="s">
        <v>147</v>
      </c>
      <c r="G979" t="s">
        <v>148</v>
      </c>
      <c r="H979" t="s">
        <v>149</v>
      </c>
      <c r="I979">
        <v>112000</v>
      </c>
      <c r="J979">
        <v>0</v>
      </c>
      <c r="K979">
        <v>0</v>
      </c>
      <c r="L979" t="s">
        <v>25</v>
      </c>
      <c r="M979" t="s">
        <v>575</v>
      </c>
      <c r="N979">
        <v>8.0549999999999997</v>
      </c>
      <c r="O979">
        <v>0</v>
      </c>
      <c r="P979" t="str">
        <f>IF(T[[#This Row],[qty_ordered]]&lt;&gt;T[[#This Row],[qty_received]],IF(T[[#This Row],[qty_received]]&gt;0,"Partial Received","Not Receviced"),"FullyReceived")</f>
        <v>Not Receviced</v>
      </c>
      <c r="Q979" t="str">
        <f>IF(T[[#This Row],[qty_received]]&lt;&gt;T[[#This Row],[qty_invoiced]],IF(T[[#This Row],[qty_invoiced]]&gt;0,"Partial Invoiced","Not Invoiced"),"Fully Invoiced")</f>
        <v>Fully Invoiced</v>
      </c>
      <c r="R979" t="str">
        <f>IFERROR(VLOOKUP(T[[#This Row],[warehouse]],Table2[],2,FALSE),"--")</f>
        <v>Khtoum Main Warehouse</v>
      </c>
    </row>
    <row r="980" spans="1:18" x14ac:dyDescent="0.25">
      <c r="A980" t="s">
        <v>181</v>
      </c>
      <c r="B980" s="1">
        <v>43787</v>
      </c>
      <c r="C980" t="s">
        <v>532</v>
      </c>
      <c r="D980" t="s">
        <v>100</v>
      </c>
      <c r="E980" t="s">
        <v>51</v>
      </c>
      <c r="F980" t="s">
        <v>183</v>
      </c>
      <c r="G980" t="s">
        <v>183</v>
      </c>
      <c r="H980" t="s">
        <v>54</v>
      </c>
      <c r="I980">
        <v>500</v>
      </c>
      <c r="J980">
        <v>0</v>
      </c>
      <c r="K980">
        <v>1</v>
      </c>
      <c r="L980" t="s">
        <v>25</v>
      </c>
      <c r="M980" t="s">
        <v>533</v>
      </c>
      <c r="N980">
        <v>575</v>
      </c>
      <c r="O980">
        <v>0</v>
      </c>
      <c r="P980" t="str">
        <f>IF(T[[#This Row],[qty_ordered]]&lt;&gt;T[[#This Row],[qty_received]],IF(T[[#This Row],[qty_received]]&gt;0,"Partial Received","Not Receviced"),"FullyReceived")</f>
        <v>Not Receviced</v>
      </c>
      <c r="Q980" t="str">
        <f>IF(T[[#This Row],[qty_received]]&lt;&gt;T[[#This Row],[qty_invoiced]],IF(T[[#This Row],[qty_invoiced]]&gt;0,"Partial Invoiced","Not Invoiced"),"Fully Invoiced")</f>
        <v>Partial Invoiced</v>
      </c>
      <c r="R980" t="str">
        <f>IFERROR(VLOOKUP(T[[#This Row],[warehouse]],Table2[],2,FALSE),"--")</f>
        <v>--</v>
      </c>
    </row>
    <row r="981" spans="1:18" x14ac:dyDescent="0.25">
      <c r="A981" t="s">
        <v>252</v>
      </c>
      <c r="B981" s="1">
        <v>43816</v>
      </c>
      <c r="C981" t="s">
        <v>820</v>
      </c>
      <c r="D981" t="s">
        <v>71</v>
      </c>
      <c r="E981" t="s">
        <v>51</v>
      </c>
      <c r="F981" t="s">
        <v>183</v>
      </c>
      <c r="G981" t="s">
        <v>183</v>
      </c>
      <c r="H981" t="s">
        <v>54</v>
      </c>
      <c r="I981">
        <v>322.98</v>
      </c>
      <c r="J981">
        <v>0</v>
      </c>
      <c r="K981">
        <v>1</v>
      </c>
      <c r="L981" t="s">
        <v>25</v>
      </c>
      <c r="M981" t="s">
        <v>359</v>
      </c>
      <c r="N981">
        <v>850</v>
      </c>
      <c r="O981">
        <v>0</v>
      </c>
      <c r="P981" t="str">
        <f>IF(T[[#This Row],[qty_ordered]]&lt;&gt;T[[#This Row],[qty_received]],IF(T[[#This Row],[qty_received]]&gt;0,"Partial Received","Not Receviced"),"FullyReceived")</f>
        <v>Not Receviced</v>
      </c>
      <c r="Q981" t="str">
        <f>IF(T[[#This Row],[qty_received]]&lt;&gt;T[[#This Row],[qty_invoiced]],IF(T[[#This Row],[qty_invoiced]]&gt;0,"Partial Invoiced","Not Invoiced"),"Fully Invoiced")</f>
        <v>Partial Invoiced</v>
      </c>
      <c r="R981" t="str">
        <f>IFERROR(VLOOKUP(T[[#This Row],[warehouse]],Table2[],2,FALSE),"--")</f>
        <v>--</v>
      </c>
    </row>
    <row r="982" spans="1:18" x14ac:dyDescent="0.25">
      <c r="A982" t="s">
        <v>160</v>
      </c>
      <c r="B982" s="1">
        <v>43499</v>
      </c>
      <c r="C982" t="s">
        <v>227</v>
      </c>
      <c r="D982" t="s">
        <v>88</v>
      </c>
      <c r="E982" t="s">
        <v>51</v>
      </c>
      <c r="F982" t="s">
        <v>52</v>
      </c>
      <c r="G982" t="s">
        <v>53</v>
      </c>
      <c r="H982" t="s">
        <v>54</v>
      </c>
      <c r="I982">
        <v>2696.39</v>
      </c>
      <c r="J982">
        <v>0</v>
      </c>
      <c r="K982">
        <v>0</v>
      </c>
      <c r="L982" t="s">
        <v>25</v>
      </c>
      <c r="M982" t="s">
        <v>26</v>
      </c>
      <c r="N982">
        <v>54411.79</v>
      </c>
      <c r="O982">
        <v>0</v>
      </c>
      <c r="P982" t="str">
        <f>IF(T[[#This Row],[qty_ordered]]&lt;&gt;T[[#This Row],[qty_received]],IF(T[[#This Row],[qty_received]]&gt;0,"Partial Received","Not Receviced"),"FullyReceived")</f>
        <v>Not Receviced</v>
      </c>
      <c r="Q982" t="str">
        <f>IF(T[[#This Row],[qty_received]]&lt;&gt;T[[#This Row],[qty_invoiced]],IF(T[[#This Row],[qty_invoiced]]&gt;0,"Partial Invoiced","Not Invoiced"),"Fully Invoiced")</f>
        <v>Fully Invoiced</v>
      </c>
      <c r="R982" t="str">
        <f>IFERROR(VLOOKUP(T[[#This Row],[warehouse]],Table2[],2,FALSE),"--")</f>
        <v>--</v>
      </c>
    </row>
    <row r="983" spans="1:18" x14ac:dyDescent="0.25">
      <c r="A983" t="s">
        <v>923</v>
      </c>
      <c r="B983" s="1">
        <v>43845</v>
      </c>
      <c r="C983" t="s">
        <v>924</v>
      </c>
      <c r="D983" t="s">
        <v>20</v>
      </c>
      <c r="E983" t="s">
        <v>925</v>
      </c>
      <c r="F983" t="s">
        <v>167</v>
      </c>
      <c r="G983" t="s">
        <v>156</v>
      </c>
      <c r="H983" t="s">
        <v>24</v>
      </c>
      <c r="I983">
        <v>500</v>
      </c>
      <c r="J983">
        <v>75.62</v>
      </c>
      <c r="K983">
        <v>75.62</v>
      </c>
      <c r="L983" t="s">
        <v>25</v>
      </c>
      <c r="M983" t="s">
        <v>132</v>
      </c>
      <c r="N983">
        <v>107500</v>
      </c>
      <c r="O983">
        <v>8129150</v>
      </c>
      <c r="P983" t="str">
        <f>IF(T[[#This Row],[qty_ordered]]&lt;&gt;T[[#This Row],[qty_received]],IF(T[[#This Row],[qty_received]]&gt;0,"Partial Received","Not Receviced"),"FullyReceived")</f>
        <v>Partial Received</v>
      </c>
      <c r="Q983" t="str">
        <f>IF(T[[#This Row],[qty_received]]&lt;&gt;T[[#This Row],[qty_invoiced]],IF(T[[#This Row],[qty_invoiced]]&gt;0,"Partial Invoiced","Not Invoiced"),"Fully Invoiced")</f>
        <v>Fully Invoiced</v>
      </c>
      <c r="R983" t="str">
        <f>IFERROR(VLOOKUP(T[[#This Row],[warehouse]],Table2[],2,FALSE),"--")</f>
        <v>Crusher Al-AFIA</v>
      </c>
    </row>
    <row r="984" spans="1:18" x14ac:dyDescent="0.25">
      <c r="A984" t="s">
        <v>235</v>
      </c>
      <c r="B984" s="1">
        <v>43800</v>
      </c>
      <c r="C984" t="s">
        <v>545</v>
      </c>
      <c r="D984" t="s">
        <v>100</v>
      </c>
      <c r="E984" t="s">
        <v>51</v>
      </c>
      <c r="F984" t="s">
        <v>546</v>
      </c>
      <c r="G984" t="s">
        <v>613</v>
      </c>
      <c r="H984" t="s">
        <v>54</v>
      </c>
      <c r="I984">
        <v>10000</v>
      </c>
      <c r="J984">
        <v>0</v>
      </c>
      <c r="K984">
        <v>1</v>
      </c>
      <c r="L984" t="s">
        <v>25</v>
      </c>
      <c r="M984" t="s">
        <v>359</v>
      </c>
      <c r="N984">
        <v>2.85</v>
      </c>
      <c r="O984">
        <v>0</v>
      </c>
      <c r="P984" t="str">
        <f>IF(T[[#This Row],[qty_ordered]]&lt;&gt;T[[#This Row],[qty_received]],IF(T[[#This Row],[qty_received]]&gt;0,"Partial Received","Not Receviced"),"FullyReceived")</f>
        <v>Not Receviced</v>
      </c>
      <c r="Q984" t="str">
        <f>IF(T[[#This Row],[qty_received]]&lt;&gt;T[[#This Row],[qty_invoiced]],IF(T[[#This Row],[qty_invoiced]]&gt;0,"Partial Invoiced","Not Invoiced"),"Fully Invoiced")</f>
        <v>Partial Invoiced</v>
      </c>
      <c r="R984" t="str">
        <f>IFERROR(VLOOKUP(T[[#This Row],[warehouse]],Table2[],2,FALSE),"--")</f>
        <v>--</v>
      </c>
    </row>
    <row r="985" spans="1:18" x14ac:dyDescent="0.25">
      <c r="A985" t="s">
        <v>235</v>
      </c>
      <c r="B985" s="1">
        <v>43849</v>
      </c>
      <c r="C985" t="s">
        <v>672</v>
      </c>
      <c r="D985" t="s">
        <v>20</v>
      </c>
      <c r="E985" t="s">
        <v>51</v>
      </c>
      <c r="F985" t="s">
        <v>546</v>
      </c>
      <c r="G985" t="s">
        <v>613</v>
      </c>
      <c r="H985" t="s">
        <v>54</v>
      </c>
      <c r="I985">
        <v>10000</v>
      </c>
      <c r="J985">
        <v>0</v>
      </c>
      <c r="K985">
        <v>1</v>
      </c>
      <c r="L985" t="s">
        <v>25</v>
      </c>
      <c r="M985" t="s">
        <v>533</v>
      </c>
      <c r="N985">
        <v>2.85</v>
      </c>
      <c r="O985">
        <v>0</v>
      </c>
      <c r="P985" t="str">
        <f>IF(T[[#This Row],[qty_ordered]]&lt;&gt;T[[#This Row],[qty_received]],IF(T[[#This Row],[qty_received]]&gt;0,"Partial Received","Not Receviced"),"FullyReceived")</f>
        <v>Not Receviced</v>
      </c>
      <c r="Q985" t="str">
        <f>IF(T[[#This Row],[qty_received]]&lt;&gt;T[[#This Row],[qty_invoiced]],IF(T[[#This Row],[qty_invoiced]]&gt;0,"Partial Invoiced","Not Invoiced"),"Fully Invoiced")</f>
        <v>Partial Invoiced</v>
      </c>
      <c r="R985" t="str">
        <f>IFERROR(VLOOKUP(T[[#This Row],[warehouse]],Table2[],2,FALSE),"--")</f>
        <v>--</v>
      </c>
    </row>
    <row r="986" spans="1:18" x14ac:dyDescent="0.25">
      <c r="A986" t="s">
        <v>235</v>
      </c>
      <c r="B986" s="1">
        <v>43852</v>
      </c>
      <c r="C986" t="s">
        <v>926</v>
      </c>
      <c r="D986" t="s">
        <v>20</v>
      </c>
      <c r="E986" t="s">
        <v>51</v>
      </c>
      <c r="F986" t="s">
        <v>818</v>
      </c>
      <c r="G986" t="s">
        <v>927</v>
      </c>
      <c r="H986" t="s">
        <v>54</v>
      </c>
      <c r="I986">
        <v>20</v>
      </c>
      <c r="J986">
        <v>0</v>
      </c>
      <c r="K986">
        <v>1</v>
      </c>
      <c r="L986" t="s">
        <v>25</v>
      </c>
      <c r="M986" t="s">
        <v>359</v>
      </c>
      <c r="N986">
        <v>320</v>
      </c>
      <c r="O986">
        <v>0</v>
      </c>
      <c r="P986" t="str">
        <f>IF(T[[#This Row],[qty_ordered]]&lt;&gt;T[[#This Row],[qty_received]],IF(T[[#This Row],[qty_received]]&gt;0,"Partial Received","Not Receviced"),"FullyReceived")</f>
        <v>Not Receviced</v>
      </c>
      <c r="Q986" t="str">
        <f>IF(T[[#This Row],[qty_received]]&lt;&gt;T[[#This Row],[qty_invoiced]],IF(T[[#This Row],[qty_invoiced]]&gt;0,"Partial Invoiced","Not Invoiced"),"Fully Invoiced")</f>
        <v>Partial Invoiced</v>
      </c>
      <c r="R986" t="str">
        <f>IFERROR(VLOOKUP(T[[#This Row],[warehouse]],Table2[],2,FALSE),"--")</f>
        <v>--</v>
      </c>
    </row>
    <row r="987" spans="1:18" x14ac:dyDescent="0.25">
      <c r="A987" t="s">
        <v>235</v>
      </c>
      <c r="B987" s="1">
        <v>43852</v>
      </c>
      <c r="C987" t="s">
        <v>928</v>
      </c>
      <c r="D987" t="s">
        <v>20</v>
      </c>
      <c r="E987" t="s">
        <v>51</v>
      </c>
      <c r="F987" t="s">
        <v>546</v>
      </c>
      <c r="G987" t="s">
        <v>613</v>
      </c>
      <c r="H987" t="s">
        <v>54</v>
      </c>
      <c r="I987">
        <v>10100</v>
      </c>
      <c r="J987">
        <v>0</v>
      </c>
      <c r="K987">
        <v>1</v>
      </c>
      <c r="L987" t="s">
        <v>25</v>
      </c>
      <c r="M987" t="s">
        <v>359</v>
      </c>
      <c r="N987">
        <v>2.85</v>
      </c>
      <c r="O987">
        <v>0</v>
      </c>
      <c r="P987" t="str">
        <f>IF(T[[#This Row],[qty_ordered]]&lt;&gt;T[[#This Row],[qty_received]],IF(T[[#This Row],[qty_received]]&gt;0,"Partial Received","Not Receviced"),"FullyReceived")</f>
        <v>Not Receviced</v>
      </c>
      <c r="Q987" t="str">
        <f>IF(T[[#This Row],[qty_received]]&lt;&gt;T[[#This Row],[qty_invoiced]],IF(T[[#This Row],[qty_invoiced]]&gt;0,"Partial Invoiced","Not Invoiced"),"Fully Invoiced")</f>
        <v>Partial Invoiced</v>
      </c>
      <c r="R987" t="str">
        <f>IFERROR(VLOOKUP(T[[#This Row],[warehouse]],Table2[],2,FALSE),"--")</f>
        <v>--</v>
      </c>
    </row>
    <row r="988" spans="1:18" x14ac:dyDescent="0.25">
      <c r="A988" t="s">
        <v>235</v>
      </c>
      <c r="B988" s="1">
        <v>43800</v>
      </c>
      <c r="C988" t="s">
        <v>545</v>
      </c>
      <c r="D988" t="s">
        <v>88</v>
      </c>
      <c r="E988" t="s">
        <v>51</v>
      </c>
      <c r="F988" t="s">
        <v>546</v>
      </c>
      <c r="G988" t="s">
        <v>613</v>
      </c>
      <c r="H988" t="s">
        <v>54</v>
      </c>
      <c r="I988">
        <v>10000</v>
      </c>
      <c r="J988">
        <v>0</v>
      </c>
      <c r="K988">
        <v>1</v>
      </c>
      <c r="L988" t="s">
        <v>25</v>
      </c>
      <c r="M988" t="s">
        <v>359</v>
      </c>
      <c r="N988">
        <v>2.85</v>
      </c>
      <c r="O988">
        <v>0</v>
      </c>
      <c r="P988" t="str">
        <f>IF(T[[#This Row],[qty_ordered]]&lt;&gt;T[[#This Row],[qty_received]],IF(T[[#This Row],[qty_received]]&gt;0,"Partial Received","Not Receviced"),"FullyReceived")</f>
        <v>Not Receviced</v>
      </c>
      <c r="Q988" t="str">
        <f>IF(T[[#This Row],[qty_received]]&lt;&gt;T[[#This Row],[qty_invoiced]],IF(T[[#This Row],[qty_invoiced]]&gt;0,"Partial Invoiced","Not Invoiced"),"Fully Invoiced")</f>
        <v>Partial Invoiced</v>
      </c>
      <c r="R988" t="str">
        <f>IFERROR(VLOOKUP(T[[#This Row],[warehouse]],Table2[],2,FALSE),"--")</f>
        <v>--</v>
      </c>
    </row>
    <row r="989" spans="1:18" x14ac:dyDescent="0.25">
      <c r="A989" t="s">
        <v>235</v>
      </c>
      <c r="B989" s="1">
        <v>43852</v>
      </c>
      <c r="C989" t="s">
        <v>929</v>
      </c>
      <c r="D989" t="s">
        <v>20</v>
      </c>
      <c r="E989" t="s">
        <v>51</v>
      </c>
      <c r="F989" t="s">
        <v>546</v>
      </c>
      <c r="G989" t="s">
        <v>613</v>
      </c>
      <c r="H989" t="s">
        <v>54</v>
      </c>
      <c r="I989">
        <v>10000</v>
      </c>
      <c r="J989">
        <v>0</v>
      </c>
      <c r="K989">
        <v>1</v>
      </c>
      <c r="L989" t="s">
        <v>25</v>
      </c>
      <c r="M989" t="s">
        <v>359</v>
      </c>
      <c r="N989">
        <v>2.85</v>
      </c>
      <c r="O989">
        <v>0</v>
      </c>
      <c r="P989" t="str">
        <f>IF(T[[#This Row],[qty_ordered]]&lt;&gt;T[[#This Row],[qty_received]],IF(T[[#This Row],[qty_received]]&gt;0,"Partial Received","Not Receviced"),"FullyReceived")</f>
        <v>Not Receviced</v>
      </c>
      <c r="Q989" t="str">
        <f>IF(T[[#This Row],[qty_received]]&lt;&gt;T[[#This Row],[qty_invoiced]],IF(T[[#This Row],[qty_invoiced]]&gt;0,"Partial Invoiced","Not Invoiced"),"Fully Invoiced")</f>
        <v>Partial Invoiced</v>
      </c>
      <c r="R989" t="str">
        <f>IFERROR(VLOOKUP(T[[#This Row],[warehouse]],Table2[],2,FALSE),"--")</f>
        <v>--</v>
      </c>
    </row>
    <row r="990" spans="1:18" x14ac:dyDescent="0.25">
      <c r="A990" t="s">
        <v>235</v>
      </c>
      <c r="B990" s="1">
        <v>43852</v>
      </c>
      <c r="C990" t="s">
        <v>930</v>
      </c>
      <c r="D990" t="s">
        <v>20</v>
      </c>
      <c r="E990" t="s">
        <v>51</v>
      </c>
      <c r="F990" t="s">
        <v>546</v>
      </c>
      <c r="G990" t="s">
        <v>613</v>
      </c>
      <c r="H990" t="s">
        <v>54</v>
      </c>
      <c r="I990">
        <v>5100</v>
      </c>
      <c r="J990">
        <v>0</v>
      </c>
      <c r="K990">
        <v>1</v>
      </c>
      <c r="L990" t="s">
        <v>25</v>
      </c>
      <c r="M990" t="s">
        <v>533</v>
      </c>
      <c r="N990">
        <v>2.85</v>
      </c>
      <c r="O990">
        <v>0</v>
      </c>
      <c r="P990" t="str">
        <f>IF(T[[#This Row],[qty_ordered]]&lt;&gt;T[[#This Row],[qty_received]],IF(T[[#This Row],[qty_received]]&gt;0,"Partial Received","Not Receviced"),"FullyReceived")</f>
        <v>Not Receviced</v>
      </c>
      <c r="Q990" t="str">
        <f>IF(T[[#This Row],[qty_received]]&lt;&gt;T[[#This Row],[qty_invoiced]],IF(T[[#This Row],[qty_invoiced]]&gt;0,"Partial Invoiced","Not Invoiced"),"Fully Invoiced")</f>
        <v>Partial Invoiced</v>
      </c>
      <c r="R990" t="str">
        <f>IFERROR(VLOOKUP(T[[#This Row],[warehouse]],Table2[],2,FALSE),"--")</f>
        <v>--</v>
      </c>
    </row>
    <row r="991" spans="1:18" x14ac:dyDescent="0.25">
      <c r="A991" t="s">
        <v>235</v>
      </c>
      <c r="B991" s="1">
        <v>43852</v>
      </c>
      <c r="C991" t="s">
        <v>648</v>
      </c>
      <c r="D991" t="s">
        <v>20</v>
      </c>
      <c r="E991" t="s">
        <v>51</v>
      </c>
      <c r="F991" t="s">
        <v>546</v>
      </c>
      <c r="G991" t="s">
        <v>613</v>
      </c>
      <c r="H991" t="s">
        <v>54</v>
      </c>
      <c r="I991">
        <v>10000</v>
      </c>
      <c r="J991">
        <v>0</v>
      </c>
      <c r="K991">
        <v>1</v>
      </c>
      <c r="L991" t="s">
        <v>25</v>
      </c>
      <c r="M991" t="s">
        <v>359</v>
      </c>
      <c r="N991">
        <v>2.85</v>
      </c>
      <c r="O991">
        <v>0</v>
      </c>
      <c r="P991" t="str">
        <f>IF(T[[#This Row],[qty_ordered]]&lt;&gt;T[[#This Row],[qty_received]],IF(T[[#This Row],[qty_received]]&gt;0,"Partial Received","Not Receviced"),"FullyReceived")</f>
        <v>Not Receviced</v>
      </c>
      <c r="Q991" t="str">
        <f>IF(T[[#This Row],[qty_received]]&lt;&gt;T[[#This Row],[qty_invoiced]],IF(T[[#This Row],[qty_invoiced]]&gt;0,"Partial Invoiced","Not Invoiced"),"Fully Invoiced")</f>
        <v>Partial Invoiced</v>
      </c>
      <c r="R991" t="str">
        <f>IFERROR(VLOOKUP(T[[#This Row],[warehouse]],Table2[],2,FALSE),"--")</f>
        <v>--</v>
      </c>
    </row>
    <row r="992" spans="1:18" x14ac:dyDescent="0.25">
      <c r="A992" t="s">
        <v>160</v>
      </c>
      <c r="B992" s="1">
        <v>43555</v>
      </c>
      <c r="C992" t="s">
        <v>419</v>
      </c>
      <c r="D992" t="s">
        <v>71</v>
      </c>
      <c r="E992" t="s">
        <v>51</v>
      </c>
      <c r="F992" t="s">
        <v>52</v>
      </c>
      <c r="G992" t="s">
        <v>838</v>
      </c>
      <c r="H992" t="s">
        <v>54</v>
      </c>
      <c r="I992">
        <v>419.46</v>
      </c>
      <c r="J992">
        <v>0</v>
      </c>
      <c r="K992">
        <v>0</v>
      </c>
      <c r="L992" t="s">
        <v>25</v>
      </c>
      <c r="M992" t="s">
        <v>26</v>
      </c>
      <c r="N992">
        <v>-413.1</v>
      </c>
      <c r="O992">
        <v>0</v>
      </c>
      <c r="P992" t="str">
        <f>IF(T[[#This Row],[qty_ordered]]&lt;&gt;T[[#This Row],[qty_received]],IF(T[[#This Row],[qty_received]]&gt;0,"Partial Received","Not Receviced"),"FullyReceived")</f>
        <v>Not Receviced</v>
      </c>
      <c r="Q992" t="str">
        <f>IF(T[[#This Row],[qty_received]]&lt;&gt;T[[#This Row],[qty_invoiced]],IF(T[[#This Row],[qty_invoiced]]&gt;0,"Partial Invoiced","Not Invoiced"),"Fully Invoiced")</f>
        <v>Fully Invoiced</v>
      </c>
      <c r="R992" t="str">
        <f>IFERROR(VLOOKUP(T[[#This Row],[warehouse]],Table2[],2,FALSE),"--")</f>
        <v>--</v>
      </c>
    </row>
    <row r="993" spans="1:18" x14ac:dyDescent="0.25">
      <c r="A993" t="s">
        <v>160</v>
      </c>
      <c r="B993" s="1">
        <v>43555</v>
      </c>
      <c r="C993" t="s">
        <v>419</v>
      </c>
      <c r="D993" t="s">
        <v>100</v>
      </c>
      <c r="E993" t="s">
        <v>51</v>
      </c>
      <c r="F993" t="s">
        <v>52</v>
      </c>
      <c r="G993" t="s">
        <v>838</v>
      </c>
      <c r="H993" t="s">
        <v>54</v>
      </c>
      <c r="I993">
        <v>8.84</v>
      </c>
      <c r="J993">
        <v>0</v>
      </c>
      <c r="K993">
        <v>0</v>
      </c>
      <c r="L993" t="s">
        <v>25</v>
      </c>
      <c r="M993" t="s">
        <v>26</v>
      </c>
      <c r="N993">
        <v>67586.896999999997</v>
      </c>
      <c r="O993">
        <v>0</v>
      </c>
      <c r="P993" t="str">
        <f>IF(T[[#This Row],[qty_ordered]]&lt;&gt;T[[#This Row],[qty_received]],IF(T[[#This Row],[qty_received]]&gt;0,"Partial Received","Not Receviced"),"FullyReceived")</f>
        <v>Not Receviced</v>
      </c>
      <c r="Q993" t="str">
        <f>IF(T[[#This Row],[qty_received]]&lt;&gt;T[[#This Row],[qty_invoiced]],IF(T[[#This Row],[qty_invoiced]]&gt;0,"Partial Invoiced","Not Invoiced"),"Fully Invoiced")</f>
        <v>Fully Invoiced</v>
      </c>
      <c r="R993" t="str">
        <f>IFERROR(VLOOKUP(T[[#This Row],[warehouse]],Table2[],2,FALSE),"--")</f>
        <v>--</v>
      </c>
    </row>
    <row r="994" spans="1:18" x14ac:dyDescent="0.25">
      <c r="A994" t="s">
        <v>160</v>
      </c>
      <c r="B994" s="1">
        <v>43640</v>
      </c>
      <c r="C994" t="s">
        <v>763</v>
      </c>
      <c r="D994" t="s">
        <v>71</v>
      </c>
      <c r="E994" t="s">
        <v>51</v>
      </c>
      <c r="F994" t="s">
        <v>52</v>
      </c>
      <c r="G994" t="s">
        <v>838</v>
      </c>
      <c r="H994" t="s">
        <v>54</v>
      </c>
      <c r="I994">
        <v>1217</v>
      </c>
      <c r="J994">
        <v>0</v>
      </c>
      <c r="K994">
        <v>0</v>
      </c>
      <c r="L994" t="s">
        <v>25</v>
      </c>
      <c r="M994" t="s">
        <v>26</v>
      </c>
      <c r="N994">
        <v>-28783</v>
      </c>
      <c r="O994">
        <v>0</v>
      </c>
      <c r="P994" t="str">
        <f>IF(T[[#This Row],[qty_ordered]]&lt;&gt;T[[#This Row],[qty_received]],IF(T[[#This Row],[qty_received]]&gt;0,"Partial Received","Not Receviced"),"FullyReceived")</f>
        <v>Not Receviced</v>
      </c>
      <c r="Q994" t="str">
        <f>IF(T[[#This Row],[qty_received]]&lt;&gt;T[[#This Row],[qty_invoiced]],IF(T[[#This Row],[qty_invoiced]]&gt;0,"Partial Invoiced","Not Invoiced"),"Fully Invoiced")</f>
        <v>Fully Invoiced</v>
      </c>
      <c r="R994" t="str">
        <f>IFERROR(VLOOKUP(T[[#This Row],[warehouse]],Table2[],2,FALSE),"--")</f>
        <v>--</v>
      </c>
    </row>
    <row r="995" spans="1:18" x14ac:dyDescent="0.25">
      <c r="A995" t="s">
        <v>534</v>
      </c>
      <c r="B995" s="1">
        <v>43821</v>
      </c>
      <c r="C995" t="s">
        <v>824</v>
      </c>
      <c r="D995" t="s">
        <v>71</v>
      </c>
      <c r="E995" t="s">
        <v>239</v>
      </c>
      <c r="F995" t="s">
        <v>37</v>
      </c>
      <c r="G995" t="s">
        <v>38</v>
      </c>
      <c r="H995" t="s">
        <v>24</v>
      </c>
      <c r="I995">
        <v>1000</v>
      </c>
      <c r="J995">
        <v>167.73</v>
      </c>
      <c r="K995">
        <v>167.73</v>
      </c>
      <c r="L995" t="s">
        <v>25</v>
      </c>
      <c r="M995" t="s">
        <v>132</v>
      </c>
      <c r="N995">
        <v>100000</v>
      </c>
      <c r="O995">
        <v>16773000</v>
      </c>
      <c r="P995" t="str">
        <f>IF(T[[#This Row],[qty_ordered]]&lt;&gt;T[[#This Row],[qty_received]],IF(T[[#This Row],[qty_received]]&gt;0,"Partial Received","Not Receviced"),"FullyReceived")</f>
        <v>Partial Received</v>
      </c>
      <c r="Q995" t="str">
        <f>IF(T[[#This Row],[qty_received]]&lt;&gt;T[[#This Row],[qty_invoiced]],IF(T[[#This Row],[qty_invoiced]]&gt;0,"Partial Invoiced","Not Invoiced"),"Fully Invoiced")</f>
        <v>Fully Invoiced</v>
      </c>
      <c r="R995" t="str">
        <f>IFERROR(VLOOKUP(T[[#This Row],[warehouse]],Table2[],2,FALSE),"--")</f>
        <v xml:space="preserve">Gadarif Main Store </v>
      </c>
    </row>
    <row r="996" spans="1:18" x14ac:dyDescent="0.25">
      <c r="A996" t="s">
        <v>618</v>
      </c>
      <c r="B996" s="1">
        <v>43846</v>
      </c>
      <c r="C996" t="s">
        <v>889</v>
      </c>
      <c r="D996" t="s">
        <v>20</v>
      </c>
      <c r="E996" t="s">
        <v>192</v>
      </c>
      <c r="F996" t="s">
        <v>486</v>
      </c>
      <c r="G996" t="s">
        <v>487</v>
      </c>
      <c r="H996" t="s">
        <v>24</v>
      </c>
      <c r="I996">
        <v>1733.39</v>
      </c>
      <c r="J996">
        <v>1733.39</v>
      </c>
      <c r="K996">
        <v>1733.39</v>
      </c>
      <c r="L996" t="s">
        <v>25</v>
      </c>
      <c r="M996" t="s">
        <v>132</v>
      </c>
      <c r="N996">
        <v>115700</v>
      </c>
      <c r="O996">
        <v>158793119.31999999</v>
      </c>
      <c r="P996" t="str">
        <f>IF(T[[#This Row],[qty_ordered]]&lt;&gt;T[[#This Row],[qty_received]],IF(T[[#This Row],[qty_received]]&gt;0,"Partial Received","Not Receviced"),"FullyReceived")</f>
        <v>FullyReceived</v>
      </c>
      <c r="Q996" t="str">
        <f>IF(T[[#This Row],[qty_received]]&lt;&gt;T[[#This Row],[qty_invoiced]],IF(T[[#This Row],[qty_invoiced]]&gt;0,"Partial Invoiced","Not Invoiced"),"Fully Invoiced")</f>
        <v>Fully Invoiced</v>
      </c>
      <c r="R996" t="str">
        <f>IFERROR(VLOOKUP(T[[#This Row],[warehouse]],Table2[],2,FALSE),"--")</f>
        <v>BAYADER SIFTER-OMD</v>
      </c>
    </row>
    <row r="997" spans="1:18" x14ac:dyDescent="0.25">
      <c r="A997" t="s">
        <v>815</v>
      </c>
      <c r="B997" s="1">
        <v>43852</v>
      </c>
      <c r="C997" t="s">
        <v>885</v>
      </c>
      <c r="D997" t="s">
        <v>20</v>
      </c>
      <c r="E997" t="s">
        <v>146</v>
      </c>
      <c r="F997" t="s">
        <v>108</v>
      </c>
      <c r="G997" t="s">
        <v>109</v>
      </c>
      <c r="H997" t="s">
        <v>24</v>
      </c>
      <c r="I997">
        <v>1236.316</v>
      </c>
      <c r="J997">
        <v>1236.316</v>
      </c>
      <c r="K997">
        <v>1236.316</v>
      </c>
      <c r="L997" t="s">
        <v>25</v>
      </c>
      <c r="M997" t="s">
        <v>132</v>
      </c>
      <c r="N997">
        <v>93450</v>
      </c>
      <c r="O997">
        <v>115533730.2</v>
      </c>
      <c r="P997" t="str">
        <f>IF(T[[#This Row],[qty_ordered]]&lt;&gt;T[[#This Row],[qty_received]],IF(T[[#This Row],[qty_received]]&gt;0,"Partial Received","Not Receviced"),"FullyReceived")</f>
        <v>FullyReceived</v>
      </c>
      <c r="Q997" t="str">
        <f>IF(T[[#This Row],[qty_received]]&lt;&gt;T[[#This Row],[qty_invoiced]],IF(T[[#This Row],[qty_invoiced]]&gt;0,"Partial Invoiced","Not Invoiced"),"Fully Invoiced")</f>
        <v>Fully Invoiced</v>
      </c>
      <c r="R997" t="str">
        <f>IFERROR(VLOOKUP(T[[#This Row],[warehouse]],Table2[],2,FALSE),"--")</f>
        <v>Khtoum Main Warehouse</v>
      </c>
    </row>
    <row r="998" spans="1:18" x14ac:dyDescent="0.25">
      <c r="A998" t="s">
        <v>72</v>
      </c>
      <c r="B998" s="1">
        <v>43857</v>
      </c>
      <c r="C998" t="s">
        <v>656</v>
      </c>
      <c r="D998" t="s">
        <v>20</v>
      </c>
      <c r="E998" t="s">
        <v>51</v>
      </c>
      <c r="F998" t="s">
        <v>183</v>
      </c>
      <c r="G998" t="s">
        <v>931</v>
      </c>
      <c r="H998" t="s">
        <v>54</v>
      </c>
      <c r="I998">
        <v>400</v>
      </c>
      <c r="J998">
        <v>0</v>
      </c>
      <c r="K998">
        <v>1</v>
      </c>
      <c r="L998" t="s">
        <v>25</v>
      </c>
      <c r="M998" t="s">
        <v>533</v>
      </c>
      <c r="N998">
        <v>750</v>
      </c>
      <c r="O998">
        <v>0</v>
      </c>
      <c r="P998" t="str">
        <f>IF(T[[#This Row],[qty_ordered]]&lt;&gt;T[[#This Row],[qty_received]],IF(T[[#This Row],[qty_received]]&gt;0,"Partial Received","Not Receviced"),"FullyReceived")</f>
        <v>Not Receviced</v>
      </c>
      <c r="Q998" t="str">
        <f>IF(T[[#This Row],[qty_received]]&lt;&gt;T[[#This Row],[qty_invoiced]],IF(T[[#This Row],[qty_invoiced]]&gt;0,"Partial Invoiced","Not Invoiced"),"Fully Invoiced")</f>
        <v>Partial Invoiced</v>
      </c>
      <c r="R998" t="str">
        <f>IFERROR(VLOOKUP(T[[#This Row],[warehouse]],Table2[],2,FALSE),"--")</f>
        <v>--</v>
      </c>
    </row>
    <row r="999" spans="1:18" x14ac:dyDescent="0.25">
      <c r="A999" t="s">
        <v>353</v>
      </c>
      <c r="B999" s="1">
        <v>43815</v>
      </c>
      <c r="C999" t="s">
        <v>617</v>
      </c>
      <c r="D999" t="s">
        <v>100</v>
      </c>
      <c r="E999" t="s">
        <v>146</v>
      </c>
      <c r="F999" t="s">
        <v>294</v>
      </c>
      <c r="G999" t="s">
        <v>295</v>
      </c>
      <c r="H999" t="s">
        <v>149</v>
      </c>
      <c r="I999">
        <v>7000</v>
      </c>
      <c r="J999">
        <v>7000</v>
      </c>
      <c r="K999">
        <v>7000</v>
      </c>
      <c r="L999" t="s">
        <v>25</v>
      </c>
      <c r="M999" t="s">
        <v>150</v>
      </c>
      <c r="N999">
        <v>27</v>
      </c>
      <c r="O999">
        <v>189000</v>
      </c>
      <c r="P999" t="str">
        <f>IF(T[[#This Row],[qty_ordered]]&lt;&gt;T[[#This Row],[qty_received]],IF(T[[#This Row],[qty_received]]&gt;0,"Partial Received","Not Receviced"),"FullyReceived")</f>
        <v>FullyReceived</v>
      </c>
      <c r="Q999" t="str">
        <f>IF(T[[#This Row],[qty_received]]&lt;&gt;T[[#This Row],[qty_invoiced]],IF(T[[#This Row],[qty_invoiced]]&gt;0,"Partial Invoiced","Not Invoiced"),"Fully Invoiced")</f>
        <v>Fully Invoiced</v>
      </c>
      <c r="R999" t="str">
        <f>IFERROR(VLOOKUP(T[[#This Row],[warehouse]],Table2[],2,FALSE),"--")</f>
        <v>Khtoum Main Warehouse</v>
      </c>
    </row>
    <row r="1000" spans="1:18" x14ac:dyDescent="0.25">
      <c r="A1000" t="s">
        <v>560</v>
      </c>
      <c r="B1000" s="1">
        <v>43809</v>
      </c>
      <c r="C1000" t="s">
        <v>561</v>
      </c>
      <c r="D1000" t="s">
        <v>759</v>
      </c>
      <c r="E1000" t="s">
        <v>51</v>
      </c>
      <c r="F1000" t="s">
        <v>164</v>
      </c>
      <c r="G1000" t="s">
        <v>164</v>
      </c>
      <c r="H1000" t="s">
        <v>54</v>
      </c>
      <c r="I1000">
        <v>47</v>
      </c>
      <c r="J1000">
        <v>0</v>
      </c>
      <c r="K1000">
        <v>1</v>
      </c>
      <c r="L1000" t="s">
        <v>25</v>
      </c>
      <c r="M1000" t="s">
        <v>359</v>
      </c>
      <c r="N1000">
        <v>291.48939999999999</v>
      </c>
      <c r="O1000">
        <v>0</v>
      </c>
      <c r="P1000" t="str">
        <f>IF(T[[#This Row],[qty_ordered]]&lt;&gt;T[[#This Row],[qty_received]],IF(T[[#This Row],[qty_received]]&gt;0,"Partial Received","Not Receviced"),"FullyReceived")</f>
        <v>Not Receviced</v>
      </c>
      <c r="Q1000" t="str">
        <f>IF(T[[#This Row],[qty_received]]&lt;&gt;T[[#This Row],[qty_invoiced]],IF(T[[#This Row],[qty_invoiced]]&gt;0,"Partial Invoiced","Not Invoiced"),"Fully Invoiced")</f>
        <v>Partial Invoiced</v>
      </c>
      <c r="R1000" t="str">
        <f>IFERROR(VLOOKUP(T[[#This Row],[warehouse]],Table2[],2,FALSE),"--")</f>
        <v>--</v>
      </c>
    </row>
    <row r="1001" spans="1:18" x14ac:dyDescent="0.25">
      <c r="A1001" t="s">
        <v>560</v>
      </c>
      <c r="B1001" s="1">
        <v>43809</v>
      </c>
      <c r="C1001" t="s">
        <v>561</v>
      </c>
      <c r="D1001" t="s">
        <v>694</v>
      </c>
      <c r="E1001" t="s">
        <v>51</v>
      </c>
      <c r="F1001" t="s">
        <v>164</v>
      </c>
      <c r="G1001" t="s">
        <v>164</v>
      </c>
      <c r="H1001" t="s">
        <v>54</v>
      </c>
      <c r="I1001">
        <v>97</v>
      </c>
      <c r="J1001">
        <v>0</v>
      </c>
      <c r="K1001">
        <v>1</v>
      </c>
      <c r="L1001" t="s">
        <v>25</v>
      </c>
      <c r="M1001" t="s">
        <v>359</v>
      </c>
      <c r="N1001">
        <v>420</v>
      </c>
      <c r="O1001">
        <v>0</v>
      </c>
      <c r="P1001" t="str">
        <f>IF(T[[#This Row],[qty_ordered]]&lt;&gt;T[[#This Row],[qty_received]],IF(T[[#This Row],[qty_received]]&gt;0,"Partial Received","Not Receviced"),"FullyReceived")</f>
        <v>Not Receviced</v>
      </c>
      <c r="Q1001" t="str">
        <f>IF(T[[#This Row],[qty_received]]&lt;&gt;T[[#This Row],[qty_invoiced]],IF(T[[#This Row],[qty_invoiced]]&gt;0,"Partial Invoiced","Not Invoiced"),"Fully Invoiced")</f>
        <v>Partial Invoiced</v>
      </c>
      <c r="R1001" t="str">
        <f>IFERROR(VLOOKUP(T[[#This Row],[warehouse]],Table2[],2,FALSE),"--")</f>
        <v>--</v>
      </c>
    </row>
    <row r="1002" spans="1:18" x14ac:dyDescent="0.25">
      <c r="A1002" t="s">
        <v>560</v>
      </c>
      <c r="B1002" s="1">
        <v>43809</v>
      </c>
      <c r="C1002" t="s">
        <v>561</v>
      </c>
      <c r="D1002" t="s">
        <v>760</v>
      </c>
      <c r="E1002" t="s">
        <v>51</v>
      </c>
      <c r="F1002" t="s">
        <v>164</v>
      </c>
      <c r="G1002" t="s">
        <v>164</v>
      </c>
      <c r="H1002" t="s">
        <v>54</v>
      </c>
      <c r="I1002">
        <v>73</v>
      </c>
      <c r="J1002">
        <v>0</v>
      </c>
      <c r="K1002">
        <v>1</v>
      </c>
      <c r="L1002" t="s">
        <v>25</v>
      </c>
      <c r="M1002" t="s">
        <v>359</v>
      </c>
      <c r="N1002">
        <v>420</v>
      </c>
      <c r="O1002">
        <v>0</v>
      </c>
      <c r="P1002" t="str">
        <f>IF(T[[#This Row],[qty_ordered]]&lt;&gt;T[[#This Row],[qty_received]],IF(T[[#This Row],[qty_received]]&gt;0,"Partial Received","Not Receviced"),"FullyReceived")</f>
        <v>Not Receviced</v>
      </c>
      <c r="Q1002" t="str">
        <f>IF(T[[#This Row],[qty_received]]&lt;&gt;T[[#This Row],[qty_invoiced]],IF(T[[#This Row],[qty_invoiced]]&gt;0,"Partial Invoiced","Not Invoiced"),"Fully Invoiced")</f>
        <v>Partial Invoiced</v>
      </c>
      <c r="R1002" t="str">
        <f>IFERROR(VLOOKUP(T[[#This Row],[warehouse]],Table2[],2,FALSE),"--")</f>
        <v>--</v>
      </c>
    </row>
    <row r="1003" spans="1:18" x14ac:dyDescent="0.25">
      <c r="A1003" t="s">
        <v>560</v>
      </c>
      <c r="B1003" s="1">
        <v>43809</v>
      </c>
      <c r="C1003" t="s">
        <v>561</v>
      </c>
      <c r="D1003" t="s">
        <v>591</v>
      </c>
      <c r="E1003" t="s">
        <v>51</v>
      </c>
      <c r="F1003" t="s">
        <v>164</v>
      </c>
      <c r="G1003" t="s">
        <v>164</v>
      </c>
      <c r="H1003" t="s">
        <v>54</v>
      </c>
      <c r="I1003">
        <v>45</v>
      </c>
      <c r="J1003">
        <v>0</v>
      </c>
      <c r="K1003">
        <v>1</v>
      </c>
      <c r="L1003" t="s">
        <v>25</v>
      </c>
      <c r="M1003" t="s">
        <v>359</v>
      </c>
      <c r="N1003">
        <v>420</v>
      </c>
      <c r="O1003">
        <v>0</v>
      </c>
      <c r="P1003" t="str">
        <f>IF(T[[#This Row],[qty_ordered]]&lt;&gt;T[[#This Row],[qty_received]],IF(T[[#This Row],[qty_received]]&gt;0,"Partial Received","Not Receviced"),"FullyReceived")</f>
        <v>Not Receviced</v>
      </c>
      <c r="Q1003" t="str">
        <f>IF(T[[#This Row],[qty_received]]&lt;&gt;T[[#This Row],[qty_invoiced]],IF(T[[#This Row],[qty_invoiced]]&gt;0,"Partial Invoiced","Not Invoiced"),"Fully Invoiced")</f>
        <v>Partial Invoiced</v>
      </c>
      <c r="R1003" t="str">
        <f>IFERROR(VLOOKUP(T[[#This Row],[warehouse]],Table2[],2,FALSE),"--")</f>
        <v>--</v>
      </c>
    </row>
    <row r="1004" spans="1:18" x14ac:dyDescent="0.25">
      <c r="A1004" t="s">
        <v>423</v>
      </c>
      <c r="B1004" s="1">
        <v>44032</v>
      </c>
      <c r="C1004" t="s">
        <v>932</v>
      </c>
      <c r="D1004" t="s">
        <v>100</v>
      </c>
      <c r="E1004" t="s">
        <v>51</v>
      </c>
      <c r="F1004" t="s">
        <v>933</v>
      </c>
      <c r="G1004" t="s">
        <v>934</v>
      </c>
      <c r="H1004" t="s">
        <v>54</v>
      </c>
      <c r="I1004">
        <v>1</v>
      </c>
      <c r="J1004">
        <v>0</v>
      </c>
      <c r="K1004">
        <v>1</v>
      </c>
      <c r="L1004" t="s">
        <v>25</v>
      </c>
      <c r="M1004" t="s">
        <v>575</v>
      </c>
      <c r="N1004">
        <v>265800</v>
      </c>
      <c r="O1004">
        <v>0</v>
      </c>
      <c r="P1004" t="str">
        <f>IF(T[[#This Row],[qty_ordered]]&lt;&gt;T[[#This Row],[qty_received]],IF(T[[#This Row],[qty_received]]&gt;0,"Partial Received","Not Receviced"),"FullyReceived")</f>
        <v>Not Receviced</v>
      </c>
      <c r="Q1004" t="str">
        <f>IF(T[[#This Row],[qty_received]]&lt;&gt;T[[#This Row],[qty_invoiced]],IF(T[[#This Row],[qty_invoiced]]&gt;0,"Partial Invoiced","Not Invoiced"),"Fully Invoiced")</f>
        <v>Partial Invoiced</v>
      </c>
      <c r="R1004" t="str">
        <f>IFERROR(VLOOKUP(T[[#This Row],[warehouse]],Table2[],2,FALSE),"--")</f>
        <v>--</v>
      </c>
    </row>
    <row r="1005" spans="1:18" x14ac:dyDescent="0.25">
      <c r="A1005" t="s">
        <v>935</v>
      </c>
      <c r="B1005" s="1">
        <v>44038</v>
      </c>
      <c r="C1005" t="s">
        <v>936</v>
      </c>
      <c r="D1005" t="s">
        <v>71</v>
      </c>
      <c r="E1005" t="s">
        <v>51</v>
      </c>
      <c r="F1005" t="s">
        <v>278</v>
      </c>
      <c r="G1005" t="s">
        <v>279</v>
      </c>
      <c r="H1005" t="s">
        <v>54</v>
      </c>
      <c r="I1005">
        <v>210</v>
      </c>
      <c r="J1005">
        <v>0</v>
      </c>
      <c r="K1005">
        <v>1</v>
      </c>
      <c r="L1005" t="s">
        <v>25</v>
      </c>
      <c r="M1005" t="s">
        <v>533</v>
      </c>
      <c r="N1005">
        <v>1900</v>
      </c>
      <c r="O1005">
        <v>0</v>
      </c>
      <c r="P1005" t="str">
        <f>IF(T[[#This Row],[qty_ordered]]&lt;&gt;T[[#This Row],[qty_received]],IF(T[[#This Row],[qty_received]]&gt;0,"Partial Received","Not Receviced"),"FullyReceived")</f>
        <v>Not Receviced</v>
      </c>
      <c r="Q1005" t="str">
        <f>IF(T[[#This Row],[qty_received]]&lt;&gt;T[[#This Row],[qty_invoiced]],IF(T[[#This Row],[qty_invoiced]]&gt;0,"Partial Invoiced","Not Invoiced"),"Fully Invoiced")</f>
        <v>Partial Invoiced</v>
      </c>
      <c r="R1005" t="str">
        <f>IFERROR(VLOOKUP(T[[#This Row],[warehouse]],Table2[],2,FALSE),"--")</f>
        <v>--</v>
      </c>
    </row>
    <row r="1006" spans="1:18" x14ac:dyDescent="0.25">
      <c r="A1006" t="s">
        <v>735</v>
      </c>
      <c r="B1006" s="1">
        <v>44021</v>
      </c>
      <c r="C1006" t="s">
        <v>736</v>
      </c>
      <c r="D1006" t="s">
        <v>74</v>
      </c>
      <c r="E1006" t="s">
        <v>51</v>
      </c>
      <c r="F1006" t="s">
        <v>183</v>
      </c>
      <c r="G1006" t="s">
        <v>937</v>
      </c>
      <c r="H1006" t="s">
        <v>54</v>
      </c>
      <c r="I1006">
        <v>35.020000000000003</v>
      </c>
      <c r="J1006">
        <v>0</v>
      </c>
      <c r="K1006">
        <v>1</v>
      </c>
      <c r="L1006" t="s">
        <v>25</v>
      </c>
      <c r="M1006" t="s">
        <v>533</v>
      </c>
      <c r="N1006">
        <v>1250</v>
      </c>
      <c r="O1006">
        <v>0</v>
      </c>
      <c r="P1006" t="str">
        <f>IF(T[[#This Row],[qty_ordered]]&lt;&gt;T[[#This Row],[qty_received]],IF(T[[#This Row],[qty_received]]&gt;0,"Partial Received","Not Receviced"),"FullyReceived")</f>
        <v>Not Receviced</v>
      </c>
      <c r="Q1006" t="str">
        <f>IF(T[[#This Row],[qty_received]]&lt;&gt;T[[#This Row],[qty_invoiced]],IF(T[[#This Row],[qty_invoiced]]&gt;0,"Partial Invoiced","Not Invoiced"),"Fully Invoiced")</f>
        <v>Partial Invoiced</v>
      </c>
      <c r="R1006" t="str">
        <f>IFERROR(VLOOKUP(T[[#This Row],[warehouse]],Table2[],2,FALSE),"--")</f>
        <v>--</v>
      </c>
    </row>
    <row r="1007" spans="1:18" x14ac:dyDescent="0.25">
      <c r="A1007" t="s">
        <v>252</v>
      </c>
      <c r="B1007" s="1">
        <v>43808</v>
      </c>
      <c r="C1007" t="s">
        <v>556</v>
      </c>
      <c r="D1007" t="s">
        <v>88</v>
      </c>
      <c r="E1007" t="s">
        <v>51</v>
      </c>
      <c r="F1007" t="s">
        <v>183</v>
      </c>
      <c r="G1007" t="s">
        <v>938</v>
      </c>
      <c r="H1007" t="s">
        <v>54</v>
      </c>
      <c r="I1007">
        <v>224.173</v>
      </c>
      <c r="J1007">
        <v>0</v>
      </c>
      <c r="K1007">
        <v>1</v>
      </c>
      <c r="L1007" t="s">
        <v>25</v>
      </c>
      <c r="M1007" t="s">
        <v>533</v>
      </c>
      <c r="N1007">
        <v>1850</v>
      </c>
      <c r="O1007">
        <v>0</v>
      </c>
      <c r="P1007" t="str">
        <f>IF(T[[#This Row],[qty_ordered]]&lt;&gt;T[[#This Row],[qty_received]],IF(T[[#This Row],[qty_received]]&gt;0,"Partial Received","Not Receviced"),"FullyReceived")</f>
        <v>Not Receviced</v>
      </c>
      <c r="Q1007" t="str">
        <f>IF(T[[#This Row],[qty_received]]&lt;&gt;T[[#This Row],[qty_invoiced]],IF(T[[#This Row],[qty_invoiced]]&gt;0,"Partial Invoiced","Not Invoiced"),"Fully Invoiced")</f>
        <v>Partial Invoiced</v>
      </c>
      <c r="R1007" t="str">
        <f>IFERROR(VLOOKUP(T[[#This Row],[warehouse]],Table2[],2,FALSE),"--")</f>
        <v>--</v>
      </c>
    </row>
    <row r="1008" spans="1:18" x14ac:dyDescent="0.25">
      <c r="A1008" t="s">
        <v>852</v>
      </c>
      <c r="B1008" s="1">
        <v>44091</v>
      </c>
      <c r="C1008" t="s">
        <v>853</v>
      </c>
      <c r="D1008" t="s">
        <v>71</v>
      </c>
      <c r="E1008" t="s">
        <v>51</v>
      </c>
      <c r="F1008" t="s">
        <v>52</v>
      </c>
      <c r="G1008" t="s">
        <v>75</v>
      </c>
      <c r="H1008" t="s">
        <v>54</v>
      </c>
      <c r="I1008">
        <v>1</v>
      </c>
      <c r="J1008">
        <v>0</v>
      </c>
      <c r="K1008">
        <v>1</v>
      </c>
      <c r="L1008" t="s">
        <v>25</v>
      </c>
      <c r="M1008" t="s">
        <v>132</v>
      </c>
      <c r="N1008">
        <v>60000</v>
      </c>
      <c r="O1008">
        <v>0</v>
      </c>
      <c r="P1008" t="str">
        <f>IF(T[[#This Row],[qty_ordered]]&lt;&gt;T[[#This Row],[qty_received]],IF(T[[#This Row],[qty_received]]&gt;0,"Partial Received","Not Receviced"),"FullyReceived")</f>
        <v>Not Receviced</v>
      </c>
      <c r="Q1008" t="str">
        <f>IF(T[[#This Row],[qty_received]]&lt;&gt;T[[#This Row],[qty_invoiced]],IF(T[[#This Row],[qty_invoiced]]&gt;0,"Partial Invoiced","Not Invoiced"),"Fully Invoiced")</f>
        <v>Partial Invoiced</v>
      </c>
      <c r="R1008" t="str">
        <f>IFERROR(VLOOKUP(T[[#This Row],[warehouse]],Table2[],2,FALSE),"--")</f>
        <v>--</v>
      </c>
    </row>
    <row r="1009" spans="1:18" x14ac:dyDescent="0.25">
      <c r="A1009" t="s">
        <v>804</v>
      </c>
      <c r="B1009" s="1">
        <v>44132</v>
      </c>
      <c r="C1009" t="s">
        <v>939</v>
      </c>
      <c r="D1009" t="s">
        <v>20</v>
      </c>
      <c r="E1009" t="s">
        <v>51</v>
      </c>
      <c r="F1009" t="s">
        <v>806</v>
      </c>
      <c r="G1009" t="s">
        <v>806</v>
      </c>
      <c r="H1009" t="s">
        <v>54</v>
      </c>
      <c r="I1009">
        <v>620</v>
      </c>
      <c r="J1009">
        <v>0</v>
      </c>
      <c r="K1009">
        <v>1</v>
      </c>
      <c r="L1009" t="s">
        <v>25</v>
      </c>
      <c r="M1009" t="s">
        <v>132</v>
      </c>
      <c r="N1009">
        <v>1400</v>
      </c>
      <c r="O1009">
        <v>0</v>
      </c>
      <c r="P1009" t="str">
        <f>IF(T[[#This Row],[qty_ordered]]&lt;&gt;T[[#This Row],[qty_received]],IF(T[[#This Row],[qty_received]]&gt;0,"Partial Received","Not Receviced"),"FullyReceived")</f>
        <v>Not Receviced</v>
      </c>
      <c r="Q1009" t="str">
        <f>IF(T[[#This Row],[qty_received]]&lt;&gt;T[[#This Row],[qty_invoiced]],IF(T[[#This Row],[qty_invoiced]]&gt;0,"Partial Invoiced","Not Invoiced"),"Fully Invoiced")</f>
        <v>Partial Invoiced</v>
      </c>
      <c r="R1009" t="str">
        <f>IFERROR(VLOOKUP(T[[#This Row],[warehouse]],Table2[],2,FALSE),"--")</f>
        <v>--</v>
      </c>
    </row>
    <row r="1010" spans="1:18" x14ac:dyDescent="0.25">
      <c r="A1010" t="s">
        <v>423</v>
      </c>
      <c r="B1010" s="1">
        <v>44131</v>
      </c>
      <c r="C1010" t="s">
        <v>940</v>
      </c>
      <c r="D1010" t="s">
        <v>20</v>
      </c>
      <c r="E1010" t="s">
        <v>146</v>
      </c>
      <c r="F1010" t="s">
        <v>147</v>
      </c>
      <c r="G1010" t="s">
        <v>148</v>
      </c>
      <c r="H1010" t="s">
        <v>149</v>
      </c>
      <c r="I1010">
        <v>44625</v>
      </c>
      <c r="J1010">
        <v>44625</v>
      </c>
      <c r="K1010">
        <v>44625</v>
      </c>
      <c r="L1010" t="s">
        <v>25</v>
      </c>
      <c r="M1010" t="s">
        <v>575</v>
      </c>
      <c r="N1010">
        <v>66</v>
      </c>
      <c r="O1010">
        <v>2945250</v>
      </c>
      <c r="P1010" t="str">
        <f>IF(T[[#This Row],[qty_ordered]]&lt;&gt;T[[#This Row],[qty_received]],IF(T[[#This Row],[qty_received]]&gt;0,"Partial Received","Not Receviced"),"FullyReceived")</f>
        <v>FullyReceived</v>
      </c>
      <c r="Q1010" t="str">
        <f>IF(T[[#This Row],[qty_received]]&lt;&gt;T[[#This Row],[qty_invoiced]],IF(T[[#This Row],[qty_invoiced]]&gt;0,"Partial Invoiced","Not Invoiced"),"Fully Invoiced")</f>
        <v>Fully Invoiced</v>
      </c>
      <c r="R1010" t="str">
        <f>IFERROR(VLOOKUP(T[[#This Row],[warehouse]],Table2[],2,FALSE),"--")</f>
        <v>Khtoum Main Warehouse</v>
      </c>
    </row>
    <row r="1011" spans="1:18" x14ac:dyDescent="0.25">
      <c r="A1011" t="s">
        <v>423</v>
      </c>
      <c r="B1011" s="1">
        <v>44131</v>
      </c>
      <c r="C1011" t="s">
        <v>940</v>
      </c>
      <c r="D1011" t="s">
        <v>71</v>
      </c>
      <c r="E1011" t="s">
        <v>146</v>
      </c>
      <c r="F1011" t="s">
        <v>147</v>
      </c>
      <c r="G1011" t="s">
        <v>148</v>
      </c>
      <c r="H1011" t="s">
        <v>149</v>
      </c>
      <c r="I1011">
        <v>7875</v>
      </c>
      <c r="J1011">
        <v>7875</v>
      </c>
      <c r="K1011">
        <v>7875</v>
      </c>
      <c r="L1011" t="s">
        <v>25</v>
      </c>
      <c r="M1011" t="s">
        <v>575</v>
      </c>
      <c r="N1011">
        <v>77</v>
      </c>
      <c r="O1011">
        <v>519750</v>
      </c>
      <c r="P1011" t="str">
        <f>IF(T[[#This Row],[qty_ordered]]&lt;&gt;T[[#This Row],[qty_received]],IF(T[[#This Row],[qty_received]]&gt;0,"Partial Received","Not Receviced"),"FullyReceived")</f>
        <v>FullyReceived</v>
      </c>
      <c r="Q1011" t="str">
        <f>IF(T[[#This Row],[qty_received]]&lt;&gt;T[[#This Row],[qty_invoiced]],IF(T[[#This Row],[qty_invoiced]]&gt;0,"Partial Invoiced","Not Invoiced"),"Fully Invoiced")</f>
        <v>Fully Invoiced</v>
      </c>
      <c r="R1011" t="str">
        <f>IFERROR(VLOOKUP(T[[#This Row],[warehouse]],Table2[],2,FALSE),"--")</f>
        <v>Khtoum Main Warehouse</v>
      </c>
    </row>
    <row r="1012" spans="1:18" x14ac:dyDescent="0.25">
      <c r="A1012" t="s">
        <v>423</v>
      </c>
      <c r="B1012" s="1">
        <v>44131</v>
      </c>
      <c r="C1012" t="s">
        <v>940</v>
      </c>
      <c r="D1012" t="s">
        <v>100</v>
      </c>
      <c r="E1012" t="s">
        <v>146</v>
      </c>
      <c r="F1012" t="s">
        <v>147</v>
      </c>
      <c r="G1012" t="s">
        <v>148</v>
      </c>
      <c r="H1012" t="s">
        <v>149</v>
      </c>
      <c r="I1012">
        <v>9625</v>
      </c>
      <c r="J1012">
        <v>9625</v>
      </c>
      <c r="K1012">
        <v>9625</v>
      </c>
      <c r="L1012" t="s">
        <v>25</v>
      </c>
      <c r="M1012" t="s">
        <v>575</v>
      </c>
      <c r="N1012">
        <v>77</v>
      </c>
      <c r="O1012">
        <v>635250</v>
      </c>
      <c r="P1012" t="str">
        <f>IF(T[[#This Row],[qty_ordered]]&lt;&gt;T[[#This Row],[qty_received]],IF(T[[#This Row],[qty_received]]&gt;0,"Partial Received","Not Receviced"),"FullyReceived")</f>
        <v>FullyReceived</v>
      </c>
      <c r="Q1012" t="str">
        <f>IF(T[[#This Row],[qty_received]]&lt;&gt;T[[#This Row],[qty_invoiced]],IF(T[[#This Row],[qty_invoiced]]&gt;0,"Partial Invoiced","Not Invoiced"),"Fully Invoiced")</f>
        <v>Fully Invoiced</v>
      </c>
      <c r="R1012" t="str">
        <f>IFERROR(VLOOKUP(T[[#This Row],[warehouse]],Table2[],2,FALSE),"--")</f>
        <v>Khtoum Main Warehouse</v>
      </c>
    </row>
    <row r="1013" spans="1:18" x14ac:dyDescent="0.25">
      <c r="A1013" t="s">
        <v>423</v>
      </c>
      <c r="B1013" s="1">
        <v>44131</v>
      </c>
      <c r="C1013" t="s">
        <v>940</v>
      </c>
      <c r="D1013" t="s">
        <v>88</v>
      </c>
      <c r="E1013" t="s">
        <v>146</v>
      </c>
      <c r="F1013" t="s">
        <v>147</v>
      </c>
      <c r="G1013" t="s">
        <v>148</v>
      </c>
      <c r="H1013" t="s">
        <v>149</v>
      </c>
      <c r="I1013">
        <v>2468</v>
      </c>
      <c r="J1013">
        <v>2468</v>
      </c>
      <c r="K1013">
        <v>2468</v>
      </c>
      <c r="L1013" t="s">
        <v>25</v>
      </c>
      <c r="M1013" t="s">
        <v>575</v>
      </c>
      <c r="N1013">
        <v>66</v>
      </c>
      <c r="O1013">
        <v>162888</v>
      </c>
      <c r="P1013" t="str">
        <f>IF(T[[#This Row],[qty_ordered]]&lt;&gt;T[[#This Row],[qty_received]],IF(T[[#This Row],[qty_received]]&gt;0,"Partial Received","Not Receviced"),"FullyReceived")</f>
        <v>FullyReceived</v>
      </c>
      <c r="Q1013" t="str">
        <f>IF(T[[#This Row],[qty_received]]&lt;&gt;T[[#This Row],[qty_invoiced]],IF(T[[#This Row],[qty_invoiced]]&gt;0,"Partial Invoiced","Not Invoiced"),"Fully Invoiced")</f>
        <v>Fully Invoiced</v>
      </c>
      <c r="R1013" t="str">
        <f>IFERROR(VLOOKUP(T[[#This Row],[warehouse]],Table2[],2,FALSE),"--")</f>
        <v>Khtoum Main Warehouse</v>
      </c>
    </row>
    <row r="1014" spans="1:18" x14ac:dyDescent="0.25">
      <c r="A1014" t="s">
        <v>423</v>
      </c>
      <c r="B1014" s="1">
        <v>44131</v>
      </c>
      <c r="C1014" t="s">
        <v>940</v>
      </c>
      <c r="D1014" t="s">
        <v>74</v>
      </c>
      <c r="E1014" t="s">
        <v>146</v>
      </c>
      <c r="F1014" t="s">
        <v>147</v>
      </c>
      <c r="G1014" t="s">
        <v>148</v>
      </c>
      <c r="H1014" t="s">
        <v>149</v>
      </c>
      <c r="I1014">
        <v>5250</v>
      </c>
      <c r="J1014">
        <v>5250</v>
      </c>
      <c r="K1014">
        <v>5250</v>
      </c>
      <c r="L1014" t="s">
        <v>25</v>
      </c>
      <c r="M1014" t="s">
        <v>575</v>
      </c>
      <c r="N1014">
        <v>66</v>
      </c>
      <c r="O1014">
        <v>346500</v>
      </c>
      <c r="P1014" t="str">
        <f>IF(T[[#This Row],[qty_ordered]]&lt;&gt;T[[#This Row],[qty_received]],IF(T[[#This Row],[qty_received]]&gt;0,"Partial Received","Not Receviced"),"FullyReceived")</f>
        <v>FullyReceived</v>
      </c>
      <c r="Q1014" t="str">
        <f>IF(T[[#This Row],[qty_received]]&lt;&gt;T[[#This Row],[qty_invoiced]],IF(T[[#This Row],[qty_invoiced]]&gt;0,"Partial Invoiced","Not Invoiced"),"Fully Invoiced")</f>
        <v>Fully Invoiced</v>
      </c>
      <c r="R1014" t="str">
        <f>IFERROR(VLOOKUP(T[[#This Row],[warehouse]],Table2[],2,FALSE),"--")</f>
        <v>Khtoum Main Warehouse</v>
      </c>
    </row>
    <row r="1015" spans="1:18" x14ac:dyDescent="0.25">
      <c r="A1015" t="s">
        <v>423</v>
      </c>
      <c r="B1015" s="1">
        <v>44131</v>
      </c>
      <c r="C1015" t="s">
        <v>940</v>
      </c>
      <c r="D1015" t="s">
        <v>76</v>
      </c>
      <c r="E1015" t="s">
        <v>146</v>
      </c>
      <c r="F1015" t="s">
        <v>147</v>
      </c>
      <c r="G1015" t="s">
        <v>148</v>
      </c>
      <c r="H1015" t="s">
        <v>149</v>
      </c>
      <c r="I1015">
        <v>75425</v>
      </c>
      <c r="J1015">
        <v>75425</v>
      </c>
      <c r="K1015">
        <v>75425</v>
      </c>
      <c r="L1015" t="s">
        <v>25</v>
      </c>
      <c r="M1015" t="s">
        <v>575</v>
      </c>
      <c r="N1015">
        <v>77</v>
      </c>
      <c r="O1015">
        <v>4978050</v>
      </c>
      <c r="P1015" t="str">
        <f>IF(T[[#This Row],[qty_ordered]]&lt;&gt;T[[#This Row],[qty_received]],IF(T[[#This Row],[qty_received]]&gt;0,"Partial Received","Not Receviced"),"FullyReceived")</f>
        <v>FullyReceived</v>
      </c>
      <c r="Q1015" t="str">
        <f>IF(T[[#This Row],[qty_received]]&lt;&gt;T[[#This Row],[qty_invoiced]],IF(T[[#This Row],[qty_invoiced]]&gt;0,"Partial Invoiced","Not Invoiced"),"Fully Invoiced")</f>
        <v>Fully Invoiced</v>
      </c>
      <c r="R1015" t="str">
        <f>IFERROR(VLOOKUP(T[[#This Row],[warehouse]],Table2[],2,FALSE),"--")</f>
        <v>Khtoum Main Warehouse</v>
      </c>
    </row>
    <row r="1016" spans="1:18" x14ac:dyDescent="0.25">
      <c r="A1016" t="s">
        <v>812</v>
      </c>
      <c r="B1016" s="1">
        <v>44082</v>
      </c>
      <c r="C1016" t="s">
        <v>813</v>
      </c>
      <c r="D1016" t="s">
        <v>100</v>
      </c>
      <c r="E1016" t="s">
        <v>51</v>
      </c>
      <c r="F1016" t="s">
        <v>185</v>
      </c>
      <c r="G1016" t="s">
        <v>275</v>
      </c>
      <c r="H1016" t="s">
        <v>54</v>
      </c>
      <c r="I1016">
        <v>3000</v>
      </c>
      <c r="J1016">
        <v>0</v>
      </c>
      <c r="K1016">
        <v>1</v>
      </c>
      <c r="L1016" t="s">
        <v>25</v>
      </c>
      <c r="M1016" t="s">
        <v>533</v>
      </c>
      <c r="N1016">
        <v>12</v>
      </c>
      <c r="O1016">
        <v>0</v>
      </c>
      <c r="P1016" t="str">
        <f>IF(T[[#This Row],[qty_ordered]]&lt;&gt;T[[#This Row],[qty_received]],IF(T[[#This Row],[qty_received]]&gt;0,"Partial Received","Not Receviced"),"FullyReceived")</f>
        <v>Not Receviced</v>
      </c>
      <c r="Q1016" t="str">
        <f>IF(T[[#This Row],[qty_received]]&lt;&gt;T[[#This Row],[qty_invoiced]],IF(T[[#This Row],[qty_invoiced]]&gt;0,"Partial Invoiced","Not Invoiced"),"Fully Invoiced")</f>
        <v>Partial Invoiced</v>
      </c>
      <c r="R1016" t="str">
        <f>IFERROR(VLOOKUP(T[[#This Row],[warehouse]],Table2[],2,FALSE),"--")</f>
        <v>--</v>
      </c>
    </row>
    <row r="1017" spans="1:18" x14ac:dyDescent="0.25">
      <c r="A1017" t="s">
        <v>941</v>
      </c>
      <c r="B1017" s="1">
        <v>44129</v>
      </c>
      <c r="C1017" t="s">
        <v>942</v>
      </c>
      <c r="D1017" t="s">
        <v>20</v>
      </c>
      <c r="E1017" t="s">
        <v>51</v>
      </c>
      <c r="F1017" t="s">
        <v>52</v>
      </c>
      <c r="G1017" t="s">
        <v>53</v>
      </c>
      <c r="H1017" t="s">
        <v>54</v>
      </c>
      <c r="I1017">
        <v>100000</v>
      </c>
      <c r="J1017">
        <v>0</v>
      </c>
      <c r="K1017">
        <v>1</v>
      </c>
      <c r="L1017" t="s">
        <v>25</v>
      </c>
      <c r="M1017" t="s">
        <v>132</v>
      </c>
      <c r="N1017">
        <v>10.6546</v>
      </c>
      <c r="O1017">
        <v>0</v>
      </c>
      <c r="P1017" t="str">
        <f>IF(T[[#This Row],[qty_ordered]]&lt;&gt;T[[#This Row],[qty_received]],IF(T[[#This Row],[qty_received]]&gt;0,"Partial Received","Not Receviced"),"FullyReceived")</f>
        <v>Not Receviced</v>
      </c>
      <c r="Q1017" t="str">
        <f>IF(T[[#This Row],[qty_received]]&lt;&gt;T[[#This Row],[qty_invoiced]],IF(T[[#This Row],[qty_invoiced]]&gt;0,"Partial Invoiced","Not Invoiced"),"Fully Invoiced")</f>
        <v>Partial Invoiced</v>
      </c>
      <c r="R1017" t="str">
        <f>IFERROR(VLOOKUP(T[[#This Row],[warehouse]],Table2[],2,FALSE),"--")</f>
        <v>--</v>
      </c>
    </row>
    <row r="1018" spans="1:18" x14ac:dyDescent="0.25">
      <c r="A1018" t="s">
        <v>423</v>
      </c>
      <c r="B1018" s="1">
        <v>44131</v>
      </c>
      <c r="C1018" t="s">
        <v>940</v>
      </c>
      <c r="D1018" t="s">
        <v>212</v>
      </c>
      <c r="E1018" t="s">
        <v>146</v>
      </c>
      <c r="F1018" t="s">
        <v>147</v>
      </c>
      <c r="G1018" t="s">
        <v>148</v>
      </c>
      <c r="H1018" t="s">
        <v>149</v>
      </c>
      <c r="I1018">
        <v>2625</v>
      </c>
      <c r="J1018">
        <v>2625</v>
      </c>
      <c r="K1018">
        <v>2625</v>
      </c>
      <c r="L1018" t="s">
        <v>25</v>
      </c>
      <c r="M1018" t="s">
        <v>575</v>
      </c>
      <c r="N1018">
        <v>77</v>
      </c>
      <c r="O1018">
        <v>173250</v>
      </c>
      <c r="P1018" t="str">
        <f>IF(T[[#This Row],[qty_ordered]]&lt;&gt;T[[#This Row],[qty_received]],IF(T[[#This Row],[qty_received]]&gt;0,"Partial Received","Not Receviced"),"FullyReceived")</f>
        <v>FullyReceived</v>
      </c>
      <c r="Q1018" t="str">
        <f>IF(T[[#This Row],[qty_received]]&lt;&gt;T[[#This Row],[qty_invoiced]],IF(T[[#This Row],[qty_invoiced]]&gt;0,"Partial Invoiced","Not Invoiced"),"Fully Invoiced")</f>
        <v>Fully Invoiced</v>
      </c>
      <c r="R1018" t="str">
        <f>IFERROR(VLOOKUP(T[[#This Row],[warehouse]],Table2[],2,FALSE),"--")</f>
        <v>Khtoum Main Warehouse</v>
      </c>
    </row>
    <row r="1019" spans="1:18" x14ac:dyDescent="0.25">
      <c r="A1019" t="s">
        <v>423</v>
      </c>
      <c r="B1019" s="1">
        <v>44131</v>
      </c>
      <c r="C1019" t="s">
        <v>940</v>
      </c>
      <c r="D1019" t="s">
        <v>322</v>
      </c>
      <c r="E1019" t="s">
        <v>146</v>
      </c>
      <c r="F1019" t="s">
        <v>151</v>
      </c>
      <c r="G1019" t="s">
        <v>152</v>
      </c>
      <c r="H1019" t="s">
        <v>149</v>
      </c>
      <c r="I1019">
        <v>15400</v>
      </c>
      <c r="J1019">
        <v>15400</v>
      </c>
      <c r="K1019">
        <v>15400</v>
      </c>
      <c r="L1019" t="s">
        <v>25</v>
      </c>
      <c r="M1019" t="s">
        <v>575</v>
      </c>
      <c r="N1019">
        <v>77</v>
      </c>
      <c r="O1019">
        <v>1016400</v>
      </c>
      <c r="P1019" t="str">
        <f>IF(T[[#This Row],[qty_ordered]]&lt;&gt;T[[#This Row],[qty_received]],IF(T[[#This Row],[qty_received]]&gt;0,"Partial Received","Not Receviced"),"FullyReceived")</f>
        <v>FullyReceived</v>
      </c>
      <c r="Q1019" t="str">
        <f>IF(T[[#This Row],[qty_received]]&lt;&gt;T[[#This Row],[qty_invoiced]],IF(T[[#This Row],[qty_invoiced]]&gt;0,"Partial Invoiced","Not Invoiced"),"Fully Invoiced")</f>
        <v>Fully Invoiced</v>
      </c>
      <c r="R1019" t="str">
        <f>IFERROR(VLOOKUP(T[[#This Row],[warehouse]],Table2[],2,FALSE),"--")</f>
        <v>Khtoum Main Warehouse</v>
      </c>
    </row>
    <row r="1020" spans="1:18" x14ac:dyDescent="0.25">
      <c r="A1020" t="s">
        <v>423</v>
      </c>
      <c r="B1020" s="1">
        <v>44131</v>
      </c>
      <c r="C1020" t="s">
        <v>940</v>
      </c>
      <c r="D1020" t="s">
        <v>323</v>
      </c>
      <c r="E1020" t="s">
        <v>146</v>
      </c>
      <c r="F1020" t="s">
        <v>151</v>
      </c>
      <c r="G1020" t="s">
        <v>152</v>
      </c>
      <c r="H1020" t="s">
        <v>149</v>
      </c>
      <c r="I1020">
        <v>39850</v>
      </c>
      <c r="J1020">
        <v>39850</v>
      </c>
      <c r="K1020">
        <v>39850</v>
      </c>
      <c r="L1020" t="s">
        <v>25</v>
      </c>
      <c r="M1020" t="s">
        <v>575</v>
      </c>
      <c r="N1020">
        <v>66</v>
      </c>
      <c r="O1020">
        <v>2630100</v>
      </c>
      <c r="P1020" t="str">
        <f>IF(T[[#This Row],[qty_ordered]]&lt;&gt;T[[#This Row],[qty_received]],IF(T[[#This Row],[qty_received]]&gt;0,"Partial Received","Not Receviced"),"FullyReceived")</f>
        <v>FullyReceived</v>
      </c>
      <c r="Q1020" t="str">
        <f>IF(T[[#This Row],[qty_received]]&lt;&gt;T[[#This Row],[qty_invoiced]],IF(T[[#This Row],[qty_invoiced]]&gt;0,"Partial Invoiced","Not Invoiced"),"Fully Invoiced")</f>
        <v>Fully Invoiced</v>
      </c>
      <c r="R1020" t="str">
        <f>IFERROR(VLOOKUP(T[[#This Row],[warehouse]],Table2[],2,FALSE),"--")</f>
        <v>Khtoum Main Warehouse</v>
      </c>
    </row>
    <row r="1021" spans="1:18" x14ac:dyDescent="0.25">
      <c r="A1021" t="s">
        <v>423</v>
      </c>
      <c r="B1021" s="1">
        <v>44131</v>
      </c>
      <c r="C1021" t="s">
        <v>940</v>
      </c>
      <c r="D1021" t="s">
        <v>324</v>
      </c>
      <c r="E1021" t="s">
        <v>146</v>
      </c>
      <c r="F1021" t="s">
        <v>151</v>
      </c>
      <c r="G1021" t="s">
        <v>152</v>
      </c>
      <c r="H1021" t="s">
        <v>149</v>
      </c>
      <c r="I1021">
        <v>17500</v>
      </c>
      <c r="J1021">
        <v>17500</v>
      </c>
      <c r="K1021">
        <v>17500</v>
      </c>
      <c r="L1021" t="s">
        <v>25</v>
      </c>
      <c r="M1021" t="s">
        <v>575</v>
      </c>
      <c r="N1021">
        <v>77</v>
      </c>
      <c r="O1021">
        <v>1155000</v>
      </c>
      <c r="P1021" t="str">
        <f>IF(T[[#This Row],[qty_ordered]]&lt;&gt;T[[#This Row],[qty_received]],IF(T[[#This Row],[qty_received]]&gt;0,"Partial Received","Not Receviced"),"FullyReceived")</f>
        <v>FullyReceived</v>
      </c>
      <c r="Q1021" t="str">
        <f>IF(T[[#This Row],[qty_received]]&lt;&gt;T[[#This Row],[qty_invoiced]],IF(T[[#This Row],[qty_invoiced]]&gt;0,"Partial Invoiced","Not Invoiced"),"Fully Invoiced")</f>
        <v>Fully Invoiced</v>
      </c>
      <c r="R1021" t="str">
        <f>IFERROR(VLOOKUP(T[[#This Row],[warehouse]],Table2[],2,FALSE),"--")</f>
        <v>Khtoum Main Warehouse</v>
      </c>
    </row>
    <row r="1022" spans="1:18" x14ac:dyDescent="0.25">
      <c r="A1022" t="s">
        <v>423</v>
      </c>
      <c r="B1022" s="1">
        <v>44131</v>
      </c>
      <c r="C1022" t="s">
        <v>940</v>
      </c>
      <c r="D1022" t="s">
        <v>325</v>
      </c>
      <c r="E1022" t="s">
        <v>146</v>
      </c>
      <c r="F1022" t="s">
        <v>312</v>
      </c>
      <c r="G1022" t="s">
        <v>313</v>
      </c>
      <c r="H1022" t="s">
        <v>149</v>
      </c>
      <c r="I1022">
        <v>4025</v>
      </c>
      <c r="J1022">
        <v>4025</v>
      </c>
      <c r="K1022">
        <v>4025</v>
      </c>
      <c r="L1022" t="s">
        <v>25</v>
      </c>
      <c r="M1022" t="s">
        <v>575</v>
      </c>
      <c r="N1022">
        <v>75</v>
      </c>
      <c r="O1022">
        <v>301875</v>
      </c>
      <c r="P1022" t="str">
        <f>IF(T[[#This Row],[qty_ordered]]&lt;&gt;T[[#This Row],[qty_received]],IF(T[[#This Row],[qty_received]]&gt;0,"Partial Received","Not Receviced"),"FullyReceived")</f>
        <v>FullyReceived</v>
      </c>
      <c r="Q1022" t="str">
        <f>IF(T[[#This Row],[qty_received]]&lt;&gt;T[[#This Row],[qty_invoiced]],IF(T[[#This Row],[qty_invoiced]]&gt;0,"Partial Invoiced","Not Invoiced"),"Fully Invoiced")</f>
        <v>Fully Invoiced</v>
      </c>
      <c r="R1022" t="str">
        <f>IFERROR(VLOOKUP(T[[#This Row],[warehouse]],Table2[],2,FALSE),"--")</f>
        <v>Khtoum Main Warehouse</v>
      </c>
    </row>
    <row r="1023" spans="1:18" x14ac:dyDescent="0.25">
      <c r="A1023" t="s">
        <v>423</v>
      </c>
      <c r="B1023" s="1">
        <v>44131</v>
      </c>
      <c r="C1023" t="s">
        <v>940</v>
      </c>
      <c r="D1023" t="s">
        <v>451</v>
      </c>
      <c r="E1023" t="s">
        <v>146</v>
      </c>
      <c r="F1023" t="s">
        <v>943</v>
      </c>
      <c r="G1023" t="s">
        <v>944</v>
      </c>
      <c r="H1023" t="s">
        <v>149</v>
      </c>
      <c r="I1023">
        <v>22400</v>
      </c>
      <c r="J1023">
        <v>22400</v>
      </c>
      <c r="K1023">
        <v>22400</v>
      </c>
      <c r="L1023" t="s">
        <v>25</v>
      </c>
      <c r="M1023" t="s">
        <v>575</v>
      </c>
      <c r="N1023">
        <v>75</v>
      </c>
      <c r="O1023">
        <v>1680000</v>
      </c>
      <c r="P1023" t="str">
        <f>IF(T[[#This Row],[qty_ordered]]&lt;&gt;T[[#This Row],[qty_received]],IF(T[[#This Row],[qty_received]]&gt;0,"Partial Received","Not Receviced"),"FullyReceived")</f>
        <v>FullyReceived</v>
      </c>
      <c r="Q1023" t="str">
        <f>IF(T[[#This Row],[qty_received]]&lt;&gt;T[[#This Row],[qty_invoiced]],IF(T[[#This Row],[qty_invoiced]]&gt;0,"Partial Invoiced","Not Invoiced"),"Fully Invoiced")</f>
        <v>Fully Invoiced</v>
      </c>
      <c r="R1023" t="str">
        <f>IFERROR(VLOOKUP(T[[#This Row],[warehouse]],Table2[],2,FALSE),"--")</f>
        <v>Khtoum Main Warehouse</v>
      </c>
    </row>
    <row r="1024" spans="1:18" x14ac:dyDescent="0.25">
      <c r="A1024" t="s">
        <v>235</v>
      </c>
      <c r="B1024" s="1">
        <v>44132</v>
      </c>
      <c r="C1024" t="s">
        <v>945</v>
      </c>
      <c r="D1024" t="s">
        <v>20</v>
      </c>
      <c r="E1024" t="s">
        <v>51</v>
      </c>
      <c r="F1024" t="s">
        <v>546</v>
      </c>
      <c r="G1024" t="s">
        <v>946</v>
      </c>
      <c r="H1024" t="s">
        <v>54</v>
      </c>
      <c r="I1024">
        <v>4500</v>
      </c>
      <c r="J1024">
        <v>0</v>
      </c>
      <c r="K1024">
        <v>1</v>
      </c>
      <c r="L1024" t="s">
        <v>25</v>
      </c>
      <c r="M1024" t="s">
        <v>533</v>
      </c>
      <c r="N1024">
        <v>4.5</v>
      </c>
      <c r="O1024">
        <v>0</v>
      </c>
      <c r="P1024" t="str">
        <f>IF(T[[#This Row],[qty_ordered]]&lt;&gt;T[[#This Row],[qty_received]],IF(T[[#This Row],[qty_received]]&gt;0,"Partial Received","Not Receviced"),"FullyReceived")</f>
        <v>Not Receviced</v>
      </c>
      <c r="Q1024" t="str">
        <f>IF(T[[#This Row],[qty_received]]&lt;&gt;T[[#This Row],[qty_invoiced]],IF(T[[#This Row],[qty_invoiced]]&gt;0,"Partial Invoiced","Not Invoiced"),"Fully Invoiced")</f>
        <v>Partial Invoiced</v>
      </c>
      <c r="R1024" t="str">
        <f>IFERROR(VLOOKUP(T[[#This Row],[warehouse]],Table2[],2,FALSE),"--")</f>
        <v>--</v>
      </c>
    </row>
    <row r="1025" spans="1:18" x14ac:dyDescent="0.25">
      <c r="A1025" t="s">
        <v>235</v>
      </c>
      <c r="B1025" s="1">
        <v>44132</v>
      </c>
      <c r="C1025" t="s">
        <v>945</v>
      </c>
      <c r="D1025" t="s">
        <v>71</v>
      </c>
      <c r="E1025" t="s">
        <v>51</v>
      </c>
      <c r="F1025" t="s">
        <v>546</v>
      </c>
      <c r="G1025" t="s">
        <v>946</v>
      </c>
      <c r="H1025" t="s">
        <v>54</v>
      </c>
      <c r="I1025">
        <v>10000</v>
      </c>
      <c r="J1025">
        <v>0</v>
      </c>
      <c r="K1025">
        <v>1</v>
      </c>
      <c r="L1025" t="s">
        <v>25</v>
      </c>
      <c r="M1025" t="s">
        <v>533</v>
      </c>
      <c r="N1025">
        <v>4.5</v>
      </c>
      <c r="O1025">
        <v>0</v>
      </c>
      <c r="P1025" t="str">
        <f>IF(T[[#This Row],[qty_ordered]]&lt;&gt;T[[#This Row],[qty_received]],IF(T[[#This Row],[qty_received]]&gt;0,"Partial Received","Not Receviced"),"FullyReceived")</f>
        <v>Not Receviced</v>
      </c>
      <c r="Q1025" t="str">
        <f>IF(T[[#This Row],[qty_received]]&lt;&gt;T[[#This Row],[qty_invoiced]],IF(T[[#This Row],[qty_invoiced]]&gt;0,"Partial Invoiced","Not Invoiced"),"Fully Invoiced")</f>
        <v>Partial Invoiced</v>
      </c>
      <c r="R1025" t="str">
        <f>IFERROR(VLOOKUP(T[[#This Row],[warehouse]],Table2[],2,FALSE),"--")</f>
        <v>--</v>
      </c>
    </row>
    <row r="1026" spans="1:18" x14ac:dyDescent="0.25">
      <c r="A1026" t="s">
        <v>235</v>
      </c>
      <c r="B1026" s="1">
        <v>44075</v>
      </c>
      <c r="C1026" t="s">
        <v>800</v>
      </c>
      <c r="D1026" t="s">
        <v>100</v>
      </c>
      <c r="E1026" t="s">
        <v>51</v>
      </c>
      <c r="F1026" t="s">
        <v>546</v>
      </c>
      <c r="G1026" t="s">
        <v>947</v>
      </c>
      <c r="H1026" t="s">
        <v>54</v>
      </c>
      <c r="I1026">
        <v>2000</v>
      </c>
      <c r="J1026">
        <v>0</v>
      </c>
      <c r="K1026">
        <v>1</v>
      </c>
      <c r="L1026" t="s">
        <v>25</v>
      </c>
      <c r="M1026" t="s">
        <v>533</v>
      </c>
      <c r="N1026">
        <v>4.5</v>
      </c>
      <c r="O1026">
        <v>0</v>
      </c>
      <c r="P1026" t="str">
        <f>IF(T[[#This Row],[qty_ordered]]&lt;&gt;T[[#This Row],[qty_received]],IF(T[[#This Row],[qty_received]]&gt;0,"Partial Received","Not Receviced"),"FullyReceived")</f>
        <v>Not Receviced</v>
      </c>
      <c r="Q1026" t="str">
        <f>IF(T[[#This Row],[qty_received]]&lt;&gt;T[[#This Row],[qty_invoiced]],IF(T[[#This Row],[qty_invoiced]]&gt;0,"Partial Invoiced","Not Invoiced"),"Fully Invoiced")</f>
        <v>Partial Invoiced</v>
      </c>
      <c r="R1026" t="str">
        <f>IFERROR(VLOOKUP(T[[#This Row],[warehouse]],Table2[],2,FALSE),"--")</f>
        <v>--</v>
      </c>
    </row>
    <row r="1027" spans="1:18" x14ac:dyDescent="0.25">
      <c r="A1027" t="s">
        <v>235</v>
      </c>
      <c r="B1027" s="1">
        <v>44075</v>
      </c>
      <c r="C1027" t="s">
        <v>800</v>
      </c>
      <c r="D1027" t="s">
        <v>88</v>
      </c>
      <c r="E1027" t="s">
        <v>51</v>
      </c>
      <c r="F1027" t="s">
        <v>546</v>
      </c>
      <c r="G1027" t="s">
        <v>947</v>
      </c>
      <c r="H1027" t="s">
        <v>54</v>
      </c>
      <c r="I1027">
        <v>3000</v>
      </c>
      <c r="J1027">
        <v>0</v>
      </c>
      <c r="K1027">
        <v>1</v>
      </c>
      <c r="L1027" t="s">
        <v>25</v>
      </c>
      <c r="M1027" t="s">
        <v>533</v>
      </c>
      <c r="N1027">
        <v>4.5</v>
      </c>
      <c r="O1027">
        <v>0</v>
      </c>
      <c r="P1027" t="str">
        <f>IF(T[[#This Row],[qty_ordered]]&lt;&gt;T[[#This Row],[qty_received]],IF(T[[#This Row],[qty_received]]&gt;0,"Partial Received","Not Receviced"),"FullyReceived")</f>
        <v>Not Receviced</v>
      </c>
      <c r="Q1027" t="str">
        <f>IF(T[[#This Row],[qty_received]]&lt;&gt;T[[#This Row],[qty_invoiced]],IF(T[[#This Row],[qty_invoiced]]&gt;0,"Partial Invoiced","Not Invoiced"),"Fully Invoiced")</f>
        <v>Partial Invoiced</v>
      </c>
      <c r="R1027" t="str">
        <f>IFERROR(VLOOKUP(T[[#This Row],[warehouse]],Table2[],2,FALSE),"--")</f>
        <v>--</v>
      </c>
    </row>
    <row r="1028" spans="1:18" x14ac:dyDescent="0.25">
      <c r="A1028" t="s">
        <v>721</v>
      </c>
      <c r="B1028" s="1">
        <v>44054</v>
      </c>
      <c r="C1028" t="s">
        <v>722</v>
      </c>
      <c r="D1028" t="s">
        <v>74</v>
      </c>
      <c r="E1028" t="s">
        <v>723</v>
      </c>
      <c r="F1028" t="s">
        <v>219</v>
      </c>
      <c r="G1028" t="s">
        <v>724</v>
      </c>
      <c r="H1028" t="s">
        <v>221</v>
      </c>
      <c r="I1028">
        <v>18921.63</v>
      </c>
      <c r="J1028">
        <v>18921.63</v>
      </c>
      <c r="K1028">
        <v>18921.63</v>
      </c>
      <c r="L1028" t="s">
        <v>25</v>
      </c>
      <c r="M1028" t="s">
        <v>132</v>
      </c>
      <c r="N1028">
        <v>13021.051750000001</v>
      </c>
      <c r="O1028">
        <v>246379523.424353</v>
      </c>
      <c r="P1028" t="str">
        <f>IF(T[[#This Row],[qty_ordered]]&lt;&gt;T[[#This Row],[qty_received]],IF(T[[#This Row],[qty_received]]&gt;0,"Partial Received","Not Receviced"),"FullyReceived")</f>
        <v>FullyReceived</v>
      </c>
      <c r="Q1028" t="str">
        <f>IF(T[[#This Row],[qty_received]]&lt;&gt;T[[#This Row],[qty_invoiced]],IF(T[[#This Row],[qty_invoiced]]&gt;0,"Partial Invoiced","Not Invoiced"),"Fully Invoiced")</f>
        <v>Fully Invoiced</v>
      </c>
      <c r="R1028" t="str">
        <f>IFERROR(VLOOKUP(T[[#This Row],[warehouse]],Table2[],2,FALSE),"--")</f>
        <v>YELLOW BEANS</v>
      </c>
    </row>
    <row r="1029" spans="1:18" x14ac:dyDescent="0.25">
      <c r="A1029" t="s">
        <v>303</v>
      </c>
      <c r="B1029" s="1">
        <v>44109</v>
      </c>
      <c r="C1029" t="s">
        <v>948</v>
      </c>
      <c r="D1029" t="s">
        <v>100</v>
      </c>
      <c r="E1029" t="s">
        <v>66</v>
      </c>
      <c r="F1029" t="s">
        <v>949</v>
      </c>
      <c r="G1029" t="s">
        <v>950</v>
      </c>
      <c r="H1029" t="s">
        <v>531</v>
      </c>
      <c r="I1029">
        <v>4754</v>
      </c>
      <c r="J1029">
        <v>4705</v>
      </c>
      <c r="K1029">
        <v>4705</v>
      </c>
      <c r="L1029" t="s">
        <v>25</v>
      </c>
      <c r="M1029" t="s">
        <v>707</v>
      </c>
      <c r="N1029">
        <v>25000</v>
      </c>
      <c r="O1029">
        <v>117625000</v>
      </c>
      <c r="P1029" t="str">
        <f>IF(T[[#This Row],[qty_ordered]]&lt;&gt;T[[#This Row],[qty_received]],IF(T[[#This Row],[qty_received]]&gt;0,"Partial Received","Not Receviced"),"FullyReceived")</f>
        <v>Partial Received</v>
      </c>
      <c r="Q1029" t="str">
        <f>IF(T[[#This Row],[qty_received]]&lt;&gt;T[[#This Row],[qty_invoiced]],IF(T[[#This Row],[qty_invoiced]]&gt;0,"Partial Invoiced","Not Invoiced"),"Fully Invoiced")</f>
        <v>Fully Invoiced</v>
      </c>
      <c r="R1029" t="str">
        <f>IFERROR(VLOOKUP(T[[#This Row],[warehouse]],Table2[],2,FALSE),"--")</f>
        <v>PZU Main Warehouse</v>
      </c>
    </row>
    <row r="1030" spans="1:18" x14ac:dyDescent="0.25">
      <c r="A1030" t="s">
        <v>235</v>
      </c>
      <c r="B1030" s="1">
        <v>44132</v>
      </c>
      <c r="C1030" t="s">
        <v>951</v>
      </c>
      <c r="D1030" t="s">
        <v>20</v>
      </c>
      <c r="E1030" t="s">
        <v>51</v>
      </c>
      <c r="F1030" t="s">
        <v>546</v>
      </c>
      <c r="G1030" t="s">
        <v>952</v>
      </c>
      <c r="H1030" t="s">
        <v>54</v>
      </c>
      <c r="I1030">
        <v>5000</v>
      </c>
      <c r="J1030">
        <v>0</v>
      </c>
      <c r="K1030">
        <v>1</v>
      </c>
      <c r="L1030" t="s">
        <v>25</v>
      </c>
      <c r="M1030" t="s">
        <v>533</v>
      </c>
      <c r="N1030">
        <v>4.5</v>
      </c>
      <c r="O1030">
        <v>0</v>
      </c>
      <c r="P1030" t="str">
        <f>IF(T[[#This Row],[qty_ordered]]&lt;&gt;T[[#This Row],[qty_received]],IF(T[[#This Row],[qty_received]]&gt;0,"Partial Received","Not Receviced"),"FullyReceived")</f>
        <v>Not Receviced</v>
      </c>
      <c r="Q1030" t="str">
        <f>IF(T[[#This Row],[qty_received]]&lt;&gt;T[[#This Row],[qty_invoiced]],IF(T[[#This Row],[qty_invoiced]]&gt;0,"Partial Invoiced","Not Invoiced"),"Fully Invoiced")</f>
        <v>Partial Invoiced</v>
      </c>
      <c r="R1030" t="str">
        <f>IFERROR(VLOOKUP(T[[#This Row],[warehouse]],Table2[],2,FALSE),"--")</f>
        <v>--</v>
      </c>
    </row>
    <row r="1031" spans="1:18" x14ac:dyDescent="0.25">
      <c r="A1031" t="s">
        <v>235</v>
      </c>
      <c r="B1031" s="1">
        <v>44132</v>
      </c>
      <c r="C1031" t="s">
        <v>951</v>
      </c>
      <c r="D1031" t="s">
        <v>71</v>
      </c>
      <c r="E1031" t="s">
        <v>51</v>
      </c>
      <c r="F1031" t="s">
        <v>546</v>
      </c>
      <c r="G1031" t="s">
        <v>952</v>
      </c>
      <c r="H1031" t="s">
        <v>54</v>
      </c>
      <c r="I1031">
        <v>5000</v>
      </c>
      <c r="J1031">
        <v>0</v>
      </c>
      <c r="K1031">
        <v>1</v>
      </c>
      <c r="L1031" t="s">
        <v>25</v>
      </c>
      <c r="M1031" t="s">
        <v>533</v>
      </c>
      <c r="N1031">
        <v>4.5</v>
      </c>
      <c r="O1031">
        <v>0</v>
      </c>
      <c r="P1031" t="str">
        <f>IF(T[[#This Row],[qty_ordered]]&lt;&gt;T[[#This Row],[qty_received]],IF(T[[#This Row],[qty_received]]&gt;0,"Partial Received","Not Receviced"),"FullyReceived")</f>
        <v>Not Receviced</v>
      </c>
      <c r="Q1031" t="str">
        <f>IF(T[[#This Row],[qty_received]]&lt;&gt;T[[#This Row],[qty_invoiced]],IF(T[[#This Row],[qty_invoiced]]&gt;0,"Partial Invoiced","Not Invoiced"),"Fully Invoiced")</f>
        <v>Partial Invoiced</v>
      </c>
      <c r="R1031" t="str">
        <f>IFERROR(VLOOKUP(T[[#This Row],[warehouse]],Table2[],2,FALSE),"--")</f>
        <v>--</v>
      </c>
    </row>
    <row r="1032" spans="1:18" x14ac:dyDescent="0.25">
      <c r="A1032" t="s">
        <v>235</v>
      </c>
      <c r="B1032" s="1">
        <v>43852</v>
      </c>
      <c r="C1032" t="s">
        <v>930</v>
      </c>
      <c r="D1032" t="s">
        <v>71</v>
      </c>
      <c r="E1032" t="s">
        <v>51</v>
      </c>
      <c r="F1032" t="s">
        <v>546</v>
      </c>
      <c r="G1032" t="s">
        <v>953</v>
      </c>
      <c r="H1032" t="s">
        <v>54</v>
      </c>
      <c r="I1032">
        <v>5500</v>
      </c>
      <c r="J1032">
        <v>0</v>
      </c>
      <c r="K1032">
        <v>1</v>
      </c>
      <c r="L1032" t="s">
        <v>25</v>
      </c>
      <c r="M1032" t="s">
        <v>533</v>
      </c>
      <c r="N1032">
        <v>4.5</v>
      </c>
      <c r="O1032">
        <v>0</v>
      </c>
      <c r="P1032" t="str">
        <f>IF(T[[#This Row],[qty_ordered]]&lt;&gt;T[[#This Row],[qty_received]],IF(T[[#This Row],[qty_received]]&gt;0,"Partial Received","Not Receviced"),"FullyReceived")</f>
        <v>Not Receviced</v>
      </c>
      <c r="Q1032" t="str">
        <f>IF(T[[#This Row],[qty_received]]&lt;&gt;T[[#This Row],[qty_invoiced]],IF(T[[#This Row],[qty_invoiced]]&gt;0,"Partial Invoiced","Not Invoiced"),"Fully Invoiced")</f>
        <v>Partial Invoiced</v>
      </c>
      <c r="R1032" t="str">
        <f>IFERROR(VLOOKUP(T[[#This Row],[warehouse]],Table2[],2,FALSE),"--")</f>
        <v>--</v>
      </c>
    </row>
    <row r="1033" spans="1:18" x14ac:dyDescent="0.25">
      <c r="A1033" t="s">
        <v>235</v>
      </c>
      <c r="B1033" s="1">
        <v>43849</v>
      </c>
      <c r="C1033" t="s">
        <v>672</v>
      </c>
      <c r="D1033" t="s">
        <v>325</v>
      </c>
      <c r="E1033" t="s">
        <v>51</v>
      </c>
      <c r="F1033" t="s">
        <v>546</v>
      </c>
      <c r="G1033" t="s">
        <v>954</v>
      </c>
      <c r="H1033" t="s">
        <v>54</v>
      </c>
      <c r="I1033">
        <v>3000</v>
      </c>
      <c r="J1033">
        <v>0</v>
      </c>
      <c r="K1033">
        <v>1</v>
      </c>
      <c r="L1033" t="s">
        <v>25</v>
      </c>
      <c r="M1033" t="s">
        <v>533</v>
      </c>
      <c r="N1033">
        <v>4.5</v>
      </c>
      <c r="O1033">
        <v>0</v>
      </c>
      <c r="P1033" t="str">
        <f>IF(T[[#This Row],[qty_ordered]]&lt;&gt;T[[#This Row],[qty_received]],IF(T[[#This Row],[qty_received]]&gt;0,"Partial Received","Not Receviced"),"FullyReceived")</f>
        <v>Not Receviced</v>
      </c>
      <c r="Q1033" t="str">
        <f>IF(T[[#This Row],[qty_received]]&lt;&gt;T[[#This Row],[qty_invoiced]],IF(T[[#This Row],[qty_invoiced]]&gt;0,"Partial Invoiced","Not Invoiced"),"Fully Invoiced")</f>
        <v>Partial Invoiced</v>
      </c>
      <c r="R1033" t="str">
        <f>IFERROR(VLOOKUP(T[[#This Row],[warehouse]],Table2[],2,FALSE),"--")</f>
        <v>--</v>
      </c>
    </row>
    <row r="1034" spans="1:18" x14ac:dyDescent="0.25">
      <c r="A1034" t="s">
        <v>732</v>
      </c>
      <c r="B1034" s="1">
        <v>43872</v>
      </c>
      <c r="C1034" t="s">
        <v>733</v>
      </c>
      <c r="D1034" t="s">
        <v>212</v>
      </c>
      <c r="E1034" t="s">
        <v>51</v>
      </c>
      <c r="F1034" t="s">
        <v>164</v>
      </c>
      <c r="G1034" t="s">
        <v>734</v>
      </c>
      <c r="H1034" t="s">
        <v>54</v>
      </c>
      <c r="I1034">
        <v>864.98500000000001</v>
      </c>
      <c r="J1034">
        <v>0</v>
      </c>
      <c r="K1034">
        <v>1</v>
      </c>
      <c r="L1034" t="s">
        <v>25</v>
      </c>
      <c r="M1034" t="s">
        <v>533</v>
      </c>
      <c r="N1034">
        <v>30</v>
      </c>
      <c r="O1034">
        <v>0</v>
      </c>
      <c r="P1034" t="str">
        <f>IF(T[[#This Row],[qty_ordered]]&lt;&gt;T[[#This Row],[qty_received]],IF(T[[#This Row],[qty_received]]&gt;0,"Partial Received","Not Receviced"),"FullyReceived")</f>
        <v>Not Receviced</v>
      </c>
      <c r="Q1034" t="str">
        <f>IF(T[[#This Row],[qty_received]]&lt;&gt;T[[#This Row],[qty_invoiced]],IF(T[[#This Row],[qty_invoiced]]&gt;0,"Partial Invoiced","Not Invoiced"),"Fully Invoiced")</f>
        <v>Partial Invoiced</v>
      </c>
      <c r="R1034" t="str">
        <f>IFERROR(VLOOKUP(T[[#This Row],[warehouse]],Table2[],2,FALSE),"--")</f>
        <v>--</v>
      </c>
    </row>
    <row r="1035" spans="1:18" x14ac:dyDescent="0.25">
      <c r="A1035" t="s">
        <v>732</v>
      </c>
      <c r="B1035" s="1">
        <v>43872</v>
      </c>
      <c r="C1035" t="s">
        <v>733</v>
      </c>
      <c r="D1035" t="s">
        <v>322</v>
      </c>
      <c r="E1035" t="s">
        <v>51</v>
      </c>
      <c r="F1035" t="s">
        <v>164</v>
      </c>
      <c r="G1035" t="s">
        <v>734</v>
      </c>
      <c r="H1035" t="s">
        <v>54</v>
      </c>
      <c r="I1035">
        <v>728.33799999999997</v>
      </c>
      <c r="J1035">
        <v>0</v>
      </c>
      <c r="K1035">
        <v>1</v>
      </c>
      <c r="L1035" t="s">
        <v>25</v>
      </c>
      <c r="M1035" t="s">
        <v>533</v>
      </c>
      <c r="N1035">
        <v>30</v>
      </c>
      <c r="O1035">
        <v>0</v>
      </c>
      <c r="P1035" t="str">
        <f>IF(T[[#This Row],[qty_ordered]]&lt;&gt;T[[#This Row],[qty_received]],IF(T[[#This Row],[qty_received]]&gt;0,"Partial Received","Not Receviced"),"FullyReceived")</f>
        <v>Not Receviced</v>
      </c>
      <c r="Q1035" t="str">
        <f>IF(T[[#This Row],[qty_received]]&lt;&gt;T[[#This Row],[qty_invoiced]],IF(T[[#This Row],[qty_invoiced]]&gt;0,"Partial Invoiced","Not Invoiced"),"Fully Invoiced")</f>
        <v>Partial Invoiced</v>
      </c>
      <c r="R1035" t="str">
        <f>IFERROR(VLOOKUP(T[[#This Row],[warehouse]],Table2[],2,FALSE),"--")</f>
        <v>--</v>
      </c>
    </row>
    <row r="1036" spans="1:18" x14ac:dyDescent="0.25">
      <c r="A1036" t="s">
        <v>721</v>
      </c>
      <c r="B1036" s="1">
        <v>44054</v>
      </c>
      <c r="C1036" t="s">
        <v>722</v>
      </c>
      <c r="D1036" t="s">
        <v>76</v>
      </c>
      <c r="E1036" t="s">
        <v>723</v>
      </c>
      <c r="F1036" t="s">
        <v>219</v>
      </c>
      <c r="G1036" t="s">
        <v>724</v>
      </c>
      <c r="H1036" t="s">
        <v>221</v>
      </c>
      <c r="I1036">
        <v>14379.8</v>
      </c>
      <c r="J1036">
        <v>14036.35</v>
      </c>
      <c r="K1036">
        <v>14036.35</v>
      </c>
      <c r="L1036" t="s">
        <v>25</v>
      </c>
      <c r="M1036" t="s">
        <v>132</v>
      </c>
      <c r="N1036">
        <v>12987.452154000001</v>
      </c>
      <c r="O1036">
        <v>182296424.041798</v>
      </c>
      <c r="P1036" t="str">
        <f>IF(T[[#This Row],[qty_ordered]]&lt;&gt;T[[#This Row],[qty_received]],IF(T[[#This Row],[qty_received]]&gt;0,"Partial Received","Not Receviced"),"FullyReceived")</f>
        <v>Partial Received</v>
      </c>
      <c r="Q1036" t="str">
        <f>IF(T[[#This Row],[qty_received]]&lt;&gt;T[[#This Row],[qty_invoiced]],IF(T[[#This Row],[qty_invoiced]]&gt;0,"Partial Invoiced","Not Invoiced"),"Fully Invoiced")</f>
        <v>Fully Invoiced</v>
      </c>
      <c r="R1036" t="str">
        <f>IFERROR(VLOOKUP(T[[#This Row],[warehouse]],Table2[],2,FALSE),"--")</f>
        <v>YELLOW BEANS</v>
      </c>
    </row>
    <row r="1037" spans="1:18" x14ac:dyDescent="0.25">
      <c r="A1037" t="s">
        <v>955</v>
      </c>
      <c r="B1037" s="1">
        <v>44136</v>
      </c>
      <c r="C1037" t="s">
        <v>956</v>
      </c>
      <c r="D1037" t="s">
        <v>20</v>
      </c>
      <c r="E1037" t="s">
        <v>957</v>
      </c>
      <c r="F1037" t="s">
        <v>86</v>
      </c>
      <c r="G1037" t="s">
        <v>87</v>
      </c>
      <c r="H1037" t="s">
        <v>24</v>
      </c>
      <c r="I1037">
        <v>850</v>
      </c>
      <c r="J1037">
        <v>44.8</v>
      </c>
      <c r="K1037">
        <v>44.8</v>
      </c>
      <c r="L1037" t="s">
        <v>25</v>
      </c>
      <c r="M1037" t="s">
        <v>132</v>
      </c>
      <c r="N1037">
        <v>294117.64705899998</v>
      </c>
      <c r="O1037">
        <v>13176470.5882432</v>
      </c>
      <c r="P1037" t="str">
        <f>IF(T[[#This Row],[qty_ordered]]&lt;&gt;T[[#This Row],[qty_received]],IF(T[[#This Row],[qty_received]]&gt;0,"Partial Received","Not Receviced"),"FullyReceived")</f>
        <v>Partial Received</v>
      </c>
      <c r="Q1037" t="str">
        <f>IF(T[[#This Row],[qty_received]]&lt;&gt;T[[#This Row],[qty_invoiced]],IF(T[[#This Row],[qty_invoiced]]&gt;0,"Partial Invoiced","Not Invoiced"),"Fully Invoiced")</f>
        <v>Fully Invoiced</v>
      </c>
      <c r="R1037" t="str">
        <f>IFERROR(VLOOKUP(T[[#This Row],[warehouse]],Table2[],2,FALSE),"--")</f>
        <v>SEEDS SIFTING FACILITY</v>
      </c>
    </row>
    <row r="1038" spans="1:18" x14ac:dyDescent="0.25">
      <c r="A1038" t="s">
        <v>84</v>
      </c>
      <c r="B1038" s="1">
        <v>44136</v>
      </c>
      <c r="C1038" t="s">
        <v>958</v>
      </c>
      <c r="D1038" t="s">
        <v>20</v>
      </c>
      <c r="E1038" t="s">
        <v>890</v>
      </c>
      <c r="F1038" t="s">
        <v>108</v>
      </c>
      <c r="G1038" t="s">
        <v>109</v>
      </c>
      <c r="H1038" t="s">
        <v>24</v>
      </c>
      <c r="I1038">
        <v>1000</v>
      </c>
      <c r="J1038">
        <v>232.28</v>
      </c>
      <c r="K1038">
        <v>232.28</v>
      </c>
      <c r="L1038" t="s">
        <v>25</v>
      </c>
      <c r="M1038" t="s">
        <v>132</v>
      </c>
      <c r="N1038">
        <v>200250</v>
      </c>
      <c r="O1038">
        <v>46514070</v>
      </c>
      <c r="P1038" t="str">
        <f>IF(T[[#This Row],[qty_ordered]]&lt;&gt;T[[#This Row],[qty_received]],IF(T[[#This Row],[qty_received]]&gt;0,"Partial Received","Not Receviced"),"FullyReceived")</f>
        <v>Partial Received</v>
      </c>
      <c r="Q1038" t="str">
        <f>IF(T[[#This Row],[qty_received]]&lt;&gt;T[[#This Row],[qty_invoiced]],IF(T[[#This Row],[qty_invoiced]]&gt;0,"Partial Invoiced","Not Invoiced"),"Fully Invoiced")</f>
        <v>Fully Invoiced</v>
      </c>
      <c r="R1038" t="str">
        <f>IFERROR(VLOOKUP(T[[#This Row],[warehouse]],Table2[],2,FALSE),"--")</f>
        <v>GREEN CROPS SIFTING</v>
      </c>
    </row>
    <row r="1039" spans="1:18" x14ac:dyDescent="0.25">
      <c r="A1039" t="s">
        <v>959</v>
      </c>
      <c r="B1039" s="1">
        <v>44138</v>
      </c>
      <c r="C1039" t="s">
        <v>960</v>
      </c>
      <c r="D1039" t="s">
        <v>20</v>
      </c>
      <c r="E1039" t="s">
        <v>214</v>
      </c>
      <c r="F1039" t="s">
        <v>167</v>
      </c>
      <c r="G1039" t="s">
        <v>156</v>
      </c>
      <c r="H1039" t="s">
        <v>24</v>
      </c>
      <c r="I1039">
        <v>600</v>
      </c>
      <c r="J1039">
        <v>600</v>
      </c>
      <c r="K1039">
        <v>600</v>
      </c>
      <c r="L1039" t="s">
        <v>25</v>
      </c>
      <c r="M1039" t="s">
        <v>132</v>
      </c>
      <c r="N1039">
        <v>420000</v>
      </c>
      <c r="O1039">
        <v>252000000</v>
      </c>
      <c r="P1039" t="str">
        <f>IF(T[[#This Row],[qty_ordered]]&lt;&gt;T[[#This Row],[qty_received]],IF(T[[#This Row],[qty_received]]&gt;0,"Partial Received","Not Receviced"),"FullyReceived")</f>
        <v>FullyReceived</v>
      </c>
      <c r="Q1039" t="str">
        <f>IF(T[[#This Row],[qty_received]]&lt;&gt;T[[#This Row],[qty_invoiced]],IF(T[[#This Row],[qty_invoiced]]&gt;0,"Partial Invoiced","Not Invoiced"),"Fully Invoiced")</f>
        <v>Fully Invoiced</v>
      </c>
      <c r="R1039" t="str">
        <f>IFERROR(VLOOKUP(T[[#This Row],[warehouse]],Table2[],2,FALSE),"--")</f>
        <v>CRUSHER ELBALOLA</v>
      </c>
    </row>
    <row r="1040" spans="1:18" x14ac:dyDescent="0.25">
      <c r="A1040" t="s">
        <v>961</v>
      </c>
      <c r="B1040" s="1">
        <v>44129</v>
      </c>
      <c r="C1040" t="s">
        <v>962</v>
      </c>
      <c r="D1040" t="s">
        <v>20</v>
      </c>
      <c r="E1040" t="s">
        <v>51</v>
      </c>
      <c r="F1040" t="s">
        <v>52</v>
      </c>
      <c r="G1040" t="s">
        <v>963</v>
      </c>
      <c r="H1040" t="s">
        <v>54</v>
      </c>
      <c r="I1040">
        <v>588</v>
      </c>
      <c r="J1040">
        <v>0</v>
      </c>
      <c r="K1040">
        <v>1</v>
      </c>
      <c r="L1040" t="s">
        <v>25</v>
      </c>
      <c r="M1040" t="s">
        <v>132</v>
      </c>
      <c r="N1040">
        <v>68</v>
      </c>
      <c r="O1040">
        <v>0</v>
      </c>
      <c r="P1040" t="str">
        <f>IF(T[[#This Row],[qty_ordered]]&lt;&gt;T[[#This Row],[qty_received]],IF(T[[#This Row],[qty_received]]&gt;0,"Partial Received","Not Receviced"),"FullyReceived")</f>
        <v>Not Receviced</v>
      </c>
      <c r="Q1040" t="str">
        <f>IF(T[[#This Row],[qty_received]]&lt;&gt;T[[#This Row],[qty_invoiced]],IF(T[[#This Row],[qty_invoiced]]&gt;0,"Partial Invoiced","Not Invoiced"),"Fully Invoiced")</f>
        <v>Partial Invoiced</v>
      </c>
      <c r="R1040" t="str">
        <f>IFERROR(VLOOKUP(T[[#This Row],[warehouse]],Table2[],2,FALSE),"--")</f>
        <v>--</v>
      </c>
    </row>
    <row r="1041" spans="1:18" x14ac:dyDescent="0.25">
      <c r="A1041" t="s">
        <v>961</v>
      </c>
      <c r="B1041" s="1">
        <v>44129</v>
      </c>
      <c r="C1041" t="s">
        <v>962</v>
      </c>
      <c r="D1041" t="s">
        <v>71</v>
      </c>
      <c r="E1041" t="s">
        <v>51</v>
      </c>
      <c r="F1041" t="s">
        <v>52</v>
      </c>
      <c r="G1041" t="s">
        <v>53</v>
      </c>
      <c r="H1041" t="s">
        <v>54</v>
      </c>
      <c r="I1041">
        <v>336</v>
      </c>
      <c r="J1041">
        <v>0</v>
      </c>
      <c r="K1041">
        <v>1</v>
      </c>
      <c r="L1041" t="s">
        <v>25</v>
      </c>
      <c r="M1041" t="s">
        <v>132</v>
      </c>
      <c r="N1041">
        <v>390</v>
      </c>
      <c r="O1041">
        <v>0</v>
      </c>
      <c r="P1041" t="str">
        <f>IF(T[[#This Row],[qty_ordered]]&lt;&gt;T[[#This Row],[qty_received]],IF(T[[#This Row],[qty_received]]&gt;0,"Partial Received","Not Receviced"),"FullyReceived")</f>
        <v>Not Receviced</v>
      </c>
      <c r="Q1041" t="str">
        <f>IF(T[[#This Row],[qty_received]]&lt;&gt;T[[#This Row],[qty_invoiced]],IF(T[[#This Row],[qty_invoiced]]&gt;0,"Partial Invoiced","Not Invoiced"),"Fully Invoiced")</f>
        <v>Partial Invoiced</v>
      </c>
      <c r="R1041" t="str">
        <f>IFERROR(VLOOKUP(T[[#This Row],[warehouse]],Table2[],2,FALSE),"--")</f>
        <v>--</v>
      </c>
    </row>
    <row r="1042" spans="1:18" x14ac:dyDescent="0.25">
      <c r="A1042" t="s">
        <v>961</v>
      </c>
      <c r="B1042" s="1">
        <v>44129</v>
      </c>
      <c r="C1042" t="s">
        <v>962</v>
      </c>
      <c r="D1042" t="s">
        <v>100</v>
      </c>
      <c r="E1042" t="s">
        <v>51</v>
      </c>
      <c r="F1042" t="s">
        <v>52</v>
      </c>
      <c r="G1042" t="s">
        <v>964</v>
      </c>
      <c r="H1042" t="s">
        <v>54</v>
      </c>
      <c r="I1042">
        <v>1450</v>
      </c>
      <c r="J1042">
        <v>0</v>
      </c>
      <c r="K1042">
        <v>1</v>
      </c>
      <c r="L1042" t="s">
        <v>25</v>
      </c>
      <c r="M1042" t="s">
        <v>132</v>
      </c>
      <c r="N1042">
        <v>390</v>
      </c>
      <c r="O1042">
        <v>0</v>
      </c>
      <c r="P1042" t="str">
        <f>IF(T[[#This Row],[qty_ordered]]&lt;&gt;T[[#This Row],[qty_received]],IF(T[[#This Row],[qty_received]]&gt;0,"Partial Received","Not Receviced"),"FullyReceived")</f>
        <v>Not Receviced</v>
      </c>
      <c r="Q1042" t="str">
        <f>IF(T[[#This Row],[qty_received]]&lt;&gt;T[[#This Row],[qty_invoiced]],IF(T[[#This Row],[qty_invoiced]]&gt;0,"Partial Invoiced","Not Invoiced"),"Fully Invoiced")</f>
        <v>Partial Invoiced</v>
      </c>
      <c r="R1042" t="str">
        <f>IFERROR(VLOOKUP(T[[#This Row],[warehouse]],Table2[],2,FALSE),"--")</f>
        <v>--</v>
      </c>
    </row>
    <row r="1043" spans="1:18" x14ac:dyDescent="0.25">
      <c r="A1043" t="s">
        <v>242</v>
      </c>
      <c r="B1043" s="1">
        <v>44102</v>
      </c>
      <c r="C1043" t="s">
        <v>903</v>
      </c>
      <c r="D1043" t="s">
        <v>100</v>
      </c>
      <c r="E1043" t="s">
        <v>405</v>
      </c>
      <c r="F1043" t="s">
        <v>244</v>
      </c>
      <c r="G1043" t="s">
        <v>245</v>
      </c>
      <c r="H1043" t="s">
        <v>24</v>
      </c>
      <c r="I1043">
        <v>250</v>
      </c>
      <c r="J1043">
        <v>0</v>
      </c>
      <c r="K1043">
        <v>0</v>
      </c>
      <c r="L1043" t="s">
        <v>25</v>
      </c>
      <c r="M1043" t="s">
        <v>707</v>
      </c>
      <c r="N1043">
        <v>254100</v>
      </c>
      <c r="O1043">
        <v>0</v>
      </c>
      <c r="P1043" t="str">
        <f>IF(T[[#This Row],[qty_ordered]]&lt;&gt;T[[#This Row],[qty_received]],IF(T[[#This Row],[qty_received]]&gt;0,"Partial Received","Not Receviced"),"FullyReceived")</f>
        <v>Not Receviced</v>
      </c>
      <c r="Q1043" t="str">
        <f>IF(T[[#This Row],[qty_received]]&lt;&gt;T[[#This Row],[qty_invoiced]],IF(T[[#This Row],[qty_invoiced]]&gt;0,"Partial Invoiced","Not Invoiced"),"Fully Invoiced")</f>
        <v>Fully Invoiced</v>
      </c>
      <c r="R1043" t="str">
        <f>IFERROR(VLOOKUP(T[[#This Row],[warehouse]],Table2[],2,FALSE),"--")</f>
        <v>GINNING ISHRAG-MDNI</v>
      </c>
    </row>
    <row r="1044" spans="1:18" x14ac:dyDescent="0.25">
      <c r="A1044" t="s">
        <v>618</v>
      </c>
      <c r="B1044" s="1">
        <v>44115</v>
      </c>
      <c r="C1044" t="s">
        <v>965</v>
      </c>
      <c r="D1044" t="s">
        <v>71</v>
      </c>
      <c r="E1044" t="s">
        <v>146</v>
      </c>
      <c r="F1044" t="s">
        <v>86</v>
      </c>
      <c r="G1044" t="s">
        <v>87</v>
      </c>
      <c r="H1044" t="s">
        <v>24</v>
      </c>
      <c r="I1044">
        <v>2520.35</v>
      </c>
      <c r="J1044">
        <v>2118.4699999999998</v>
      </c>
      <c r="K1044">
        <v>2118.4699999999998</v>
      </c>
      <c r="L1044" t="s">
        <v>25</v>
      </c>
      <c r="M1044" t="s">
        <v>132</v>
      </c>
      <c r="N1044">
        <v>266995.96169999999</v>
      </c>
      <c r="O1044">
        <v>565622934.98259902</v>
      </c>
      <c r="P1044" t="str">
        <f>IF(T[[#This Row],[qty_ordered]]&lt;&gt;T[[#This Row],[qty_received]],IF(T[[#This Row],[qty_received]]&gt;0,"Partial Received","Not Receviced"),"FullyReceived")</f>
        <v>Partial Received</v>
      </c>
      <c r="Q1044" t="str">
        <f>IF(T[[#This Row],[qty_received]]&lt;&gt;T[[#This Row],[qty_invoiced]],IF(T[[#This Row],[qty_invoiced]]&gt;0,"Partial Invoiced","Not Invoiced"),"Fully Invoiced")</f>
        <v>Fully Invoiced</v>
      </c>
      <c r="R1044" t="str">
        <f>IFERROR(VLOOKUP(T[[#This Row],[warehouse]],Table2[],2,FALSE),"--")</f>
        <v>Khtoum Main Warehouse</v>
      </c>
    </row>
    <row r="1045" spans="1:18" x14ac:dyDescent="0.25">
      <c r="A1045" t="s">
        <v>739</v>
      </c>
      <c r="B1045" s="1">
        <v>44140</v>
      </c>
      <c r="C1045" t="s">
        <v>966</v>
      </c>
      <c r="D1045" t="s">
        <v>20</v>
      </c>
      <c r="E1045" t="s">
        <v>660</v>
      </c>
      <c r="F1045" t="s">
        <v>705</v>
      </c>
      <c r="G1045" t="s">
        <v>706</v>
      </c>
      <c r="H1045" t="s">
        <v>663</v>
      </c>
      <c r="I1045">
        <v>2078.8000000000002</v>
      </c>
      <c r="J1045">
        <v>2078.8000000000002</v>
      </c>
      <c r="K1045">
        <v>2078.8000000000002</v>
      </c>
      <c r="L1045" t="s">
        <v>25</v>
      </c>
      <c r="M1045" t="s">
        <v>132</v>
      </c>
      <c r="N1045">
        <v>800</v>
      </c>
      <c r="O1045">
        <v>1663040</v>
      </c>
      <c r="P1045" t="str">
        <f>IF(T[[#This Row],[qty_ordered]]&lt;&gt;T[[#This Row],[qty_received]],IF(T[[#This Row],[qty_received]]&gt;0,"Partial Received","Not Receviced"),"FullyReceived")</f>
        <v>FullyReceived</v>
      </c>
      <c r="Q1045" t="str">
        <f>IF(T[[#This Row],[qty_received]]&lt;&gt;T[[#This Row],[qty_invoiced]],IF(T[[#This Row],[qty_invoiced]]&gt;0,"Partial Invoiced","Not Invoiced"),"Fully Invoiced")</f>
        <v>Fully Invoiced</v>
      </c>
      <c r="R1045" t="str">
        <f>IFERROR(VLOOKUP(T[[#This Row],[warehouse]],Table2[],2,FALSE),"--")</f>
        <v>SLAUGHTER HOUSE</v>
      </c>
    </row>
    <row r="1046" spans="1:18" x14ac:dyDescent="0.25">
      <c r="A1046" t="s">
        <v>658</v>
      </c>
      <c r="B1046" s="1">
        <v>44140</v>
      </c>
      <c r="C1046" t="s">
        <v>967</v>
      </c>
      <c r="D1046" t="s">
        <v>20</v>
      </c>
      <c r="E1046" t="s">
        <v>660</v>
      </c>
      <c r="F1046" t="s">
        <v>661</v>
      </c>
      <c r="G1046" t="s">
        <v>662</v>
      </c>
      <c r="H1046" t="s">
        <v>663</v>
      </c>
      <c r="I1046">
        <v>2058.1999999999998</v>
      </c>
      <c r="J1046">
        <v>2058.1999999999998</v>
      </c>
      <c r="K1046">
        <v>2058</v>
      </c>
      <c r="L1046" t="s">
        <v>25</v>
      </c>
      <c r="M1046" t="s">
        <v>132</v>
      </c>
      <c r="N1046">
        <v>640</v>
      </c>
      <c r="O1046">
        <v>1317248</v>
      </c>
      <c r="P1046" t="str">
        <f>IF(T[[#This Row],[qty_ordered]]&lt;&gt;T[[#This Row],[qty_received]],IF(T[[#This Row],[qty_received]]&gt;0,"Partial Received","Not Receviced"),"FullyReceived")</f>
        <v>FullyReceived</v>
      </c>
      <c r="Q1046" t="str">
        <f>IF(T[[#This Row],[qty_received]]&lt;&gt;T[[#This Row],[qty_invoiced]],IF(T[[#This Row],[qty_invoiced]]&gt;0,"Partial Invoiced","Not Invoiced"),"Fully Invoiced")</f>
        <v>Partial Invoiced</v>
      </c>
      <c r="R1046" t="str">
        <f>IFERROR(VLOOKUP(T[[#This Row],[warehouse]],Table2[],2,FALSE),"--")</f>
        <v>SLAUGHTER HOUSE</v>
      </c>
    </row>
    <row r="1047" spans="1:18" x14ac:dyDescent="0.25">
      <c r="A1047" t="s">
        <v>144</v>
      </c>
      <c r="B1047" s="1">
        <v>44143</v>
      </c>
      <c r="C1047" t="s">
        <v>968</v>
      </c>
      <c r="D1047" t="s">
        <v>20</v>
      </c>
      <c r="E1047" t="s">
        <v>146</v>
      </c>
      <c r="F1047" t="s">
        <v>147</v>
      </c>
      <c r="G1047" t="s">
        <v>148</v>
      </c>
      <c r="H1047" t="s">
        <v>149</v>
      </c>
      <c r="I1047">
        <v>258000</v>
      </c>
      <c r="J1047">
        <v>258000</v>
      </c>
      <c r="K1047">
        <v>258000</v>
      </c>
      <c r="L1047" t="s">
        <v>25</v>
      </c>
      <c r="M1047" t="s">
        <v>575</v>
      </c>
      <c r="N1047">
        <v>3273.6</v>
      </c>
      <c r="O1047">
        <v>5481726</v>
      </c>
      <c r="P1047" t="str">
        <f>IF(T[[#This Row],[qty_ordered]]&lt;&gt;T[[#This Row],[qty_received]],IF(T[[#This Row],[qty_received]]&gt;0,"Partial Received","Not Receviced"),"FullyReceived")</f>
        <v>FullyReceived</v>
      </c>
      <c r="Q1047" t="str">
        <f>IF(T[[#This Row],[qty_received]]&lt;&gt;T[[#This Row],[qty_invoiced]],IF(T[[#This Row],[qty_invoiced]]&gt;0,"Partial Invoiced","Not Invoiced"),"Fully Invoiced")</f>
        <v>Fully Invoiced</v>
      </c>
      <c r="R1047" t="str">
        <f>IFERROR(VLOOKUP(T[[#This Row],[warehouse]],Table2[],2,FALSE),"--")</f>
        <v>Khtoum Main Warehouse</v>
      </c>
    </row>
    <row r="1048" spans="1:18" x14ac:dyDescent="0.25">
      <c r="A1048" t="s">
        <v>144</v>
      </c>
      <c r="B1048" s="1">
        <v>44143</v>
      </c>
      <c r="C1048" t="s">
        <v>968</v>
      </c>
      <c r="D1048" t="s">
        <v>71</v>
      </c>
      <c r="E1048" t="s">
        <v>146</v>
      </c>
      <c r="F1048" t="s">
        <v>151</v>
      </c>
      <c r="G1048" t="s">
        <v>152</v>
      </c>
      <c r="H1048" t="s">
        <v>149</v>
      </c>
      <c r="I1048">
        <v>120000</v>
      </c>
      <c r="J1048">
        <v>84900</v>
      </c>
      <c r="K1048">
        <v>84900</v>
      </c>
      <c r="L1048" t="s">
        <v>25</v>
      </c>
      <c r="M1048" t="s">
        <v>575</v>
      </c>
      <c r="N1048">
        <v>22.32</v>
      </c>
      <c r="O1048">
        <v>1810524</v>
      </c>
      <c r="P1048" t="str">
        <f>IF(T[[#This Row],[qty_ordered]]&lt;&gt;T[[#This Row],[qty_received]],IF(T[[#This Row],[qty_received]]&gt;0,"Partial Received","Not Receviced"),"FullyReceived")</f>
        <v>Partial Received</v>
      </c>
      <c r="Q1048" t="str">
        <f>IF(T[[#This Row],[qty_received]]&lt;&gt;T[[#This Row],[qty_invoiced]],IF(T[[#This Row],[qty_invoiced]]&gt;0,"Partial Invoiced","Not Invoiced"),"Fully Invoiced")</f>
        <v>Fully Invoiced</v>
      </c>
      <c r="R1048" t="str">
        <f>IFERROR(VLOOKUP(T[[#This Row],[warehouse]],Table2[],2,FALSE),"--")</f>
        <v>Khtoum Main Warehouse</v>
      </c>
    </row>
    <row r="1049" spans="1:18" x14ac:dyDescent="0.25">
      <c r="A1049" t="s">
        <v>242</v>
      </c>
      <c r="B1049" s="1">
        <v>44143</v>
      </c>
      <c r="C1049" t="s">
        <v>969</v>
      </c>
      <c r="D1049" t="s">
        <v>20</v>
      </c>
      <c r="E1049" t="s">
        <v>66</v>
      </c>
      <c r="F1049" t="s">
        <v>244</v>
      </c>
      <c r="G1049" t="s">
        <v>245</v>
      </c>
      <c r="H1049" t="s">
        <v>24</v>
      </c>
      <c r="I1049">
        <v>400</v>
      </c>
      <c r="J1049">
        <v>348.62</v>
      </c>
      <c r="K1049">
        <v>348.62</v>
      </c>
      <c r="L1049" t="s">
        <v>25</v>
      </c>
      <c r="M1049" t="s">
        <v>132</v>
      </c>
      <c r="N1049">
        <v>270000</v>
      </c>
      <c r="O1049">
        <v>94127400</v>
      </c>
      <c r="P1049" t="str">
        <f>IF(T[[#This Row],[qty_ordered]]&lt;&gt;T[[#This Row],[qty_received]],IF(T[[#This Row],[qty_received]]&gt;0,"Partial Received","Not Receviced"),"FullyReceived")</f>
        <v>Partial Received</v>
      </c>
      <c r="Q1049" t="str">
        <f>IF(T[[#This Row],[qty_received]]&lt;&gt;T[[#This Row],[qty_invoiced]],IF(T[[#This Row],[qty_invoiced]]&gt;0,"Partial Invoiced","Not Invoiced"),"Fully Invoiced")</f>
        <v>Fully Invoiced</v>
      </c>
      <c r="R1049" t="str">
        <f>IFERROR(VLOOKUP(T[[#This Row],[warehouse]],Table2[],2,FALSE),"--")</f>
        <v>PZU Main Warehouse</v>
      </c>
    </row>
    <row r="1050" spans="1:18" x14ac:dyDescent="0.25">
      <c r="A1050" t="s">
        <v>970</v>
      </c>
      <c r="B1050" s="1">
        <v>44144</v>
      </c>
      <c r="C1050" t="s">
        <v>971</v>
      </c>
      <c r="D1050" t="s">
        <v>20</v>
      </c>
      <c r="E1050" t="s">
        <v>146</v>
      </c>
      <c r="F1050" t="s">
        <v>86</v>
      </c>
      <c r="G1050" t="s">
        <v>87</v>
      </c>
      <c r="H1050" t="s">
        <v>24</v>
      </c>
      <c r="I1050">
        <v>285.07499999999999</v>
      </c>
      <c r="J1050">
        <v>285.07499999999999</v>
      </c>
      <c r="K1050">
        <v>285.07499999999999</v>
      </c>
      <c r="L1050" t="s">
        <v>25</v>
      </c>
      <c r="M1050" t="s">
        <v>707</v>
      </c>
      <c r="N1050">
        <v>300000</v>
      </c>
      <c r="O1050">
        <v>85522500</v>
      </c>
      <c r="P1050" t="str">
        <f>IF(T[[#This Row],[qty_ordered]]&lt;&gt;T[[#This Row],[qty_received]],IF(T[[#This Row],[qty_received]]&gt;0,"Partial Received","Not Receviced"),"FullyReceived")</f>
        <v>FullyReceived</v>
      </c>
      <c r="Q1050" t="str">
        <f>IF(T[[#This Row],[qty_received]]&lt;&gt;T[[#This Row],[qty_invoiced]],IF(T[[#This Row],[qty_invoiced]]&gt;0,"Partial Invoiced","Not Invoiced"),"Fully Invoiced")</f>
        <v>Fully Invoiced</v>
      </c>
      <c r="R1050" t="str">
        <f>IFERROR(VLOOKUP(T[[#This Row],[warehouse]],Table2[],2,FALSE),"--")</f>
        <v>Khtoum Main Warehouse</v>
      </c>
    </row>
    <row r="1051" spans="1:18" x14ac:dyDescent="0.25">
      <c r="A1051" t="s">
        <v>727</v>
      </c>
      <c r="B1051" s="1">
        <v>44053</v>
      </c>
      <c r="C1051" t="s">
        <v>728</v>
      </c>
      <c r="D1051" t="s">
        <v>325</v>
      </c>
      <c r="E1051" t="s">
        <v>723</v>
      </c>
      <c r="F1051" t="s">
        <v>219</v>
      </c>
      <c r="G1051" t="s">
        <v>724</v>
      </c>
      <c r="H1051" t="s">
        <v>221</v>
      </c>
      <c r="I1051">
        <v>19847.36</v>
      </c>
      <c r="J1051">
        <v>19847.36</v>
      </c>
      <c r="K1051">
        <v>19847.36</v>
      </c>
      <c r="L1051" t="s">
        <v>25</v>
      </c>
      <c r="M1051" t="s">
        <v>132</v>
      </c>
      <c r="N1051">
        <v>14006.263000000001</v>
      </c>
      <c r="O1051">
        <v>277987344.01568002</v>
      </c>
      <c r="P1051" t="str">
        <f>IF(T[[#This Row],[qty_ordered]]&lt;&gt;T[[#This Row],[qty_received]],IF(T[[#This Row],[qty_received]]&gt;0,"Partial Received","Not Receviced"),"FullyReceived")</f>
        <v>FullyReceived</v>
      </c>
      <c r="Q1051" t="str">
        <f>IF(T[[#This Row],[qty_received]]&lt;&gt;T[[#This Row],[qty_invoiced]],IF(T[[#This Row],[qty_invoiced]]&gt;0,"Partial Invoiced","Not Invoiced"),"Fully Invoiced")</f>
        <v>Fully Invoiced</v>
      </c>
      <c r="R1051" t="str">
        <f>IFERROR(VLOOKUP(T[[#This Row],[warehouse]],Table2[],2,FALSE),"--")</f>
        <v>YELLOW BEANS</v>
      </c>
    </row>
    <row r="1052" spans="1:18" x14ac:dyDescent="0.25">
      <c r="A1052" t="s">
        <v>260</v>
      </c>
      <c r="B1052" s="1">
        <v>43832</v>
      </c>
      <c r="C1052" t="s">
        <v>882</v>
      </c>
      <c r="D1052" t="s">
        <v>74</v>
      </c>
      <c r="E1052" t="s">
        <v>51</v>
      </c>
      <c r="F1052" t="s">
        <v>266</v>
      </c>
      <c r="G1052" t="s">
        <v>266</v>
      </c>
      <c r="H1052" t="s">
        <v>54</v>
      </c>
      <c r="I1052">
        <v>140000</v>
      </c>
      <c r="J1052">
        <v>0</v>
      </c>
      <c r="K1052">
        <v>1</v>
      </c>
      <c r="L1052" t="s">
        <v>25</v>
      </c>
      <c r="M1052" t="s">
        <v>533</v>
      </c>
      <c r="N1052">
        <v>15.4</v>
      </c>
      <c r="O1052">
        <v>0</v>
      </c>
      <c r="P1052" t="str">
        <f>IF(T[[#This Row],[qty_ordered]]&lt;&gt;T[[#This Row],[qty_received]],IF(T[[#This Row],[qty_received]]&gt;0,"Partial Received","Not Receviced"),"FullyReceived")</f>
        <v>Not Receviced</v>
      </c>
      <c r="Q1052" t="str">
        <f>IF(T[[#This Row],[qty_received]]&lt;&gt;T[[#This Row],[qty_invoiced]],IF(T[[#This Row],[qty_invoiced]]&gt;0,"Partial Invoiced","Not Invoiced"),"Fully Invoiced")</f>
        <v>Partial Invoiced</v>
      </c>
      <c r="R1052" t="str">
        <f>IFERROR(VLOOKUP(T[[#This Row],[warehouse]],Table2[],2,FALSE),"--")</f>
        <v>--</v>
      </c>
    </row>
    <row r="1053" spans="1:18" x14ac:dyDescent="0.25">
      <c r="A1053" t="s">
        <v>260</v>
      </c>
      <c r="B1053" s="1">
        <v>43832</v>
      </c>
      <c r="C1053" t="s">
        <v>882</v>
      </c>
      <c r="D1053" t="s">
        <v>76</v>
      </c>
      <c r="E1053" t="s">
        <v>51</v>
      </c>
      <c r="F1053" t="s">
        <v>262</v>
      </c>
      <c r="G1053" t="s">
        <v>262</v>
      </c>
      <c r="H1053" t="s">
        <v>54</v>
      </c>
      <c r="I1053">
        <v>140000</v>
      </c>
      <c r="J1053">
        <v>0</v>
      </c>
      <c r="K1053">
        <v>1</v>
      </c>
      <c r="L1053" t="s">
        <v>25</v>
      </c>
      <c r="M1053" t="s">
        <v>533</v>
      </c>
      <c r="N1053">
        <v>10</v>
      </c>
      <c r="O1053">
        <v>0</v>
      </c>
      <c r="P1053" t="str">
        <f>IF(T[[#This Row],[qty_ordered]]&lt;&gt;T[[#This Row],[qty_received]],IF(T[[#This Row],[qty_received]]&gt;0,"Partial Received","Not Receviced"),"FullyReceived")</f>
        <v>Not Receviced</v>
      </c>
      <c r="Q1053" t="str">
        <f>IF(T[[#This Row],[qty_received]]&lt;&gt;T[[#This Row],[qty_invoiced]],IF(T[[#This Row],[qty_invoiced]]&gt;0,"Partial Invoiced","Not Invoiced"),"Fully Invoiced")</f>
        <v>Partial Invoiced</v>
      </c>
      <c r="R1053" t="str">
        <f>IFERROR(VLOOKUP(T[[#This Row],[warehouse]],Table2[],2,FALSE),"--")</f>
        <v>--</v>
      </c>
    </row>
    <row r="1054" spans="1:18" x14ac:dyDescent="0.25">
      <c r="A1054" t="s">
        <v>260</v>
      </c>
      <c r="B1054" s="1">
        <v>43832</v>
      </c>
      <c r="C1054" t="s">
        <v>882</v>
      </c>
      <c r="D1054" t="s">
        <v>212</v>
      </c>
      <c r="E1054" t="s">
        <v>51</v>
      </c>
      <c r="F1054" t="s">
        <v>183</v>
      </c>
      <c r="G1054" t="s">
        <v>183</v>
      </c>
      <c r="H1054" t="s">
        <v>54</v>
      </c>
      <c r="I1054">
        <v>12400</v>
      </c>
      <c r="J1054">
        <v>0</v>
      </c>
      <c r="K1054">
        <v>1</v>
      </c>
      <c r="L1054" t="s">
        <v>25</v>
      </c>
      <c r="M1054" t="s">
        <v>533</v>
      </c>
      <c r="N1054">
        <v>60</v>
      </c>
      <c r="O1054">
        <v>0</v>
      </c>
      <c r="P1054" t="str">
        <f>IF(T[[#This Row],[qty_ordered]]&lt;&gt;T[[#This Row],[qty_received]],IF(T[[#This Row],[qty_received]]&gt;0,"Partial Received","Not Receviced"),"FullyReceived")</f>
        <v>Not Receviced</v>
      </c>
      <c r="Q1054" t="str">
        <f>IF(T[[#This Row],[qty_received]]&lt;&gt;T[[#This Row],[qty_invoiced]],IF(T[[#This Row],[qty_invoiced]]&gt;0,"Partial Invoiced","Not Invoiced"),"Fully Invoiced")</f>
        <v>Partial Invoiced</v>
      </c>
      <c r="R1054" t="str">
        <f>IFERROR(VLOOKUP(T[[#This Row],[warehouse]],Table2[],2,FALSE),"--")</f>
        <v>--</v>
      </c>
    </row>
    <row r="1055" spans="1:18" x14ac:dyDescent="0.25">
      <c r="A1055" t="s">
        <v>260</v>
      </c>
      <c r="B1055" s="1">
        <v>43832</v>
      </c>
      <c r="C1055" t="s">
        <v>882</v>
      </c>
      <c r="D1055" t="s">
        <v>322</v>
      </c>
      <c r="E1055" t="s">
        <v>51</v>
      </c>
      <c r="F1055" t="s">
        <v>254</v>
      </c>
      <c r="G1055" t="s">
        <v>255</v>
      </c>
      <c r="H1055" t="s">
        <v>54</v>
      </c>
      <c r="I1055">
        <v>280000</v>
      </c>
      <c r="J1055">
        <v>0</v>
      </c>
      <c r="K1055">
        <v>1</v>
      </c>
      <c r="L1055" t="s">
        <v>25</v>
      </c>
      <c r="M1055" t="s">
        <v>533</v>
      </c>
      <c r="N1055">
        <v>5</v>
      </c>
      <c r="O1055">
        <v>0</v>
      </c>
      <c r="P1055" t="str">
        <f>IF(T[[#This Row],[qty_ordered]]&lt;&gt;T[[#This Row],[qty_received]],IF(T[[#This Row],[qty_received]]&gt;0,"Partial Received","Not Receviced"),"FullyReceived")</f>
        <v>Not Receviced</v>
      </c>
      <c r="Q1055" t="str">
        <f>IF(T[[#This Row],[qty_received]]&lt;&gt;T[[#This Row],[qty_invoiced]],IF(T[[#This Row],[qty_invoiced]]&gt;0,"Partial Invoiced","Not Invoiced"),"Fully Invoiced")</f>
        <v>Partial Invoiced</v>
      </c>
      <c r="R1055" t="str">
        <f>IFERROR(VLOOKUP(T[[#This Row],[warehouse]],Table2[],2,FALSE),"--")</f>
        <v>--</v>
      </c>
    </row>
    <row r="1056" spans="1:18" x14ac:dyDescent="0.25">
      <c r="A1056" t="s">
        <v>560</v>
      </c>
      <c r="B1056" s="1">
        <v>43809</v>
      </c>
      <c r="C1056" t="s">
        <v>562</v>
      </c>
      <c r="D1056" t="s">
        <v>752</v>
      </c>
      <c r="E1056" t="s">
        <v>51</v>
      </c>
      <c r="F1056" t="s">
        <v>164</v>
      </c>
      <c r="G1056" t="s">
        <v>164</v>
      </c>
      <c r="H1056" t="s">
        <v>54</v>
      </c>
      <c r="I1056">
        <v>151</v>
      </c>
      <c r="J1056">
        <v>0</v>
      </c>
      <c r="K1056">
        <v>1</v>
      </c>
      <c r="L1056" t="s">
        <v>25</v>
      </c>
      <c r="M1056" t="s">
        <v>359</v>
      </c>
      <c r="N1056">
        <v>285.43049999999999</v>
      </c>
      <c r="O1056">
        <v>0</v>
      </c>
      <c r="P1056" t="str">
        <f>IF(T[[#This Row],[qty_ordered]]&lt;&gt;T[[#This Row],[qty_received]],IF(T[[#This Row],[qty_received]]&gt;0,"Partial Received","Not Receviced"),"FullyReceived")</f>
        <v>Not Receviced</v>
      </c>
      <c r="Q1056" t="str">
        <f>IF(T[[#This Row],[qty_received]]&lt;&gt;T[[#This Row],[qty_invoiced]],IF(T[[#This Row],[qty_invoiced]]&gt;0,"Partial Invoiced","Not Invoiced"),"Fully Invoiced")</f>
        <v>Partial Invoiced</v>
      </c>
      <c r="R1056" t="str">
        <f>IFERROR(VLOOKUP(T[[#This Row],[warehouse]],Table2[],2,FALSE),"--")</f>
        <v>--</v>
      </c>
    </row>
    <row r="1057" spans="1:18" x14ac:dyDescent="0.25">
      <c r="A1057" t="s">
        <v>560</v>
      </c>
      <c r="B1057" s="1">
        <v>43809</v>
      </c>
      <c r="C1057" t="s">
        <v>562</v>
      </c>
      <c r="D1057" t="s">
        <v>759</v>
      </c>
      <c r="E1057" t="s">
        <v>51</v>
      </c>
      <c r="F1057" t="s">
        <v>164</v>
      </c>
      <c r="G1057" t="s">
        <v>164</v>
      </c>
      <c r="H1057" t="s">
        <v>54</v>
      </c>
      <c r="I1057">
        <v>150</v>
      </c>
      <c r="J1057">
        <v>0</v>
      </c>
      <c r="K1057">
        <v>1</v>
      </c>
      <c r="L1057" t="s">
        <v>25</v>
      </c>
      <c r="M1057" t="s">
        <v>359</v>
      </c>
      <c r="N1057">
        <v>288.66669999999999</v>
      </c>
      <c r="O1057">
        <v>0</v>
      </c>
      <c r="P1057" t="str">
        <f>IF(T[[#This Row],[qty_ordered]]&lt;&gt;T[[#This Row],[qty_received]],IF(T[[#This Row],[qty_received]]&gt;0,"Partial Received","Not Receviced"),"FullyReceived")</f>
        <v>Not Receviced</v>
      </c>
      <c r="Q1057" t="str">
        <f>IF(T[[#This Row],[qty_received]]&lt;&gt;T[[#This Row],[qty_invoiced]],IF(T[[#This Row],[qty_invoiced]]&gt;0,"Partial Invoiced","Not Invoiced"),"Fully Invoiced")</f>
        <v>Partial Invoiced</v>
      </c>
      <c r="R1057" t="str">
        <f>IFERROR(VLOOKUP(T[[#This Row],[warehouse]],Table2[],2,FALSE),"--")</f>
        <v>--</v>
      </c>
    </row>
    <row r="1058" spans="1:18" x14ac:dyDescent="0.25">
      <c r="A1058" t="s">
        <v>560</v>
      </c>
      <c r="B1058" s="1">
        <v>43809</v>
      </c>
      <c r="C1058" t="s">
        <v>562</v>
      </c>
      <c r="D1058" t="s">
        <v>694</v>
      </c>
      <c r="E1058" t="s">
        <v>51</v>
      </c>
      <c r="F1058" t="s">
        <v>164</v>
      </c>
      <c r="G1058" t="s">
        <v>164</v>
      </c>
      <c r="H1058" t="s">
        <v>54</v>
      </c>
      <c r="I1058">
        <v>106</v>
      </c>
      <c r="J1058">
        <v>0</v>
      </c>
      <c r="K1058">
        <v>1</v>
      </c>
      <c r="L1058" t="s">
        <v>25</v>
      </c>
      <c r="M1058" t="s">
        <v>359</v>
      </c>
      <c r="N1058">
        <v>286.79250000000002</v>
      </c>
      <c r="O1058">
        <v>0</v>
      </c>
      <c r="P1058" t="str">
        <f>IF(T[[#This Row],[qty_ordered]]&lt;&gt;T[[#This Row],[qty_received]],IF(T[[#This Row],[qty_received]]&gt;0,"Partial Received","Not Receviced"),"FullyReceived")</f>
        <v>Not Receviced</v>
      </c>
      <c r="Q1058" t="str">
        <f>IF(T[[#This Row],[qty_received]]&lt;&gt;T[[#This Row],[qty_invoiced]],IF(T[[#This Row],[qty_invoiced]]&gt;0,"Partial Invoiced","Not Invoiced"),"Fully Invoiced")</f>
        <v>Partial Invoiced</v>
      </c>
      <c r="R1058" t="str">
        <f>IFERROR(VLOOKUP(T[[#This Row],[warehouse]],Table2[],2,FALSE),"--")</f>
        <v>--</v>
      </c>
    </row>
    <row r="1059" spans="1:18" x14ac:dyDescent="0.25">
      <c r="A1059" t="s">
        <v>560</v>
      </c>
      <c r="B1059" s="1">
        <v>43809</v>
      </c>
      <c r="C1059" t="s">
        <v>562</v>
      </c>
      <c r="D1059" t="s">
        <v>760</v>
      </c>
      <c r="E1059" t="s">
        <v>51</v>
      </c>
      <c r="F1059" t="s">
        <v>164</v>
      </c>
      <c r="G1059" t="s">
        <v>164</v>
      </c>
      <c r="H1059" t="s">
        <v>54</v>
      </c>
      <c r="I1059">
        <v>48</v>
      </c>
      <c r="J1059">
        <v>0</v>
      </c>
      <c r="K1059">
        <v>1</v>
      </c>
      <c r="L1059" t="s">
        <v>25</v>
      </c>
      <c r="M1059" t="s">
        <v>359</v>
      </c>
      <c r="N1059">
        <v>275</v>
      </c>
      <c r="O1059">
        <v>0</v>
      </c>
      <c r="P1059" t="str">
        <f>IF(T[[#This Row],[qty_ordered]]&lt;&gt;T[[#This Row],[qty_received]],IF(T[[#This Row],[qty_received]]&gt;0,"Partial Received","Not Receviced"),"FullyReceived")</f>
        <v>Not Receviced</v>
      </c>
      <c r="Q1059" t="str">
        <f>IF(T[[#This Row],[qty_received]]&lt;&gt;T[[#This Row],[qty_invoiced]],IF(T[[#This Row],[qty_invoiced]]&gt;0,"Partial Invoiced","Not Invoiced"),"Fully Invoiced")</f>
        <v>Partial Invoiced</v>
      </c>
      <c r="R1059" t="str">
        <f>IFERROR(VLOOKUP(T[[#This Row],[warehouse]],Table2[],2,FALSE),"--")</f>
        <v>--</v>
      </c>
    </row>
    <row r="1060" spans="1:18" x14ac:dyDescent="0.25">
      <c r="A1060" t="s">
        <v>560</v>
      </c>
      <c r="B1060" s="1">
        <v>43809</v>
      </c>
      <c r="C1060" t="s">
        <v>562</v>
      </c>
      <c r="D1060" t="s">
        <v>591</v>
      </c>
      <c r="E1060" t="s">
        <v>51</v>
      </c>
      <c r="F1060" t="s">
        <v>164</v>
      </c>
      <c r="G1060" t="s">
        <v>164</v>
      </c>
      <c r="H1060" t="s">
        <v>54</v>
      </c>
      <c r="I1060">
        <v>38</v>
      </c>
      <c r="J1060">
        <v>0</v>
      </c>
      <c r="K1060">
        <v>1</v>
      </c>
      <c r="L1060" t="s">
        <v>25</v>
      </c>
      <c r="M1060" t="s">
        <v>359</v>
      </c>
      <c r="N1060">
        <v>432.63159999999999</v>
      </c>
      <c r="O1060">
        <v>0</v>
      </c>
      <c r="P1060" t="str">
        <f>IF(T[[#This Row],[qty_ordered]]&lt;&gt;T[[#This Row],[qty_received]],IF(T[[#This Row],[qty_received]]&gt;0,"Partial Received","Not Receviced"),"FullyReceived")</f>
        <v>Not Receviced</v>
      </c>
      <c r="Q1060" t="str">
        <f>IF(T[[#This Row],[qty_received]]&lt;&gt;T[[#This Row],[qty_invoiced]],IF(T[[#This Row],[qty_invoiced]]&gt;0,"Partial Invoiced","Not Invoiced"),"Fully Invoiced")</f>
        <v>Partial Invoiced</v>
      </c>
      <c r="R1060" t="str">
        <f>IFERROR(VLOOKUP(T[[#This Row],[warehouse]],Table2[],2,FALSE),"--")</f>
        <v>--</v>
      </c>
    </row>
    <row r="1061" spans="1:18" x14ac:dyDescent="0.25">
      <c r="A1061" t="s">
        <v>560</v>
      </c>
      <c r="B1061" s="1">
        <v>43809</v>
      </c>
      <c r="C1061" t="s">
        <v>562</v>
      </c>
      <c r="D1061" t="s">
        <v>592</v>
      </c>
      <c r="E1061" t="s">
        <v>51</v>
      </c>
      <c r="F1061" t="s">
        <v>164</v>
      </c>
      <c r="G1061" t="s">
        <v>164</v>
      </c>
      <c r="H1061" t="s">
        <v>54</v>
      </c>
      <c r="I1061">
        <v>70</v>
      </c>
      <c r="J1061">
        <v>0</v>
      </c>
      <c r="K1061">
        <v>1</v>
      </c>
      <c r="L1061" t="s">
        <v>25</v>
      </c>
      <c r="M1061" t="s">
        <v>359</v>
      </c>
      <c r="N1061">
        <v>300</v>
      </c>
      <c r="O1061">
        <v>0</v>
      </c>
      <c r="P1061" t="str">
        <f>IF(T[[#This Row],[qty_ordered]]&lt;&gt;T[[#This Row],[qty_received]],IF(T[[#This Row],[qty_received]]&gt;0,"Partial Received","Not Receviced"),"FullyReceived")</f>
        <v>Not Receviced</v>
      </c>
      <c r="Q1061" t="str">
        <f>IF(T[[#This Row],[qty_received]]&lt;&gt;T[[#This Row],[qty_invoiced]],IF(T[[#This Row],[qty_invoiced]]&gt;0,"Partial Invoiced","Not Invoiced"),"Fully Invoiced")</f>
        <v>Partial Invoiced</v>
      </c>
      <c r="R1061" t="str">
        <f>IFERROR(VLOOKUP(T[[#This Row],[warehouse]],Table2[],2,FALSE),"--")</f>
        <v>--</v>
      </c>
    </row>
    <row r="1062" spans="1:18" x14ac:dyDescent="0.25">
      <c r="A1062" t="s">
        <v>560</v>
      </c>
      <c r="B1062" s="1">
        <v>43809</v>
      </c>
      <c r="C1062" t="s">
        <v>562</v>
      </c>
      <c r="D1062" t="s">
        <v>593</v>
      </c>
      <c r="E1062" t="s">
        <v>51</v>
      </c>
      <c r="F1062" t="s">
        <v>164</v>
      </c>
      <c r="G1062" t="s">
        <v>164</v>
      </c>
      <c r="H1062" t="s">
        <v>54</v>
      </c>
      <c r="I1062">
        <v>34</v>
      </c>
      <c r="J1062">
        <v>0</v>
      </c>
      <c r="K1062">
        <v>1</v>
      </c>
      <c r="L1062" t="s">
        <v>25</v>
      </c>
      <c r="M1062" t="s">
        <v>359</v>
      </c>
      <c r="N1062">
        <v>420</v>
      </c>
      <c r="O1062">
        <v>0</v>
      </c>
      <c r="P1062" t="str">
        <f>IF(T[[#This Row],[qty_ordered]]&lt;&gt;T[[#This Row],[qty_received]],IF(T[[#This Row],[qty_received]]&gt;0,"Partial Received","Not Receviced"),"FullyReceived")</f>
        <v>Not Receviced</v>
      </c>
      <c r="Q1062" t="str">
        <f>IF(T[[#This Row],[qty_received]]&lt;&gt;T[[#This Row],[qty_invoiced]],IF(T[[#This Row],[qty_invoiced]]&gt;0,"Partial Invoiced","Not Invoiced"),"Fully Invoiced")</f>
        <v>Partial Invoiced</v>
      </c>
      <c r="R1062" t="str">
        <f>IFERROR(VLOOKUP(T[[#This Row],[warehouse]],Table2[],2,FALSE),"--")</f>
        <v>--</v>
      </c>
    </row>
    <row r="1063" spans="1:18" x14ac:dyDescent="0.25">
      <c r="A1063" t="s">
        <v>560</v>
      </c>
      <c r="B1063" s="1">
        <v>43809</v>
      </c>
      <c r="C1063" t="s">
        <v>562</v>
      </c>
      <c r="D1063" t="s">
        <v>594</v>
      </c>
      <c r="E1063" t="s">
        <v>51</v>
      </c>
      <c r="F1063" t="s">
        <v>164</v>
      </c>
      <c r="G1063" t="s">
        <v>164</v>
      </c>
      <c r="H1063" t="s">
        <v>54</v>
      </c>
      <c r="I1063">
        <v>77</v>
      </c>
      <c r="J1063">
        <v>0</v>
      </c>
      <c r="K1063">
        <v>1</v>
      </c>
      <c r="L1063" t="s">
        <v>25</v>
      </c>
      <c r="M1063" t="s">
        <v>359</v>
      </c>
      <c r="N1063">
        <v>300</v>
      </c>
      <c r="O1063">
        <v>0</v>
      </c>
      <c r="P1063" t="str">
        <f>IF(T[[#This Row],[qty_ordered]]&lt;&gt;T[[#This Row],[qty_received]],IF(T[[#This Row],[qty_received]]&gt;0,"Partial Received","Not Receviced"),"FullyReceived")</f>
        <v>Not Receviced</v>
      </c>
      <c r="Q1063" t="str">
        <f>IF(T[[#This Row],[qty_received]]&lt;&gt;T[[#This Row],[qty_invoiced]],IF(T[[#This Row],[qty_invoiced]]&gt;0,"Partial Invoiced","Not Invoiced"),"Fully Invoiced")</f>
        <v>Partial Invoiced</v>
      </c>
      <c r="R1063" t="str">
        <f>IFERROR(VLOOKUP(T[[#This Row],[warehouse]],Table2[],2,FALSE),"--")</f>
        <v>--</v>
      </c>
    </row>
    <row r="1064" spans="1:18" x14ac:dyDescent="0.25">
      <c r="A1064" t="s">
        <v>242</v>
      </c>
      <c r="B1064" s="1">
        <v>43775</v>
      </c>
      <c r="C1064" t="s">
        <v>870</v>
      </c>
      <c r="D1064" t="s">
        <v>71</v>
      </c>
      <c r="E1064" t="s">
        <v>66</v>
      </c>
      <c r="F1064" t="s">
        <v>244</v>
      </c>
      <c r="G1064" t="s">
        <v>245</v>
      </c>
      <c r="H1064" t="s">
        <v>24</v>
      </c>
      <c r="I1064">
        <v>652.58000000000004</v>
      </c>
      <c r="J1064">
        <v>500.92</v>
      </c>
      <c r="K1064">
        <v>500.92</v>
      </c>
      <c r="L1064" t="s">
        <v>25</v>
      </c>
      <c r="M1064" t="s">
        <v>132</v>
      </c>
      <c r="N1064">
        <v>96500</v>
      </c>
      <c r="O1064">
        <v>48338780</v>
      </c>
      <c r="P1064" t="str">
        <f>IF(T[[#This Row],[qty_ordered]]&lt;&gt;T[[#This Row],[qty_received]],IF(T[[#This Row],[qty_received]]&gt;0,"Partial Received","Not Receviced"),"FullyReceived")</f>
        <v>Partial Received</v>
      </c>
      <c r="Q1064" t="str">
        <f>IF(T[[#This Row],[qty_received]]&lt;&gt;T[[#This Row],[qty_invoiced]],IF(T[[#This Row],[qty_invoiced]]&gt;0,"Partial Invoiced","Not Invoiced"),"Fully Invoiced")</f>
        <v>Fully Invoiced</v>
      </c>
      <c r="R1064" t="str">
        <f>IFERROR(VLOOKUP(T[[#This Row],[warehouse]],Table2[],2,FALSE),"--")</f>
        <v>PZU Main Warehouse</v>
      </c>
    </row>
    <row r="1065" spans="1:18" x14ac:dyDescent="0.25">
      <c r="A1065" t="s">
        <v>757</v>
      </c>
      <c r="B1065" s="1">
        <v>43852</v>
      </c>
      <c r="C1065" t="s">
        <v>972</v>
      </c>
      <c r="D1065" t="s">
        <v>20</v>
      </c>
      <c r="E1065" t="s">
        <v>51</v>
      </c>
      <c r="F1065" t="s">
        <v>183</v>
      </c>
      <c r="G1065" t="s">
        <v>184</v>
      </c>
      <c r="H1065" t="s">
        <v>54</v>
      </c>
      <c r="I1065">
        <v>199.7</v>
      </c>
      <c r="J1065">
        <v>0</v>
      </c>
      <c r="K1065">
        <v>1</v>
      </c>
      <c r="L1065" t="s">
        <v>25</v>
      </c>
      <c r="M1065" t="s">
        <v>359</v>
      </c>
      <c r="N1065">
        <v>800</v>
      </c>
      <c r="O1065">
        <v>0</v>
      </c>
      <c r="P1065" t="str">
        <f>IF(T[[#This Row],[qty_ordered]]&lt;&gt;T[[#This Row],[qty_received]],IF(T[[#This Row],[qty_received]]&gt;0,"Partial Received","Not Receviced"),"FullyReceived")</f>
        <v>Not Receviced</v>
      </c>
      <c r="Q1065" t="str">
        <f>IF(T[[#This Row],[qty_received]]&lt;&gt;T[[#This Row],[qty_invoiced]],IF(T[[#This Row],[qty_invoiced]]&gt;0,"Partial Invoiced","Not Invoiced"),"Fully Invoiced")</f>
        <v>Partial Invoiced</v>
      </c>
      <c r="R1065" t="str">
        <f>IFERROR(VLOOKUP(T[[#This Row],[warehouse]],Table2[],2,FALSE),"--")</f>
        <v>--</v>
      </c>
    </row>
    <row r="1066" spans="1:18" x14ac:dyDescent="0.25">
      <c r="A1066" t="s">
        <v>973</v>
      </c>
      <c r="B1066" s="1">
        <v>43858</v>
      </c>
      <c r="C1066" t="s">
        <v>974</v>
      </c>
      <c r="D1066" t="s">
        <v>20</v>
      </c>
      <c r="E1066" t="s">
        <v>281</v>
      </c>
      <c r="F1066" t="s">
        <v>167</v>
      </c>
      <c r="G1066" t="s">
        <v>156</v>
      </c>
      <c r="H1066" t="s">
        <v>24</v>
      </c>
      <c r="I1066">
        <v>1372.74</v>
      </c>
      <c r="J1066">
        <v>1372.74</v>
      </c>
      <c r="K1066">
        <v>1372.74</v>
      </c>
      <c r="L1066" t="s">
        <v>25</v>
      </c>
      <c r="M1066" t="s">
        <v>132</v>
      </c>
      <c r="N1066">
        <v>500000</v>
      </c>
      <c r="O1066">
        <v>164728800</v>
      </c>
      <c r="P1066" t="str">
        <f>IF(T[[#This Row],[qty_ordered]]&lt;&gt;T[[#This Row],[qty_received]],IF(T[[#This Row],[qty_received]]&gt;0,"Partial Received","Not Receviced"),"FullyReceived")</f>
        <v>FullyReceived</v>
      </c>
      <c r="Q1066" t="str">
        <f>IF(T[[#This Row],[qty_received]]&lt;&gt;T[[#This Row],[qty_invoiced]],IF(T[[#This Row],[qty_invoiced]]&gt;0,"Partial Invoiced","Not Invoiced"),"Fully Invoiced")</f>
        <v>Fully Invoiced</v>
      </c>
      <c r="R1066" t="str">
        <f>IFERROR(VLOOKUP(T[[#This Row],[warehouse]],Table2[],2,FALSE),"--")</f>
        <v>Crusher Alm Eldin-KH</v>
      </c>
    </row>
    <row r="1067" spans="1:18" x14ac:dyDescent="0.25">
      <c r="A1067" t="s">
        <v>153</v>
      </c>
      <c r="B1067" s="1">
        <v>43821</v>
      </c>
      <c r="C1067" t="s">
        <v>826</v>
      </c>
      <c r="D1067" t="s">
        <v>88</v>
      </c>
      <c r="E1067" t="s">
        <v>44</v>
      </c>
      <c r="F1067" t="s">
        <v>474</v>
      </c>
      <c r="G1067" t="s">
        <v>475</v>
      </c>
      <c r="H1067" t="s">
        <v>24</v>
      </c>
      <c r="I1067">
        <v>1000</v>
      </c>
      <c r="J1067">
        <v>763.53</v>
      </c>
      <c r="K1067">
        <v>763.53</v>
      </c>
      <c r="L1067" t="s">
        <v>25</v>
      </c>
      <c r="M1067" t="s">
        <v>132</v>
      </c>
      <c r="N1067">
        <v>50000</v>
      </c>
      <c r="O1067">
        <v>38176500</v>
      </c>
      <c r="P1067" t="str">
        <f>IF(T[[#This Row],[qty_ordered]]&lt;&gt;T[[#This Row],[qty_received]],IF(T[[#This Row],[qty_received]]&gt;0,"Partial Received","Not Receviced"),"FullyReceived")</f>
        <v>Partial Received</v>
      </c>
      <c r="Q1067" t="str">
        <f>IF(T[[#This Row],[qty_received]]&lt;&gt;T[[#This Row],[qty_invoiced]],IF(T[[#This Row],[qty_invoiced]]&gt;0,"Partial Invoiced","Not Invoiced"),"Fully Invoiced")</f>
        <v>Fully Invoiced</v>
      </c>
      <c r="R1067" t="str">
        <f>IFERROR(VLOOKUP(T[[#This Row],[warehouse]],Table2[],2,FALSE),"--")</f>
        <v>Sifter OMD - Yara (AlNawris)</v>
      </c>
    </row>
    <row r="1068" spans="1:18" x14ac:dyDescent="0.25">
      <c r="A1068" t="s">
        <v>252</v>
      </c>
      <c r="B1068" s="1">
        <v>43849</v>
      </c>
      <c r="C1068" t="s">
        <v>638</v>
      </c>
      <c r="D1068" t="s">
        <v>71</v>
      </c>
      <c r="E1068" t="s">
        <v>51</v>
      </c>
      <c r="F1068" t="s">
        <v>183</v>
      </c>
      <c r="G1068" t="s">
        <v>639</v>
      </c>
      <c r="H1068" t="s">
        <v>54</v>
      </c>
      <c r="I1068">
        <v>500</v>
      </c>
      <c r="J1068">
        <v>0</v>
      </c>
      <c r="K1068">
        <v>1</v>
      </c>
      <c r="L1068" t="s">
        <v>25</v>
      </c>
      <c r="M1068" t="s">
        <v>533</v>
      </c>
      <c r="N1068">
        <v>850</v>
      </c>
      <c r="O1068">
        <v>0</v>
      </c>
      <c r="P1068" t="str">
        <f>IF(T[[#This Row],[qty_ordered]]&lt;&gt;T[[#This Row],[qty_received]],IF(T[[#This Row],[qty_received]]&gt;0,"Partial Received","Not Receviced"),"FullyReceived")</f>
        <v>Not Receviced</v>
      </c>
      <c r="Q1068" t="str">
        <f>IF(T[[#This Row],[qty_received]]&lt;&gt;T[[#This Row],[qty_invoiced]],IF(T[[#This Row],[qty_invoiced]]&gt;0,"Partial Invoiced","Not Invoiced"),"Fully Invoiced")</f>
        <v>Partial Invoiced</v>
      </c>
      <c r="R1068" t="str">
        <f>IFERROR(VLOOKUP(T[[#This Row],[warehouse]],Table2[],2,FALSE),"--")</f>
        <v>--</v>
      </c>
    </row>
    <row r="1069" spans="1:18" x14ac:dyDescent="0.25">
      <c r="A1069" t="s">
        <v>153</v>
      </c>
      <c r="B1069" s="1">
        <v>43807</v>
      </c>
      <c r="C1069" t="s">
        <v>547</v>
      </c>
      <c r="D1069" t="s">
        <v>100</v>
      </c>
      <c r="E1069" t="s">
        <v>675</v>
      </c>
      <c r="F1069" t="s">
        <v>167</v>
      </c>
      <c r="G1069" t="s">
        <v>156</v>
      </c>
      <c r="H1069" t="s">
        <v>24</v>
      </c>
      <c r="I1069">
        <v>150.51</v>
      </c>
      <c r="J1069">
        <v>150.51</v>
      </c>
      <c r="K1069">
        <v>150.51</v>
      </c>
      <c r="L1069" t="s">
        <v>25</v>
      </c>
      <c r="M1069" t="s">
        <v>132</v>
      </c>
      <c r="N1069">
        <v>117000</v>
      </c>
      <c r="O1069">
        <v>17609670</v>
      </c>
      <c r="P1069" t="str">
        <f>IF(T[[#This Row],[qty_ordered]]&lt;&gt;T[[#This Row],[qty_received]],IF(T[[#This Row],[qty_received]]&gt;0,"Partial Received","Not Receviced"),"FullyReceived")</f>
        <v>FullyReceived</v>
      </c>
      <c r="Q1069" t="str">
        <f>IF(T[[#This Row],[qty_received]]&lt;&gt;T[[#This Row],[qty_invoiced]],IF(T[[#This Row],[qty_invoiced]]&gt;0,"Partial Invoiced","Not Invoiced"),"Fully Invoiced")</f>
        <v>Fully Invoiced</v>
      </c>
      <c r="R1069" t="str">
        <f>IFERROR(VLOOKUP(T[[#This Row],[warehouse]],Table2[],2,FALSE),"--")</f>
        <v>CRUSHI- OTACHO-BAGIR</v>
      </c>
    </row>
    <row r="1070" spans="1:18" x14ac:dyDescent="0.25">
      <c r="A1070" t="s">
        <v>790</v>
      </c>
      <c r="B1070" s="1">
        <v>43865</v>
      </c>
      <c r="C1070" t="s">
        <v>975</v>
      </c>
      <c r="D1070" t="s">
        <v>20</v>
      </c>
      <c r="E1070" t="s">
        <v>51</v>
      </c>
      <c r="F1070" t="s">
        <v>164</v>
      </c>
      <c r="G1070" t="s">
        <v>164</v>
      </c>
      <c r="H1070" t="s">
        <v>54</v>
      </c>
      <c r="I1070">
        <v>14890</v>
      </c>
      <c r="J1070">
        <v>0</v>
      </c>
      <c r="K1070">
        <v>1</v>
      </c>
      <c r="L1070" t="s">
        <v>25</v>
      </c>
      <c r="M1070" t="s">
        <v>533</v>
      </c>
      <c r="N1070">
        <v>2</v>
      </c>
      <c r="O1070">
        <v>0</v>
      </c>
      <c r="P1070" t="str">
        <f>IF(T[[#This Row],[qty_ordered]]&lt;&gt;T[[#This Row],[qty_received]],IF(T[[#This Row],[qty_received]]&gt;0,"Partial Received","Not Receviced"),"FullyReceived")</f>
        <v>Not Receviced</v>
      </c>
      <c r="Q1070" t="str">
        <f>IF(T[[#This Row],[qty_received]]&lt;&gt;T[[#This Row],[qty_invoiced]],IF(T[[#This Row],[qty_invoiced]]&gt;0,"Partial Invoiced","Not Invoiced"),"Fully Invoiced")</f>
        <v>Partial Invoiced</v>
      </c>
      <c r="R1070" t="str">
        <f>IFERROR(VLOOKUP(T[[#This Row],[warehouse]],Table2[],2,FALSE),"--")</f>
        <v>--</v>
      </c>
    </row>
    <row r="1071" spans="1:18" x14ac:dyDescent="0.25">
      <c r="A1071" t="s">
        <v>534</v>
      </c>
      <c r="B1071" s="1">
        <v>43793</v>
      </c>
      <c r="C1071" t="s">
        <v>551</v>
      </c>
      <c r="D1071" t="s">
        <v>100</v>
      </c>
      <c r="E1071" t="s">
        <v>111</v>
      </c>
      <c r="F1071" t="s">
        <v>47</v>
      </c>
      <c r="G1071" t="s">
        <v>48</v>
      </c>
      <c r="H1071" t="s">
        <v>24</v>
      </c>
      <c r="I1071">
        <v>1000</v>
      </c>
      <c r="J1071">
        <v>105.48</v>
      </c>
      <c r="K1071">
        <v>105.48</v>
      </c>
      <c r="L1071" t="s">
        <v>25</v>
      </c>
      <c r="M1071" t="s">
        <v>132</v>
      </c>
      <c r="N1071">
        <v>87000</v>
      </c>
      <c r="O1071">
        <v>9176760</v>
      </c>
      <c r="P1071" t="str">
        <f>IF(T[[#This Row],[qty_ordered]]&lt;&gt;T[[#This Row],[qty_received]],IF(T[[#This Row],[qty_received]]&gt;0,"Partial Received","Not Receviced"),"FullyReceived")</f>
        <v>Partial Received</v>
      </c>
      <c r="Q1071" t="str">
        <f>IF(T[[#This Row],[qty_received]]&lt;&gt;T[[#This Row],[qty_invoiced]],IF(T[[#This Row],[qty_invoiced]]&gt;0,"Partial Invoiced","Not Invoiced"),"Fully Invoiced")</f>
        <v>Fully Invoiced</v>
      </c>
      <c r="R1071" t="str">
        <f>IFERROR(VLOOKUP(T[[#This Row],[warehouse]],Table2[],2,FALSE),"--")</f>
        <v>Sifting PZU-Al Jawhra</v>
      </c>
    </row>
    <row r="1072" spans="1:18" x14ac:dyDescent="0.25">
      <c r="A1072" t="s">
        <v>252</v>
      </c>
      <c r="B1072" s="1">
        <v>43535</v>
      </c>
      <c r="C1072" t="s">
        <v>427</v>
      </c>
      <c r="D1072" t="s">
        <v>100</v>
      </c>
      <c r="E1072" t="s">
        <v>51</v>
      </c>
      <c r="F1072" t="s">
        <v>183</v>
      </c>
      <c r="G1072" t="s">
        <v>184</v>
      </c>
      <c r="H1072" t="s">
        <v>54</v>
      </c>
      <c r="I1072">
        <v>785.95500000000004</v>
      </c>
      <c r="J1072">
        <v>0</v>
      </c>
      <c r="K1072">
        <v>1</v>
      </c>
      <c r="L1072" t="s">
        <v>25</v>
      </c>
      <c r="M1072" t="s">
        <v>359</v>
      </c>
      <c r="N1072">
        <v>550</v>
      </c>
      <c r="O1072">
        <v>0</v>
      </c>
      <c r="P1072" t="str">
        <f>IF(T[[#This Row],[qty_ordered]]&lt;&gt;T[[#This Row],[qty_received]],IF(T[[#This Row],[qty_received]]&gt;0,"Partial Received","Not Receviced"),"FullyReceived")</f>
        <v>Not Receviced</v>
      </c>
      <c r="Q1072" t="str">
        <f>IF(T[[#This Row],[qty_received]]&lt;&gt;T[[#This Row],[qty_invoiced]],IF(T[[#This Row],[qty_invoiced]]&gt;0,"Partial Invoiced","Not Invoiced"),"Fully Invoiced")</f>
        <v>Partial Invoiced</v>
      </c>
      <c r="R1072" t="str">
        <f>IFERROR(VLOOKUP(T[[#This Row],[warehouse]],Table2[],2,FALSE),"--")</f>
        <v>--</v>
      </c>
    </row>
    <row r="1073" spans="1:18" x14ac:dyDescent="0.25">
      <c r="A1073" t="s">
        <v>252</v>
      </c>
      <c r="B1073" s="1">
        <v>43535</v>
      </c>
      <c r="C1073" t="s">
        <v>427</v>
      </c>
      <c r="D1073" t="s">
        <v>88</v>
      </c>
      <c r="E1073" t="s">
        <v>51</v>
      </c>
      <c r="F1073" t="s">
        <v>254</v>
      </c>
      <c r="G1073" t="s">
        <v>255</v>
      </c>
      <c r="H1073" t="s">
        <v>54</v>
      </c>
      <c r="I1073">
        <v>18976</v>
      </c>
      <c r="J1073">
        <v>0</v>
      </c>
      <c r="K1073">
        <v>1</v>
      </c>
      <c r="L1073" t="s">
        <v>25</v>
      </c>
      <c r="M1073" t="s">
        <v>359</v>
      </c>
      <c r="N1073">
        <v>3</v>
      </c>
      <c r="O1073">
        <v>0</v>
      </c>
      <c r="P1073" t="str">
        <f>IF(T[[#This Row],[qty_ordered]]&lt;&gt;T[[#This Row],[qty_received]],IF(T[[#This Row],[qty_received]]&gt;0,"Partial Received","Not Receviced"),"FullyReceived")</f>
        <v>Not Receviced</v>
      </c>
      <c r="Q1073" t="str">
        <f>IF(T[[#This Row],[qty_received]]&lt;&gt;T[[#This Row],[qty_invoiced]],IF(T[[#This Row],[qty_invoiced]]&gt;0,"Partial Invoiced","Not Invoiced"),"Fully Invoiced")</f>
        <v>Partial Invoiced</v>
      </c>
      <c r="R1073" t="str">
        <f>IFERROR(VLOOKUP(T[[#This Row],[warehouse]],Table2[],2,FALSE),"--")</f>
        <v>--</v>
      </c>
    </row>
    <row r="1074" spans="1:18" x14ac:dyDescent="0.25">
      <c r="A1074" t="s">
        <v>686</v>
      </c>
      <c r="B1074" s="1">
        <v>43849</v>
      </c>
      <c r="C1074" t="s">
        <v>687</v>
      </c>
      <c r="D1074" t="s">
        <v>71</v>
      </c>
      <c r="E1074" t="s">
        <v>51</v>
      </c>
      <c r="F1074" t="s">
        <v>247</v>
      </c>
      <c r="G1074" t="s">
        <v>685</v>
      </c>
      <c r="H1074" t="s">
        <v>54</v>
      </c>
      <c r="I1074">
        <v>1500</v>
      </c>
      <c r="J1074">
        <v>0</v>
      </c>
      <c r="K1074">
        <v>1</v>
      </c>
      <c r="L1074" t="s">
        <v>25</v>
      </c>
      <c r="M1074" t="s">
        <v>533</v>
      </c>
      <c r="N1074">
        <v>4000</v>
      </c>
      <c r="O1074">
        <v>0</v>
      </c>
      <c r="P1074" t="str">
        <f>IF(T[[#This Row],[qty_ordered]]&lt;&gt;T[[#This Row],[qty_received]],IF(T[[#This Row],[qty_received]]&gt;0,"Partial Received","Not Receviced"),"FullyReceived")</f>
        <v>Not Receviced</v>
      </c>
      <c r="Q1074" t="str">
        <f>IF(T[[#This Row],[qty_received]]&lt;&gt;T[[#This Row],[qty_invoiced]],IF(T[[#This Row],[qty_invoiced]]&gt;0,"Partial Invoiced","Not Invoiced"),"Fully Invoiced")</f>
        <v>Partial Invoiced</v>
      </c>
      <c r="R1074" t="str">
        <f>IFERROR(VLOOKUP(T[[#This Row],[warehouse]],Table2[],2,FALSE),"--")</f>
        <v>--</v>
      </c>
    </row>
    <row r="1075" spans="1:18" x14ac:dyDescent="0.25">
      <c r="A1075" t="s">
        <v>732</v>
      </c>
      <c r="B1075" s="1">
        <v>43872</v>
      </c>
      <c r="C1075" t="s">
        <v>733</v>
      </c>
      <c r="D1075" t="s">
        <v>20</v>
      </c>
      <c r="E1075" t="s">
        <v>51</v>
      </c>
      <c r="F1075" t="s">
        <v>164</v>
      </c>
      <c r="G1075" t="s">
        <v>164</v>
      </c>
      <c r="H1075" t="s">
        <v>54</v>
      </c>
      <c r="I1075">
        <v>890</v>
      </c>
      <c r="J1075">
        <v>0</v>
      </c>
      <c r="K1075">
        <v>1</v>
      </c>
      <c r="L1075" t="s">
        <v>25</v>
      </c>
      <c r="M1075" t="s">
        <v>533</v>
      </c>
      <c r="N1075">
        <v>30</v>
      </c>
      <c r="O1075">
        <v>0</v>
      </c>
      <c r="P1075" t="str">
        <f>IF(T[[#This Row],[qty_ordered]]&lt;&gt;T[[#This Row],[qty_received]],IF(T[[#This Row],[qty_received]]&gt;0,"Partial Received","Not Receviced"),"FullyReceived")</f>
        <v>Not Receviced</v>
      </c>
      <c r="Q1075" t="str">
        <f>IF(T[[#This Row],[qty_received]]&lt;&gt;T[[#This Row],[qty_invoiced]],IF(T[[#This Row],[qty_invoiced]]&gt;0,"Partial Invoiced","Not Invoiced"),"Fully Invoiced")</f>
        <v>Partial Invoiced</v>
      </c>
      <c r="R1075" t="str">
        <f>IFERROR(VLOOKUP(T[[#This Row],[warehouse]],Table2[],2,FALSE),"--")</f>
        <v>--</v>
      </c>
    </row>
    <row r="1076" spans="1:18" x14ac:dyDescent="0.25">
      <c r="A1076" t="s">
        <v>437</v>
      </c>
      <c r="B1076" s="1">
        <v>43852</v>
      </c>
      <c r="C1076" t="s">
        <v>976</v>
      </c>
      <c r="D1076" t="s">
        <v>20</v>
      </c>
      <c r="E1076" t="s">
        <v>51</v>
      </c>
      <c r="F1076" t="s">
        <v>183</v>
      </c>
      <c r="G1076" t="s">
        <v>184</v>
      </c>
      <c r="H1076" t="s">
        <v>54</v>
      </c>
      <c r="I1076">
        <v>300</v>
      </c>
      <c r="J1076">
        <v>0</v>
      </c>
      <c r="K1076">
        <v>1</v>
      </c>
      <c r="L1076" t="s">
        <v>25</v>
      </c>
      <c r="M1076" t="s">
        <v>359</v>
      </c>
      <c r="N1076">
        <v>800</v>
      </c>
      <c r="O1076">
        <v>0</v>
      </c>
      <c r="P1076" t="str">
        <f>IF(T[[#This Row],[qty_ordered]]&lt;&gt;T[[#This Row],[qty_received]],IF(T[[#This Row],[qty_received]]&gt;0,"Partial Received","Not Receviced"),"FullyReceived")</f>
        <v>Not Receviced</v>
      </c>
      <c r="Q1076" t="str">
        <f>IF(T[[#This Row],[qty_received]]&lt;&gt;T[[#This Row],[qty_invoiced]],IF(T[[#This Row],[qty_invoiced]]&gt;0,"Partial Invoiced","Not Invoiced"),"Fully Invoiced")</f>
        <v>Partial Invoiced</v>
      </c>
      <c r="R1076" t="str">
        <f>IFERROR(VLOOKUP(T[[#This Row],[warehouse]],Table2[],2,FALSE),"--")</f>
        <v>--</v>
      </c>
    </row>
    <row r="1077" spans="1:18" x14ac:dyDescent="0.25">
      <c r="A1077" t="s">
        <v>224</v>
      </c>
      <c r="B1077" s="1">
        <v>43832</v>
      </c>
      <c r="C1077" t="s">
        <v>916</v>
      </c>
      <c r="D1077" t="s">
        <v>71</v>
      </c>
      <c r="E1077" t="s">
        <v>51</v>
      </c>
      <c r="F1077" t="s">
        <v>183</v>
      </c>
      <c r="G1077" t="s">
        <v>184</v>
      </c>
      <c r="H1077" t="s">
        <v>54</v>
      </c>
      <c r="I1077">
        <v>215.42</v>
      </c>
      <c r="J1077">
        <v>0</v>
      </c>
      <c r="K1077">
        <v>1</v>
      </c>
      <c r="L1077" t="s">
        <v>25</v>
      </c>
      <c r="M1077" t="s">
        <v>359</v>
      </c>
      <c r="N1077">
        <v>750</v>
      </c>
      <c r="O1077">
        <v>0</v>
      </c>
      <c r="P1077" t="str">
        <f>IF(T[[#This Row],[qty_ordered]]&lt;&gt;T[[#This Row],[qty_received]],IF(T[[#This Row],[qty_received]]&gt;0,"Partial Received","Not Receviced"),"FullyReceived")</f>
        <v>Not Receviced</v>
      </c>
      <c r="Q1077" t="str">
        <f>IF(T[[#This Row],[qty_received]]&lt;&gt;T[[#This Row],[qty_invoiced]],IF(T[[#This Row],[qty_invoiced]]&gt;0,"Partial Invoiced","Not Invoiced"),"Fully Invoiced")</f>
        <v>Partial Invoiced</v>
      </c>
      <c r="R1077" t="str">
        <f>IFERROR(VLOOKUP(T[[#This Row],[warehouse]],Table2[],2,FALSE),"--")</f>
        <v>--</v>
      </c>
    </row>
    <row r="1078" spans="1:18" x14ac:dyDescent="0.25">
      <c r="A1078" t="s">
        <v>224</v>
      </c>
      <c r="B1078" s="1">
        <v>43853</v>
      </c>
      <c r="C1078" t="s">
        <v>901</v>
      </c>
      <c r="D1078" t="s">
        <v>20</v>
      </c>
      <c r="E1078" t="s">
        <v>51</v>
      </c>
      <c r="F1078" t="s">
        <v>183</v>
      </c>
      <c r="G1078" t="s">
        <v>184</v>
      </c>
      <c r="H1078" t="s">
        <v>54</v>
      </c>
      <c r="I1078">
        <v>278.95</v>
      </c>
      <c r="J1078">
        <v>0</v>
      </c>
      <c r="K1078">
        <v>1</v>
      </c>
      <c r="L1078" t="s">
        <v>25</v>
      </c>
      <c r="M1078" t="s">
        <v>533</v>
      </c>
      <c r="N1078">
        <v>750</v>
      </c>
      <c r="O1078">
        <v>0</v>
      </c>
      <c r="P1078" t="str">
        <f>IF(T[[#This Row],[qty_ordered]]&lt;&gt;T[[#This Row],[qty_received]],IF(T[[#This Row],[qty_received]]&gt;0,"Partial Received","Not Receviced"),"FullyReceived")</f>
        <v>Not Receviced</v>
      </c>
      <c r="Q1078" t="str">
        <f>IF(T[[#This Row],[qty_received]]&lt;&gt;T[[#This Row],[qty_invoiced]],IF(T[[#This Row],[qty_invoiced]]&gt;0,"Partial Invoiced","Not Invoiced"),"Fully Invoiced")</f>
        <v>Partial Invoiced</v>
      </c>
      <c r="R1078" t="str">
        <f>IFERROR(VLOOKUP(T[[#This Row],[warehouse]],Table2[],2,FALSE),"--")</f>
        <v>--</v>
      </c>
    </row>
    <row r="1079" spans="1:18" x14ac:dyDescent="0.25">
      <c r="A1079" t="s">
        <v>618</v>
      </c>
      <c r="B1079" s="1">
        <v>43818</v>
      </c>
      <c r="C1079" t="s">
        <v>619</v>
      </c>
      <c r="D1079" t="s">
        <v>74</v>
      </c>
      <c r="E1079" t="s">
        <v>146</v>
      </c>
      <c r="F1079" t="s">
        <v>86</v>
      </c>
      <c r="G1079" t="s">
        <v>87</v>
      </c>
      <c r="H1079" t="s">
        <v>24</v>
      </c>
      <c r="I1079">
        <v>3000</v>
      </c>
      <c r="J1079">
        <v>160.68</v>
      </c>
      <c r="K1079">
        <v>160.68</v>
      </c>
      <c r="L1079" t="s">
        <v>25</v>
      </c>
      <c r="M1079" t="s">
        <v>132</v>
      </c>
      <c r="N1079">
        <v>100000</v>
      </c>
      <c r="O1079">
        <v>16068000</v>
      </c>
      <c r="P1079" t="str">
        <f>IF(T[[#This Row],[qty_ordered]]&lt;&gt;T[[#This Row],[qty_received]],IF(T[[#This Row],[qty_received]]&gt;0,"Partial Received","Not Receviced"),"FullyReceived")</f>
        <v>Partial Received</v>
      </c>
      <c r="Q1079" t="str">
        <f>IF(T[[#This Row],[qty_received]]&lt;&gt;T[[#This Row],[qty_invoiced]],IF(T[[#This Row],[qty_invoiced]]&gt;0,"Partial Invoiced","Not Invoiced"),"Fully Invoiced")</f>
        <v>Fully Invoiced</v>
      </c>
      <c r="R1079" t="str">
        <f>IFERROR(VLOOKUP(T[[#This Row],[warehouse]],Table2[],2,FALSE),"--")</f>
        <v>Khtoum Main Warehouse</v>
      </c>
    </row>
    <row r="1080" spans="1:18" x14ac:dyDescent="0.25">
      <c r="A1080" t="s">
        <v>153</v>
      </c>
      <c r="B1080" s="1">
        <v>43807</v>
      </c>
      <c r="C1080" t="s">
        <v>547</v>
      </c>
      <c r="D1080" t="s">
        <v>71</v>
      </c>
      <c r="E1080" t="s">
        <v>823</v>
      </c>
      <c r="F1080" t="s">
        <v>167</v>
      </c>
      <c r="G1080" t="s">
        <v>156</v>
      </c>
      <c r="H1080" t="s">
        <v>24</v>
      </c>
      <c r="I1080">
        <v>76</v>
      </c>
      <c r="J1080">
        <v>76</v>
      </c>
      <c r="K1080">
        <v>76</v>
      </c>
      <c r="L1080" t="s">
        <v>25</v>
      </c>
      <c r="M1080" t="s">
        <v>132</v>
      </c>
      <c r="N1080">
        <v>116000</v>
      </c>
      <c r="O1080">
        <v>8816000</v>
      </c>
      <c r="P1080" t="str">
        <f>IF(T[[#This Row],[qty_ordered]]&lt;&gt;T[[#This Row],[qty_received]],IF(T[[#This Row],[qty_received]]&gt;0,"Partial Received","Not Receviced"),"FullyReceived")</f>
        <v>FullyReceived</v>
      </c>
      <c r="Q1080" t="str">
        <f>IF(T[[#This Row],[qty_received]]&lt;&gt;T[[#This Row],[qty_invoiced]],IF(T[[#This Row],[qty_invoiced]]&gt;0,"Partial Invoiced","Not Invoiced"),"Fully Invoiced")</f>
        <v>Fully Invoiced</v>
      </c>
      <c r="R1080" t="str">
        <f>IFERROR(VLOOKUP(T[[#This Row],[warehouse]],Table2[],2,FALSE),"--")</f>
        <v>Crusher - Al haramain</v>
      </c>
    </row>
    <row r="1081" spans="1:18" x14ac:dyDescent="0.25">
      <c r="A1081" t="s">
        <v>815</v>
      </c>
      <c r="B1081" s="1">
        <v>43852</v>
      </c>
      <c r="C1081" t="s">
        <v>885</v>
      </c>
      <c r="D1081" t="s">
        <v>71</v>
      </c>
      <c r="E1081" t="s">
        <v>259</v>
      </c>
      <c r="F1081" t="s">
        <v>108</v>
      </c>
      <c r="G1081" t="s">
        <v>109</v>
      </c>
      <c r="H1081" t="s">
        <v>24</v>
      </c>
      <c r="I1081">
        <v>1000</v>
      </c>
      <c r="J1081">
        <v>520.91999999999996</v>
      </c>
      <c r="K1081">
        <v>520.91999999999996</v>
      </c>
      <c r="L1081" t="s">
        <v>25</v>
      </c>
      <c r="M1081" t="s">
        <v>132</v>
      </c>
      <c r="N1081">
        <v>91225</v>
      </c>
      <c r="O1081">
        <v>47520927</v>
      </c>
      <c r="P1081" t="str">
        <f>IF(T[[#This Row],[qty_ordered]]&lt;&gt;T[[#This Row],[qty_received]],IF(T[[#This Row],[qty_received]]&gt;0,"Partial Received","Not Receviced"),"FullyReceived")</f>
        <v>Partial Received</v>
      </c>
      <c r="Q1081" t="str">
        <f>IF(T[[#This Row],[qty_received]]&lt;&gt;T[[#This Row],[qty_invoiced]],IF(T[[#This Row],[qty_invoiced]]&gt;0,"Partial Invoiced","Not Invoiced"),"Fully Invoiced")</f>
        <v>Fully Invoiced</v>
      </c>
      <c r="R1081" t="str">
        <f>IFERROR(VLOOKUP(T[[#This Row],[warehouse]],Table2[],2,FALSE),"--")</f>
        <v>Sifters Bahri-Libyan</v>
      </c>
    </row>
    <row r="1082" spans="1:18" x14ac:dyDescent="0.25">
      <c r="A1082" t="s">
        <v>400</v>
      </c>
      <c r="B1082" s="1">
        <v>43865</v>
      </c>
      <c r="C1082" t="s">
        <v>623</v>
      </c>
      <c r="D1082" t="s">
        <v>100</v>
      </c>
      <c r="E1082" t="s">
        <v>51</v>
      </c>
      <c r="F1082" t="s">
        <v>278</v>
      </c>
      <c r="G1082" t="s">
        <v>279</v>
      </c>
      <c r="H1082" t="s">
        <v>54</v>
      </c>
      <c r="I1082">
        <v>35</v>
      </c>
      <c r="J1082">
        <v>0</v>
      </c>
      <c r="K1082">
        <v>1</v>
      </c>
      <c r="L1082" t="s">
        <v>25</v>
      </c>
      <c r="M1082" t="s">
        <v>533</v>
      </c>
      <c r="N1082">
        <v>15</v>
      </c>
      <c r="O1082">
        <v>0</v>
      </c>
      <c r="P1082" t="str">
        <f>IF(T[[#This Row],[qty_ordered]]&lt;&gt;T[[#This Row],[qty_received]],IF(T[[#This Row],[qty_received]]&gt;0,"Partial Received","Not Receviced"),"FullyReceived")</f>
        <v>Not Receviced</v>
      </c>
      <c r="Q1082" t="str">
        <f>IF(T[[#This Row],[qty_received]]&lt;&gt;T[[#This Row],[qty_invoiced]],IF(T[[#This Row],[qty_invoiced]]&gt;0,"Partial Invoiced","Not Invoiced"),"Fully Invoiced")</f>
        <v>Partial Invoiced</v>
      </c>
      <c r="R1082" t="str">
        <f>IFERROR(VLOOKUP(T[[#This Row],[warehouse]],Table2[],2,FALSE),"--")</f>
        <v>--</v>
      </c>
    </row>
    <row r="1083" spans="1:18" x14ac:dyDescent="0.25">
      <c r="A1083" t="s">
        <v>732</v>
      </c>
      <c r="B1083" s="1">
        <v>43872</v>
      </c>
      <c r="C1083" t="s">
        <v>977</v>
      </c>
      <c r="D1083" t="s">
        <v>20</v>
      </c>
      <c r="E1083" t="s">
        <v>51</v>
      </c>
      <c r="F1083" t="s">
        <v>164</v>
      </c>
      <c r="G1083" t="s">
        <v>164</v>
      </c>
      <c r="H1083" t="s">
        <v>54</v>
      </c>
      <c r="I1083">
        <v>648.47</v>
      </c>
      <c r="J1083">
        <v>0</v>
      </c>
      <c r="K1083">
        <v>1</v>
      </c>
      <c r="L1083" t="s">
        <v>25</v>
      </c>
      <c r="M1083" t="s">
        <v>533</v>
      </c>
      <c r="N1083">
        <v>30</v>
      </c>
      <c r="O1083">
        <v>0</v>
      </c>
      <c r="P1083" t="str">
        <f>IF(T[[#This Row],[qty_ordered]]&lt;&gt;T[[#This Row],[qty_received]],IF(T[[#This Row],[qty_received]]&gt;0,"Partial Received","Not Receviced"),"FullyReceived")</f>
        <v>Not Receviced</v>
      </c>
      <c r="Q1083" t="str">
        <f>IF(T[[#This Row],[qty_received]]&lt;&gt;T[[#This Row],[qty_invoiced]],IF(T[[#This Row],[qty_invoiced]]&gt;0,"Partial Invoiced","Not Invoiced"),"Fully Invoiced")</f>
        <v>Partial Invoiced</v>
      </c>
      <c r="R1083" t="str">
        <f>IFERROR(VLOOKUP(T[[#This Row],[warehouse]],Table2[],2,FALSE),"--")</f>
        <v>--</v>
      </c>
    </row>
    <row r="1084" spans="1:18" x14ac:dyDescent="0.25">
      <c r="A1084" t="s">
        <v>732</v>
      </c>
      <c r="B1084" s="1">
        <v>43872</v>
      </c>
      <c r="C1084" t="s">
        <v>978</v>
      </c>
      <c r="D1084" t="s">
        <v>20</v>
      </c>
      <c r="E1084" t="s">
        <v>51</v>
      </c>
      <c r="F1084" t="s">
        <v>164</v>
      </c>
      <c r="G1084" t="s">
        <v>164</v>
      </c>
      <c r="H1084" t="s">
        <v>54</v>
      </c>
      <c r="I1084">
        <v>720</v>
      </c>
      <c r="J1084">
        <v>0</v>
      </c>
      <c r="K1084">
        <v>1</v>
      </c>
      <c r="L1084" t="s">
        <v>25</v>
      </c>
      <c r="M1084" t="s">
        <v>359</v>
      </c>
      <c r="N1084">
        <v>30</v>
      </c>
      <c r="O1084">
        <v>0</v>
      </c>
      <c r="P1084" t="str">
        <f>IF(T[[#This Row],[qty_ordered]]&lt;&gt;T[[#This Row],[qty_received]],IF(T[[#This Row],[qty_received]]&gt;0,"Partial Received","Not Receviced"),"FullyReceived")</f>
        <v>Not Receviced</v>
      </c>
      <c r="Q1084" t="str">
        <f>IF(T[[#This Row],[qty_received]]&lt;&gt;T[[#This Row],[qty_invoiced]],IF(T[[#This Row],[qty_invoiced]]&gt;0,"Partial Invoiced","Not Invoiced"),"Fully Invoiced")</f>
        <v>Partial Invoiced</v>
      </c>
      <c r="R1084" t="str">
        <f>IFERROR(VLOOKUP(T[[#This Row],[warehouse]],Table2[],2,FALSE),"--")</f>
        <v>--</v>
      </c>
    </row>
    <row r="1085" spans="1:18" x14ac:dyDescent="0.25">
      <c r="A1085" t="s">
        <v>332</v>
      </c>
      <c r="B1085" s="1">
        <v>43872</v>
      </c>
      <c r="C1085" t="s">
        <v>979</v>
      </c>
      <c r="D1085" t="s">
        <v>20</v>
      </c>
      <c r="E1085" t="s">
        <v>51</v>
      </c>
      <c r="F1085" t="s">
        <v>164</v>
      </c>
      <c r="G1085" t="s">
        <v>164</v>
      </c>
      <c r="H1085" t="s">
        <v>54</v>
      </c>
      <c r="I1085">
        <v>20000</v>
      </c>
      <c r="J1085">
        <v>0</v>
      </c>
      <c r="K1085">
        <v>1</v>
      </c>
      <c r="L1085" t="s">
        <v>25</v>
      </c>
      <c r="M1085" t="s">
        <v>533</v>
      </c>
      <c r="N1085">
        <v>20</v>
      </c>
      <c r="O1085">
        <v>0</v>
      </c>
      <c r="P1085" t="str">
        <f>IF(T[[#This Row],[qty_ordered]]&lt;&gt;T[[#This Row],[qty_received]],IF(T[[#This Row],[qty_received]]&gt;0,"Partial Received","Not Receviced"),"FullyReceived")</f>
        <v>Not Receviced</v>
      </c>
      <c r="Q1085" t="str">
        <f>IF(T[[#This Row],[qty_received]]&lt;&gt;T[[#This Row],[qty_invoiced]],IF(T[[#This Row],[qty_invoiced]]&gt;0,"Partial Invoiced","Not Invoiced"),"Fully Invoiced")</f>
        <v>Partial Invoiced</v>
      </c>
      <c r="R1085" t="str">
        <f>IFERROR(VLOOKUP(T[[#This Row],[warehouse]],Table2[],2,FALSE),"--")</f>
        <v>--</v>
      </c>
    </row>
    <row r="1086" spans="1:18" x14ac:dyDescent="0.25">
      <c r="A1086" t="s">
        <v>980</v>
      </c>
      <c r="B1086" s="1">
        <v>43873</v>
      </c>
      <c r="C1086" t="s">
        <v>981</v>
      </c>
      <c r="D1086" t="s">
        <v>20</v>
      </c>
      <c r="E1086" t="s">
        <v>146</v>
      </c>
      <c r="F1086" t="s">
        <v>41</v>
      </c>
      <c r="G1086" t="s">
        <v>42</v>
      </c>
      <c r="H1086" t="s">
        <v>24</v>
      </c>
      <c r="I1086">
        <v>2000</v>
      </c>
      <c r="J1086">
        <v>413.76400000000001</v>
      </c>
      <c r="K1086">
        <v>413.76400000000001</v>
      </c>
      <c r="L1086" t="s">
        <v>25</v>
      </c>
      <c r="M1086" t="s">
        <v>132</v>
      </c>
      <c r="N1086">
        <v>90000</v>
      </c>
      <c r="O1086">
        <v>37238760</v>
      </c>
      <c r="P1086" t="str">
        <f>IF(T[[#This Row],[qty_ordered]]&lt;&gt;T[[#This Row],[qty_received]],IF(T[[#This Row],[qty_received]]&gt;0,"Partial Received","Not Receviced"),"FullyReceived")</f>
        <v>Partial Received</v>
      </c>
      <c r="Q1086" t="str">
        <f>IF(T[[#This Row],[qty_received]]&lt;&gt;T[[#This Row],[qty_invoiced]],IF(T[[#This Row],[qty_invoiced]]&gt;0,"Partial Invoiced","Not Invoiced"),"Fully Invoiced")</f>
        <v>Fully Invoiced</v>
      </c>
      <c r="R1086" t="str">
        <f>IFERROR(VLOOKUP(T[[#This Row],[warehouse]],Table2[],2,FALSE),"--")</f>
        <v>Khtoum Main Warehouse</v>
      </c>
    </row>
    <row r="1087" spans="1:18" x14ac:dyDescent="0.25">
      <c r="A1087" t="s">
        <v>534</v>
      </c>
      <c r="B1087" s="1">
        <v>43793</v>
      </c>
      <c r="C1087" t="s">
        <v>551</v>
      </c>
      <c r="D1087" t="s">
        <v>88</v>
      </c>
      <c r="E1087" t="s">
        <v>46</v>
      </c>
      <c r="F1087" t="s">
        <v>47</v>
      </c>
      <c r="G1087" t="s">
        <v>48</v>
      </c>
      <c r="H1087" t="s">
        <v>24</v>
      </c>
      <c r="I1087">
        <v>200</v>
      </c>
      <c r="J1087">
        <v>89.3</v>
      </c>
      <c r="K1087">
        <v>89.3</v>
      </c>
      <c r="L1087" t="s">
        <v>25</v>
      </c>
      <c r="M1087" t="s">
        <v>132</v>
      </c>
      <c r="N1087">
        <v>87000</v>
      </c>
      <c r="O1087">
        <v>7769100</v>
      </c>
      <c r="P1087" t="str">
        <f>IF(T[[#This Row],[qty_ordered]]&lt;&gt;T[[#This Row],[qty_received]],IF(T[[#This Row],[qty_received]]&gt;0,"Partial Received","Not Receviced"),"FullyReceived")</f>
        <v>Partial Received</v>
      </c>
      <c r="Q1087" t="str">
        <f>IF(T[[#This Row],[qty_received]]&lt;&gt;T[[#This Row],[qty_invoiced]],IF(T[[#This Row],[qty_invoiced]]&gt;0,"Partial Invoiced","Not Invoiced"),"Fully Invoiced")</f>
        <v>Fully Invoiced</v>
      </c>
      <c r="R1087" t="str">
        <f>IFERROR(VLOOKUP(T[[#This Row],[warehouse]],Table2[],2,FALSE),"--")</f>
        <v xml:space="preserve">Sifter PZU - Tabil </v>
      </c>
    </row>
    <row r="1088" spans="1:18" x14ac:dyDescent="0.25">
      <c r="A1088" t="s">
        <v>84</v>
      </c>
      <c r="B1088" s="1">
        <v>44136</v>
      </c>
      <c r="C1088" t="s">
        <v>958</v>
      </c>
      <c r="D1088" t="s">
        <v>71</v>
      </c>
      <c r="E1088" t="s">
        <v>982</v>
      </c>
      <c r="F1088" t="s">
        <v>108</v>
      </c>
      <c r="G1088" t="s">
        <v>109</v>
      </c>
      <c r="H1088" t="s">
        <v>24</v>
      </c>
      <c r="I1088">
        <v>1000</v>
      </c>
      <c r="J1088">
        <v>863.25</v>
      </c>
      <c r="K1088">
        <v>863.25099999999998</v>
      </c>
      <c r="L1088" t="s">
        <v>25</v>
      </c>
      <c r="M1088" t="s">
        <v>132</v>
      </c>
      <c r="N1088">
        <v>200000</v>
      </c>
      <c r="O1088">
        <v>172650000</v>
      </c>
      <c r="P1088" t="str">
        <f>IF(T[[#This Row],[qty_ordered]]&lt;&gt;T[[#This Row],[qty_received]],IF(T[[#This Row],[qty_received]]&gt;0,"Partial Received","Not Receviced"),"FullyReceived")</f>
        <v>Partial Received</v>
      </c>
      <c r="Q1088" t="str">
        <f>IF(T[[#This Row],[qty_received]]&lt;&gt;T[[#This Row],[qty_invoiced]],IF(T[[#This Row],[qty_invoiced]]&gt;0,"Partial Invoiced","Not Invoiced"),"Fully Invoiced")</f>
        <v>Partial Invoiced</v>
      </c>
      <c r="R1088" t="str">
        <f>IFERROR(VLOOKUP(T[[#This Row],[warehouse]],Table2[],2,FALSE),"--")</f>
        <v>SIFTER - SAMELOMDRMA</v>
      </c>
    </row>
    <row r="1089" spans="1:18" x14ac:dyDescent="0.25">
      <c r="A1089" t="s">
        <v>84</v>
      </c>
      <c r="B1089" s="1">
        <v>44095</v>
      </c>
      <c r="C1089" t="s">
        <v>849</v>
      </c>
      <c r="D1089" t="s">
        <v>74</v>
      </c>
      <c r="E1089" t="s">
        <v>983</v>
      </c>
      <c r="F1089" t="s">
        <v>86</v>
      </c>
      <c r="G1089" t="s">
        <v>87</v>
      </c>
      <c r="H1089" t="s">
        <v>24</v>
      </c>
      <c r="I1089">
        <v>1000</v>
      </c>
      <c r="J1089">
        <v>0</v>
      </c>
      <c r="K1089">
        <v>0</v>
      </c>
      <c r="L1089" t="s">
        <v>25</v>
      </c>
      <c r="M1089" t="s">
        <v>132</v>
      </c>
      <c r="N1089">
        <v>200000</v>
      </c>
      <c r="O1089">
        <v>0</v>
      </c>
      <c r="P1089" t="str">
        <f>IF(T[[#This Row],[qty_ordered]]&lt;&gt;T[[#This Row],[qty_received]],IF(T[[#This Row],[qty_received]]&gt;0,"Partial Received","Not Receviced"),"FullyReceived")</f>
        <v>Not Receviced</v>
      </c>
      <c r="Q1089" t="str">
        <f>IF(T[[#This Row],[qty_received]]&lt;&gt;T[[#This Row],[qty_invoiced]],IF(T[[#This Row],[qty_invoiced]]&gt;0,"Partial Invoiced","Not Invoiced"),"Fully Invoiced")</f>
        <v>Fully Invoiced</v>
      </c>
      <c r="R1089" t="str">
        <f>IFERROR(VLOOKUP(T[[#This Row],[warehouse]],Table2[],2,FALSE),"--")</f>
        <v>SIFTER- ALNOR- OMDUR</v>
      </c>
    </row>
    <row r="1090" spans="1:18" x14ac:dyDescent="0.25">
      <c r="A1090" t="s">
        <v>618</v>
      </c>
      <c r="B1090" s="1">
        <v>44115</v>
      </c>
      <c r="C1090" t="s">
        <v>965</v>
      </c>
      <c r="D1090" t="s">
        <v>88</v>
      </c>
      <c r="E1090" t="s">
        <v>982</v>
      </c>
      <c r="F1090" t="s">
        <v>86</v>
      </c>
      <c r="G1090" t="s">
        <v>87</v>
      </c>
      <c r="H1090" t="s">
        <v>24</v>
      </c>
      <c r="I1090">
        <v>2605</v>
      </c>
      <c r="J1090">
        <v>0</v>
      </c>
      <c r="K1090">
        <v>0</v>
      </c>
      <c r="L1090" t="s">
        <v>25</v>
      </c>
      <c r="M1090" t="s">
        <v>132</v>
      </c>
      <c r="N1090">
        <v>410882.91746600001</v>
      </c>
      <c r="O1090">
        <v>0</v>
      </c>
      <c r="P1090" t="str">
        <f>IF(T[[#This Row],[qty_ordered]]&lt;&gt;T[[#This Row],[qty_received]],IF(T[[#This Row],[qty_received]]&gt;0,"Partial Received","Not Receviced"),"FullyReceived")</f>
        <v>Not Receviced</v>
      </c>
      <c r="Q1090" t="str">
        <f>IF(T[[#This Row],[qty_received]]&lt;&gt;T[[#This Row],[qty_invoiced]],IF(T[[#This Row],[qty_invoiced]]&gt;0,"Partial Invoiced","Not Invoiced"),"Fully Invoiced")</f>
        <v>Fully Invoiced</v>
      </c>
      <c r="R1090" t="str">
        <f>IFERROR(VLOOKUP(T[[#This Row],[warehouse]],Table2[],2,FALSE),"--")</f>
        <v>SIFTER - SAMELOMDRMA</v>
      </c>
    </row>
    <row r="1091" spans="1:18" x14ac:dyDescent="0.25">
      <c r="A1091" t="s">
        <v>228</v>
      </c>
      <c r="B1091" s="1">
        <v>44153</v>
      </c>
      <c r="C1091" t="s">
        <v>984</v>
      </c>
      <c r="D1091" t="s">
        <v>20</v>
      </c>
      <c r="E1091" t="s">
        <v>239</v>
      </c>
      <c r="F1091" t="s">
        <v>230</v>
      </c>
      <c r="G1091" t="s">
        <v>231</v>
      </c>
      <c r="H1091" t="s">
        <v>24</v>
      </c>
      <c r="I1091">
        <v>1567.07</v>
      </c>
      <c r="J1091">
        <v>1567.07</v>
      </c>
      <c r="K1091">
        <v>1567.07</v>
      </c>
      <c r="L1091" t="s">
        <v>25</v>
      </c>
      <c r="M1091" t="s">
        <v>707</v>
      </c>
      <c r="N1091">
        <v>325000</v>
      </c>
      <c r="O1091">
        <v>509297750</v>
      </c>
      <c r="P1091" t="str">
        <f>IF(T[[#This Row],[qty_ordered]]&lt;&gt;T[[#This Row],[qty_received]],IF(T[[#This Row],[qty_received]]&gt;0,"Partial Received","Not Receviced"),"FullyReceived")</f>
        <v>FullyReceived</v>
      </c>
      <c r="Q1091" t="str">
        <f>IF(T[[#This Row],[qty_received]]&lt;&gt;T[[#This Row],[qty_invoiced]],IF(T[[#This Row],[qty_invoiced]]&gt;0,"Partial Invoiced","Not Invoiced"),"Fully Invoiced")</f>
        <v>Fully Invoiced</v>
      </c>
      <c r="R1091" t="str">
        <f>IFERROR(VLOOKUP(T[[#This Row],[warehouse]],Table2[],2,FALSE),"--")</f>
        <v xml:space="preserve">Gadarif Main Store </v>
      </c>
    </row>
    <row r="1092" spans="1:18" x14ac:dyDescent="0.25">
      <c r="A1092" t="s">
        <v>985</v>
      </c>
      <c r="B1092" s="1">
        <v>44157</v>
      </c>
      <c r="C1092" t="s">
        <v>986</v>
      </c>
      <c r="D1092" t="s">
        <v>20</v>
      </c>
      <c r="E1092" t="s">
        <v>51</v>
      </c>
      <c r="F1092" t="s">
        <v>183</v>
      </c>
      <c r="G1092" t="s">
        <v>987</v>
      </c>
      <c r="H1092" t="s">
        <v>54</v>
      </c>
      <c r="I1092">
        <v>3000</v>
      </c>
      <c r="J1092">
        <v>0</v>
      </c>
      <c r="K1092">
        <v>1</v>
      </c>
      <c r="L1092" t="s">
        <v>25</v>
      </c>
      <c r="M1092" t="s">
        <v>533</v>
      </c>
      <c r="N1092">
        <v>2000</v>
      </c>
      <c r="O1092">
        <v>0</v>
      </c>
      <c r="P1092" t="str">
        <f>IF(T[[#This Row],[qty_ordered]]&lt;&gt;T[[#This Row],[qty_received]],IF(T[[#This Row],[qty_received]]&gt;0,"Partial Received","Not Receviced"),"FullyReceived")</f>
        <v>Not Receviced</v>
      </c>
      <c r="Q1092" t="str">
        <f>IF(T[[#This Row],[qty_received]]&lt;&gt;T[[#This Row],[qty_invoiced]],IF(T[[#This Row],[qty_invoiced]]&gt;0,"Partial Invoiced","Not Invoiced"),"Fully Invoiced")</f>
        <v>Partial Invoiced</v>
      </c>
      <c r="R1092" t="str">
        <f>IFERROR(VLOOKUP(T[[#This Row],[warehouse]],Table2[],2,FALSE),"--")</f>
        <v>--</v>
      </c>
    </row>
    <row r="1093" spans="1:18" x14ac:dyDescent="0.25">
      <c r="A1093" t="s">
        <v>201</v>
      </c>
      <c r="B1093" s="1">
        <v>44157</v>
      </c>
      <c r="C1093" t="s">
        <v>988</v>
      </c>
      <c r="D1093" t="s">
        <v>20</v>
      </c>
      <c r="E1093" t="s">
        <v>203</v>
      </c>
      <c r="F1093" t="s">
        <v>204</v>
      </c>
      <c r="G1093" t="s">
        <v>205</v>
      </c>
      <c r="H1093" t="s">
        <v>206</v>
      </c>
      <c r="I1093">
        <v>320</v>
      </c>
      <c r="J1093">
        <v>320</v>
      </c>
      <c r="K1093">
        <v>320</v>
      </c>
      <c r="L1093" t="s">
        <v>25</v>
      </c>
      <c r="M1093" t="s">
        <v>575</v>
      </c>
      <c r="N1093">
        <v>92045.641736000005</v>
      </c>
      <c r="O1093">
        <v>29454605.355519999</v>
      </c>
      <c r="P1093" t="str">
        <f>IF(T[[#This Row],[qty_ordered]]&lt;&gt;T[[#This Row],[qty_received]],IF(T[[#This Row],[qty_received]]&gt;0,"Partial Received","Not Receviced"),"FullyReceived")</f>
        <v>FullyReceived</v>
      </c>
      <c r="Q1093" t="str">
        <f>IF(T[[#This Row],[qty_received]]&lt;&gt;T[[#This Row],[qty_invoiced]],IF(T[[#This Row],[qty_invoiced]]&gt;0,"Partial Invoiced","Not Invoiced"),"Fully Invoiced")</f>
        <v>Fully Invoiced</v>
      </c>
      <c r="R1093" t="str">
        <f>IFERROR(VLOOKUP(T[[#This Row],[warehouse]],Table2[],2,FALSE),"--")</f>
        <v>PZU Packaging Warehouse</v>
      </c>
    </row>
    <row r="1094" spans="1:18" x14ac:dyDescent="0.25">
      <c r="A1094" t="s">
        <v>989</v>
      </c>
      <c r="B1094" s="1">
        <v>44157</v>
      </c>
      <c r="C1094" t="s">
        <v>990</v>
      </c>
      <c r="D1094" t="s">
        <v>20</v>
      </c>
      <c r="E1094" t="s">
        <v>51</v>
      </c>
      <c r="F1094" t="s">
        <v>183</v>
      </c>
      <c r="G1094" t="s">
        <v>991</v>
      </c>
      <c r="H1094" t="s">
        <v>54</v>
      </c>
      <c r="I1094">
        <v>3000</v>
      </c>
      <c r="J1094">
        <v>0</v>
      </c>
      <c r="K1094">
        <v>1</v>
      </c>
      <c r="L1094" t="s">
        <v>25</v>
      </c>
      <c r="M1094" t="s">
        <v>533</v>
      </c>
      <c r="N1094">
        <v>2000</v>
      </c>
      <c r="O1094">
        <v>0</v>
      </c>
      <c r="P1094" t="str">
        <f>IF(T[[#This Row],[qty_ordered]]&lt;&gt;T[[#This Row],[qty_received]],IF(T[[#This Row],[qty_received]]&gt;0,"Partial Received","Not Receviced"),"FullyReceived")</f>
        <v>Not Receviced</v>
      </c>
      <c r="Q1094" t="str">
        <f>IF(T[[#This Row],[qty_received]]&lt;&gt;T[[#This Row],[qty_invoiced]],IF(T[[#This Row],[qty_invoiced]]&gt;0,"Partial Invoiced","Not Invoiced"),"Fully Invoiced")</f>
        <v>Partial Invoiced</v>
      </c>
      <c r="R1094" t="str">
        <f>IFERROR(VLOOKUP(T[[#This Row],[warehouse]],Table2[],2,FALSE),"--")</f>
        <v>--</v>
      </c>
    </row>
    <row r="1095" spans="1:18" x14ac:dyDescent="0.25">
      <c r="A1095" t="s">
        <v>992</v>
      </c>
      <c r="B1095" s="1">
        <v>44157</v>
      </c>
      <c r="C1095" t="s">
        <v>993</v>
      </c>
      <c r="D1095" t="s">
        <v>20</v>
      </c>
      <c r="E1095" t="s">
        <v>51</v>
      </c>
      <c r="F1095" t="s">
        <v>183</v>
      </c>
      <c r="G1095" t="s">
        <v>994</v>
      </c>
      <c r="H1095" t="s">
        <v>54</v>
      </c>
      <c r="I1095">
        <v>2000</v>
      </c>
      <c r="J1095">
        <v>0</v>
      </c>
      <c r="K1095">
        <v>1</v>
      </c>
      <c r="L1095" t="s">
        <v>25</v>
      </c>
      <c r="M1095" t="s">
        <v>533</v>
      </c>
      <c r="N1095">
        <v>2000</v>
      </c>
      <c r="O1095">
        <v>0</v>
      </c>
      <c r="P1095" t="str">
        <f>IF(T[[#This Row],[qty_ordered]]&lt;&gt;T[[#This Row],[qty_received]],IF(T[[#This Row],[qty_received]]&gt;0,"Partial Received","Not Receviced"),"FullyReceived")</f>
        <v>Not Receviced</v>
      </c>
      <c r="Q1095" t="str">
        <f>IF(T[[#This Row],[qty_received]]&lt;&gt;T[[#This Row],[qty_invoiced]],IF(T[[#This Row],[qty_invoiced]]&gt;0,"Partial Invoiced","Not Invoiced"),"Fully Invoiced")</f>
        <v>Partial Invoiced</v>
      </c>
      <c r="R1095" t="str">
        <f>IFERROR(VLOOKUP(T[[#This Row],[warehouse]],Table2[],2,FALSE),"--")</f>
        <v>--</v>
      </c>
    </row>
    <row r="1096" spans="1:18" x14ac:dyDescent="0.25">
      <c r="A1096" t="s">
        <v>815</v>
      </c>
      <c r="B1096" s="1">
        <v>44158</v>
      </c>
      <c r="C1096" t="s">
        <v>995</v>
      </c>
      <c r="D1096" t="s">
        <v>20</v>
      </c>
      <c r="E1096" t="s">
        <v>146</v>
      </c>
      <c r="F1096" t="s">
        <v>108</v>
      </c>
      <c r="G1096" t="s">
        <v>109</v>
      </c>
      <c r="H1096" t="s">
        <v>24</v>
      </c>
      <c r="I1096">
        <v>500</v>
      </c>
      <c r="J1096">
        <v>499.68</v>
      </c>
      <c r="K1096">
        <v>499.68</v>
      </c>
      <c r="L1096" t="s">
        <v>25</v>
      </c>
      <c r="M1096" t="s">
        <v>707</v>
      </c>
      <c r="N1096">
        <v>263000</v>
      </c>
      <c r="O1096">
        <v>131415840</v>
      </c>
      <c r="P1096" t="str">
        <f>IF(T[[#This Row],[qty_ordered]]&lt;&gt;T[[#This Row],[qty_received]],IF(T[[#This Row],[qty_received]]&gt;0,"Partial Received","Not Receviced"),"FullyReceived")</f>
        <v>Partial Received</v>
      </c>
      <c r="Q1096" t="str">
        <f>IF(T[[#This Row],[qty_received]]&lt;&gt;T[[#This Row],[qty_invoiced]],IF(T[[#This Row],[qty_invoiced]]&gt;0,"Partial Invoiced","Not Invoiced"),"Fully Invoiced")</f>
        <v>Fully Invoiced</v>
      </c>
      <c r="R1096" t="str">
        <f>IFERROR(VLOOKUP(T[[#This Row],[warehouse]],Table2[],2,FALSE),"--")</f>
        <v>Khtoum Main Warehouse</v>
      </c>
    </row>
    <row r="1097" spans="1:18" x14ac:dyDescent="0.25">
      <c r="A1097" t="s">
        <v>84</v>
      </c>
      <c r="B1097" s="1">
        <v>44136</v>
      </c>
      <c r="C1097" t="s">
        <v>958</v>
      </c>
      <c r="D1097" t="s">
        <v>100</v>
      </c>
      <c r="E1097" t="s">
        <v>908</v>
      </c>
      <c r="F1097" t="s">
        <v>108</v>
      </c>
      <c r="G1097" t="s">
        <v>109</v>
      </c>
      <c r="H1097" t="s">
        <v>24</v>
      </c>
      <c r="I1097">
        <v>1524.75</v>
      </c>
      <c r="J1097">
        <v>1524.75</v>
      </c>
      <c r="K1097">
        <v>1524.75</v>
      </c>
      <c r="L1097" t="s">
        <v>25</v>
      </c>
      <c r="M1097" t="s">
        <v>132</v>
      </c>
      <c r="N1097">
        <v>267556.25</v>
      </c>
      <c r="O1097">
        <v>407956392.1875</v>
      </c>
      <c r="P1097" t="str">
        <f>IF(T[[#This Row],[qty_ordered]]&lt;&gt;T[[#This Row],[qty_received]],IF(T[[#This Row],[qty_received]]&gt;0,"Partial Received","Not Receviced"),"FullyReceived")</f>
        <v>FullyReceived</v>
      </c>
      <c r="Q1097" t="str">
        <f>IF(T[[#This Row],[qty_received]]&lt;&gt;T[[#This Row],[qty_invoiced]],IF(T[[#This Row],[qty_invoiced]]&gt;0,"Partial Invoiced","Not Invoiced"),"Fully Invoiced")</f>
        <v>Fully Invoiced</v>
      </c>
      <c r="R1097" t="str">
        <f>IFERROR(VLOOKUP(T[[#This Row],[warehouse]],Table2[],2,FALSE),"--")</f>
        <v>SIFTER- ALNAZER-OMDU</v>
      </c>
    </row>
    <row r="1098" spans="1:18" x14ac:dyDescent="0.25">
      <c r="A1098" t="s">
        <v>739</v>
      </c>
      <c r="B1098" s="1">
        <v>44140</v>
      </c>
      <c r="C1098" t="s">
        <v>966</v>
      </c>
      <c r="D1098" t="s">
        <v>88</v>
      </c>
      <c r="E1098" t="s">
        <v>660</v>
      </c>
      <c r="F1098" t="s">
        <v>705</v>
      </c>
      <c r="G1098" t="s">
        <v>706</v>
      </c>
      <c r="H1098" t="s">
        <v>663</v>
      </c>
      <c r="I1098">
        <v>2800.1</v>
      </c>
      <c r="J1098">
        <v>2800.1</v>
      </c>
      <c r="K1098">
        <v>2800.1</v>
      </c>
      <c r="L1098" t="s">
        <v>25</v>
      </c>
      <c r="M1098" t="s">
        <v>132</v>
      </c>
      <c r="N1098">
        <v>800</v>
      </c>
      <c r="O1098">
        <v>2240080</v>
      </c>
      <c r="P1098" t="str">
        <f>IF(T[[#This Row],[qty_ordered]]&lt;&gt;T[[#This Row],[qty_received]],IF(T[[#This Row],[qty_received]]&gt;0,"Partial Received","Not Receviced"),"FullyReceived")</f>
        <v>FullyReceived</v>
      </c>
      <c r="Q1098" t="str">
        <f>IF(T[[#This Row],[qty_received]]&lt;&gt;T[[#This Row],[qty_invoiced]],IF(T[[#This Row],[qty_invoiced]]&gt;0,"Partial Invoiced","Not Invoiced"),"Fully Invoiced")</f>
        <v>Fully Invoiced</v>
      </c>
      <c r="R1098" t="str">
        <f>IFERROR(VLOOKUP(T[[#This Row],[warehouse]],Table2[],2,FALSE),"--")</f>
        <v>SLAUGHTER HOUSE</v>
      </c>
    </row>
    <row r="1099" spans="1:18" x14ac:dyDescent="0.25">
      <c r="A1099" t="s">
        <v>658</v>
      </c>
      <c r="B1099" s="1">
        <v>44140</v>
      </c>
      <c r="C1099" t="s">
        <v>967</v>
      </c>
      <c r="D1099" t="s">
        <v>88</v>
      </c>
      <c r="E1099" t="s">
        <v>660</v>
      </c>
      <c r="F1099" t="s">
        <v>661</v>
      </c>
      <c r="G1099" t="s">
        <v>662</v>
      </c>
      <c r="H1099" t="s">
        <v>663</v>
      </c>
      <c r="I1099">
        <v>2025.8</v>
      </c>
      <c r="J1099">
        <v>2025.8</v>
      </c>
      <c r="K1099">
        <v>2025.8</v>
      </c>
      <c r="L1099" t="s">
        <v>25</v>
      </c>
      <c r="M1099" t="s">
        <v>132</v>
      </c>
      <c r="N1099">
        <v>700</v>
      </c>
      <c r="O1099">
        <v>1418060</v>
      </c>
      <c r="P1099" t="str">
        <f>IF(T[[#This Row],[qty_ordered]]&lt;&gt;T[[#This Row],[qty_received]],IF(T[[#This Row],[qty_received]]&gt;0,"Partial Received","Not Receviced"),"FullyReceived")</f>
        <v>FullyReceived</v>
      </c>
      <c r="Q1099" t="str">
        <f>IF(T[[#This Row],[qty_received]]&lt;&gt;T[[#This Row],[qty_invoiced]],IF(T[[#This Row],[qty_invoiced]]&gt;0,"Partial Invoiced","Not Invoiced"),"Fully Invoiced")</f>
        <v>Fully Invoiced</v>
      </c>
      <c r="R1099" t="str">
        <f>IFERROR(VLOOKUP(T[[#This Row],[warehouse]],Table2[],2,FALSE),"--")</f>
        <v>SLAUGHTER HOUSE</v>
      </c>
    </row>
    <row r="1100" spans="1:18" x14ac:dyDescent="0.25">
      <c r="A1100" t="s">
        <v>201</v>
      </c>
      <c r="B1100" s="1">
        <v>44157</v>
      </c>
      <c r="C1100" t="s">
        <v>988</v>
      </c>
      <c r="D1100" t="s">
        <v>71</v>
      </c>
      <c r="E1100" t="s">
        <v>51</v>
      </c>
      <c r="F1100" t="s">
        <v>933</v>
      </c>
      <c r="G1100" t="s">
        <v>933</v>
      </c>
      <c r="H1100" t="s">
        <v>54</v>
      </c>
      <c r="I1100">
        <v>2</v>
      </c>
      <c r="J1100">
        <v>0</v>
      </c>
      <c r="K1100">
        <v>1</v>
      </c>
      <c r="L1100" t="s">
        <v>25</v>
      </c>
      <c r="M1100" t="s">
        <v>575</v>
      </c>
      <c r="N1100">
        <v>2315110</v>
      </c>
      <c r="O1100">
        <v>0</v>
      </c>
      <c r="P1100" t="str">
        <f>IF(T[[#This Row],[qty_ordered]]&lt;&gt;T[[#This Row],[qty_received]],IF(T[[#This Row],[qty_received]]&gt;0,"Partial Received","Not Receviced"),"FullyReceived")</f>
        <v>Not Receviced</v>
      </c>
      <c r="Q1100" t="str">
        <f>IF(T[[#This Row],[qty_received]]&lt;&gt;T[[#This Row],[qty_invoiced]],IF(T[[#This Row],[qty_invoiced]]&gt;0,"Partial Invoiced","Not Invoiced"),"Fully Invoiced")</f>
        <v>Partial Invoiced</v>
      </c>
      <c r="R1100" t="str">
        <f>IFERROR(VLOOKUP(T[[#This Row],[warehouse]],Table2[],2,FALSE),"--")</f>
        <v>--</v>
      </c>
    </row>
    <row r="1101" spans="1:18" x14ac:dyDescent="0.25">
      <c r="A1101" t="s">
        <v>970</v>
      </c>
      <c r="B1101" s="1">
        <v>44144</v>
      </c>
      <c r="C1101" t="s">
        <v>971</v>
      </c>
      <c r="D1101" t="s">
        <v>71</v>
      </c>
      <c r="E1101" t="s">
        <v>162</v>
      </c>
      <c r="F1101" t="s">
        <v>86</v>
      </c>
      <c r="G1101" t="s">
        <v>87</v>
      </c>
      <c r="H1101" t="s">
        <v>24</v>
      </c>
      <c r="I1101">
        <v>20</v>
      </c>
      <c r="J1101">
        <v>8.5749999999999993</v>
      </c>
      <c r="K1101">
        <v>8.5749999999999993</v>
      </c>
      <c r="L1101" t="s">
        <v>25</v>
      </c>
      <c r="M1101" t="s">
        <v>707</v>
      </c>
      <c r="N1101">
        <v>381921</v>
      </c>
      <c r="O1101">
        <v>3274972.5750000002</v>
      </c>
      <c r="P1101" t="str">
        <f>IF(T[[#This Row],[qty_ordered]]&lt;&gt;T[[#This Row],[qty_received]],IF(T[[#This Row],[qty_received]]&gt;0,"Partial Received","Not Receviced"),"FullyReceived")</f>
        <v>Partial Received</v>
      </c>
      <c r="Q1101" t="str">
        <f>IF(T[[#This Row],[qty_received]]&lt;&gt;T[[#This Row],[qty_invoiced]],IF(T[[#This Row],[qty_invoiced]]&gt;0,"Partial Invoiced","Not Invoiced"),"Fully Invoiced")</f>
        <v>Fully Invoiced</v>
      </c>
      <c r="R1101" t="str">
        <f>IFERROR(VLOOKUP(T[[#This Row],[warehouse]],Table2[],2,FALSE),"--")</f>
        <v>Sifters Mahasilna</v>
      </c>
    </row>
    <row r="1102" spans="1:18" x14ac:dyDescent="0.25">
      <c r="A1102" t="s">
        <v>242</v>
      </c>
      <c r="B1102" s="1">
        <v>44143</v>
      </c>
      <c r="C1102" t="s">
        <v>969</v>
      </c>
      <c r="D1102" t="s">
        <v>100</v>
      </c>
      <c r="E1102" t="s">
        <v>405</v>
      </c>
      <c r="F1102" t="s">
        <v>244</v>
      </c>
      <c r="G1102" t="s">
        <v>245</v>
      </c>
      <c r="H1102" t="s">
        <v>24</v>
      </c>
      <c r="I1102">
        <v>206.26</v>
      </c>
      <c r="J1102">
        <v>206.26</v>
      </c>
      <c r="K1102">
        <v>206.26</v>
      </c>
      <c r="L1102" t="s">
        <v>25</v>
      </c>
      <c r="M1102" t="s">
        <v>132</v>
      </c>
      <c r="N1102">
        <v>120000</v>
      </c>
      <c r="O1102">
        <v>63330936.485739999</v>
      </c>
      <c r="P1102" t="str">
        <f>IF(T[[#This Row],[qty_ordered]]&lt;&gt;T[[#This Row],[qty_received]],IF(T[[#This Row],[qty_received]]&gt;0,"Partial Received","Not Receviced"),"FullyReceived")</f>
        <v>FullyReceived</v>
      </c>
      <c r="Q1102" t="str">
        <f>IF(T[[#This Row],[qty_received]]&lt;&gt;T[[#This Row],[qty_invoiced]],IF(T[[#This Row],[qty_invoiced]]&gt;0,"Partial Invoiced","Not Invoiced"),"Fully Invoiced")</f>
        <v>Fully Invoiced</v>
      </c>
      <c r="R1102" t="str">
        <f>IFERROR(VLOOKUP(T[[#This Row],[warehouse]],Table2[],2,FALSE),"--")</f>
        <v>GINNING ISHRAG-MDNI</v>
      </c>
    </row>
    <row r="1103" spans="1:18" x14ac:dyDescent="0.25">
      <c r="A1103" t="s">
        <v>235</v>
      </c>
      <c r="B1103" s="1">
        <v>43852</v>
      </c>
      <c r="C1103" t="s">
        <v>930</v>
      </c>
      <c r="D1103" t="s">
        <v>100</v>
      </c>
      <c r="E1103" t="s">
        <v>51</v>
      </c>
      <c r="F1103" t="s">
        <v>546</v>
      </c>
      <c r="G1103" t="s">
        <v>546</v>
      </c>
      <c r="H1103" t="s">
        <v>54</v>
      </c>
      <c r="I1103">
        <v>5500</v>
      </c>
      <c r="J1103">
        <v>0</v>
      </c>
      <c r="K1103">
        <v>1</v>
      </c>
      <c r="L1103" t="s">
        <v>25</v>
      </c>
      <c r="M1103" t="s">
        <v>533</v>
      </c>
      <c r="N1103">
        <v>4.5</v>
      </c>
      <c r="O1103">
        <v>0</v>
      </c>
      <c r="P1103" t="str">
        <f>IF(T[[#This Row],[qty_ordered]]&lt;&gt;T[[#This Row],[qty_received]],IF(T[[#This Row],[qty_received]]&gt;0,"Partial Received","Not Receviced"),"FullyReceived")</f>
        <v>Not Receviced</v>
      </c>
      <c r="Q1103" t="str">
        <f>IF(T[[#This Row],[qty_received]]&lt;&gt;T[[#This Row],[qty_invoiced]],IF(T[[#This Row],[qty_invoiced]]&gt;0,"Partial Invoiced","Not Invoiced"),"Fully Invoiced")</f>
        <v>Partial Invoiced</v>
      </c>
      <c r="R1103" t="str">
        <f>IFERROR(VLOOKUP(T[[#This Row],[warehouse]],Table2[],2,FALSE),"--")</f>
        <v>--</v>
      </c>
    </row>
    <row r="1104" spans="1:18" x14ac:dyDescent="0.25">
      <c r="A1104" t="s">
        <v>235</v>
      </c>
      <c r="B1104" s="1">
        <v>44132</v>
      </c>
      <c r="C1104" t="s">
        <v>951</v>
      </c>
      <c r="D1104" t="s">
        <v>100</v>
      </c>
      <c r="E1104" t="s">
        <v>51</v>
      </c>
      <c r="F1104" t="s">
        <v>546</v>
      </c>
      <c r="G1104" t="s">
        <v>952</v>
      </c>
      <c r="H1104" t="s">
        <v>54</v>
      </c>
      <c r="I1104">
        <v>5000</v>
      </c>
      <c r="J1104">
        <v>0</v>
      </c>
      <c r="K1104">
        <v>1</v>
      </c>
      <c r="L1104" t="s">
        <v>25</v>
      </c>
      <c r="M1104" t="s">
        <v>533</v>
      </c>
      <c r="N1104">
        <v>4.5</v>
      </c>
      <c r="O1104">
        <v>0</v>
      </c>
      <c r="P1104" t="str">
        <f>IF(T[[#This Row],[qty_ordered]]&lt;&gt;T[[#This Row],[qty_received]],IF(T[[#This Row],[qty_received]]&gt;0,"Partial Received","Not Receviced"),"FullyReceived")</f>
        <v>Not Receviced</v>
      </c>
      <c r="Q1104" t="str">
        <f>IF(T[[#This Row],[qty_received]]&lt;&gt;T[[#This Row],[qty_invoiced]],IF(T[[#This Row],[qty_invoiced]]&gt;0,"Partial Invoiced","Not Invoiced"),"Fully Invoiced")</f>
        <v>Partial Invoiced</v>
      </c>
      <c r="R1104" t="str">
        <f>IFERROR(VLOOKUP(T[[#This Row],[warehouse]],Table2[],2,FALSE),"--")</f>
        <v>--</v>
      </c>
    </row>
    <row r="1105" spans="1:18" x14ac:dyDescent="0.25">
      <c r="A1105" t="s">
        <v>235</v>
      </c>
      <c r="B1105" s="1">
        <v>44132</v>
      </c>
      <c r="C1105" t="s">
        <v>951</v>
      </c>
      <c r="D1105" t="s">
        <v>88</v>
      </c>
      <c r="E1105" t="s">
        <v>51</v>
      </c>
      <c r="F1105" t="s">
        <v>546</v>
      </c>
      <c r="G1105" t="s">
        <v>952</v>
      </c>
      <c r="H1105" t="s">
        <v>54</v>
      </c>
      <c r="I1105">
        <v>7000</v>
      </c>
      <c r="J1105">
        <v>0</v>
      </c>
      <c r="K1105">
        <v>1</v>
      </c>
      <c r="L1105" t="s">
        <v>25</v>
      </c>
      <c r="M1105" t="s">
        <v>533</v>
      </c>
      <c r="N1105">
        <v>4.5</v>
      </c>
      <c r="O1105">
        <v>0</v>
      </c>
      <c r="P1105" t="str">
        <f>IF(T[[#This Row],[qty_ordered]]&lt;&gt;T[[#This Row],[qty_received]],IF(T[[#This Row],[qty_received]]&gt;0,"Partial Received","Not Receviced"),"FullyReceived")</f>
        <v>Not Receviced</v>
      </c>
      <c r="Q1105" t="str">
        <f>IF(T[[#This Row],[qty_received]]&lt;&gt;T[[#This Row],[qty_invoiced]],IF(T[[#This Row],[qty_invoiced]]&gt;0,"Partial Invoiced","Not Invoiced"),"Fully Invoiced")</f>
        <v>Partial Invoiced</v>
      </c>
      <c r="R1105" t="str">
        <f>IFERROR(VLOOKUP(T[[#This Row],[warehouse]],Table2[],2,FALSE),"--")</f>
        <v>--</v>
      </c>
    </row>
    <row r="1106" spans="1:18" x14ac:dyDescent="0.25">
      <c r="A1106" t="s">
        <v>790</v>
      </c>
      <c r="B1106" s="1">
        <v>43865</v>
      </c>
      <c r="C1106" t="s">
        <v>975</v>
      </c>
      <c r="D1106" t="s">
        <v>76</v>
      </c>
      <c r="E1106" t="s">
        <v>51</v>
      </c>
      <c r="F1106" t="s">
        <v>164</v>
      </c>
      <c r="G1106" t="s">
        <v>792</v>
      </c>
      <c r="H1106" t="s">
        <v>54</v>
      </c>
      <c r="I1106">
        <v>8928</v>
      </c>
      <c r="J1106">
        <v>0</v>
      </c>
      <c r="K1106">
        <v>1</v>
      </c>
      <c r="L1106" t="s">
        <v>25</v>
      </c>
      <c r="M1106" t="s">
        <v>533</v>
      </c>
      <c r="N1106">
        <v>3</v>
      </c>
      <c r="O1106">
        <v>0</v>
      </c>
      <c r="P1106" t="str">
        <f>IF(T[[#This Row],[qty_ordered]]&lt;&gt;T[[#This Row],[qty_received]],IF(T[[#This Row],[qty_received]]&gt;0,"Partial Received","Not Receviced"),"FullyReceived")</f>
        <v>Not Receviced</v>
      </c>
      <c r="Q1106" t="str">
        <f>IF(T[[#This Row],[qty_received]]&lt;&gt;T[[#This Row],[qty_invoiced]],IF(T[[#This Row],[qty_invoiced]]&gt;0,"Partial Invoiced","Not Invoiced"),"Fully Invoiced")</f>
        <v>Partial Invoiced</v>
      </c>
      <c r="R1106" t="str">
        <f>IFERROR(VLOOKUP(T[[#This Row],[warehouse]],Table2[],2,FALSE),"--")</f>
        <v>--</v>
      </c>
    </row>
    <row r="1107" spans="1:18" x14ac:dyDescent="0.25">
      <c r="A1107" t="s">
        <v>790</v>
      </c>
      <c r="B1107" s="1">
        <v>44160</v>
      </c>
      <c r="C1107" t="s">
        <v>996</v>
      </c>
      <c r="D1107" t="s">
        <v>20</v>
      </c>
      <c r="E1107" t="s">
        <v>51</v>
      </c>
      <c r="F1107" t="s">
        <v>164</v>
      </c>
      <c r="G1107" t="s">
        <v>997</v>
      </c>
      <c r="H1107" t="s">
        <v>54</v>
      </c>
      <c r="I1107">
        <v>7349</v>
      </c>
      <c r="J1107">
        <v>0</v>
      </c>
      <c r="K1107">
        <v>1</v>
      </c>
      <c r="L1107" t="s">
        <v>25</v>
      </c>
      <c r="M1107" t="s">
        <v>533</v>
      </c>
      <c r="N1107">
        <v>3</v>
      </c>
      <c r="O1107">
        <v>0</v>
      </c>
      <c r="P1107" t="str">
        <f>IF(T[[#This Row],[qty_ordered]]&lt;&gt;T[[#This Row],[qty_received]],IF(T[[#This Row],[qty_received]]&gt;0,"Partial Received","Not Receviced"),"FullyReceived")</f>
        <v>Not Receviced</v>
      </c>
      <c r="Q1107" t="str">
        <f>IF(T[[#This Row],[qty_received]]&lt;&gt;T[[#This Row],[qty_invoiced]],IF(T[[#This Row],[qty_invoiced]]&gt;0,"Partial Invoiced","Not Invoiced"),"Fully Invoiced")</f>
        <v>Partial Invoiced</v>
      </c>
      <c r="R1107" t="str">
        <f>IFERROR(VLOOKUP(T[[#This Row],[warehouse]],Table2[],2,FALSE),"--")</f>
        <v>--</v>
      </c>
    </row>
    <row r="1108" spans="1:18" x14ac:dyDescent="0.25">
      <c r="A1108" t="s">
        <v>235</v>
      </c>
      <c r="B1108" s="1">
        <v>44160</v>
      </c>
      <c r="C1108" t="s">
        <v>998</v>
      </c>
      <c r="D1108" t="s">
        <v>20</v>
      </c>
      <c r="E1108" t="s">
        <v>51</v>
      </c>
      <c r="F1108" t="s">
        <v>546</v>
      </c>
      <c r="G1108" t="s">
        <v>999</v>
      </c>
      <c r="H1108" t="s">
        <v>54</v>
      </c>
      <c r="I1108">
        <v>10000</v>
      </c>
      <c r="J1108">
        <v>0</v>
      </c>
      <c r="K1108">
        <v>1</v>
      </c>
      <c r="L1108" t="s">
        <v>25</v>
      </c>
      <c r="M1108" t="s">
        <v>2836</v>
      </c>
      <c r="N1108">
        <v>4.5</v>
      </c>
      <c r="O1108">
        <v>0</v>
      </c>
      <c r="P1108" t="str">
        <f>IF(T[[#This Row],[qty_ordered]]&lt;&gt;T[[#This Row],[qty_received]],IF(T[[#This Row],[qty_received]]&gt;0,"Partial Received","Not Receviced"),"FullyReceived")</f>
        <v>Not Receviced</v>
      </c>
      <c r="Q1108" t="str">
        <f>IF(T[[#This Row],[qty_received]]&lt;&gt;T[[#This Row],[qty_invoiced]],IF(T[[#This Row],[qty_invoiced]]&gt;0,"Partial Invoiced","Not Invoiced"),"Fully Invoiced")</f>
        <v>Partial Invoiced</v>
      </c>
      <c r="R1108" t="str">
        <f>IFERROR(VLOOKUP(T[[#This Row],[warehouse]],Table2[],2,FALSE),"--")</f>
        <v>--</v>
      </c>
    </row>
    <row r="1109" spans="1:18" x14ac:dyDescent="0.25">
      <c r="A1109" t="s">
        <v>235</v>
      </c>
      <c r="B1109" s="1">
        <v>44160</v>
      </c>
      <c r="C1109" t="s">
        <v>998</v>
      </c>
      <c r="D1109" t="s">
        <v>71</v>
      </c>
      <c r="E1109" t="s">
        <v>51</v>
      </c>
      <c r="F1109" t="s">
        <v>546</v>
      </c>
      <c r="G1109" t="s">
        <v>999</v>
      </c>
      <c r="H1109" t="s">
        <v>54</v>
      </c>
      <c r="I1109">
        <v>10000</v>
      </c>
      <c r="J1109">
        <v>0</v>
      </c>
      <c r="K1109">
        <v>1</v>
      </c>
      <c r="L1109" t="s">
        <v>25</v>
      </c>
      <c r="M1109" t="s">
        <v>2836</v>
      </c>
      <c r="N1109">
        <v>4.5</v>
      </c>
      <c r="O1109">
        <v>0</v>
      </c>
      <c r="P1109" t="str">
        <f>IF(T[[#This Row],[qty_ordered]]&lt;&gt;T[[#This Row],[qty_received]],IF(T[[#This Row],[qty_received]]&gt;0,"Partial Received","Not Receviced"),"FullyReceived")</f>
        <v>Not Receviced</v>
      </c>
      <c r="Q1109" t="str">
        <f>IF(T[[#This Row],[qty_received]]&lt;&gt;T[[#This Row],[qty_invoiced]],IF(T[[#This Row],[qty_invoiced]]&gt;0,"Partial Invoiced","Not Invoiced"),"Fully Invoiced")</f>
        <v>Partial Invoiced</v>
      </c>
      <c r="R1109" t="str">
        <f>IFERROR(VLOOKUP(T[[#This Row],[warehouse]],Table2[],2,FALSE),"--")</f>
        <v>--</v>
      </c>
    </row>
    <row r="1110" spans="1:18" x14ac:dyDescent="0.25">
      <c r="A1110" t="s">
        <v>235</v>
      </c>
      <c r="B1110" s="1">
        <v>44160</v>
      </c>
      <c r="C1110" t="s">
        <v>998</v>
      </c>
      <c r="D1110" t="s">
        <v>100</v>
      </c>
      <c r="E1110" t="s">
        <v>51</v>
      </c>
      <c r="F1110" t="s">
        <v>546</v>
      </c>
      <c r="G1110" t="s">
        <v>999</v>
      </c>
      <c r="H1110" t="s">
        <v>54</v>
      </c>
      <c r="I1110">
        <v>10000</v>
      </c>
      <c r="J1110">
        <v>0</v>
      </c>
      <c r="K1110">
        <v>1</v>
      </c>
      <c r="L1110" t="s">
        <v>25</v>
      </c>
      <c r="M1110" t="s">
        <v>2836</v>
      </c>
      <c r="N1110">
        <v>4.5</v>
      </c>
      <c r="O1110">
        <v>0</v>
      </c>
      <c r="P1110" t="str">
        <f>IF(T[[#This Row],[qty_ordered]]&lt;&gt;T[[#This Row],[qty_received]],IF(T[[#This Row],[qty_received]]&gt;0,"Partial Received","Not Receviced"),"FullyReceived")</f>
        <v>Not Receviced</v>
      </c>
      <c r="Q1110" t="str">
        <f>IF(T[[#This Row],[qty_received]]&lt;&gt;T[[#This Row],[qty_invoiced]],IF(T[[#This Row],[qty_invoiced]]&gt;0,"Partial Invoiced","Not Invoiced"),"Fully Invoiced")</f>
        <v>Partial Invoiced</v>
      </c>
      <c r="R1110" t="str">
        <f>IFERROR(VLOOKUP(T[[#This Row],[warehouse]],Table2[],2,FALSE),"--")</f>
        <v>--</v>
      </c>
    </row>
    <row r="1111" spans="1:18" x14ac:dyDescent="0.25">
      <c r="A1111" t="s">
        <v>235</v>
      </c>
      <c r="B1111" s="1">
        <v>44160</v>
      </c>
      <c r="C1111" t="s">
        <v>1000</v>
      </c>
      <c r="D1111" t="s">
        <v>20</v>
      </c>
      <c r="E1111" t="s">
        <v>51</v>
      </c>
      <c r="F1111" t="s">
        <v>546</v>
      </c>
      <c r="G1111" t="s">
        <v>1001</v>
      </c>
      <c r="H1111" t="s">
        <v>54</v>
      </c>
      <c r="I1111">
        <v>10000</v>
      </c>
      <c r="J1111">
        <v>0</v>
      </c>
      <c r="K1111">
        <v>1</v>
      </c>
      <c r="L1111" t="s">
        <v>25</v>
      </c>
      <c r="M1111" t="s">
        <v>533</v>
      </c>
      <c r="N1111">
        <v>4.5</v>
      </c>
      <c r="O1111">
        <v>0</v>
      </c>
      <c r="P1111" t="str">
        <f>IF(T[[#This Row],[qty_ordered]]&lt;&gt;T[[#This Row],[qty_received]],IF(T[[#This Row],[qty_received]]&gt;0,"Partial Received","Not Receviced"),"FullyReceived")</f>
        <v>Not Receviced</v>
      </c>
      <c r="Q1111" t="str">
        <f>IF(T[[#This Row],[qty_received]]&lt;&gt;T[[#This Row],[qty_invoiced]],IF(T[[#This Row],[qty_invoiced]]&gt;0,"Partial Invoiced","Not Invoiced"),"Fully Invoiced")</f>
        <v>Partial Invoiced</v>
      </c>
      <c r="R1111" t="str">
        <f>IFERROR(VLOOKUP(T[[#This Row],[warehouse]],Table2[],2,FALSE),"--")</f>
        <v>--</v>
      </c>
    </row>
    <row r="1112" spans="1:18" x14ac:dyDescent="0.25">
      <c r="A1112" t="s">
        <v>224</v>
      </c>
      <c r="B1112" s="1">
        <v>43853</v>
      </c>
      <c r="C1112" t="s">
        <v>901</v>
      </c>
      <c r="D1112" t="s">
        <v>100</v>
      </c>
      <c r="E1112" t="s">
        <v>51</v>
      </c>
      <c r="F1112" t="s">
        <v>183</v>
      </c>
      <c r="G1112" t="s">
        <v>987</v>
      </c>
      <c r="H1112" t="s">
        <v>54</v>
      </c>
      <c r="I1112">
        <v>135.63999999999999</v>
      </c>
      <c r="J1112">
        <v>0</v>
      </c>
      <c r="K1112">
        <v>1</v>
      </c>
      <c r="L1112" t="s">
        <v>25</v>
      </c>
      <c r="M1112" t="s">
        <v>533</v>
      </c>
      <c r="N1112">
        <v>1500</v>
      </c>
      <c r="O1112">
        <v>0</v>
      </c>
      <c r="P1112" t="str">
        <f>IF(T[[#This Row],[qty_ordered]]&lt;&gt;T[[#This Row],[qty_received]],IF(T[[#This Row],[qty_received]]&gt;0,"Partial Received","Not Receviced"),"FullyReceived")</f>
        <v>Not Receviced</v>
      </c>
      <c r="Q1112" t="str">
        <f>IF(T[[#This Row],[qty_received]]&lt;&gt;T[[#This Row],[qty_invoiced]],IF(T[[#This Row],[qty_invoiced]]&gt;0,"Partial Invoiced","Not Invoiced"),"Fully Invoiced")</f>
        <v>Partial Invoiced</v>
      </c>
      <c r="R1112" t="str">
        <f>IFERROR(VLOOKUP(T[[#This Row],[warehouse]],Table2[],2,FALSE),"--")</f>
        <v>--</v>
      </c>
    </row>
    <row r="1113" spans="1:18" x14ac:dyDescent="0.25">
      <c r="A1113" t="s">
        <v>224</v>
      </c>
      <c r="B1113" s="1">
        <v>43853</v>
      </c>
      <c r="C1113" t="s">
        <v>901</v>
      </c>
      <c r="D1113" t="s">
        <v>88</v>
      </c>
      <c r="E1113" t="s">
        <v>51</v>
      </c>
      <c r="F1113" t="s">
        <v>183</v>
      </c>
      <c r="G1113" t="s">
        <v>1002</v>
      </c>
      <c r="H1113" t="s">
        <v>54</v>
      </c>
      <c r="I1113">
        <v>330</v>
      </c>
      <c r="J1113">
        <v>0</v>
      </c>
      <c r="K1113">
        <v>1</v>
      </c>
      <c r="L1113" t="s">
        <v>25</v>
      </c>
      <c r="M1113" t="s">
        <v>533</v>
      </c>
      <c r="N1113">
        <v>100</v>
      </c>
      <c r="O1113">
        <v>0</v>
      </c>
      <c r="P1113" t="str">
        <f>IF(T[[#This Row],[qty_ordered]]&lt;&gt;T[[#This Row],[qty_received]],IF(T[[#This Row],[qty_received]]&gt;0,"Partial Received","Not Receviced"),"FullyReceived")</f>
        <v>Not Receviced</v>
      </c>
      <c r="Q1113" t="str">
        <f>IF(T[[#This Row],[qty_received]]&lt;&gt;T[[#This Row],[qty_invoiced]],IF(T[[#This Row],[qty_invoiced]]&gt;0,"Partial Invoiced","Not Invoiced"),"Fully Invoiced")</f>
        <v>Partial Invoiced</v>
      </c>
      <c r="R1113" t="str">
        <f>IFERROR(VLOOKUP(T[[#This Row],[warehouse]],Table2[],2,FALSE),"--")</f>
        <v>--</v>
      </c>
    </row>
    <row r="1114" spans="1:18" x14ac:dyDescent="0.25">
      <c r="A1114" t="s">
        <v>224</v>
      </c>
      <c r="B1114" s="1">
        <v>43853</v>
      </c>
      <c r="C1114" t="s">
        <v>901</v>
      </c>
      <c r="D1114" t="s">
        <v>74</v>
      </c>
      <c r="E1114" t="s">
        <v>51</v>
      </c>
      <c r="F1114" t="s">
        <v>267</v>
      </c>
      <c r="G1114" t="s">
        <v>1003</v>
      </c>
      <c r="H1114" t="s">
        <v>54</v>
      </c>
      <c r="I1114">
        <v>466</v>
      </c>
      <c r="J1114">
        <v>0</v>
      </c>
      <c r="K1114">
        <v>1</v>
      </c>
      <c r="L1114" t="s">
        <v>25</v>
      </c>
      <c r="M1114" t="s">
        <v>533</v>
      </c>
      <c r="N1114">
        <v>20</v>
      </c>
      <c r="O1114">
        <v>0</v>
      </c>
      <c r="P1114" t="str">
        <f>IF(T[[#This Row],[qty_ordered]]&lt;&gt;T[[#This Row],[qty_received]],IF(T[[#This Row],[qty_received]]&gt;0,"Partial Received","Not Receviced"),"FullyReceived")</f>
        <v>Not Receviced</v>
      </c>
      <c r="Q1114" t="str">
        <f>IF(T[[#This Row],[qty_received]]&lt;&gt;T[[#This Row],[qty_invoiced]],IF(T[[#This Row],[qty_invoiced]]&gt;0,"Partial Invoiced","Not Invoiced"),"Fully Invoiced")</f>
        <v>Partial Invoiced</v>
      </c>
      <c r="R1114" t="str">
        <f>IFERROR(VLOOKUP(T[[#This Row],[warehouse]],Table2[],2,FALSE),"--")</f>
        <v>--</v>
      </c>
    </row>
    <row r="1115" spans="1:18" x14ac:dyDescent="0.25">
      <c r="A1115" t="s">
        <v>224</v>
      </c>
      <c r="B1115" s="1">
        <v>43853</v>
      </c>
      <c r="C1115" t="s">
        <v>901</v>
      </c>
      <c r="D1115" t="s">
        <v>76</v>
      </c>
      <c r="E1115" t="s">
        <v>51</v>
      </c>
      <c r="F1115" t="s">
        <v>278</v>
      </c>
      <c r="G1115" t="s">
        <v>279</v>
      </c>
      <c r="H1115" t="s">
        <v>54</v>
      </c>
      <c r="I1115">
        <v>138</v>
      </c>
      <c r="J1115">
        <v>0</v>
      </c>
      <c r="K1115">
        <v>1</v>
      </c>
      <c r="L1115" t="s">
        <v>25</v>
      </c>
      <c r="M1115" t="s">
        <v>533</v>
      </c>
      <c r="N1115">
        <v>50</v>
      </c>
      <c r="O1115">
        <v>0</v>
      </c>
      <c r="P1115" t="str">
        <f>IF(T[[#This Row],[qty_ordered]]&lt;&gt;T[[#This Row],[qty_received]],IF(T[[#This Row],[qty_received]]&gt;0,"Partial Received","Not Receviced"),"FullyReceived")</f>
        <v>Not Receviced</v>
      </c>
      <c r="Q1115" t="str">
        <f>IF(T[[#This Row],[qty_received]]&lt;&gt;T[[#This Row],[qty_invoiced]],IF(T[[#This Row],[qty_invoiced]]&gt;0,"Partial Invoiced","Not Invoiced"),"Fully Invoiced")</f>
        <v>Partial Invoiced</v>
      </c>
      <c r="R1115" t="str">
        <f>IFERROR(VLOOKUP(T[[#This Row],[warehouse]],Table2[],2,FALSE),"--")</f>
        <v>--</v>
      </c>
    </row>
    <row r="1116" spans="1:18" x14ac:dyDescent="0.25">
      <c r="A1116" t="s">
        <v>224</v>
      </c>
      <c r="B1116" s="1">
        <v>43853</v>
      </c>
      <c r="C1116" t="s">
        <v>901</v>
      </c>
      <c r="D1116" t="s">
        <v>212</v>
      </c>
      <c r="E1116" t="s">
        <v>51</v>
      </c>
      <c r="F1116" t="s">
        <v>278</v>
      </c>
      <c r="G1116" t="s">
        <v>279</v>
      </c>
      <c r="H1116" t="s">
        <v>54</v>
      </c>
      <c r="I1116">
        <v>1088</v>
      </c>
      <c r="J1116">
        <v>0</v>
      </c>
      <c r="K1116">
        <v>1</v>
      </c>
      <c r="L1116" t="s">
        <v>25</v>
      </c>
      <c r="M1116" t="s">
        <v>533</v>
      </c>
      <c r="N1116">
        <v>10</v>
      </c>
      <c r="O1116">
        <v>0</v>
      </c>
      <c r="P1116" t="str">
        <f>IF(T[[#This Row],[qty_ordered]]&lt;&gt;T[[#This Row],[qty_received]],IF(T[[#This Row],[qty_received]]&gt;0,"Partial Received","Not Receviced"),"FullyReceived")</f>
        <v>Not Receviced</v>
      </c>
      <c r="Q1116" t="str">
        <f>IF(T[[#This Row],[qty_received]]&lt;&gt;T[[#This Row],[qty_invoiced]],IF(T[[#This Row],[qty_invoiced]]&gt;0,"Partial Invoiced","Not Invoiced"),"Fully Invoiced")</f>
        <v>Partial Invoiced</v>
      </c>
      <c r="R1116" t="str">
        <f>IFERROR(VLOOKUP(T[[#This Row],[warehouse]],Table2[],2,FALSE),"--")</f>
        <v>--</v>
      </c>
    </row>
    <row r="1117" spans="1:18" x14ac:dyDescent="0.25">
      <c r="A1117" t="s">
        <v>224</v>
      </c>
      <c r="B1117" s="1">
        <v>43853</v>
      </c>
      <c r="C1117" t="s">
        <v>901</v>
      </c>
      <c r="D1117" t="s">
        <v>322</v>
      </c>
      <c r="E1117" t="s">
        <v>51</v>
      </c>
      <c r="F1117" t="s">
        <v>254</v>
      </c>
      <c r="G1117" t="s">
        <v>255</v>
      </c>
      <c r="H1117" t="s">
        <v>54</v>
      </c>
      <c r="I1117">
        <v>167</v>
      </c>
      <c r="J1117">
        <v>0</v>
      </c>
      <c r="K1117">
        <v>1</v>
      </c>
      <c r="L1117" t="s">
        <v>25</v>
      </c>
      <c r="M1117" t="s">
        <v>533</v>
      </c>
      <c r="N1117">
        <v>5</v>
      </c>
      <c r="O1117">
        <v>0</v>
      </c>
      <c r="P1117" t="str">
        <f>IF(T[[#This Row],[qty_ordered]]&lt;&gt;T[[#This Row],[qty_received]],IF(T[[#This Row],[qty_received]]&gt;0,"Partial Received","Not Receviced"),"FullyReceived")</f>
        <v>Not Receviced</v>
      </c>
      <c r="Q1117" t="str">
        <f>IF(T[[#This Row],[qty_received]]&lt;&gt;T[[#This Row],[qty_invoiced]],IF(T[[#This Row],[qty_invoiced]]&gt;0,"Partial Invoiced","Not Invoiced"),"Fully Invoiced")</f>
        <v>Partial Invoiced</v>
      </c>
      <c r="R1117" t="str">
        <f>IFERROR(VLOOKUP(T[[#This Row],[warehouse]],Table2[],2,FALSE),"--")</f>
        <v>--</v>
      </c>
    </row>
    <row r="1118" spans="1:18" x14ac:dyDescent="0.25">
      <c r="A1118" t="s">
        <v>224</v>
      </c>
      <c r="B1118" s="1">
        <v>43853</v>
      </c>
      <c r="C1118" t="s">
        <v>901</v>
      </c>
      <c r="D1118" t="s">
        <v>323</v>
      </c>
      <c r="E1118" t="s">
        <v>51</v>
      </c>
      <c r="F1118" t="s">
        <v>390</v>
      </c>
      <c r="G1118" t="s">
        <v>390</v>
      </c>
      <c r="H1118" t="s">
        <v>54</v>
      </c>
      <c r="I1118">
        <v>1</v>
      </c>
      <c r="J1118">
        <v>0</v>
      </c>
      <c r="K1118">
        <v>1</v>
      </c>
      <c r="L1118" t="s">
        <v>25</v>
      </c>
      <c r="M1118" t="s">
        <v>533</v>
      </c>
      <c r="N1118">
        <v>2500</v>
      </c>
      <c r="O1118">
        <v>0</v>
      </c>
      <c r="P1118" t="str">
        <f>IF(T[[#This Row],[qty_ordered]]&lt;&gt;T[[#This Row],[qty_received]],IF(T[[#This Row],[qty_received]]&gt;0,"Partial Received","Not Receviced"),"FullyReceived")</f>
        <v>Not Receviced</v>
      </c>
      <c r="Q1118" t="str">
        <f>IF(T[[#This Row],[qty_received]]&lt;&gt;T[[#This Row],[qty_invoiced]],IF(T[[#This Row],[qty_invoiced]]&gt;0,"Partial Invoiced","Not Invoiced"),"Fully Invoiced")</f>
        <v>Partial Invoiced</v>
      </c>
      <c r="R1118" t="str">
        <f>IFERROR(VLOOKUP(T[[#This Row],[warehouse]],Table2[],2,FALSE),"--")</f>
        <v>--</v>
      </c>
    </row>
    <row r="1119" spans="1:18" x14ac:dyDescent="0.25">
      <c r="A1119" t="s">
        <v>224</v>
      </c>
      <c r="B1119" s="1">
        <v>44159</v>
      </c>
      <c r="C1119" t="s">
        <v>1004</v>
      </c>
      <c r="D1119" t="s">
        <v>20</v>
      </c>
      <c r="E1119" t="s">
        <v>51</v>
      </c>
      <c r="F1119" t="s">
        <v>183</v>
      </c>
      <c r="G1119" t="s">
        <v>1005</v>
      </c>
      <c r="H1119" t="s">
        <v>54</v>
      </c>
      <c r="I1119">
        <v>3000</v>
      </c>
      <c r="J1119">
        <v>0</v>
      </c>
      <c r="K1119">
        <v>1</v>
      </c>
      <c r="L1119" t="s">
        <v>25</v>
      </c>
      <c r="M1119" t="s">
        <v>533</v>
      </c>
      <c r="N1119">
        <v>2000</v>
      </c>
      <c r="O1119">
        <v>0</v>
      </c>
      <c r="P1119" t="str">
        <f>IF(T[[#This Row],[qty_ordered]]&lt;&gt;T[[#This Row],[qty_received]],IF(T[[#This Row],[qty_received]]&gt;0,"Partial Received","Not Receviced"),"FullyReceived")</f>
        <v>Not Receviced</v>
      </c>
      <c r="Q1119" t="str">
        <f>IF(T[[#This Row],[qty_received]]&lt;&gt;T[[#This Row],[qty_invoiced]],IF(T[[#This Row],[qty_invoiced]]&gt;0,"Partial Invoiced","Not Invoiced"),"Fully Invoiced")</f>
        <v>Partial Invoiced</v>
      </c>
      <c r="R1119" t="str">
        <f>IFERROR(VLOOKUP(T[[#This Row],[warehouse]],Table2[],2,FALSE),"--")</f>
        <v>--</v>
      </c>
    </row>
    <row r="1120" spans="1:18" x14ac:dyDescent="0.25">
      <c r="A1120" t="s">
        <v>955</v>
      </c>
      <c r="B1120" s="1">
        <v>44151</v>
      </c>
      <c r="C1120" t="s">
        <v>1006</v>
      </c>
      <c r="D1120" t="s">
        <v>71</v>
      </c>
      <c r="E1120" t="s">
        <v>890</v>
      </c>
      <c r="F1120" t="s">
        <v>108</v>
      </c>
      <c r="G1120" t="s">
        <v>109</v>
      </c>
      <c r="H1120" t="s">
        <v>24</v>
      </c>
      <c r="I1120">
        <v>4096.7299999999996</v>
      </c>
      <c r="J1120">
        <v>4096.7299999999996</v>
      </c>
      <c r="K1120">
        <v>4096.7299999999996</v>
      </c>
      <c r="L1120" t="s">
        <v>25</v>
      </c>
      <c r="M1120" t="s">
        <v>132</v>
      </c>
      <c r="N1120">
        <v>200000</v>
      </c>
      <c r="O1120">
        <v>819346000</v>
      </c>
      <c r="P1120" t="str">
        <f>IF(T[[#This Row],[qty_ordered]]&lt;&gt;T[[#This Row],[qty_received]],IF(T[[#This Row],[qty_received]]&gt;0,"Partial Received","Not Receviced"),"FullyReceived")</f>
        <v>FullyReceived</v>
      </c>
      <c r="Q1120" t="str">
        <f>IF(T[[#This Row],[qty_received]]&lt;&gt;T[[#This Row],[qty_invoiced]],IF(T[[#This Row],[qty_invoiced]]&gt;0,"Partial Invoiced","Not Invoiced"),"Fully Invoiced")</f>
        <v>Fully Invoiced</v>
      </c>
      <c r="R1120" t="str">
        <f>IFERROR(VLOOKUP(T[[#This Row],[warehouse]],Table2[],2,FALSE),"--")</f>
        <v>GREEN CROPS SIFTING</v>
      </c>
    </row>
    <row r="1121" spans="1:18" x14ac:dyDescent="0.25">
      <c r="A1121" t="s">
        <v>812</v>
      </c>
      <c r="B1121" s="1">
        <v>44159</v>
      </c>
      <c r="C1121" t="s">
        <v>1007</v>
      </c>
      <c r="D1121" t="s">
        <v>20</v>
      </c>
      <c r="E1121" t="s">
        <v>51</v>
      </c>
      <c r="F1121" t="s">
        <v>183</v>
      </c>
      <c r="G1121" t="s">
        <v>991</v>
      </c>
      <c r="H1121" t="s">
        <v>54</v>
      </c>
      <c r="I1121">
        <v>3000</v>
      </c>
      <c r="J1121">
        <v>0</v>
      </c>
      <c r="K1121">
        <v>1</v>
      </c>
      <c r="L1121" t="s">
        <v>25</v>
      </c>
      <c r="M1121" t="s">
        <v>533</v>
      </c>
      <c r="N1121">
        <v>2000</v>
      </c>
      <c r="O1121">
        <v>0</v>
      </c>
      <c r="P1121" t="str">
        <f>IF(T[[#This Row],[qty_ordered]]&lt;&gt;T[[#This Row],[qty_received]],IF(T[[#This Row],[qty_received]]&gt;0,"Partial Received","Not Receviced"),"FullyReceived")</f>
        <v>Not Receviced</v>
      </c>
      <c r="Q1121" t="str">
        <f>IF(T[[#This Row],[qty_received]]&lt;&gt;T[[#This Row],[qty_invoiced]],IF(T[[#This Row],[qty_invoiced]]&gt;0,"Partial Invoiced","Not Invoiced"),"Fully Invoiced")</f>
        <v>Partial Invoiced</v>
      </c>
      <c r="R1121" t="str">
        <f>IFERROR(VLOOKUP(T[[#This Row],[warehouse]],Table2[],2,FALSE),"--")</f>
        <v>--</v>
      </c>
    </row>
    <row r="1122" spans="1:18" x14ac:dyDescent="0.25">
      <c r="A1122" t="s">
        <v>795</v>
      </c>
      <c r="B1122" s="1">
        <v>44160</v>
      </c>
      <c r="C1122" t="s">
        <v>1008</v>
      </c>
      <c r="D1122" t="s">
        <v>20</v>
      </c>
      <c r="E1122" t="s">
        <v>28</v>
      </c>
      <c r="F1122" t="s">
        <v>287</v>
      </c>
      <c r="G1122" t="s">
        <v>288</v>
      </c>
      <c r="H1122" t="s">
        <v>24</v>
      </c>
      <c r="I1122">
        <v>10097</v>
      </c>
      <c r="J1122">
        <v>10097</v>
      </c>
      <c r="K1122">
        <v>10097</v>
      </c>
      <c r="L1122" t="s">
        <v>25</v>
      </c>
      <c r="M1122" t="s">
        <v>132</v>
      </c>
      <c r="N1122">
        <v>229427.95962099999</v>
      </c>
      <c r="O1122">
        <v>2316534108.2932401</v>
      </c>
      <c r="P1122" t="str">
        <f>IF(T[[#This Row],[qty_ordered]]&lt;&gt;T[[#This Row],[qty_received]],IF(T[[#This Row],[qty_received]]&gt;0,"Partial Received","Not Receviced"),"FullyReceived")</f>
        <v>FullyReceived</v>
      </c>
      <c r="Q1122" t="str">
        <f>IF(T[[#This Row],[qty_received]]&lt;&gt;T[[#This Row],[qty_invoiced]],IF(T[[#This Row],[qty_invoiced]]&gt;0,"Partial Invoiced","Not Invoiced"),"Fully Invoiced")</f>
        <v>Fully Invoiced</v>
      </c>
      <c r="R1122" t="str">
        <f>IFERROR(VLOOKUP(T[[#This Row],[warehouse]],Table2[],2,FALSE),"--")</f>
        <v>Crusher KHN -ASVOC</v>
      </c>
    </row>
    <row r="1123" spans="1:18" x14ac:dyDescent="0.25">
      <c r="A1123" t="s">
        <v>725</v>
      </c>
      <c r="B1123" s="1">
        <v>44059</v>
      </c>
      <c r="C1123" t="s">
        <v>741</v>
      </c>
      <c r="D1123" t="s">
        <v>100</v>
      </c>
      <c r="E1123" t="s">
        <v>723</v>
      </c>
      <c r="F1123" t="s">
        <v>219</v>
      </c>
      <c r="G1123" t="s">
        <v>724</v>
      </c>
      <c r="H1123" t="s">
        <v>221</v>
      </c>
      <c r="I1123">
        <v>31112.639999999999</v>
      </c>
      <c r="J1123">
        <v>31112.639999999999</v>
      </c>
      <c r="K1123">
        <v>31112.639999999999</v>
      </c>
      <c r="L1123" t="s">
        <v>25</v>
      </c>
      <c r="M1123" t="s">
        <v>132</v>
      </c>
      <c r="N1123">
        <v>8500</v>
      </c>
      <c r="O1123">
        <v>264457440</v>
      </c>
      <c r="P1123" t="str">
        <f>IF(T[[#This Row],[qty_ordered]]&lt;&gt;T[[#This Row],[qty_received]],IF(T[[#This Row],[qty_received]]&gt;0,"Partial Received","Not Receviced"),"FullyReceived")</f>
        <v>FullyReceived</v>
      </c>
      <c r="Q1123" t="str">
        <f>IF(T[[#This Row],[qty_received]]&lt;&gt;T[[#This Row],[qty_invoiced]],IF(T[[#This Row],[qty_invoiced]]&gt;0,"Partial Invoiced","Not Invoiced"),"Fully Invoiced")</f>
        <v>Fully Invoiced</v>
      </c>
      <c r="R1123" t="str">
        <f>IFERROR(VLOOKUP(T[[#This Row],[warehouse]],Table2[],2,FALSE),"--")</f>
        <v>YELLOW BEANS</v>
      </c>
    </row>
    <row r="1124" spans="1:18" x14ac:dyDescent="0.25">
      <c r="A1124" t="s">
        <v>235</v>
      </c>
      <c r="B1124" s="1">
        <v>44160</v>
      </c>
      <c r="C1124" t="s">
        <v>1000</v>
      </c>
      <c r="D1124" t="s">
        <v>71</v>
      </c>
      <c r="E1124" t="s">
        <v>51</v>
      </c>
      <c r="F1124" t="s">
        <v>546</v>
      </c>
      <c r="G1124" t="s">
        <v>1001</v>
      </c>
      <c r="H1124" t="s">
        <v>54</v>
      </c>
      <c r="I1124">
        <v>10000</v>
      </c>
      <c r="J1124">
        <v>0</v>
      </c>
      <c r="K1124">
        <v>1</v>
      </c>
      <c r="L1124" t="s">
        <v>25</v>
      </c>
      <c r="M1124" t="s">
        <v>533</v>
      </c>
      <c r="N1124">
        <v>4.5</v>
      </c>
      <c r="O1124">
        <v>0</v>
      </c>
      <c r="P1124" t="str">
        <f>IF(T[[#This Row],[qty_ordered]]&lt;&gt;T[[#This Row],[qty_received]],IF(T[[#This Row],[qty_received]]&gt;0,"Partial Received","Not Receviced"),"FullyReceived")</f>
        <v>Not Receviced</v>
      </c>
      <c r="Q1124" t="str">
        <f>IF(T[[#This Row],[qty_received]]&lt;&gt;T[[#This Row],[qty_invoiced]],IF(T[[#This Row],[qty_invoiced]]&gt;0,"Partial Invoiced","Not Invoiced"),"Fully Invoiced")</f>
        <v>Partial Invoiced</v>
      </c>
      <c r="R1124" t="str">
        <f>IFERROR(VLOOKUP(T[[#This Row],[warehouse]],Table2[],2,FALSE),"--")</f>
        <v>--</v>
      </c>
    </row>
    <row r="1125" spans="1:18" x14ac:dyDescent="0.25">
      <c r="A1125" t="s">
        <v>423</v>
      </c>
      <c r="B1125" s="1">
        <v>44160</v>
      </c>
      <c r="C1125" t="s">
        <v>1009</v>
      </c>
      <c r="D1125" t="s">
        <v>20</v>
      </c>
      <c r="E1125" t="s">
        <v>51</v>
      </c>
      <c r="F1125" t="s">
        <v>546</v>
      </c>
      <c r="G1125" t="s">
        <v>999</v>
      </c>
      <c r="H1125" t="s">
        <v>54</v>
      </c>
      <c r="I1125">
        <v>10000</v>
      </c>
      <c r="J1125">
        <v>0</v>
      </c>
      <c r="K1125">
        <v>1</v>
      </c>
      <c r="L1125" t="s">
        <v>25</v>
      </c>
      <c r="M1125" t="s">
        <v>533</v>
      </c>
      <c r="N1125">
        <v>6.8</v>
      </c>
      <c r="O1125">
        <v>0</v>
      </c>
      <c r="P1125" t="str">
        <f>IF(T[[#This Row],[qty_ordered]]&lt;&gt;T[[#This Row],[qty_received]],IF(T[[#This Row],[qty_received]]&gt;0,"Partial Received","Not Receviced"),"FullyReceived")</f>
        <v>Not Receviced</v>
      </c>
      <c r="Q1125" t="str">
        <f>IF(T[[#This Row],[qty_received]]&lt;&gt;T[[#This Row],[qty_invoiced]],IF(T[[#This Row],[qty_invoiced]]&gt;0,"Partial Invoiced","Not Invoiced"),"Fully Invoiced")</f>
        <v>Partial Invoiced</v>
      </c>
      <c r="R1125" t="str">
        <f>IFERROR(VLOOKUP(T[[#This Row],[warehouse]],Table2[],2,FALSE),"--")</f>
        <v>--</v>
      </c>
    </row>
    <row r="1126" spans="1:18" x14ac:dyDescent="0.25">
      <c r="A1126" t="s">
        <v>423</v>
      </c>
      <c r="B1126" s="1">
        <v>44160</v>
      </c>
      <c r="C1126" t="s">
        <v>1010</v>
      </c>
      <c r="D1126" t="s">
        <v>20</v>
      </c>
      <c r="E1126" t="s">
        <v>51</v>
      </c>
      <c r="F1126" t="s">
        <v>546</v>
      </c>
      <c r="G1126" t="s">
        <v>1001</v>
      </c>
      <c r="H1126" t="s">
        <v>54</v>
      </c>
      <c r="I1126">
        <v>10000</v>
      </c>
      <c r="J1126">
        <v>0</v>
      </c>
      <c r="K1126">
        <v>1</v>
      </c>
      <c r="L1126" t="s">
        <v>25</v>
      </c>
      <c r="M1126" t="s">
        <v>533</v>
      </c>
      <c r="N1126">
        <v>6.8</v>
      </c>
      <c r="O1126">
        <v>0</v>
      </c>
      <c r="P1126" t="str">
        <f>IF(T[[#This Row],[qty_ordered]]&lt;&gt;T[[#This Row],[qty_received]],IF(T[[#This Row],[qty_received]]&gt;0,"Partial Received","Not Receviced"),"FullyReceived")</f>
        <v>Not Receviced</v>
      </c>
      <c r="Q1126" t="str">
        <f>IF(T[[#This Row],[qty_received]]&lt;&gt;T[[#This Row],[qty_invoiced]],IF(T[[#This Row],[qty_invoiced]]&gt;0,"Partial Invoiced","Not Invoiced"),"Fully Invoiced")</f>
        <v>Partial Invoiced</v>
      </c>
      <c r="R1126" t="str">
        <f>IFERROR(VLOOKUP(T[[#This Row],[warehouse]],Table2[],2,FALSE),"--")</f>
        <v>--</v>
      </c>
    </row>
    <row r="1127" spans="1:18" x14ac:dyDescent="0.25">
      <c r="A1127" t="s">
        <v>601</v>
      </c>
      <c r="B1127" s="1">
        <v>44161</v>
      </c>
      <c r="C1127" t="s">
        <v>1011</v>
      </c>
      <c r="D1127" t="s">
        <v>20</v>
      </c>
      <c r="E1127" t="s">
        <v>203</v>
      </c>
      <c r="F1127" t="s">
        <v>603</v>
      </c>
      <c r="G1127" t="s">
        <v>604</v>
      </c>
      <c r="H1127" t="s">
        <v>149</v>
      </c>
      <c r="I1127">
        <v>10</v>
      </c>
      <c r="J1127">
        <v>10</v>
      </c>
      <c r="K1127">
        <v>10</v>
      </c>
      <c r="L1127" t="s">
        <v>25</v>
      </c>
      <c r="M1127" t="s">
        <v>744</v>
      </c>
      <c r="N1127">
        <v>215000</v>
      </c>
      <c r="O1127">
        <v>2150000</v>
      </c>
      <c r="P1127" t="str">
        <f>IF(T[[#This Row],[qty_ordered]]&lt;&gt;T[[#This Row],[qty_received]],IF(T[[#This Row],[qty_received]]&gt;0,"Partial Received","Not Receviced"),"FullyReceived")</f>
        <v>FullyReceived</v>
      </c>
      <c r="Q1127" t="str">
        <f>IF(T[[#This Row],[qty_received]]&lt;&gt;T[[#This Row],[qty_invoiced]],IF(T[[#This Row],[qty_invoiced]]&gt;0,"Partial Invoiced","Not Invoiced"),"Fully Invoiced")</f>
        <v>Fully Invoiced</v>
      </c>
      <c r="R1127" t="str">
        <f>IFERROR(VLOOKUP(T[[#This Row],[warehouse]],Table2[],2,FALSE),"--")</f>
        <v>PZU Packaging Warehouse</v>
      </c>
    </row>
    <row r="1128" spans="1:18" x14ac:dyDescent="0.25">
      <c r="A1128" t="s">
        <v>804</v>
      </c>
      <c r="B1128" s="1">
        <v>44164</v>
      </c>
      <c r="C1128" t="s">
        <v>1012</v>
      </c>
      <c r="D1128" t="s">
        <v>20</v>
      </c>
      <c r="E1128" t="s">
        <v>51</v>
      </c>
      <c r="F1128" t="s">
        <v>806</v>
      </c>
      <c r="G1128" t="s">
        <v>806</v>
      </c>
      <c r="H1128" t="s">
        <v>54</v>
      </c>
      <c r="I1128">
        <v>301</v>
      </c>
      <c r="J1128">
        <v>0</v>
      </c>
      <c r="K1128">
        <v>1</v>
      </c>
      <c r="L1128" t="s">
        <v>25</v>
      </c>
      <c r="M1128" t="s">
        <v>707</v>
      </c>
      <c r="N1128">
        <v>1800</v>
      </c>
      <c r="O1128">
        <v>0</v>
      </c>
      <c r="P1128" t="str">
        <f>IF(T[[#This Row],[qty_ordered]]&lt;&gt;T[[#This Row],[qty_received]],IF(T[[#This Row],[qty_received]]&gt;0,"Partial Received","Not Receviced"),"FullyReceived")</f>
        <v>Not Receviced</v>
      </c>
      <c r="Q1128" t="str">
        <f>IF(T[[#This Row],[qty_received]]&lt;&gt;T[[#This Row],[qty_invoiced]],IF(T[[#This Row],[qty_invoiced]]&gt;0,"Partial Invoiced","Not Invoiced"),"Fully Invoiced")</f>
        <v>Partial Invoiced</v>
      </c>
      <c r="R1128" t="str">
        <f>IFERROR(VLOOKUP(T[[#This Row],[warehouse]],Table2[],2,FALSE),"--")</f>
        <v>--</v>
      </c>
    </row>
    <row r="1129" spans="1:18" x14ac:dyDescent="0.25">
      <c r="A1129" t="s">
        <v>739</v>
      </c>
      <c r="B1129" s="1">
        <v>44140</v>
      </c>
      <c r="C1129" t="s">
        <v>966</v>
      </c>
      <c r="D1129" t="s">
        <v>74</v>
      </c>
      <c r="E1129" t="s">
        <v>660</v>
      </c>
      <c r="F1129" t="s">
        <v>705</v>
      </c>
      <c r="G1129" t="s">
        <v>706</v>
      </c>
      <c r="H1129" t="s">
        <v>663</v>
      </c>
      <c r="I1129">
        <v>2995</v>
      </c>
      <c r="J1129">
        <v>2995</v>
      </c>
      <c r="K1129">
        <v>2995</v>
      </c>
      <c r="L1129" t="s">
        <v>25</v>
      </c>
      <c r="M1129" t="s">
        <v>132</v>
      </c>
      <c r="N1129">
        <v>800</v>
      </c>
      <c r="O1129">
        <v>2396000</v>
      </c>
      <c r="P1129" t="str">
        <f>IF(T[[#This Row],[qty_ordered]]&lt;&gt;T[[#This Row],[qty_received]],IF(T[[#This Row],[qty_received]]&gt;0,"Partial Received","Not Receviced"),"FullyReceived")</f>
        <v>FullyReceived</v>
      </c>
      <c r="Q1129" t="str">
        <f>IF(T[[#This Row],[qty_received]]&lt;&gt;T[[#This Row],[qty_invoiced]],IF(T[[#This Row],[qty_invoiced]]&gt;0,"Partial Invoiced","Not Invoiced"),"Fully Invoiced")</f>
        <v>Fully Invoiced</v>
      </c>
      <c r="R1129" t="str">
        <f>IFERROR(VLOOKUP(T[[#This Row],[warehouse]],Table2[],2,FALSE),"--")</f>
        <v>SLAUGHTER HOUSE</v>
      </c>
    </row>
    <row r="1130" spans="1:18" x14ac:dyDescent="0.25">
      <c r="A1130" t="s">
        <v>1013</v>
      </c>
      <c r="B1130" s="1">
        <v>44166</v>
      </c>
      <c r="C1130" t="s">
        <v>1014</v>
      </c>
      <c r="D1130" t="s">
        <v>20</v>
      </c>
      <c r="E1130" t="s">
        <v>660</v>
      </c>
      <c r="F1130" t="s">
        <v>1015</v>
      </c>
      <c r="G1130" t="s">
        <v>1016</v>
      </c>
      <c r="H1130" t="s">
        <v>663</v>
      </c>
      <c r="I1130">
        <v>0</v>
      </c>
      <c r="J1130">
        <v>0</v>
      </c>
      <c r="K1130">
        <v>0</v>
      </c>
      <c r="L1130" t="s">
        <v>25</v>
      </c>
      <c r="M1130" t="s">
        <v>132</v>
      </c>
      <c r="N1130">
        <v>670</v>
      </c>
      <c r="O1130">
        <v>0</v>
      </c>
      <c r="P1130" t="str">
        <f>IF(T[[#This Row],[qty_ordered]]&lt;&gt;T[[#This Row],[qty_received]],IF(T[[#This Row],[qty_received]]&gt;0,"Partial Received","Not Receviced"),"FullyReceived")</f>
        <v>FullyReceived</v>
      </c>
      <c r="Q1130" t="str">
        <f>IF(T[[#This Row],[qty_received]]&lt;&gt;T[[#This Row],[qty_invoiced]],IF(T[[#This Row],[qty_invoiced]]&gt;0,"Partial Invoiced","Not Invoiced"),"Fully Invoiced")</f>
        <v>Fully Invoiced</v>
      </c>
      <c r="R1130" t="str">
        <f>IFERROR(VLOOKUP(T[[#This Row],[warehouse]],Table2[],2,FALSE),"--")</f>
        <v>SLAUGHTER HOUSE</v>
      </c>
    </row>
    <row r="1131" spans="1:18" x14ac:dyDescent="0.25">
      <c r="A1131" t="s">
        <v>955</v>
      </c>
      <c r="B1131" s="1">
        <v>44168</v>
      </c>
      <c r="C1131" t="s">
        <v>1017</v>
      </c>
      <c r="D1131" t="s">
        <v>20</v>
      </c>
      <c r="E1131" t="s">
        <v>629</v>
      </c>
      <c r="F1131" t="s">
        <v>287</v>
      </c>
      <c r="G1131" t="s">
        <v>288</v>
      </c>
      <c r="H1131" t="s">
        <v>24</v>
      </c>
      <c r="I1131">
        <v>4322.03</v>
      </c>
      <c r="J1131">
        <v>4322.03</v>
      </c>
      <c r="K1131">
        <v>4322.03</v>
      </c>
      <c r="L1131" t="s">
        <v>25</v>
      </c>
      <c r="M1131" t="s">
        <v>132</v>
      </c>
      <c r="N1131">
        <v>370000</v>
      </c>
      <c r="O1131">
        <v>1123831660</v>
      </c>
      <c r="P1131" t="str">
        <f>IF(T[[#This Row],[qty_ordered]]&lt;&gt;T[[#This Row],[qty_received]],IF(T[[#This Row],[qty_received]]&gt;0,"Partial Received","Not Receviced"),"FullyReceived")</f>
        <v>FullyReceived</v>
      </c>
      <c r="Q1131" t="str">
        <f>IF(T[[#This Row],[qty_received]]&lt;&gt;T[[#This Row],[qty_invoiced]],IF(T[[#This Row],[qty_invoiced]]&gt;0,"Partial Invoiced","Not Invoiced"),"Fully Invoiced")</f>
        <v>Fully Invoiced</v>
      </c>
      <c r="R1131" t="str">
        <f>IFERROR(VLOOKUP(T[[#This Row],[warehouse]],Table2[],2,FALSE),"--")</f>
        <v>SOPC Sifting &amp; Sorting</v>
      </c>
    </row>
    <row r="1132" spans="1:18" x14ac:dyDescent="0.25">
      <c r="A1132" t="s">
        <v>618</v>
      </c>
      <c r="B1132" s="1">
        <v>44115</v>
      </c>
      <c r="C1132" t="s">
        <v>965</v>
      </c>
      <c r="D1132" t="s">
        <v>76</v>
      </c>
      <c r="E1132" t="s">
        <v>66</v>
      </c>
      <c r="F1132" t="s">
        <v>86</v>
      </c>
      <c r="G1132" t="s">
        <v>87</v>
      </c>
      <c r="H1132" t="s">
        <v>24</v>
      </c>
      <c r="I1132">
        <v>837</v>
      </c>
      <c r="J1132">
        <v>0</v>
      </c>
      <c r="K1132">
        <v>0</v>
      </c>
      <c r="L1132" t="s">
        <v>25</v>
      </c>
      <c r="M1132" t="s">
        <v>132</v>
      </c>
      <c r="N1132">
        <v>394265.23297499999</v>
      </c>
      <c r="O1132">
        <v>0</v>
      </c>
      <c r="P1132" t="str">
        <f>IF(T[[#This Row],[qty_ordered]]&lt;&gt;T[[#This Row],[qty_received]],IF(T[[#This Row],[qty_received]]&gt;0,"Partial Received","Not Receviced"),"FullyReceived")</f>
        <v>Not Receviced</v>
      </c>
      <c r="Q1132" t="str">
        <f>IF(T[[#This Row],[qty_received]]&lt;&gt;T[[#This Row],[qty_invoiced]],IF(T[[#This Row],[qty_invoiced]]&gt;0,"Partial Invoiced","Not Invoiced"),"Fully Invoiced")</f>
        <v>Fully Invoiced</v>
      </c>
      <c r="R1132" t="str">
        <f>IFERROR(VLOOKUP(T[[#This Row],[warehouse]],Table2[],2,FALSE),"--")</f>
        <v>PZU Main Warehouse</v>
      </c>
    </row>
    <row r="1133" spans="1:18" x14ac:dyDescent="0.25">
      <c r="A1133" t="s">
        <v>144</v>
      </c>
      <c r="B1133" s="1">
        <v>44143</v>
      </c>
      <c r="C1133" t="s">
        <v>968</v>
      </c>
      <c r="D1133" t="s">
        <v>100</v>
      </c>
      <c r="E1133" t="s">
        <v>146</v>
      </c>
      <c r="F1133" t="s">
        <v>147</v>
      </c>
      <c r="G1133" t="s">
        <v>148</v>
      </c>
      <c r="H1133" t="s">
        <v>149</v>
      </c>
      <c r="I1133">
        <v>30000</v>
      </c>
      <c r="J1133">
        <v>29400</v>
      </c>
      <c r="K1133">
        <v>29400</v>
      </c>
      <c r="L1133" t="s">
        <v>25</v>
      </c>
      <c r="M1133" t="s">
        <v>575</v>
      </c>
      <c r="N1133">
        <v>21.66</v>
      </c>
      <c r="O1133">
        <v>636804</v>
      </c>
      <c r="P1133" t="str">
        <f>IF(T[[#This Row],[qty_ordered]]&lt;&gt;T[[#This Row],[qty_received]],IF(T[[#This Row],[qty_received]]&gt;0,"Partial Received","Not Receviced"),"FullyReceived")</f>
        <v>Partial Received</v>
      </c>
      <c r="Q1133" t="str">
        <f>IF(T[[#This Row],[qty_received]]&lt;&gt;T[[#This Row],[qty_invoiced]],IF(T[[#This Row],[qty_invoiced]]&gt;0,"Partial Invoiced","Not Invoiced"),"Fully Invoiced")</f>
        <v>Fully Invoiced</v>
      </c>
      <c r="R1133" t="str">
        <f>IFERROR(VLOOKUP(T[[#This Row],[warehouse]],Table2[],2,FALSE),"--")</f>
        <v>Khtoum Main Warehouse</v>
      </c>
    </row>
    <row r="1134" spans="1:18" x14ac:dyDescent="0.25">
      <c r="A1134" t="s">
        <v>935</v>
      </c>
      <c r="B1134" s="1">
        <v>44038</v>
      </c>
      <c r="C1134" t="s">
        <v>936</v>
      </c>
      <c r="D1134" t="s">
        <v>100</v>
      </c>
      <c r="E1134" t="s">
        <v>51</v>
      </c>
      <c r="F1134" t="s">
        <v>278</v>
      </c>
      <c r="G1134" t="s">
        <v>279</v>
      </c>
      <c r="H1134" t="s">
        <v>54</v>
      </c>
      <c r="I1134">
        <v>500</v>
      </c>
      <c r="J1134">
        <v>0</v>
      </c>
      <c r="K1134">
        <v>1</v>
      </c>
      <c r="L1134" t="s">
        <v>25</v>
      </c>
      <c r="M1134" t="s">
        <v>533</v>
      </c>
      <c r="N1134">
        <v>1900</v>
      </c>
      <c r="O1134">
        <v>0</v>
      </c>
      <c r="P1134" t="str">
        <f>IF(T[[#This Row],[qty_ordered]]&lt;&gt;T[[#This Row],[qty_received]],IF(T[[#This Row],[qty_received]]&gt;0,"Partial Received","Not Receviced"),"FullyReceived")</f>
        <v>Not Receviced</v>
      </c>
      <c r="Q1134" t="str">
        <f>IF(T[[#This Row],[qty_received]]&lt;&gt;T[[#This Row],[qty_invoiced]],IF(T[[#This Row],[qty_invoiced]]&gt;0,"Partial Invoiced","Not Invoiced"),"Fully Invoiced")</f>
        <v>Partial Invoiced</v>
      </c>
      <c r="R1134" t="str">
        <f>IFERROR(VLOOKUP(T[[#This Row],[warehouse]],Table2[],2,FALSE),"--")</f>
        <v>--</v>
      </c>
    </row>
    <row r="1135" spans="1:18" x14ac:dyDescent="0.25">
      <c r="A1135" t="s">
        <v>985</v>
      </c>
      <c r="B1135" s="1">
        <v>44171</v>
      </c>
      <c r="C1135" t="s">
        <v>1018</v>
      </c>
      <c r="D1135" t="s">
        <v>20</v>
      </c>
      <c r="E1135" t="s">
        <v>51</v>
      </c>
      <c r="F1135" t="s">
        <v>183</v>
      </c>
      <c r="G1135" t="s">
        <v>1019</v>
      </c>
      <c r="H1135" t="s">
        <v>54</v>
      </c>
      <c r="I1135">
        <v>2000</v>
      </c>
      <c r="J1135">
        <v>0</v>
      </c>
      <c r="K1135">
        <v>1</v>
      </c>
      <c r="L1135" t="s">
        <v>25</v>
      </c>
      <c r="M1135" t="s">
        <v>533</v>
      </c>
      <c r="N1135">
        <v>2000</v>
      </c>
      <c r="O1135">
        <v>0</v>
      </c>
      <c r="P1135" t="str">
        <f>IF(T[[#This Row],[qty_ordered]]&lt;&gt;T[[#This Row],[qty_received]],IF(T[[#This Row],[qty_received]]&gt;0,"Partial Received","Not Receviced"),"FullyReceived")</f>
        <v>Not Receviced</v>
      </c>
      <c r="Q1135" t="str">
        <f>IF(T[[#This Row],[qty_received]]&lt;&gt;T[[#This Row],[qty_invoiced]],IF(T[[#This Row],[qty_invoiced]]&gt;0,"Partial Invoiced","Not Invoiced"),"Fully Invoiced")</f>
        <v>Partial Invoiced</v>
      </c>
      <c r="R1135" t="str">
        <f>IFERROR(VLOOKUP(T[[#This Row],[warehouse]],Table2[],2,FALSE),"--")</f>
        <v>--</v>
      </c>
    </row>
    <row r="1136" spans="1:18" x14ac:dyDescent="0.25">
      <c r="A1136" t="s">
        <v>228</v>
      </c>
      <c r="B1136" s="1">
        <v>44153</v>
      </c>
      <c r="C1136" t="s">
        <v>984</v>
      </c>
      <c r="D1136" t="s">
        <v>71</v>
      </c>
      <c r="E1136" t="s">
        <v>239</v>
      </c>
      <c r="F1136" t="s">
        <v>230</v>
      </c>
      <c r="G1136" t="s">
        <v>231</v>
      </c>
      <c r="H1136" t="s">
        <v>24</v>
      </c>
      <c r="I1136">
        <v>1174</v>
      </c>
      <c r="J1136">
        <v>0</v>
      </c>
      <c r="K1136">
        <v>0</v>
      </c>
      <c r="L1136" t="s">
        <v>25</v>
      </c>
      <c r="M1136" t="s">
        <v>707</v>
      </c>
      <c r="N1136">
        <v>379738.07495699998</v>
      </c>
      <c r="O1136">
        <v>0</v>
      </c>
      <c r="P1136" t="str">
        <f>IF(T[[#This Row],[qty_ordered]]&lt;&gt;T[[#This Row],[qty_received]],IF(T[[#This Row],[qty_received]]&gt;0,"Partial Received","Not Receviced"),"FullyReceived")</f>
        <v>Not Receviced</v>
      </c>
      <c r="Q1136" t="str">
        <f>IF(T[[#This Row],[qty_received]]&lt;&gt;T[[#This Row],[qty_invoiced]],IF(T[[#This Row],[qty_invoiced]]&gt;0,"Partial Invoiced","Not Invoiced"),"Fully Invoiced")</f>
        <v>Fully Invoiced</v>
      </c>
      <c r="R1136" t="str">
        <f>IFERROR(VLOOKUP(T[[#This Row],[warehouse]],Table2[],2,FALSE),"--")</f>
        <v xml:space="preserve">Gadarif Main Store </v>
      </c>
    </row>
    <row r="1137" spans="1:18" x14ac:dyDescent="0.25">
      <c r="A1137" t="s">
        <v>332</v>
      </c>
      <c r="B1137" s="1">
        <v>44172</v>
      </c>
      <c r="C1137" t="s">
        <v>1020</v>
      </c>
      <c r="D1137" t="s">
        <v>20</v>
      </c>
      <c r="E1137" t="s">
        <v>51</v>
      </c>
      <c r="F1137" t="s">
        <v>164</v>
      </c>
      <c r="G1137" t="s">
        <v>1021</v>
      </c>
      <c r="H1137" t="s">
        <v>54</v>
      </c>
      <c r="I1137">
        <v>20000</v>
      </c>
      <c r="J1137">
        <v>0</v>
      </c>
      <c r="K1137">
        <v>1</v>
      </c>
      <c r="L1137" t="s">
        <v>25</v>
      </c>
      <c r="M1137" t="s">
        <v>533</v>
      </c>
      <c r="N1137">
        <v>90</v>
      </c>
      <c r="O1137">
        <v>0</v>
      </c>
      <c r="P1137" t="str">
        <f>IF(T[[#This Row],[qty_ordered]]&lt;&gt;T[[#This Row],[qty_received]],IF(T[[#This Row],[qty_received]]&gt;0,"Partial Received","Not Receviced"),"FullyReceived")</f>
        <v>Not Receviced</v>
      </c>
      <c r="Q1137" t="str">
        <f>IF(T[[#This Row],[qty_received]]&lt;&gt;T[[#This Row],[qty_invoiced]],IF(T[[#This Row],[qty_invoiced]]&gt;0,"Partial Invoiced","Not Invoiced"),"Fully Invoiced")</f>
        <v>Partial Invoiced</v>
      </c>
      <c r="R1137" t="str">
        <f>IFERROR(VLOOKUP(T[[#This Row],[warehouse]],Table2[],2,FALSE),"--")</f>
        <v>--</v>
      </c>
    </row>
    <row r="1138" spans="1:18" x14ac:dyDescent="0.25">
      <c r="A1138" t="s">
        <v>332</v>
      </c>
      <c r="B1138" s="1">
        <v>44172</v>
      </c>
      <c r="C1138" t="s">
        <v>1020</v>
      </c>
      <c r="D1138" t="s">
        <v>71</v>
      </c>
      <c r="E1138" t="s">
        <v>51</v>
      </c>
      <c r="F1138" t="s">
        <v>753</v>
      </c>
      <c r="G1138" t="s">
        <v>1022</v>
      </c>
      <c r="H1138" t="s">
        <v>54</v>
      </c>
      <c r="I1138">
        <v>20000</v>
      </c>
      <c r="J1138">
        <v>0</v>
      </c>
      <c r="K1138">
        <v>1</v>
      </c>
      <c r="L1138" t="s">
        <v>25</v>
      </c>
      <c r="M1138" t="s">
        <v>533</v>
      </c>
      <c r="N1138">
        <v>15.3</v>
      </c>
      <c r="O1138">
        <v>0</v>
      </c>
      <c r="P1138" t="str">
        <f>IF(T[[#This Row],[qty_ordered]]&lt;&gt;T[[#This Row],[qty_received]],IF(T[[#This Row],[qty_received]]&gt;0,"Partial Received","Not Receviced"),"FullyReceived")</f>
        <v>Not Receviced</v>
      </c>
      <c r="Q1138" t="str">
        <f>IF(T[[#This Row],[qty_received]]&lt;&gt;T[[#This Row],[qty_invoiced]],IF(T[[#This Row],[qty_invoiced]]&gt;0,"Partial Invoiced","Not Invoiced"),"Fully Invoiced")</f>
        <v>Partial Invoiced</v>
      </c>
      <c r="R1138" t="str">
        <f>IFERROR(VLOOKUP(T[[#This Row],[warehouse]],Table2[],2,FALSE),"--")</f>
        <v>--</v>
      </c>
    </row>
    <row r="1139" spans="1:18" x14ac:dyDescent="0.25">
      <c r="A1139" t="s">
        <v>739</v>
      </c>
      <c r="B1139" s="1">
        <v>44140</v>
      </c>
      <c r="C1139" t="s">
        <v>966</v>
      </c>
      <c r="D1139" t="s">
        <v>76</v>
      </c>
      <c r="E1139" t="s">
        <v>660</v>
      </c>
      <c r="F1139" t="s">
        <v>705</v>
      </c>
      <c r="G1139" t="s">
        <v>706</v>
      </c>
      <c r="H1139" t="s">
        <v>663</v>
      </c>
      <c r="I1139">
        <v>2974.2</v>
      </c>
      <c r="J1139">
        <v>2974.2</v>
      </c>
      <c r="K1139">
        <v>2974.2</v>
      </c>
      <c r="L1139" t="s">
        <v>25</v>
      </c>
      <c r="M1139" t="s">
        <v>132</v>
      </c>
      <c r="N1139">
        <v>800</v>
      </c>
      <c r="O1139">
        <v>2379360</v>
      </c>
      <c r="P1139" t="str">
        <f>IF(T[[#This Row],[qty_ordered]]&lt;&gt;T[[#This Row],[qty_received]],IF(T[[#This Row],[qty_received]]&gt;0,"Partial Received","Not Receviced"),"FullyReceived")</f>
        <v>FullyReceived</v>
      </c>
      <c r="Q1139" t="str">
        <f>IF(T[[#This Row],[qty_received]]&lt;&gt;T[[#This Row],[qty_invoiced]],IF(T[[#This Row],[qty_invoiced]]&gt;0,"Partial Invoiced","Not Invoiced"),"Fully Invoiced")</f>
        <v>Fully Invoiced</v>
      </c>
      <c r="R1139" t="str">
        <f>IFERROR(VLOOKUP(T[[#This Row],[warehouse]],Table2[],2,FALSE),"--")</f>
        <v>SLAUGHTER HOUSE</v>
      </c>
    </row>
    <row r="1140" spans="1:18" x14ac:dyDescent="0.25">
      <c r="A1140" t="s">
        <v>144</v>
      </c>
      <c r="B1140" s="1">
        <v>44143</v>
      </c>
      <c r="C1140" t="s">
        <v>968</v>
      </c>
      <c r="D1140" t="s">
        <v>88</v>
      </c>
      <c r="E1140" t="s">
        <v>146</v>
      </c>
      <c r="F1140" t="s">
        <v>147</v>
      </c>
      <c r="G1140" t="s">
        <v>148</v>
      </c>
      <c r="H1140" t="s">
        <v>149</v>
      </c>
      <c r="I1140">
        <v>24000</v>
      </c>
      <c r="J1140">
        <v>20900</v>
      </c>
      <c r="K1140">
        <v>20900</v>
      </c>
      <c r="L1140" t="s">
        <v>25</v>
      </c>
      <c r="M1140" t="s">
        <v>575</v>
      </c>
      <c r="N1140">
        <v>22.32</v>
      </c>
      <c r="O1140">
        <v>466488</v>
      </c>
      <c r="P1140" t="str">
        <f>IF(T[[#This Row],[qty_ordered]]&lt;&gt;T[[#This Row],[qty_received]],IF(T[[#This Row],[qty_received]]&gt;0,"Partial Received","Not Receviced"),"FullyReceived")</f>
        <v>Partial Received</v>
      </c>
      <c r="Q1140" t="str">
        <f>IF(T[[#This Row],[qty_received]]&lt;&gt;T[[#This Row],[qty_invoiced]],IF(T[[#This Row],[qty_invoiced]]&gt;0,"Partial Invoiced","Not Invoiced"),"Fully Invoiced")</f>
        <v>Fully Invoiced</v>
      </c>
      <c r="R1140" t="str">
        <f>IFERROR(VLOOKUP(T[[#This Row],[warehouse]],Table2[],2,FALSE),"--")</f>
        <v>Khtoum Main Warehouse</v>
      </c>
    </row>
    <row r="1141" spans="1:18" x14ac:dyDescent="0.25">
      <c r="A1141" t="s">
        <v>534</v>
      </c>
      <c r="B1141" s="1">
        <v>43818</v>
      </c>
      <c r="C1141" t="s">
        <v>835</v>
      </c>
      <c r="D1141" t="s">
        <v>88</v>
      </c>
      <c r="E1141" t="s">
        <v>51</v>
      </c>
      <c r="F1141" t="s">
        <v>52</v>
      </c>
      <c r="G1141" t="s">
        <v>838</v>
      </c>
      <c r="H1141" t="s">
        <v>54</v>
      </c>
      <c r="I1141">
        <v>1</v>
      </c>
      <c r="J1141">
        <v>0</v>
      </c>
      <c r="K1141">
        <v>0</v>
      </c>
      <c r="L1141" t="s">
        <v>25</v>
      </c>
      <c r="M1141" t="s">
        <v>132</v>
      </c>
      <c r="N1141">
        <v>-131448.06400000001</v>
      </c>
      <c r="O1141">
        <v>0</v>
      </c>
      <c r="P1141" t="str">
        <f>IF(T[[#This Row],[qty_ordered]]&lt;&gt;T[[#This Row],[qty_received]],IF(T[[#This Row],[qty_received]]&gt;0,"Partial Received","Not Receviced"),"FullyReceived")</f>
        <v>Not Receviced</v>
      </c>
      <c r="Q1141" t="str">
        <f>IF(T[[#This Row],[qty_received]]&lt;&gt;T[[#This Row],[qty_invoiced]],IF(T[[#This Row],[qty_invoiced]]&gt;0,"Partial Invoiced","Not Invoiced"),"Fully Invoiced")</f>
        <v>Fully Invoiced</v>
      </c>
      <c r="R1141" t="str">
        <f>IFERROR(VLOOKUP(T[[#This Row],[warehouse]],Table2[],2,FALSE),"--")</f>
        <v>--</v>
      </c>
    </row>
    <row r="1142" spans="1:18" x14ac:dyDescent="0.25">
      <c r="A1142" t="s">
        <v>739</v>
      </c>
      <c r="B1142" s="1">
        <v>44140</v>
      </c>
      <c r="C1142" t="s">
        <v>966</v>
      </c>
      <c r="D1142" t="s">
        <v>212</v>
      </c>
      <c r="E1142" t="s">
        <v>660</v>
      </c>
      <c r="F1142" t="s">
        <v>705</v>
      </c>
      <c r="G1142" t="s">
        <v>706</v>
      </c>
      <c r="H1142" t="s">
        <v>663</v>
      </c>
      <c r="I1142">
        <v>2926.6</v>
      </c>
      <c r="J1142">
        <v>2926.6</v>
      </c>
      <c r="K1142">
        <v>2926.6</v>
      </c>
      <c r="L1142" t="s">
        <v>25</v>
      </c>
      <c r="M1142" t="s">
        <v>132</v>
      </c>
      <c r="N1142">
        <v>850</v>
      </c>
      <c r="O1142">
        <v>2487610</v>
      </c>
      <c r="P1142" t="str">
        <f>IF(T[[#This Row],[qty_ordered]]&lt;&gt;T[[#This Row],[qty_received]],IF(T[[#This Row],[qty_received]]&gt;0,"Partial Received","Not Receviced"),"FullyReceived")</f>
        <v>FullyReceived</v>
      </c>
      <c r="Q1142" t="str">
        <f>IF(T[[#This Row],[qty_received]]&lt;&gt;T[[#This Row],[qty_invoiced]],IF(T[[#This Row],[qty_invoiced]]&gt;0,"Partial Invoiced","Not Invoiced"),"Fully Invoiced")</f>
        <v>Fully Invoiced</v>
      </c>
      <c r="R1142" t="str">
        <f>IFERROR(VLOOKUP(T[[#This Row],[warehouse]],Table2[],2,FALSE),"--")</f>
        <v>SLAUGHTER HOUSE</v>
      </c>
    </row>
    <row r="1143" spans="1:18" x14ac:dyDescent="0.25">
      <c r="A1143" t="s">
        <v>505</v>
      </c>
      <c r="B1143" s="1">
        <v>44179</v>
      </c>
      <c r="C1143" t="s">
        <v>1023</v>
      </c>
      <c r="D1143" t="s">
        <v>20</v>
      </c>
      <c r="E1143" t="s">
        <v>51</v>
      </c>
      <c r="F1143" t="s">
        <v>247</v>
      </c>
      <c r="G1143" t="s">
        <v>1024</v>
      </c>
      <c r="H1143" t="s">
        <v>54</v>
      </c>
      <c r="I1143">
        <v>10000</v>
      </c>
      <c r="J1143">
        <v>0</v>
      </c>
      <c r="K1143">
        <v>1</v>
      </c>
      <c r="L1143" t="s">
        <v>25</v>
      </c>
      <c r="M1143" t="s">
        <v>533</v>
      </c>
      <c r="N1143">
        <v>12000</v>
      </c>
      <c r="O1143">
        <v>0</v>
      </c>
      <c r="P1143" t="str">
        <f>IF(T[[#This Row],[qty_ordered]]&lt;&gt;T[[#This Row],[qty_received]],IF(T[[#This Row],[qty_received]]&gt;0,"Partial Received","Not Receviced"),"FullyReceived")</f>
        <v>Not Receviced</v>
      </c>
      <c r="Q1143" t="str">
        <f>IF(T[[#This Row],[qty_received]]&lt;&gt;T[[#This Row],[qty_invoiced]],IF(T[[#This Row],[qty_invoiced]]&gt;0,"Partial Invoiced","Not Invoiced"),"Fully Invoiced")</f>
        <v>Partial Invoiced</v>
      </c>
      <c r="R1143" t="str">
        <f>IFERROR(VLOOKUP(T[[#This Row],[warehouse]],Table2[],2,FALSE),"--")</f>
        <v>--</v>
      </c>
    </row>
    <row r="1144" spans="1:18" x14ac:dyDescent="0.25">
      <c r="A1144" t="s">
        <v>1025</v>
      </c>
      <c r="B1144" s="1">
        <v>44181</v>
      </c>
      <c r="C1144" t="s">
        <v>1026</v>
      </c>
      <c r="D1144" t="s">
        <v>20</v>
      </c>
      <c r="E1144" t="s">
        <v>146</v>
      </c>
      <c r="F1144" t="s">
        <v>1027</v>
      </c>
      <c r="G1144" t="s">
        <v>1028</v>
      </c>
      <c r="H1144" t="s">
        <v>149</v>
      </c>
      <c r="I1144">
        <v>5000</v>
      </c>
      <c r="J1144">
        <v>5000</v>
      </c>
      <c r="K1144">
        <v>5000</v>
      </c>
      <c r="L1144" t="s">
        <v>25</v>
      </c>
      <c r="M1144" t="s">
        <v>418</v>
      </c>
      <c r="N1144">
        <v>230</v>
      </c>
      <c r="O1144">
        <v>1150000</v>
      </c>
      <c r="P1144" t="str">
        <f>IF(T[[#This Row],[qty_ordered]]&lt;&gt;T[[#This Row],[qty_received]],IF(T[[#This Row],[qty_received]]&gt;0,"Partial Received","Not Receviced"),"FullyReceived")</f>
        <v>FullyReceived</v>
      </c>
      <c r="Q1144" t="str">
        <f>IF(T[[#This Row],[qty_received]]&lt;&gt;T[[#This Row],[qty_invoiced]],IF(T[[#This Row],[qty_invoiced]]&gt;0,"Partial Invoiced","Not Invoiced"),"Fully Invoiced")</f>
        <v>Fully Invoiced</v>
      </c>
      <c r="R1144" t="str">
        <f>IFERROR(VLOOKUP(T[[#This Row],[warehouse]],Table2[],2,FALSE),"--")</f>
        <v>Khtoum Main Warehouse</v>
      </c>
    </row>
    <row r="1145" spans="1:18" x14ac:dyDescent="0.25">
      <c r="A1145" t="s">
        <v>228</v>
      </c>
      <c r="B1145" s="1">
        <v>44182</v>
      </c>
      <c r="C1145" t="s">
        <v>1029</v>
      </c>
      <c r="D1145" t="s">
        <v>20</v>
      </c>
      <c r="E1145" t="s">
        <v>621</v>
      </c>
      <c r="F1145" t="s">
        <v>196</v>
      </c>
      <c r="G1145" t="s">
        <v>197</v>
      </c>
      <c r="H1145" t="s">
        <v>24</v>
      </c>
      <c r="I1145">
        <v>28547.26</v>
      </c>
      <c r="J1145">
        <v>28547.26</v>
      </c>
      <c r="K1145">
        <v>28547.26</v>
      </c>
      <c r="L1145" t="s">
        <v>25</v>
      </c>
      <c r="M1145" t="s">
        <v>714</v>
      </c>
      <c r="N1145">
        <v>93500</v>
      </c>
      <c r="O1145">
        <v>2669168810</v>
      </c>
      <c r="P1145" t="str">
        <f>IF(T[[#This Row],[qty_ordered]]&lt;&gt;T[[#This Row],[qty_received]],IF(T[[#This Row],[qty_received]]&gt;0,"Partial Received","Not Receviced"),"FullyReceived")</f>
        <v>FullyReceived</v>
      </c>
      <c r="Q1145" t="str">
        <f>IF(T[[#This Row],[qty_received]]&lt;&gt;T[[#This Row],[qty_invoiced]],IF(T[[#This Row],[qty_invoiced]]&gt;0,"Partial Invoiced","Not Invoiced"),"Fully Invoiced")</f>
        <v>Fully Invoiced</v>
      </c>
      <c r="R1145" t="str">
        <f>IFERROR(VLOOKUP(T[[#This Row],[warehouse]],Table2[],2,FALSE),"--")</f>
        <v>SIFTER CONCRETE SILO</v>
      </c>
    </row>
    <row r="1146" spans="1:18" x14ac:dyDescent="0.25">
      <c r="A1146" t="s">
        <v>955</v>
      </c>
      <c r="B1146" s="1">
        <v>44186</v>
      </c>
      <c r="C1146" t="s">
        <v>1030</v>
      </c>
      <c r="D1146" t="s">
        <v>20</v>
      </c>
      <c r="E1146" t="s">
        <v>410</v>
      </c>
      <c r="F1146" t="s">
        <v>1031</v>
      </c>
      <c r="G1146" t="s">
        <v>478</v>
      </c>
      <c r="H1146" t="s">
        <v>24</v>
      </c>
      <c r="I1146">
        <v>201.12</v>
      </c>
      <c r="J1146">
        <v>201.12</v>
      </c>
      <c r="K1146">
        <v>201.12</v>
      </c>
      <c r="L1146" t="s">
        <v>25</v>
      </c>
      <c r="M1146" t="s">
        <v>132</v>
      </c>
      <c r="N1146">
        <v>460000</v>
      </c>
      <c r="O1146">
        <v>92515200</v>
      </c>
      <c r="P1146" t="str">
        <f>IF(T[[#This Row],[qty_ordered]]&lt;&gt;T[[#This Row],[qty_received]],IF(T[[#This Row],[qty_received]]&gt;0,"Partial Received","Not Receviced"),"FullyReceived")</f>
        <v>FullyReceived</v>
      </c>
      <c r="Q1146" t="str">
        <f>IF(T[[#This Row],[qty_received]]&lt;&gt;T[[#This Row],[qty_invoiced]],IF(T[[#This Row],[qty_invoiced]]&gt;0,"Partial Invoiced","Not Invoiced"),"Fully Invoiced")</f>
        <v>Fully Invoiced</v>
      </c>
      <c r="R1146" t="str">
        <f>IFERROR(VLOOKUP(T[[#This Row],[warehouse]],Table2[],2,FALSE),"--")</f>
        <v>SFITER GUM Masaaie</v>
      </c>
    </row>
    <row r="1147" spans="1:18" x14ac:dyDescent="0.25">
      <c r="A1147" t="s">
        <v>642</v>
      </c>
      <c r="B1147" s="1">
        <v>44186</v>
      </c>
      <c r="C1147" t="s">
        <v>1032</v>
      </c>
      <c r="D1147" t="s">
        <v>20</v>
      </c>
      <c r="E1147" t="s">
        <v>51</v>
      </c>
      <c r="F1147" t="s">
        <v>183</v>
      </c>
      <c r="G1147" t="s">
        <v>1033</v>
      </c>
      <c r="H1147" t="s">
        <v>54</v>
      </c>
      <c r="I1147">
        <v>20000</v>
      </c>
      <c r="J1147">
        <v>0</v>
      </c>
      <c r="K1147">
        <v>1</v>
      </c>
      <c r="L1147" t="s">
        <v>25</v>
      </c>
      <c r="M1147" t="s">
        <v>533</v>
      </c>
      <c r="N1147">
        <v>8000</v>
      </c>
      <c r="O1147">
        <v>0</v>
      </c>
      <c r="P1147" t="str">
        <f>IF(T[[#This Row],[qty_ordered]]&lt;&gt;T[[#This Row],[qty_received]],IF(T[[#This Row],[qty_received]]&gt;0,"Partial Received","Not Receviced"),"FullyReceived")</f>
        <v>Not Receviced</v>
      </c>
      <c r="Q1147" t="str">
        <f>IF(T[[#This Row],[qty_received]]&lt;&gt;T[[#This Row],[qty_invoiced]],IF(T[[#This Row],[qty_invoiced]]&gt;0,"Partial Invoiced","Not Invoiced"),"Fully Invoiced")</f>
        <v>Partial Invoiced</v>
      </c>
      <c r="R1147" t="str">
        <f>IFERROR(VLOOKUP(T[[#This Row],[warehouse]],Table2[],2,FALSE),"--")</f>
        <v>--</v>
      </c>
    </row>
    <row r="1148" spans="1:18" x14ac:dyDescent="0.25">
      <c r="A1148" t="s">
        <v>228</v>
      </c>
      <c r="B1148" s="1">
        <v>43816</v>
      </c>
      <c r="C1148" t="s">
        <v>832</v>
      </c>
      <c r="D1148" t="s">
        <v>100</v>
      </c>
      <c r="E1148" t="s">
        <v>239</v>
      </c>
      <c r="F1148" t="s">
        <v>196</v>
      </c>
      <c r="G1148" t="s">
        <v>197</v>
      </c>
      <c r="H1148" t="s">
        <v>24</v>
      </c>
      <c r="I1148">
        <v>10000</v>
      </c>
      <c r="J1148">
        <v>0</v>
      </c>
      <c r="K1148">
        <v>0</v>
      </c>
      <c r="L1148" t="s">
        <v>25</v>
      </c>
      <c r="M1148" t="s">
        <v>132</v>
      </c>
      <c r="N1148">
        <v>20000</v>
      </c>
      <c r="O1148">
        <v>0</v>
      </c>
      <c r="P1148" t="str">
        <f>IF(T[[#This Row],[qty_ordered]]&lt;&gt;T[[#This Row],[qty_received]],IF(T[[#This Row],[qty_received]]&gt;0,"Partial Received","Not Receviced"),"FullyReceived")</f>
        <v>Not Receviced</v>
      </c>
      <c r="Q1148" t="str">
        <f>IF(T[[#This Row],[qty_received]]&lt;&gt;T[[#This Row],[qty_invoiced]],IF(T[[#This Row],[qty_invoiced]]&gt;0,"Partial Invoiced","Not Invoiced"),"Fully Invoiced")</f>
        <v>Fully Invoiced</v>
      </c>
      <c r="R1148" t="str">
        <f>IFERROR(VLOOKUP(T[[#This Row],[warehouse]],Table2[],2,FALSE),"--")</f>
        <v xml:space="preserve">Gadarif Main Store </v>
      </c>
    </row>
    <row r="1149" spans="1:18" x14ac:dyDescent="0.25">
      <c r="A1149" t="s">
        <v>812</v>
      </c>
      <c r="B1149" s="1">
        <v>43935</v>
      </c>
      <c r="C1149" t="s">
        <v>1034</v>
      </c>
      <c r="D1149" t="s">
        <v>20</v>
      </c>
      <c r="E1149" t="s">
        <v>51</v>
      </c>
      <c r="F1149" t="s">
        <v>183</v>
      </c>
      <c r="G1149" t="s">
        <v>1035</v>
      </c>
      <c r="H1149" t="s">
        <v>54</v>
      </c>
      <c r="I1149">
        <v>525.36</v>
      </c>
      <c r="J1149">
        <v>0</v>
      </c>
      <c r="K1149">
        <v>1</v>
      </c>
      <c r="L1149" t="s">
        <v>25</v>
      </c>
      <c r="M1149" t="s">
        <v>533</v>
      </c>
      <c r="N1149">
        <v>750</v>
      </c>
      <c r="O1149">
        <v>0</v>
      </c>
      <c r="P1149" t="str">
        <f>IF(T[[#This Row],[qty_ordered]]&lt;&gt;T[[#This Row],[qty_received]],IF(T[[#This Row],[qty_received]]&gt;0,"Partial Received","Not Receviced"),"FullyReceived")</f>
        <v>Not Receviced</v>
      </c>
      <c r="Q1149" t="str">
        <f>IF(T[[#This Row],[qty_received]]&lt;&gt;T[[#This Row],[qty_invoiced]],IF(T[[#This Row],[qty_invoiced]]&gt;0,"Partial Invoiced","Not Invoiced"),"Fully Invoiced")</f>
        <v>Partial Invoiced</v>
      </c>
      <c r="R1149" t="str">
        <f>IFERROR(VLOOKUP(T[[#This Row],[warehouse]],Table2[],2,FALSE),"--")</f>
        <v>--</v>
      </c>
    </row>
    <row r="1150" spans="1:18" x14ac:dyDescent="0.25">
      <c r="A1150" t="s">
        <v>812</v>
      </c>
      <c r="B1150" s="1">
        <v>43935</v>
      </c>
      <c r="C1150" t="s">
        <v>1034</v>
      </c>
      <c r="D1150" t="s">
        <v>71</v>
      </c>
      <c r="E1150" t="s">
        <v>51</v>
      </c>
      <c r="F1150" t="s">
        <v>185</v>
      </c>
      <c r="G1150" t="s">
        <v>275</v>
      </c>
      <c r="H1150" t="s">
        <v>54</v>
      </c>
      <c r="I1150">
        <v>2965</v>
      </c>
      <c r="J1150">
        <v>0</v>
      </c>
      <c r="K1150">
        <v>1</v>
      </c>
      <c r="L1150" t="s">
        <v>25</v>
      </c>
      <c r="M1150" t="s">
        <v>533</v>
      </c>
      <c r="N1150">
        <v>10</v>
      </c>
      <c r="O1150">
        <v>0</v>
      </c>
      <c r="P1150" t="str">
        <f>IF(T[[#This Row],[qty_ordered]]&lt;&gt;T[[#This Row],[qty_received]],IF(T[[#This Row],[qty_received]]&gt;0,"Partial Received","Not Receviced"),"FullyReceived")</f>
        <v>Not Receviced</v>
      </c>
      <c r="Q1150" t="str">
        <f>IF(T[[#This Row],[qty_received]]&lt;&gt;T[[#This Row],[qty_invoiced]],IF(T[[#This Row],[qty_invoiced]]&gt;0,"Partial Invoiced","Not Invoiced"),"Fully Invoiced")</f>
        <v>Partial Invoiced</v>
      </c>
      <c r="R1150" t="str">
        <f>IFERROR(VLOOKUP(T[[#This Row],[warehouse]],Table2[],2,FALSE),"--")</f>
        <v>--</v>
      </c>
    </row>
    <row r="1151" spans="1:18" x14ac:dyDescent="0.25">
      <c r="A1151" t="s">
        <v>812</v>
      </c>
      <c r="B1151" s="1">
        <v>43935</v>
      </c>
      <c r="C1151" t="s">
        <v>1034</v>
      </c>
      <c r="D1151" t="s">
        <v>100</v>
      </c>
      <c r="E1151" t="s">
        <v>51</v>
      </c>
      <c r="F1151" t="s">
        <v>373</v>
      </c>
      <c r="G1151" t="s">
        <v>373</v>
      </c>
      <c r="H1151" t="s">
        <v>54</v>
      </c>
      <c r="I1151">
        <v>1992</v>
      </c>
      <c r="J1151">
        <v>0</v>
      </c>
      <c r="K1151">
        <v>1</v>
      </c>
      <c r="L1151" t="s">
        <v>25</v>
      </c>
      <c r="M1151" t="s">
        <v>533</v>
      </c>
      <c r="N1151">
        <v>5</v>
      </c>
      <c r="O1151">
        <v>0</v>
      </c>
      <c r="P1151" t="str">
        <f>IF(T[[#This Row],[qty_ordered]]&lt;&gt;T[[#This Row],[qty_received]],IF(T[[#This Row],[qty_received]]&gt;0,"Partial Received","Not Receviced"),"FullyReceived")</f>
        <v>Not Receviced</v>
      </c>
      <c r="Q1151" t="str">
        <f>IF(T[[#This Row],[qty_received]]&lt;&gt;T[[#This Row],[qty_invoiced]],IF(T[[#This Row],[qty_invoiced]]&gt;0,"Partial Invoiced","Not Invoiced"),"Fully Invoiced")</f>
        <v>Partial Invoiced</v>
      </c>
      <c r="R1151" t="str">
        <f>IFERROR(VLOOKUP(T[[#This Row],[warehouse]],Table2[],2,FALSE),"--")</f>
        <v>--</v>
      </c>
    </row>
    <row r="1152" spans="1:18" x14ac:dyDescent="0.25">
      <c r="A1152" t="s">
        <v>260</v>
      </c>
      <c r="B1152" s="1">
        <v>43832</v>
      </c>
      <c r="C1152" t="s">
        <v>882</v>
      </c>
      <c r="D1152" t="s">
        <v>452</v>
      </c>
      <c r="E1152" t="s">
        <v>51</v>
      </c>
      <c r="F1152" t="s">
        <v>390</v>
      </c>
      <c r="G1152" t="s">
        <v>390</v>
      </c>
      <c r="H1152" t="s">
        <v>54</v>
      </c>
      <c r="I1152">
        <v>2698</v>
      </c>
      <c r="J1152">
        <v>0</v>
      </c>
      <c r="K1152">
        <v>1</v>
      </c>
      <c r="L1152" t="s">
        <v>25</v>
      </c>
      <c r="M1152" t="s">
        <v>533</v>
      </c>
      <c r="N1152">
        <v>34.342846999999999</v>
      </c>
      <c r="O1152">
        <v>0</v>
      </c>
      <c r="P1152" t="str">
        <f>IF(T[[#This Row],[qty_ordered]]&lt;&gt;T[[#This Row],[qty_received]],IF(T[[#This Row],[qty_received]]&gt;0,"Partial Received","Not Receviced"),"FullyReceived")</f>
        <v>Not Receviced</v>
      </c>
      <c r="Q1152" t="str">
        <f>IF(T[[#This Row],[qty_received]]&lt;&gt;T[[#This Row],[qty_invoiced]],IF(T[[#This Row],[qty_invoiced]]&gt;0,"Partial Invoiced","Not Invoiced"),"Fully Invoiced")</f>
        <v>Partial Invoiced</v>
      </c>
      <c r="R1152" t="str">
        <f>IFERROR(VLOOKUP(T[[#This Row],[warehouse]],Table2[],2,FALSE),"--")</f>
        <v>--</v>
      </c>
    </row>
    <row r="1153" spans="1:18" x14ac:dyDescent="0.25">
      <c r="A1153" t="s">
        <v>260</v>
      </c>
      <c r="B1153" s="1">
        <v>43832</v>
      </c>
      <c r="C1153" t="s">
        <v>882</v>
      </c>
      <c r="D1153" t="s">
        <v>614</v>
      </c>
      <c r="E1153" t="s">
        <v>51</v>
      </c>
      <c r="F1153" t="s">
        <v>254</v>
      </c>
      <c r="G1153" t="s">
        <v>255</v>
      </c>
      <c r="H1153" t="s">
        <v>54</v>
      </c>
      <c r="I1153">
        <v>75017</v>
      </c>
      <c r="J1153">
        <v>0</v>
      </c>
      <c r="K1153">
        <v>1</v>
      </c>
      <c r="L1153" t="s">
        <v>25</v>
      </c>
      <c r="M1153" t="s">
        <v>533</v>
      </c>
      <c r="N1153">
        <v>3.8623919999999998</v>
      </c>
      <c r="O1153">
        <v>0</v>
      </c>
      <c r="P1153" t="str">
        <f>IF(T[[#This Row],[qty_ordered]]&lt;&gt;T[[#This Row],[qty_received]],IF(T[[#This Row],[qty_received]]&gt;0,"Partial Received","Not Receviced"),"FullyReceived")</f>
        <v>Not Receviced</v>
      </c>
      <c r="Q1153" t="str">
        <f>IF(T[[#This Row],[qty_received]]&lt;&gt;T[[#This Row],[qty_invoiced]],IF(T[[#This Row],[qty_invoiced]]&gt;0,"Partial Invoiced","Not Invoiced"),"Fully Invoiced")</f>
        <v>Partial Invoiced</v>
      </c>
      <c r="R1153" t="str">
        <f>IFERROR(VLOOKUP(T[[#This Row],[warehouse]],Table2[],2,FALSE),"--")</f>
        <v>--</v>
      </c>
    </row>
    <row r="1154" spans="1:18" x14ac:dyDescent="0.25">
      <c r="A1154" t="s">
        <v>260</v>
      </c>
      <c r="B1154" s="1">
        <v>43832</v>
      </c>
      <c r="C1154" t="s">
        <v>882</v>
      </c>
      <c r="D1154" t="s">
        <v>615</v>
      </c>
      <c r="E1154" t="s">
        <v>51</v>
      </c>
      <c r="F1154" t="s">
        <v>793</v>
      </c>
      <c r="G1154" t="s">
        <v>794</v>
      </c>
      <c r="H1154" t="s">
        <v>54</v>
      </c>
      <c r="I1154">
        <v>3074</v>
      </c>
      <c r="J1154">
        <v>0</v>
      </c>
      <c r="K1154">
        <v>1</v>
      </c>
      <c r="L1154" t="s">
        <v>25</v>
      </c>
      <c r="M1154" t="s">
        <v>533</v>
      </c>
      <c r="N1154">
        <v>5</v>
      </c>
      <c r="O1154">
        <v>0</v>
      </c>
      <c r="P1154" t="str">
        <f>IF(T[[#This Row],[qty_ordered]]&lt;&gt;T[[#This Row],[qty_received]],IF(T[[#This Row],[qty_received]]&gt;0,"Partial Received","Not Receviced"),"FullyReceived")</f>
        <v>Not Receviced</v>
      </c>
      <c r="Q1154" t="str">
        <f>IF(T[[#This Row],[qty_received]]&lt;&gt;T[[#This Row],[qty_invoiced]],IF(T[[#This Row],[qty_invoiced]]&gt;0,"Partial Invoiced","Not Invoiced"),"Fully Invoiced")</f>
        <v>Partial Invoiced</v>
      </c>
      <c r="R1154" t="str">
        <f>IFERROR(VLOOKUP(T[[#This Row],[warehouse]],Table2[],2,FALSE),"--")</f>
        <v>--</v>
      </c>
    </row>
    <row r="1155" spans="1:18" x14ac:dyDescent="0.25">
      <c r="A1155" t="s">
        <v>260</v>
      </c>
      <c r="B1155" s="1">
        <v>43832</v>
      </c>
      <c r="C1155" t="s">
        <v>882</v>
      </c>
      <c r="D1155" t="s">
        <v>752</v>
      </c>
      <c r="E1155" t="s">
        <v>51</v>
      </c>
      <c r="F1155" t="s">
        <v>793</v>
      </c>
      <c r="G1155" t="s">
        <v>794</v>
      </c>
      <c r="H1155" t="s">
        <v>54</v>
      </c>
      <c r="I1155">
        <v>9</v>
      </c>
      <c r="J1155">
        <v>0</v>
      </c>
      <c r="K1155">
        <v>1</v>
      </c>
      <c r="L1155" t="s">
        <v>25</v>
      </c>
      <c r="M1155" t="s">
        <v>533</v>
      </c>
      <c r="N1155">
        <v>50</v>
      </c>
      <c r="O1155">
        <v>0</v>
      </c>
      <c r="P1155" t="str">
        <f>IF(T[[#This Row],[qty_ordered]]&lt;&gt;T[[#This Row],[qty_received]],IF(T[[#This Row],[qty_received]]&gt;0,"Partial Received","Not Receviced"),"FullyReceived")</f>
        <v>Not Receviced</v>
      </c>
      <c r="Q1155" t="str">
        <f>IF(T[[#This Row],[qty_received]]&lt;&gt;T[[#This Row],[qty_invoiced]],IF(T[[#This Row],[qty_invoiced]]&gt;0,"Partial Invoiced","Not Invoiced"),"Fully Invoiced")</f>
        <v>Partial Invoiced</v>
      </c>
      <c r="R1155" t="str">
        <f>IFERROR(VLOOKUP(T[[#This Row],[warehouse]],Table2[],2,FALSE),"--")</f>
        <v>--</v>
      </c>
    </row>
    <row r="1156" spans="1:18" x14ac:dyDescent="0.25">
      <c r="A1156" t="s">
        <v>260</v>
      </c>
      <c r="B1156" s="1">
        <v>43832</v>
      </c>
      <c r="C1156" t="s">
        <v>882</v>
      </c>
      <c r="D1156" t="s">
        <v>759</v>
      </c>
      <c r="E1156" t="s">
        <v>51</v>
      </c>
      <c r="F1156" t="s">
        <v>262</v>
      </c>
      <c r="G1156" t="s">
        <v>262</v>
      </c>
      <c r="H1156" t="s">
        <v>54</v>
      </c>
      <c r="I1156">
        <v>36000</v>
      </c>
      <c r="J1156">
        <v>0</v>
      </c>
      <c r="K1156">
        <v>1</v>
      </c>
      <c r="L1156" t="s">
        <v>25</v>
      </c>
      <c r="M1156" t="s">
        <v>533</v>
      </c>
      <c r="N1156">
        <v>4.2000279999999997</v>
      </c>
      <c r="O1156">
        <v>0</v>
      </c>
      <c r="P1156" t="str">
        <f>IF(T[[#This Row],[qty_ordered]]&lt;&gt;T[[#This Row],[qty_received]],IF(T[[#This Row],[qty_received]]&gt;0,"Partial Received","Not Receviced"),"FullyReceived")</f>
        <v>Not Receviced</v>
      </c>
      <c r="Q1156" t="str">
        <f>IF(T[[#This Row],[qty_received]]&lt;&gt;T[[#This Row],[qty_invoiced]],IF(T[[#This Row],[qty_invoiced]]&gt;0,"Partial Invoiced","Not Invoiced"),"Fully Invoiced")</f>
        <v>Partial Invoiced</v>
      </c>
      <c r="R1156" t="str">
        <f>IFERROR(VLOOKUP(T[[#This Row],[warehouse]],Table2[],2,FALSE),"--")</f>
        <v>--</v>
      </c>
    </row>
    <row r="1157" spans="1:18" x14ac:dyDescent="0.25">
      <c r="A1157" t="s">
        <v>260</v>
      </c>
      <c r="B1157" s="1">
        <v>43832</v>
      </c>
      <c r="C1157" t="s">
        <v>882</v>
      </c>
      <c r="D1157" t="s">
        <v>694</v>
      </c>
      <c r="E1157" t="s">
        <v>51</v>
      </c>
      <c r="F1157" t="s">
        <v>266</v>
      </c>
      <c r="G1157" t="s">
        <v>266</v>
      </c>
      <c r="H1157" t="s">
        <v>54</v>
      </c>
      <c r="I1157">
        <v>19200</v>
      </c>
      <c r="J1157">
        <v>0</v>
      </c>
      <c r="K1157">
        <v>1</v>
      </c>
      <c r="L1157" t="s">
        <v>25</v>
      </c>
      <c r="M1157" t="s">
        <v>533</v>
      </c>
      <c r="N1157">
        <v>22.400780999999998</v>
      </c>
      <c r="O1157">
        <v>0</v>
      </c>
      <c r="P1157" t="str">
        <f>IF(T[[#This Row],[qty_ordered]]&lt;&gt;T[[#This Row],[qty_received]],IF(T[[#This Row],[qty_received]]&gt;0,"Partial Received","Not Receviced"),"FullyReceived")</f>
        <v>Not Receviced</v>
      </c>
      <c r="Q1157" t="str">
        <f>IF(T[[#This Row],[qty_received]]&lt;&gt;T[[#This Row],[qty_invoiced]],IF(T[[#This Row],[qty_invoiced]]&gt;0,"Partial Invoiced","Not Invoiced"),"Fully Invoiced")</f>
        <v>Partial Invoiced</v>
      </c>
      <c r="R1157" t="str">
        <f>IFERROR(VLOOKUP(T[[#This Row],[warehouse]],Table2[],2,FALSE),"--")</f>
        <v>--</v>
      </c>
    </row>
    <row r="1158" spans="1:18" x14ac:dyDescent="0.25">
      <c r="A1158" t="s">
        <v>260</v>
      </c>
      <c r="B1158" s="1">
        <v>43832</v>
      </c>
      <c r="C1158" t="s">
        <v>882</v>
      </c>
      <c r="D1158" t="s">
        <v>760</v>
      </c>
      <c r="E1158" t="s">
        <v>51</v>
      </c>
      <c r="F1158" t="s">
        <v>183</v>
      </c>
      <c r="G1158" t="s">
        <v>183</v>
      </c>
      <c r="H1158" t="s">
        <v>54</v>
      </c>
      <c r="I1158">
        <v>15307</v>
      </c>
      <c r="J1158">
        <v>0</v>
      </c>
      <c r="K1158">
        <v>1</v>
      </c>
      <c r="L1158" t="s">
        <v>25</v>
      </c>
      <c r="M1158" t="s">
        <v>533</v>
      </c>
      <c r="N1158">
        <v>61.414451</v>
      </c>
      <c r="O1158">
        <v>0</v>
      </c>
      <c r="P1158" t="str">
        <f>IF(T[[#This Row],[qty_ordered]]&lt;&gt;T[[#This Row],[qty_received]],IF(T[[#This Row],[qty_received]]&gt;0,"Partial Received","Not Receviced"),"FullyReceived")</f>
        <v>Not Receviced</v>
      </c>
      <c r="Q1158" t="str">
        <f>IF(T[[#This Row],[qty_received]]&lt;&gt;T[[#This Row],[qty_invoiced]],IF(T[[#This Row],[qty_invoiced]]&gt;0,"Partial Invoiced","Not Invoiced"),"Fully Invoiced")</f>
        <v>Partial Invoiced</v>
      </c>
      <c r="R1158" t="str">
        <f>IFERROR(VLOOKUP(T[[#This Row],[warehouse]],Table2[],2,FALSE),"--")</f>
        <v>--</v>
      </c>
    </row>
    <row r="1159" spans="1:18" x14ac:dyDescent="0.25">
      <c r="A1159" t="s">
        <v>260</v>
      </c>
      <c r="B1159" s="1">
        <v>43832</v>
      </c>
      <c r="C1159" t="s">
        <v>882</v>
      </c>
      <c r="D1159" t="s">
        <v>591</v>
      </c>
      <c r="E1159" t="s">
        <v>51</v>
      </c>
      <c r="F1159" t="s">
        <v>267</v>
      </c>
      <c r="G1159" t="s">
        <v>267</v>
      </c>
      <c r="H1159" t="s">
        <v>54</v>
      </c>
      <c r="I1159">
        <v>54</v>
      </c>
      <c r="J1159">
        <v>0</v>
      </c>
      <c r="K1159">
        <v>1</v>
      </c>
      <c r="L1159" t="s">
        <v>25</v>
      </c>
      <c r="M1159" t="s">
        <v>533</v>
      </c>
      <c r="N1159">
        <v>40</v>
      </c>
      <c r="O1159">
        <v>0</v>
      </c>
      <c r="P1159" t="str">
        <f>IF(T[[#This Row],[qty_ordered]]&lt;&gt;T[[#This Row],[qty_received]],IF(T[[#This Row],[qty_received]]&gt;0,"Partial Received","Not Receviced"),"FullyReceived")</f>
        <v>Not Receviced</v>
      </c>
      <c r="Q1159" t="str">
        <f>IF(T[[#This Row],[qty_received]]&lt;&gt;T[[#This Row],[qty_invoiced]],IF(T[[#This Row],[qty_invoiced]]&gt;0,"Partial Invoiced","Not Invoiced"),"Fully Invoiced")</f>
        <v>Partial Invoiced</v>
      </c>
      <c r="R1159" t="str">
        <f>IFERROR(VLOOKUP(T[[#This Row],[warehouse]],Table2[],2,FALSE),"--")</f>
        <v>--</v>
      </c>
    </row>
    <row r="1160" spans="1:18" x14ac:dyDescent="0.25">
      <c r="A1160" t="s">
        <v>686</v>
      </c>
      <c r="B1160" s="1">
        <v>43849</v>
      </c>
      <c r="C1160" t="s">
        <v>687</v>
      </c>
      <c r="D1160" t="s">
        <v>614</v>
      </c>
      <c r="E1160" t="s">
        <v>51</v>
      </c>
      <c r="F1160" t="s">
        <v>793</v>
      </c>
      <c r="G1160" t="s">
        <v>794</v>
      </c>
      <c r="H1160" t="s">
        <v>54</v>
      </c>
      <c r="I1160">
        <v>14</v>
      </c>
      <c r="J1160">
        <v>0</v>
      </c>
      <c r="K1160">
        <v>1</v>
      </c>
      <c r="L1160" t="s">
        <v>25</v>
      </c>
      <c r="M1160" t="s">
        <v>533</v>
      </c>
      <c r="N1160">
        <v>178.571428</v>
      </c>
      <c r="O1160">
        <v>0</v>
      </c>
      <c r="P1160" t="str">
        <f>IF(T[[#This Row],[qty_ordered]]&lt;&gt;T[[#This Row],[qty_received]],IF(T[[#This Row],[qty_received]]&gt;0,"Partial Received","Not Receviced"),"FullyReceived")</f>
        <v>Not Receviced</v>
      </c>
      <c r="Q1160" t="str">
        <f>IF(T[[#This Row],[qty_received]]&lt;&gt;T[[#This Row],[qty_invoiced]],IF(T[[#This Row],[qty_invoiced]]&gt;0,"Partial Invoiced","Not Invoiced"),"Fully Invoiced")</f>
        <v>Partial Invoiced</v>
      </c>
      <c r="R1160" t="str">
        <f>IFERROR(VLOOKUP(T[[#This Row],[warehouse]],Table2[],2,FALSE),"--")</f>
        <v>--</v>
      </c>
    </row>
    <row r="1161" spans="1:18" x14ac:dyDescent="0.25">
      <c r="A1161" t="s">
        <v>686</v>
      </c>
      <c r="B1161" s="1">
        <v>43849</v>
      </c>
      <c r="C1161" t="s">
        <v>687</v>
      </c>
      <c r="D1161" t="s">
        <v>615</v>
      </c>
      <c r="E1161" t="s">
        <v>51</v>
      </c>
      <c r="F1161" t="s">
        <v>793</v>
      </c>
      <c r="G1161" t="s">
        <v>794</v>
      </c>
      <c r="H1161" t="s">
        <v>54</v>
      </c>
      <c r="I1161">
        <v>17</v>
      </c>
      <c r="J1161">
        <v>0</v>
      </c>
      <c r="K1161">
        <v>1</v>
      </c>
      <c r="L1161" t="s">
        <v>25</v>
      </c>
      <c r="M1161" t="s">
        <v>533</v>
      </c>
      <c r="N1161">
        <v>120</v>
      </c>
      <c r="O1161">
        <v>0</v>
      </c>
      <c r="P1161" t="str">
        <f>IF(T[[#This Row],[qty_ordered]]&lt;&gt;T[[#This Row],[qty_received]],IF(T[[#This Row],[qty_received]]&gt;0,"Partial Received","Not Receviced"),"FullyReceived")</f>
        <v>Not Receviced</v>
      </c>
      <c r="Q1161" t="str">
        <f>IF(T[[#This Row],[qty_received]]&lt;&gt;T[[#This Row],[qty_invoiced]],IF(T[[#This Row],[qty_invoiced]]&gt;0,"Partial Invoiced","Not Invoiced"),"Fully Invoiced")</f>
        <v>Partial Invoiced</v>
      </c>
      <c r="R1161" t="str">
        <f>IFERROR(VLOOKUP(T[[#This Row],[warehouse]],Table2[],2,FALSE),"--")</f>
        <v>--</v>
      </c>
    </row>
    <row r="1162" spans="1:18" x14ac:dyDescent="0.25">
      <c r="A1162" t="s">
        <v>686</v>
      </c>
      <c r="B1162" s="1">
        <v>43849</v>
      </c>
      <c r="C1162" t="s">
        <v>687</v>
      </c>
      <c r="D1162" t="s">
        <v>752</v>
      </c>
      <c r="E1162" t="s">
        <v>51</v>
      </c>
      <c r="F1162" t="s">
        <v>164</v>
      </c>
      <c r="G1162" t="s">
        <v>164</v>
      </c>
      <c r="H1162" t="s">
        <v>54</v>
      </c>
      <c r="I1162">
        <v>7</v>
      </c>
      <c r="J1162">
        <v>0</v>
      </c>
      <c r="K1162">
        <v>1</v>
      </c>
      <c r="L1162" t="s">
        <v>25</v>
      </c>
      <c r="M1162" t="s">
        <v>533</v>
      </c>
      <c r="N1162">
        <v>200</v>
      </c>
      <c r="O1162">
        <v>0</v>
      </c>
      <c r="P1162" t="str">
        <f>IF(T[[#This Row],[qty_ordered]]&lt;&gt;T[[#This Row],[qty_received]],IF(T[[#This Row],[qty_received]]&gt;0,"Partial Received","Not Receviced"),"FullyReceived")</f>
        <v>Not Receviced</v>
      </c>
      <c r="Q1162" t="str">
        <f>IF(T[[#This Row],[qty_received]]&lt;&gt;T[[#This Row],[qty_invoiced]],IF(T[[#This Row],[qty_invoiced]]&gt;0,"Partial Invoiced","Not Invoiced"),"Fully Invoiced")</f>
        <v>Partial Invoiced</v>
      </c>
      <c r="R1162" t="str">
        <f>IFERROR(VLOOKUP(T[[#This Row],[warehouse]],Table2[],2,FALSE),"--")</f>
        <v>--</v>
      </c>
    </row>
    <row r="1163" spans="1:18" x14ac:dyDescent="0.25">
      <c r="A1163" t="s">
        <v>686</v>
      </c>
      <c r="B1163" s="1">
        <v>43849</v>
      </c>
      <c r="C1163" t="s">
        <v>687</v>
      </c>
      <c r="D1163" t="s">
        <v>759</v>
      </c>
      <c r="E1163" t="s">
        <v>51</v>
      </c>
      <c r="F1163" t="s">
        <v>433</v>
      </c>
      <c r="G1163" t="s">
        <v>433</v>
      </c>
      <c r="H1163" t="s">
        <v>54</v>
      </c>
      <c r="I1163">
        <v>365</v>
      </c>
      <c r="J1163">
        <v>0</v>
      </c>
      <c r="K1163">
        <v>1</v>
      </c>
      <c r="L1163" t="s">
        <v>25</v>
      </c>
      <c r="M1163" t="s">
        <v>533</v>
      </c>
      <c r="N1163">
        <v>41.301369999999999</v>
      </c>
      <c r="O1163">
        <v>0</v>
      </c>
      <c r="P1163" t="str">
        <f>IF(T[[#This Row],[qty_ordered]]&lt;&gt;T[[#This Row],[qty_received]],IF(T[[#This Row],[qty_received]]&gt;0,"Partial Received","Not Receviced"),"FullyReceived")</f>
        <v>Not Receviced</v>
      </c>
      <c r="Q1163" t="str">
        <f>IF(T[[#This Row],[qty_received]]&lt;&gt;T[[#This Row],[qty_invoiced]],IF(T[[#This Row],[qty_invoiced]]&gt;0,"Partial Invoiced","Not Invoiced"),"Fully Invoiced")</f>
        <v>Partial Invoiced</v>
      </c>
      <c r="R1163" t="str">
        <f>IFERROR(VLOOKUP(T[[#This Row],[warehouse]],Table2[],2,FALSE),"--")</f>
        <v>--</v>
      </c>
    </row>
    <row r="1164" spans="1:18" x14ac:dyDescent="0.25">
      <c r="A1164" t="s">
        <v>1036</v>
      </c>
      <c r="B1164" s="1">
        <v>43936</v>
      </c>
      <c r="C1164" t="s">
        <v>1037</v>
      </c>
      <c r="D1164" t="s">
        <v>20</v>
      </c>
      <c r="E1164" t="s">
        <v>51</v>
      </c>
      <c r="F1164" t="s">
        <v>247</v>
      </c>
      <c r="G1164" t="s">
        <v>1038</v>
      </c>
      <c r="H1164" t="s">
        <v>54</v>
      </c>
      <c r="I1164">
        <v>500</v>
      </c>
      <c r="J1164">
        <v>0</v>
      </c>
      <c r="K1164">
        <v>1</v>
      </c>
      <c r="L1164" t="s">
        <v>25</v>
      </c>
      <c r="M1164" t="s">
        <v>533</v>
      </c>
      <c r="N1164">
        <v>14850</v>
      </c>
      <c r="O1164">
        <v>0</v>
      </c>
      <c r="P1164" t="str">
        <f>IF(T[[#This Row],[qty_ordered]]&lt;&gt;T[[#This Row],[qty_received]],IF(T[[#This Row],[qty_received]]&gt;0,"Partial Received","Not Receviced"),"FullyReceived")</f>
        <v>Not Receviced</v>
      </c>
      <c r="Q1164" t="str">
        <f>IF(T[[#This Row],[qty_received]]&lt;&gt;T[[#This Row],[qty_invoiced]],IF(T[[#This Row],[qty_invoiced]]&gt;0,"Partial Invoiced","Not Invoiced"),"Fully Invoiced")</f>
        <v>Partial Invoiced</v>
      </c>
      <c r="R1164" t="str">
        <f>IFERROR(VLOOKUP(T[[#This Row],[warehouse]],Table2[],2,FALSE),"--")</f>
        <v>--</v>
      </c>
    </row>
    <row r="1165" spans="1:18" x14ac:dyDescent="0.25">
      <c r="A1165" t="s">
        <v>1036</v>
      </c>
      <c r="B1165" s="1">
        <v>43936</v>
      </c>
      <c r="C1165" t="s">
        <v>1037</v>
      </c>
      <c r="D1165" t="s">
        <v>71</v>
      </c>
      <c r="E1165" t="s">
        <v>51</v>
      </c>
      <c r="F1165" t="s">
        <v>183</v>
      </c>
      <c r="G1165" t="s">
        <v>1039</v>
      </c>
      <c r="H1165" t="s">
        <v>54</v>
      </c>
      <c r="I1165">
        <v>5000</v>
      </c>
      <c r="J1165">
        <v>0</v>
      </c>
      <c r="K1165">
        <v>1</v>
      </c>
      <c r="L1165" t="s">
        <v>25</v>
      </c>
      <c r="M1165" t="s">
        <v>533</v>
      </c>
      <c r="N1165">
        <v>150</v>
      </c>
      <c r="O1165">
        <v>0</v>
      </c>
      <c r="P1165" t="str">
        <f>IF(T[[#This Row],[qty_ordered]]&lt;&gt;T[[#This Row],[qty_received]],IF(T[[#This Row],[qty_received]]&gt;0,"Partial Received","Not Receviced"),"FullyReceived")</f>
        <v>Not Receviced</v>
      </c>
      <c r="Q1165" t="str">
        <f>IF(T[[#This Row],[qty_received]]&lt;&gt;T[[#This Row],[qty_invoiced]],IF(T[[#This Row],[qty_invoiced]]&gt;0,"Partial Invoiced","Not Invoiced"),"Fully Invoiced")</f>
        <v>Partial Invoiced</v>
      </c>
      <c r="R1165" t="str">
        <f>IFERROR(VLOOKUP(T[[#This Row],[warehouse]],Table2[],2,FALSE),"--")</f>
        <v>--</v>
      </c>
    </row>
    <row r="1166" spans="1:18" x14ac:dyDescent="0.25">
      <c r="A1166" t="s">
        <v>423</v>
      </c>
      <c r="B1166" s="1">
        <v>43895</v>
      </c>
      <c r="C1166" t="s">
        <v>682</v>
      </c>
      <c r="D1166" t="s">
        <v>74</v>
      </c>
      <c r="E1166" t="s">
        <v>51</v>
      </c>
      <c r="F1166" t="s">
        <v>267</v>
      </c>
      <c r="G1166" t="s">
        <v>267</v>
      </c>
      <c r="H1166" t="s">
        <v>54</v>
      </c>
      <c r="I1166">
        <v>1</v>
      </c>
      <c r="J1166">
        <v>0</v>
      </c>
      <c r="K1166">
        <v>0</v>
      </c>
      <c r="L1166" t="s">
        <v>25</v>
      </c>
      <c r="M1166" t="s">
        <v>575</v>
      </c>
      <c r="N1166">
        <v>-100000</v>
      </c>
      <c r="O1166">
        <v>0</v>
      </c>
      <c r="P1166" t="str">
        <f>IF(T[[#This Row],[qty_ordered]]&lt;&gt;T[[#This Row],[qty_received]],IF(T[[#This Row],[qty_received]]&gt;0,"Partial Received","Not Receviced"),"FullyReceived")</f>
        <v>Not Receviced</v>
      </c>
      <c r="Q1166" t="str">
        <f>IF(T[[#This Row],[qty_received]]&lt;&gt;T[[#This Row],[qty_invoiced]],IF(T[[#This Row],[qty_invoiced]]&gt;0,"Partial Invoiced","Not Invoiced"),"Fully Invoiced")</f>
        <v>Fully Invoiced</v>
      </c>
      <c r="R1166" t="str">
        <f>IFERROR(VLOOKUP(T[[#This Row],[warehouse]],Table2[],2,FALSE),"--")</f>
        <v>--</v>
      </c>
    </row>
    <row r="1167" spans="1:18" x14ac:dyDescent="0.25">
      <c r="A1167" t="s">
        <v>534</v>
      </c>
      <c r="B1167" s="1">
        <v>43793</v>
      </c>
      <c r="C1167" t="s">
        <v>551</v>
      </c>
      <c r="D1167" t="s">
        <v>74</v>
      </c>
      <c r="E1167" t="s">
        <v>918</v>
      </c>
      <c r="F1167" t="s">
        <v>122</v>
      </c>
      <c r="G1167" t="s">
        <v>48</v>
      </c>
      <c r="H1167" t="s">
        <v>123</v>
      </c>
      <c r="I1167">
        <v>2109</v>
      </c>
      <c r="J1167">
        <v>2109</v>
      </c>
      <c r="K1167">
        <v>2109</v>
      </c>
      <c r="L1167" t="s">
        <v>25</v>
      </c>
      <c r="M1167" t="s">
        <v>132</v>
      </c>
      <c r="N1167">
        <v>7166.05069</v>
      </c>
      <c r="O1167">
        <v>9174150</v>
      </c>
      <c r="P1167" t="str">
        <f>IF(T[[#This Row],[qty_ordered]]&lt;&gt;T[[#This Row],[qty_received]],IF(T[[#This Row],[qty_received]]&gt;0,"Partial Received","Not Receviced"),"FullyReceived")</f>
        <v>FullyReceived</v>
      </c>
      <c r="Q1167" t="str">
        <f>IF(T[[#This Row],[qty_received]]&lt;&gt;T[[#This Row],[qty_invoiced]],IF(T[[#This Row],[qty_invoiced]]&gt;0,"Partial Invoiced","Not Invoiced"),"Fully Invoiced")</f>
        <v>Fully Invoiced</v>
      </c>
      <c r="R1167" t="str">
        <f>IFERROR(VLOOKUP(T[[#This Row],[warehouse]],Table2[],2,FALSE),"--")</f>
        <v>SIFTER GZ -PZU</v>
      </c>
    </row>
    <row r="1168" spans="1:18" x14ac:dyDescent="0.25">
      <c r="A1168" t="s">
        <v>1040</v>
      </c>
      <c r="B1168" s="1">
        <v>43942</v>
      </c>
      <c r="C1168" t="s">
        <v>1041</v>
      </c>
      <c r="D1168" t="s">
        <v>20</v>
      </c>
      <c r="E1168" t="s">
        <v>660</v>
      </c>
      <c r="F1168" t="s">
        <v>1042</v>
      </c>
      <c r="G1168" t="s">
        <v>1043</v>
      </c>
      <c r="H1168" t="s">
        <v>663</v>
      </c>
      <c r="I1168">
        <v>80000</v>
      </c>
      <c r="J1168">
        <v>66835</v>
      </c>
      <c r="K1168">
        <v>66835</v>
      </c>
      <c r="L1168" t="s">
        <v>25</v>
      </c>
      <c r="M1168" t="s">
        <v>132</v>
      </c>
      <c r="N1168">
        <v>500</v>
      </c>
      <c r="O1168">
        <v>33417500</v>
      </c>
      <c r="P1168" t="str">
        <f>IF(T[[#This Row],[qty_ordered]]&lt;&gt;T[[#This Row],[qty_received]],IF(T[[#This Row],[qty_received]]&gt;0,"Partial Received","Not Receviced"),"FullyReceived")</f>
        <v>Partial Received</v>
      </c>
      <c r="Q1168" t="str">
        <f>IF(T[[#This Row],[qty_received]]&lt;&gt;T[[#This Row],[qty_invoiced]],IF(T[[#This Row],[qty_invoiced]]&gt;0,"Partial Invoiced","Not Invoiced"),"Fully Invoiced")</f>
        <v>Fully Invoiced</v>
      </c>
      <c r="R1168" t="str">
        <f>IFERROR(VLOOKUP(T[[#This Row],[warehouse]],Table2[],2,FALSE),"--")</f>
        <v>SLAUGHTER HOUSE</v>
      </c>
    </row>
    <row r="1169" spans="1:18" x14ac:dyDescent="0.25">
      <c r="A1169" t="s">
        <v>1044</v>
      </c>
      <c r="B1169" s="1">
        <v>43957</v>
      </c>
      <c r="C1169" t="s">
        <v>1045</v>
      </c>
      <c r="D1169" t="s">
        <v>20</v>
      </c>
      <c r="E1169" t="s">
        <v>660</v>
      </c>
      <c r="F1169" t="s">
        <v>1015</v>
      </c>
      <c r="G1169" t="s">
        <v>1016</v>
      </c>
      <c r="H1169" t="s">
        <v>663</v>
      </c>
      <c r="I1169">
        <v>6017.7</v>
      </c>
      <c r="J1169">
        <v>6017.7</v>
      </c>
      <c r="K1169">
        <v>6017.7</v>
      </c>
      <c r="L1169" t="s">
        <v>25</v>
      </c>
      <c r="M1169" t="s">
        <v>132</v>
      </c>
      <c r="N1169">
        <v>380</v>
      </c>
      <c r="O1169">
        <v>2286726</v>
      </c>
      <c r="P1169" t="str">
        <f>IF(T[[#This Row],[qty_ordered]]&lt;&gt;T[[#This Row],[qty_received]],IF(T[[#This Row],[qty_received]]&gt;0,"Partial Received","Not Receviced"),"FullyReceived")</f>
        <v>FullyReceived</v>
      </c>
      <c r="Q1169" t="str">
        <f>IF(T[[#This Row],[qty_received]]&lt;&gt;T[[#This Row],[qty_invoiced]],IF(T[[#This Row],[qty_invoiced]]&gt;0,"Partial Invoiced","Not Invoiced"),"Fully Invoiced")</f>
        <v>Fully Invoiced</v>
      </c>
      <c r="R1169" t="str">
        <f>IFERROR(VLOOKUP(T[[#This Row],[warehouse]],Table2[],2,FALSE),"--")</f>
        <v>SLAUGHTER HOUSE</v>
      </c>
    </row>
    <row r="1170" spans="1:18" x14ac:dyDescent="0.25">
      <c r="A1170" t="s">
        <v>260</v>
      </c>
      <c r="B1170" s="1">
        <v>43961</v>
      </c>
      <c r="C1170" t="s">
        <v>751</v>
      </c>
      <c r="D1170" t="s">
        <v>20</v>
      </c>
      <c r="E1170" t="s">
        <v>51</v>
      </c>
      <c r="F1170" t="s">
        <v>185</v>
      </c>
      <c r="G1170" t="s">
        <v>275</v>
      </c>
      <c r="H1170" t="s">
        <v>54</v>
      </c>
      <c r="I1170">
        <v>6000</v>
      </c>
      <c r="J1170">
        <v>0</v>
      </c>
      <c r="K1170">
        <v>1</v>
      </c>
      <c r="L1170" t="s">
        <v>25</v>
      </c>
      <c r="M1170" t="s">
        <v>533</v>
      </c>
      <c r="N1170">
        <v>120</v>
      </c>
      <c r="O1170">
        <v>0</v>
      </c>
      <c r="P1170" t="str">
        <f>IF(T[[#This Row],[qty_ordered]]&lt;&gt;T[[#This Row],[qty_received]],IF(T[[#This Row],[qty_received]]&gt;0,"Partial Received","Not Receviced"),"FullyReceived")</f>
        <v>Not Receviced</v>
      </c>
      <c r="Q1170" t="str">
        <f>IF(T[[#This Row],[qty_received]]&lt;&gt;T[[#This Row],[qty_invoiced]],IF(T[[#This Row],[qty_invoiced]]&gt;0,"Partial Invoiced","Not Invoiced"),"Fully Invoiced")</f>
        <v>Partial Invoiced</v>
      </c>
      <c r="R1170" t="str">
        <f>IFERROR(VLOOKUP(T[[#This Row],[warehouse]],Table2[],2,FALSE),"--")</f>
        <v>--</v>
      </c>
    </row>
    <row r="1171" spans="1:18" x14ac:dyDescent="0.25">
      <c r="A1171" t="s">
        <v>260</v>
      </c>
      <c r="B1171" s="1">
        <v>43961</v>
      </c>
      <c r="C1171" t="s">
        <v>751</v>
      </c>
      <c r="D1171" t="s">
        <v>71</v>
      </c>
      <c r="E1171" t="s">
        <v>51</v>
      </c>
      <c r="F1171" t="s">
        <v>164</v>
      </c>
      <c r="G1171" t="s">
        <v>164</v>
      </c>
      <c r="H1171" t="s">
        <v>54</v>
      </c>
      <c r="I1171">
        <v>6000</v>
      </c>
      <c r="J1171">
        <v>0</v>
      </c>
      <c r="K1171">
        <v>1</v>
      </c>
      <c r="L1171" t="s">
        <v>25</v>
      </c>
      <c r="M1171" t="s">
        <v>533</v>
      </c>
      <c r="N1171">
        <v>80</v>
      </c>
      <c r="O1171">
        <v>0</v>
      </c>
      <c r="P1171" t="str">
        <f>IF(T[[#This Row],[qty_ordered]]&lt;&gt;T[[#This Row],[qty_received]],IF(T[[#This Row],[qty_received]]&gt;0,"Partial Received","Not Receviced"),"FullyReceived")</f>
        <v>Not Receviced</v>
      </c>
      <c r="Q1171" t="str">
        <f>IF(T[[#This Row],[qty_received]]&lt;&gt;T[[#This Row],[qty_invoiced]],IF(T[[#This Row],[qty_invoiced]]&gt;0,"Partial Invoiced","Not Invoiced"),"Fully Invoiced")</f>
        <v>Partial Invoiced</v>
      </c>
      <c r="R1171" t="str">
        <f>IFERROR(VLOOKUP(T[[#This Row],[warehouse]],Table2[],2,FALSE),"--")</f>
        <v>--</v>
      </c>
    </row>
    <row r="1172" spans="1:18" x14ac:dyDescent="0.25">
      <c r="A1172" t="s">
        <v>181</v>
      </c>
      <c r="B1172" s="1">
        <v>43913</v>
      </c>
      <c r="C1172" t="s">
        <v>699</v>
      </c>
      <c r="D1172" t="s">
        <v>71</v>
      </c>
      <c r="E1172" t="s">
        <v>51</v>
      </c>
      <c r="F1172" t="s">
        <v>183</v>
      </c>
      <c r="G1172" t="s">
        <v>1046</v>
      </c>
      <c r="H1172" t="s">
        <v>54</v>
      </c>
      <c r="I1172">
        <v>500</v>
      </c>
      <c r="J1172">
        <v>0</v>
      </c>
      <c r="K1172">
        <v>1</v>
      </c>
      <c r="L1172" t="s">
        <v>25</v>
      </c>
      <c r="M1172" t="s">
        <v>533</v>
      </c>
      <c r="N1172">
        <v>675</v>
      </c>
      <c r="O1172">
        <v>0</v>
      </c>
      <c r="P1172" t="str">
        <f>IF(T[[#This Row],[qty_ordered]]&lt;&gt;T[[#This Row],[qty_received]],IF(T[[#This Row],[qty_received]]&gt;0,"Partial Received","Not Receviced"),"FullyReceived")</f>
        <v>Not Receviced</v>
      </c>
      <c r="Q1172" t="str">
        <f>IF(T[[#This Row],[qty_received]]&lt;&gt;T[[#This Row],[qty_invoiced]],IF(T[[#This Row],[qty_invoiced]]&gt;0,"Partial Invoiced","Not Invoiced"),"Fully Invoiced")</f>
        <v>Partial Invoiced</v>
      </c>
      <c r="R1172" t="str">
        <f>IFERROR(VLOOKUP(T[[#This Row],[warehouse]],Table2[],2,FALSE),"--")</f>
        <v>--</v>
      </c>
    </row>
    <row r="1173" spans="1:18" x14ac:dyDescent="0.25">
      <c r="A1173" t="s">
        <v>757</v>
      </c>
      <c r="B1173" s="1">
        <v>43852</v>
      </c>
      <c r="C1173" t="s">
        <v>917</v>
      </c>
      <c r="D1173" t="s">
        <v>71</v>
      </c>
      <c r="E1173" t="s">
        <v>51</v>
      </c>
      <c r="F1173" t="s">
        <v>183</v>
      </c>
      <c r="G1173" t="s">
        <v>1047</v>
      </c>
      <c r="H1173" t="s">
        <v>54</v>
      </c>
      <c r="I1173">
        <v>234.53</v>
      </c>
      <c r="J1173">
        <v>0</v>
      </c>
      <c r="K1173">
        <v>1</v>
      </c>
      <c r="L1173" t="s">
        <v>25</v>
      </c>
      <c r="M1173" t="s">
        <v>533</v>
      </c>
      <c r="N1173">
        <v>1250</v>
      </c>
      <c r="O1173">
        <v>0</v>
      </c>
      <c r="P1173" t="str">
        <f>IF(T[[#This Row],[qty_ordered]]&lt;&gt;T[[#This Row],[qty_received]],IF(T[[#This Row],[qty_received]]&gt;0,"Partial Received","Not Receviced"),"FullyReceived")</f>
        <v>Not Receviced</v>
      </c>
      <c r="Q1173" t="str">
        <f>IF(T[[#This Row],[qty_received]]&lt;&gt;T[[#This Row],[qty_invoiced]],IF(T[[#This Row],[qty_invoiced]]&gt;0,"Partial Invoiced","Not Invoiced"),"Fully Invoiced")</f>
        <v>Partial Invoiced</v>
      </c>
      <c r="R1173" t="str">
        <f>IFERROR(VLOOKUP(T[[#This Row],[warehouse]],Table2[],2,FALSE),"--")</f>
        <v>--</v>
      </c>
    </row>
    <row r="1174" spans="1:18" x14ac:dyDescent="0.25">
      <c r="A1174" t="s">
        <v>757</v>
      </c>
      <c r="B1174" s="1">
        <v>43934</v>
      </c>
      <c r="C1174" t="s">
        <v>1048</v>
      </c>
      <c r="D1174" t="s">
        <v>20</v>
      </c>
      <c r="E1174" t="s">
        <v>51</v>
      </c>
      <c r="F1174" t="s">
        <v>183</v>
      </c>
      <c r="G1174" t="s">
        <v>1049</v>
      </c>
      <c r="H1174" t="s">
        <v>54</v>
      </c>
      <c r="I1174">
        <v>817.7</v>
      </c>
      <c r="J1174">
        <v>0</v>
      </c>
      <c r="K1174">
        <v>1</v>
      </c>
      <c r="L1174" t="s">
        <v>25</v>
      </c>
      <c r="M1174" t="s">
        <v>533</v>
      </c>
      <c r="N1174">
        <v>1250</v>
      </c>
      <c r="O1174">
        <v>0</v>
      </c>
      <c r="P1174" t="str">
        <f>IF(T[[#This Row],[qty_ordered]]&lt;&gt;T[[#This Row],[qty_received]],IF(T[[#This Row],[qty_received]]&gt;0,"Partial Received","Not Receviced"),"FullyReceived")</f>
        <v>Not Receviced</v>
      </c>
      <c r="Q1174" t="str">
        <f>IF(T[[#This Row],[qty_received]]&lt;&gt;T[[#This Row],[qty_invoiced]],IF(T[[#This Row],[qty_invoiced]]&gt;0,"Partial Invoiced","Not Invoiced"),"Fully Invoiced")</f>
        <v>Partial Invoiced</v>
      </c>
      <c r="R1174" t="str">
        <f>IFERROR(VLOOKUP(T[[#This Row],[warehouse]],Table2[],2,FALSE),"--")</f>
        <v>--</v>
      </c>
    </row>
    <row r="1175" spans="1:18" x14ac:dyDescent="0.25">
      <c r="A1175" t="s">
        <v>815</v>
      </c>
      <c r="B1175" s="1">
        <v>43852</v>
      </c>
      <c r="C1175" t="s">
        <v>885</v>
      </c>
      <c r="D1175" t="s">
        <v>76</v>
      </c>
      <c r="E1175" t="s">
        <v>552</v>
      </c>
      <c r="F1175" t="s">
        <v>108</v>
      </c>
      <c r="G1175" t="s">
        <v>109</v>
      </c>
      <c r="H1175" t="s">
        <v>24</v>
      </c>
      <c r="I1175">
        <v>224.76</v>
      </c>
      <c r="J1175">
        <v>224.76</v>
      </c>
      <c r="K1175">
        <v>224.76</v>
      </c>
      <c r="L1175" t="s">
        <v>25</v>
      </c>
      <c r="M1175" t="s">
        <v>132</v>
      </c>
      <c r="N1175">
        <v>126500</v>
      </c>
      <c r="O1175">
        <v>28432140</v>
      </c>
      <c r="P1175" t="str">
        <f>IF(T[[#This Row],[qty_ordered]]&lt;&gt;T[[#This Row],[qty_received]],IF(T[[#This Row],[qty_received]]&gt;0,"Partial Received","Not Receviced"),"FullyReceived")</f>
        <v>FullyReceived</v>
      </c>
      <c r="Q1175" t="str">
        <f>IF(T[[#This Row],[qty_received]]&lt;&gt;T[[#This Row],[qty_invoiced]],IF(T[[#This Row],[qty_invoiced]]&gt;0,"Partial Invoiced","Not Invoiced"),"Fully Invoiced")</f>
        <v>Fully Invoiced</v>
      </c>
      <c r="R1175" t="str">
        <f>IFERROR(VLOOKUP(T[[#This Row],[warehouse]],Table2[],2,FALSE),"--")</f>
        <v>SIFTER - SAN DA-PZU</v>
      </c>
    </row>
    <row r="1176" spans="1:18" x14ac:dyDescent="0.25">
      <c r="A1176" t="s">
        <v>1050</v>
      </c>
      <c r="B1176" s="1">
        <v>43947</v>
      </c>
      <c r="C1176" t="s">
        <v>1051</v>
      </c>
      <c r="D1176" t="s">
        <v>20</v>
      </c>
      <c r="E1176" t="s">
        <v>660</v>
      </c>
      <c r="F1176" t="s">
        <v>1042</v>
      </c>
      <c r="G1176" t="s">
        <v>1043</v>
      </c>
      <c r="H1176" t="s">
        <v>663</v>
      </c>
      <c r="I1176">
        <v>24000</v>
      </c>
      <c r="J1176">
        <v>13016</v>
      </c>
      <c r="K1176">
        <v>13016</v>
      </c>
      <c r="L1176" t="s">
        <v>25</v>
      </c>
      <c r="M1176" t="s">
        <v>132</v>
      </c>
      <c r="N1176">
        <v>500</v>
      </c>
      <c r="O1176">
        <v>6508000</v>
      </c>
      <c r="P1176" t="str">
        <f>IF(T[[#This Row],[qty_ordered]]&lt;&gt;T[[#This Row],[qty_received]],IF(T[[#This Row],[qty_received]]&gt;0,"Partial Received","Not Receviced"),"FullyReceived")</f>
        <v>Partial Received</v>
      </c>
      <c r="Q1176" t="str">
        <f>IF(T[[#This Row],[qty_received]]&lt;&gt;T[[#This Row],[qty_invoiced]],IF(T[[#This Row],[qty_invoiced]]&gt;0,"Partial Invoiced","Not Invoiced"),"Fully Invoiced")</f>
        <v>Fully Invoiced</v>
      </c>
      <c r="R1176" t="str">
        <f>IFERROR(VLOOKUP(T[[#This Row],[warehouse]],Table2[],2,FALSE),"--")</f>
        <v>SLAUGHTER HOUSE</v>
      </c>
    </row>
    <row r="1177" spans="1:18" x14ac:dyDescent="0.25">
      <c r="A1177" t="s">
        <v>804</v>
      </c>
      <c r="B1177" s="1">
        <v>43947</v>
      </c>
      <c r="C1177" t="s">
        <v>1052</v>
      </c>
      <c r="D1177" t="s">
        <v>20</v>
      </c>
      <c r="E1177" t="s">
        <v>51</v>
      </c>
      <c r="F1177" t="s">
        <v>806</v>
      </c>
      <c r="G1177" t="s">
        <v>806</v>
      </c>
      <c r="H1177" t="s">
        <v>54</v>
      </c>
      <c r="I1177">
        <v>8000</v>
      </c>
      <c r="J1177">
        <v>0</v>
      </c>
      <c r="K1177">
        <v>1</v>
      </c>
      <c r="L1177" t="s">
        <v>25</v>
      </c>
      <c r="M1177" t="s">
        <v>359</v>
      </c>
      <c r="N1177">
        <v>900</v>
      </c>
      <c r="O1177">
        <v>0</v>
      </c>
      <c r="P1177" t="str">
        <f>IF(T[[#This Row],[qty_ordered]]&lt;&gt;T[[#This Row],[qty_received]],IF(T[[#This Row],[qty_received]]&gt;0,"Partial Received","Not Receviced"),"FullyReceived")</f>
        <v>Not Receviced</v>
      </c>
      <c r="Q1177" t="str">
        <f>IF(T[[#This Row],[qty_received]]&lt;&gt;T[[#This Row],[qty_invoiced]],IF(T[[#This Row],[qty_invoiced]]&gt;0,"Partial Invoiced","Not Invoiced"),"Fully Invoiced")</f>
        <v>Partial Invoiced</v>
      </c>
      <c r="R1177" t="str">
        <f>IFERROR(VLOOKUP(T[[#This Row],[warehouse]],Table2[],2,FALSE),"--")</f>
        <v>--</v>
      </c>
    </row>
    <row r="1178" spans="1:18" x14ac:dyDescent="0.25">
      <c r="A1178" t="s">
        <v>462</v>
      </c>
      <c r="B1178" s="1">
        <v>43895</v>
      </c>
      <c r="C1178" t="s">
        <v>688</v>
      </c>
      <c r="D1178" t="s">
        <v>88</v>
      </c>
      <c r="E1178" t="s">
        <v>51</v>
      </c>
      <c r="F1178" t="s">
        <v>373</v>
      </c>
      <c r="G1178" t="s">
        <v>373</v>
      </c>
      <c r="H1178" t="s">
        <v>54</v>
      </c>
      <c r="I1178">
        <v>24000</v>
      </c>
      <c r="J1178">
        <v>0</v>
      </c>
      <c r="K1178">
        <v>1</v>
      </c>
      <c r="L1178" t="s">
        <v>25</v>
      </c>
      <c r="M1178" t="s">
        <v>533</v>
      </c>
      <c r="N1178">
        <v>5</v>
      </c>
      <c r="O1178">
        <v>0</v>
      </c>
      <c r="P1178" t="str">
        <f>IF(T[[#This Row],[qty_ordered]]&lt;&gt;T[[#This Row],[qty_received]],IF(T[[#This Row],[qty_received]]&gt;0,"Partial Received","Not Receviced"),"FullyReceived")</f>
        <v>Not Receviced</v>
      </c>
      <c r="Q1178" t="str">
        <f>IF(T[[#This Row],[qty_received]]&lt;&gt;T[[#This Row],[qty_invoiced]],IF(T[[#This Row],[qty_invoiced]]&gt;0,"Partial Invoiced","Not Invoiced"),"Fully Invoiced")</f>
        <v>Partial Invoiced</v>
      </c>
      <c r="R1178" t="str">
        <f>IFERROR(VLOOKUP(T[[#This Row],[warehouse]],Table2[],2,FALSE),"--")</f>
        <v>--</v>
      </c>
    </row>
    <row r="1179" spans="1:18" x14ac:dyDescent="0.25">
      <c r="A1179" t="s">
        <v>260</v>
      </c>
      <c r="B1179" s="1">
        <v>43961</v>
      </c>
      <c r="C1179" t="s">
        <v>751</v>
      </c>
      <c r="D1179" t="s">
        <v>100</v>
      </c>
      <c r="E1179" t="s">
        <v>51</v>
      </c>
      <c r="F1179" t="s">
        <v>183</v>
      </c>
      <c r="G1179" t="s">
        <v>183</v>
      </c>
      <c r="H1179" t="s">
        <v>54</v>
      </c>
      <c r="I1179">
        <v>6000</v>
      </c>
      <c r="J1179">
        <v>0</v>
      </c>
      <c r="K1179">
        <v>1</v>
      </c>
      <c r="L1179" t="s">
        <v>25</v>
      </c>
      <c r="M1179" t="s">
        <v>533</v>
      </c>
      <c r="N1179">
        <v>100</v>
      </c>
      <c r="O1179">
        <v>0</v>
      </c>
      <c r="P1179" t="str">
        <f>IF(T[[#This Row],[qty_ordered]]&lt;&gt;T[[#This Row],[qty_received]],IF(T[[#This Row],[qty_received]]&gt;0,"Partial Received","Not Receviced"),"FullyReceived")</f>
        <v>Not Receviced</v>
      </c>
      <c r="Q1179" t="str">
        <f>IF(T[[#This Row],[qty_received]]&lt;&gt;T[[#This Row],[qty_invoiced]],IF(T[[#This Row],[qty_invoiced]]&gt;0,"Partial Invoiced","Not Invoiced"),"Fully Invoiced")</f>
        <v>Partial Invoiced</v>
      </c>
      <c r="R1179" t="str">
        <f>IFERROR(VLOOKUP(T[[#This Row],[warehouse]],Table2[],2,FALSE),"--")</f>
        <v>--</v>
      </c>
    </row>
    <row r="1180" spans="1:18" x14ac:dyDescent="0.25">
      <c r="A1180" t="s">
        <v>260</v>
      </c>
      <c r="B1180" s="1">
        <v>43961</v>
      </c>
      <c r="C1180" t="s">
        <v>751</v>
      </c>
      <c r="D1180" t="s">
        <v>88</v>
      </c>
      <c r="E1180" t="s">
        <v>51</v>
      </c>
      <c r="F1180" t="s">
        <v>267</v>
      </c>
      <c r="G1180" t="s">
        <v>267</v>
      </c>
      <c r="H1180" t="s">
        <v>54</v>
      </c>
      <c r="I1180">
        <v>6000</v>
      </c>
      <c r="J1180">
        <v>0</v>
      </c>
      <c r="K1180">
        <v>1</v>
      </c>
      <c r="L1180" t="s">
        <v>25</v>
      </c>
      <c r="M1180" t="s">
        <v>533</v>
      </c>
      <c r="N1180">
        <v>140</v>
      </c>
      <c r="O1180">
        <v>0</v>
      </c>
      <c r="P1180" t="str">
        <f>IF(T[[#This Row],[qty_ordered]]&lt;&gt;T[[#This Row],[qty_received]],IF(T[[#This Row],[qty_received]]&gt;0,"Partial Received","Not Receviced"),"FullyReceived")</f>
        <v>Not Receviced</v>
      </c>
      <c r="Q1180" t="str">
        <f>IF(T[[#This Row],[qty_received]]&lt;&gt;T[[#This Row],[qty_invoiced]],IF(T[[#This Row],[qty_invoiced]]&gt;0,"Partial Invoiced","Not Invoiced"),"Fully Invoiced")</f>
        <v>Partial Invoiced</v>
      </c>
      <c r="R1180" t="str">
        <f>IFERROR(VLOOKUP(T[[#This Row],[warehouse]],Table2[],2,FALSE),"--")</f>
        <v>--</v>
      </c>
    </row>
    <row r="1181" spans="1:18" x14ac:dyDescent="0.25">
      <c r="A1181" t="s">
        <v>260</v>
      </c>
      <c r="B1181" s="1">
        <v>43961</v>
      </c>
      <c r="C1181" t="s">
        <v>751</v>
      </c>
      <c r="D1181" t="s">
        <v>74</v>
      </c>
      <c r="E1181" t="s">
        <v>51</v>
      </c>
      <c r="F1181" t="s">
        <v>262</v>
      </c>
      <c r="G1181" t="s">
        <v>262</v>
      </c>
      <c r="H1181" t="s">
        <v>54</v>
      </c>
      <c r="I1181">
        <v>6000</v>
      </c>
      <c r="J1181">
        <v>0</v>
      </c>
      <c r="K1181">
        <v>1</v>
      </c>
      <c r="L1181" t="s">
        <v>25</v>
      </c>
      <c r="M1181" t="s">
        <v>533</v>
      </c>
      <c r="N1181">
        <v>129</v>
      </c>
      <c r="O1181">
        <v>0</v>
      </c>
      <c r="P1181" t="str">
        <f>IF(T[[#This Row],[qty_ordered]]&lt;&gt;T[[#This Row],[qty_received]],IF(T[[#This Row],[qty_received]]&gt;0,"Partial Received","Not Receviced"),"FullyReceived")</f>
        <v>Not Receviced</v>
      </c>
      <c r="Q1181" t="str">
        <f>IF(T[[#This Row],[qty_received]]&lt;&gt;T[[#This Row],[qty_invoiced]],IF(T[[#This Row],[qty_invoiced]]&gt;0,"Partial Invoiced","Not Invoiced"),"Fully Invoiced")</f>
        <v>Partial Invoiced</v>
      </c>
      <c r="R1181" t="str">
        <f>IFERROR(VLOOKUP(T[[#This Row],[warehouse]],Table2[],2,FALSE),"--")</f>
        <v>--</v>
      </c>
    </row>
    <row r="1182" spans="1:18" x14ac:dyDescent="0.25">
      <c r="A1182" t="s">
        <v>260</v>
      </c>
      <c r="B1182" s="1">
        <v>43961</v>
      </c>
      <c r="C1182" t="s">
        <v>751</v>
      </c>
      <c r="D1182" t="s">
        <v>76</v>
      </c>
      <c r="E1182" t="s">
        <v>51</v>
      </c>
      <c r="F1182" t="s">
        <v>266</v>
      </c>
      <c r="G1182" t="s">
        <v>266</v>
      </c>
      <c r="H1182" t="s">
        <v>54</v>
      </c>
      <c r="I1182">
        <v>6000</v>
      </c>
      <c r="J1182">
        <v>0</v>
      </c>
      <c r="K1182">
        <v>1</v>
      </c>
      <c r="L1182" t="s">
        <v>25</v>
      </c>
      <c r="M1182" t="s">
        <v>533</v>
      </c>
      <c r="N1182">
        <v>249</v>
      </c>
      <c r="O1182">
        <v>0</v>
      </c>
      <c r="P1182" t="str">
        <f>IF(T[[#This Row],[qty_ordered]]&lt;&gt;T[[#This Row],[qty_received]],IF(T[[#This Row],[qty_received]]&gt;0,"Partial Received","Not Receviced"),"FullyReceived")</f>
        <v>Not Receviced</v>
      </c>
      <c r="Q1182" t="str">
        <f>IF(T[[#This Row],[qty_received]]&lt;&gt;T[[#This Row],[qty_invoiced]],IF(T[[#This Row],[qty_invoiced]]&gt;0,"Partial Invoiced","Not Invoiced"),"Fully Invoiced")</f>
        <v>Partial Invoiced</v>
      </c>
      <c r="R1182" t="str">
        <f>IFERROR(VLOOKUP(T[[#This Row],[warehouse]],Table2[],2,FALSE),"--")</f>
        <v>--</v>
      </c>
    </row>
    <row r="1183" spans="1:18" x14ac:dyDescent="0.25">
      <c r="A1183" t="s">
        <v>260</v>
      </c>
      <c r="B1183" s="1">
        <v>43961</v>
      </c>
      <c r="C1183" t="s">
        <v>751</v>
      </c>
      <c r="D1183" t="s">
        <v>212</v>
      </c>
      <c r="E1183" t="s">
        <v>51</v>
      </c>
      <c r="F1183" t="s">
        <v>254</v>
      </c>
      <c r="G1183" t="s">
        <v>255</v>
      </c>
      <c r="H1183" t="s">
        <v>54</v>
      </c>
      <c r="I1183">
        <v>6000</v>
      </c>
      <c r="J1183">
        <v>0</v>
      </c>
      <c r="K1183">
        <v>1</v>
      </c>
      <c r="L1183" t="s">
        <v>25</v>
      </c>
      <c r="M1183" t="s">
        <v>533</v>
      </c>
      <c r="N1183">
        <v>140</v>
      </c>
      <c r="O1183">
        <v>0</v>
      </c>
      <c r="P1183" t="str">
        <f>IF(T[[#This Row],[qty_ordered]]&lt;&gt;T[[#This Row],[qty_received]],IF(T[[#This Row],[qty_received]]&gt;0,"Partial Received","Not Receviced"),"FullyReceived")</f>
        <v>Not Receviced</v>
      </c>
      <c r="Q1183" t="str">
        <f>IF(T[[#This Row],[qty_received]]&lt;&gt;T[[#This Row],[qty_invoiced]],IF(T[[#This Row],[qty_invoiced]]&gt;0,"Partial Invoiced","Not Invoiced"),"Fully Invoiced")</f>
        <v>Partial Invoiced</v>
      </c>
      <c r="R1183" t="str">
        <f>IFERROR(VLOOKUP(T[[#This Row],[warehouse]],Table2[],2,FALSE),"--")</f>
        <v>--</v>
      </c>
    </row>
    <row r="1184" spans="1:18" x14ac:dyDescent="0.25">
      <c r="A1184" t="s">
        <v>260</v>
      </c>
      <c r="B1184" s="1">
        <v>43832</v>
      </c>
      <c r="C1184" t="s">
        <v>882</v>
      </c>
      <c r="D1184" t="s">
        <v>592</v>
      </c>
      <c r="E1184" t="s">
        <v>51</v>
      </c>
      <c r="F1184" t="s">
        <v>267</v>
      </c>
      <c r="G1184" t="s">
        <v>267</v>
      </c>
      <c r="H1184" t="s">
        <v>54</v>
      </c>
      <c r="I1184">
        <v>116160</v>
      </c>
      <c r="J1184">
        <v>0</v>
      </c>
      <c r="K1184">
        <v>1</v>
      </c>
      <c r="L1184" t="s">
        <v>25</v>
      </c>
      <c r="M1184" t="s">
        <v>533</v>
      </c>
      <c r="N1184">
        <v>0.2</v>
      </c>
      <c r="O1184">
        <v>0</v>
      </c>
      <c r="P1184" t="str">
        <f>IF(T[[#This Row],[qty_ordered]]&lt;&gt;T[[#This Row],[qty_received]],IF(T[[#This Row],[qty_received]]&gt;0,"Partial Received","Not Receviced"),"FullyReceived")</f>
        <v>Not Receviced</v>
      </c>
      <c r="Q1184" t="str">
        <f>IF(T[[#This Row],[qty_received]]&lt;&gt;T[[#This Row],[qty_invoiced]],IF(T[[#This Row],[qty_invoiced]]&gt;0,"Partial Invoiced","Not Invoiced"),"Fully Invoiced")</f>
        <v>Partial Invoiced</v>
      </c>
      <c r="R1184" t="str">
        <f>IFERROR(VLOOKUP(T[[#This Row],[warehouse]],Table2[],2,FALSE),"--")</f>
        <v>--</v>
      </c>
    </row>
    <row r="1185" spans="1:18" x14ac:dyDescent="0.25">
      <c r="A1185" t="s">
        <v>790</v>
      </c>
      <c r="B1185" s="1">
        <v>43865</v>
      </c>
      <c r="C1185" t="s">
        <v>975</v>
      </c>
      <c r="D1185" t="s">
        <v>100</v>
      </c>
      <c r="E1185" t="s">
        <v>51</v>
      </c>
      <c r="F1185" t="s">
        <v>164</v>
      </c>
      <c r="G1185" t="s">
        <v>164</v>
      </c>
      <c r="H1185" t="s">
        <v>54</v>
      </c>
      <c r="I1185">
        <v>20486</v>
      </c>
      <c r="J1185">
        <v>0</v>
      </c>
      <c r="K1185">
        <v>1</v>
      </c>
      <c r="L1185" t="s">
        <v>25</v>
      </c>
      <c r="M1185" t="s">
        <v>533</v>
      </c>
      <c r="N1185">
        <v>2</v>
      </c>
      <c r="O1185">
        <v>0</v>
      </c>
      <c r="P1185" t="str">
        <f>IF(T[[#This Row],[qty_ordered]]&lt;&gt;T[[#This Row],[qty_received]],IF(T[[#This Row],[qty_received]]&gt;0,"Partial Received","Not Receviced"),"FullyReceived")</f>
        <v>Not Receviced</v>
      </c>
      <c r="Q1185" t="str">
        <f>IF(T[[#This Row],[qty_received]]&lt;&gt;T[[#This Row],[qty_invoiced]],IF(T[[#This Row],[qty_invoiced]]&gt;0,"Partial Invoiced","Not Invoiced"),"Fully Invoiced")</f>
        <v>Partial Invoiced</v>
      </c>
      <c r="R1185" t="str">
        <f>IFERROR(VLOOKUP(T[[#This Row],[warehouse]],Table2[],2,FALSE),"--")</f>
        <v>--</v>
      </c>
    </row>
    <row r="1186" spans="1:18" x14ac:dyDescent="0.25">
      <c r="A1186" t="s">
        <v>1040</v>
      </c>
      <c r="B1186" s="1">
        <v>43954</v>
      </c>
      <c r="C1186" t="s">
        <v>1053</v>
      </c>
      <c r="D1186" t="s">
        <v>20</v>
      </c>
      <c r="E1186" t="s">
        <v>660</v>
      </c>
      <c r="F1186" t="s">
        <v>1015</v>
      </c>
      <c r="G1186" t="s">
        <v>1016</v>
      </c>
      <c r="H1186" t="s">
        <v>663</v>
      </c>
      <c r="I1186">
        <v>10000</v>
      </c>
      <c r="J1186">
        <v>8010</v>
      </c>
      <c r="K1186">
        <v>8010</v>
      </c>
      <c r="L1186" t="s">
        <v>25</v>
      </c>
      <c r="M1186" t="s">
        <v>132</v>
      </c>
      <c r="N1186">
        <v>380</v>
      </c>
      <c r="O1186">
        <v>3043800</v>
      </c>
      <c r="P1186" t="str">
        <f>IF(T[[#This Row],[qty_ordered]]&lt;&gt;T[[#This Row],[qty_received]],IF(T[[#This Row],[qty_received]]&gt;0,"Partial Received","Not Receviced"),"FullyReceived")</f>
        <v>Partial Received</v>
      </c>
      <c r="Q1186" t="str">
        <f>IF(T[[#This Row],[qty_received]]&lt;&gt;T[[#This Row],[qty_invoiced]],IF(T[[#This Row],[qty_invoiced]]&gt;0,"Partial Invoiced","Not Invoiced"),"Fully Invoiced")</f>
        <v>Fully Invoiced</v>
      </c>
      <c r="R1186" t="str">
        <f>IFERROR(VLOOKUP(T[[#This Row],[warehouse]],Table2[],2,FALSE),"--")</f>
        <v>SLAUGHTER HOUSE</v>
      </c>
    </row>
    <row r="1187" spans="1:18" x14ac:dyDescent="0.25">
      <c r="A1187" t="s">
        <v>224</v>
      </c>
      <c r="B1187" s="1">
        <v>43991</v>
      </c>
      <c r="C1187" t="s">
        <v>1054</v>
      </c>
      <c r="D1187" t="s">
        <v>20</v>
      </c>
      <c r="E1187" t="s">
        <v>51</v>
      </c>
      <c r="F1187" t="s">
        <v>183</v>
      </c>
      <c r="G1187" t="s">
        <v>639</v>
      </c>
      <c r="H1187" t="s">
        <v>54</v>
      </c>
      <c r="I1187">
        <v>511.88</v>
      </c>
      <c r="J1187">
        <v>0</v>
      </c>
      <c r="K1187">
        <v>1</v>
      </c>
      <c r="L1187" t="s">
        <v>25</v>
      </c>
      <c r="M1187" t="s">
        <v>533</v>
      </c>
      <c r="N1187">
        <v>800</v>
      </c>
      <c r="O1187">
        <v>0</v>
      </c>
      <c r="P1187" t="str">
        <f>IF(T[[#This Row],[qty_ordered]]&lt;&gt;T[[#This Row],[qty_received]],IF(T[[#This Row],[qty_received]]&gt;0,"Partial Received","Not Receviced"),"FullyReceived")</f>
        <v>Not Receviced</v>
      </c>
      <c r="Q1187" t="str">
        <f>IF(T[[#This Row],[qty_received]]&lt;&gt;T[[#This Row],[qty_invoiced]],IF(T[[#This Row],[qty_invoiced]]&gt;0,"Partial Invoiced","Not Invoiced"),"Fully Invoiced")</f>
        <v>Partial Invoiced</v>
      </c>
      <c r="R1187" t="str">
        <f>IFERROR(VLOOKUP(T[[#This Row],[warehouse]],Table2[],2,FALSE),"--")</f>
        <v>--</v>
      </c>
    </row>
    <row r="1188" spans="1:18" x14ac:dyDescent="0.25">
      <c r="A1188" t="s">
        <v>658</v>
      </c>
      <c r="B1188" s="1">
        <v>43888</v>
      </c>
      <c r="C1188" t="s">
        <v>659</v>
      </c>
      <c r="D1188" t="s">
        <v>71</v>
      </c>
      <c r="E1188" t="s">
        <v>660</v>
      </c>
      <c r="F1188" t="s">
        <v>1015</v>
      </c>
      <c r="G1188" t="s">
        <v>1016</v>
      </c>
      <c r="H1188" t="s">
        <v>663</v>
      </c>
      <c r="I1188">
        <v>3141.5</v>
      </c>
      <c r="J1188">
        <v>3141.5</v>
      </c>
      <c r="K1188">
        <v>3141.5</v>
      </c>
      <c r="L1188" t="s">
        <v>25</v>
      </c>
      <c r="M1188" t="s">
        <v>132</v>
      </c>
      <c r="N1188">
        <v>277</v>
      </c>
      <c r="O1188">
        <v>870195.5</v>
      </c>
      <c r="P1188" t="str">
        <f>IF(T[[#This Row],[qty_ordered]]&lt;&gt;T[[#This Row],[qty_received]],IF(T[[#This Row],[qty_received]]&gt;0,"Partial Received","Not Receviced"),"FullyReceived")</f>
        <v>FullyReceived</v>
      </c>
      <c r="Q1188" t="str">
        <f>IF(T[[#This Row],[qty_received]]&lt;&gt;T[[#This Row],[qty_invoiced]],IF(T[[#This Row],[qty_invoiced]]&gt;0,"Partial Invoiced","Not Invoiced"),"Fully Invoiced")</f>
        <v>Fully Invoiced</v>
      </c>
      <c r="R1188" t="str">
        <f>IFERROR(VLOOKUP(T[[#This Row],[warehouse]],Table2[],2,FALSE),"--")</f>
        <v>SLAUGHTER HOUSE</v>
      </c>
    </row>
    <row r="1189" spans="1:18" x14ac:dyDescent="0.25">
      <c r="A1189" t="s">
        <v>658</v>
      </c>
      <c r="B1189" s="1">
        <v>43888</v>
      </c>
      <c r="C1189" t="s">
        <v>664</v>
      </c>
      <c r="D1189" t="s">
        <v>71</v>
      </c>
      <c r="E1189" t="s">
        <v>660</v>
      </c>
      <c r="F1189" t="s">
        <v>1015</v>
      </c>
      <c r="G1189" t="s">
        <v>1016</v>
      </c>
      <c r="H1189" t="s">
        <v>663</v>
      </c>
      <c r="I1189">
        <v>3024.9</v>
      </c>
      <c r="J1189">
        <v>3024.9</v>
      </c>
      <c r="K1189">
        <v>3024.9</v>
      </c>
      <c r="L1189" t="s">
        <v>25</v>
      </c>
      <c r="M1189" t="s">
        <v>132</v>
      </c>
      <c r="N1189">
        <v>266.5</v>
      </c>
      <c r="O1189">
        <v>806135.85</v>
      </c>
      <c r="P1189" t="str">
        <f>IF(T[[#This Row],[qty_ordered]]&lt;&gt;T[[#This Row],[qty_received]],IF(T[[#This Row],[qty_received]]&gt;0,"Partial Received","Not Receviced"),"FullyReceived")</f>
        <v>FullyReceived</v>
      </c>
      <c r="Q1189" t="str">
        <f>IF(T[[#This Row],[qty_received]]&lt;&gt;T[[#This Row],[qty_invoiced]],IF(T[[#This Row],[qty_invoiced]]&gt;0,"Partial Invoiced","Not Invoiced"),"Fully Invoiced")</f>
        <v>Fully Invoiced</v>
      </c>
      <c r="R1189" t="str">
        <f>IFERROR(VLOOKUP(T[[#This Row],[warehouse]],Table2[],2,FALSE),"--")</f>
        <v>SLAUGHTER HOUSE</v>
      </c>
    </row>
    <row r="1190" spans="1:18" x14ac:dyDescent="0.25">
      <c r="A1190" t="s">
        <v>790</v>
      </c>
      <c r="B1190" s="1">
        <v>43865</v>
      </c>
      <c r="C1190" t="s">
        <v>975</v>
      </c>
      <c r="D1190" t="s">
        <v>74</v>
      </c>
      <c r="E1190" t="s">
        <v>51</v>
      </c>
      <c r="F1190" t="s">
        <v>164</v>
      </c>
      <c r="G1190" t="s">
        <v>164</v>
      </c>
      <c r="H1190" t="s">
        <v>54</v>
      </c>
      <c r="I1190">
        <v>8772</v>
      </c>
      <c r="J1190">
        <v>0</v>
      </c>
      <c r="K1190">
        <v>1</v>
      </c>
      <c r="L1190" t="s">
        <v>25</v>
      </c>
      <c r="M1190" t="s">
        <v>533</v>
      </c>
      <c r="N1190">
        <v>2</v>
      </c>
      <c r="O1190">
        <v>0</v>
      </c>
      <c r="P1190" t="str">
        <f>IF(T[[#This Row],[qty_ordered]]&lt;&gt;T[[#This Row],[qty_received]],IF(T[[#This Row],[qty_received]]&gt;0,"Partial Received","Not Receviced"),"FullyReceived")</f>
        <v>Not Receviced</v>
      </c>
      <c r="Q1190" t="str">
        <f>IF(T[[#This Row],[qty_received]]&lt;&gt;T[[#This Row],[qty_invoiced]],IF(T[[#This Row],[qty_invoiced]]&gt;0,"Partial Invoiced","Not Invoiced"),"Fully Invoiced")</f>
        <v>Partial Invoiced</v>
      </c>
      <c r="R1190" t="str">
        <f>IFERROR(VLOOKUP(T[[#This Row],[warehouse]],Table2[],2,FALSE),"--")</f>
        <v>--</v>
      </c>
    </row>
    <row r="1191" spans="1:18" x14ac:dyDescent="0.25">
      <c r="A1191" t="s">
        <v>1055</v>
      </c>
      <c r="B1191" s="1">
        <v>43999</v>
      </c>
      <c r="C1191" t="s">
        <v>1056</v>
      </c>
      <c r="D1191" t="s">
        <v>20</v>
      </c>
      <c r="E1191" t="s">
        <v>660</v>
      </c>
      <c r="F1191" t="s">
        <v>705</v>
      </c>
      <c r="G1191" t="s">
        <v>706</v>
      </c>
      <c r="H1191" t="s">
        <v>663</v>
      </c>
      <c r="I1191">
        <v>2944.1</v>
      </c>
      <c r="J1191">
        <v>2944.1</v>
      </c>
      <c r="K1191">
        <v>2944.1</v>
      </c>
      <c r="L1191" t="s">
        <v>25</v>
      </c>
      <c r="M1191" t="s">
        <v>132</v>
      </c>
      <c r="N1191">
        <v>643.54743399999995</v>
      </c>
      <c r="O1191">
        <v>1894668.0004394001</v>
      </c>
      <c r="P1191" t="str">
        <f>IF(T[[#This Row],[qty_ordered]]&lt;&gt;T[[#This Row],[qty_received]],IF(T[[#This Row],[qty_received]]&gt;0,"Partial Received","Not Receviced"),"FullyReceived")</f>
        <v>FullyReceived</v>
      </c>
      <c r="Q1191" t="str">
        <f>IF(T[[#This Row],[qty_received]]&lt;&gt;T[[#This Row],[qty_invoiced]],IF(T[[#This Row],[qty_invoiced]]&gt;0,"Partial Invoiced","Not Invoiced"),"Fully Invoiced")</f>
        <v>Fully Invoiced</v>
      </c>
      <c r="R1191" t="str">
        <f>IFERROR(VLOOKUP(T[[#This Row],[warehouse]],Table2[],2,FALSE),"--")</f>
        <v>SLAUGHTER HOUSE</v>
      </c>
    </row>
    <row r="1192" spans="1:18" x14ac:dyDescent="0.25">
      <c r="A1192" t="s">
        <v>505</v>
      </c>
      <c r="B1192" s="1">
        <v>43933</v>
      </c>
      <c r="C1192" t="s">
        <v>684</v>
      </c>
      <c r="D1192" t="s">
        <v>71</v>
      </c>
      <c r="E1192" t="s">
        <v>51</v>
      </c>
      <c r="F1192" t="s">
        <v>247</v>
      </c>
      <c r="G1192" t="s">
        <v>685</v>
      </c>
      <c r="H1192" t="s">
        <v>54</v>
      </c>
      <c r="I1192">
        <v>1000</v>
      </c>
      <c r="J1192">
        <v>0</v>
      </c>
      <c r="K1192">
        <v>1</v>
      </c>
      <c r="L1192" t="s">
        <v>25</v>
      </c>
      <c r="M1192" t="s">
        <v>533</v>
      </c>
      <c r="N1192">
        <v>6500</v>
      </c>
      <c r="O1192">
        <v>0</v>
      </c>
      <c r="P1192" t="str">
        <f>IF(T[[#This Row],[qty_ordered]]&lt;&gt;T[[#This Row],[qty_received]],IF(T[[#This Row],[qty_received]]&gt;0,"Partial Received","Not Receviced"),"FullyReceived")</f>
        <v>Not Receviced</v>
      </c>
      <c r="Q1192" t="str">
        <f>IF(T[[#This Row],[qty_received]]&lt;&gt;T[[#This Row],[qty_invoiced]],IF(T[[#This Row],[qty_invoiced]]&gt;0,"Partial Invoiced","Not Invoiced"),"Fully Invoiced")</f>
        <v>Partial Invoiced</v>
      </c>
      <c r="R1192" t="str">
        <f>IFERROR(VLOOKUP(T[[#This Row],[warehouse]],Table2[],2,FALSE),"--")</f>
        <v>--</v>
      </c>
    </row>
    <row r="1193" spans="1:18" x14ac:dyDescent="0.25">
      <c r="A1193" t="s">
        <v>686</v>
      </c>
      <c r="B1193" s="1">
        <v>43849</v>
      </c>
      <c r="C1193" t="s">
        <v>687</v>
      </c>
      <c r="D1193" t="s">
        <v>760</v>
      </c>
      <c r="E1193" t="s">
        <v>51</v>
      </c>
      <c r="F1193" t="s">
        <v>278</v>
      </c>
      <c r="G1193" t="s">
        <v>279</v>
      </c>
      <c r="H1193" t="s">
        <v>54</v>
      </c>
      <c r="I1193">
        <v>11400</v>
      </c>
      <c r="J1193">
        <v>0</v>
      </c>
      <c r="K1193">
        <v>1</v>
      </c>
      <c r="L1193" t="s">
        <v>25</v>
      </c>
      <c r="M1193" t="s">
        <v>533</v>
      </c>
      <c r="N1193">
        <v>5.2105259999999998</v>
      </c>
      <c r="O1193">
        <v>0</v>
      </c>
      <c r="P1193" t="str">
        <f>IF(T[[#This Row],[qty_ordered]]&lt;&gt;T[[#This Row],[qty_received]],IF(T[[#This Row],[qty_received]]&gt;0,"Partial Received","Not Receviced"),"FullyReceived")</f>
        <v>Not Receviced</v>
      </c>
      <c r="Q1193" t="str">
        <f>IF(T[[#This Row],[qty_received]]&lt;&gt;T[[#This Row],[qty_invoiced]],IF(T[[#This Row],[qty_invoiced]]&gt;0,"Partial Invoiced","Not Invoiced"),"Fully Invoiced")</f>
        <v>Partial Invoiced</v>
      </c>
      <c r="R1193" t="str">
        <f>IFERROR(VLOOKUP(T[[#This Row],[warehouse]],Table2[],2,FALSE),"--")</f>
        <v>--</v>
      </c>
    </row>
    <row r="1194" spans="1:18" x14ac:dyDescent="0.25">
      <c r="A1194" t="s">
        <v>686</v>
      </c>
      <c r="B1194" s="1">
        <v>43849</v>
      </c>
      <c r="C1194" t="s">
        <v>687</v>
      </c>
      <c r="D1194" t="s">
        <v>591</v>
      </c>
      <c r="E1194" t="s">
        <v>51</v>
      </c>
      <c r="F1194" t="s">
        <v>278</v>
      </c>
      <c r="G1194" t="s">
        <v>279</v>
      </c>
      <c r="H1194" t="s">
        <v>54</v>
      </c>
      <c r="I1194">
        <v>8190</v>
      </c>
      <c r="J1194">
        <v>0</v>
      </c>
      <c r="K1194">
        <v>1</v>
      </c>
      <c r="L1194" t="s">
        <v>25</v>
      </c>
      <c r="M1194" t="s">
        <v>533</v>
      </c>
      <c r="N1194">
        <v>8</v>
      </c>
      <c r="O1194">
        <v>0</v>
      </c>
      <c r="P1194" t="str">
        <f>IF(T[[#This Row],[qty_ordered]]&lt;&gt;T[[#This Row],[qty_received]],IF(T[[#This Row],[qty_received]]&gt;0,"Partial Received","Not Receviced"),"FullyReceived")</f>
        <v>Not Receviced</v>
      </c>
      <c r="Q1194" t="str">
        <f>IF(T[[#This Row],[qty_received]]&lt;&gt;T[[#This Row],[qty_invoiced]],IF(T[[#This Row],[qty_invoiced]]&gt;0,"Partial Invoiced","Not Invoiced"),"Fully Invoiced")</f>
        <v>Partial Invoiced</v>
      </c>
      <c r="R1194" t="str">
        <f>IFERROR(VLOOKUP(T[[#This Row],[warehouse]],Table2[],2,FALSE),"--")</f>
        <v>--</v>
      </c>
    </row>
    <row r="1195" spans="1:18" x14ac:dyDescent="0.25">
      <c r="A1195" t="s">
        <v>686</v>
      </c>
      <c r="B1195" s="1">
        <v>43849</v>
      </c>
      <c r="C1195" t="s">
        <v>687</v>
      </c>
      <c r="D1195" t="s">
        <v>592</v>
      </c>
      <c r="E1195" t="s">
        <v>51</v>
      </c>
      <c r="F1195" t="s">
        <v>254</v>
      </c>
      <c r="G1195" t="s">
        <v>255</v>
      </c>
      <c r="H1195" t="s">
        <v>54</v>
      </c>
      <c r="I1195">
        <v>19050</v>
      </c>
      <c r="J1195">
        <v>0</v>
      </c>
      <c r="K1195">
        <v>1</v>
      </c>
      <c r="L1195" t="s">
        <v>25</v>
      </c>
      <c r="M1195" t="s">
        <v>533</v>
      </c>
      <c r="N1195">
        <v>5</v>
      </c>
      <c r="O1195">
        <v>0</v>
      </c>
      <c r="P1195" t="str">
        <f>IF(T[[#This Row],[qty_ordered]]&lt;&gt;T[[#This Row],[qty_received]],IF(T[[#This Row],[qty_received]]&gt;0,"Partial Received","Not Receviced"),"FullyReceived")</f>
        <v>Not Receviced</v>
      </c>
      <c r="Q1195" t="str">
        <f>IF(T[[#This Row],[qty_received]]&lt;&gt;T[[#This Row],[qty_invoiced]],IF(T[[#This Row],[qty_invoiced]]&gt;0,"Partial Invoiced","Not Invoiced"),"Fully Invoiced")</f>
        <v>Partial Invoiced</v>
      </c>
      <c r="R1195" t="str">
        <f>IFERROR(VLOOKUP(T[[#This Row],[warehouse]],Table2[],2,FALSE),"--")</f>
        <v>--</v>
      </c>
    </row>
    <row r="1196" spans="1:18" x14ac:dyDescent="0.25">
      <c r="A1196" t="s">
        <v>658</v>
      </c>
      <c r="B1196" s="1">
        <v>44082</v>
      </c>
      <c r="C1196" t="s">
        <v>845</v>
      </c>
      <c r="D1196" t="s">
        <v>71</v>
      </c>
      <c r="E1196" t="s">
        <v>660</v>
      </c>
      <c r="F1196" t="s">
        <v>661</v>
      </c>
      <c r="G1196" t="s">
        <v>662</v>
      </c>
      <c r="H1196" t="s">
        <v>663</v>
      </c>
      <c r="I1196">
        <v>4520.2</v>
      </c>
      <c r="J1196">
        <v>4520.2</v>
      </c>
      <c r="K1196">
        <v>4520.2</v>
      </c>
      <c r="L1196" t="s">
        <v>25</v>
      </c>
      <c r="M1196" t="s">
        <v>132</v>
      </c>
      <c r="N1196">
        <v>270</v>
      </c>
      <c r="O1196">
        <v>1220454</v>
      </c>
      <c r="P1196" t="str">
        <f>IF(T[[#This Row],[qty_ordered]]&lt;&gt;T[[#This Row],[qty_received]],IF(T[[#This Row],[qty_received]]&gt;0,"Partial Received","Not Receviced"),"FullyReceived")</f>
        <v>FullyReceived</v>
      </c>
      <c r="Q1196" t="str">
        <f>IF(T[[#This Row],[qty_received]]&lt;&gt;T[[#This Row],[qty_invoiced]],IF(T[[#This Row],[qty_invoiced]]&gt;0,"Partial Invoiced","Not Invoiced"),"Fully Invoiced")</f>
        <v>Fully Invoiced</v>
      </c>
      <c r="R1196" t="str">
        <f>IFERROR(VLOOKUP(T[[#This Row],[warehouse]],Table2[],2,FALSE),"--")</f>
        <v>SLAUGHTER HOUSE</v>
      </c>
    </row>
    <row r="1197" spans="1:18" x14ac:dyDescent="0.25">
      <c r="A1197" t="s">
        <v>235</v>
      </c>
      <c r="B1197" s="1">
        <v>44075</v>
      </c>
      <c r="C1197" t="s">
        <v>800</v>
      </c>
      <c r="D1197" t="s">
        <v>71</v>
      </c>
      <c r="E1197" t="s">
        <v>51</v>
      </c>
      <c r="F1197" t="s">
        <v>546</v>
      </c>
      <c r="G1197" t="s">
        <v>719</v>
      </c>
      <c r="H1197" t="s">
        <v>54</v>
      </c>
      <c r="I1197">
        <v>6000</v>
      </c>
      <c r="J1197">
        <v>0</v>
      </c>
      <c r="K1197">
        <v>1</v>
      </c>
      <c r="L1197" t="s">
        <v>25</v>
      </c>
      <c r="M1197" t="s">
        <v>533</v>
      </c>
      <c r="N1197">
        <v>4.5</v>
      </c>
      <c r="O1197">
        <v>0</v>
      </c>
      <c r="P1197" t="str">
        <f>IF(T[[#This Row],[qty_ordered]]&lt;&gt;T[[#This Row],[qty_received]],IF(T[[#This Row],[qty_received]]&gt;0,"Partial Received","Not Receviced"),"FullyReceived")</f>
        <v>Not Receviced</v>
      </c>
      <c r="Q1197" t="str">
        <f>IF(T[[#This Row],[qty_received]]&lt;&gt;T[[#This Row],[qty_invoiced]],IF(T[[#This Row],[qty_invoiced]]&gt;0,"Partial Invoiced","Not Invoiced"),"Fully Invoiced")</f>
        <v>Partial Invoiced</v>
      </c>
      <c r="R1197" t="str">
        <f>IFERROR(VLOOKUP(T[[#This Row],[warehouse]],Table2[],2,FALSE),"--")</f>
        <v>--</v>
      </c>
    </row>
    <row r="1198" spans="1:18" x14ac:dyDescent="0.25">
      <c r="A1198" t="s">
        <v>269</v>
      </c>
      <c r="B1198" s="1">
        <v>43828</v>
      </c>
      <c r="C1198" t="s">
        <v>807</v>
      </c>
      <c r="D1198" t="s">
        <v>74</v>
      </c>
      <c r="E1198" t="s">
        <v>51</v>
      </c>
      <c r="F1198" t="s">
        <v>183</v>
      </c>
      <c r="G1198" t="s">
        <v>808</v>
      </c>
      <c r="H1198" t="s">
        <v>54</v>
      </c>
      <c r="I1198">
        <v>284.53899999999999</v>
      </c>
      <c r="J1198">
        <v>0</v>
      </c>
      <c r="K1198">
        <v>1</v>
      </c>
      <c r="L1198" t="s">
        <v>25</v>
      </c>
      <c r="M1198" t="s">
        <v>533</v>
      </c>
      <c r="N1198">
        <v>1000</v>
      </c>
      <c r="O1198">
        <v>0</v>
      </c>
      <c r="P1198" t="str">
        <f>IF(T[[#This Row],[qty_ordered]]&lt;&gt;T[[#This Row],[qty_received]],IF(T[[#This Row],[qty_received]]&gt;0,"Partial Received","Not Receviced"),"FullyReceived")</f>
        <v>Not Receviced</v>
      </c>
      <c r="Q1198" t="str">
        <f>IF(T[[#This Row],[qty_received]]&lt;&gt;T[[#This Row],[qty_invoiced]],IF(T[[#This Row],[qty_invoiced]]&gt;0,"Partial Invoiced","Not Invoiced"),"Fully Invoiced")</f>
        <v>Partial Invoiced</v>
      </c>
      <c r="R1198" t="str">
        <f>IFERROR(VLOOKUP(T[[#This Row],[warehouse]],Table2[],2,FALSE),"--")</f>
        <v>--</v>
      </c>
    </row>
    <row r="1199" spans="1:18" x14ac:dyDescent="0.25">
      <c r="A1199" t="s">
        <v>269</v>
      </c>
      <c r="B1199" s="1">
        <v>43828</v>
      </c>
      <c r="C1199" t="s">
        <v>807</v>
      </c>
      <c r="D1199" t="s">
        <v>76</v>
      </c>
      <c r="E1199" t="s">
        <v>51</v>
      </c>
      <c r="F1199" t="s">
        <v>185</v>
      </c>
      <c r="G1199" t="s">
        <v>275</v>
      </c>
      <c r="H1199" t="s">
        <v>54</v>
      </c>
      <c r="I1199">
        <v>1</v>
      </c>
      <c r="J1199">
        <v>0</v>
      </c>
      <c r="K1199">
        <v>1</v>
      </c>
      <c r="L1199" t="s">
        <v>25</v>
      </c>
      <c r="M1199" t="s">
        <v>533</v>
      </c>
      <c r="N1199">
        <v>10232</v>
      </c>
      <c r="O1199">
        <v>0</v>
      </c>
      <c r="P1199" t="str">
        <f>IF(T[[#This Row],[qty_ordered]]&lt;&gt;T[[#This Row],[qty_received]],IF(T[[#This Row],[qty_received]]&gt;0,"Partial Received","Not Receviced"),"FullyReceived")</f>
        <v>Not Receviced</v>
      </c>
      <c r="Q1199" t="str">
        <f>IF(T[[#This Row],[qty_received]]&lt;&gt;T[[#This Row],[qty_invoiced]],IF(T[[#This Row],[qty_invoiced]]&gt;0,"Partial Invoiced","Not Invoiced"),"Fully Invoiced")</f>
        <v>Partial Invoiced</v>
      </c>
      <c r="R1199" t="str">
        <f>IFERROR(VLOOKUP(T[[#This Row],[warehouse]],Table2[],2,FALSE),"--")</f>
        <v>--</v>
      </c>
    </row>
    <row r="1200" spans="1:18" x14ac:dyDescent="0.25">
      <c r="A1200" t="s">
        <v>739</v>
      </c>
      <c r="B1200" s="1">
        <v>44082</v>
      </c>
      <c r="C1200" t="s">
        <v>892</v>
      </c>
      <c r="D1200" t="s">
        <v>100</v>
      </c>
      <c r="E1200" t="s">
        <v>660</v>
      </c>
      <c r="F1200" t="s">
        <v>705</v>
      </c>
      <c r="G1200" t="s">
        <v>706</v>
      </c>
      <c r="H1200" t="s">
        <v>663</v>
      </c>
      <c r="I1200">
        <v>2993.6</v>
      </c>
      <c r="J1200">
        <v>2993.6</v>
      </c>
      <c r="K1200">
        <v>2993.6</v>
      </c>
      <c r="L1200" t="s">
        <v>25</v>
      </c>
      <c r="M1200" t="s">
        <v>132</v>
      </c>
      <c r="N1200">
        <v>800</v>
      </c>
      <c r="O1200">
        <v>2394880</v>
      </c>
      <c r="P1200" t="str">
        <f>IF(T[[#This Row],[qty_ordered]]&lt;&gt;T[[#This Row],[qty_received]],IF(T[[#This Row],[qty_received]]&gt;0,"Partial Received","Not Receviced"),"FullyReceived")</f>
        <v>FullyReceived</v>
      </c>
      <c r="Q1200" t="str">
        <f>IF(T[[#This Row],[qty_received]]&lt;&gt;T[[#This Row],[qty_invoiced]],IF(T[[#This Row],[qty_invoiced]]&gt;0,"Partial Invoiced","Not Invoiced"),"Fully Invoiced")</f>
        <v>Fully Invoiced</v>
      </c>
      <c r="R1200" t="str">
        <f>IFERROR(VLOOKUP(T[[#This Row],[warehouse]],Table2[],2,FALSE),"--")</f>
        <v>SLAUGHTER HOUSE</v>
      </c>
    </row>
    <row r="1201" spans="1:18" x14ac:dyDescent="0.25">
      <c r="A1201" t="s">
        <v>84</v>
      </c>
      <c r="B1201" s="1">
        <v>44095</v>
      </c>
      <c r="C1201" t="s">
        <v>849</v>
      </c>
      <c r="D1201" t="s">
        <v>71</v>
      </c>
      <c r="E1201" t="s">
        <v>66</v>
      </c>
      <c r="F1201" t="s">
        <v>167</v>
      </c>
      <c r="G1201" t="s">
        <v>156</v>
      </c>
      <c r="H1201" t="s">
        <v>24</v>
      </c>
      <c r="I1201">
        <v>268</v>
      </c>
      <c r="J1201">
        <v>0</v>
      </c>
      <c r="K1201">
        <v>0</v>
      </c>
      <c r="L1201" t="s">
        <v>25</v>
      </c>
      <c r="M1201" t="s">
        <v>132</v>
      </c>
      <c r="N1201">
        <v>350000</v>
      </c>
      <c r="O1201">
        <v>0</v>
      </c>
      <c r="P1201" t="str">
        <f>IF(T[[#This Row],[qty_ordered]]&lt;&gt;T[[#This Row],[qty_received]],IF(T[[#This Row],[qty_received]]&gt;0,"Partial Received","Not Receviced"),"FullyReceived")</f>
        <v>Not Receviced</v>
      </c>
      <c r="Q1201" t="str">
        <f>IF(T[[#This Row],[qty_received]]&lt;&gt;T[[#This Row],[qty_invoiced]],IF(T[[#This Row],[qty_invoiced]]&gt;0,"Partial Invoiced","Not Invoiced"),"Fully Invoiced")</f>
        <v>Fully Invoiced</v>
      </c>
      <c r="R1201" t="str">
        <f>IFERROR(VLOOKUP(T[[#This Row],[warehouse]],Table2[],2,FALSE),"--")</f>
        <v>PZU Main Warehouse</v>
      </c>
    </row>
    <row r="1202" spans="1:18" x14ac:dyDescent="0.25">
      <c r="A1202" t="s">
        <v>303</v>
      </c>
      <c r="B1202" s="1">
        <v>44109</v>
      </c>
      <c r="C1202" t="s">
        <v>948</v>
      </c>
      <c r="D1202" t="s">
        <v>20</v>
      </c>
      <c r="E1202" t="s">
        <v>66</v>
      </c>
      <c r="F1202" t="s">
        <v>529</v>
      </c>
      <c r="G1202" t="s">
        <v>530</v>
      </c>
      <c r="H1202" t="s">
        <v>531</v>
      </c>
      <c r="I1202">
        <v>6000</v>
      </c>
      <c r="J1202">
        <v>4055</v>
      </c>
      <c r="K1202">
        <v>4055</v>
      </c>
      <c r="L1202" t="s">
        <v>25</v>
      </c>
      <c r="M1202" t="s">
        <v>707</v>
      </c>
      <c r="N1202">
        <v>20000</v>
      </c>
      <c r="O1202">
        <v>81100000</v>
      </c>
      <c r="P1202" t="str">
        <f>IF(T[[#This Row],[qty_ordered]]&lt;&gt;T[[#This Row],[qty_received]],IF(T[[#This Row],[qty_received]]&gt;0,"Partial Received","Not Receviced"),"FullyReceived")</f>
        <v>Partial Received</v>
      </c>
      <c r="Q1202" t="str">
        <f>IF(T[[#This Row],[qty_received]]&lt;&gt;T[[#This Row],[qty_invoiced]],IF(T[[#This Row],[qty_invoiced]]&gt;0,"Partial Invoiced","Not Invoiced"),"Fully Invoiced")</f>
        <v>Fully Invoiced</v>
      </c>
      <c r="R1202" t="str">
        <f>IFERROR(VLOOKUP(T[[#This Row],[warehouse]],Table2[],2,FALSE),"--")</f>
        <v>PZU Main Warehouse</v>
      </c>
    </row>
    <row r="1203" spans="1:18" x14ac:dyDescent="0.25">
      <c r="A1203" t="s">
        <v>242</v>
      </c>
      <c r="B1203" s="1">
        <v>44102</v>
      </c>
      <c r="C1203" t="s">
        <v>903</v>
      </c>
      <c r="D1203" t="s">
        <v>71</v>
      </c>
      <c r="E1203" t="s">
        <v>66</v>
      </c>
      <c r="F1203" t="s">
        <v>244</v>
      </c>
      <c r="G1203" t="s">
        <v>245</v>
      </c>
      <c r="H1203" t="s">
        <v>24</v>
      </c>
      <c r="I1203">
        <v>622.78</v>
      </c>
      <c r="J1203">
        <v>594.70000000000005</v>
      </c>
      <c r="K1203">
        <v>594.70000000000005</v>
      </c>
      <c r="L1203" t="s">
        <v>25</v>
      </c>
      <c r="M1203" t="s">
        <v>707</v>
      </c>
      <c r="N1203">
        <v>252000</v>
      </c>
      <c r="O1203">
        <v>149864400</v>
      </c>
      <c r="P1203" t="str">
        <f>IF(T[[#This Row],[qty_ordered]]&lt;&gt;T[[#This Row],[qty_received]],IF(T[[#This Row],[qty_received]]&gt;0,"Partial Received","Not Receviced"),"FullyReceived")</f>
        <v>Partial Received</v>
      </c>
      <c r="Q1203" t="str">
        <f>IF(T[[#This Row],[qty_received]]&lt;&gt;T[[#This Row],[qty_invoiced]],IF(T[[#This Row],[qty_invoiced]]&gt;0,"Partial Invoiced","Not Invoiced"),"Fully Invoiced")</f>
        <v>Fully Invoiced</v>
      </c>
      <c r="R1203" t="str">
        <f>IFERROR(VLOOKUP(T[[#This Row],[warehouse]],Table2[],2,FALSE),"--")</f>
        <v>PZU Main Warehouse</v>
      </c>
    </row>
    <row r="1204" spans="1:18" x14ac:dyDescent="0.25">
      <c r="A1204" t="s">
        <v>423</v>
      </c>
      <c r="B1204" s="1">
        <v>44013</v>
      </c>
      <c r="C1204" t="s">
        <v>1057</v>
      </c>
      <c r="D1204" t="s">
        <v>71</v>
      </c>
      <c r="E1204" t="s">
        <v>51</v>
      </c>
      <c r="F1204" t="s">
        <v>933</v>
      </c>
      <c r="G1204" t="s">
        <v>934</v>
      </c>
      <c r="H1204" t="s">
        <v>54</v>
      </c>
      <c r="I1204">
        <v>1</v>
      </c>
      <c r="J1204">
        <v>0</v>
      </c>
      <c r="K1204">
        <v>1</v>
      </c>
      <c r="L1204" t="s">
        <v>25</v>
      </c>
      <c r="M1204" t="s">
        <v>744</v>
      </c>
      <c r="N1204">
        <v>180000</v>
      </c>
      <c r="O1204">
        <v>0</v>
      </c>
      <c r="P1204" t="str">
        <f>IF(T[[#This Row],[qty_ordered]]&lt;&gt;T[[#This Row],[qty_received]],IF(T[[#This Row],[qty_received]]&gt;0,"Partial Received","Not Receviced"),"FullyReceived")</f>
        <v>Not Receviced</v>
      </c>
      <c r="Q1204" t="str">
        <f>IF(T[[#This Row],[qty_received]]&lt;&gt;T[[#This Row],[qty_invoiced]],IF(T[[#This Row],[qty_invoiced]]&gt;0,"Partial Invoiced","Not Invoiced"),"Fully Invoiced")</f>
        <v>Partial Invoiced</v>
      </c>
      <c r="R1204" t="str">
        <f>IFERROR(VLOOKUP(T[[#This Row],[warehouse]],Table2[],2,FALSE),"--")</f>
        <v>--</v>
      </c>
    </row>
    <row r="1205" spans="1:18" x14ac:dyDescent="0.25">
      <c r="A1205" t="s">
        <v>739</v>
      </c>
      <c r="B1205" s="1">
        <v>44082</v>
      </c>
      <c r="C1205" t="s">
        <v>892</v>
      </c>
      <c r="D1205" t="s">
        <v>74</v>
      </c>
      <c r="E1205" t="s">
        <v>660</v>
      </c>
      <c r="F1205" t="s">
        <v>705</v>
      </c>
      <c r="G1205" t="s">
        <v>706</v>
      </c>
      <c r="H1205" t="s">
        <v>663</v>
      </c>
      <c r="I1205">
        <v>2018.4</v>
      </c>
      <c r="J1205">
        <v>2018.4</v>
      </c>
      <c r="K1205">
        <v>2018.4</v>
      </c>
      <c r="L1205" t="s">
        <v>25</v>
      </c>
      <c r="M1205" t="s">
        <v>132</v>
      </c>
      <c r="N1205">
        <v>800</v>
      </c>
      <c r="O1205">
        <v>1614720</v>
      </c>
      <c r="P1205" t="str">
        <f>IF(T[[#This Row],[qty_ordered]]&lt;&gt;T[[#This Row],[qty_received]],IF(T[[#This Row],[qty_received]]&gt;0,"Partial Received","Not Receviced"),"FullyReceived")</f>
        <v>FullyReceived</v>
      </c>
      <c r="Q1205" t="str">
        <f>IF(T[[#This Row],[qty_received]]&lt;&gt;T[[#This Row],[qty_invoiced]],IF(T[[#This Row],[qty_invoiced]]&gt;0,"Partial Invoiced","Not Invoiced"),"Fully Invoiced")</f>
        <v>Fully Invoiced</v>
      </c>
      <c r="R1205" t="str">
        <f>IFERROR(VLOOKUP(T[[#This Row],[warehouse]],Table2[],2,FALSE),"--")</f>
        <v>SLAUGHTER HOUSE</v>
      </c>
    </row>
    <row r="1206" spans="1:18" x14ac:dyDescent="0.25">
      <c r="A1206" t="s">
        <v>739</v>
      </c>
      <c r="B1206" s="1">
        <v>44082</v>
      </c>
      <c r="C1206" t="s">
        <v>847</v>
      </c>
      <c r="D1206" t="s">
        <v>76</v>
      </c>
      <c r="E1206" t="s">
        <v>660</v>
      </c>
      <c r="F1206" t="s">
        <v>747</v>
      </c>
      <c r="G1206" t="s">
        <v>748</v>
      </c>
      <c r="H1206" t="s">
        <v>663</v>
      </c>
      <c r="I1206">
        <v>507.2</v>
      </c>
      <c r="J1206">
        <v>507.2</v>
      </c>
      <c r="K1206">
        <v>507.2</v>
      </c>
      <c r="L1206" t="s">
        <v>25</v>
      </c>
      <c r="M1206" t="s">
        <v>132</v>
      </c>
      <c r="N1206">
        <v>750</v>
      </c>
      <c r="O1206">
        <v>380400</v>
      </c>
      <c r="P1206" t="str">
        <f>IF(T[[#This Row],[qty_ordered]]&lt;&gt;T[[#This Row],[qty_received]],IF(T[[#This Row],[qty_received]]&gt;0,"Partial Received","Not Receviced"),"FullyReceived")</f>
        <v>FullyReceived</v>
      </c>
      <c r="Q1206" t="str">
        <f>IF(T[[#This Row],[qty_received]]&lt;&gt;T[[#This Row],[qty_invoiced]],IF(T[[#This Row],[qty_invoiced]]&gt;0,"Partial Invoiced","Not Invoiced"),"Fully Invoiced")</f>
        <v>Fully Invoiced</v>
      </c>
      <c r="R1206" t="str">
        <f>IFERROR(VLOOKUP(T[[#This Row],[warehouse]],Table2[],2,FALSE),"--")</f>
        <v>SLAUGHTER HOUSE</v>
      </c>
    </row>
    <row r="1207" spans="1:18" x14ac:dyDescent="0.25">
      <c r="A1207" t="s">
        <v>658</v>
      </c>
      <c r="B1207" s="1">
        <v>44082</v>
      </c>
      <c r="C1207" t="s">
        <v>845</v>
      </c>
      <c r="D1207" t="s">
        <v>74</v>
      </c>
      <c r="E1207" t="s">
        <v>660</v>
      </c>
      <c r="F1207" t="s">
        <v>661</v>
      </c>
      <c r="G1207" t="s">
        <v>662</v>
      </c>
      <c r="H1207" t="s">
        <v>663</v>
      </c>
      <c r="I1207">
        <v>1674.7</v>
      </c>
      <c r="J1207">
        <v>1674.7</v>
      </c>
      <c r="K1207">
        <v>1674.7</v>
      </c>
      <c r="L1207" t="s">
        <v>25</v>
      </c>
      <c r="M1207" t="s">
        <v>132</v>
      </c>
      <c r="N1207">
        <v>640</v>
      </c>
      <c r="O1207">
        <v>1071808</v>
      </c>
      <c r="P1207" t="str">
        <f>IF(T[[#This Row],[qty_ordered]]&lt;&gt;T[[#This Row],[qty_received]],IF(T[[#This Row],[qty_received]]&gt;0,"Partial Received","Not Receviced"),"FullyReceived")</f>
        <v>FullyReceived</v>
      </c>
      <c r="Q1207" t="str">
        <f>IF(T[[#This Row],[qty_received]]&lt;&gt;T[[#This Row],[qty_invoiced]],IF(T[[#This Row],[qty_invoiced]]&gt;0,"Partial Invoiced","Not Invoiced"),"Fully Invoiced")</f>
        <v>Fully Invoiced</v>
      </c>
      <c r="R1207" t="str">
        <f>IFERROR(VLOOKUP(T[[#This Row],[warehouse]],Table2[],2,FALSE),"--")</f>
        <v>SLAUGHTER HOUSE</v>
      </c>
    </row>
    <row r="1208" spans="1:18" x14ac:dyDescent="0.25">
      <c r="A1208" t="s">
        <v>144</v>
      </c>
      <c r="B1208" s="1">
        <v>44178</v>
      </c>
      <c r="C1208" t="s">
        <v>1058</v>
      </c>
      <c r="D1208" t="s">
        <v>20</v>
      </c>
      <c r="E1208" t="s">
        <v>146</v>
      </c>
      <c r="F1208" t="s">
        <v>147</v>
      </c>
      <c r="G1208" t="s">
        <v>148</v>
      </c>
      <c r="H1208" t="s">
        <v>149</v>
      </c>
      <c r="I1208">
        <v>196000</v>
      </c>
      <c r="J1208">
        <v>6100</v>
      </c>
      <c r="K1208">
        <v>6100</v>
      </c>
      <c r="L1208" t="s">
        <v>25</v>
      </c>
      <c r="M1208" t="s">
        <v>744</v>
      </c>
      <c r="N1208">
        <v>22.23</v>
      </c>
      <c r="O1208">
        <v>135603</v>
      </c>
      <c r="P1208" t="str">
        <f>IF(T[[#This Row],[qty_ordered]]&lt;&gt;T[[#This Row],[qty_received]],IF(T[[#This Row],[qty_received]]&gt;0,"Partial Received","Not Receviced"),"FullyReceived")</f>
        <v>Partial Received</v>
      </c>
      <c r="Q1208" t="str">
        <f>IF(T[[#This Row],[qty_received]]&lt;&gt;T[[#This Row],[qty_invoiced]],IF(T[[#This Row],[qty_invoiced]]&gt;0,"Partial Invoiced","Not Invoiced"),"Fully Invoiced")</f>
        <v>Fully Invoiced</v>
      </c>
      <c r="R1208" t="str">
        <f>IFERROR(VLOOKUP(T[[#This Row],[warehouse]],Table2[],2,FALSE),"--")</f>
        <v>Khtoum Main Warehouse</v>
      </c>
    </row>
    <row r="1209" spans="1:18" x14ac:dyDescent="0.25">
      <c r="A1209" t="s">
        <v>144</v>
      </c>
      <c r="B1209" s="1">
        <v>44178</v>
      </c>
      <c r="C1209" t="s">
        <v>1058</v>
      </c>
      <c r="D1209" t="s">
        <v>71</v>
      </c>
      <c r="E1209" t="s">
        <v>146</v>
      </c>
      <c r="F1209" t="s">
        <v>151</v>
      </c>
      <c r="G1209" t="s">
        <v>152</v>
      </c>
      <c r="H1209" t="s">
        <v>149</v>
      </c>
      <c r="I1209">
        <v>120000</v>
      </c>
      <c r="J1209">
        <v>83500</v>
      </c>
      <c r="K1209">
        <v>83500</v>
      </c>
      <c r="L1209" t="s">
        <v>25</v>
      </c>
      <c r="M1209" t="s">
        <v>744</v>
      </c>
      <c r="N1209">
        <v>22.32</v>
      </c>
      <c r="O1209">
        <v>1854675</v>
      </c>
      <c r="P1209" t="str">
        <f>IF(T[[#This Row],[qty_ordered]]&lt;&gt;T[[#This Row],[qty_received]],IF(T[[#This Row],[qty_received]]&gt;0,"Partial Received","Not Receviced"),"FullyReceived")</f>
        <v>Partial Received</v>
      </c>
      <c r="Q1209" t="str">
        <f>IF(T[[#This Row],[qty_received]]&lt;&gt;T[[#This Row],[qty_invoiced]],IF(T[[#This Row],[qty_invoiced]]&gt;0,"Partial Invoiced","Not Invoiced"),"Fully Invoiced")</f>
        <v>Fully Invoiced</v>
      </c>
      <c r="R1209" t="str">
        <f>IFERROR(VLOOKUP(T[[#This Row],[warehouse]],Table2[],2,FALSE),"--")</f>
        <v>Khtoum Main Warehouse</v>
      </c>
    </row>
    <row r="1210" spans="1:18" x14ac:dyDescent="0.25">
      <c r="A1210" t="s">
        <v>1059</v>
      </c>
      <c r="B1210" s="1">
        <v>44180</v>
      </c>
      <c r="C1210" t="s">
        <v>1060</v>
      </c>
      <c r="D1210" t="s">
        <v>20</v>
      </c>
      <c r="E1210" t="s">
        <v>51</v>
      </c>
      <c r="F1210" t="s">
        <v>793</v>
      </c>
      <c r="G1210" t="s">
        <v>1061</v>
      </c>
      <c r="H1210" t="s">
        <v>54</v>
      </c>
      <c r="I1210">
        <v>288</v>
      </c>
      <c r="J1210">
        <v>0</v>
      </c>
      <c r="K1210">
        <v>1</v>
      </c>
      <c r="L1210" t="s">
        <v>25</v>
      </c>
      <c r="M1210" t="s">
        <v>533</v>
      </c>
      <c r="N1210">
        <v>150</v>
      </c>
      <c r="O1210">
        <v>0</v>
      </c>
      <c r="P1210" t="str">
        <f>IF(T[[#This Row],[qty_ordered]]&lt;&gt;T[[#This Row],[qty_received]],IF(T[[#This Row],[qty_received]]&gt;0,"Partial Received","Not Receviced"),"FullyReceived")</f>
        <v>Not Receviced</v>
      </c>
      <c r="Q1210" t="str">
        <f>IF(T[[#This Row],[qty_received]]&lt;&gt;T[[#This Row],[qty_invoiced]],IF(T[[#This Row],[qty_invoiced]]&gt;0,"Partial Invoiced","Not Invoiced"),"Fully Invoiced")</f>
        <v>Partial Invoiced</v>
      </c>
      <c r="R1210" t="str">
        <f>IFERROR(VLOOKUP(T[[#This Row],[warehouse]],Table2[],2,FALSE),"--")</f>
        <v>--</v>
      </c>
    </row>
    <row r="1211" spans="1:18" x14ac:dyDescent="0.25">
      <c r="A1211" t="s">
        <v>1059</v>
      </c>
      <c r="B1211" s="1">
        <v>44180</v>
      </c>
      <c r="C1211" t="s">
        <v>1060</v>
      </c>
      <c r="D1211" t="s">
        <v>71</v>
      </c>
      <c r="E1211" t="s">
        <v>51</v>
      </c>
      <c r="F1211" t="s">
        <v>793</v>
      </c>
      <c r="G1211" t="s">
        <v>1061</v>
      </c>
      <c r="H1211" t="s">
        <v>54</v>
      </c>
      <c r="I1211">
        <v>41</v>
      </c>
      <c r="J1211">
        <v>0</v>
      </c>
      <c r="K1211">
        <v>1</v>
      </c>
      <c r="L1211" t="s">
        <v>25</v>
      </c>
      <c r="M1211" t="s">
        <v>533</v>
      </c>
      <c r="N1211">
        <v>200</v>
      </c>
      <c r="O1211">
        <v>0</v>
      </c>
      <c r="P1211" t="str">
        <f>IF(T[[#This Row],[qty_ordered]]&lt;&gt;T[[#This Row],[qty_received]],IF(T[[#This Row],[qty_received]]&gt;0,"Partial Received","Not Receviced"),"FullyReceived")</f>
        <v>Not Receviced</v>
      </c>
      <c r="Q1211" t="str">
        <f>IF(T[[#This Row],[qty_received]]&lt;&gt;T[[#This Row],[qty_invoiced]],IF(T[[#This Row],[qty_invoiced]]&gt;0,"Partial Invoiced","Not Invoiced"),"Fully Invoiced")</f>
        <v>Partial Invoiced</v>
      </c>
      <c r="R1211" t="str">
        <f>IFERROR(VLOOKUP(T[[#This Row],[warehouse]],Table2[],2,FALSE),"--")</f>
        <v>--</v>
      </c>
    </row>
    <row r="1212" spans="1:18" x14ac:dyDescent="0.25">
      <c r="A1212" t="s">
        <v>1059</v>
      </c>
      <c r="B1212" s="1">
        <v>44180</v>
      </c>
      <c r="C1212" t="s">
        <v>1060</v>
      </c>
      <c r="D1212" t="s">
        <v>100</v>
      </c>
      <c r="E1212" t="s">
        <v>51</v>
      </c>
      <c r="F1212" t="s">
        <v>818</v>
      </c>
      <c r="G1212" t="s">
        <v>1062</v>
      </c>
      <c r="H1212" t="s">
        <v>54</v>
      </c>
      <c r="I1212">
        <v>10</v>
      </c>
      <c r="J1212">
        <v>0</v>
      </c>
      <c r="K1212">
        <v>1</v>
      </c>
      <c r="L1212" t="s">
        <v>25</v>
      </c>
      <c r="M1212" t="s">
        <v>533</v>
      </c>
      <c r="N1212">
        <v>50</v>
      </c>
      <c r="O1212">
        <v>0</v>
      </c>
      <c r="P1212" t="str">
        <f>IF(T[[#This Row],[qty_ordered]]&lt;&gt;T[[#This Row],[qty_received]],IF(T[[#This Row],[qty_received]]&gt;0,"Partial Received","Not Receviced"),"FullyReceived")</f>
        <v>Not Receviced</v>
      </c>
      <c r="Q1212" t="str">
        <f>IF(T[[#This Row],[qty_received]]&lt;&gt;T[[#This Row],[qty_invoiced]],IF(T[[#This Row],[qty_invoiced]]&gt;0,"Partial Invoiced","Not Invoiced"),"Fully Invoiced")</f>
        <v>Partial Invoiced</v>
      </c>
      <c r="R1212" t="str">
        <f>IFERROR(VLOOKUP(T[[#This Row],[warehouse]],Table2[],2,FALSE),"--")</f>
        <v>--</v>
      </c>
    </row>
    <row r="1213" spans="1:18" x14ac:dyDescent="0.25">
      <c r="A1213" t="s">
        <v>1059</v>
      </c>
      <c r="B1213" s="1">
        <v>44180</v>
      </c>
      <c r="C1213" t="s">
        <v>1060</v>
      </c>
      <c r="D1213" t="s">
        <v>88</v>
      </c>
      <c r="E1213" t="s">
        <v>51</v>
      </c>
      <c r="F1213" t="s">
        <v>254</v>
      </c>
      <c r="G1213" t="s">
        <v>255</v>
      </c>
      <c r="H1213" t="s">
        <v>54</v>
      </c>
      <c r="I1213">
        <v>1</v>
      </c>
      <c r="J1213">
        <v>0</v>
      </c>
      <c r="K1213">
        <v>1</v>
      </c>
      <c r="L1213" t="s">
        <v>25</v>
      </c>
      <c r="M1213" t="s">
        <v>533</v>
      </c>
      <c r="N1213">
        <v>30000</v>
      </c>
      <c r="O1213">
        <v>0</v>
      </c>
      <c r="P1213" t="str">
        <f>IF(T[[#This Row],[qty_ordered]]&lt;&gt;T[[#This Row],[qty_received]],IF(T[[#This Row],[qty_received]]&gt;0,"Partial Received","Not Receviced"),"FullyReceived")</f>
        <v>Not Receviced</v>
      </c>
      <c r="Q1213" t="str">
        <f>IF(T[[#This Row],[qty_received]]&lt;&gt;T[[#This Row],[qty_invoiced]],IF(T[[#This Row],[qty_invoiced]]&gt;0,"Partial Invoiced","Not Invoiced"),"Fully Invoiced")</f>
        <v>Partial Invoiced</v>
      </c>
      <c r="R1213" t="str">
        <f>IFERROR(VLOOKUP(T[[#This Row],[warehouse]],Table2[],2,FALSE),"--")</f>
        <v>--</v>
      </c>
    </row>
    <row r="1214" spans="1:18" x14ac:dyDescent="0.25">
      <c r="A1214" t="s">
        <v>1059</v>
      </c>
      <c r="B1214" s="1">
        <v>44180</v>
      </c>
      <c r="C1214" t="s">
        <v>1060</v>
      </c>
      <c r="D1214" t="s">
        <v>74</v>
      </c>
      <c r="E1214" t="s">
        <v>51</v>
      </c>
      <c r="F1214" t="s">
        <v>254</v>
      </c>
      <c r="G1214" t="s">
        <v>255</v>
      </c>
      <c r="H1214" t="s">
        <v>54</v>
      </c>
      <c r="I1214">
        <v>43320</v>
      </c>
      <c r="J1214">
        <v>0</v>
      </c>
      <c r="K1214">
        <v>1</v>
      </c>
      <c r="L1214" t="s">
        <v>25</v>
      </c>
      <c r="M1214" t="s">
        <v>533</v>
      </c>
      <c r="N1214">
        <v>8</v>
      </c>
      <c r="O1214">
        <v>0</v>
      </c>
      <c r="P1214" t="str">
        <f>IF(T[[#This Row],[qty_ordered]]&lt;&gt;T[[#This Row],[qty_received]],IF(T[[#This Row],[qty_received]]&gt;0,"Partial Received","Not Receviced"),"FullyReceived")</f>
        <v>Not Receviced</v>
      </c>
      <c r="Q1214" t="str">
        <f>IF(T[[#This Row],[qty_received]]&lt;&gt;T[[#This Row],[qty_invoiced]],IF(T[[#This Row],[qty_invoiced]]&gt;0,"Partial Invoiced","Not Invoiced"),"Fully Invoiced")</f>
        <v>Partial Invoiced</v>
      </c>
      <c r="R1214" t="str">
        <f>IFERROR(VLOOKUP(T[[#This Row],[warehouse]],Table2[],2,FALSE),"--")</f>
        <v>--</v>
      </c>
    </row>
    <row r="1215" spans="1:18" x14ac:dyDescent="0.25">
      <c r="A1215" t="s">
        <v>1059</v>
      </c>
      <c r="B1215" s="1">
        <v>44180</v>
      </c>
      <c r="C1215" t="s">
        <v>1060</v>
      </c>
      <c r="D1215" t="s">
        <v>76</v>
      </c>
      <c r="E1215" t="s">
        <v>51</v>
      </c>
      <c r="F1215" t="s">
        <v>267</v>
      </c>
      <c r="G1215" t="s">
        <v>267</v>
      </c>
      <c r="H1215" t="s">
        <v>54</v>
      </c>
      <c r="I1215">
        <v>178254</v>
      </c>
      <c r="J1215">
        <v>0</v>
      </c>
      <c r="K1215">
        <v>1</v>
      </c>
      <c r="L1215" t="s">
        <v>25</v>
      </c>
      <c r="M1215" t="s">
        <v>533</v>
      </c>
      <c r="N1215">
        <v>0.29999900000000002</v>
      </c>
      <c r="O1215">
        <v>0</v>
      </c>
      <c r="P1215" t="str">
        <f>IF(T[[#This Row],[qty_ordered]]&lt;&gt;T[[#This Row],[qty_received]],IF(T[[#This Row],[qty_received]]&gt;0,"Partial Received","Not Receviced"),"FullyReceived")</f>
        <v>Not Receviced</v>
      </c>
      <c r="Q1215" t="str">
        <f>IF(T[[#This Row],[qty_received]]&lt;&gt;T[[#This Row],[qty_invoiced]],IF(T[[#This Row],[qty_invoiced]]&gt;0,"Partial Invoiced","Not Invoiced"),"Fully Invoiced")</f>
        <v>Partial Invoiced</v>
      </c>
      <c r="R1215" t="str">
        <f>IFERROR(VLOOKUP(T[[#This Row],[warehouse]],Table2[],2,FALSE),"--")</f>
        <v>--</v>
      </c>
    </row>
    <row r="1216" spans="1:18" x14ac:dyDescent="0.25">
      <c r="A1216" t="s">
        <v>1059</v>
      </c>
      <c r="B1216" s="1">
        <v>44180</v>
      </c>
      <c r="C1216" t="s">
        <v>1060</v>
      </c>
      <c r="D1216" t="s">
        <v>212</v>
      </c>
      <c r="E1216" t="s">
        <v>51</v>
      </c>
      <c r="F1216" t="s">
        <v>390</v>
      </c>
      <c r="G1216" t="s">
        <v>390</v>
      </c>
      <c r="H1216" t="s">
        <v>54</v>
      </c>
      <c r="I1216">
        <v>155</v>
      </c>
      <c r="J1216">
        <v>0</v>
      </c>
      <c r="K1216">
        <v>1</v>
      </c>
      <c r="L1216" t="s">
        <v>25</v>
      </c>
      <c r="M1216" t="s">
        <v>533</v>
      </c>
      <c r="N1216">
        <v>38.71</v>
      </c>
      <c r="O1216">
        <v>0</v>
      </c>
      <c r="P1216" t="str">
        <f>IF(T[[#This Row],[qty_ordered]]&lt;&gt;T[[#This Row],[qty_received]],IF(T[[#This Row],[qty_received]]&gt;0,"Partial Received","Not Receviced"),"FullyReceived")</f>
        <v>Not Receviced</v>
      </c>
      <c r="Q1216" t="str">
        <f>IF(T[[#This Row],[qty_received]]&lt;&gt;T[[#This Row],[qty_invoiced]],IF(T[[#This Row],[qty_invoiced]]&gt;0,"Partial Invoiced","Not Invoiced"),"Fully Invoiced")</f>
        <v>Partial Invoiced</v>
      </c>
      <c r="R1216" t="str">
        <f>IFERROR(VLOOKUP(T[[#This Row],[warehouse]],Table2[],2,FALSE),"--")</f>
        <v>--</v>
      </c>
    </row>
    <row r="1217" spans="1:18" x14ac:dyDescent="0.25">
      <c r="A1217" t="s">
        <v>1059</v>
      </c>
      <c r="B1217" s="1">
        <v>44180</v>
      </c>
      <c r="C1217" t="s">
        <v>1060</v>
      </c>
      <c r="D1217" t="s">
        <v>322</v>
      </c>
      <c r="E1217" t="s">
        <v>51</v>
      </c>
      <c r="F1217" t="s">
        <v>254</v>
      </c>
      <c r="G1217" t="s">
        <v>255</v>
      </c>
      <c r="H1217" t="s">
        <v>54</v>
      </c>
      <c r="I1217">
        <v>155</v>
      </c>
      <c r="J1217">
        <v>0</v>
      </c>
      <c r="K1217">
        <v>1</v>
      </c>
      <c r="L1217" t="s">
        <v>25</v>
      </c>
      <c r="M1217" t="s">
        <v>533</v>
      </c>
      <c r="N1217">
        <v>52.258099999999999</v>
      </c>
      <c r="O1217">
        <v>0</v>
      </c>
      <c r="P1217" t="str">
        <f>IF(T[[#This Row],[qty_ordered]]&lt;&gt;T[[#This Row],[qty_received]],IF(T[[#This Row],[qty_received]]&gt;0,"Partial Received","Not Receviced"),"FullyReceived")</f>
        <v>Not Receviced</v>
      </c>
      <c r="Q1217" t="str">
        <f>IF(T[[#This Row],[qty_received]]&lt;&gt;T[[#This Row],[qty_invoiced]],IF(T[[#This Row],[qty_invoiced]]&gt;0,"Partial Invoiced","Not Invoiced"),"Fully Invoiced")</f>
        <v>Partial Invoiced</v>
      </c>
      <c r="R1217" t="str">
        <f>IFERROR(VLOOKUP(T[[#This Row],[warehouse]],Table2[],2,FALSE),"--")</f>
        <v>--</v>
      </c>
    </row>
    <row r="1218" spans="1:18" x14ac:dyDescent="0.25">
      <c r="A1218" t="s">
        <v>1059</v>
      </c>
      <c r="B1218" s="1">
        <v>44180</v>
      </c>
      <c r="C1218" t="s">
        <v>1060</v>
      </c>
      <c r="D1218" t="s">
        <v>323</v>
      </c>
      <c r="E1218" t="s">
        <v>51</v>
      </c>
      <c r="F1218" t="s">
        <v>254</v>
      </c>
      <c r="G1218" t="s">
        <v>255</v>
      </c>
      <c r="H1218" t="s">
        <v>54</v>
      </c>
      <c r="I1218">
        <v>116</v>
      </c>
      <c r="J1218">
        <v>0</v>
      </c>
      <c r="K1218">
        <v>1</v>
      </c>
      <c r="L1218" t="s">
        <v>25</v>
      </c>
      <c r="M1218" t="s">
        <v>533</v>
      </c>
      <c r="N1218">
        <v>50</v>
      </c>
      <c r="O1218">
        <v>0</v>
      </c>
      <c r="P1218" t="str">
        <f>IF(T[[#This Row],[qty_ordered]]&lt;&gt;T[[#This Row],[qty_received]],IF(T[[#This Row],[qty_received]]&gt;0,"Partial Received","Not Receviced"),"FullyReceived")</f>
        <v>Not Receviced</v>
      </c>
      <c r="Q1218" t="str">
        <f>IF(T[[#This Row],[qty_received]]&lt;&gt;T[[#This Row],[qty_invoiced]],IF(T[[#This Row],[qty_invoiced]]&gt;0,"Partial Invoiced","Not Invoiced"),"Fully Invoiced")</f>
        <v>Partial Invoiced</v>
      </c>
      <c r="R1218" t="str">
        <f>IFERROR(VLOOKUP(T[[#This Row],[warehouse]],Table2[],2,FALSE),"--")</f>
        <v>--</v>
      </c>
    </row>
    <row r="1219" spans="1:18" x14ac:dyDescent="0.25">
      <c r="A1219" t="s">
        <v>1059</v>
      </c>
      <c r="B1219" s="1">
        <v>44180</v>
      </c>
      <c r="C1219" t="s">
        <v>1060</v>
      </c>
      <c r="D1219" t="s">
        <v>324</v>
      </c>
      <c r="E1219" t="s">
        <v>51</v>
      </c>
      <c r="F1219" t="s">
        <v>278</v>
      </c>
      <c r="G1219" t="s">
        <v>279</v>
      </c>
      <c r="H1219" t="s">
        <v>54</v>
      </c>
      <c r="I1219">
        <v>29</v>
      </c>
      <c r="J1219">
        <v>0</v>
      </c>
      <c r="K1219">
        <v>1</v>
      </c>
      <c r="L1219" t="s">
        <v>25</v>
      </c>
      <c r="M1219" t="s">
        <v>533</v>
      </c>
      <c r="N1219">
        <v>60</v>
      </c>
      <c r="O1219">
        <v>0</v>
      </c>
      <c r="P1219" t="str">
        <f>IF(T[[#This Row],[qty_ordered]]&lt;&gt;T[[#This Row],[qty_received]],IF(T[[#This Row],[qty_received]]&gt;0,"Partial Received","Not Receviced"),"FullyReceived")</f>
        <v>Not Receviced</v>
      </c>
      <c r="Q1219" t="str">
        <f>IF(T[[#This Row],[qty_received]]&lt;&gt;T[[#This Row],[qty_invoiced]],IF(T[[#This Row],[qty_invoiced]]&gt;0,"Partial Invoiced","Not Invoiced"),"Fully Invoiced")</f>
        <v>Partial Invoiced</v>
      </c>
      <c r="R1219" t="str">
        <f>IFERROR(VLOOKUP(T[[#This Row],[warehouse]],Table2[],2,FALSE),"--")</f>
        <v>--</v>
      </c>
    </row>
    <row r="1220" spans="1:18" x14ac:dyDescent="0.25">
      <c r="A1220" t="s">
        <v>235</v>
      </c>
      <c r="B1220" s="1">
        <v>44160</v>
      </c>
      <c r="C1220" t="s">
        <v>1000</v>
      </c>
      <c r="D1220" t="s">
        <v>100</v>
      </c>
      <c r="E1220" t="s">
        <v>51</v>
      </c>
      <c r="F1220" t="s">
        <v>546</v>
      </c>
      <c r="G1220" t="s">
        <v>1063</v>
      </c>
      <c r="H1220" t="s">
        <v>54</v>
      </c>
      <c r="I1220">
        <v>10000</v>
      </c>
      <c r="J1220">
        <v>0</v>
      </c>
      <c r="K1220">
        <v>1</v>
      </c>
      <c r="L1220" t="s">
        <v>25</v>
      </c>
      <c r="M1220" t="s">
        <v>533</v>
      </c>
      <c r="N1220">
        <v>5</v>
      </c>
      <c r="O1220">
        <v>0</v>
      </c>
      <c r="P1220" t="str">
        <f>IF(T[[#This Row],[qty_ordered]]&lt;&gt;T[[#This Row],[qty_received]],IF(T[[#This Row],[qty_received]]&gt;0,"Partial Received","Not Receviced"),"FullyReceived")</f>
        <v>Not Receviced</v>
      </c>
      <c r="Q1220" t="str">
        <f>IF(T[[#This Row],[qty_received]]&lt;&gt;T[[#This Row],[qty_invoiced]],IF(T[[#This Row],[qty_invoiced]]&gt;0,"Partial Invoiced","Not Invoiced"),"Fully Invoiced")</f>
        <v>Partial Invoiced</v>
      </c>
      <c r="R1220" t="str">
        <f>IFERROR(VLOOKUP(T[[#This Row],[warehouse]],Table2[],2,FALSE),"--")</f>
        <v>--</v>
      </c>
    </row>
    <row r="1221" spans="1:18" x14ac:dyDescent="0.25">
      <c r="A1221" t="s">
        <v>235</v>
      </c>
      <c r="B1221" s="1">
        <v>44186</v>
      </c>
      <c r="C1221" t="s">
        <v>1064</v>
      </c>
      <c r="D1221" t="s">
        <v>20</v>
      </c>
      <c r="E1221" t="s">
        <v>51</v>
      </c>
      <c r="F1221" t="s">
        <v>546</v>
      </c>
      <c r="G1221" t="s">
        <v>1065</v>
      </c>
      <c r="H1221" t="s">
        <v>54</v>
      </c>
      <c r="I1221">
        <v>20000</v>
      </c>
      <c r="J1221">
        <v>0</v>
      </c>
      <c r="K1221">
        <v>1</v>
      </c>
      <c r="L1221" t="s">
        <v>25</v>
      </c>
      <c r="M1221" t="s">
        <v>533</v>
      </c>
      <c r="N1221">
        <v>6.2</v>
      </c>
      <c r="O1221">
        <v>0</v>
      </c>
      <c r="P1221" t="str">
        <f>IF(T[[#This Row],[qty_ordered]]&lt;&gt;T[[#This Row],[qty_received]],IF(T[[#This Row],[qty_received]]&gt;0,"Partial Received","Not Receviced"),"FullyReceived")</f>
        <v>Not Receviced</v>
      </c>
      <c r="Q1221" t="str">
        <f>IF(T[[#This Row],[qty_received]]&lt;&gt;T[[#This Row],[qty_invoiced]],IF(T[[#This Row],[qty_invoiced]]&gt;0,"Partial Invoiced","Not Invoiced"),"Fully Invoiced")</f>
        <v>Partial Invoiced</v>
      </c>
      <c r="R1221" t="str">
        <f>IFERROR(VLOOKUP(T[[#This Row],[warehouse]],Table2[],2,FALSE),"--")</f>
        <v>--</v>
      </c>
    </row>
    <row r="1222" spans="1:18" x14ac:dyDescent="0.25">
      <c r="A1222" t="s">
        <v>1066</v>
      </c>
      <c r="B1222" s="1">
        <v>44187</v>
      </c>
      <c r="C1222" t="s">
        <v>1067</v>
      </c>
      <c r="D1222" t="s">
        <v>20</v>
      </c>
      <c r="E1222" t="s">
        <v>66</v>
      </c>
      <c r="F1222" t="s">
        <v>244</v>
      </c>
      <c r="G1222" t="s">
        <v>245</v>
      </c>
      <c r="H1222" t="s">
        <v>24</v>
      </c>
      <c r="I1222">
        <v>309</v>
      </c>
      <c r="J1222">
        <v>308.89999999999998</v>
      </c>
      <c r="K1222">
        <v>308.89999999999998</v>
      </c>
      <c r="L1222" t="s">
        <v>25</v>
      </c>
      <c r="M1222" t="s">
        <v>707</v>
      </c>
      <c r="N1222">
        <v>316000</v>
      </c>
      <c r="O1222">
        <v>97612400</v>
      </c>
      <c r="P1222" t="str">
        <f>IF(T[[#This Row],[qty_ordered]]&lt;&gt;T[[#This Row],[qty_received]],IF(T[[#This Row],[qty_received]]&gt;0,"Partial Received","Not Receviced"),"FullyReceived")</f>
        <v>Partial Received</v>
      </c>
      <c r="Q1222" t="str">
        <f>IF(T[[#This Row],[qty_received]]&lt;&gt;T[[#This Row],[qty_invoiced]],IF(T[[#This Row],[qty_invoiced]]&gt;0,"Partial Invoiced","Not Invoiced"),"Fully Invoiced")</f>
        <v>Fully Invoiced</v>
      </c>
      <c r="R1222" t="str">
        <f>IFERROR(VLOOKUP(T[[#This Row],[warehouse]],Table2[],2,FALSE),"--")</f>
        <v>PZU Main Warehouse</v>
      </c>
    </row>
    <row r="1223" spans="1:18" x14ac:dyDescent="0.25">
      <c r="A1223" t="s">
        <v>642</v>
      </c>
      <c r="B1223" s="1">
        <v>44186</v>
      </c>
      <c r="C1223" t="s">
        <v>1032</v>
      </c>
      <c r="D1223" t="s">
        <v>71</v>
      </c>
      <c r="E1223" t="s">
        <v>51</v>
      </c>
      <c r="F1223" t="s">
        <v>753</v>
      </c>
      <c r="G1223" t="s">
        <v>51</v>
      </c>
      <c r="H1223" t="s">
        <v>54</v>
      </c>
      <c r="I1223">
        <v>20000</v>
      </c>
      <c r="J1223">
        <v>0</v>
      </c>
      <c r="K1223">
        <v>1</v>
      </c>
      <c r="L1223" t="s">
        <v>25</v>
      </c>
      <c r="M1223" t="s">
        <v>533</v>
      </c>
      <c r="N1223">
        <v>1360</v>
      </c>
      <c r="O1223">
        <v>0</v>
      </c>
      <c r="P1223" t="str">
        <f>IF(T[[#This Row],[qty_ordered]]&lt;&gt;T[[#This Row],[qty_received]],IF(T[[#This Row],[qty_received]]&gt;0,"Partial Received","Not Receviced"),"FullyReceived")</f>
        <v>Not Receviced</v>
      </c>
      <c r="Q1223" t="str">
        <f>IF(T[[#This Row],[qty_received]]&lt;&gt;T[[#This Row],[qty_invoiced]],IF(T[[#This Row],[qty_invoiced]]&gt;0,"Partial Invoiced","Not Invoiced"),"Fully Invoiced")</f>
        <v>Partial Invoiced</v>
      </c>
      <c r="R1223" t="str">
        <f>IFERROR(VLOOKUP(T[[#This Row],[warehouse]],Table2[],2,FALSE),"--")</f>
        <v>--</v>
      </c>
    </row>
    <row r="1224" spans="1:18" x14ac:dyDescent="0.25">
      <c r="A1224" t="s">
        <v>959</v>
      </c>
      <c r="B1224" s="1">
        <v>44138</v>
      </c>
      <c r="C1224" t="s">
        <v>960</v>
      </c>
      <c r="D1224" t="s">
        <v>100</v>
      </c>
      <c r="E1224" t="s">
        <v>214</v>
      </c>
      <c r="F1224" t="s">
        <v>167</v>
      </c>
      <c r="G1224" t="s">
        <v>156</v>
      </c>
      <c r="H1224" t="s">
        <v>24</v>
      </c>
      <c r="I1224">
        <v>603.41</v>
      </c>
      <c r="J1224">
        <v>603.41</v>
      </c>
      <c r="K1224">
        <v>603.41</v>
      </c>
      <c r="L1224" t="s">
        <v>25</v>
      </c>
      <c r="M1224" t="s">
        <v>132</v>
      </c>
      <c r="N1224">
        <v>500000</v>
      </c>
      <c r="O1224">
        <v>301705000</v>
      </c>
      <c r="P1224" t="str">
        <f>IF(T[[#This Row],[qty_ordered]]&lt;&gt;T[[#This Row],[qty_received]],IF(T[[#This Row],[qty_received]]&gt;0,"Partial Received","Not Receviced"),"FullyReceived")</f>
        <v>FullyReceived</v>
      </c>
      <c r="Q1224" t="str">
        <f>IF(T[[#This Row],[qty_received]]&lt;&gt;T[[#This Row],[qty_invoiced]],IF(T[[#This Row],[qty_invoiced]]&gt;0,"Partial Invoiced","Not Invoiced"),"Fully Invoiced")</f>
        <v>Fully Invoiced</v>
      </c>
      <c r="R1224" t="str">
        <f>IFERROR(VLOOKUP(T[[#This Row],[warehouse]],Table2[],2,FALSE),"--")</f>
        <v>CRUSHER ELBALOLA</v>
      </c>
    </row>
    <row r="1225" spans="1:18" x14ac:dyDescent="0.25">
      <c r="A1225" t="s">
        <v>795</v>
      </c>
      <c r="B1225" s="1">
        <v>44160</v>
      </c>
      <c r="C1225" t="s">
        <v>1008</v>
      </c>
      <c r="D1225" t="s">
        <v>71</v>
      </c>
      <c r="E1225" t="s">
        <v>629</v>
      </c>
      <c r="F1225" t="s">
        <v>287</v>
      </c>
      <c r="G1225" t="s">
        <v>288</v>
      </c>
      <c r="H1225" t="s">
        <v>24</v>
      </c>
      <c r="I1225">
        <v>6287.9</v>
      </c>
      <c r="J1225">
        <v>6287.9</v>
      </c>
      <c r="K1225">
        <v>6287.9</v>
      </c>
      <c r="L1225" t="s">
        <v>25</v>
      </c>
      <c r="M1225" t="s">
        <v>132</v>
      </c>
      <c r="N1225">
        <v>355000</v>
      </c>
      <c r="O1225">
        <v>1899893880</v>
      </c>
      <c r="P1225" t="str">
        <f>IF(T[[#This Row],[qty_ordered]]&lt;&gt;T[[#This Row],[qty_received]],IF(T[[#This Row],[qty_received]]&gt;0,"Partial Received","Not Receviced"),"FullyReceived")</f>
        <v>FullyReceived</v>
      </c>
      <c r="Q1225" t="str">
        <f>IF(T[[#This Row],[qty_received]]&lt;&gt;T[[#This Row],[qty_invoiced]],IF(T[[#This Row],[qty_invoiced]]&gt;0,"Partial Invoiced","Not Invoiced"),"Fully Invoiced")</f>
        <v>Fully Invoiced</v>
      </c>
      <c r="R1225" t="str">
        <f>IFERROR(VLOOKUP(T[[#This Row],[warehouse]],Table2[],2,FALSE),"--")</f>
        <v>SOPC Sifting &amp; Sorting</v>
      </c>
    </row>
    <row r="1226" spans="1:18" x14ac:dyDescent="0.25">
      <c r="A1226" t="s">
        <v>658</v>
      </c>
      <c r="B1226" s="1">
        <v>44192</v>
      </c>
      <c r="C1226" t="s">
        <v>1068</v>
      </c>
      <c r="D1226" t="s">
        <v>20</v>
      </c>
      <c r="E1226" t="s">
        <v>660</v>
      </c>
      <c r="F1226" t="s">
        <v>661</v>
      </c>
      <c r="G1226" t="s">
        <v>662</v>
      </c>
      <c r="H1226" t="s">
        <v>663</v>
      </c>
      <c r="I1226">
        <v>393</v>
      </c>
      <c r="J1226">
        <v>393</v>
      </c>
      <c r="K1226">
        <v>393</v>
      </c>
      <c r="L1226" t="s">
        <v>25</v>
      </c>
      <c r="M1226" t="s">
        <v>132</v>
      </c>
      <c r="N1226">
        <v>670</v>
      </c>
      <c r="O1226">
        <v>263310</v>
      </c>
      <c r="P1226" t="str">
        <f>IF(T[[#This Row],[qty_ordered]]&lt;&gt;T[[#This Row],[qty_received]],IF(T[[#This Row],[qty_received]]&gt;0,"Partial Received","Not Receviced"),"FullyReceived")</f>
        <v>FullyReceived</v>
      </c>
      <c r="Q1226" t="str">
        <f>IF(T[[#This Row],[qty_received]]&lt;&gt;T[[#This Row],[qty_invoiced]],IF(T[[#This Row],[qty_invoiced]]&gt;0,"Partial Invoiced","Not Invoiced"),"Fully Invoiced")</f>
        <v>Fully Invoiced</v>
      </c>
      <c r="R1226" t="str">
        <f>IFERROR(VLOOKUP(T[[#This Row],[warehouse]],Table2[],2,FALSE),"--")</f>
        <v>SLAUGHTER HOUSE</v>
      </c>
    </row>
    <row r="1227" spans="1:18" x14ac:dyDescent="0.25">
      <c r="A1227" t="s">
        <v>739</v>
      </c>
      <c r="B1227" s="1">
        <v>44186</v>
      </c>
      <c r="C1227" t="s">
        <v>1069</v>
      </c>
      <c r="D1227" t="s">
        <v>71</v>
      </c>
      <c r="E1227" t="s">
        <v>660</v>
      </c>
      <c r="F1227" t="s">
        <v>705</v>
      </c>
      <c r="G1227" t="s">
        <v>706</v>
      </c>
      <c r="H1227" t="s">
        <v>663</v>
      </c>
      <c r="I1227">
        <v>3004.5</v>
      </c>
      <c r="J1227">
        <v>3004.5</v>
      </c>
      <c r="K1227">
        <v>3004.5</v>
      </c>
      <c r="L1227" t="s">
        <v>25</v>
      </c>
      <c r="M1227" t="s">
        <v>132</v>
      </c>
      <c r="N1227">
        <v>850</v>
      </c>
      <c r="O1227">
        <v>2553825</v>
      </c>
      <c r="P1227" t="str">
        <f>IF(T[[#This Row],[qty_ordered]]&lt;&gt;T[[#This Row],[qty_received]],IF(T[[#This Row],[qty_received]]&gt;0,"Partial Received","Not Receviced"),"FullyReceived")</f>
        <v>FullyReceived</v>
      </c>
      <c r="Q1227" t="str">
        <f>IF(T[[#This Row],[qty_received]]&lt;&gt;T[[#This Row],[qty_invoiced]],IF(T[[#This Row],[qty_invoiced]]&gt;0,"Partial Invoiced","Not Invoiced"),"Fully Invoiced")</f>
        <v>Fully Invoiced</v>
      </c>
      <c r="R1227" t="str">
        <f>IFERROR(VLOOKUP(T[[#This Row],[warehouse]],Table2[],2,FALSE),"--")</f>
        <v>SLAUGHTER HOUSE</v>
      </c>
    </row>
    <row r="1228" spans="1:18" x14ac:dyDescent="0.25">
      <c r="A1228" t="s">
        <v>658</v>
      </c>
      <c r="B1228" s="1">
        <v>44186</v>
      </c>
      <c r="C1228" t="s">
        <v>1070</v>
      </c>
      <c r="D1228" t="s">
        <v>71</v>
      </c>
      <c r="E1228" t="s">
        <v>660</v>
      </c>
      <c r="F1228" t="s">
        <v>661</v>
      </c>
      <c r="G1228" t="s">
        <v>662</v>
      </c>
      <c r="H1228" t="s">
        <v>663</v>
      </c>
      <c r="I1228">
        <v>2000.7</v>
      </c>
      <c r="J1228">
        <v>2000.7</v>
      </c>
      <c r="K1228">
        <v>2000.7</v>
      </c>
      <c r="L1228" t="s">
        <v>25</v>
      </c>
      <c r="M1228" t="s">
        <v>132</v>
      </c>
      <c r="N1228">
        <v>650</v>
      </c>
      <c r="O1228">
        <v>1300455</v>
      </c>
      <c r="P1228" t="str">
        <f>IF(T[[#This Row],[qty_ordered]]&lt;&gt;T[[#This Row],[qty_received]],IF(T[[#This Row],[qty_received]]&gt;0,"Partial Received","Not Receviced"),"FullyReceived")</f>
        <v>FullyReceived</v>
      </c>
      <c r="Q1228" t="str">
        <f>IF(T[[#This Row],[qty_received]]&lt;&gt;T[[#This Row],[qty_invoiced]],IF(T[[#This Row],[qty_invoiced]]&gt;0,"Partial Invoiced","Not Invoiced"),"Fully Invoiced")</f>
        <v>Fully Invoiced</v>
      </c>
      <c r="R1228" t="str">
        <f>IFERROR(VLOOKUP(T[[#This Row],[warehouse]],Table2[],2,FALSE),"--")</f>
        <v>SLAUGHTER HOUSE</v>
      </c>
    </row>
    <row r="1229" spans="1:18" x14ac:dyDescent="0.25">
      <c r="A1229" t="s">
        <v>618</v>
      </c>
      <c r="B1229" s="1">
        <v>44193</v>
      </c>
      <c r="C1229" t="s">
        <v>1071</v>
      </c>
      <c r="D1229" t="s">
        <v>20</v>
      </c>
      <c r="E1229" t="s">
        <v>957</v>
      </c>
      <c r="F1229" t="s">
        <v>486</v>
      </c>
      <c r="G1229" t="s">
        <v>487</v>
      </c>
      <c r="H1229" t="s">
        <v>24</v>
      </c>
      <c r="I1229">
        <v>2483.86</v>
      </c>
      <c r="J1229">
        <v>2483.86</v>
      </c>
      <c r="K1229">
        <v>2483.86</v>
      </c>
      <c r="L1229" t="s">
        <v>25</v>
      </c>
      <c r="M1229" t="s">
        <v>132</v>
      </c>
      <c r="N1229">
        <v>260000</v>
      </c>
      <c r="O1229">
        <v>645803600</v>
      </c>
      <c r="P1229" t="str">
        <f>IF(T[[#This Row],[qty_ordered]]&lt;&gt;T[[#This Row],[qty_received]],IF(T[[#This Row],[qty_received]]&gt;0,"Partial Received","Not Receviced"),"FullyReceived")</f>
        <v>FullyReceived</v>
      </c>
      <c r="Q1229" t="str">
        <f>IF(T[[#This Row],[qty_received]]&lt;&gt;T[[#This Row],[qty_invoiced]],IF(T[[#This Row],[qty_invoiced]]&gt;0,"Partial Invoiced","Not Invoiced"),"Fully Invoiced")</f>
        <v>Fully Invoiced</v>
      </c>
      <c r="R1229" t="str">
        <f>IFERROR(VLOOKUP(T[[#This Row],[warehouse]],Table2[],2,FALSE),"--")</f>
        <v>SEEDS SIFTING FACILITY</v>
      </c>
    </row>
    <row r="1230" spans="1:18" x14ac:dyDescent="0.25">
      <c r="A1230" t="s">
        <v>955</v>
      </c>
      <c r="B1230" s="1">
        <v>44151</v>
      </c>
      <c r="C1230" t="s">
        <v>1006</v>
      </c>
      <c r="D1230" t="s">
        <v>100</v>
      </c>
      <c r="E1230" t="s">
        <v>66</v>
      </c>
      <c r="F1230" t="s">
        <v>108</v>
      </c>
      <c r="G1230" t="s">
        <v>109</v>
      </c>
      <c r="H1230" t="s">
        <v>24</v>
      </c>
      <c r="I1230">
        <v>1150</v>
      </c>
      <c r="J1230">
        <v>0</v>
      </c>
      <c r="K1230">
        <v>0</v>
      </c>
      <c r="L1230" t="s">
        <v>25</v>
      </c>
      <c r="M1230" t="s">
        <v>132</v>
      </c>
      <c r="N1230">
        <v>285217.39130000002</v>
      </c>
      <c r="O1230">
        <v>0</v>
      </c>
      <c r="P1230" t="str">
        <f>IF(T[[#This Row],[qty_ordered]]&lt;&gt;T[[#This Row],[qty_received]],IF(T[[#This Row],[qty_received]]&gt;0,"Partial Received","Not Receviced"),"FullyReceived")</f>
        <v>Not Receviced</v>
      </c>
      <c r="Q1230" t="str">
        <f>IF(T[[#This Row],[qty_received]]&lt;&gt;T[[#This Row],[qty_invoiced]],IF(T[[#This Row],[qty_invoiced]]&gt;0,"Partial Invoiced","Not Invoiced"),"Fully Invoiced")</f>
        <v>Fully Invoiced</v>
      </c>
      <c r="R1230" t="str">
        <f>IFERROR(VLOOKUP(T[[#This Row],[warehouse]],Table2[],2,FALSE),"--")</f>
        <v>PZU Main Warehouse</v>
      </c>
    </row>
    <row r="1231" spans="1:18" x14ac:dyDescent="0.25">
      <c r="A1231" t="s">
        <v>542</v>
      </c>
      <c r="B1231" s="1">
        <v>44199</v>
      </c>
      <c r="C1231" t="s">
        <v>1072</v>
      </c>
      <c r="D1231" t="s">
        <v>20</v>
      </c>
      <c r="E1231" t="s">
        <v>51</v>
      </c>
      <c r="F1231" t="s">
        <v>1073</v>
      </c>
      <c r="G1231" t="s">
        <v>1073</v>
      </c>
      <c r="H1231" t="s">
        <v>54</v>
      </c>
      <c r="I1231">
        <v>1</v>
      </c>
      <c r="J1231">
        <v>0</v>
      </c>
      <c r="K1231">
        <v>1</v>
      </c>
      <c r="L1231" t="s">
        <v>25</v>
      </c>
      <c r="M1231" t="s">
        <v>533</v>
      </c>
      <c r="N1231">
        <v>8250</v>
      </c>
      <c r="O1231">
        <v>0</v>
      </c>
      <c r="P1231" t="str">
        <f>IF(T[[#This Row],[qty_ordered]]&lt;&gt;T[[#This Row],[qty_received]],IF(T[[#This Row],[qty_received]]&gt;0,"Partial Received","Not Receviced"),"FullyReceived")</f>
        <v>Not Receviced</v>
      </c>
      <c r="Q1231" t="str">
        <f>IF(T[[#This Row],[qty_received]]&lt;&gt;T[[#This Row],[qty_invoiced]],IF(T[[#This Row],[qty_invoiced]]&gt;0,"Partial Invoiced","Not Invoiced"),"Fully Invoiced")</f>
        <v>Partial Invoiced</v>
      </c>
      <c r="R1231" t="str">
        <f>IFERROR(VLOOKUP(T[[#This Row],[warehouse]],Table2[],2,FALSE),"--")</f>
        <v>--</v>
      </c>
    </row>
    <row r="1232" spans="1:18" x14ac:dyDescent="0.25">
      <c r="A1232" t="s">
        <v>735</v>
      </c>
      <c r="B1232" s="1">
        <v>44199</v>
      </c>
      <c r="C1232" t="s">
        <v>1074</v>
      </c>
      <c r="D1232" t="s">
        <v>20</v>
      </c>
      <c r="E1232" t="s">
        <v>51</v>
      </c>
      <c r="F1232" t="s">
        <v>183</v>
      </c>
      <c r="G1232" t="s">
        <v>1075</v>
      </c>
      <c r="H1232" t="s">
        <v>54</v>
      </c>
      <c r="I1232">
        <v>3000</v>
      </c>
      <c r="J1232">
        <v>0</v>
      </c>
      <c r="K1232">
        <v>1</v>
      </c>
      <c r="L1232" t="s">
        <v>25</v>
      </c>
      <c r="M1232" t="s">
        <v>533</v>
      </c>
      <c r="N1232">
        <v>2400</v>
      </c>
      <c r="O1232">
        <v>0</v>
      </c>
      <c r="P1232" t="str">
        <f>IF(T[[#This Row],[qty_ordered]]&lt;&gt;T[[#This Row],[qty_received]],IF(T[[#This Row],[qty_received]]&gt;0,"Partial Received","Not Receviced"),"FullyReceived")</f>
        <v>Not Receviced</v>
      </c>
      <c r="Q1232" t="str">
        <f>IF(T[[#This Row],[qty_received]]&lt;&gt;T[[#This Row],[qty_invoiced]],IF(T[[#This Row],[qty_invoiced]]&gt;0,"Partial Invoiced","Not Invoiced"),"Fully Invoiced")</f>
        <v>Partial Invoiced</v>
      </c>
      <c r="R1232" t="str">
        <f>IFERROR(VLOOKUP(T[[#This Row],[warehouse]],Table2[],2,FALSE),"--")</f>
        <v>--</v>
      </c>
    </row>
    <row r="1233" spans="1:18" x14ac:dyDescent="0.25">
      <c r="A1233" t="s">
        <v>144</v>
      </c>
      <c r="B1233" s="1">
        <v>44199</v>
      </c>
      <c r="C1233" t="s">
        <v>1076</v>
      </c>
      <c r="D1233" t="s">
        <v>20</v>
      </c>
      <c r="E1233" t="s">
        <v>146</v>
      </c>
      <c r="F1233" t="s">
        <v>147</v>
      </c>
      <c r="G1233" t="s">
        <v>148</v>
      </c>
      <c r="H1233" t="s">
        <v>149</v>
      </c>
      <c r="I1233">
        <v>46460</v>
      </c>
      <c r="J1233">
        <v>46460</v>
      </c>
      <c r="K1233">
        <v>46460</v>
      </c>
      <c r="L1233" t="s">
        <v>25</v>
      </c>
      <c r="M1233" t="s">
        <v>744</v>
      </c>
      <c r="N1233">
        <v>7299.6</v>
      </c>
      <c r="O1233">
        <v>1205637</v>
      </c>
      <c r="P1233" t="str">
        <f>IF(T[[#This Row],[qty_ordered]]&lt;&gt;T[[#This Row],[qty_received]],IF(T[[#This Row],[qty_received]]&gt;0,"Partial Received","Not Receviced"),"FullyReceived")</f>
        <v>FullyReceived</v>
      </c>
      <c r="Q1233" t="str">
        <f>IF(T[[#This Row],[qty_received]]&lt;&gt;T[[#This Row],[qty_invoiced]],IF(T[[#This Row],[qty_invoiced]]&gt;0,"Partial Invoiced","Not Invoiced"),"Fully Invoiced")</f>
        <v>Fully Invoiced</v>
      </c>
      <c r="R1233" t="str">
        <f>IFERROR(VLOOKUP(T[[#This Row],[warehouse]],Table2[],2,FALSE),"--")</f>
        <v>Khtoum Main Warehouse</v>
      </c>
    </row>
    <row r="1234" spans="1:18" x14ac:dyDescent="0.25">
      <c r="A1234" t="s">
        <v>144</v>
      </c>
      <c r="B1234" s="1">
        <v>44199</v>
      </c>
      <c r="C1234" t="s">
        <v>1076</v>
      </c>
      <c r="D1234" t="s">
        <v>71</v>
      </c>
      <c r="E1234" t="s">
        <v>146</v>
      </c>
      <c r="F1234" t="s">
        <v>151</v>
      </c>
      <c r="G1234" t="s">
        <v>152</v>
      </c>
      <c r="H1234" t="s">
        <v>149</v>
      </c>
      <c r="I1234">
        <v>120000</v>
      </c>
      <c r="J1234">
        <v>42300</v>
      </c>
      <c r="K1234">
        <v>42300</v>
      </c>
      <c r="L1234" t="s">
        <v>25</v>
      </c>
      <c r="M1234" t="s">
        <v>744</v>
      </c>
      <c r="N1234">
        <v>28.44</v>
      </c>
      <c r="O1234">
        <v>1128312</v>
      </c>
      <c r="P1234" t="str">
        <f>IF(T[[#This Row],[qty_ordered]]&lt;&gt;T[[#This Row],[qty_received]],IF(T[[#This Row],[qty_received]]&gt;0,"Partial Received","Not Receviced"),"FullyReceived")</f>
        <v>Partial Received</v>
      </c>
      <c r="Q1234" t="str">
        <f>IF(T[[#This Row],[qty_received]]&lt;&gt;T[[#This Row],[qty_invoiced]],IF(T[[#This Row],[qty_invoiced]]&gt;0,"Partial Invoiced","Not Invoiced"),"Fully Invoiced")</f>
        <v>Fully Invoiced</v>
      </c>
      <c r="R1234" t="str">
        <f>IFERROR(VLOOKUP(T[[#This Row],[warehouse]],Table2[],2,FALSE),"--")</f>
        <v>Khtoum Main Warehouse</v>
      </c>
    </row>
    <row r="1235" spans="1:18" x14ac:dyDescent="0.25">
      <c r="A1235" t="s">
        <v>493</v>
      </c>
      <c r="B1235" s="1">
        <v>44200</v>
      </c>
      <c r="C1235" t="s">
        <v>1077</v>
      </c>
      <c r="D1235" t="s">
        <v>20</v>
      </c>
      <c r="E1235" t="s">
        <v>51</v>
      </c>
      <c r="F1235" t="s">
        <v>52</v>
      </c>
      <c r="G1235" t="s">
        <v>75</v>
      </c>
      <c r="H1235" t="s">
        <v>54</v>
      </c>
      <c r="I1235">
        <v>1</v>
      </c>
      <c r="J1235">
        <v>0</v>
      </c>
      <c r="K1235">
        <v>1</v>
      </c>
      <c r="L1235" t="s">
        <v>25</v>
      </c>
      <c r="M1235" t="s">
        <v>132</v>
      </c>
      <c r="N1235">
        <v>8167530</v>
      </c>
      <c r="O1235">
        <v>0</v>
      </c>
      <c r="P1235" t="str">
        <f>IF(T[[#This Row],[qty_ordered]]&lt;&gt;T[[#This Row],[qty_received]],IF(T[[#This Row],[qty_received]]&gt;0,"Partial Received","Not Receviced"),"FullyReceived")</f>
        <v>Not Receviced</v>
      </c>
      <c r="Q1235" t="str">
        <f>IF(T[[#This Row],[qty_received]]&lt;&gt;T[[#This Row],[qty_invoiced]],IF(T[[#This Row],[qty_invoiced]]&gt;0,"Partial Invoiced","Not Invoiced"),"Fully Invoiced")</f>
        <v>Partial Invoiced</v>
      </c>
      <c r="R1235" t="str">
        <f>IFERROR(VLOOKUP(T[[#This Row],[warehouse]],Table2[],2,FALSE),"--")</f>
        <v>--</v>
      </c>
    </row>
    <row r="1236" spans="1:18" x14ac:dyDescent="0.25">
      <c r="A1236" t="s">
        <v>739</v>
      </c>
      <c r="B1236" s="1">
        <v>44186</v>
      </c>
      <c r="C1236" t="s">
        <v>1069</v>
      </c>
      <c r="D1236" t="s">
        <v>100</v>
      </c>
      <c r="E1236" t="s">
        <v>660</v>
      </c>
      <c r="F1236" t="s">
        <v>705</v>
      </c>
      <c r="G1236" t="s">
        <v>706</v>
      </c>
      <c r="H1236" t="s">
        <v>663</v>
      </c>
      <c r="I1236">
        <v>3030.8</v>
      </c>
      <c r="J1236">
        <v>3030.8</v>
      </c>
      <c r="K1236">
        <v>3030.8</v>
      </c>
      <c r="L1236" t="s">
        <v>25</v>
      </c>
      <c r="M1236" t="s">
        <v>132</v>
      </c>
      <c r="N1236">
        <v>900</v>
      </c>
      <c r="O1236">
        <v>2727720</v>
      </c>
      <c r="P1236" t="str">
        <f>IF(T[[#This Row],[qty_ordered]]&lt;&gt;T[[#This Row],[qty_received]],IF(T[[#This Row],[qty_received]]&gt;0,"Partial Received","Not Receviced"),"FullyReceived")</f>
        <v>FullyReceived</v>
      </c>
      <c r="Q1236" t="str">
        <f>IF(T[[#This Row],[qty_received]]&lt;&gt;T[[#This Row],[qty_invoiced]],IF(T[[#This Row],[qty_invoiced]]&gt;0,"Partial Invoiced","Not Invoiced"),"Fully Invoiced")</f>
        <v>Fully Invoiced</v>
      </c>
      <c r="R1236" t="str">
        <f>IFERROR(VLOOKUP(T[[#This Row],[warehouse]],Table2[],2,FALSE),"--")</f>
        <v>SLAUGHTER HOUSE</v>
      </c>
    </row>
    <row r="1237" spans="1:18" x14ac:dyDescent="0.25">
      <c r="A1237" t="s">
        <v>658</v>
      </c>
      <c r="B1237" s="1">
        <v>44186</v>
      </c>
      <c r="C1237" t="s">
        <v>1070</v>
      </c>
      <c r="D1237" t="s">
        <v>100</v>
      </c>
      <c r="E1237" t="s">
        <v>660</v>
      </c>
      <c r="F1237" t="s">
        <v>661</v>
      </c>
      <c r="G1237" t="s">
        <v>662</v>
      </c>
      <c r="H1237" t="s">
        <v>663</v>
      </c>
      <c r="I1237">
        <v>2031.2</v>
      </c>
      <c r="J1237">
        <v>2031.2</v>
      </c>
      <c r="K1237">
        <v>2031.2</v>
      </c>
      <c r="L1237" t="s">
        <v>25</v>
      </c>
      <c r="M1237" t="s">
        <v>132</v>
      </c>
      <c r="N1237">
        <v>700</v>
      </c>
      <c r="O1237">
        <v>1421840</v>
      </c>
      <c r="P1237" t="str">
        <f>IF(T[[#This Row],[qty_ordered]]&lt;&gt;T[[#This Row],[qty_received]],IF(T[[#This Row],[qty_received]]&gt;0,"Partial Received","Not Receviced"),"FullyReceived")</f>
        <v>FullyReceived</v>
      </c>
      <c r="Q1237" t="str">
        <f>IF(T[[#This Row],[qty_received]]&lt;&gt;T[[#This Row],[qty_invoiced]],IF(T[[#This Row],[qty_invoiced]]&gt;0,"Partial Invoiced","Not Invoiced"),"Fully Invoiced")</f>
        <v>Fully Invoiced</v>
      </c>
      <c r="R1237" t="str">
        <f>IFERROR(VLOOKUP(T[[#This Row],[warehouse]],Table2[],2,FALSE),"--")</f>
        <v>SLAUGHTER HOUSE</v>
      </c>
    </row>
    <row r="1238" spans="1:18" x14ac:dyDescent="0.25">
      <c r="A1238" t="s">
        <v>560</v>
      </c>
      <c r="B1238" s="1">
        <v>44201</v>
      </c>
      <c r="C1238" t="s">
        <v>1078</v>
      </c>
      <c r="D1238" t="s">
        <v>20</v>
      </c>
      <c r="E1238" t="s">
        <v>51</v>
      </c>
      <c r="F1238" t="s">
        <v>164</v>
      </c>
      <c r="G1238" t="s">
        <v>1079</v>
      </c>
      <c r="H1238" t="s">
        <v>54</v>
      </c>
      <c r="I1238">
        <v>115</v>
      </c>
      <c r="J1238">
        <v>0</v>
      </c>
      <c r="K1238">
        <v>1</v>
      </c>
      <c r="L1238" t="s">
        <v>25</v>
      </c>
      <c r="M1238" t="s">
        <v>533</v>
      </c>
      <c r="N1238">
        <v>420</v>
      </c>
      <c r="O1238">
        <v>0</v>
      </c>
      <c r="P1238" t="str">
        <f>IF(T[[#This Row],[qty_ordered]]&lt;&gt;T[[#This Row],[qty_received]],IF(T[[#This Row],[qty_received]]&gt;0,"Partial Received","Not Receviced"),"FullyReceived")</f>
        <v>Not Receviced</v>
      </c>
      <c r="Q1238" t="str">
        <f>IF(T[[#This Row],[qty_received]]&lt;&gt;T[[#This Row],[qty_invoiced]],IF(T[[#This Row],[qty_invoiced]]&gt;0,"Partial Invoiced","Not Invoiced"),"Fully Invoiced")</f>
        <v>Partial Invoiced</v>
      </c>
      <c r="R1238" t="str">
        <f>IFERROR(VLOOKUP(T[[#This Row],[warehouse]],Table2[],2,FALSE),"--")</f>
        <v>--</v>
      </c>
    </row>
    <row r="1239" spans="1:18" x14ac:dyDescent="0.25">
      <c r="A1239" t="s">
        <v>560</v>
      </c>
      <c r="B1239" s="1">
        <v>44201</v>
      </c>
      <c r="C1239" t="s">
        <v>1078</v>
      </c>
      <c r="D1239" t="s">
        <v>71</v>
      </c>
      <c r="E1239" t="s">
        <v>51</v>
      </c>
      <c r="F1239" t="s">
        <v>164</v>
      </c>
      <c r="G1239" t="s">
        <v>1079</v>
      </c>
      <c r="H1239" t="s">
        <v>54</v>
      </c>
      <c r="I1239">
        <v>173</v>
      </c>
      <c r="J1239">
        <v>0</v>
      </c>
      <c r="K1239">
        <v>1</v>
      </c>
      <c r="L1239" t="s">
        <v>25</v>
      </c>
      <c r="M1239" t="s">
        <v>533</v>
      </c>
      <c r="N1239">
        <v>432.83237000000003</v>
      </c>
      <c r="O1239">
        <v>0</v>
      </c>
      <c r="P1239" t="str">
        <f>IF(T[[#This Row],[qty_ordered]]&lt;&gt;T[[#This Row],[qty_received]],IF(T[[#This Row],[qty_received]]&gt;0,"Partial Received","Not Receviced"),"FullyReceived")</f>
        <v>Not Receviced</v>
      </c>
      <c r="Q1239" t="str">
        <f>IF(T[[#This Row],[qty_received]]&lt;&gt;T[[#This Row],[qty_invoiced]],IF(T[[#This Row],[qty_invoiced]]&gt;0,"Partial Invoiced","Not Invoiced"),"Fully Invoiced")</f>
        <v>Partial Invoiced</v>
      </c>
      <c r="R1239" t="str">
        <f>IFERROR(VLOOKUP(T[[#This Row],[warehouse]],Table2[],2,FALSE),"--")</f>
        <v>--</v>
      </c>
    </row>
    <row r="1240" spans="1:18" x14ac:dyDescent="0.25">
      <c r="A1240" t="s">
        <v>560</v>
      </c>
      <c r="B1240" s="1">
        <v>44201</v>
      </c>
      <c r="C1240" t="s">
        <v>1078</v>
      </c>
      <c r="D1240" t="s">
        <v>100</v>
      </c>
      <c r="E1240" t="s">
        <v>51</v>
      </c>
      <c r="F1240" t="s">
        <v>164</v>
      </c>
      <c r="G1240" t="s">
        <v>1079</v>
      </c>
      <c r="H1240" t="s">
        <v>54</v>
      </c>
      <c r="I1240">
        <v>131</v>
      </c>
      <c r="J1240">
        <v>0</v>
      </c>
      <c r="K1240">
        <v>1</v>
      </c>
      <c r="L1240" t="s">
        <v>25</v>
      </c>
      <c r="M1240" t="s">
        <v>533</v>
      </c>
      <c r="N1240">
        <v>600</v>
      </c>
      <c r="O1240">
        <v>0</v>
      </c>
      <c r="P1240" t="str">
        <f>IF(T[[#This Row],[qty_ordered]]&lt;&gt;T[[#This Row],[qty_received]],IF(T[[#This Row],[qty_received]]&gt;0,"Partial Received","Not Receviced"),"FullyReceived")</f>
        <v>Not Receviced</v>
      </c>
      <c r="Q1240" t="str">
        <f>IF(T[[#This Row],[qty_received]]&lt;&gt;T[[#This Row],[qty_invoiced]],IF(T[[#This Row],[qty_invoiced]]&gt;0,"Partial Invoiced","Not Invoiced"),"Fully Invoiced")</f>
        <v>Partial Invoiced</v>
      </c>
      <c r="R1240" t="str">
        <f>IFERROR(VLOOKUP(T[[#This Row],[warehouse]],Table2[],2,FALSE),"--")</f>
        <v>--</v>
      </c>
    </row>
    <row r="1241" spans="1:18" x14ac:dyDescent="0.25">
      <c r="A1241" t="s">
        <v>560</v>
      </c>
      <c r="B1241" s="1">
        <v>44201</v>
      </c>
      <c r="C1241" t="s">
        <v>1078</v>
      </c>
      <c r="D1241" t="s">
        <v>88</v>
      </c>
      <c r="E1241" t="s">
        <v>51</v>
      </c>
      <c r="F1241" t="s">
        <v>164</v>
      </c>
      <c r="G1241" t="s">
        <v>1079</v>
      </c>
      <c r="H1241" t="s">
        <v>54</v>
      </c>
      <c r="I1241">
        <v>111</v>
      </c>
      <c r="J1241">
        <v>0</v>
      </c>
      <c r="K1241">
        <v>1</v>
      </c>
      <c r="L1241" t="s">
        <v>25</v>
      </c>
      <c r="M1241" t="s">
        <v>533</v>
      </c>
      <c r="N1241">
        <v>420</v>
      </c>
      <c r="O1241">
        <v>0</v>
      </c>
      <c r="P1241" t="str">
        <f>IF(T[[#This Row],[qty_ordered]]&lt;&gt;T[[#This Row],[qty_received]],IF(T[[#This Row],[qty_received]]&gt;0,"Partial Received","Not Receviced"),"FullyReceived")</f>
        <v>Not Receviced</v>
      </c>
      <c r="Q1241" t="str">
        <f>IF(T[[#This Row],[qty_received]]&lt;&gt;T[[#This Row],[qty_invoiced]],IF(T[[#This Row],[qty_invoiced]]&gt;0,"Partial Invoiced","Not Invoiced"),"Fully Invoiced")</f>
        <v>Partial Invoiced</v>
      </c>
      <c r="R1241" t="str">
        <f>IFERROR(VLOOKUP(T[[#This Row],[warehouse]],Table2[],2,FALSE),"--")</f>
        <v>--</v>
      </c>
    </row>
    <row r="1242" spans="1:18" x14ac:dyDescent="0.25">
      <c r="A1242" t="s">
        <v>560</v>
      </c>
      <c r="B1242" s="1">
        <v>44201</v>
      </c>
      <c r="C1242" t="s">
        <v>1078</v>
      </c>
      <c r="D1242" t="s">
        <v>74</v>
      </c>
      <c r="E1242" t="s">
        <v>51</v>
      </c>
      <c r="F1242" t="s">
        <v>164</v>
      </c>
      <c r="G1242" t="s">
        <v>1079</v>
      </c>
      <c r="H1242" t="s">
        <v>54</v>
      </c>
      <c r="I1242">
        <v>47</v>
      </c>
      <c r="J1242">
        <v>0</v>
      </c>
      <c r="K1242">
        <v>1</v>
      </c>
      <c r="L1242" t="s">
        <v>25</v>
      </c>
      <c r="M1242" t="s">
        <v>533</v>
      </c>
      <c r="N1242">
        <v>642.55319199999997</v>
      </c>
      <c r="O1242">
        <v>0</v>
      </c>
      <c r="P1242" t="str">
        <f>IF(T[[#This Row],[qty_ordered]]&lt;&gt;T[[#This Row],[qty_received]],IF(T[[#This Row],[qty_received]]&gt;0,"Partial Received","Not Receviced"),"FullyReceived")</f>
        <v>Not Receviced</v>
      </c>
      <c r="Q1242" t="str">
        <f>IF(T[[#This Row],[qty_received]]&lt;&gt;T[[#This Row],[qty_invoiced]],IF(T[[#This Row],[qty_invoiced]]&gt;0,"Partial Invoiced","Not Invoiced"),"Fully Invoiced")</f>
        <v>Partial Invoiced</v>
      </c>
      <c r="R1242" t="str">
        <f>IFERROR(VLOOKUP(T[[#This Row],[warehouse]],Table2[],2,FALSE),"--")</f>
        <v>--</v>
      </c>
    </row>
    <row r="1243" spans="1:18" x14ac:dyDescent="0.25">
      <c r="A1243" t="s">
        <v>560</v>
      </c>
      <c r="B1243" s="1">
        <v>44201</v>
      </c>
      <c r="C1243" t="s">
        <v>1078</v>
      </c>
      <c r="D1243" t="s">
        <v>76</v>
      </c>
      <c r="E1243" t="s">
        <v>51</v>
      </c>
      <c r="F1243" t="s">
        <v>164</v>
      </c>
      <c r="G1243" t="s">
        <v>1079</v>
      </c>
      <c r="H1243" t="s">
        <v>54</v>
      </c>
      <c r="I1243">
        <v>222</v>
      </c>
      <c r="J1243">
        <v>0</v>
      </c>
      <c r="K1243">
        <v>1</v>
      </c>
      <c r="L1243" t="s">
        <v>25</v>
      </c>
      <c r="M1243" t="s">
        <v>533</v>
      </c>
      <c r="N1243">
        <v>420</v>
      </c>
      <c r="O1243">
        <v>0</v>
      </c>
      <c r="P1243" t="str">
        <f>IF(T[[#This Row],[qty_ordered]]&lt;&gt;T[[#This Row],[qty_received]],IF(T[[#This Row],[qty_received]]&gt;0,"Partial Received","Not Receviced"),"FullyReceived")</f>
        <v>Not Receviced</v>
      </c>
      <c r="Q1243" t="str">
        <f>IF(T[[#This Row],[qty_received]]&lt;&gt;T[[#This Row],[qty_invoiced]],IF(T[[#This Row],[qty_invoiced]]&gt;0,"Partial Invoiced","Not Invoiced"),"Fully Invoiced")</f>
        <v>Partial Invoiced</v>
      </c>
      <c r="R1243" t="str">
        <f>IFERROR(VLOOKUP(T[[#This Row],[warehouse]],Table2[],2,FALSE),"--")</f>
        <v>--</v>
      </c>
    </row>
    <row r="1244" spans="1:18" x14ac:dyDescent="0.25">
      <c r="A1244" t="s">
        <v>235</v>
      </c>
      <c r="B1244" s="1">
        <v>43885</v>
      </c>
      <c r="C1244" t="s">
        <v>676</v>
      </c>
      <c r="D1244" t="s">
        <v>20</v>
      </c>
      <c r="E1244" t="s">
        <v>51</v>
      </c>
      <c r="F1244" t="s">
        <v>546</v>
      </c>
      <c r="G1244" t="s">
        <v>613</v>
      </c>
      <c r="H1244" t="s">
        <v>54</v>
      </c>
      <c r="I1244">
        <v>5000</v>
      </c>
      <c r="J1244">
        <v>0</v>
      </c>
      <c r="K1244">
        <v>1</v>
      </c>
      <c r="L1244" t="s">
        <v>25</v>
      </c>
      <c r="M1244" t="s">
        <v>359</v>
      </c>
      <c r="N1244">
        <v>2.85</v>
      </c>
      <c r="O1244">
        <v>0</v>
      </c>
      <c r="P1244" t="str">
        <f>IF(T[[#This Row],[qty_ordered]]&lt;&gt;T[[#This Row],[qty_received]],IF(T[[#This Row],[qty_received]]&gt;0,"Partial Received","Not Receviced"),"FullyReceived")</f>
        <v>Not Receviced</v>
      </c>
      <c r="Q1244" t="str">
        <f>IF(T[[#This Row],[qty_received]]&lt;&gt;T[[#This Row],[qty_invoiced]],IF(T[[#This Row],[qty_invoiced]]&gt;0,"Partial Invoiced","Not Invoiced"),"Fully Invoiced")</f>
        <v>Partial Invoiced</v>
      </c>
      <c r="R1244" t="str">
        <f>IFERROR(VLOOKUP(T[[#This Row],[warehouse]],Table2[],2,FALSE),"--")</f>
        <v>--</v>
      </c>
    </row>
    <row r="1245" spans="1:18" x14ac:dyDescent="0.25">
      <c r="A1245" t="s">
        <v>235</v>
      </c>
      <c r="B1245" s="1">
        <v>43849</v>
      </c>
      <c r="C1245" t="s">
        <v>672</v>
      </c>
      <c r="D1245" t="s">
        <v>71</v>
      </c>
      <c r="E1245" t="s">
        <v>51</v>
      </c>
      <c r="F1245" t="s">
        <v>546</v>
      </c>
      <c r="G1245" t="s">
        <v>613</v>
      </c>
      <c r="H1245" t="s">
        <v>54</v>
      </c>
      <c r="I1245">
        <v>10000</v>
      </c>
      <c r="J1245">
        <v>0</v>
      </c>
      <c r="K1245">
        <v>1</v>
      </c>
      <c r="L1245" t="s">
        <v>25</v>
      </c>
      <c r="M1245" t="s">
        <v>533</v>
      </c>
      <c r="N1245">
        <v>2.85</v>
      </c>
      <c r="O1245">
        <v>0</v>
      </c>
      <c r="P1245" t="str">
        <f>IF(T[[#This Row],[qty_ordered]]&lt;&gt;T[[#This Row],[qty_received]],IF(T[[#This Row],[qty_received]]&gt;0,"Partial Received","Not Receviced"),"FullyReceived")</f>
        <v>Not Receviced</v>
      </c>
      <c r="Q1245" t="str">
        <f>IF(T[[#This Row],[qty_received]]&lt;&gt;T[[#This Row],[qty_invoiced]],IF(T[[#This Row],[qty_invoiced]]&gt;0,"Partial Invoiced","Not Invoiced"),"Fully Invoiced")</f>
        <v>Partial Invoiced</v>
      </c>
      <c r="R1245" t="str">
        <f>IFERROR(VLOOKUP(T[[#This Row],[warehouse]],Table2[],2,FALSE),"--")</f>
        <v>--</v>
      </c>
    </row>
    <row r="1246" spans="1:18" x14ac:dyDescent="0.25">
      <c r="A1246" t="s">
        <v>1025</v>
      </c>
      <c r="B1246" s="1">
        <v>43888</v>
      </c>
      <c r="C1246" t="s">
        <v>1080</v>
      </c>
      <c r="D1246" t="s">
        <v>20</v>
      </c>
      <c r="E1246" t="s">
        <v>146</v>
      </c>
      <c r="F1246" t="s">
        <v>415</v>
      </c>
      <c r="G1246" t="s">
        <v>416</v>
      </c>
      <c r="H1246" t="s">
        <v>417</v>
      </c>
      <c r="I1246">
        <v>500</v>
      </c>
      <c r="J1246">
        <v>500</v>
      </c>
      <c r="K1246">
        <v>500</v>
      </c>
      <c r="L1246" t="s">
        <v>25</v>
      </c>
      <c r="M1246" t="s">
        <v>418</v>
      </c>
      <c r="N1246">
        <v>840</v>
      </c>
      <c r="O1246">
        <v>420000</v>
      </c>
      <c r="P1246" t="str">
        <f>IF(T[[#This Row],[qty_ordered]]&lt;&gt;T[[#This Row],[qty_received]],IF(T[[#This Row],[qty_received]]&gt;0,"Partial Received","Not Receviced"),"FullyReceived")</f>
        <v>FullyReceived</v>
      </c>
      <c r="Q1246" t="str">
        <f>IF(T[[#This Row],[qty_received]]&lt;&gt;T[[#This Row],[qty_invoiced]],IF(T[[#This Row],[qty_invoiced]]&gt;0,"Partial Invoiced","Not Invoiced"),"Fully Invoiced")</f>
        <v>Fully Invoiced</v>
      </c>
      <c r="R1246" t="str">
        <f>IFERROR(VLOOKUP(T[[#This Row],[warehouse]],Table2[],2,FALSE),"--")</f>
        <v>Khtoum Main Warehouse</v>
      </c>
    </row>
    <row r="1247" spans="1:18" x14ac:dyDescent="0.25">
      <c r="A1247" t="s">
        <v>689</v>
      </c>
      <c r="B1247" s="1">
        <v>43891</v>
      </c>
      <c r="C1247" t="s">
        <v>690</v>
      </c>
      <c r="D1247" t="s">
        <v>20</v>
      </c>
      <c r="E1247" t="s">
        <v>410</v>
      </c>
      <c r="F1247" t="s">
        <v>691</v>
      </c>
      <c r="G1247" t="s">
        <v>478</v>
      </c>
      <c r="H1247" t="s">
        <v>24</v>
      </c>
      <c r="I1247">
        <v>500</v>
      </c>
      <c r="J1247">
        <v>161.16</v>
      </c>
      <c r="K1247">
        <v>161.16</v>
      </c>
      <c r="L1247" t="s">
        <v>25</v>
      </c>
      <c r="M1247" t="s">
        <v>132</v>
      </c>
      <c r="N1247">
        <v>185000</v>
      </c>
      <c r="O1247">
        <v>29814600</v>
      </c>
      <c r="P1247" t="str">
        <f>IF(T[[#This Row],[qty_ordered]]&lt;&gt;T[[#This Row],[qty_received]],IF(T[[#This Row],[qty_received]]&gt;0,"Partial Received","Not Receviced"),"FullyReceived")</f>
        <v>Partial Received</v>
      </c>
      <c r="Q1247" t="str">
        <f>IF(T[[#This Row],[qty_received]]&lt;&gt;T[[#This Row],[qty_invoiced]],IF(T[[#This Row],[qty_invoiced]]&gt;0,"Partial Invoiced","Not Invoiced"),"Fully Invoiced")</f>
        <v>Fully Invoiced</v>
      </c>
      <c r="R1247" t="str">
        <f>IFERROR(VLOOKUP(T[[#This Row],[warehouse]],Table2[],2,FALSE),"--")</f>
        <v>SFITER GUM Masaaie</v>
      </c>
    </row>
    <row r="1248" spans="1:18" x14ac:dyDescent="0.25">
      <c r="A1248" t="s">
        <v>534</v>
      </c>
      <c r="B1248" s="1">
        <v>43815</v>
      </c>
      <c r="C1248" t="s">
        <v>827</v>
      </c>
      <c r="D1248" t="s">
        <v>100</v>
      </c>
      <c r="E1248" t="s">
        <v>918</v>
      </c>
      <c r="F1248" t="s">
        <v>47</v>
      </c>
      <c r="G1248" t="s">
        <v>48</v>
      </c>
      <c r="H1248" t="s">
        <v>24</v>
      </c>
      <c r="I1248">
        <v>1000</v>
      </c>
      <c r="J1248">
        <v>700.78</v>
      </c>
      <c r="K1248">
        <v>700.78</v>
      </c>
      <c r="L1248" t="s">
        <v>25</v>
      </c>
      <c r="M1248" t="s">
        <v>132</v>
      </c>
      <c r="N1248">
        <v>93450</v>
      </c>
      <c r="O1248">
        <v>65487891</v>
      </c>
      <c r="P1248" t="str">
        <f>IF(T[[#This Row],[qty_ordered]]&lt;&gt;T[[#This Row],[qty_received]],IF(T[[#This Row],[qty_received]]&gt;0,"Partial Received","Not Receviced"),"FullyReceived")</f>
        <v>Partial Received</v>
      </c>
      <c r="Q1248" t="str">
        <f>IF(T[[#This Row],[qty_received]]&lt;&gt;T[[#This Row],[qty_invoiced]],IF(T[[#This Row],[qty_invoiced]]&gt;0,"Partial Invoiced","Not Invoiced"),"Fully Invoiced")</f>
        <v>Fully Invoiced</v>
      </c>
      <c r="R1248" t="str">
        <f>IFERROR(VLOOKUP(T[[#This Row],[warehouse]],Table2[],2,FALSE),"--")</f>
        <v>SIFTER GZ -PZU</v>
      </c>
    </row>
    <row r="1249" spans="1:18" x14ac:dyDescent="0.25">
      <c r="A1249" t="s">
        <v>144</v>
      </c>
      <c r="B1249" s="1">
        <v>43891</v>
      </c>
      <c r="C1249" t="s">
        <v>1081</v>
      </c>
      <c r="D1249" t="s">
        <v>20</v>
      </c>
      <c r="E1249" t="s">
        <v>146</v>
      </c>
      <c r="F1249" t="s">
        <v>147</v>
      </c>
      <c r="G1249" t="s">
        <v>148</v>
      </c>
      <c r="H1249" t="s">
        <v>149</v>
      </c>
      <c r="I1249">
        <v>80000</v>
      </c>
      <c r="J1249">
        <v>74100</v>
      </c>
      <c r="K1249">
        <v>74100</v>
      </c>
      <c r="L1249" t="s">
        <v>25</v>
      </c>
      <c r="M1249" t="s">
        <v>575</v>
      </c>
      <c r="N1249">
        <v>12.3</v>
      </c>
      <c r="O1249">
        <v>900810</v>
      </c>
      <c r="P1249" t="str">
        <f>IF(T[[#This Row],[qty_ordered]]&lt;&gt;T[[#This Row],[qty_received]],IF(T[[#This Row],[qty_received]]&gt;0,"Partial Received","Not Receviced"),"FullyReceived")</f>
        <v>Partial Received</v>
      </c>
      <c r="Q1249" t="str">
        <f>IF(T[[#This Row],[qty_received]]&lt;&gt;T[[#This Row],[qty_invoiced]],IF(T[[#This Row],[qty_invoiced]]&gt;0,"Partial Invoiced","Not Invoiced"),"Fully Invoiced")</f>
        <v>Fully Invoiced</v>
      </c>
      <c r="R1249" t="str">
        <f>IFERROR(VLOOKUP(T[[#This Row],[warehouse]],Table2[],2,FALSE),"--")</f>
        <v>Khtoum Main Warehouse</v>
      </c>
    </row>
    <row r="1250" spans="1:18" x14ac:dyDescent="0.25">
      <c r="A1250" t="s">
        <v>144</v>
      </c>
      <c r="B1250" s="1">
        <v>43891</v>
      </c>
      <c r="C1250" t="s">
        <v>1081</v>
      </c>
      <c r="D1250" t="s">
        <v>71</v>
      </c>
      <c r="E1250" t="s">
        <v>146</v>
      </c>
      <c r="F1250" t="s">
        <v>151</v>
      </c>
      <c r="G1250" t="s">
        <v>152</v>
      </c>
      <c r="H1250" t="s">
        <v>149</v>
      </c>
      <c r="I1250">
        <v>51000</v>
      </c>
      <c r="J1250">
        <v>51000</v>
      </c>
      <c r="K1250">
        <v>51000</v>
      </c>
      <c r="L1250" t="s">
        <v>25</v>
      </c>
      <c r="M1250" t="s">
        <v>575</v>
      </c>
      <c r="N1250">
        <v>12.3</v>
      </c>
      <c r="O1250">
        <v>627300</v>
      </c>
      <c r="P1250" t="str">
        <f>IF(T[[#This Row],[qty_ordered]]&lt;&gt;T[[#This Row],[qty_received]],IF(T[[#This Row],[qty_received]]&gt;0,"Partial Received","Not Receviced"),"FullyReceived")</f>
        <v>FullyReceived</v>
      </c>
      <c r="Q1250" t="str">
        <f>IF(T[[#This Row],[qty_received]]&lt;&gt;T[[#This Row],[qty_invoiced]],IF(T[[#This Row],[qty_invoiced]]&gt;0,"Partial Invoiced","Not Invoiced"),"Fully Invoiced")</f>
        <v>Fully Invoiced</v>
      </c>
      <c r="R1250" t="str">
        <f>IFERROR(VLOOKUP(T[[#This Row],[warehouse]],Table2[],2,FALSE),"--")</f>
        <v>Khtoum Main Warehouse</v>
      </c>
    </row>
    <row r="1251" spans="1:18" x14ac:dyDescent="0.25">
      <c r="A1251" t="s">
        <v>144</v>
      </c>
      <c r="B1251" s="1">
        <v>43891</v>
      </c>
      <c r="C1251" t="s">
        <v>1082</v>
      </c>
      <c r="D1251" t="s">
        <v>20</v>
      </c>
      <c r="E1251" t="s">
        <v>203</v>
      </c>
      <c r="F1251" t="s">
        <v>147</v>
      </c>
      <c r="G1251" t="s">
        <v>148</v>
      </c>
      <c r="H1251" t="s">
        <v>149</v>
      </c>
      <c r="I1251">
        <v>50000</v>
      </c>
      <c r="J1251">
        <v>24200</v>
      </c>
      <c r="K1251">
        <v>24200</v>
      </c>
      <c r="L1251" t="s">
        <v>25</v>
      </c>
      <c r="M1251" t="s">
        <v>575</v>
      </c>
      <c r="N1251">
        <v>10.74</v>
      </c>
      <c r="O1251">
        <v>256668</v>
      </c>
      <c r="P1251" t="str">
        <f>IF(T[[#This Row],[qty_ordered]]&lt;&gt;T[[#This Row],[qty_received]],IF(T[[#This Row],[qty_received]]&gt;0,"Partial Received","Not Receviced"),"FullyReceived")</f>
        <v>Partial Received</v>
      </c>
      <c r="Q1251" t="str">
        <f>IF(T[[#This Row],[qty_received]]&lt;&gt;T[[#This Row],[qty_invoiced]],IF(T[[#This Row],[qty_invoiced]]&gt;0,"Partial Invoiced","Not Invoiced"),"Fully Invoiced")</f>
        <v>Fully Invoiced</v>
      </c>
      <c r="R1251" t="str">
        <f>IFERROR(VLOOKUP(T[[#This Row],[warehouse]],Table2[],2,FALSE),"--")</f>
        <v>PZU Packaging Warehouse</v>
      </c>
    </row>
    <row r="1252" spans="1:18" x14ac:dyDescent="0.25">
      <c r="A1252" t="s">
        <v>1083</v>
      </c>
      <c r="B1252" s="1">
        <v>44266</v>
      </c>
      <c r="C1252" t="s">
        <v>1084</v>
      </c>
      <c r="D1252" t="s">
        <v>74</v>
      </c>
      <c r="E1252" t="s">
        <v>660</v>
      </c>
      <c r="F1252" t="s">
        <v>1085</v>
      </c>
      <c r="G1252" t="s">
        <v>1086</v>
      </c>
      <c r="H1252" t="s">
        <v>1087</v>
      </c>
      <c r="I1252">
        <v>14</v>
      </c>
      <c r="J1252">
        <v>0</v>
      </c>
      <c r="K1252">
        <v>0</v>
      </c>
      <c r="L1252" t="s">
        <v>25</v>
      </c>
      <c r="M1252" t="s">
        <v>132</v>
      </c>
      <c r="N1252">
        <v>0</v>
      </c>
      <c r="O1252">
        <v>0</v>
      </c>
      <c r="P1252" t="str">
        <f>IF(T[[#This Row],[qty_ordered]]&lt;&gt;T[[#This Row],[qty_received]],IF(T[[#This Row],[qty_received]]&gt;0,"Partial Received","Not Receviced"),"FullyReceived")</f>
        <v>Not Receviced</v>
      </c>
      <c r="Q1252" t="str">
        <f>IF(T[[#This Row],[qty_received]]&lt;&gt;T[[#This Row],[qty_invoiced]],IF(T[[#This Row],[qty_invoiced]]&gt;0,"Partial Invoiced","Not Invoiced"),"Fully Invoiced")</f>
        <v>Fully Invoiced</v>
      </c>
      <c r="R1252" t="str">
        <f>IFERROR(VLOOKUP(T[[#This Row],[warehouse]],Table2[],2,FALSE),"--")</f>
        <v>SLAUGHTER HOUSE</v>
      </c>
    </row>
    <row r="1253" spans="1:18" x14ac:dyDescent="0.25">
      <c r="A1253" t="s">
        <v>618</v>
      </c>
      <c r="B1253" s="1">
        <v>43859</v>
      </c>
      <c r="C1253" t="s">
        <v>637</v>
      </c>
      <c r="D1253" t="s">
        <v>71</v>
      </c>
      <c r="E1253" t="s">
        <v>66</v>
      </c>
      <c r="F1253" t="s">
        <v>86</v>
      </c>
      <c r="G1253" t="s">
        <v>87</v>
      </c>
      <c r="H1253" t="s">
        <v>24</v>
      </c>
      <c r="I1253">
        <v>1000</v>
      </c>
      <c r="J1253">
        <v>0</v>
      </c>
      <c r="K1253">
        <v>0</v>
      </c>
      <c r="L1253" t="s">
        <v>25</v>
      </c>
      <c r="M1253" t="s">
        <v>132</v>
      </c>
      <c r="N1253">
        <v>100000</v>
      </c>
      <c r="O1253">
        <v>0</v>
      </c>
      <c r="P1253" t="str">
        <f>IF(T[[#This Row],[qty_ordered]]&lt;&gt;T[[#This Row],[qty_received]],IF(T[[#This Row],[qty_received]]&gt;0,"Partial Received","Not Receviced"),"FullyReceived")</f>
        <v>Not Receviced</v>
      </c>
      <c r="Q1253" t="str">
        <f>IF(T[[#This Row],[qty_received]]&lt;&gt;T[[#This Row],[qty_invoiced]],IF(T[[#This Row],[qty_invoiced]]&gt;0,"Partial Invoiced","Not Invoiced"),"Fully Invoiced")</f>
        <v>Fully Invoiced</v>
      </c>
      <c r="R1253" t="str">
        <f>IFERROR(VLOOKUP(T[[#This Row],[warehouse]],Table2[],2,FALSE),"--")</f>
        <v>PZU Main Warehouse</v>
      </c>
    </row>
    <row r="1254" spans="1:18" x14ac:dyDescent="0.25">
      <c r="A1254" t="s">
        <v>423</v>
      </c>
      <c r="B1254" s="1">
        <v>43892</v>
      </c>
      <c r="C1254" t="s">
        <v>1088</v>
      </c>
      <c r="D1254" t="s">
        <v>20</v>
      </c>
      <c r="E1254" t="s">
        <v>259</v>
      </c>
      <c r="F1254" t="s">
        <v>151</v>
      </c>
      <c r="G1254" t="s">
        <v>148</v>
      </c>
      <c r="H1254" t="s">
        <v>149</v>
      </c>
      <c r="I1254">
        <v>60000</v>
      </c>
      <c r="J1254">
        <v>60000</v>
      </c>
      <c r="K1254">
        <v>60000</v>
      </c>
      <c r="L1254" t="s">
        <v>25</v>
      </c>
      <c r="M1254" t="s">
        <v>575</v>
      </c>
      <c r="N1254">
        <v>26.4</v>
      </c>
      <c r="O1254">
        <v>1584000</v>
      </c>
      <c r="P1254" t="str">
        <f>IF(T[[#This Row],[qty_ordered]]&lt;&gt;T[[#This Row],[qty_received]],IF(T[[#This Row],[qty_received]]&gt;0,"Partial Received","Not Receviced"),"FullyReceived")</f>
        <v>FullyReceived</v>
      </c>
      <c r="Q1254" t="str">
        <f>IF(T[[#This Row],[qty_received]]&lt;&gt;T[[#This Row],[qty_invoiced]],IF(T[[#This Row],[qty_invoiced]]&gt;0,"Partial Invoiced","Not Invoiced"),"Fully Invoiced")</f>
        <v>Fully Invoiced</v>
      </c>
      <c r="R1254" t="str">
        <f>IFERROR(VLOOKUP(T[[#This Row],[warehouse]],Table2[],2,FALSE),"--")</f>
        <v>Sifters Bahri-Libyan</v>
      </c>
    </row>
    <row r="1255" spans="1:18" x14ac:dyDescent="0.25">
      <c r="A1255" t="s">
        <v>423</v>
      </c>
      <c r="B1255" s="1">
        <v>43892</v>
      </c>
      <c r="C1255" t="s">
        <v>1088</v>
      </c>
      <c r="D1255" t="s">
        <v>71</v>
      </c>
      <c r="E1255" t="s">
        <v>259</v>
      </c>
      <c r="F1255" t="s">
        <v>147</v>
      </c>
      <c r="G1255" t="s">
        <v>1089</v>
      </c>
      <c r="H1255" t="s">
        <v>149</v>
      </c>
      <c r="I1255">
        <v>10000</v>
      </c>
      <c r="J1255">
        <v>10000</v>
      </c>
      <c r="K1255">
        <v>10000</v>
      </c>
      <c r="L1255" t="s">
        <v>25</v>
      </c>
      <c r="M1255" t="s">
        <v>575</v>
      </c>
      <c r="N1255">
        <v>23.3</v>
      </c>
      <c r="O1255">
        <v>233000</v>
      </c>
      <c r="P1255" t="str">
        <f>IF(T[[#This Row],[qty_ordered]]&lt;&gt;T[[#This Row],[qty_received]],IF(T[[#This Row],[qty_received]]&gt;0,"Partial Received","Not Receviced"),"FullyReceived")</f>
        <v>FullyReceived</v>
      </c>
      <c r="Q1255" t="str">
        <f>IF(T[[#This Row],[qty_received]]&lt;&gt;T[[#This Row],[qty_invoiced]],IF(T[[#This Row],[qty_invoiced]]&gt;0,"Partial Invoiced","Not Invoiced"),"Fully Invoiced")</f>
        <v>Fully Invoiced</v>
      </c>
      <c r="R1255" t="str">
        <f>IFERROR(VLOOKUP(T[[#This Row],[warehouse]],Table2[],2,FALSE),"--")</f>
        <v>Sifters Bahri-Libyan</v>
      </c>
    </row>
    <row r="1256" spans="1:18" x14ac:dyDescent="0.25">
      <c r="A1256" t="s">
        <v>235</v>
      </c>
      <c r="B1256" s="1">
        <v>43885</v>
      </c>
      <c r="C1256" t="s">
        <v>650</v>
      </c>
      <c r="D1256" t="s">
        <v>71</v>
      </c>
      <c r="E1256" t="s">
        <v>51</v>
      </c>
      <c r="F1256" t="s">
        <v>546</v>
      </c>
      <c r="G1256" t="s">
        <v>613</v>
      </c>
      <c r="H1256" t="s">
        <v>54</v>
      </c>
      <c r="I1256">
        <v>10000</v>
      </c>
      <c r="J1256">
        <v>0</v>
      </c>
      <c r="K1256">
        <v>1</v>
      </c>
      <c r="L1256" t="s">
        <v>25</v>
      </c>
      <c r="M1256" t="s">
        <v>359</v>
      </c>
      <c r="N1256">
        <v>2.85</v>
      </c>
      <c r="O1256">
        <v>0</v>
      </c>
      <c r="P1256" t="str">
        <f>IF(T[[#This Row],[qty_ordered]]&lt;&gt;T[[#This Row],[qty_received]],IF(T[[#This Row],[qty_received]]&gt;0,"Partial Received","Not Receviced"),"FullyReceived")</f>
        <v>Not Receviced</v>
      </c>
      <c r="Q1256" t="str">
        <f>IF(T[[#This Row],[qty_received]]&lt;&gt;T[[#This Row],[qty_invoiced]],IF(T[[#This Row],[qty_invoiced]]&gt;0,"Partial Invoiced","Not Invoiced"),"Fully Invoiced")</f>
        <v>Partial Invoiced</v>
      </c>
      <c r="R1256" t="str">
        <f>IFERROR(VLOOKUP(T[[#This Row],[warehouse]],Table2[],2,FALSE),"--")</f>
        <v>--</v>
      </c>
    </row>
    <row r="1257" spans="1:18" x14ac:dyDescent="0.25">
      <c r="A1257" t="s">
        <v>423</v>
      </c>
      <c r="B1257" s="1">
        <v>43892</v>
      </c>
      <c r="C1257" t="s">
        <v>1088</v>
      </c>
      <c r="D1257" t="s">
        <v>100</v>
      </c>
      <c r="E1257" t="s">
        <v>259</v>
      </c>
      <c r="F1257" t="s">
        <v>147</v>
      </c>
      <c r="G1257" t="s">
        <v>1089</v>
      </c>
      <c r="H1257" t="s">
        <v>149</v>
      </c>
      <c r="I1257">
        <v>50000</v>
      </c>
      <c r="J1257">
        <v>50000</v>
      </c>
      <c r="K1257">
        <v>50000</v>
      </c>
      <c r="L1257" t="s">
        <v>25</v>
      </c>
      <c r="M1257" t="s">
        <v>575</v>
      </c>
      <c r="N1257">
        <v>24</v>
      </c>
      <c r="O1257">
        <v>1200000</v>
      </c>
      <c r="P1257" t="str">
        <f>IF(T[[#This Row],[qty_ordered]]&lt;&gt;T[[#This Row],[qty_received]],IF(T[[#This Row],[qty_received]]&gt;0,"Partial Received","Not Receviced"),"FullyReceived")</f>
        <v>FullyReceived</v>
      </c>
      <c r="Q1257" t="str">
        <f>IF(T[[#This Row],[qty_received]]&lt;&gt;T[[#This Row],[qty_invoiced]],IF(T[[#This Row],[qty_invoiced]]&gt;0,"Partial Invoiced","Not Invoiced"),"Fully Invoiced")</f>
        <v>Fully Invoiced</v>
      </c>
      <c r="R1257" t="str">
        <f>IFERROR(VLOOKUP(T[[#This Row],[warehouse]],Table2[],2,FALSE),"--")</f>
        <v>Sifters Bahri-Libyan</v>
      </c>
    </row>
    <row r="1258" spans="1:18" x14ac:dyDescent="0.25">
      <c r="A1258" t="s">
        <v>423</v>
      </c>
      <c r="B1258" s="1">
        <v>43892</v>
      </c>
      <c r="C1258" t="s">
        <v>1088</v>
      </c>
      <c r="D1258" t="s">
        <v>88</v>
      </c>
      <c r="E1258" t="s">
        <v>259</v>
      </c>
      <c r="F1258" t="s">
        <v>147</v>
      </c>
      <c r="G1258" t="s">
        <v>148</v>
      </c>
      <c r="H1258" t="s">
        <v>149</v>
      </c>
      <c r="I1258">
        <v>40000</v>
      </c>
      <c r="J1258">
        <v>40000</v>
      </c>
      <c r="K1258">
        <v>40000</v>
      </c>
      <c r="L1258" t="s">
        <v>25</v>
      </c>
      <c r="M1258" t="s">
        <v>575</v>
      </c>
      <c r="N1258">
        <v>26</v>
      </c>
      <c r="O1258">
        <v>1040000</v>
      </c>
      <c r="P1258" t="str">
        <f>IF(T[[#This Row],[qty_ordered]]&lt;&gt;T[[#This Row],[qty_received]],IF(T[[#This Row],[qty_received]]&gt;0,"Partial Received","Not Receviced"),"FullyReceived")</f>
        <v>FullyReceived</v>
      </c>
      <c r="Q1258" t="str">
        <f>IF(T[[#This Row],[qty_received]]&lt;&gt;T[[#This Row],[qty_invoiced]],IF(T[[#This Row],[qty_invoiced]]&gt;0,"Partial Invoiced","Not Invoiced"),"Fully Invoiced")</f>
        <v>Fully Invoiced</v>
      </c>
      <c r="R1258" t="str">
        <f>IFERROR(VLOOKUP(T[[#This Row],[warehouse]],Table2[],2,FALSE),"--")</f>
        <v>Sifters Bahri-Libyan</v>
      </c>
    </row>
    <row r="1259" spans="1:18" x14ac:dyDescent="0.25">
      <c r="A1259" t="s">
        <v>423</v>
      </c>
      <c r="B1259" s="1">
        <v>43892</v>
      </c>
      <c r="C1259" t="s">
        <v>1088</v>
      </c>
      <c r="D1259" t="s">
        <v>74</v>
      </c>
      <c r="E1259" t="s">
        <v>259</v>
      </c>
      <c r="F1259" t="s">
        <v>147</v>
      </c>
      <c r="G1259" t="s">
        <v>148</v>
      </c>
      <c r="H1259" t="s">
        <v>149</v>
      </c>
      <c r="I1259">
        <v>16000</v>
      </c>
      <c r="J1259">
        <v>16000</v>
      </c>
      <c r="K1259">
        <v>16000</v>
      </c>
      <c r="L1259" t="s">
        <v>25</v>
      </c>
      <c r="M1259" t="s">
        <v>575</v>
      </c>
      <c r="N1259">
        <v>23</v>
      </c>
      <c r="O1259">
        <v>368000</v>
      </c>
      <c r="P1259" t="str">
        <f>IF(T[[#This Row],[qty_ordered]]&lt;&gt;T[[#This Row],[qty_received]],IF(T[[#This Row],[qty_received]]&gt;0,"Partial Received","Not Receviced"),"FullyReceived")</f>
        <v>FullyReceived</v>
      </c>
      <c r="Q1259" t="str">
        <f>IF(T[[#This Row],[qty_received]]&lt;&gt;T[[#This Row],[qty_invoiced]],IF(T[[#This Row],[qty_invoiced]]&gt;0,"Partial Invoiced","Not Invoiced"),"Fully Invoiced")</f>
        <v>Fully Invoiced</v>
      </c>
      <c r="R1259" t="str">
        <f>IFERROR(VLOOKUP(T[[#This Row],[warehouse]],Table2[],2,FALSE),"--")</f>
        <v>Sifters Bahri-Libyan</v>
      </c>
    </row>
    <row r="1260" spans="1:18" x14ac:dyDescent="0.25">
      <c r="A1260" t="s">
        <v>423</v>
      </c>
      <c r="B1260" s="1">
        <v>43892</v>
      </c>
      <c r="C1260" t="s">
        <v>1088</v>
      </c>
      <c r="D1260" t="s">
        <v>76</v>
      </c>
      <c r="E1260" t="s">
        <v>259</v>
      </c>
      <c r="F1260" t="s">
        <v>147</v>
      </c>
      <c r="G1260" t="s">
        <v>148</v>
      </c>
      <c r="H1260" t="s">
        <v>149</v>
      </c>
      <c r="I1260">
        <v>8000</v>
      </c>
      <c r="J1260">
        <v>8000</v>
      </c>
      <c r="K1260">
        <v>8000</v>
      </c>
      <c r="L1260" t="s">
        <v>25</v>
      </c>
      <c r="M1260" t="s">
        <v>575</v>
      </c>
      <c r="N1260">
        <v>22</v>
      </c>
      <c r="O1260">
        <v>176000</v>
      </c>
      <c r="P1260" t="str">
        <f>IF(T[[#This Row],[qty_ordered]]&lt;&gt;T[[#This Row],[qty_received]],IF(T[[#This Row],[qty_received]]&gt;0,"Partial Received","Not Receviced"),"FullyReceived")</f>
        <v>FullyReceived</v>
      </c>
      <c r="Q1260" t="str">
        <f>IF(T[[#This Row],[qty_received]]&lt;&gt;T[[#This Row],[qty_invoiced]],IF(T[[#This Row],[qty_invoiced]]&gt;0,"Partial Invoiced","Not Invoiced"),"Fully Invoiced")</f>
        <v>Fully Invoiced</v>
      </c>
      <c r="R1260" t="str">
        <f>IFERROR(VLOOKUP(T[[#This Row],[warehouse]],Table2[],2,FALSE),"--")</f>
        <v>Sifters Bahri-Libyan</v>
      </c>
    </row>
    <row r="1261" spans="1:18" x14ac:dyDescent="0.25">
      <c r="A1261" t="s">
        <v>423</v>
      </c>
      <c r="B1261" s="1">
        <v>43892</v>
      </c>
      <c r="C1261" t="s">
        <v>1088</v>
      </c>
      <c r="D1261" t="s">
        <v>212</v>
      </c>
      <c r="E1261" t="s">
        <v>259</v>
      </c>
      <c r="F1261" t="s">
        <v>312</v>
      </c>
      <c r="G1261" t="s">
        <v>683</v>
      </c>
      <c r="H1261" t="s">
        <v>149</v>
      </c>
      <c r="I1261">
        <v>36000</v>
      </c>
      <c r="J1261">
        <v>36000</v>
      </c>
      <c r="K1261">
        <v>36000</v>
      </c>
      <c r="L1261" t="s">
        <v>25</v>
      </c>
      <c r="M1261" t="s">
        <v>575</v>
      </c>
      <c r="N1261">
        <v>19</v>
      </c>
      <c r="O1261">
        <v>684000</v>
      </c>
      <c r="P1261" t="str">
        <f>IF(T[[#This Row],[qty_ordered]]&lt;&gt;T[[#This Row],[qty_received]],IF(T[[#This Row],[qty_received]]&gt;0,"Partial Received","Not Receviced"),"FullyReceived")</f>
        <v>FullyReceived</v>
      </c>
      <c r="Q1261" t="str">
        <f>IF(T[[#This Row],[qty_received]]&lt;&gt;T[[#This Row],[qty_invoiced]],IF(T[[#This Row],[qty_invoiced]]&gt;0,"Partial Invoiced","Not Invoiced"),"Fully Invoiced")</f>
        <v>Fully Invoiced</v>
      </c>
      <c r="R1261" t="str">
        <f>IFERROR(VLOOKUP(T[[#This Row],[warehouse]],Table2[],2,FALSE),"--")</f>
        <v>Sifters Bahri-Libyan</v>
      </c>
    </row>
    <row r="1262" spans="1:18" x14ac:dyDescent="0.25">
      <c r="A1262" t="s">
        <v>423</v>
      </c>
      <c r="B1262" s="1">
        <v>43892</v>
      </c>
      <c r="C1262" t="s">
        <v>1088</v>
      </c>
      <c r="D1262" t="s">
        <v>322</v>
      </c>
      <c r="E1262" t="s">
        <v>259</v>
      </c>
      <c r="F1262" t="s">
        <v>312</v>
      </c>
      <c r="G1262" t="s">
        <v>683</v>
      </c>
      <c r="H1262" t="s">
        <v>149</v>
      </c>
      <c r="I1262">
        <v>10000</v>
      </c>
      <c r="J1262">
        <v>10000</v>
      </c>
      <c r="K1262">
        <v>10000</v>
      </c>
      <c r="L1262" t="s">
        <v>25</v>
      </c>
      <c r="M1262" t="s">
        <v>575</v>
      </c>
      <c r="N1262">
        <v>19.5</v>
      </c>
      <c r="O1262">
        <v>195000</v>
      </c>
      <c r="P1262" t="str">
        <f>IF(T[[#This Row],[qty_ordered]]&lt;&gt;T[[#This Row],[qty_received]],IF(T[[#This Row],[qty_received]]&gt;0,"Partial Received","Not Receviced"),"FullyReceived")</f>
        <v>FullyReceived</v>
      </c>
      <c r="Q1262" t="str">
        <f>IF(T[[#This Row],[qty_received]]&lt;&gt;T[[#This Row],[qty_invoiced]],IF(T[[#This Row],[qty_invoiced]]&gt;0,"Partial Invoiced","Not Invoiced"),"Fully Invoiced")</f>
        <v>Fully Invoiced</v>
      </c>
      <c r="R1262" t="str">
        <f>IFERROR(VLOOKUP(T[[#This Row],[warehouse]],Table2[],2,FALSE),"--")</f>
        <v>Sifters Bahri-Libyan</v>
      </c>
    </row>
    <row r="1263" spans="1:18" x14ac:dyDescent="0.25">
      <c r="A1263" t="s">
        <v>423</v>
      </c>
      <c r="B1263" s="1">
        <v>43892</v>
      </c>
      <c r="C1263" t="s">
        <v>1088</v>
      </c>
      <c r="D1263" t="s">
        <v>323</v>
      </c>
      <c r="E1263" t="s">
        <v>259</v>
      </c>
      <c r="F1263" t="s">
        <v>312</v>
      </c>
      <c r="G1263" t="s">
        <v>313</v>
      </c>
      <c r="H1263" t="s">
        <v>149</v>
      </c>
      <c r="I1263">
        <v>15000</v>
      </c>
      <c r="J1263">
        <v>15000</v>
      </c>
      <c r="K1263">
        <v>15000</v>
      </c>
      <c r="L1263" t="s">
        <v>25</v>
      </c>
      <c r="M1263" t="s">
        <v>575</v>
      </c>
      <c r="N1263">
        <v>19</v>
      </c>
      <c r="O1263">
        <v>285000</v>
      </c>
      <c r="P1263" t="str">
        <f>IF(T[[#This Row],[qty_ordered]]&lt;&gt;T[[#This Row],[qty_received]],IF(T[[#This Row],[qty_received]]&gt;0,"Partial Received","Not Receviced"),"FullyReceived")</f>
        <v>FullyReceived</v>
      </c>
      <c r="Q1263" t="str">
        <f>IF(T[[#This Row],[qty_received]]&lt;&gt;T[[#This Row],[qty_invoiced]],IF(T[[#This Row],[qty_invoiced]]&gt;0,"Partial Invoiced","Not Invoiced"),"Fully Invoiced")</f>
        <v>Fully Invoiced</v>
      </c>
      <c r="R1263" t="str">
        <f>IFERROR(VLOOKUP(T[[#This Row],[warehouse]],Table2[],2,FALSE),"--")</f>
        <v>Sifters Bahri-Libyan</v>
      </c>
    </row>
    <row r="1264" spans="1:18" x14ac:dyDescent="0.25">
      <c r="A1264" t="s">
        <v>1090</v>
      </c>
      <c r="B1264" s="1">
        <v>43856</v>
      </c>
      <c r="C1264" t="s">
        <v>1091</v>
      </c>
      <c r="D1264" t="s">
        <v>20</v>
      </c>
      <c r="E1264" t="s">
        <v>192</v>
      </c>
      <c r="F1264" t="s">
        <v>47</v>
      </c>
      <c r="G1264" t="s">
        <v>48</v>
      </c>
      <c r="H1264" t="s">
        <v>24</v>
      </c>
      <c r="I1264">
        <v>1000</v>
      </c>
      <c r="J1264">
        <v>511.88</v>
      </c>
      <c r="K1264">
        <v>511.88</v>
      </c>
      <c r="L1264" t="s">
        <v>25</v>
      </c>
      <c r="M1264" t="s">
        <v>132</v>
      </c>
      <c r="N1264">
        <v>92338</v>
      </c>
      <c r="O1264">
        <v>47265975.439999998</v>
      </c>
      <c r="P1264" t="str">
        <f>IF(T[[#This Row],[qty_ordered]]&lt;&gt;T[[#This Row],[qty_received]],IF(T[[#This Row],[qty_received]]&gt;0,"Partial Received","Not Receviced"),"FullyReceived")</f>
        <v>Partial Received</v>
      </c>
      <c r="Q1264" t="str">
        <f>IF(T[[#This Row],[qty_received]]&lt;&gt;T[[#This Row],[qty_invoiced]],IF(T[[#This Row],[qty_invoiced]]&gt;0,"Partial Invoiced","Not Invoiced"),"Fully Invoiced")</f>
        <v>Fully Invoiced</v>
      </c>
      <c r="R1264" t="str">
        <f>IFERROR(VLOOKUP(T[[#This Row],[warehouse]],Table2[],2,FALSE),"--")</f>
        <v>BAYADER SIFTER-OMD</v>
      </c>
    </row>
    <row r="1265" spans="1:18" x14ac:dyDescent="0.25">
      <c r="A1265" t="s">
        <v>658</v>
      </c>
      <c r="B1265" s="1">
        <v>43895</v>
      </c>
      <c r="C1265" t="s">
        <v>1092</v>
      </c>
      <c r="D1265" t="s">
        <v>20</v>
      </c>
      <c r="E1265" t="s">
        <v>660</v>
      </c>
      <c r="F1265" t="s">
        <v>661</v>
      </c>
      <c r="G1265" t="s">
        <v>662</v>
      </c>
      <c r="H1265" t="s">
        <v>663</v>
      </c>
      <c r="I1265">
        <v>2992.9</v>
      </c>
      <c r="J1265">
        <v>0</v>
      </c>
      <c r="K1265">
        <v>0</v>
      </c>
      <c r="L1265" t="s">
        <v>25</v>
      </c>
      <c r="M1265" t="s">
        <v>132</v>
      </c>
      <c r="N1265">
        <v>322.5</v>
      </c>
      <c r="O1265">
        <v>0</v>
      </c>
      <c r="P1265" t="str">
        <f>IF(T[[#This Row],[qty_ordered]]&lt;&gt;T[[#This Row],[qty_received]],IF(T[[#This Row],[qty_received]]&gt;0,"Partial Received","Not Receviced"),"FullyReceived")</f>
        <v>Not Receviced</v>
      </c>
      <c r="Q1265" t="str">
        <f>IF(T[[#This Row],[qty_received]]&lt;&gt;T[[#This Row],[qty_invoiced]],IF(T[[#This Row],[qty_invoiced]]&gt;0,"Partial Invoiced","Not Invoiced"),"Fully Invoiced")</f>
        <v>Fully Invoiced</v>
      </c>
      <c r="R1265" t="str">
        <f>IFERROR(VLOOKUP(T[[#This Row],[warehouse]],Table2[],2,FALSE),"--")</f>
        <v>SLAUGHTER HOUSE</v>
      </c>
    </row>
    <row r="1266" spans="1:18" x14ac:dyDescent="0.25">
      <c r="A1266" t="s">
        <v>423</v>
      </c>
      <c r="B1266" s="1">
        <v>43895</v>
      </c>
      <c r="C1266" t="s">
        <v>1093</v>
      </c>
      <c r="D1266" t="s">
        <v>20</v>
      </c>
      <c r="E1266" t="s">
        <v>51</v>
      </c>
      <c r="F1266" t="s">
        <v>546</v>
      </c>
      <c r="G1266" t="s">
        <v>613</v>
      </c>
      <c r="H1266" t="s">
        <v>54</v>
      </c>
      <c r="I1266">
        <v>1250</v>
      </c>
      <c r="J1266">
        <v>0</v>
      </c>
      <c r="K1266">
        <v>1</v>
      </c>
      <c r="L1266" t="s">
        <v>25</v>
      </c>
      <c r="M1266" t="s">
        <v>359</v>
      </c>
      <c r="N1266">
        <v>7.47</v>
      </c>
      <c r="O1266">
        <v>0</v>
      </c>
      <c r="P1266" t="str">
        <f>IF(T[[#This Row],[qty_ordered]]&lt;&gt;T[[#This Row],[qty_received]],IF(T[[#This Row],[qty_received]]&gt;0,"Partial Received","Not Receviced"),"FullyReceived")</f>
        <v>Not Receviced</v>
      </c>
      <c r="Q1266" t="str">
        <f>IF(T[[#This Row],[qty_received]]&lt;&gt;T[[#This Row],[qty_invoiced]],IF(T[[#This Row],[qty_invoiced]]&gt;0,"Partial Invoiced","Not Invoiced"),"Fully Invoiced")</f>
        <v>Partial Invoiced</v>
      </c>
      <c r="R1266" t="str">
        <f>IFERROR(VLOOKUP(T[[#This Row],[warehouse]],Table2[],2,FALSE),"--")</f>
        <v>--</v>
      </c>
    </row>
    <row r="1267" spans="1:18" x14ac:dyDescent="0.25">
      <c r="A1267" t="s">
        <v>423</v>
      </c>
      <c r="B1267" s="1">
        <v>43895</v>
      </c>
      <c r="C1267" t="s">
        <v>1094</v>
      </c>
      <c r="D1267" t="s">
        <v>20</v>
      </c>
      <c r="E1267" t="s">
        <v>51</v>
      </c>
      <c r="F1267" t="s">
        <v>818</v>
      </c>
      <c r="G1267" t="s">
        <v>819</v>
      </c>
      <c r="H1267" t="s">
        <v>54</v>
      </c>
      <c r="I1267">
        <v>10</v>
      </c>
      <c r="J1267">
        <v>0</v>
      </c>
      <c r="K1267">
        <v>1</v>
      </c>
      <c r="L1267" t="s">
        <v>25</v>
      </c>
      <c r="M1267" t="s">
        <v>359</v>
      </c>
      <c r="N1267">
        <v>600</v>
      </c>
      <c r="O1267">
        <v>0</v>
      </c>
      <c r="P1267" t="str">
        <f>IF(T[[#This Row],[qty_ordered]]&lt;&gt;T[[#This Row],[qty_received]],IF(T[[#This Row],[qty_received]]&gt;0,"Partial Received","Not Receviced"),"FullyReceived")</f>
        <v>Not Receviced</v>
      </c>
      <c r="Q1267" t="str">
        <f>IF(T[[#This Row],[qty_received]]&lt;&gt;T[[#This Row],[qty_invoiced]],IF(T[[#This Row],[qty_invoiced]]&gt;0,"Partial Invoiced","Not Invoiced"),"Fully Invoiced")</f>
        <v>Partial Invoiced</v>
      </c>
      <c r="R1267" t="str">
        <f>IFERROR(VLOOKUP(T[[#This Row],[warehouse]],Table2[],2,FALSE),"--")</f>
        <v>--</v>
      </c>
    </row>
    <row r="1268" spans="1:18" x14ac:dyDescent="0.25">
      <c r="A1268" t="s">
        <v>973</v>
      </c>
      <c r="B1268" s="1">
        <v>43893</v>
      </c>
      <c r="C1268" t="s">
        <v>1095</v>
      </c>
      <c r="D1268" t="s">
        <v>20</v>
      </c>
      <c r="E1268" t="s">
        <v>66</v>
      </c>
      <c r="F1268" t="s">
        <v>526</v>
      </c>
      <c r="G1268" t="s">
        <v>472</v>
      </c>
      <c r="H1268" t="s">
        <v>123</v>
      </c>
      <c r="I1268">
        <v>4000</v>
      </c>
      <c r="J1268">
        <v>0</v>
      </c>
      <c r="K1268">
        <v>0</v>
      </c>
      <c r="L1268" t="s">
        <v>25</v>
      </c>
      <c r="M1268" t="s">
        <v>714</v>
      </c>
      <c r="N1268">
        <v>4750</v>
      </c>
      <c r="O1268">
        <v>0</v>
      </c>
      <c r="P1268" t="str">
        <f>IF(T[[#This Row],[qty_ordered]]&lt;&gt;T[[#This Row],[qty_received]],IF(T[[#This Row],[qty_received]]&gt;0,"Partial Received","Not Receviced"),"FullyReceived")</f>
        <v>Not Receviced</v>
      </c>
      <c r="Q1268" t="str">
        <f>IF(T[[#This Row],[qty_received]]&lt;&gt;T[[#This Row],[qty_invoiced]],IF(T[[#This Row],[qty_invoiced]]&gt;0,"Partial Invoiced","Not Invoiced"),"Fully Invoiced")</f>
        <v>Fully Invoiced</v>
      </c>
      <c r="R1268" t="str">
        <f>IFERROR(VLOOKUP(T[[#This Row],[warehouse]],Table2[],2,FALSE),"--")</f>
        <v>PZU Main Warehouse</v>
      </c>
    </row>
    <row r="1269" spans="1:18" x14ac:dyDescent="0.25">
      <c r="A1269" t="s">
        <v>423</v>
      </c>
      <c r="B1269" s="1">
        <v>43885</v>
      </c>
      <c r="C1269" t="s">
        <v>646</v>
      </c>
      <c r="D1269" t="s">
        <v>71</v>
      </c>
      <c r="E1269" t="s">
        <v>51</v>
      </c>
      <c r="F1269" t="s">
        <v>546</v>
      </c>
      <c r="G1269" t="s">
        <v>613</v>
      </c>
      <c r="H1269" t="s">
        <v>54</v>
      </c>
      <c r="I1269">
        <v>20000</v>
      </c>
      <c r="J1269">
        <v>0</v>
      </c>
      <c r="K1269">
        <v>1</v>
      </c>
      <c r="L1269" t="s">
        <v>25</v>
      </c>
      <c r="M1269" t="s">
        <v>359</v>
      </c>
      <c r="N1269">
        <v>4.95</v>
      </c>
      <c r="O1269">
        <v>0</v>
      </c>
      <c r="P1269" t="str">
        <f>IF(T[[#This Row],[qty_ordered]]&lt;&gt;T[[#This Row],[qty_received]],IF(T[[#This Row],[qty_received]]&gt;0,"Partial Received","Not Receviced"),"FullyReceived")</f>
        <v>Not Receviced</v>
      </c>
      <c r="Q1269" t="str">
        <f>IF(T[[#This Row],[qty_received]]&lt;&gt;T[[#This Row],[qty_invoiced]],IF(T[[#This Row],[qty_invoiced]]&gt;0,"Partial Invoiced","Not Invoiced"),"Fully Invoiced")</f>
        <v>Partial Invoiced</v>
      </c>
      <c r="R1269" t="str">
        <f>IFERROR(VLOOKUP(T[[#This Row],[warehouse]],Table2[],2,FALSE),"--")</f>
        <v>--</v>
      </c>
    </row>
    <row r="1270" spans="1:18" x14ac:dyDescent="0.25">
      <c r="A1270" t="s">
        <v>423</v>
      </c>
      <c r="B1270" s="1">
        <v>43895</v>
      </c>
      <c r="C1270" t="s">
        <v>682</v>
      </c>
      <c r="D1270" t="s">
        <v>20</v>
      </c>
      <c r="E1270" t="s">
        <v>146</v>
      </c>
      <c r="F1270" t="s">
        <v>147</v>
      </c>
      <c r="G1270" t="s">
        <v>148</v>
      </c>
      <c r="H1270" t="s">
        <v>149</v>
      </c>
      <c r="I1270">
        <v>50000</v>
      </c>
      <c r="J1270">
        <v>50000</v>
      </c>
      <c r="K1270">
        <v>50000</v>
      </c>
      <c r="L1270" t="s">
        <v>25</v>
      </c>
      <c r="M1270" t="s">
        <v>575</v>
      </c>
      <c r="N1270">
        <v>27</v>
      </c>
      <c r="O1270">
        <v>1350000</v>
      </c>
      <c r="P1270" t="str">
        <f>IF(T[[#This Row],[qty_ordered]]&lt;&gt;T[[#This Row],[qty_received]],IF(T[[#This Row],[qty_received]]&gt;0,"Partial Received","Not Receviced"),"FullyReceived")</f>
        <v>FullyReceived</v>
      </c>
      <c r="Q1270" t="str">
        <f>IF(T[[#This Row],[qty_received]]&lt;&gt;T[[#This Row],[qty_invoiced]],IF(T[[#This Row],[qty_invoiced]]&gt;0,"Partial Invoiced","Not Invoiced"),"Fully Invoiced")</f>
        <v>Fully Invoiced</v>
      </c>
      <c r="R1270" t="str">
        <f>IFERROR(VLOOKUP(T[[#This Row],[warehouse]],Table2[],2,FALSE),"--")</f>
        <v>Khtoum Main Warehouse</v>
      </c>
    </row>
    <row r="1271" spans="1:18" x14ac:dyDescent="0.25">
      <c r="A1271" t="s">
        <v>423</v>
      </c>
      <c r="B1271" s="1">
        <v>43895</v>
      </c>
      <c r="C1271" t="s">
        <v>682</v>
      </c>
      <c r="D1271" t="s">
        <v>71</v>
      </c>
      <c r="E1271" t="s">
        <v>146</v>
      </c>
      <c r="F1271" t="s">
        <v>151</v>
      </c>
      <c r="G1271" t="s">
        <v>152</v>
      </c>
      <c r="H1271" t="s">
        <v>149</v>
      </c>
      <c r="I1271">
        <v>50000</v>
      </c>
      <c r="J1271">
        <v>50000</v>
      </c>
      <c r="K1271">
        <v>50000</v>
      </c>
      <c r="L1271" t="s">
        <v>25</v>
      </c>
      <c r="M1271" t="s">
        <v>575</v>
      </c>
      <c r="N1271">
        <v>29</v>
      </c>
      <c r="O1271">
        <v>1450000</v>
      </c>
      <c r="P1271" t="str">
        <f>IF(T[[#This Row],[qty_ordered]]&lt;&gt;T[[#This Row],[qty_received]],IF(T[[#This Row],[qty_received]]&gt;0,"Partial Received","Not Receviced"),"FullyReceived")</f>
        <v>FullyReceived</v>
      </c>
      <c r="Q1271" t="str">
        <f>IF(T[[#This Row],[qty_received]]&lt;&gt;T[[#This Row],[qty_invoiced]],IF(T[[#This Row],[qty_invoiced]]&gt;0,"Partial Invoiced","Not Invoiced"),"Fully Invoiced")</f>
        <v>Fully Invoiced</v>
      </c>
      <c r="R1271" t="str">
        <f>IFERROR(VLOOKUP(T[[#This Row],[warehouse]],Table2[],2,FALSE),"--")</f>
        <v>Khtoum Main Warehouse</v>
      </c>
    </row>
    <row r="1272" spans="1:18" x14ac:dyDescent="0.25">
      <c r="A1272" t="s">
        <v>462</v>
      </c>
      <c r="B1272" s="1">
        <v>43895</v>
      </c>
      <c r="C1272" t="s">
        <v>688</v>
      </c>
      <c r="D1272" t="s">
        <v>20</v>
      </c>
      <c r="E1272" t="s">
        <v>51</v>
      </c>
      <c r="F1272" t="s">
        <v>247</v>
      </c>
      <c r="G1272" t="s">
        <v>1096</v>
      </c>
      <c r="H1272" t="s">
        <v>54</v>
      </c>
      <c r="I1272">
        <v>7000</v>
      </c>
      <c r="J1272">
        <v>0</v>
      </c>
      <c r="K1272">
        <v>1</v>
      </c>
      <c r="L1272" t="s">
        <v>25</v>
      </c>
      <c r="M1272" t="s">
        <v>533</v>
      </c>
      <c r="N1272">
        <v>4500</v>
      </c>
      <c r="O1272">
        <v>0</v>
      </c>
      <c r="P1272" t="str">
        <f>IF(T[[#This Row],[qty_ordered]]&lt;&gt;T[[#This Row],[qty_received]],IF(T[[#This Row],[qty_received]]&gt;0,"Partial Received","Not Receviced"),"FullyReceived")</f>
        <v>Not Receviced</v>
      </c>
      <c r="Q1272" t="str">
        <f>IF(T[[#This Row],[qty_received]]&lt;&gt;T[[#This Row],[qty_invoiced]],IF(T[[#This Row],[qty_invoiced]]&gt;0,"Partial Invoiced","Not Invoiced"),"Fully Invoiced")</f>
        <v>Partial Invoiced</v>
      </c>
      <c r="R1272" t="str">
        <f>IFERROR(VLOOKUP(T[[#This Row],[warehouse]],Table2[],2,FALSE),"--")</f>
        <v>--</v>
      </c>
    </row>
    <row r="1273" spans="1:18" x14ac:dyDescent="0.25">
      <c r="A1273" t="s">
        <v>686</v>
      </c>
      <c r="B1273" s="1">
        <v>43849</v>
      </c>
      <c r="C1273" t="s">
        <v>687</v>
      </c>
      <c r="D1273" t="s">
        <v>100</v>
      </c>
      <c r="E1273" t="s">
        <v>51</v>
      </c>
      <c r="F1273" t="s">
        <v>247</v>
      </c>
      <c r="G1273" t="s">
        <v>1097</v>
      </c>
      <c r="H1273" t="s">
        <v>54</v>
      </c>
      <c r="I1273">
        <v>1500</v>
      </c>
      <c r="J1273">
        <v>0</v>
      </c>
      <c r="K1273">
        <v>1</v>
      </c>
      <c r="L1273" t="s">
        <v>25</v>
      </c>
      <c r="M1273" t="s">
        <v>533</v>
      </c>
      <c r="N1273">
        <v>4500</v>
      </c>
      <c r="O1273">
        <v>0</v>
      </c>
      <c r="P1273" t="str">
        <f>IF(T[[#This Row],[qty_ordered]]&lt;&gt;T[[#This Row],[qty_received]],IF(T[[#This Row],[qty_received]]&gt;0,"Partial Received","Not Receviced"),"FullyReceived")</f>
        <v>Not Receviced</v>
      </c>
      <c r="Q1273" t="str">
        <f>IF(T[[#This Row],[qty_received]]&lt;&gt;T[[#This Row],[qty_invoiced]],IF(T[[#This Row],[qty_invoiced]]&gt;0,"Partial Invoiced","Not Invoiced"),"Fully Invoiced")</f>
        <v>Partial Invoiced</v>
      </c>
      <c r="R1273" t="str">
        <f>IFERROR(VLOOKUP(T[[#This Row],[warehouse]],Table2[],2,FALSE),"--")</f>
        <v>--</v>
      </c>
    </row>
    <row r="1274" spans="1:18" x14ac:dyDescent="0.25">
      <c r="A1274" t="s">
        <v>144</v>
      </c>
      <c r="B1274" s="1">
        <v>43858</v>
      </c>
      <c r="C1274" t="s">
        <v>922</v>
      </c>
      <c r="D1274" t="s">
        <v>71</v>
      </c>
      <c r="E1274" t="s">
        <v>203</v>
      </c>
      <c r="F1274" t="s">
        <v>147</v>
      </c>
      <c r="G1274" t="s">
        <v>148</v>
      </c>
      <c r="H1274" t="s">
        <v>149</v>
      </c>
      <c r="I1274">
        <v>50000</v>
      </c>
      <c r="J1274">
        <v>46320</v>
      </c>
      <c r="K1274">
        <v>46320</v>
      </c>
      <c r="L1274" t="s">
        <v>25</v>
      </c>
      <c r="M1274" t="s">
        <v>575</v>
      </c>
      <c r="N1274">
        <v>10.199999999999999</v>
      </c>
      <c r="O1274">
        <v>455466.6</v>
      </c>
      <c r="P1274" t="str">
        <f>IF(T[[#This Row],[qty_ordered]]&lt;&gt;T[[#This Row],[qty_received]],IF(T[[#This Row],[qty_received]]&gt;0,"Partial Received","Not Receviced"),"FullyReceived")</f>
        <v>Partial Received</v>
      </c>
      <c r="Q1274" t="str">
        <f>IF(T[[#This Row],[qty_received]]&lt;&gt;T[[#This Row],[qty_invoiced]],IF(T[[#This Row],[qty_invoiced]]&gt;0,"Partial Invoiced","Not Invoiced"),"Fully Invoiced")</f>
        <v>Fully Invoiced</v>
      </c>
      <c r="R1274" t="str">
        <f>IFERROR(VLOOKUP(T[[#This Row],[warehouse]],Table2[],2,FALSE),"--")</f>
        <v>PZU Packaging Warehouse</v>
      </c>
    </row>
    <row r="1275" spans="1:18" x14ac:dyDescent="0.25">
      <c r="A1275" t="s">
        <v>84</v>
      </c>
      <c r="B1275" s="1">
        <v>43900</v>
      </c>
      <c r="C1275" t="s">
        <v>1098</v>
      </c>
      <c r="D1275" t="s">
        <v>20</v>
      </c>
      <c r="E1275" t="s">
        <v>66</v>
      </c>
      <c r="F1275" t="s">
        <v>1099</v>
      </c>
      <c r="G1275" t="s">
        <v>87</v>
      </c>
      <c r="H1275" t="s">
        <v>24</v>
      </c>
      <c r="I1275">
        <v>200</v>
      </c>
      <c r="J1275">
        <v>0</v>
      </c>
      <c r="K1275">
        <v>0</v>
      </c>
      <c r="L1275" t="s">
        <v>25</v>
      </c>
      <c r="M1275" t="s">
        <v>132</v>
      </c>
      <c r="N1275">
        <v>107912.5</v>
      </c>
      <c r="O1275">
        <v>0</v>
      </c>
      <c r="P1275" t="str">
        <f>IF(T[[#This Row],[qty_ordered]]&lt;&gt;T[[#This Row],[qty_received]],IF(T[[#This Row],[qty_received]]&gt;0,"Partial Received","Not Receviced"),"FullyReceived")</f>
        <v>Not Receviced</v>
      </c>
      <c r="Q1275" t="str">
        <f>IF(T[[#This Row],[qty_received]]&lt;&gt;T[[#This Row],[qty_invoiced]],IF(T[[#This Row],[qty_invoiced]]&gt;0,"Partial Invoiced","Not Invoiced"),"Fully Invoiced")</f>
        <v>Fully Invoiced</v>
      </c>
      <c r="R1275" t="str">
        <f>IFERROR(VLOOKUP(T[[#This Row],[warehouse]],Table2[],2,FALSE),"--")</f>
        <v>PZU Main Warehouse</v>
      </c>
    </row>
    <row r="1276" spans="1:18" x14ac:dyDescent="0.25">
      <c r="A1276" t="s">
        <v>1100</v>
      </c>
      <c r="B1276" s="1">
        <v>43900</v>
      </c>
      <c r="C1276" t="s">
        <v>1101</v>
      </c>
      <c r="D1276" t="s">
        <v>20</v>
      </c>
      <c r="E1276" t="s">
        <v>51</v>
      </c>
      <c r="F1276" t="s">
        <v>183</v>
      </c>
      <c r="G1276" t="s">
        <v>657</v>
      </c>
      <c r="H1276" t="s">
        <v>54</v>
      </c>
      <c r="I1276">
        <v>400</v>
      </c>
      <c r="J1276">
        <v>0</v>
      </c>
      <c r="K1276">
        <v>1</v>
      </c>
      <c r="L1276" t="s">
        <v>25</v>
      </c>
      <c r="M1276" t="s">
        <v>533</v>
      </c>
      <c r="N1276">
        <v>800</v>
      </c>
      <c r="O1276">
        <v>0</v>
      </c>
      <c r="P1276" t="str">
        <f>IF(T[[#This Row],[qty_ordered]]&lt;&gt;T[[#This Row],[qty_received]],IF(T[[#This Row],[qty_received]]&gt;0,"Partial Received","Not Receviced"),"FullyReceived")</f>
        <v>Not Receviced</v>
      </c>
      <c r="Q1276" t="str">
        <f>IF(T[[#This Row],[qty_received]]&lt;&gt;T[[#This Row],[qty_invoiced]],IF(T[[#This Row],[qty_invoiced]]&gt;0,"Partial Invoiced","Not Invoiced"),"Fully Invoiced")</f>
        <v>Partial Invoiced</v>
      </c>
      <c r="R1276" t="str">
        <f>IFERROR(VLOOKUP(T[[#This Row],[warehouse]],Table2[],2,FALSE),"--")</f>
        <v>--</v>
      </c>
    </row>
    <row r="1277" spans="1:18" x14ac:dyDescent="0.25">
      <c r="A1277" t="s">
        <v>973</v>
      </c>
      <c r="B1277" s="1">
        <v>43858</v>
      </c>
      <c r="C1277" t="s">
        <v>974</v>
      </c>
      <c r="D1277" t="s">
        <v>71</v>
      </c>
      <c r="E1277" t="s">
        <v>281</v>
      </c>
      <c r="F1277" t="s">
        <v>167</v>
      </c>
      <c r="G1277" t="s">
        <v>156</v>
      </c>
      <c r="H1277" t="s">
        <v>24</v>
      </c>
      <c r="I1277">
        <v>980</v>
      </c>
      <c r="J1277">
        <v>0</v>
      </c>
      <c r="K1277">
        <v>0</v>
      </c>
      <c r="L1277" t="s">
        <v>25</v>
      </c>
      <c r="M1277" t="s">
        <v>132</v>
      </c>
      <c r="N1277">
        <v>196479.59</v>
      </c>
      <c r="O1277">
        <v>0</v>
      </c>
      <c r="P1277" t="str">
        <f>IF(T[[#This Row],[qty_ordered]]&lt;&gt;T[[#This Row],[qty_received]],IF(T[[#This Row],[qty_received]]&gt;0,"Partial Received","Not Receviced"),"FullyReceived")</f>
        <v>Not Receviced</v>
      </c>
      <c r="Q1277" t="str">
        <f>IF(T[[#This Row],[qty_received]]&lt;&gt;T[[#This Row],[qty_invoiced]],IF(T[[#This Row],[qty_invoiced]]&gt;0,"Partial Invoiced","Not Invoiced"),"Fully Invoiced")</f>
        <v>Fully Invoiced</v>
      </c>
      <c r="R1277" t="str">
        <f>IFERROR(VLOOKUP(T[[#This Row],[warehouse]],Table2[],2,FALSE),"--")</f>
        <v>Crusher Alm Eldin-KH</v>
      </c>
    </row>
    <row r="1278" spans="1:18" x14ac:dyDescent="0.25">
      <c r="A1278" t="s">
        <v>1025</v>
      </c>
      <c r="B1278" s="1">
        <v>43902</v>
      </c>
      <c r="C1278" t="s">
        <v>1102</v>
      </c>
      <c r="D1278" t="s">
        <v>20</v>
      </c>
      <c r="E1278" t="s">
        <v>146</v>
      </c>
      <c r="F1278" t="s">
        <v>415</v>
      </c>
      <c r="G1278" t="s">
        <v>416</v>
      </c>
      <c r="H1278" t="s">
        <v>417</v>
      </c>
      <c r="I1278">
        <v>500</v>
      </c>
      <c r="J1278">
        <v>500</v>
      </c>
      <c r="K1278">
        <v>500</v>
      </c>
      <c r="L1278" t="s">
        <v>25</v>
      </c>
      <c r="M1278" t="s">
        <v>418</v>
      </c>
      <c r="N1278">
        <v>1000</v>
      </c>
      <c r="O1278">
        <v>500000</v>
      </c>
      <c r="P1278" t="str">
        <f>IF(T[[#This Row],[qty_ordered]]&lt;&gt;T[[#This Row],[qty_received]],IF(T[[#This Row],[qty_received]]&gt;0,"Partial Received","Not Receviced"),"FullyReceived")</f>
        <v>FullyReceived</v>
      </c>
      <c r="Q1278" t="str">
        <f>IF(T[[#This Row],[qty_received]]&lt;&gt;T[[#This Row],[qty_invoiced]],IF(T[[#This Row],[qty_invoiced]]&gt;0,"Partial Invoiced","Not Invoiced"),"Fully Invoiced")</f>
        <v>Fully Invoiced</v>
      </c>
      <c r="R1278" t="str">
        <f>IFERROR(VLOOKUP(T[[#This Row],[warehouse]],Table2[],2,FALSE),"--")</f>
        <v>Khtoum Main Warehouse</v>
      </c>
    </row>
    <row r="1279" spans="1:18" x14ac:dyDescent="0.25">
      <c r="A1279" t="s">
        <v>423</v>
      </c>
      <c r="B1279" s="1">
        <v>43895</v>
      </c>
      <c r="C1279" t="s">
        <v>1103</v>
      </c>
      <c r="D1279" t="s">
        <v>20</v>
      </c>
      <c r="E1279" t="s">
        <v>51</v>
      </c>
      <c r="F1279" t="s">
        <v>546</v>
      </c>
      <c r="G1279" t="s">
        <v>613</v>
      </c>
      <c r="H1279" t="s">
        <v>54</v>
      </c>
      <c r="I1279">
        <v>10000</v>
      </c>
      <c r="J1279">
        <v>0</v>
      </c>
      <c r="K1279">
        <v>1</v>
      </c>
      <c r="L1279" t="s">
        <v>25</v>
      </c>
      <c r="M1279" t="s">
        <v>359</v>
      </c>
      <c r="N1279">
        <v>2.9</v>
      </c>
      <c r="O1279">
        <v>0</v>
      </c>
      <c r="P1279" t="str">
        <f>IF(T[[#This Row],[qty_ordered]]&lt;&gt;T[[#This Row],[qty_received]],IF(T[[#This Row],[qty_received]]&gt;0,"Partial Received","Not Receviced"),"FullyReceived")</f>
        <v>Not Receviced</v>
      </c>
      <c r="Q1279" t="str">
        <f>IF(T[[#This Row],[qty_received]]&lt;&gt;T[[#This Row],[qty_invoiced]],IF(T[[#This Row],[qty_invoiced]]&gt;0,"Partial Invoiced","Not Invoiced"),"Fully Invoiced")</f>
        <v>Partial Invoiced</v>
      </c>
      <c r="R1279" t="str">
        <f>IFERROR(VLOOKUP(T[[#This Row],[warehouse]],Table2[],2,FALSE),"--")</f>
        <v>--</v>
      </c>
    </row>
    <row r="1280" spans="1:18" x14ac:dyDescent="0.25">
      <c r="A1280" t="s">
        <v>686</v>
      </c>
      <c r="B1280" s="1">
        <v>43849</v>
      </c>
      <c r="C1280" t="s">
        <v>687</v>
      </c>
      <c r="D1280" t="s">
        <v>88</v>
      </c>
      <c r="E1280" t="s">
        <v>51</v>
      </c>
      <c r="F1280" t="s">
        <v>278</v>
      </c>
      <c r="G1280" t="s">
        <v>279</v>
      </c>
      <c r="H1280" t="s">
        <v>54</v>
      </c>
      <c r="I1280">
        <v>21698</v>
      </c>
      <c r="J1280">
        <v>0</v>
      </c>
      <c r="K1280">
        <v>1</v>
      </c>
      <c r="L1280" t="s">
        <v>25</v>
      </c>
      <c r="M1280" t="s">
        <v>533</v>
      </c>
      <c r="N1280">
        <v>5</v>
      </c>
      <c r="O1280">
        <v>0</v>
      </c>
      <c r="P1280" t="str">
        <f>IF(T[[#This Row],[qty_ordered]]&lt;&gt;T[[#This Row],[qty_received]],IF(T[[#This Row],[qty_received]]&gt;0,"Partial Received","Not Receviced"),"FullyReceived")</f>
        <v>Not Receviced</v>
      </c>
      <c r="Q1280" t="str">
        <f>IF(T[[#This Row],[qty_received]]&lt;&gt;T[[#This Row],[qty_invoiced]],IF(T[[#This Row],[qty_invoiced]]&gt;0,"Partial Invoiced","Not Invoiced"),"Fully Invoiced")</f>
        <v>Partial Invoiced</v>
      </c>
      <c r="R1280" t="str">
        <f>IFERROR(VLOOKUP(T[[#This Row],[warehouse]],Table2[],2,FALSE),"--")</f>
        <v>--</v>
      </c>
    </row>
    <row r="1281" spans="1:18" x14ac:dyDescent="0.25">
      <c r="A1281" t="s">
        <v>686</v>
      </c>
      <c r="B1281" s="1">
        <v>43849</v>
      </c>
      <c r="C1281" t="s">
        <v>687</v>
      </c>
      <c r="D1281" t="s">
        <v>74</v>
      </c>
      <c r="E1281" t="s">
        <v>51</v>
      </c>
      <c r="F1281" t="s">
        <v>254</v>
      </c>
      <c r="G1281" t="s">
        <v>255</v>
      </c>
      <c r="H1281" t="s">
        <v>54</v>
      </c>
      <c r="I1281">
        <v>31950</v>
      </c>
      <c r="J1281">
        <v>0</v>
      </c>
      <c r="K1281">
        <v>1</v>
      </c>
      <c r="L1281" t="s">
        <v>25</v>
      </c>
      <c r="M1281" t="s">
        <v>533</v>
      </c>
      <c r="N1281">
        <v>5</v>
      </c>
      <c r="O1281">
        <v>0</v>
      </c>
      <c r="P1281" t="str">
        <f>IF(T[[#This Row],[qty_ordered]]&lt;&gt;T[[#This Row],[qty_received]],IF(T[[#This Row],[qty_received]]&gt;0,"Partial Received","Not Receviced"),"FullyReceived")</f>
        <v>Not Receviced</v>
      </c>
      <c r="Q1281" t="str">
        <f>IF(T[[#This Row],[qty_received]]&lt;&gt;T[[#This Row],[qty_invoiced]],IF(T[[#This Row],[qty_invoiced]]&gt;0,"Partial Invoiced","Not Invoiced"),"Fully Invoiced")</f>
        <v>Partial Invoiced</v>
      </c>
      <c r="R1281" t="str">
        <f>IFERROR(VLOOKUP(T[[#This Row],[warehouse]],Table2[],2,FALSE),"--")</f>
        <v>--</v>
      </c>
    </row>
    <row r="1282" spans="1:18" x14ac:dyDescent="0.25">
      <c r="A1282" t="s">
        <v>686</v>
      </c>
      <c r="B1282" s="1">
        <v>43849</v>
      </c>
      <c r="C1282" t="s">
        <v>687</v>
      </c>
      <c r="D1282" t="s">
        <v>76</v>
      </c>
      <c r="E1282" t="s">
        <v>51</v>
      </c>
      <c r="F1282" t="s">
        <v>793</v>
      </c>
      <c r="G1282" t="s">
        <v>794</v>
      </c>
      <c r="H1282" t="s">
        <v>54</v>
      </c>
      <c r="I1282">
        <v>27</v>
      </c>
      <c r="J1282">
        <v>0</v>
      </c>
      <c r="K1282">
        <v>1</v>
      </c>
      <c r="L1282" t="s">
        <v>25</v>
      </c>
      <c r="M1282" t="s">
        <v>533</v>
      </c>
      <c r="N1282">
        <v>150</v>
      </c>
      <c r="O1282">
        <v>0</v>
      </c>
      <c r="P1282" t="str">
        <f>IF(T[[#This Row],[qty_ordered]]&lt;&gt;T[[#This Row],[qty_received]],IF(T[[#This Row],[qty_received]]&gt;0,"Partial Received","Not Receviced"),"FullyReceived")</f>
        <v>Not Receviced</v>
      </c>
      <c r="Q1282" t="str">
        <f>IF(T[[#This Row],[qty_received]]&lt;&gt;T[[#This Row],[qty_invoiced]],IF(T[[#This Row],[qty_invoiced]]&gt;0,"Partial Invoiced","Not Invoiced"),"Fully Invoiced")</f>
        <v>Partial Invoiced</v>
      </c>
      <c r="R1282" t="str">
        <f>IFERROR(VLOOKUP(T[[#This Row],[warehouse]],Table2[],2,FALSE),"--")</f>
        <v>--</v>
      </c>
    </row>
    <row r="1283" spans="1:18" x14ac:dyDescent="0.25">
      <c r="A1283" t="s">
        <v>686</v>
      </c>
      <c r="B1283" s="1">
        <v>43849</v>
      </c>
      <c r="C1283" t="s">
        <v>687</v>
      </c>
      <c r="D1283" t="s">
        <v>212</v>
      </c>
      <c r="E1283" t="s">
        <v>51</v>
      </c>
      <c r="F1283" t="s">
        <v>164</v>
      </c>
      <c r="G1283" t="s">
        <v>164</v>
      </c>
      <c r="H1283" t="s">
        <v>54</v>
      </c>
      <c r="I1283">
        <v>8</v>
      </c>
      <c r="J1283">
        <v>0</v>
      </c>
      <c r="K1283">
        <v>1</v>
      </c>
      <c r="L1283" t="s">
        <v>25</v>
      </c>
      <c r="M1283" t="s">
        <v>533</v>
      </c>
      <c r="N1283">
        <v>200</v>
      </c>
      <c r="O1283">
        <v>0</v>
      </c>
      <c r="P1283" t="str">
        <f>IF(T[[#This Row],[qty_ordered]]&lt;&gt;T[[#This Row],[qty_received]],IF(T[[#This Row],[qty_received]]&gt;0,"Partial Received","Not Receviced"),"FullyReceived")</f>
        <v>Not Receviced</v>
      </c>
      <c r="Q1283" t="str">
        <f>IF(T[[#This Row],[qty_received]]&lt;&gt;T[[#This Row],[qty_invoiced]],IF(T[[#This Row],[qty_invoiced]]&gt;0,"Partial Invoiced","Not Invoiced"),"Fully Invoiced")</f>
        <v>Partial Invoiced</v>
      </c>
      <c r="R1283" t="str">
        <f>IFERROR(VLOOKUP(T[[#This Row],[warehouse]],Table2[],2,FALSE),"--")</f>
        <v>--</v>
      </c>
    </row>
    <row r="1284" spans="1:18" x14ac:dyDescent="0.25">
      <c r="A1284" t="s">
        <v>686</v>
      </c>
      <c r="B1284" s="1">
        <v>43849</v>
      </c>
      <c r="C1284" t="s">
        <v>687</v>
      </c>
      <c r="D1284" t="s">
        <v>322</v>
      </c>
      <c r="E1284" t="s">
        <v>51</v>
      </c>
      <c r="F1284" t="s">
        <v>433</v>
      </c>
      <c r="G1284" t="s">
        <v>433</v>
      </c>
      <c r="H1284" t="s">
        <v>54</v>
      </c>
      <c r="I1284">
        <v>260</v>
      </c>
      <c r="J1284">
        <v>0</v>
      </c>
      <c r="K1284">
        <v>1</v>
      </c>
      <c r="L1284" t="s">
        <v>25</v>
      </c>
      <c r="M1284" t="s">
        <v>533</v>
      </c>
      <c r="N1284">
        <v>50.115385000000003</v>
      </c>
      <c r="O1284">
        <v>0</v>
      </c>
      <c r="P1284" t="str">
        <f>IF(T[[#This Row],[qty_ordered]]&lt;&gt;T[[#This Row],[qty_received]],IF(T[[#This Row],[qty_received]]&gt;0,"Partial Received","Not Receviced"),"FullyReceived")</f>
        <v>Not Receviced</v>
      </c>
      <c r="Q1284" t="str">
        <f>IF(T[[#This Row],[qty_received]]&lt;&gt;T[[#This Row],[qty_invoiced]],IF(T[[#This Row],[qty_invoiced]]&gt;0,"Partial Invoiced","Not Invoiced"),"Fully Invoiced")</f>
        <v>Partial Invoiced</v>
      </c>
      <c r="R1284" t="str">
        <f>IFERROR(VLOOKUP(T[[#This Row],[warehouse]],Table2[],2,FALSE),"--")</f>
        <v>--</v>
      </c>
    </row>
    <row r="1285" spans="1:18" x14ac:dyDescent="0.25">
      <c r="A1285" t="s">
        <v>686</v>
      </c>
      <c r="B1285" s="1">
        <v>43849</v>
      </c>
      <c r="C1285" t="s">
        <v>687</v>
      </c>
      <c r="D1285" t="s">
        <v>323</v>
      </c>
      <c r="E1285" t="s">
        <v>51</v>
      </c>
      <c r="F1285" t="s">
        <v>390</v>
      </c>
      <c r="G1285" t="s">
        <v>390</v>
      </c>
      <c r="H1285" t="s">
        <v>54</v>
      </c>
      <c r="I1285">
        <v>1400</v>
      </c>
      <c r="J1285">
        <v>0</v>
      </c>
      <c r="K1285">
        <v>1</v>
      </c>
      <c r="L1285" t="s">
        <v>25</v>
      </c>
      <c r="M1285" t="s">
        <v>533</v>
      </c>
      <c r="N1285">
        <v>1</v>
      </c>
      <c r="O1285">
        <v>0</v>
      </c>
      <c r="P1285" t="str">
        <f>IF(T[[#This Row],[qty_ordered]]&lt;&gt;T[[#This Row],[qty_received]],IF(T[[#This Row],[qty_received]]&gt;0,"Partial Received","Not Receviced"),"FullyReceived")</f>
        <v>Not Receviced</v>
      </c>
      <c r="Q1285" t="str">
        <f>IF(T[[#This Row],[qty_received]]&lt;&gt;T[[#This Row],[qty_invoiced]],IF(T[[#This Row],[qty_invoiced]]&gt;0,"Partial Invoiced","Not Invoiced"),"Fully Invoiced")</f>
        <v>Partial Invoiced</v>
      </c>
      <c r="R1285" t="str">
        <f>IFERROR(VLOOKUP(T[[#This Row],[warehouse]],Table2[],2,FALSE),"--")</f>
        <v>--</v>
      </c>
    </row>
    <row r="1286" spans="1:18" x14ac:dyDescent="0.25">
      <c r="A1286" t="s">
        <v>493</v>
      </c>
      <c r="B1286" s="1">
        <v>43898</v>
      </c>
      <c r="C1286" t="s">
        <v>1104</v>
      </c>
      <c r="D1286" t="s">
        <v>20</v>
      </c>
      <c r="E1286" t="s">
        <v>51</v>
      </c>
      <c r="F1286" t="s">
        <v>52</v>
      </c>
      <c r="G1286" t="s">
        <v>274</v>
      </c>
      <c r="H1286" t="s">
        <v>54</v>
      </c>
      <c r="I1286">
        <v>12000</v>
      </c>
      <c r="J1286">
        <v>0</v>
      </c>
      <c r="K1286">
        <v>0</v>
      </c>
      <c r="L1286" t="s">
        <v>25</v>
      </c>
      <c r="M1286" t="s">
        <v>359</v>
      </c>
      <c r="N1286">
        <v>93.629600999999994</v>
      </c>
      <c r="O1286">
        <v>0</v>
      </c>
      <c r="P1286" t="str">
        <f>IF(T[[#This Row],[qty_ordered]]&lt;&gt;T[[#This Row],[qty_received]],IF(T[[#This Row],[qty_received]]&gt;0,"Partial Received","Not Receviced"),"FullyReceived")</f>
        <v>Not Receviced</v>
      </c>
      <c r="Q1286" t="str">
        <f>IF(T[[#This Row],[qty_received]]&lt;&gt;T[[#This Row],[qty_invoiced]],IF(T[[#This Row],[qty_invoiced]]&gt;0,"Partial Invoiced","Not Invoiced"),"Fully Invoiced")</f>
        <v>Fully Invoiced</v>
      </c>
      <c r="R1286" t="str">
        <f>IFERROR(VLOOKUP(T[[#This Row],[warehouse]],Table2[],2,FALSE),"--")</f>
        <v>--</v>
      </c>
    </row>
    <row r="1287" spans="1:18" x14ac:dyDescent="0.25">
      <c r="A1287" t="s">
        <v>632</v>
      </c>
      <c r="B1287" s="1">
        <v>43886</v>
      </c>
      <c r="C1287" t="s">
        <v>1105</v>
      </c>
      <c r="D1287" t="s">
        <v>20</v>
      </c>
      <c r="E1287" t="s">
        <v>629</v>
      </c>
      <c r="F1287" t="s">
        <v>22</v>
      </c>
      <c r="G1287" t="s">
        <v>23</v>
      </c>
      <c r="H1287" t="s">
        <v>24</v>
      </c>
      <c r="I1287">
        <v>1000</v>
      </c>
      <c r="J1287">
        <v>432.33</v>
      </c>
      <c r="K1287">
        <v>432.33</v>
      </c>
      <c r="L1287" t="s">
        <v>25</v>
      </c>
      <c r="M1287" t="s">
        <v>132</v>
      </c>
      <c r="N1287">
        <v>72000</v>
      </c>
      <c r="O1287">
        <v>31127760</v>
      </c>
      <c r="P1287" t="str">
        <f>IF(T[[#This Row],[qty_ordered]]&lt;&gt;T[[#This Row],[qty_received]],IF(T[[#This Row],[qty_received]]&gt;0,"Partial Received","Not Receviced"),"FullyReceived")</f>
        <v>Partial Received</v>
      </c>
      <c r="Q1287" t="str">
        <f>IF(T[[#This Row],[qty_received]]&lt;&gt;T[[#This Row],[qty_invoiced]],IF(T[[#This Row],[qty_invoiced]]&gt;0,"Partial Invoiced","Not Invoiced"),"Fully Invoiced")</f>
        <v>Fully Invoiced</v>
      </c>
      <c r="R1287" t="str">
        <f>IFERROR(VLOOKUP(T[[#This Row],[warehouse]],Table2[],2,FALSE),"--")</f>
        <v>SOPC Sifting &amp; Sorting</v>
      </c>
    </row>
    <row r="1288" spans="1:18" x14ac:dyDescent="0.25">
      <c r="A1288" t="s">
        <v>1106</v>
      </c>
      <c r="B1288" s="1">
        <v>43900</v>
      </c>
      <c r="C1288" t="s">
        <v>1107</v>
      </c>
      <c r="D1288" t="s">
        <v>20</v>
      </c>
      <c r="E1288" t="s">
        <v>823</v>
      </c>
      <c r="F1288" t="s">
        <v>22</v>
      </c>
      <c r="G1288" t="s">
        <v>23</v>
      </c>
      <c r="H1288" t="s">
        <v>24</v>
      </c>
      <c r="I1288">
        <v>1000</v>
      </c>
      <c r="J1288">
        <v>80.23</v>
      </c>
      <c r="K1288">
        <v>80.23</v>
      </c>
      <c r="L1288" t="s">
        <v>25</v>
      </c>
      <c r="M1288" t="s">
        <v>132</v>
      </c>
      <c r="N1288">
        <v>65000</v>
      </c>
      <c r="O1288">
        <v>5214950</v>
      </c>
      <c r="P1288" t="str">
        <f>IF(T[[#This Row],[qty_ordered]]&lt;&gt;T[[#This Row],[qty_received]],IF(T[[#This Row],[qty_received]]&gt;0,"Partial Received","Not Receviced"),"FullyReceived")</f>
        <v>Partial Received</v>
      </c>
      <c r="Q1288" t="str">
        <f>IF(T[[#This Row],[qty_received]]&lt;&gt;T[[#This Row],[qty_invoiced]],IF(T[[#This Row],[qty_invoiced]]&gt;0,"Partial Invoiced","Not Invoiced"),"Fully Invoiced")</f>
        <v>Fully Invoiced</v>
      </c>
      <c r="R1288" t="str">
        <f>IFERROR(VLOOKUP(T[[#This Row],[warehouse]],Table2[],2,FALSE),"--")</f>
        <v>Crusher - Al haramain</v>
      </c>
    </row>
    <row r="1289" spans="1:18" x14ac:dyDescent="0.25">
      <c r="A1289" t="s">
        <v>534</v>
      </c>
      <c r="B1289" s="1">
        <v>43822</v>
      </c>
      <c r="C1289" t="s">
        <v>839</v>
      </c>
      <c r="D1289" t="s">
        <v>71</v>
      </c>
      <c r="E1289" t="s">
        <v>66</v>
      </c>
      <c r="F1289" t="s">
        <v>67</v>
      </c>
      <c r="G1289" t="s">
        <v>68</v>
      </c>
      <c r="H1289" t="s">
        <v>24</v>
      </c>
      <c r="I1289">
        <v>300</v>
      </c>
      <c r="J1289">
        <v>0</v>
      </c>
      <c r="K1289">
        <v>0</v>
      </c>
      <c r="L1289" t="s">
        <v>25</v>
      </c>
      <c r="M1289" t="s">
        <v>714</v>
      </c>
      <c r="N1289">
        <v>122500</v>
      </c>
      <c r="O1289">
        <v>0</v>
      </c>
      <c r="P1289" t="str">
        <f>IF(T[[#This Row],[qty_ordered]]&lt;&gt;T[[#This Row],[qty_received]],IF(T[[#This Row],[qty_received]]&gt;0,"Partial Received","Not Receviced"),"FullyReceived")</f>
        <v>Not Receviced</v>
      </c>
      <c r="Q1289" t="str">
        <f>IF(T[[#This Row],[qty_received]]&lt;&gt;T[[#This Row],[qty_invoiced]],IF(T[[#This Row],[qty_invoiced]]&gt;0,"Partial Invoiced","Not Invoiced"),"Fully Invoiced")</f>
        <v>Fully Invoiced</v>
      </c>
      <c r="R1289" t="str">
        <f>IFERROR(VLOOKUP(T[[#This Row],[warehouse]],Table2[],2,FALSE),"--")</f>
        <v>PZU Main Warehouse</v>
      </c>
    </row>
    <row r="1290" spans="1:18" x14ac:dyDescent="0.25">
      <c r="A1290" t="s">
        <v>181</v>
      </c>
      <c r="B1290" s="1">
        <v>43913</v>
      </c>
      <c r="C1290" t="s">
        <v>699</v>
      </c>
      <c r="D1290" t="s">
        <v>20</v>
      </c>
      <c r="E1290" t="s">
        <v>51</v>
      </c>
      <c r="F1290" t="s">
        <v>183</v>
      </c>
      <c r="G1290" t="s">
        <v>1108</v>
      </c>
      <c r="H1290" t="s">
        <v>54</v>
      </c>
      <c r="I1290">
        <v>500</v>
      </c>
      <c r="J1290">
        <v>0</v>
      </c>
      <c r="K1290">
        <v>1</v>
      </c>
      <c r="L1290" t="s">
        <v>25</v>
      </c>
      <c r="M1290" t="s">
        <v>533</v>
      </c>
      <c r="N1290">
        <v>675</v>
      </c>
      <c r="O1290">
        <v>0</v>
      </c>
      <c r="P1290" t="str">
        <f>IF(T[[#This Row],[qty_ordered]]&lt;&gt;T[[#This Row],[qty_received]],IF(T[[#This Row],[qty_received]]&gt;0,"Partial Received","Not Receviced"),"FullyReceived")</f>
        <v>Not Receviced</v>
      </c>
      <c r="Q1290" t="str">
        <f>IF(T[[#This Row],[qty_received]]&lt;&gt;T[[#This Row],[qty_invoiced]],IF(T[[#This Row],[qty_invoiced]]&gt;0,"Partial Invoiced","Not Invoiced"),"Fully Invoiced")</f>
        <v>Partial Invoiced</v>
      </c>
      <c r="R1290" t="str">
        <f>IFERROR(VLOOKUP(T[[#This Row],[warehouse]],Table2[],2,FALSE),"--")</f>
        <v>--</v>
      </c>
    </row>
    <row r="1291" spans="1:18" x14ac:dyDescent="0.25">
      <c r="A1291" t="s">
        <v>1055</v>
      </c>
      <c r="B1291" s="1">
        <v>43901</v>
      </c>
      <c r="C1291" t="s">
        <v>1109</v>
      </c>
      <c r="D1291" t="s">
        <v>20</v>
      </c>
      <c r="E1291" t="s">
        <v>660</v>
      </c>
      <c r="F1291" t="s">
        <v>705</v>
      </c>
      <c r="G1291" t="s">
        <v>706</v>
      </c>
      <c r="H1291" t="s">
        <v>663</v>
      </c>
      <c r="I1291">
        <v>3018.9</v>
      </c>
      <c r="J1291">
        <v>3018.9</v>
      </c>
      <c r="K1291">
        <v>3018.9</v>
      </c>
      <c r="L1291" t="s">
        <v>25</v>
      </c>
      <c r="M1291" t="s">
        <v>132</v>
      </c>
      <c r="N1291">
        <v>689.75355300000001</v>
      </c>
      <c r="O1291">
        <v>2082297.0011517</v>
      </c>
      <c r="P1291" t="str">
        <f>IF(T[[#This Row],[qty_ordered]]&lt;&gt;T[[#This Row],[qty_received]],IF(T[[#This Row],[qty_received]]&gt;0,"Partial Received","Not Receviced"),"FullyReceived")</f>
        <v>FullyReceived</v>
      </c>
      <c r="Q1291" t="str">
        <f>IF(T[[#This Row],[qty_received]]&lt;&gt;T[[#This Row],[qty_invoiced]],IF(T[[#This Row],[qty_invoiced]]&gt;0,"Partial Invoiced","Not Invoiced"),"Fully Invoiced")</f>
        <v>Fully Invoiced</v>
      </c>
      <c r="R1291" t="str">
        <f>IFERROR(VLOOKUP(T[[#This Row],[warehouse]],Table2[],2,FALSE),"--")</f>
        <v>SLAUGHTER HOUSE</v>
      </c>
    </row>
    <row r="1292" spans="1:18" x14ac:dyDescent="0.25">
      <c r="A1292" t="s">
        <v>437</v>
      </c>
      <c r="B1292" s="1">
        <v>43906</v>
      </c>
      <c r="C1292" t="s">
        <v>1110</v>
      </c>
      <c r="D1292" t="s">
        <v>20</v>
      </c>
      <c r="E1292" t="s">
        <v>51</v>
      </c>
      <c r="F1292" t="s">
        <v>183</v>
      </c>
      <c r="G1292" t="s">
        <v>657</v>
      </c>
      <c r="H1292" t="s">
        <v>54</v>
      </c>
      <c r="I1292">
        <v>300</v>
      </c>
      <c r="J1292">
        <v>0</v>
      </c>
      <c r="K1292">
        <v>1</v>
      </c>
      <c r="L1292" t="s">
        <v>25</v>
      </c>
      <c r="M1292" t="s">
        <v>533</v>
      </c>
      <c r="N1292">
        <v>800</v>
      </c>
      <c r="O1292">
        <v>0</v>
      </c>
      <c r="P1292" t="str">
        <f>IF(T[[#This Row],[qty_ordered]]&lt;&gt;T[[#This Row],[qty_received]],IF(T[[#This Row],[qty_received]]&gt;0,"Partial Received","Not Receviced"),"FullyReceived")</f>
        <v>Not Receviced</v>
      </c>
      <c r="Q1292" t="str">
        <f>IF(T[[#This Row],[qty_received]]&lt;&gt;T[[#This Row],[qty_invoiced]],IF(T[[#This Row],[qty_invoiced]]&gt;0,"Partial Invoiced","Not Invoiced"),"Fully Invoiced")</f>
        <v>Partial Invoiced</v>
      </c>
      <c r="R1292" t="str">
        <f>IFERROR(VLOOKUP(T[[#This Row],[warehouse]],Table2[],2,FALSE),"--")</f>
        <v>--</v>
      </c>
    </row>
    <row r="1293" spans="1:18" x14ac:dyDescent="0.25">
      <c r="A1293" t="s">
        <v>153</v>
      </c>
      <c r="B1293" s="1">
        <v>43807</v>
      </c>
      <c r="C1293" t="s">
        <v>549</v>
      </c>
      <c r="D1293" t="s">
        <v>71</v>
      </c>
      <c r="E1293" t="s">
        <v>66</v>
      </c>
      <c r="F1293" t="s">
        <v>86</v>
      </c>
      <c r="G1293" t="s">
        <v>87</v>
      </c>
      <c r="H1293" t="s">
        <v>24</v>
      </c>
      <c r="I1293">
        <v>449.44</v>
      </c>
      <c r="J1293">
        <v>0</v>
      </c>
      <c r="K1293">
        <v>0</v>
      </c>
      <c r="L1293" t="s">
        <v>25</v>
      </c>
      <c r="M1293" t="s">
        <v>132</v>
      </c>
      <c r="N1293">
        <v>111250</v>
      </c>
      <c r="O1293">
        <v>0</v>
      </c>
      <c r="P1293" t="str">
        <f>IF(T[[#This Row],[qty_ordered]]&lt;&gt;T[[#This Row],[qty_received]],IF(T[[#This Row],[qty_received]]&gt;0,"Partial Received","Not Receviced"),"FullyReceived")</f>
        <v>Not Receviced</v>
      </c>
      <c r="Q1293" t="str">
        <f>IF(T[[#This Row],[qty_received]]&lt;&gt;T[[#This Row],[qty_invoiced]],IF(T[[#This Row],[qty_invoiced]]&gt;0,"Partial Invoiced","Not Invoiced"),"Fully Invoiced")</f>
        <v>Fully Invoiced</v>
      </c>
      <c r="R1293" t="str">
        <f>IFERROR(VLOOKUP(T[[#This Row],[warehouse]],Table2[],2,FALSE),"--")</f>
        <v>PZU Main Warehouse</v>
      </c>
    </row>
    <row r="1294" spans="1:18" x14ac:dyDescent="0.25">
      <c r="A1294" t="s">
        <v>534</v>
      </c>
      <c r="B1294" s="1">
        <v>43818</v>
      </c>
      <c r="C1294" t="s">
        <v>835</v>
      </c>
      <c r="D1294" t="s">
        <v>100</v>
      </c>
      <c r="E1294" t="s">
        <v>552</v>
      </c>
      <c r="F1294" t="s">
        <v>47</v>
      </c>
      <c r="G1294" t="s">
        <v>48</v>
      </c>
      <c r="H1294" t="s">
        <v>24</v>
      </c>
      <c r="I1294">
        <v>1000</v>
      </c>
      <c r="J1294">
        <v>399.12</v>
      </c>
      <c r="K1294">
        <v>399.12</v>
      </c>
      <c r="L1294" t="s">
        <v>25</v>
      </c>
      <c r="M1294" t="s">
        <v>132</v>
      </c>
      <c r="N1294">
        <v>93450</v>
      </c>
      <c r="O1294">
        <v>37297764</v>
      </c>
      <c r="P1294" t="str">
        <f>IF(T[[#This Row],[qty_ordered]]&lt;&gt;T[[#This Row],[qty_received]],IF(T[[#This Row],[qty_received]]&gt;0,"Partial Received","Not Receviced"),"FullyReceived")</f>
        <v>Partial Received</v>
      </c>
      <c r="Q1294" t="str">
        <f>IF(T[[#This Row],[qty_received]]&lt;&gt;T[[#This Row],[qty_invoiced]],IF(T[[#This Row],[qty_invoiced]]&gt;0,"Partial Invoiced","Not Invoiced"),"Fully Invoiced")</f>
        <v>Fully Invoiced</v>
      </c>
      <c r="R1294" t="str">
        <f>IFERROR(VLOOKUP(T[[#This Row],[warehouse]],Table2[],2,FALSE),"--")</f>
        <v>SIFTER - SAN DA-PZU</v>
      </c>
    </row>
    <row r="1295" spans="1:18" x14ac:dyDescent="0.25">
      <c r="A1295" t="s">
        <v>201</v>
      </c>
      <c r="B1295" s="1">
        <v>43906</v>
      </c>
      <c r="C1295" t="s">
        <v>1111</v>
      </c>
      <c r="D1295" t="s">
        <v>20</v>
      </c>
      <c r="E1295" t="s">
        <v>203</v>
      </c>
      <c r="F1295" t="s">
        <v>204</v>
      </c>
      <c r="G1295" t="s">
        <v>205</v>
      </c>
      <c r="H1295" t="s">
        <v>206</v>
      </c>
      <c r="I1295">
        <v>620</v>
      </c>
      <c r="J1295">
        <v>620</v>
      </c>
      <c r="K1295">
        <v>620</v>
      </c>
      <c r="L1295" t="s">
        <v>25</v>
      </c>
      <c r="M1295" t="s">
        <v>575</v>
      </c>
      <c r="N1295">
        <v>45811.446600000003</v>
      </c>
      <c r="O1295">
        <v>28403096.892000001</v>
      </c>
      <c r="P1295" t="str">
        <f>IF(T[[#This Row],[qty_ordered]]&lt;&gt;T[[#This Row],[qty_received]],IF(T[[#This Row],[qty_received]]&gt;0,"Partial Received","Not Receviced"),"FullyReceived")</f>
        <v>FullyReceived</v>
      </c>
      <c r="Q1295" t="str">
        <f>IF(T[[#This Row],[qty_received]]&lt;&gt;T[[#This Row],[qty_invoiced]],IF(T[[#This Row],[qty_invoiced]]&gt;0,"Partial Invoiced","Not Invoiced"),"Fully Invoiced")</f>
        <v>Fully Invoiced</v>
      </c>
      <c r="R1295" t="str">
        <f>IFERROR(VLOOKUP(T[[#This Row],[warehouse]],Table2[],2,FALSE),"--")</f>
        <v>PZU Packaging Warehouse</v>
      </c>
    </row>
    <row r="1296" spans="1:18" x14ac:dyDescent="0.25">
      <c r="A1296" t="s">
        <v>1112</v>
      </c>
      <c r="B1296" s="1">
        <v>43907</v>
      </c>
      <c r="C1296" t="s">
        <v>1113</v>
      </c>
      <c r="D1296" t="s">
        <v>20</v>
      </c>
      <c r="E1296" t="s">
        <v>239</v>
      </c>
      <c r="F1296" t="s">
        <v>244</v>
      </c>
      <c r="G1296" t="s">
        <v>245</v>
      </c>
      <c r="H1296" t="s">
        <v>24</v>
      </c>
      <c r="I1296">
        <v>200</v>
      </c>
      <c r="J1296">
        <v>192.58</v>
      </c>
      <c r="K1296">
        <v>192.58</v>
      </c>
      <c r="L1296" t="s">
        <v>25</v>
      </c>
      <c r="M1296" t="s">
        <v>132</v>
      </c>
      <c r="N1296">
        <v>120000</v>
      </c>
      <c r="O1296">
        <v>23109600</v>
      </c>
      <c r="P1296" t="str">
        <f>IF(T[[#This Row],[qty_ordered]]&lt;&gt;T[[#This Row],[qty_received]],IF(T[[#This Row],[qty_received]]&gt;0,"Partial Received","Not Receviced"),"FullyReceived")</f>
        <v>Partial Received</v>
      </c>
      <c r="Q1296" t="str">
        <f>IF(T[[#This Row],[qty_received]]&lt;&gt;T[[#This Row],[qty_invoiced]],IF(T[[#This Row],[qty_invoiced]]&gt;0,"Partial Invoiced","Not Invoiced"),"Fully Invoiced")</f>
        <v>Fully Invoiced</v>
      </c>
      <c r="R1296" t="str">
        <f>IFERROR(VLOOKUP(T[[#This Row],[warehouse]],Table2[],2,FALSE),"--")</f>
        <v xml:space="preserve">Gadarif Main Store </v>
      </c>
    </row>
    <row r="1297" spans="1:18" x14ac:dyDescent="0.25">
      <c r="A1297" t="s">
        <v>144</v>
      </c>
      <c r="B1297" s="1">
        <v>43912</v>
      </c>
      <c r="C1297" t="s">
        <v>695</v>
      </c>
      <c r="D1297" t="s">
        <v>20</v>
      </c>
      <c r="E1297" t="s">
        <v>146</v>
      </c>
      <c r="F1297" t="s">
        <v>147</v>
      </c>
      <c r="G1297" t="s">
        <v>148</v>
      </c>
      <c r="H1297" t="s">
        <v>149</v>
      </c>
      <c r="I1297">
        <v>60000</v>
      </c>
      <c r="J1297">
        <v>42600</v>
      </c>
      <c r="K1297">
        <v>42600</v>
      </c>
      <c r="L1297" t="s">
        <v>25</v>
      </c>
      <c r="M1297" t="s">
        <v>575</v>
      </c>
      <c r="N1297">
        <v>10.62</v>
      </c>
      <c r="O1297">
        <v>454944</v>
      </c>
      <c r="P1297" t="str">
        <f>IF(T[[#This Row],[qty_ordered]]&lt;&gt;T[[#This Row],[qty_received]],IF(T[[#This Row],[qty_received]]&gt;0,"Partial Received","Not Receviced"),"FullyReceived")</f>
        <v>Partial Received</v>
      </c>
      <c r="Q1297" t="str">
        <f>IF(T[[#This Row],[qty_received]]&lt;&gt;T[[#This Row],[qty_invoiced]],IF(T[[#This Row],[qty_invoiced]]&gt;0,"Partial Invoiced","Not Invoiced"),"Fully Invoiced")</f>
        <v>Fully Invoiced</v>
      </c>
      <c r="R1297" t="str">
        <f>IFERROR(VLOOKUP(T[[#This Row],[warehouse]],Table2[],2,FALSE),"--")</f>
        <v>Khtoum Main Warehouse</v>
      </c>
    </row>
    <row r="1298" spans="1:18" x14ac:dyDescent="0.25">
      <c r="A1298" t="s">
        <v>144</v>
      </c>
      <c r="B1298" s="1">
        <v>43912</v>
      </c>
      <c r="C1298" t="s">
        <v>695</v>
      </c>
      <c r="D1298" t="s">
        <v>71</v>
      </c>
      <c r="E1298" t="s">
        <v>146</v>
      </c>
      <c r="F1298" t="s">
        <v>151</v>
      </c>
      <c r="G1298" t="s">
        <v>152</v>
      </c>
      <c r="H1298" t="s">
        <v>149</v>
      </c>
      <c r="I1298">
        <v>60000</v>
      </c>
      <c r="J1298">
        <v>60000</v>
      </c>
      <c r="K1298">
        <v>60000</v>
      </c>
      <c r="L1298" t="s">
        <v>25</v>
      </c>
      <c r="M1298" t="s">
        <v>575</v>
      </c>
      <c r="N1298">
        <v>12.3</v>
      </c>
      <c r="O1298">
        <v>640503</v>
      </c>
      <c r="P1298" t="str">
        <f>IF(T[[#This Row],[qty_ordered]]&lt;&gt;T[[#This Row],[qty_received]],IF(T[[#This Row],[qty_received]]&gt;0,"Partial Received","Not Receviced"),"FullyReceived")</f>
        <v>FullyReceived</v>
      </c>
      <c r="Q1298" t="str">
        <f>IF(T[[#This Row],[qty_received]]&lt;&gt;T[[#This Row],[qty_invoiced]],IF(T[[#This Row],[qty_invoiced]]&gt;0,"Partial Invoiced","Not Invoiced"),"Fully Invoiced")</f>
        <v>Fully Invoiced</v>
      </c>
      <c r="R1298" t="str">
        <f>IFERROR(VLOOKUP(T[[#This Row],[warehouse]],Table2[],2,FALSE),"--")</f>
        <v>Khtoum Main Warehouse</v>
      </c>
    </row>
    <row r="1299" spans="1:18" x14ac:dyDescent="0.25">
      <c r="A1299" t="s">
        <v>1114</v>
      </c>
      <c r="B1299" s="1">
        <v>44460</v>
      </c>
      <c r="C1299" t="s">
        <v>1115</v>
      </c>
      <c r="D1299" t="s">
        <v>100</v>
      </c>
      <c r="E1299" t="s">
        <v>660</v>
      </c>
      <c r="F1299" t="s">
        <v>1116</v>
      </c>
      <c r="G1299" t="s">
        <v>1117</v>
      </c>
      <c r="H1299" t="s">
        <v>54</v>
      </c>
      <c r="I1299">
        <v>704</v>
      </c>
      <c r="J1299">
        <v>0</v>
      </c>
      <c r="K1299">
        <v>0</v>
      </c>
      <c r="L1299" t="s">
        <v>25</v>
      </c>
      <c r="M1299" t="s">
        <v>132</v>
      </c>
      <c r="N1299">
        <v>4129.2618000000002</v>
      </c>
      <c r="O1299">
        <v>0</v>
      </c>
      <c r="P1299" t="str">
        <f>IF(T[[#This Row],[qty_ordered]]&lt;&gt;T[[#This Row],[qty_received]],IF(T[[#This Row],[qty_received]]&gt;0,"Partial Received","Not Receviced"),"FullyReceived")</f>
        <v>Not Receviced</v>
      </c>
      <c r="Q1299" t="str">
        <f>IF(T[[#This Row],[qty_received]]&lt;&gt;T[[#This Row],[qty_invoiced]],IF(T[[#This Row],[qty_invoiced]]&gt;0,"Partial Invoiced","Not Invoiced"),"Fully Invoiced")</f>
        <v>Fully Invoiced</v>
      </c>
      <c r="R1299" t="str">
        <f>IFERROR(VLOOKUP(T[[#This Row],[warehouse]],Table2[],2,FALSE),"--")</f>
        <v>SLAUGHTER HOUSE</v>
      </c>
    </row>
    <row r="1300" spans="1:18" x14ac:dyDescent="0.25">
      <c r="A1300" t="s">
        <v>1118</v>
      </c>
      <c r="B1300" s="1">
        <v>44430</v>
      </c>
      <c r="C1300" t="s">
        <v>1119</v>
      </c>
      <c r="D1300" t="s">
        <v>100</v>
      </c>
      <c r="E1300" t="s">
        <v>660</v>
      </c>
      <c r="F1300" t="s">
        <v>1116</v>
      </c>
      <c r="G1300" t="s">
        <v>1117</v>
      </c>
      <c r="H1300" t="s">
        <v>54</v>
      </c>
      <c r="I1300">
        <v>11034</v>
      </c>
      <c r="J1300">
        <v>0</v>
      </c>
      <c r="K1300">
        <v>0</v>
      </c>
      <c r="L1300" t="s">
        <v>693</v>
      </c>
      <c r="M1300" t="s">
        <v>132</v>
      </c>
      <c r="N1300">
        <v>0</v>
      </c>
      <c r="O1300">
        <v>0</v>
      </c>
      <c r="P1300" t="str">
        <f>IF(T[[#This Row],[qty_ordered]]&lt;&gt;T[[#This Row],[qty_received]],IF(T[[#This Row],[qty_received]]&gt;0,"Partial Received","Not Receviced"),"FullyReceived")</f>
        <v>Not Receviced</v>
      </c>
      <c r="Q1300" t="str">
        <f>IF(T[[#This Row],[qty_received]]&lt;&gt;T[[#This Row],[qty_invoiced]],IF(T[[#This Row],[qty_invoiced]]&gt;0,"Partial Invoiced","Not Invoiced"),"Fully Invoiced")</f>
        <v>Fully Invoiced</v>
      </c>
      <c r="R1300" t="str">
        <f>IFERROR(VLOOKUP(T[[#This Row],[warehouse]],Table2[],2,FALSE),"--")</f>
        <v>SLAUGHTER HOUSE</v>
      </c>
    </row>
    <row r="1301" spans="1:18" x14ac:dyDescent="0.25">
      <c r="A1301" t="s">
        <v>423</v>
      </c>
      <c r="B1301" s="1">
        <v>43885</v>
      </c>
      <c r="C1301" t="s">
        <v>646</v>
      </c>
      <c r="D1301" t="s">
        <v>100</v>
      </c>
      <c r="E1301" t="s">
        <v>51</v>
      </c>
      <c r="F1301" t="s">
        <v>546</v>
      </c>
      <c r="G1301" t="s">
        <v>613</v>
      </c>
      <c r="H1301" t="s">
        <v>54</v>
      </c>
      <c r="I1301">
        <v>19000</v>
      </c>
      <c r="J1301">
        <v>0</v>
      </c>
      <c r="K1301">
        <v>1</v>
      </c>
      <c r="L1301" t="s">
        <v>25</v>
      </c>
      <c r="M1301" t="s">
        <v>359</v>
      </c>
      <c r="N1301">
        <v>3.4319999999999999</v>
      </c>
      <c r="O1301">
        <v>0</v>
      </c>
      <c r="P1301" t="str">
        <f>IF(T[[#This Row],[qty_ordered]]&lt;&gt;T[[#This Row],[qty_received]],IF(T[[#This Row],[qty_received]]&gt;0,"Partial Received","Not Receviced"),"FullyReceived")</f>
        <v>Not Receviced</v>
      </c>
      <c r="Q1301" t="str">
        <f>IF(T[[#This Row],[qty_received]]&lt;&gt;T[[#This Row],[qty_invoiced]],IF(T[[#This Row],[qty_invoiced]]&gt;0,"Partial Invoiced","Not Invoiced"),"Fully Invoiced")</f>
        <v>Partial Invoiced</v>
      </c>
      <c r="R1301" t="str">
        <f>IFERROR(VLOOKUP(T[[#This Row],[warehouse]],Table2[],2,FALSE),"--")</f>
        <v>--</v>
      </c>
    </row>
    <row r="1302" spans="1:18" x14ac:dyDescent="0.25">
      <c r="A1302" t="s">
        <v>423</v>
      </c>
      <c r="B1302" s="1">
        <v>43885</v>
      </c>
      <c r="C1302" t="s">
        <v>646</v>
      </c>
      <c r="D1302" t="s">
        <v>88</v>
      </c>
      <c r="E1302" t="s">
        <v>51</v>
      </c>
      <c r="F1302" t="s">
        <v>546</v>
      </c>
      <c r="G1302" t="s">
        <v>613</v>
      </c>
      <c r="H1302" t="s">
        <v>54</v>
      </c>
      <c r="I1302">
        <v>10000</v>
      </c>
      <c r="J1302">
        <v>0</v>
      </c>
      <c r="K1302">
        <v>1</v>
      </c>
      <c r="L1302" t="s">
        <v>25</v>
      </c>
      <c r="M1302" t="s">
        <v>359</v>
      </c>
      <c r="N1302">
        <v>4.55</v>
      </c>
      <c r="O1302">
        <v>0</v>
      </c>
      <c r="P1302" t="str">
        <f>IF(T[[#This Row],[qty_ordered]]&lt;&gt;T[[#This Row],[qty_received]],IF(T[[#This Row],[qty_received]]&gt;0,"Partial Received","Not Receviced"),"FullyReceived")</f>
        <v>Not Receviced</v>
      </c>
      <c r="Q1302" t="str">
        <f>IF(T[[#This Row],[qty_received]]&lt;&gt;T[[#This Row],[qty_invoiced]],IF(T[[#This Row],[qty_invoiced]]&gt;0,"Partial Invoiced","Not Invoiced"),"Fully Invoiced")</f>
        <v>Partial Invoiced</v>
      </c>
      <c r="R1302" t="str">
        <f>IFERROR(VLOOKUP(T[[#This Row],[warehouse]],Table2[],2,FALSE),"--")</f>
        <v>--</v>
      </c>
    </row>
    <row r="1303" spans="1:18" x14ac:dyDescent="0.25">
      <c r="A1303" t="s">
        <v>618</v>
      </c>
      <c r="B1303" s="1">
        <v>43859</v>
      </c>
      <c r="C1303" t="s">
        <v>637</v>
      </c>
      <c r="D1303" t="s">
        <v>100</v>
      </c>
      <c r="E1303" t="s">
        <v>192</v>
      </c>
      <c r="F1303" t="s">
        <v>86</v>
      </c>
      <c r="G1303" t="s">
        <v>87</v>
      </c>
      <c r="H1303" t="s">
        <v>24</v>
      </c>
      <c r="I1303">
        <v>1666.67</v>
      </c>
      <c r="J1303">
        <v>0</v>
      </c>
      <c r="K1303">
        <v>0</v>
      </c>
      <c r="L1303" t="s">
        <v>25</v>
      </c>
      <c r="M1303" t="s">
        <v>132</v>
      </c>
      <c r="N1303">
        <v>90000</v>
      </c>
      <c r="O1303">
        <v>0</v>
      </c>
      <c r="P1303" t="str">
        <f>IF(T[[#This Row],[qty_ordered]]&lt;&gt;T[[#This Row],[qty_received]],IF(T[[#This Row],[qty_received]]&gt;0,"Partial Received","Not Receviced"),"FullyReceived")</f>
        <v>Not Receviced</v>
      </c>
      <c r="Q1303" t="str">
        <f>IF(T[[#This Row],[qty_received]]&lt;&gt;T[[#This Row],[qty_invoiced]],IF(T[[#This Row],[qty_invoiced]]&gt;0,"Partial Invoiced","Not Invoiced"),"Fully Invoiced")</f>
        <v>Fully Invoiced</v>
      </c>
      <c r="R1303" t="str">
        <f>IFERROR(VLOOKUP(T[[#This Row],[warehouse]],Table2[],2,FALSE),"--")</f>
        <v>BAYADER SIFTER-OMD</v>
      </c>
    </row>
    <row r="1304" spans="1:18" x14ac:dyDescent="0.25">
      <c r="A1304" t="s">
        <v>153</v>
      </c>
      <c r="B1304" s="1">
        <v>43906</v>
      </c>
      <c r="C1304" t="s">
        <v>783</v>
      </c>
      <c r="D1304" t="s">
        <v>20</v>
      </c>
      <c r="E1304" t="s">
        <v>146</v>
      </c>
      <c r="F1304" t="s">
        <v>691</v>
      </c>
      <c r="G1304" t="s">
        <v>478</v>
      </c>
      <c r="H1304" t="s">
        <v>24</v>
      </c>
      <c r="I1304">
        <v>1000</v>
      </c>
      <c r="J1304">
        <v>816.77</v>
      </c>
      <c r="K1304">
        <v>816.77</v>
      </c>
      <c r="L1304" t="s">
        <v>25</v>
      </c>
      <c r="M1304" t="s">
        <v>132</v>
      </c>
      <c r="N1304">
        <v>190000</v>
      </c>
      <c r="O1304">
        <v>155186300</v>
      </c>
      <c r="P1304" t="str">
        <f>IF(T[[#This Row],[qty_ordered]]&lt;&gt;T[[#This Row],[qty_received]],IF(T[[#This Row],[qty_received]]&gt;0,"Partial Received","Not Receviced"),"FullyReceived")</f>
        <v>Partial Received</v>
      </c>
      <c r="Q1304" t="str">
        <f>IF(T[[#This Row],[qty_received]]&lt;&gt;T[[#This Row],[qty_invoiced]],IF(T[[#This Row],[qty_invoiced]]&gt;0,"Partial Invoiced","Not Invoiced"),"Fully Invoiced")</f>
        <v>Fully Invoiced</v>
      </c>
      <c r="R1304" t="str">
        <f>IFERROR(VLOOKUP(T[[#This Row],[warehouse]],Table2[],2,FALSE),"--")</f>
        <v>Khtoum Main Warehouse</v>
      </c>
    </row>
    <row r="1305" spans="1:18" x14ac:dyDescent="0.25">
      <c r="A1305" t="s">
        <v>1120</v>
      </c>
      <c r="B1305" s="1">
        <v>43908</v>
      </c>
      <c r="C1305" t="s">
        <v>1121</v>
      </c>
      <c r="D1305" t="s">
        <v>20</v>
      </c>
      <c r="E1305" t="s">
        <v>146</v>
      </c>
      <c r="F1305" t="s">
        <v>86</v>
      </c>
      <c r="G1305" t="s">
        <v>87</v>
      </c>
      <c r="H1305" t="s">
        <v>24</v>
      </c>
      <c r="I1305">
        <v>101.38</v>
      </c>
      <c r="J1305">
        <v>101.38</v>
      </c>
      <c r="K1305">
        <v>101.38</v>
      </c>
      <c r="L1305" t="s">
        <v>25</v>
      </c>
      <c r="M1305" t="s">
        <v>132</v>
      </c>
      <c r="N1305">
        <v>109025</v>
      </c>
      <c r="O1305">
        <v>11052954.5</v>
      </c>
      <c r="P1305" t="str">
        <f>IF(T[[#This Row],[qty_ordered]]&lt;&gt;T[[#This Row],[qty_received]],IF(T[[#This Row],[qty_received]]&gt;0,"Partial Received","Not Receviced"),"FullyReceived")</f>
        <v>FullyReceived</v>
      </c>
      <c r="Q1305" t="str">
        <f>IF(T[[#This Row],[qty_received]]&lt;&gt;T[[#This Row],[qty_invoiced]],IF(T[[#This Row],[qty_invoiced]]&gt;0,"Partial Invoiced","Not Invoiced"),"Fully Invoiced")</f>
        <v>Fully Invoiced</v>
      </c>
      <c r="R1305" t="str">
        <f>IFERROR(VLOOKUP(T[[#This Row],[warehouse]],Table2[],2,FALSE),"--")</f>
        <v>Khtoum Main Warehouse</v>
      </c>
    </row>
    <row r="1306" spans="1:18" x14ac:dyDescent="0.25">
      <c r="A1306" t="s">
        <v>462</v>
      </c>
      <c r="B1306" s="1">
        <v>43895</v>
      </c>
      <c r="C1306" t="s">
        <v>688</v>
      </c>
      <c r="D1306" t="s">
        <v>71</v>
      </c>
      <c r="E1306" t="s">
        <v>51</v>
      </c>
      <c r="F1306" t="s">
        <v>278</v>
      </c>
      <c r="G1306" t="s">
        <v>279</v>
      </c>
      <c r="H1306" t="s">
        <v>54</v>
      </c>
      <c r="I1306">
        <v>28570</v>
      </c>
      <c r="J1306">
        <v>0</v>
      </c>
      <c r="K1306">
        <v>1</v>
      </c>
      <c r="L1306" t="s">
        <v>25</v>
      </c>
      <c r="M1306" t="s">
        <v>533</v>
      </c>
      <c r="N1306">
        <v>8</v>
      </c>
      <c r="O1306">
        <v>0</v>
      </c>
      <c r="P1306" t="str">
        <f>IF(T[[#This Row],[qty_ordered]]&lt;&gt;T[[#This Row],[qty_received]],IF(T[[#This Row],[qty_received]]&gt;0,"Partial Received","Not Receviced"),"FullyReceived")</f>
        <v>Not Receviced</v>
      </c>
      <c r="Q1306" t="str">
        <f>IF(T[[#This Row],[qty_received]]&lt;&gt;T[[#This Row],[qty_invoiced]],IF(T[[#This Row],[qty_invoiced]]&gt;0,"Partial Invoiced","Not Invoiced"),"Fully Invoiced")</f>
        <v>Partial Invoiced</v>
      </c>
      <c r="R1306" t="str">
        <f>IFERROR(VLOOKUP(T[[#This Row],[warehouse]],Table2[],2,FALSE),"--")</f>
        <v>--</v>
      </c>
    </row>
    <row r="1307" spans="1:18" x14ac:dyDescent="0.25">
      <c r="A1307" t="s">
        <v>462</v>
      </c>
      <c r="B1307" s="1">
        <v>43895</v>
      </c>
      <c r="C1307" t="s">
        <v>688</v>
      </c>
      <c r="D1307" t="s">
        <v>100</v>
      </c>
      <c r="E1307" t="s">
        <v>51</v>
      </c>
      <c r="F1307" t="s">
        <v>254</v>
      </c>
      <c r="G1307" t="s">
        <v>255</v>
      </c>
      <c r="H1307" t="s">
        <v>54</v>
      </c>
      <c r="I1307">
        <v>24000</v>
      </c>
      <c r="J1307">
        <v>0</v>
      </c>
      <c r="K1307">
        <v>1</v>
      </c>
      <c r="L1307" t="s">
        <v>25</v>
      </c>
      <c r="M1307" t="s">
        <v>533</v>
      </c>
      <c r="N1307">
        <v>5</v>
      </c>
      <c r="O1307">
        <v>0</v>
      </c>
      <c r="P1307" t="str">
        <f>IF(T[[#This Row],[qty_ordered]]&lt;&gt;T[[#This Row],[qty_received]],IF(T[[#This Row],[qty_received]]&gt;0,"Partial Received","Not Receviced"),"FullyReceived")</f>
        <v>Not Receviced</v>
      </c>
      <c r="Q1307" t="str">
        <f>IF(T[[#This Row],[qty_received]]&lt;&gt;T[[#This Row],[qty_invoiced]],IF(T[[#This Row],[qty_invoiced]]&gt;0,"Partial Invoiced","Not Invoiced"),"Fully Invoiced")</f>
        <v>Partial Invoiced</v>
      </c>
      <c r="R1307" t="str">
        <f>IFERROR(VLOOKUP(T[[#This Row],[warehouse]],Table2[],2,FALSE),"--")</f>
        <v>--</v>
      </c>
    </row>
    <row r="1308" spans="1:18" x14ac:dyDescent="0.25">
      <c r="A1308" t="s">
        <v>235</v>
      </c>
      <c r="B1308" s="1">
        <v>43921</v>
      </c>
      <c r="C1308" t="s">
        <v>1122</v>
      </c>
      <c r="D1308" t="s">
        <v>20</v>
      </c>
      <c r="E1308" t="s">
        <v>51</v>
      </c>
      <c r="F1308" t="s">
        <v>546</v>
      </c>
      <c r="G1308" t="s">
        <v>613</v>
      </c>
      <c r="H1308" t="s">
        <v>54</v>
      </c>
      <c r="I1308">
        <v>25000</v>
      </c>
      <c r="J1308">
        <v>0</v>
      </c>
      <c r="K1308">
        <v>1</v>
      </c>
      <c r="L1308" t="s">
        <v>25</v>
      </c>
      <c r="M1308" t="s">
        <v>359</v>
      </c>
      <c r="N1308">
        <v>2.85</v>
      </c>
      <c r="O1308">
        <v>0</v>
      </c>
      <c r="P1308" t="str">
        <f>IF(T[[#This Row],[qty_ordered]]&lt;&gt;T[[#This Row],[qty_received]],IF(T[[#This Row],[qty_received]]&gt;0,"Partial Received","Not Receviced"),"FullyReceived")</f>
        <v>Not Receviced</v>
      </c>
      <c r="Q1308" t="str">
        <f>IF(T[[#This Row],[qty_received]]&lt;&gt;T[[#This Row],[qty_invoiced]],IF(T[[#This Row],[qty_invoiced]]&gt;0,"Partial Invoiced","Not Invoiced"),"Fully Invoiced")</f>
        <v>Partial Invoiced</v>
      </c>
      <c r="R1308" t="str">
        <f>IFERROR(VLOOKUP(T[[#This Row],[warehouse]],Table2[],2,FALSE),"--")</f>
        <v>--</v>
      </c>
    </row>
    <row r="1309" spans="1:18" x14ac:dyDescent="0.25">
      <c r="A1309" t="s">
        <v>658</v>
      </c>
      <c r="B1309" s="1">
        <v>43895</v>
      </c>
      <c r="C1309" t="s">
        <v>1092</v>
      </c>
      <c r="D1309" t="s">
        <v>71</v>
      </c>
      <c r="E1309" t="s">
        <v>660</v>
      </c>
      <c r="F1309" t="s">
        <v>661</v>
      </c>
      <c r="G1309" t="s">
        <v>662</v>
      </c>
      <c r="H1309" t="s">
        <v>663</v>
      </c>
      <c r="I1309">
        <v>3003.7</v>
      </c>
      <c r="J1309">
        <v>0</v>
      </c>
      <c r="K1309">
        <v>0</v>
      </c>
      <c r="L1309" t="s">
        <v>25</v>
      </c>
      <c r="M1309" t="s">
        <v>132</v>
      </c>
      <c r="N1309">
        <v>345</v>
      </c>
      <c r="O1309">
        <v>0</v>
      </c>
      <c r="P1309" t="str">
        <f>IF(T[[#This Row],[qty_ordered]]&lt;&gt;T[[#This Row],[qty_received]],IF(T[[#This Row],[qty_received]]&gt;0,"Partial Received","Not Receviced"),"FullyReceived")</f>
        <v>Not Receviced</v>
      </c>
      <c r="Q1309" t="str">
        <f>IF(T[[#This Row],[qty_received]]&lt;&gt;T[[#This Row],[qty_invoiced]],IF(T[[#This Row],[qty_invoiced]]&gt;0,"Partial Invoiced","Not Invoiced"),"Fully Invoiced")</f>
        <v>Fully Invoiced</v>
      </c>
      <c r="R1309" t="str">
        <f>IFERROR(VLOOKUP(T[[#This Row],[warehouse]],Table2[],2,FALSE),"--")</f>
        <v>SLAUGHTER HOUSE</v>
      </c>
    </row>
    <row r="1310" spans="1:18" x14ac:dyDescent="0.25">
      <c r="A1310" t="s">
        <v>815</v>
      </c>
      <c r="B1310" s="1">
        <v>43852</v>
      </c>
      <c r="C1310" t="s">
        <v>885</v>
      </c>
      <c r="D1310" t="s">
        <v>74</v>
      </c>
      <c r="E1310" t="s">
        <v>44</v>
      </c>
      <c r="F1310" t="s">
        <v>108</v>
      </c>
      <c r="G1310" t="s">
        <v>109</v>
      </c>
      <c r="H1310" t="s">
        <v>24</v>
      </c>
      <c r="I1310">
        <v>337.27</v>
      </c>
      <c r="J1310">
        <v>337.27</v>
      </c>
      <c r="K1310">
        <v>337.27</v>
      </c>
      <c r="L1310" t="s">
        <v>25</v>
      </c>
      <c r="M1310" t="s">
        <v>132</v>
      </c>
      <c r="N1310">
        <v>98345</v>
      </c>
      <c r="O1310">
        <v>33619073.600000001</v>
      </c>
      <c r="P1310" t="str">
        <f>IF(T[[#This Row],[qty_ordered]]&lt;&gt;T[[#This Row],[qty_received]],IF(T[[#This Row],[qty_received]]&gt;0,"Partial Received","Not Receviced"),"FullyReceived")</f>
        <v>FullyReceived</v>
      </c>
      <c r="Q1310" t="str">
        <f>IF(T[[#This Row],[qty_received]]&lt;&gt;T[[#This Row],[qty_invoiced]],IF(T[[#This Row],[qty_invoiced]]&gt;0,"Partial Invoiced","Not Invoiced"),"Fully Invoiced")</f>
        <v>Fully Invoiced</v>
      </c>
      <c r="R1310" t="str">
        <f>IFERROR(VLOOKUP(T[[#This Row],[warehouse]],Table2[],2,FALSE),"--")</f>
        <v>Sifter OMD - Yara (AlNawris)</v>
      </c>
    </row>
    <row r="1311" spans="1:18" x14ac:dyDescent="0.25">
      <c r="A1311" t="s">
        <v>235</v>
      </c>
      <c r="B1311" s="1">
        <v>43914</v>
      </c>
      <c r="C1311" t="s">
        <v>1123</v>
      </c>
      <c r="D1311" t="s">
        <v>71</v>
      </c>
      <c r="E1311" t="s">
        <v>51</v>
      </c>
      <c r="F1311" t="s">
        <v>546</v>
      </c>
      <c r="G1311" t="s">
        <v>613</v>
      </c>
      <c r="H1311" t="s">
        <v>54</v>
      </c>
      <c r="I1311">
        <v>10000</v>
      </c>
      <c r="J1311">
        <v>0</v>
      </c>
      <c r="K1311">
        <v>1</v>
      </c>
      <c r="L1311" t="s">
        <v>25</v>
      </c>
      <c r="M1311" t="s">
        <v>359</v>
      </c>
      <c r="N1311">
        <v>2.85</v>
      </c>
      <c r="O1311">
        <v>0</v>
      </c>
      <c r="P1311" t="str">
        <f>IF(T[[#This Row],[qty_ordered]]&lt;&gt;T[[#This Row],[qty_received]],IF(T[[#This Row],[qty_received]]&gt;0,"Partial Received","Not Receviced"),"FullyReceived")</f>
        <v>Not Receviced</v>
      </c>
      <c r="Q1311" t="str">
        <f>IF(T[[#This Row],[qty_received]]&lt;&gt;T[[#This Row],[qty_invoiced]],IF(T[[#This Row],[qty_invoiced]]&gt;0,"Partial Invoiced","Not Invoiced"),"Fully Invoiced")</f>
        <v>Partial Invoiced</v>
      </c>
      <c r="R1311" t="str">
        <f>IFERROR(VLOOKUP(T[[#This Row],[warehouse]],Table2[],2,FALSE),"--")</f>
        <v>--</v>
      </c>
    </row>
    <row r="1312" spans="1:18" x14ac:dyDescent="0.25">
      <c r="A1312" t="s">
        <v>235</v>
      </c>
      <c r="B1312" s="1">
        <v>43885</v>
      </c>
      <c r="C1312" t="s">
        <v>676</v>
      </c>
      <c r="D1312" t="s">
        <v>100</v>
      </c>
      <c r="E1312" t="s">
        <v>51</v>
      </c>
      <c r="F1312" t="s">
        <v>546</v>
      </c>
      <c r="G1312" t="s">
        <v>613</v>
      </c>
      <c r="H1312" t="s">
        <v>54</v>
      </c>
      <c r="I1312">
        <v>6000</v>
      </c>
      <c r="J1312">
        <v>0</v>
      </c>
      <c r="K1312">
        <v>1</v>
      </c>
      <c r="L1312" t="s">
        <v>25</v>
      </c>
      <c r="M1312" t="s">
        <v>359</v>
      </c>
      <c r="N1312">
        <v>2.85</v>
      </c>
      <c r="O1312">
        <v>0</v>
      </c>
      <c r="P1312" t="str">
        <f>IF(T[[#This Row],[qty_ordered]]&lt;&gt;T[[#This Row],[qty_received]],IF(T[[#This Row],[qty_received]]&gt;0,"Partial Received","Not Receviced"),"FullyReceived")</f>
        <v>Not Receviced</v>
      </c>
      <c r="Q1312" t="str">
        <f>IF(T[[#This Row],[qty_received]]&lt;&gt;T[[#This Row],[qty_invoiced]],IF(T[[#This Row],[qty_invoiced]]&gt;0,"Partial Invoiced","Not Invoiced"),"Fully Invoiced")</f>
        <v>Partial Invoiced</v>
      </c>
      <c r="R1312" t="str">
        <f>IFERROR(VLOOKUP(T[[#This Row],[warehouse]],Table2[],2,FALSE),"--")</f>
        <v>--</v>
      </c>
    </row>
    <row r="1313" spans="1:18" x14ac:dyDescent="0.25">
      <c r="A1313" t="s">
        <v>235</v>
      </c>
      <c r="B1313" s="1">
        <v>43885</v>
      </c>
      <c r="C1313" t="s">
        <v>676</v>
      </c>
      <c r="D1313" t="s">
        <v>88</v>
      </c>
      <c r="E1313" t="s">
        <v>51</v>
      </c>
      <c r="F1313" t="s">
        <v>546</v>
      </c>
      <c r="G1313" t="s">
        <v>613</v>
      </c>
      <c r="H1313" t="s">
        <v>54</v>
      </c>
      <c r="I1313">
        <v>10000</v>
      </c>
      <c r="J1313">
        <v>0</v>
      </c>
      <c r="K1313">
        <v>1</v>
      </c>
      <c r="L1313" t="s">
        <v>25</v>
      </c>
      <c r="M1313" t="s">
        <v>359</v>
      </c>
      <c r="N1313">
        <v>2.85</v>
      </c>
      <c r="O1313">
        <v>0</v>
      </c>
      <c r="P1313" t="str">
        <f>IF(T[[#This Row],[qty_ordered]]&lt;&gt;T[[#This Row],[qty_received]],IF(T[[#This Row],[qty_received]]&gt;0,"Partial Received","Not Receviced"),"FullyReceived")</f>
        <v>Not Receviced</v>
      </c>
      <c r="Q1313" t="str">
        <f>IF(T[[#This Row],[qty_received]]&lt;&gt;T[[#This Row],[qty_invoiced]],IF(T[[#This Row],[qty_invoiced]]&gt;0,"Partial Invoiced","Not Invoiced"),"Fully Invoiced")</f>
        <v>Partial Invoiced</v>
      </c>
      <c r="R1313" t="str">
        <f>IFERROR(VLOOKUP(T[[#This Row],[warehouse]],Table2[],2,FALSE),"--")</f>
        <v>--</v>
      </c>
    </row>
    <row r="1314" spans="1:18" x14ac:dyDescent="0.25">
      <c r="A1314" t="s">
        <v>235</v>
      </c>
      <c r="B1314" s="1">
        <v>43849</v>
      </c>
      <c r="C1314" t="s">
        <v>672</v>
      </c>
      <c r="D1314" t="s">
        <v>322</v>
      </c>
      <c r="E1314" t="s">
        <v>51</v>
      </c>
      <c r="F1314" t="s">
        <v>546</v>
      </c>
      <c r="G1314" t="s">
        <v>613</v>
      </c>
      <c r="H1314" t="s">
        <v>54</v>
      </c>
      <c r="I1314">
        <v>10000</v>
      </c>
      <c r="J1314">
        <v>0</v>
      </c>
      <c r="K1314">
        <v>1</v>
      </c>
      <c r="L1314" t="s">
        <v>25</v>
      </c>
      <c r="M1314" t="s">
        <v>533</v>
      </c>
      <c r="N1314">
        <v>2.85</v>
      </c>
      <c r="O1314">
        <v>0</v>
      </c>
      <c r="P1314" t="str">
        <f>IF(T[[#This Row],[qty_ordered]]&lt;&gt;T[[#This Row],[qty_received]],IF(T[[#This Row],[qty_received]]&gt;0,"Partial Received","Not Receviced"),"FullyReceived")</f>
        <v>Not Receviced</v>
      </c>
      <c r="Q1314" t="str">
        <f>IF(T[[#This Row],[qty_received]]&lt;&gt;T[[#This Row],[qty_invoiced]],IF(T[[#This Row],[qty_invoiced]]&gt;0,"Partial Invoiced","Not Invoiced"),"Fully Invoiced")</f>
        <v>Partial Invoiced</v>
      </c>
      <c r="R1314" t="str">
        <f>IFERROR(VLOOKUP(T[[#This Row],[warehouse]],Table2[],2,FALSE),"--")</f>
        <v>--</v>
      </c>
    </row>
    <row r="1315" spans="1:18" x14ac:dyDescent="0.25">
      <c r="A1315" t="s">
        <v>423</v>
      </c>
      <c r="B1315" s="1">
        <v>43850</v>
      </c>
      <c r="C1315" t="s">
        <v>647</v>
      </c>
      <c r="D1315" t="s">
        <v>76</v>
      </c>
      <c r="E1315" t="s">
        <v>51</v>
      </c>
      <c r="F1315" t="s">
        <v>546</v>
      </c>
      <c r="G1315" t="s">
        <v>613</v>
      </c>
      <c r="H1315" t="s">
        <v>54</v>
      </c>
      <c r="I1315">
        <v>10000</v>
      </c>
      <c r="J1315">
        <v>0</v>
      </c>
      <c r="K1315">
        <v>1</v>
      </c>
      <c r="L1315" t="s">
        <v>25</v>
      </c>
      <c r="M1315" t="s">
        <v>359</v>
      </c>
      <c r="N1315">
        <v>2.9</v>
      </c>
      <c r="O1315">
        <v>0</v>
      </c>
      <c r="P1315" t="str">
        <f>IF(T[[#This Row],[qty_ordered]]&lt;&gt;T[[#This Row],[qty_received]],IF(T[[#This Row],[qty_received]]&gt;0,"Partial Received","Not Receviced"),"FullyReceived")</f>
        <v>Not Receviced</v>
      </c>
      <c r="Q1315" t="str">
        <f>IF(T[[#This Row],[qty_received]]&lt;&gt;T[[#This Row],[qty_invoiced]],IF(T[[#This Row],[qty_invoiced]]&gt;0,"Partial Invoiced","Not Invoiced"),"Fully Invoiced")</f>
        <v>Partial Invoiced</v>
      </c>
      <c r="R1315" t="str">
        <f>IFERROR(VLOOKUP(T[[#This Row],[warehouse]],Table2[],2,FALSE),"--")</f>
        <v>--</v>
      </c>
    </row>
    <row r="1316" spans="1:18" x14ac:dyDescent="0.25">
      <c r="A1316" t="s">
        <v>235</v>
      </c>
      <c r="B1316" s="1">
        <v>43885</v>
      </c>
      <c r="C1316" t="s">
        <v>650</v>
      </c>
      <c r="D1316" t="s">
        <v>100</v>
      </c>
      <c r="E1316" t="s">
        <v>51</v>
      </c>
      <c r="F1316" t="s">
        <v>546</v>
      </c>
      <c r="G1316" t="s">
        <v>613</v>
      </c>
      <c r="H1316" t="s">
        <v>54</v>
      </c>
      <c r="I1316">
        <v>10000</v>
      </c>
      <c r="J1316">
        <v>0</v>
      </c>
      <c r="K1316">
        <v>1</v>
      </c>
      <c r="L1316" t="s">
        <v>25</v>
      </c>
      <c r="M1316" t="s">
        <v>359</v>
      </c>
      <c r="N1316">
        <v>2.85</v>
      </c>
      <c r="O1316">
        <v>0</v>
      </c>
      <c r="P1316" t="str">
        <f>IF(T[[#This Row],[qty_ordered]]&lt;&gt;T[[#This Row],[qty_received]],IF(T[[#This Row],[qty_received]]&gt;0,"Partial Received","Not Receviced"),"FullyReceived")</f>
        <v>Not Receviced</v>
      </c>
      <c r="Q1316" t="str">
        <f>IF(T[[#This Row],[qty_received]]&lt;&gt;T[[#This Row],[qty_invoiced]],IF(T[[#This Row],[qty_invoiced]]&gt;0,"Partial Invoiced","Not Invoiced"),"Fully Invoiced")</f>
        <v>Partial Invoiced</v>
      </c>
      <c r="R1316" t="str">
        <f>IFERROR(VLOOKUP(T[[#This Row],[warehouse]],Table2[],2,FALSE),"--")</f>
        <v>--</v>
      </c>
    </row>
    <row r="1317" spans="1:18" x14ac:dyDescent="0.25">
      <c r="A1317" t="s">
        <v>235</v>
      </c>
      <c r="B1317" s="1">
        <v>43849</v>
      </c>
      <c r="C1317" t="s">
        <v>672</v>
      </c>
      <c r="D1317" t="s">
        <v>74</v>
      </c>
      <c r="E1317" t="s">
        <v>51</v>
      </c>
      <c r="F1317" t="s">
        <v>546</v>
      </c>
      <c r="G1317" t="s">
        <v>613</v>
      </c>
      <c r="H1317" t="s">
        <v>54</v>
      </c>
      <c r="I1317">
        <v>5000</v>
      </c>
      <c r="J1317">
        <v>0</v>
      </c>
      <c r="K1317">
        <v>1</v>
      </c>
      <c r="L1317" t="s">
        <v>25</v>
      </c>
      <c r="M1317" t="s">
        <v>533</v>
      </c>
      <c r="N1317">
        <v>2.85</v>
      </c>
      <c r="O1317">
        <v>0</v>
      </c>
      <c r="P1317" t="str">
        <f>IF(T[[#This Row],[qty_ordered]]&lt;&gt;T[[#This Row],[qty_received]],IF(T[[#This Row],[qty_received]]&gt;0,"Partial Received","Not Receviced"),"FullyReceived")</f>
        <v>Not Receviced</v>
      </c>
      <c r="Q1317" t="str">
        <f>IF(T[[#This Row],[qty_received]]&lt;&gt;T[[#This Row],[qty_invoiced]],IF(T[[#This Row],[qty_invoiced]]&gt;0,"Partial Invoiced","Not Invoiced"),"Fully Invoiced")</f>
        <v>Partial Invoiced</v>
      </c>
      <c r="R1317" t="str">
        <f>IFERROR(VLOOKUP(T[[#This Row],[warehouse]],Table2[],2,FALSE),"--")</f>
        <v>--</v>
      </c>
    </row>
    <row r="1318" spans="1:18" x14ac:dyDescent="0.25">
      <c r="A1318" t="s">
        <v>235</v>
      </c>
      <c r="B1318" s="1">
        <v>43914</v>
      </c>
      <c r="C1318" t="s">
        <v>1123</v>
      </c>
      <c r="D1318" t="s">
        <v>20</v>
      </c>
      <c r="E1318" t="s">
        <v>51</v>
      </c>
      <c r="F1318" t="s">
        <v>546</v>
      </c>
      <c r="G1318" t="s">
        <v>613</v>
      </c>
      <c r="H1318" t="s">
        <v>54</v>
      </c>
      <c r="I1318">
        <v>10000</v>
      </c>
      <c r="J1318">
        <v>0</v>
      </c>
      <c r="K1318">
        <v>1</v>
      </c>
      <c r="L1318" t="s">
        <v>25</v>
      </c>
      <c r="M1318" t="s">
        <v>359</v>
      </c>
      <c r="N1318">
        <v>2.85</v>
      </c>
      <c r="O1318">
        <v>0</v>
      </c>
      <c r="P1318" t="str">
        <f>IF(T[[#This Row],[qty_ordered]]&lt;&gt;T[[#This Row],[qty_received]],IF(T[[#This Row],[qty_received]]&gt;0,"Partial Received","Not Receviced"),"FullyReceived")</f>
        <v>Not Receviced</v>
      </c>
      <c r="Q1318" t="str">
        <f>IF(T[[#This Row],[qty_received]]&lt;&gt;T[[#This Row],[qty_invoiced]],IF(T[[#This Row],[qty_invoiced]]&gt;0,"Partial Invoiced","Not Invoiced"),"Fully Invoiced")</f>
        <v>Partial Invoiced</v>
      </c>
      <c r="R1318" t="str">
        <f>IFERROR(VLOOKUP(T[[#This Row],[warehouse]],Table2[],2,FALSE),"--")</f>
        <v>--</v>
      </c>
    </row>
    <row r="1319" spans="1:18" x14ac:dyDescent="0.25">
      <c r="A1319" t="s">
        <v>790</v>
      </c>
      <c r="B1319" s="1">
        <v>43865</v>
      </c>
      <c r="C1319" t="s">
        <v>975</v>
      </c>
      <c r="D1319" t="s">
        <v>71</v>
      </c>
      <c r="E1319" t="s">
        <v>51</v>
      </c>
      <c r="F1319" t="s">
        <v>164</v>
      </c>
      <c r="G1319" t="s">
        <v>164</v>
      </c>
      <c r="H1319" t="s">
        <v>54</v>
      </c>
      <c r="I1319">
        <v>15848</v>
      </c>
      <c r="J1319">
        <v>0</v>
      </c>
      <c r="K1319">
        <v>1</v>
      </c>
      <c r="L1319" t="s">
        <v>25</v>
      </c>
      <c r="M1319" t="s">
        <v>533</v>
      </c>
      <c r="N1319">
        <v>2</v>
      </c>
      <c r="O1319">
        <v>0</v>
      </c>
      <c r="P1319" t="str">
        <f>IF(T[[#This Row],[qty_ordered]]&lt;&gt;T[[#This Row],[qty_received]],IF(T[[#This Row],[qty_received]]&gt;0,"Partial Received","Not Receviced"),"FullyReceived")</f>
        <v>Not Receviced</v>
      </c>
      <c r="Q1319" t="str">
        <f>IF(T[[#This Row],[qty_received]]&lt;&gt;T[[#This Row],[qty_invoiced]],IF(T[[#This Row],[qty_invoiced]]&gt;0,"Partial Invoiced","Not Invoiced"),"Fully Invoiced")</f>
        <v>Partial Invoiced</v>
      </c>
      <c r="R1319" t="str">
        <f>IFERROR(VLOOKUP(T[[#This Row],[warehouse]],Table2[],2,FALSE),"--")</f>
        <v>--</v>
      </c>
    </row>
    <row r="1320" spans="1:18" x14ac:dyDescent="0.25">
      <c r="A1320" t="s">
        <v>732</v>
      </c>
      <c r="B1320" s="1">
        <v>43872</v>
      </c>
      <c r="C1320" t="s">
        <v>977</v>
      </c>
      <c r="D1320" t="s">
        <v>71</v>
      </c>
      <c r="E1320" t="s">
        <v>51</v>
      </c>
      <c r="F1320" t="s">
        <v>164</v>
      </c>
      <c r="G1320" t="s">
        <v>164</v>
      </c>
      <c r="H1320" t="s">
        <v>54</v>
      </c>
      <c r="I1320">
        <v>400</v>
      </c>
      <c r="J1320">
        <v>0</v>
      </c>
      <c r="K1320">
        <v>1</v>
      </c>
      <c r="L1320" t="s">
        <v>25</v>
      </c>
      <c r="M1320" t="s">
        <v>533</v>
      </c>
      <c r="N1320">
        <v>30</v>
      </c>
      <c r="O1320">
        <v>0</v>
      </c>
      <c r="P1320" t="str">
        <f>IF(T[[#This Row],[qty_ordered]]&lt;&gt;T[[#This Row],[qty_received]],IF(T[[#This Row],[qty_received]]&gt;0,"Partial Received","Not Receviced"),"FullyReceived")</f>
        <v>Not Receviced</v>
      </c>
      <c r="Q1320" t="str">
        <f>IF(T[[#This Row],[qty_received]]&lt;&gt;T[[#This Row],[qty_invoiced]],IF(T[[#This Row],[qty_invoiced]]&gt;0,"Partial Invoiced","Not Invoiced"),"Fully Invoiced")</f>
        <v>Partial Invoiced</v>
      </c>
      <c r="R1320" t="str">
        <f>IFERROR(VLOOKUP(T[[#This Row],[warehouse]],Table2[],2,FALSE),"--")</f>
        <v>--</v>
      </c>
    </row>
    <row r="1321" spans="1:18" x14ac:dyDescent="0.25">
      <c r="A1321" t="s">
        <v>732</v>
      </c>
      <c r="B1321" s="1">
        <v>43872</v>
      </c>
      <c r="C1321" t="s">
        <v>733</v>
      </c>
      <c r="D1321" t="s">
        <v>71</v>
      </c>
      <c r="E1321" t="s">
        <v>51</v>
      </c>
      <c r="F1321" t="s">
        <v>164</v>
      </c>
      <c r="G1321" t="s">
        <v>164</v>
      </c>
      <c r="H1321" t="s">
        <v>54</v>
      </c>
      <c r="I1321">
        <v>600</v>
      </c>
      <c r="J1321">
        <v>0</v>
      </c>
      <c r="K1321">
        <v>1</v>
      </c>
      <c r="L1321" t="s">
        <v>25</v>
      </c>
      <c r="M1321" t="s">
        <v>533</v>
      </c>
      <c r="N1321">
        <v>30</v>
      </c>
      <c r="O1321">
        <v>0</v>
      </c>
      <c r="P1321" t="str">
        <f>IF(T[[#This Row],[qty_ordered]]&lt;&gt;T[[#This Row],[qty_received]],IF(T[[#This Row],[qty_received]]&gt;0,"Partial Received","Not Receviced"),"FullyReceived")</f>
        <v>Not Receviced</v>
      </c>
      <c r="Q1321" t="str">
        <f>IF(T[[#This Row],[qty_received]]&lt;&gt;T[[#This Row],[qty_invoiced]],IF(T[[#This Row],[qty_invoiced]]&gt;0,"Partial Invoiced","Not Invoiced"),"Fully Invoiced")</f>
        <v>Partial Invoiced</v>
      </c>
      <c r="R1321" t="str">
        <f>IFERROR(VLOOKUP(T[[#This Row],[warehouse]],Table2[],2,FALSE),"--")</f>
        <v>--</v>
      </c>
    </row>
    <row r="1322" spans="1:18" x14ac:dyDescent="0.25">
      <c r="A1322" t="s">
        <v>642</v>
      </c>
      <c r="B1322" s="1">
        <v>43835</v>
      </c>
      <c r="C1322" t="s">
        <v>643</v>
      </c>
      <c r="D1322" t="s">
        <v>100</v>
      </c>
      <c r="E1322" t="s">
        <v>51</v>
      </c>
      <c r="F1322" t="s">
        <v>183</v>
      </c>
      <c r="G1322" t="s">
        <v>183</v>
      </c>
      <c r="H1322" t="s">
        <v>54</v>
      </c>
      <c r="I1322">
        <v>3166.87</v>
      </c>
      <c r="J1322">
        <v>0</v>
      </c>
      <c r="K1322">
        <v>1</v>
      </c>
      <c r="L1322" t="s">
        <v>25</v>
      </c>
      <c r="M1322" t="s">
        <v>533</v>
      </c>
      <c r="N1322">
        <v>2375</v>
      </c>
      <c r="O1322">
        <v>0</v>
      </c>
      <c r="P1322" t="str">
        <f>IF(T[[#This Row],[qty_ordered]]&lt;&gt;T[[#This Row],[qty_received]],IF(T[[#This Row],[qty_received]]&gt;0,"Partial Received","Not Receviced"),"FullyReceived")</f>
        <v>Not Receviced</v>
      </c>
      <c r="Q1322" t="str">
        <f>IF(T[[#This Row],[qty_received]]&lt;&gt;T[[#This Row],[qty_invoiced]],IF(T[[#This Row],[qty_invoiced]]&gt;0,"Partial Invoiced","Not Invoiced"),"Fully Invoiced")</f>
        <v>Partial Invoiced</v>
      </c>
      <c r="R1322" t="str">
        <f>IFERROR(VLOOKUP(T[[#This Row],[warehouse]],Table2[],2,FALSE),"--")</f>
        <v>--</v>
      </c>
    </row>
    <row r="1323" spans="1:18" x14ac:dyDescent="0.25">
      <c r="A1323" t="s">
        <v>642</v>
      </c>
      <c r="B1323" s="1">
        <v>43835</v>
      </c>
      <c r="C1323" t="s">
        <v>643</v>
      </c>
      <c r="D1323" t="s">
        <v>88</v>
      </c>
      <c r="E1323" t="s">
        <v>51</v>
      </c>
      <c r="F1323" t="s">
        <v>753</v>
      </c>
      <c r="G1323" t="s">
        <v>1124</v>
      </c>
      <c r="H1323" t="s">
        <v>54</v>
      </c>
      <c r="I1323">
        <v>7166.87</v>
      </c>
      <c r="J1323">
        <v>0</v>
      </c>
      <c r="K1323">
        <v>1</v>
      </c>
      <c r="L1323" t="s">
        <v>25</v>
      </c>
      <c r="M1323" t="s">
        <v>533</v>
      </c>
      <c r="N1323">
        <v>415.61012799999997</v>
      </c>
      <c r="O1323">
        <v>0</v>
      </c>
      <c r="P1323" t="str">
        <f>IF(T[[#This Row],[qty_ordered]]&lt;&gt;T[[#This Row],[qty_received]],IF(T[[#This Row],[qty_received]]&gt;0,"Partial Received","Not Receviced"),"FullyReceived")</f>
        <v>Not Receviced</v>
      </c>
      <c r="Q1323" t="str">
        <f>IF(T[[#This Row],[qty_received]]&lt;&gt;T[[#This Row],[qty_invoiced]],IF(T[[#This Row],[qty_invoiced]]&gt;0,"Partial Invoiced","Not Invoiced"),"Fully Invoiced")</f>
        <v>Partial Invoiced</v>
      </c>
      <c r="R1323" t="str">
        <f>IFERROR(VLOOKUP(T[[#This Row],[warehouse]],Table2[],2,FALSE),"--")</f>
        <v>--</v>
      </c>
    </row>
    <row r="1324" spans="1:18" x14ac:dyDescent="0.25">
      <c r="A1324" t="s">
        <v>1125</v>
      </c>
      <c r="B1324" s="1">
        <v>43915</v>
      </c>
      <c r="C1324" t="s">
        <v>1126</v>
      </c>
      <c r="D1324" t="s">
        <v>20</v>
      </c>
      <c r="E1324" t="s">
        <v>51</v>
      </c>
      <c r="F1324" t="s">
        <v>164</v>
      </c>
      <c r="G1324" t="s">
        <v>164</v>
      </c>
      <c r="H1324" t="s">
        <v>54</v>
      </c>
      <c r="I1324">
        <v>15733.81</v>
      </c>
      <c r="J1324">
        <v>0</v>
      </c>
      <c r="K1324">
        <v>1</v>
      </c>
      <c r="L1324" t="s">
        <v>25</v>
      </c>
      <c r="M1324" t="s">
        <v>359</v>
      </c>
      <c r="N1324">
        <v>3</v>
      </c>
      <c r="O1324">
        <v>0</v>
      </c>
      <c r="P1324" t="str">
        <f>IF(T[[#This Row],[qty_ordered]]&lt;&gt;T[[#This Row],[qty_received]],IF(T[[#This Row],[qty_received]]&gt;0,"Partial Received","Not Receviced"),"FullyReceived")</f>
        <v>Not Receviced</v>
      </c>
      <c r="Q1324" t="str">
        <f>IF(T[[#This Row],[qty_received]]&lt;&gt;T[[#This Row],[qty_invoiced]],IF(T[[#This Row],[qty_invoiced]]&gt;0,"Partial Invoiced","Not Invoiced"),"Fully Invoiced")</f>
        <v>Partial Invoiced</v>
      </c>
      <c r="R1324" t="str">
        <f>IFERROR(VLOOKUP(T[[#This Row],[warehouse]],Table2[],2,FALSE),"--")</f>
        <v>--</v>
      </c>
    </row>
    <row r="1325" spans="1:18" x14ac:dyDescent="0.25">
      <c r="A1325" t="s">
        <v>686</v>
      </c>
      <c r="B1325" s="1">
        <v>43849</v>
      </c>
      <c r="C1325" t="s">
        <v>687</v>
      </c>
      <c r="D1325" t="s">
        <v>324</v>
      </c>
      <c r="E1325" t="s">
        <v>51</v>
      </c>
      <c r="F1325" t="s">
        <v>247</v>
      </c>
      <c r="G1325" t="s">
        <v>1097</v>
      </c>
      <c r="H1325" t="s">
        <v>54</v>
      </c>
      <c r="I1325">
        <v>1500</v>
      </c>
      <c r="J1325">
        <v>0</v>
      </c>
      <c r="K1325">
        <v>1</v>
      </c>
      <c r="L1325" t="s">
        <v>25</v>
      </c>
      <c r="M1325" t="s">
        <v>533</v>
      </c>
      <c r="N1325">
        <v>5000</v>
      </c>
      <c r="O1325">
        <v>0</v>
      </c>
      <c r="P1325" t="str">
        <f>IF(T[[#This Row],[qty_ordered]]&lt;&gt;T[[#This Row],[qty_received]],IF(T[[#This Row],[qty_received]]&gt;0,"Partial Received","Not Receviced"),"FullyReceived")</f>
        <v>Not Receviced</v>
      </c>
      <c r="Q1325" t="str">
        <f>IF(T[[#This Row],[qty_received]]&lt;&gt;T[[#This Row],[qty_invoiced]],IF(T[[#This Row],[qty_invoiced]]&gt;0,"Partial Invoiced","Not Invoiced"),"Fully Invoiced")</f>
        <v>Partial Invoiced</v>
      </c>
      <c r="R1325" t="str">
        <f>IFERROR(VLOOKUP(T[[#This Row],[warehouse]],Table2[],2,FALSE),"--")</f>
        <v>--</v>
      </c>
    </row>
    <row r="1326" spans="1:18" x14ac:dyDescent="0.25">
      <c r="A1326" t="s">
        <v>303</v>
      </c>
      <c r="B1326" s="1">
        <v>43915</v>
      </c>
      <c r="C1326" t="s">
        <v>1127</v>
      </c>
      <c r="D1326" t="s">
        <v>20</v>
      </c>
      <c r="E1326" t="s">
        <v>66</v>
      </c>
      <c r="F1326" t="s">
        <v>529</v>
      </c>
      <c r="G1326" t="s">
        <v>530</v>
      </c>
      <c r="H1326" t="s">
        <v>531</v>
      </c>
      <c r="I1326">
        <v>6000</v>
      </c>
      <c r="J1326">
        <v>3392</v>
      </c>
      <c r="K1326">
        <v>3392</v>
      </c>
      <c r="L1326" t="s">
        <v>25</v>
      </c>
      <c r="M1326" t="s">
        <v>132</v>
      </c>
      <c r="N1326">
        <v>8500</v>
      </c>
      <c r="O1326">
        <v>28832000</v>
      </c>
      <c r="P1326" t="str">
        <f>IF(T[[#This Row],[qty_ordered]]&lt;&gt;T[[#This Row],[qty_received]],IF(T[[#This Row],[qty_received]]&gt;0,"Partial Received","Not Receviced"),"FullyReceived")</f>
        <v>Partial Received</v>
      </c>
      <c r="Q1326" t="str">
        <f>IF(T[[#This Row],[qty_received]]&lt;&gt;T[[#This Row],[qty_invoiced]],IF(T[[#This Row],[qty_invoiced]]&gt;0,"Partial Invoiced","Not Invoiced"),"Fully Invoiced")</f>
        <v>Fully Invoiced</v>
      </c>
      <c r="R1326" t="str">
        <f>IFERROR(VLOOKUP(T[[#This Row],[warehouse]],Table2[],2,FALSE),"--")</f>
        <v>PZU Main Warehouse</v>
      </c>
    </row>
    <row r="1327" spans="1:18" x14ac:dyDescent="0.25">
      <c r="A1327" t="s">
        <v>235</v>
      </c>
      <c r="B1327" s="1">
        <v>43808</v>
      </c>
      <c r="C1327" t="s">
        <v>557</v>
      </c>
      <c r="D1327" t="s">
        <v>71</v>
      </c>
      <c r="E1327" t="s">
        <v>51</v>
      </c>
      <c r="F1327" t="s">
        <v>546</v>
      </c>
      <c r="G1327" t="s">
        <v>613</v>
      </c>
      <c r="H1327" t="s">
        <v>54</v>
      </c>
      <c r="I1327">
        <v>1000</v>
      </c>
      <c r="J1327">
        <v>0</v>
      </c>
      <c r="K1327">
        <v>1</v>
      </c>
      <c r="L1327" t="s">
        <v>25</v>
      </c>
      <c r="M1327" t="s">
        <v>359</v>
      </c>
      <c r="N1327">
        <v>2.85</v>
      </c>
      <c r="O1327">
        <v>0</v>
      </c>
      <c r="P1327" t="str">
        <f>IF(T[[#This Row],[qty_ordered]]&lt;&gt;T[[#This Row],[qty_received]],IF(T[[#This Row],[qty_received]]&gt;0,"Partial Received","Not Receviced"),"FullyReceived")</f>
        <v>Not Receviced</v>
      </c>
      <c r="Q1327" t="str">
        <f>IF(T[[#This Row],[qty_received]]&lt;&gt;T[[#This Row],[qty_invoiced]],IF(T[[#This Row],[qty_invoiced]]&gt;0,"Partial Invoiced","Not Invoiced"),"Fully Invoiced")</f>
        <v>Partial Invoiced</v>
      </c>
      <c r="R1327" t="str">
        <f>IFERROR(VLOOKUP(T[[#This Row],[warehouse]],Table2[],2,FALSE),"--")</f>
        <v>--</v>
      </c>
    </row>
    <row r="1328" spans="1:18" x14ac:dyDescent="0.25">
      <c r="A1328" t="s">
        <v>235</v>
      </c>
      <c r="B1328" s="1">
        <v>43849</v>
      </c>
      <c r="C1328" t="s">
        <v>672</v>
      </c>
      <c r="D1328" t="s">
        <v>76</v>
      </c>
      <c r="E1328" t="s">
        <v>51</v>
      </c>
      <c r="F1328" t="s">
        <v>546</v>
      </c>
      <c r="G1328" t="s">
        <v>613</v>
      </c>
      <c r="H1328" t="s">
        <v>54</v>
      </c>
      <c r="I1328">
        <v>5000</v>
      </c>
      <c r="J1328">
        <v>0</v>
      </c>
      <c r="K1328">
        <v>1</v>
      </c>
      <c r="L1328" t="s">
        <v>25</v>
      </c>
      <c r="M1328" t="s">
        <v>533</v>
      </c>
      <c r="N1328">
        <v>2.85</v>
      </c>
      <c r="O1328">
        <v>0</v>
      </c>
      <c r="P1328" t="str">
        <f>IF(T[[#This Row],[qty_ordered]]&lt;&gt;T[[#This Row],[qty_received]],IF(T[[#This Row],[qty_received]]&gt;0,"Partial Received","Not Receviced"),"FullyReceived")</f>
        <v>Not Receviced</v>
      </c>
      <c r="Q1328" t="str">
        <f>IF(T[[#This Row],[qty_received]]&lt;&gt;T[[#This Row],[qty_invoiced]],IF(T[[#This Row],[qty_invoiced]]&gt;0,"Partial Invoiced","Not Invoiced"),"Fully Invoiced")</f>
        <v>Partial Invoiced</v>
      </c>
      <c r="R1328" t="str">
        <f>IFERROR(VLOOKUP(T[[#This Row],[warehouse]],Table2[],2,FALSE),"--")</f>
        <v>--</v>
      </c>
    </row>
    <row r="1329" spans="1:18" x14ac:dyDescent="0.25">
      <c r="A1329" t="s">
        <v>235</v>
      </c>
      <c r="B1329" s="1">
        <v>43849</v>
      </c>
      <c r="C1329" t="s">
        <v>672</v>
      </c>
      <c r="D1329" t="s">
        <v>212</v>
      </c>
      <c r="E1329" t="s">
        <v>51</v>
      </c>
      <c r="F1329" t="s">
        <v>546</v>
      </c>
      <c r="G1329" t="s">
        <v>613</v>
      </c>
      <c r="H1329" t="s">
        <v>54</v>
      </c>
      <c r="I1329">
        <v>5000</v>
      </c>
      <c r="J1329">
        <v>0</v>
      </c>
      <c r="K1329">
        <v>1</v>
      </c>
      <c r="L1329" t="s">
        <v>25</v>
      </c>
      <c r="M1329" t="s">
        <v>533</v>
      </c>
      <c r="N1329">
        <v>2.85</v>
      </c>
      <c r="O1329">
        <v>0</v>
      </c>
      <c r="P1329" t="str">
        <f>IF(T[[#This Row],[qty_ordered]]&lt;&gt;T[[#This Row],[qty_received]],IF(T[[#This Row],[qty_received]]&gt;0,"Partial Received","Not Receviced"),"FullyReceived")</f>
        <v>Not Receviced</v>
      </c>
      <c r="Q1329" t="str">
        <f>IF(T[[#This Row],[qty_received]]&lt;&gt;T[[#This Row],[qty_invoiced]],IF(T[[#This Row],[qty_invoiced]]&gt;0,"Partial Invoiced","Not Invoiced"),"Fully Invoiced")</f>
        <v>Partial Invoiced</v>
      </c>
      <c r="R1329" t="str">
        <f>IFERROR(VLOOKUP(T[[#This Row],[warehouse]],Table2[],2,FALSE),"--")</f>
        <v>--</v>
      </c>
    </row>
    <row r="1330" spans="1:18" x14ac:dyDescent="0.25">
      <c r="A1330" t="s">
        <v>235</v>
      </c>
      <c r="B1330" s="1">
        <v>43921</v>
      </c>
      <c r="C1330" t="s">
        <v>1128</v>
      </c>
      <c r="D1330" t="s">
        <v>20</v>
      </c>
      <c r="E1330" t="s">
        <v>51</v>
      </c>
      <c r="F1330" t="s">
        <v>546</v>
      </c>
      <c r="G1330" t="s">
        <v>613</v>
      </c>
      <c r="H1330" t="s">
        <v>54</v>
      </c>
      <c r="I1330">
        <v>5000</v>
      </c>
      <c r="J1330">
        <v>0</v>
      </c>
      <c r="K1330">
        <v>1</v>
      </c>
      <c r="L1330" t="s">
        <v>25</v>
      </c>
      <c r="M1330" t="s">
        <v>359</v>
      </c>
      <c r="N1330">
        <v>2.85</v>
      </c>
      <c r="O1330">
        <v>0</v>
      </c>
      <c r="P1330" t="str">
        <f>IF(T[[#This Row],[qty_ordered]]&lt;&gt;T[[#This Row],[qty_received]],IF(T[[#This Row],[qty_received]]&gt;0,"Partial Received","Not Receviced"),"FullyReceived")</f>
        <v>Not Receviced</v>
      </c>
      <c r="Q1330" t="str">
        <f>IF(T[[#This Row],[qty_received]]&lt;&gt;T[[#This Row],[qty_invoiced]],IF(T[[#This Row],[qty_invoiced]]&gt;0,"Partial Invoiced","Not Invoiced"),"Fully Invoiced")</f>
        <v>Partial Invoiced</v>
      </c>
      <c r="R1330" t="str">
        <f>IFERROR(VLOOKUP(T[[#This Row],[warehouse]],Table2[],2,FALSE),"--")</f>
        <v>--</v>
      </c>
    </row>
    <row r="1331" spans="1:18" x14ac:dyDescent="0.25">
      <c r="A1331" t="s">
        <v>235</v>
      </c>
      <c r="B1331" s="1">
        <v>43808</v>
      </c>
      <c r="C1331" t="s">
        <v>557</v>
      </c>
      <c r="D1331" t="s">
        <v>100</v>
      </c>
      <c r="E1331" t="s">
        <v>51</v>
      </c>
      <c r="F1331" t="s">
        <v>546</v>
      </c>
      <c r="G1331" t="s">
        <v>613</v>
      </c>
      <c r="H1331" t="s">
        <v>54</v>
      </c>
      <c r="I1331">
        <v>1500</v>
      </c>
      <c r="J1331">
        <v>0</v>
      </c>
      <c r="K1331">
        <v>1</v>
      </c>
      <c r="L1331" t="s">
        <v>25</v>
      </c>
      <c r="M1331" t="s">
        <v>359</v>
      </c>
      <c r="N1331">
        <v>2.85</v>
      </c>
      <c r="O1331">
        <v>0</v>
      </c>
      <c r="P1331" t="str">
        <f>IF(T[[#This Row],[qty_ordered]]&lt;&gt;T[[#This Row],[qty_received]],IF(T[[#This Row],[qty_received]]&gt;0,"Partial Received","Not Receviced"),"FullyReceived")</f>
        <v>Not Receviced</v>
      </c>
      <c r="Q1331" t="str">
        <f>IF(T[[#This Row],[qty_received]]&lt;&gt;T[[#This Row],[qty_invoiced]],IF(T[[#This Row],[qty_invoiced]]&gt;0,"Partial Invoiced","Not Invoiced"),"Fully Invoiced")</f>
        <v>Partial Invoiced</v>
      </c>
      <c r="R1331" t="str">
        <f>IFERROR(VLOOKUP(T[[#This Row],[warehouse]],Table2[],2,FALSE),"--")</f>
        <v>--</v>
      </c>
    </row>
    <row r="1332" spans="1:18" x14ac:dyDescent="0.25">
      <c r="A1332" t="s">
        <v>235</v>
      </c>
      <c r="B1332" s="1">
        <v>43852</v>
      </c>
      <c r="C1332" t="s">
        <v>929</v>
      </c>
      <c r="D1332" t="s">
        <v>71</v>
      </c>
      <c r="E1332" t="s">
        <v>51</v>
      </c>
      <c r="F1332" t="s">
        <v>546</v>
      </c>
      <c r="G1332" t="s">
        <v>613</v>
      </c>
      <c r="H1332" t="s">
        <v>54</v>
      </c>
      <c r="I1332">
        <v>10000</v>
      </c>
      <c r="J1332">
        <v>0</v>
      </c>
      <c r="K1332">
        <v>1</v>
      </c>
      <c r="L1332" t="s">
        <v>25</v>
      </c>
      <c r="M1332" t="s">
        <v>359</v>
      </c>
      <c r="N1332">
        <v>2.85</v>
      </c>
      <c r="O1332">
        <v>0</v>
      </c>
      <c r="P1332" t="str">
        <f>IF(T[[#This Row],[qty_ordered]]&lt;&gt;T[[#This Row],[qty_received]],IF(T[[#This Row],[qty_received]]&gt;0,"Partial Received","Not Receviced"),"FullyReceived")</f>
        <v>Not Receviced</v>
      </c>
      <c r="Q1332" t="str">
        <f>IF(T[[#This Row],[qty_received]]&lt;&gt;T[[#This Row],[qty_invoiced]],IF(T[[#This Row],[qty_invoiced]]&gt;0,"Partial Invoiced","Not Invoiced"),"Fully Invoiced")</f>
        <v>Partial Invoiced</v>
      </c>
      <c r="R1332" t="str">
        <f>IFERROR(VLOOKUP(T[[#This Row],[warehouse]],Table2[],2,FALSE),"--")</f>
        <v>--</v>
      </c>
    </row>
    <row r="1333" spans="1:18" x14ac:dyDescent="0.25">
      <c r="A1333" t="s">
        <v>804</v>
      </c>
      <c r="B1333" s="1">
        <v>43947</v>
      </c>
      <c r="C1333" t="s">
        <v>1052</v>
      </c>
      <c r="D1333" t="s">
        <v>71</v>
      </c>
      <c r="E1333" t="s">
        <v>51</v>
      </c>
      <c r="F1333" t="s">
        <v>806</v>
      </c>
      <c r="G1333" t="s">
        <v>806</v>
      </c>
      <c r="H1333" t="s">
        <v>54</v>
      </c>
      <c r="I1333">
        <v>320</v>
      </c>
      <c r="J1333">
        <v>0</v>
      </c>
      <c r="K1333">
        <v>0</v>
      </c>
      <c r="L1333" t="s">
        <v>25</v>
      </c>
      <c r="M1333" t="s">
        <v>359</v>
      </c>
      <c r="N1333">
        <v>2000</v>
      </c>
      <c r="O1333">
        <v>0</v>
      </c>
      <c r="P1333" t="str">
        <f>IF(T[[#This Row],[qty_ordered]]&lt;&gt;T[[#This Row],[qty_received]],IF(T[[#This Row],[qty_received]]&gt;0,"Partial Received","Not Receviced"),"FullyReceived")</f>
        <v>Not Receviced</v>
      </c>
      <c r="Q1333" t="str">
        <f>IF(T[[#This Row],[qty_received]]&lt;&gt;T[[#This Row],[qty_invoiced]],IF(T[[#This Row],[qty_invoiced]]&gt;0,"Partial Invoiced","Not Invoiced"),"Fully Invoiced")</f>
        <v>Fully Invoiced</v>
      </c>
      <c r="R1333" t="str">
        <f>IFERROR(VLOOKUP(T[[#This Row],[warehouse]],Table2[],2,FALSE),"--")</f>
        <v>--</v>
      </c>
    </row>
    <row r="1334" spans="1:18" x14ac:dyDescent="0.25">
      <c r="A1334" t="s">
        <v>618</v>
      </c>
      <c r="B1334" s="1">
        <v>43818</v>
      </c>
      <c r="C1334" t="s">
        <v>619</v>
      </c>
      <c r="D1334" t="s">
        <v>76</v>
      </c>
      <c r="E1334" t="s">
        <v>111</v>
      </c>
      <c r="F1334" t="s">
        <v>86</v>
      </c>
      <c r="G1334" t="s">
        <v>87</v>
      </c>
      <c r="H1334" t="s">
        <v>24</v>
      </c>
      <c r="I1334">
        <v>500</v>
      </c>
      <c r="J1334">
        <v>0</v>
      </c>
      <c r="K1334">
        <v>0</v>
      </c>
      <c r="L1334" t="s">
        <v>25</v>
      </c>
      <c r="M1334" t="s">
        <v>132</v>
      </c>
      <c r="N1334">
        <v>100000</v>
      </c>
      <c r="O1334">
        <v>0</v>
      </c>
      <c r="P1334" t="str">
        <f>IF(T[[#This Row],[qty_ordered]]&lt;&gt;T[[#This Row],[qty_received]],IF(T[[#This Row],[qty_received]]&gt;0,"Partial Received","Not Receviced"),"FullyReceived")</f>
        <v>Not Receviced</v>
      </c>
      <c r="Q1334" t="str">
        <f>IF(T[[#This Row],[qty_received]]&lt;&gt;T[[#This Row],[qty_invoiced]],IF(T[[#This Row],[qty_invoiced]]&gt;0,"Partial Invoiced","Not Invoiced"),"Fully Invoiced")</f>
        <v>Fully Invoiced</v>
      </c>
      <c r="R1334" t="str">
        <f>IFERROR(VLOOKUP(T[[#This Row],[warehouse]],Table2[],2,FALSE),"--")</f>
        <v>Sifting PZU-Al Jawhra</v>
      </c>
    </row>
    <row r="1335" spans="1:18" x14ac:dyDescent="0.25">
      <c r="A1335" t="s">
        <v>462</v>
      </c>
      <c r="B1335" s="1">
        <v>43895</v>
      </c>
      <c r="C1335" t="s">
        <v>688</v>
      </c>
      <c r="D1335" t="s">
        <v>74</v>
      </c>
      <c r="E1335" t="s">
        <v>51</v>
      </c>
      <c r="F1335" t="s">
        <v>433</v>
      </c>
      <c r="G1335" t="s">
        <v>433</v>
      </c>
      <c r="H1335" t="s">
        <v>54</v>
      </c>
      <c r="I1335">
        <v>24000</v>
      </c>
      <c r="J1335">
        <v>0</v>
      </c>
      <c r="K1335">
        <v>1</v>
      </c>
      <c r="L1335" t="s">
        <v>25</v>
      </c>
      <c r="M1335" t="s">
        <v>533</v>
      </c>
      <c r="N1335">
        <v>2</v>
      </c>
      <c r="O1335">
        <v>0</v>
      </c>
      <c r="P1335" t="str">
        <f>IF(T[[#This Row],[qty_ordered]]&lt;&gt;T[[#This Row],[qty_received]],IF(T[[#This Row],[qty_received]]&gt;0,"Partial Received","Not Receviced"),"FullyReceived")</f>
        <v>Not Receviced</v>
      </c>
      <c r="Q1335" t="str">
        <f>IF(T[[#This Row],[qty_received]]&lt;&gt;T[[#This Row],[qty_invoiced]],IF(T[[#This Row],[qty_invoiced]]&gt;0,"Partial Invoiced","Not Invoiced"),"Fully Invoiced")</f>
        <v>Partial Invoiced</v>
      </c>
      <c r="R1335" t="str">
        <f>IFERROR(VLOOKUP(T[[#This Row],[warehouse]],Table2[],2,FALSE),"--")</f>
        <v>--</v>
      </c>
    </row>
    <row r="1336" spans="1:18" x14ac:dyDescent="0.25">
      <c r="A1336" t="s">
        <v>153</v>
      </c>
      <c r="B1336" s="1">
        <v>43990</v>
      </c>
      <c r="C1336" t="s">
        <v>1129</v>
      </c>
      <c r="D1336" t="s">
        <v>20</v>
      </c>
      <c r="E1336" t="s">
        <v>410</v>
      </c>
      <c r="F1336" t="s">
        <v>411</v>
      </c>
      <c r="G1336" t="s">
        <v>412</v>
      </c>
      <c r="H1336" t="s">
        <v>123</v>
      </c>
      <c r="I1336">
        <v>80</v>
      </c>
      <c r="J1336">
        <v>80</v>
      </c>
      <c r="K1336">
        <v>80</v>
      </c>
      <c r="L1336" t="s">
        <v>25</v>
      </c>
      <c r="M1336" t="s">
        <v>132</v>
      </c>
      <c r="N1336">
        <v>13708.410529999999</v>
      </c>
      <c r="O1336">
        <v>952800</v>
      </c>
      <c r="P1336" t="str">
        <f>IF(T[[#This Row],[qty_ordered]]&lt;&gt;T[[#This Row],[qty_received]],IF(T[[#This Row],[qty_received]]&gt;0,"Partial Received","Not Receviced"),"FullyReceived")</f>
        <v>FullyReceived</v>
      </c>
      <c r="Q1336" t="str">
        <f>IF(T[[#This Row],[qty_received]]&lt;&gt;T[[#This Row],[qty_invoiced]],IF(T[[#This Row],[qty_invoiced]]&gt;0,"Partial Invoiced","Not Invoiced"),"Fully Invoiced")</f>
        <v>Fully Invoiced</v>
      </c>
      <c r="R1336" t="str">
        <f>IFERROR(VLOOKUP(T[[#This Row],[warehouse]],Table2[],2,FALSE),"--")</f>
        <v>SFITER GUM Masaaie</v>
      </c>
    </row>
    <row r="1337" spans="1:18" x14ac:dyDescent="0.25">
      <c r="A1337" t="s">
        <v>260</v>
      </c>
      <c r="B1337" s="1">
        <v>43961</v>
      </c>
      <c r="C1337" t="s">
        <v>751</v>
      </c>
      <c r="D1337" t="s">
        <v>322</v>
      </c>
      <c r="E1337" t="s">
        <v>51</v>
      </c>
      <c r="F1337" t="s">
        <v>185</v>
      </c>
      <c r="G1337" t="s">
        <v>275</v>
      </c>
      <c r="H1337" t="s">
        <v>54</v>
      </c>
      <c r="I1337">
        <v>6000</v>
      </c>
      <c r="J1337">
        <v>0</v>
      </c>
      <c r="K1337">
        <v>1</v>
      </c>
      <c r="L1337" t="s">
        <v>25</v>
      </c>
      <c r="M1337" t="s">
        <v>533</v>
      </c>
      <c r="N1337">
        <v>120</v>
      </c>
      <c r="O1337">
        <v>0</v>
      </c>
      <c r="P1337" t="str">
        <f>IF(T[[#This Row],[qty_ordered]]&lt;&gt;T[[#This Row],[qty_received]],IF(T[[#This Row],[qty_received]]&gt;0,"Partial Received","Not Receviced"),"FullyReceived")</f>
        <v>Not Receviced</v>
      </c>
      <c r="Q1337" t="str">
        <f>IF(T[[#This Row],[qty_received]]&lt;&gt;T[[#This Row],[qty_invoiced]],IF(T[[#This Row],[qty_invoiced]]&gt;0,"Partial Invoiced","Not Invoiced"),"Fully Invoiced")</f>
        <v>Partial Invoiced</v>
      </c>
      <c r="R1337" t="str">
        <f>IFERROR(VLOOKUP(T[[#This Row],[warehouse]],Table2[],2,FALSE),"--")</f>
        <v>--</v>
      </c>
    </row>
    <row r="1338" spans="1:18" x14ac:dyDescent="0.25">
      <c r="A1338" t="s">
        <v>260</v>
      </c>
      <c r="B1338" s="1">
        <v>43961</v>
      </c>
      <c r="C1338" t="s">
        <v>751</v>
      </c>
      <c r="D1338" t="s">
        <v>323</v>
      </c>
      <c r="E1338" t="s">
        <v>51</v>
      </c>
      <c r="F1338" t="s">
        <v>164</v>
      </c>
      <c r="G1338" t="s">
        <v>164</v>
      </c>
      <c r="H1338" t="s">
        <v>54</v>
      </c>
      <c r="I1338">
        <v>6000</v>
      </c>
      <c r="J1338">
        <v>0</v>
      </c>
      <c r="K1338">
        <v>1</v>
      </c>
      <c r="L1338" t="s">
        <v>25</v>
      </c>
      <c r="M1338" t="s">
        <v>533</v>
      </c>
      <c r="N1338">
        <v>80</v>
      </c>
      <c r="O1338">
        <v>0</v>
      </c>
      <c r="P1338" t="str">
        <f>IF(T[[#This Row],[qty_ordered]]&lt;&gt;T[[#This Row],[qty_received]],IF(T[[#This Row],[qty_received]]&gt;0,"Partial Received","Not Receviced"),"FullyReceived")</f>
        <v>Not Receviced</v>
      </c>
      <c r="Q1338" t="str">
        <f>IF(T[[#This Row],[qty_received]]&lt;&gt;T[[#This Row],[qty_invoiced]],IF(T[[#This Row],[qty_invoiced]]&gt;0,"Partial Invoiced","Not Invoiced"),"Fully Invoiced")</f>
        <v>Partial Invoiced</v>
      </c>
      <c r="R1338" t="str">
        <f>IFERROR(VLOOKUP(T[[#This Row],[warehouse]],Table2[],2,FALSE),"--")</f>
        <v>--</v>
      </c>
    </row>
    <row r="1339" spans="1:18" x14ac:dyDescent="0.25">
      <c r="A1339" t="s">
        <v>260</v>
      </c>
      <c r="B1339" s="1">
        <v>43961</v>
      </c>
      <c r="C1339" t="s">
        <v>751</v>
      </c>
      <c r="D1339" t="s">
        <v>324</v>
      </c>
      <c r="E1339" t="s">
        <v>51</v>
      </c>
      <c r="F1339" t="s">
        <v>183</v>
      </c>
      <c r="G1339" t="s">
        <v>183</v>
      </c>
      <c r="H1339" t="s">
        <v>54</v>
      </c>
      <c r="I1339">
        <v>6000</v>
      </c>
      <c r="J1339">
        <v>0</v>
      </c>
      <c r="K1339">
        <v>1</v>
      </c>
      <c r="L1339" t="s">
        <v>25</v>
      </c>
      <c r="M1339" t="s">
        <v>533</v>
      </c>
      <c r="N1339">
        <v>100</v>
      </c>
      <c r="O1339">
        <v>0</v>
      </c>
      <c r="P1339" t="str">
        <f>IF(T[[#This Row],[qty_ordered]]&lt;&gt;T[[#This Row],[qty_received]],IF(T[[#This Row],[qty_received]]&gt;0,"Partial Received","Not Receviced"),"FullyReceived")</f>
        <v>Not Receviced</v>
      </c>
      <c r="Q1339" t="str">
        <f>IF(T[[#This Row],[qty_received]]&lt;&gt;T[[#This Row],[qty_invoiced]],IF(T[[#This Row],[qty_invoiced]]&gt;0,"Partial Invoiced","Not Invoiced"),"Fully Invoiced")</f>
        <v>Partial Invoiced</v>
      </c>
      <c r="R1339" t="str">
        <f>IFERROR(VLOOKUP(T[[#This Row],[warehouse]],Table2[],2,FALSE),"--")</f>
        <v>--</v>
      </c>
    </row>
    <row r="1340" spans="1:18" x14ac:dyDescent="0.25">
      <c r="A1340" t="s">
        <v>260</v>
      </c>
      <c r="B1340" s="1">
        <v>43961</v>
      </c>
      <c r="C1340" t="s">
        <v>751</v>
      </c>
      <c r="D1340" t="s">
        <v>325</v>
      </c>
      <c r="E1340" t="s">
        <v>51</v>
      </c>
      <c r="F1340" t="s">
        <v>267</v>
      </c>
      <c r="G1340" t="s">
        <v>267</v>
      </c>
      <c r="H1340" t="s">
        <v>54</v>
      </c>
      <c r="I1340">
        <v>6000</v>
      </c>
      <c r="J1340">
        <v>0</v>
      </c>
      <c r="K1340">
        <v>1</v>
      </c>
      <c r="L1340" t="s">
        <v>25</v>
      </c>
      <c r="M1340" t="s">
        <v>533</v>
      </c>
      <c r="N1340">
        <v>140</v>
      </c>
      <c r="O1340">
        <v>0</v>
      </c>
      <c r="P1340" t="str">
        <f>IF(T[[#This Row],[qty_ordered]]&lt;&gt;T[[#This Row],[qty_received]],IF(T[[#This Row],[qty_received]]&gt;0,"Partial Received","Not Receviced"),"FullyReceived")</f>
        <v>Not Receviced</v>
      </c>
      <c r="Q1340" t="str">
        <f>IF(T[[#This Row],[qty_received]]&lt;&gt;T[[#This Row],[qty_invoiced]],IF(T[[#This Row],[qty_invoiced]]&gt;0,"Partial Invoiced","Not Invoiced"),"Fully Invoiced")</f>
        <v>Partial Invoiced</v>
      </c>
      <c r="R1340" t="str">
        <f>IFERROR(VLOOKUP(T[[#This Row],[warehouse]],Table2[],2,FALSE),"--")</f>
        <v>--</v>
      </c>
    </row>
    <row r="1341" spans="1:18" x14ac:dyDescent="0.25">
      <c r="A1341" t="s">
        <v>260</v>
      </c>
      <c r="B1341" s="1">
        <v>43961</v>
      </c>
      <c r="C1341" t="s">
        <v>751</v>
      </c>
      <c r="D1341" t="s">
        <v>451</v>
      </c>
      <c r="E1341" t="s">
        <v>51</v>
      </c>
      <c r="F1341" t="s">
        <v>262</v>
      </c>
      <c r="G1341" t="s">
        <v>262</v>
      </c>
      <c r="H1341" t="s">
        <v>54</v>
      </c>
      <c r="I1341">
        <v>6000</v>
      </c>
      <c r="J1341">
        <v>0</v>
      </c>
      <c r="K1341">
        <v>1</v>
      </c>
      <c r="L1341" t="s">
        <v>25</v>
      </c>
      <c r="M1341" t="s">
        <v>533</v>
      </c>
      <c r="N1341">
        <v>129</v>
      </c>
      <c r="O1341">
        <v>0</v>
      </c>
      <c r="P1341" t="str">
        <f>IF(T[[#This Row],[qty_ordered]]&lt;&gt;T[[#This Row],[qty_received]],IF(T[[#This Row],[qty_received]]&gt;0,"Partial Received","Not Receviced"),"FullyReceived")</f>
        <v>Not Receviced</v>
      </c>
      <c r="Q1341" t="str">
        <f>IF(T[[#This Row],[qty_received]]&lt;&gt;T[[#This Row],[qty_invoiced]],IF(T[[#This Row],[qty_invoiced]]&gt;0,"Partial Invoiced","Not Invoiced"),"Fully Invoiced")</f>
        <v>Partial Invoiced</v>
      </c>
      <c r="R1341" t="str">
        <f>IFERROR(VLOOKUP(T[[#This Row],[warehouse]],Table2[],2,FALSE),"--")</f>
        <v>--</v>
      </c>
    </row>
    <row r="1342" spans="1:18" x14ac:dyDescent="0.25">
      <c r="A1342" t="s">
        <v>260</v>
      </c>
      <c r="B1342" s="1">
        <v>43961</v>
      </c>
      <c r="C1342" t="s">
        <v>751</v>
      </c>
      <c r="D1342" t="s">
        <v>452</v>
      </c>
      <c r="E1342" t="s">
        <v>51</v>
      </c>
      <c r="F1342" t="s">
        <v>266</v>
      </c>
      <c r="G1342" t="s">
        <v>266</v>
      </c>
      <c r="H1342" t="s">
        <v>54</v>
      </c>
      <c r="I1342">
        <v>6000</v>
      </c>
      <c r="J1342">
        <v>0</v>
      </c>
      <c r="K1342">
        <v>1</v>
      </c>
      <c r="L1342" t="s">
        <v>25</v>
      </c>
      <c r="M1342" t="s">
        <v>533</v>
      </c>
      <c r="N1342">
        <v>249</v>
      </c>
      <c r="O1342">
        <v>0</v>
      </c>
      <c r="P1342" t="str">
        <f>IF(T[[#This Row],[qty_ordered]]&lt;&gt;T[[#This Row],[qty_received]],IF(T[[#This Row],[qty_received]]&gt;0,"Partial Received","Not Receviced"),"FullyReceived")</f>
        <v>Not Receviced</v>
      </c>
      <c r="Q1342" t="str">
        <f>IF(T[[#This Row],[qty_received]]&lt;&gt;T[[#This Row],[qty_invoiced]],IF(T[[#This Row],[qty_invoiced]]&gt;0,"Partial Invoiced","Not Invoiced"),"Fully Invoiced")</f>
        <v>Partial Invoiced</v>
      </c>
      <c r="R1342" t="str">
        <f>IFERROR(VLOOKUP(T[[#This Row],[warehouse]],Table2[],2,FALSE),"--")</f>
        <v>--</v>
      </c>
    </row>
    <row r="1343" spans="1:18" x14ac:dyDescent="0.25">
      <c r="A1343" t="s">
        <v>260</v>
      </c>
      <c r="B1343" s="1">
        <v>43961</v>
      </c>
      <c r="C1343" t="s">
        <v>751</v>
      </c>
      <c r="D1343" t="s">
        <v>614</v>
      </c>
      <c r="E1343" t="s">
        <v>51</v>
      </c>
      <c r="F1343" t="s">
        <v>254</v>
      </c>
      <c r="G1343" t="s">
        <v>255</v>
      </c>
      <c r="H1343" t="s">
        <v>54</v>
      </c>
      <c r="I1343">
        <v>6000</v>
      </c>
      <c r="J1343">
        <v>0</v>
      </c>
      <c r="K1343">
        <v>1</v>
      </c>
      <c r="L1343" t="s">
        <v>25</v>
      </c>
      <c r="M1343" t="s">
        <v>533</v>
      </c>
      <c r="N1343">
        <v>140</v>
      </c>
      <c r="O1343">
        <v>0</v>
      </c>
      <c r="P1343" t="str">
        <f>IF(T[[#This Row],[qty_ordered]]&lt;&gt;T[[#This Row],[qty_received]],IF(T[[#This Row],[qty_received]]&gt;0,"Partial Received","Not Receviced"),"FullyReceived")</f>
        <v>Not Receviced</v>
      </c>
      <c r="Q1343" t="str">
        <f>IF(T[[#This Row],[qty_received]]&lt;&gt;T[[#This Row],[qty_invoiced]],IF(T[[#This Row],[qty_invoiced]]&gt;0,"Partial Invoiced","Not Invoiced"),"Fully Invoiced")</f>
        <v>Partial Invoiced</v>
      </c>
      <c r="R1343" t="str">
        <f>IFERROR(VLOOKUP(T[[#This Row],[warehouse]],Table2[],2,FALSE),"--")</f>
        <v>--</v>
      </c>
    </row>
    <row r="1344" spans="1:18" x14ac:dyDescent="0.25">
      <c r="A1344" t="s">
        <v>423</v>
      </c>
      <c r="B1344" s="1">
        <v>43991</v>
      </c>
      <c r="C1344" t="s">
        <v>1130</v>
      </c>
      <c r="D1344" t="s">
        <v>20</v>
      </c>
      <c r="E1344" t="s">
        <v>146</v>
      </c>
      <c r="F1344" t="s">
        <v>147</v>
      </c>
      <c r="G1344" t="s">
        <v>148</v>
      </c>
      <c r="H1344" t="s">
        <v>149</v>
      </c>
      <c r="I1344">
        <v>17500</v>
      </c>
      <c r="J1344">
        <v>17500</v>
      </c>
      <c r="K1344">
        <v>17500</v>
      </c>
      <c r="L1344" t="s">
        <v>25</v>
      </c>
      <c r="M1344" t="s">
        <v>575</v>
      </c>
      <c r="N1344">
        <v>37</v>
      </c>
      <c r="O1344">
        <v>647500</v>
      </c>
      <c r="P1344" t="str">
        <f>IF(T[[#This Row],[qty_ordered]]&lt;&gt;T[[#This Row],[qty_received]],IF(T[[#This Row],[qty_received]]&gt;0,"Partial Received","Not Receviced"),"FullyReceived")</f>
        <v>FullyReceived</v>
      </c>
      <c r="Q1344" t="str">
        <f>IF(T[[#This Row],[qty_received]]&lt;&gt;T[[#This Row],[qty_invoiced]],IF(T[[#This Row],[qty_invoiced]]&gt;0,"Partial Invoiced","Not Invoiced"),"Fully Invoiced")</f>
        <v>Fully Invoiced</v>
      </c>
      <c r="R1344" t="str">
        <f>IFERROR(VLOOKUP(T[[#This Row],[warehouse]],Table2[],2,FALSE),"--")</f>
        <v>Khtoum Main Warehouse</v>
      </c>
    </row>
    <row r="1345" spans="1:18" x14ac:dyDescent="0.25">
      <c r="A1345" t="s">
        <v>1044</v>
      </c>
      <c r="B1345" s="1">
        <v>43951</v>
      </c>
      <c r="C1345" t="s">
        <v>1131</v>
      </c>
      <c r="D1345" t="s">
        <v>20</v>
      </c>
      <c r="E1345" t="s">
        <v>660</v>
      </c>
      <c r="F1345" t="s">
        <v>1015</v>
      </c>
      <c r="G1345" t="s">
        <v>1016</v>
      </c>
      <c r="H1345" t="s">
        <v>663</v>
      </c>
      <c r="I1345">
        <v>6011.4</v>
      </c>
      <c r="J1345">
        <v>6011.4</v>
      </c>
      <c r="K1345">
        <v>6011.4</v>
      </c>
      <c r="L1345" t="s">
        <v>25</v>
      </c>
      <c r="M1345" t="s">
        <v>132</v>
      </c>
      <c r="N1345">
        <v>380</v>
      </c>
      <c r="O1345">
        <v>2284332</v>
      </c>
      <c r="P1345" t="str">
        <f>IF(T[[#This Row],[qty_ordered]]&lt;&gt;T[[#This Row],[qty_received]],IF(T[[#This Row],[qty_received]]&gt;0,"Partial Received","Not Receviced"),"FullyReceived")</f>
        <v>FullyReceived</v>
      </c>
      <c r="Q1345" t="str">
        <f>IF(T[[#This Row],[qty_received]]&lt;&gt;T[[#This Row],[qty_invoiced]],IF(T[[#This Row],[qty_invoiced]]&gt;0,"Partial Invoiced","Not Invoiced"),"Fully Invoiced")</f>
        <v>Fully Invoiced</v>
      </c>
      <c r="R1345" t="str">
        <f>IFERROR(VLOOKUP(T[[#This Row],[warehouse]],Table2[],2,FALSE),"--")</f>
        <v>SLAUGHTER HOUSE</v>
      </c>
    </row>
    <row r="1346" spans="1:18" x14ac:dyDescent="0.25">
      <c r="A1346" t="s">
        <v>1025</v>
      </c>
      <c r="B1346" s="1">
        <v>43951</v>
      </c>
      <c r="C1346" t="s">
        <v>1132</v>
      </c>
      <c r="D1346" t="s">
        <v>20</v>
      </c>
      <c r="E1346" t="s">
        <v>146</v>
      </c>
      <c r="F1346" t="s">
        <v>415</v>
      </c>
      <c r="G1346" t="s">
        <v>416</v>
      </c>
      <c r="H1346" t="s">
        <v>417</v>
      </c>
      <c r="I1346">
        <v>500</v>
      </c>
      <c r="J1346">
        <v>500</v>
      </c>
      <c r="K1346">
        <v>500</v>
      </c>
      <c r="L1346" t="s">
        <v>25</v>
      </c>
      <c r="M1346" t="s">
        <v>418</v>
      </c>
      <c r="N1346">
        <v>2000</v>
      </c>
      <c r="O1346">
        <v>1000000</v>
      </c>
      <c r="P1346" t="str">
        <f>IF(T[[#This Row],[qty_ordered]]&lt;&gt;T[[#This Row],[qty_received]],IF(T[[#This Row],[qty_received]]&gt;0,"Partial Received","Not Receviced"),"FullyReceived")</f>
        <v>FullyReceived</v>
      </c>
      <c r="Q1346" t="str">
        <f>IF(T[[#This Row],[qty_received]]&lt;&gt;T[[#This Row],[qty_invoiced]],IF(T[[#This Row],[qty_invoiced]]&gt;0,"Partial Invoiced","Not Invoiced"),"Fully Invoiced")</f>
        <v>Fully Invoiced</v>
      </c>
      <c r="R1346" t="str">
        <f>IFERROR(VLOOKUP(T[[#This Row],[warehouse]],Table2[],2,FALSE),"--")</f>
        <v>Khtoum Main Warehouse</v>
      </c>
    </row>
    <row r="1347" spans="1:18" x14ac:dyDescent="0.25">
      <c r="A1347" t="s">
        <v>423</v>
      </c>
      <c r="B1347" s="1">
        <v>43991</v>
      </c>
      <c r="C1347" t="s">
        <v>1130</v>
      </c>
      <c r="D1347" t="s">
        <v>71</v>
      </c>
      <c r="E1347" t="s">
        <v>146</v>
      </c>
      <c r="F1347" t="s">
        <v>151</v>
      </c>
      <c r="G1347" t="s">
        <v>152</v>
      </c>
      <c r="H1347" t="s">
        <v>149</v>
      </c>
      <c r="I1347">
        <v>20000</v>
      </c>
      <c r="J1347">
        <v>20000</v>
      </c>
      <c r="K1347">
        <v>20000</v>
      </c>
      <c r="L1347" t="s">
        <v>25</v>
      </c>
      <c r="M1347" t="s">
        <v>575</v>
      </c>
      <c r="N1347">
        <v>39</v>
      </c>
      <c r="O1347">
        <v>780000</v>
      </c>
      <c r="P1347" t="str">
        <f>IF(T[[#This Row],[qty_ordered]]&lt;&gt;T[[#This Row],[qty_received]],IF(T[[#This Row],[qty_received]]&gt;0,"Partial Received","Not Receviced"),"FullyReceived")</f>
        <v>FullyReceived</v>
      </c>
      <c r="Q1347" t="str">
        <f>IF(T[[#This Row],[qty_received]]&lt;&gt;T[[#This Row],[qty_invoiced]],IF(T[[#This Row],[qty_invoiced]]&gt;0,"Partial Invoiced","Not Invoiced"),"Fully Invoiced")</f>
        <v>Fully Invoiced</v>
      </c>
      <c r="R1347" t="str">
        <f>IFERROR(VLOOKUP(T[[#This Row],[warehouse]],Table2[],2,FALSE),"--")</f>
        <v>Khtoum Main Warehouse</v>
      </c>
    </row>
    <row r="1348" spans="1:18" x14ac:dyDescent="0.25">
      <c r="A1348" t="s">
        <v>658</v>
      </c>
      <c r="B1348" s="1">
        <v>43888</v>
      </c>
      <c r="C1348" t="s">
        <v>671</v>
      </c>
      <c r="D1348" t="s">
        <v>71</v>
      </c>
      <c r="E1348" t="s">
        <v>660</v>
      </c>
      <c r="F1348" t="s">
        <v>1015</v>
      </c>
      <c r="G1348" t="s">
        <v>1016</v>
      </c>
      <c r="H1348" t="s">
        <v>663</v>
      </c>
      <c r="I1348">
        <v>3073.6</v>
      </c>
      <c r="J1348">
        <v>3073.6</v>
      </c>
      <c r="K1348">
        <v>3073.6</v>
      </c>
      <c r="L1348" t="s">
        <v>25</v>
      </c>
      <c r="M1348" t="s">
        <v>132</v>
      </c>
      <c r="N1348">
        <v>300</v>
      </c>
      <c r="O1348">
        <v>922080</v>
      </c>
      <c r="P1348" t="str">
        <f>IF(T[[#This Row],[qty_ordered]]&lt;&gt;T[[#This Row],[qty_received]],IF(T[[#This Row],[qty_received]]&gt;0,"Partial Received","Not Receviced"),"FullyReceived")</f>
        <v>FullyReceived</v>
      </c>
      <c r="Q1348" t="str">
        <f>IF(T[[#This Row],[qty_received]]&lt;&gt;T[[#This Row],[qty_invoiced]],IF(T[[#This Row],[qty_invoiced]]&gt;0,"Partial Invoiced","Not Invoiced"),"Fully Invoiced")</f>
        <v>Fully Invoiced</v>
      </c>
      <c r="R1348" t="str">
        <f>IFERROR(VLOOKUP(T[[#This Row],[warehouse]],Table2[],2,FALSE),"--")</f>
        <v>SLAUGHTER HOUSE</v>
      </c>
    </row>
    <row r="1349" spans="1:18" x14ac:dyDescent="0.25">
      <c r="A1349" t="s">
        <v>658</v>
      </c>
      <c r="B1349" s="1">
        <v>43895</v>
      </c>
      <c r="C1349" t="s">
        <v>1092</v>
      </c>
      <c r="D1349" t="s">
        <v>100</v>
      </c>
      <c r="E1349" t="s">
        <v>660</v>
      </c>
      <c r="F1349" t="s">
        <v>1015</v>
      </c>
      <c r="G1349" t="s">
        <v>1016</v>
      </c>
      <c r="H1349" t="s">
        <v>663</v>
      </c>
      <c r="I1349">
        <v>2992.9</v>
      </c>
      <c r="J1349">
        <v>2992.9</v>
      </c>
      <c r="K1349">
        <v>2992.9</v>
      </c>
      <c r="L1349" t="s">
        <v>25</v>
      </c>
      <c r="M1349" t="s">
        <v>132</v>
      </c>
      <c r="N1349">
        <v>322.5</v>
      </c>
      <c r="O1349">
        <v>965210.25</v>
      </c>
      <c r="P1349" t="str">
        <f>IF(T[[#This Row],[qty_ordered]]&lt;&gt;T[[#This Row],[qty_received]],IF(T[[#This Row],[qty_received]]&gt;0,"Partial Received","Not Receviced"),"FullyReceived")</f>
        <v>FullyReceived</v>
      </c>
      <c r="Q1349" t="str">
        <f>IF(T[[#This Row],[qty_received]]&lt;&gt;T[[#This Row],[qty_invoiced]],IF(T[[#This Row],[qty_invoiced]]&gt;0,"Partial Invoiced","Not Invoiced"),"Fully Invoiced")</f>
        <v>Fully Invoiced</v>
      </c>
      <c r="R1349" t="str">
        <f>IFERROR(VLOOKUP(T[[#This Row],[warehouse]],Table2[],2,FALSE),"--")</f>
        <v>SLAUGHTER HOUSE</v>
      </c>
    </row>
    <row r="1350" spans="1:18" x14ac:dyDescent="0.25">
      <c r="A1350" t="s">
        <v>658</v>
      </c>
      <c r="B1350" s="1">
        <v>43895</v>
      </c>
      <c r="C1350" t="s">
        <v>1092</v>
      </c>
      <c r="D1350" t="s">
        <v>88</v>
      </c>
      <c r="E1350" t="s">
        <v>660</v>
      </c>
      <c r="F1350" t="s">
        <v>1015</v>
      </c>
      <c r="G1350" t="s">
        <v>1016</v>
      </c>
      <c r="H1350" t="s">
        <v>663</v>
      </c>
      <c r="I1350">
        <v>3003.7</v>
      </c>
      <c r="J1350">
        <v>3003.7</v>
      </c>
      <c r="K1350">
        <v>3003.7</v>
      </c>
      <c r="L1350" t="s">
        <v>25</v>
      </c>
      <c r="M1350" t="s">
        <v>132</v>
      </c>
      <c r="N1350">
        <v>345</v>
      </c>
      <c r="O1350">
        <v>1036276.5</v>
      </c>
      <c r="P1350" t="str">
        <f>IF(T[[#This Row],[qty_ordered]]&lt;&gt;T[[#This Row],[qty_received]],IF(T[[#This Row],[qty_received]]&gt;0,"Partial Received","Not Receviced"),"FullyReceived")</f>
        <v>FullyReceived</v>
      </c>
      <c r="Q1350" t="str">
        <f>IF(T[[#This Row],[qty_received]]&lt;&gt;T[[#This Row],[qty_invoiced]],IF(T[[#This Row],[qty_invoiced]]&gt;0,"Partial Invoiced","Not Invoiced"),"Fully Invoiced")</f>
        <v>Fully Invoiced</v>
      </c>
      <c r="R1350" t="str">
        <f>IFERROR(VLOOKUP(T[[#This Row],[warehouse]],Table2[],2,FALSE),"--")</f>
        <v>SLAUGHTER HOUSE</v>
      </c>
    </row>
    <row r="1351" spans="1:18" x14ac:dyDescent="0.25">
      <c r="A1351" t="s">
        <v>153</v>
      </c>
      <c r="B1351" s="1">
        <v>43804</v>
      </c>
      <c r="C1351" t="s">
        <v>881</v>
      </c>
      <c r="D1351" t="s">
        <v>74</v>
      </c>
      <c r="E1351" t="s">
        <v>166</v>
      </c>
      <c r="F1351" t="s">
        <v>167</v>
      </c>
      <c r="G1351" t="s">
        <v>156</v>
      </c>
      <c r="H1351" t="s">
        <v>24</v>
      </c>
      <c r="I1351">
        <v>450</v>
      </c>
      <c r="J1351">
        <v>0</v>
      </c>
      <c r="K1351">
        <v>0</v>
      </c>
      <c r="L1351" t="s">
        <v>25</v>
      </c>
      <c r="M1351" t="s">
        <v>132</v>
      </c>
      <c r="N1351">
        <v>222222.22222200001</v>
      </c>
      <c r="O1351">
        <v>0</v>
      </c>
      <c r="P1351" t="str">
        <f>IF(T[[#This Row],[qty_ordered]]&lt;&gt;T[[#This Row],[qty_received]],IF(T[[#This Row],[qty_received]]&gt;0,"Partial Received","Not Receviced"),"FullyReceived")</f>
        <v>Not Receviced</v>
      </c>
      <c r="Q1351" t="str">
        <f>IF(T[[#This Row],[qty_received]]&lt;&gt;T[[#This Row],[qty_invoiced]],IF(T[[#This Row],[qty_invoiced]]&gt;0,"Partial Invoiced","Not Invoiced"),"Fully Invoiced")</f>
        <v>Fully Invoiced</v>
      </c>
      <c r="R1351" t="str">
        <f>IFERROR(VLOOKUP(T[[#This Row],[warehouse]],Table2[],2,FALSE),"--")</f>
        <v>Crusher Al-Teital -K</v>
      </c>
    </row>
    <row r="1352" spans="1:18" x14ac:dyDescent="0.25">
      <c r="A1352" t="s">
        <v>153</v>
      </c>
      <c r="B1352" s="1">
        <v>43877</v>
      </c>
      <c r="C1352" t="s">
        <v>641</v>
      </c>
      <c r="D1352" t="s">
        <v>71</v>
      </c>
      <c r="E1352" t="s">
        <v>44</v>
      </c>
      <c r="F1352" t="s">
        <v>486</v>
      </c>
      <c r="G1352" t="s">
        <v>487</v>
      </c>
      <c r="H1352" t="s">
        <v>24</v>
      </c>
      <c r="I1352">
        <v>100</v>
      </c>
      <c r="J1352">
        <v>0</v>
      </c>
      <c r="K1352">
        <v>0</v>
      </c>
      <c r="L1352" t="s">
        <v>25</v>
      </c>
      <c r="M1352" t="s">
        <v>132</v>
      </c>
      <c r="N1352">
        <v>200000</v>
      </c>
      <c r="O1352">
        <v>0</v>
      </c>
      <c r="P1352" t="str">
        <f>IF(T[[#This Row],[qty_ordered]]&lt;&gt;T[[#This Row],[qty_received]],IF(T[[#This Row],[qty_received]]&gt;0,"Partial Received","Not Receviced"),"FullyReceived")</f>
        <v>Not Receviced</v>
      </c>
      <c r="Q1352" t="str">
        <f>IF(T[[#This Row],[qty_received]]&lt;&gt;T[[#This Row],[qty_invoiced]],IF(T[[#This Row],[qty_invoiced]]&gt;0,"Partial Invoiced","Not Invoiced"),"Fully Invoiced")</f>
        <v>Fully Invoiced</v>
      </c>
      <c r="R1352" t="str">
        <f>IFERROR(VLOOKUP(T[[#This Row],[warehouse]],Table2[],2,FALSE),"--")</f>
        <v>Sifter OMD - Yara (AlNawris)</v>
      </c>
    </row>
    <row r="1353" spans="1:18" x14ac:dyDescent="0.25">
      <c r="A1353" t="s">
        <v>790</v>
      </c>
      <c r="B1353" s="1">
        <v>43865</v>
      </c>
      <c r="C1353" t="s">
        <v>975</v>
      </c>
      <c r="D1353" t="s">
        <v>88</v>
      </c>
      <c r="E1353" t="s">
        <v>51</v>
      </c>
      <c r="F1353" t="s">
        <v>164</v>
      </c>
      <c r="G1353" t="s">
        <v>164</v>
      </c>
      <c r="H1353" t="s">
        <v>54</v>
      </c>
      <c r="I1353">
        <v>4536</v>
      </c>
      <c r="J1353">
        <v>0</v>
      </c>
      <c r="K1353">
        <v>1</v>
      </c>
      <c r="L1353" t="s">
        <v>25</v>
      </c>
      <c r="M1353" t="s">
        <v>533</v>
      </c>
      <c r="N1353">
        <v>2</v>
      </c>
      <c r="O1353">
        <v>0</v>
      </c>
      <c r="P1353" t="str">
        <f>IF(T[[#This Row],[qty_ordered]]&lt;&gt;T[[#This Row],[qty_received]],IF(T[[#This Row],[qty_received]]&gt;0,"Partial Received","Not Receviced"),"FullyReceived")</f>
        <v>Not Receviced</v>
      </c>
      <c r="Q1353" t="str">
        <f>IF(T[[#This Row],[qty_received]]&lt;&gt;T[[#This Row],[qty_invoiced]],IF(T[[#This Row],[qty_invoiced]]&gt;0,"Partial Invoiced","Not Invoiced"),"Fully Invoiced")</f>
        <v>Partial Invoiced</v>
      </c>
      <c r="R1353" t="str">
        <f>IFERROR(VLOOKUP(T[[#This Row],[warehouse]],Table2[],2,FALSE),"--")</f>
        <v>--</v>
      </c>
    </row>
    <row r="1354" spans="1:18" x14ac:dyDescent="0.25">
      <c r="A1354" t="s">
        <v>804</v>
      </c>
      <c r="B1354" s="1">
        <v>44000</v>
      </c>
      <c r="C1354" t="s">
        <v>1133</v>
      </c>
      <c r="D1354" t="s">
        <v>20</v>
      </c>
      <c r="E1354" t="s">
        <v>51</v>
      </c>
      <c r="F1354" t="s">
        <v>806</v>
      </c>
      <c r="G1354" t="s">
        <v>806</v>
      </c>
      <c r="H1354" t="s">
        <v>54</v>
      </c>
      <c r="I1354">
        <v>317</v>
      </c>
      <c r="J1354">
        <v>0</v>
      </c>
      <c r="K1354">
        <v>1</v>
      </c>
      <c r="L1354" t="s">
        <v>25</v>
      </c>
      <c r="M1354" t="s">
        <v>132</v>
      </c>
      <c r="N1354">
        <v>900</v>
      </c>
      <c r="O1354">
        <v>0</v>
      </c>
      <c r="P1354" t="str">
        <f>IF(T[[#This Row],[qty_ordered]]&lt;&gt;T[[#This Row],[qty_received]],IF(T[[#This Row],[qty_received]]&gt;0,"Partial Received","Not Receviced"),"FullyReceived")</f>
        <v>Not Receviced</v>
      </c>
      <c r="Q1354" t="str">
        <f>IF(T[[#This Row],[qty_received]]&lt;&gt;T[[#This Row],[qty_invoiced]],IF(T[[#This Row],[qty_invoiced]]&gt;0,"Partial Invoiced","Not Invoiced"),"Fully Invoiced")</f>
        <v>Partial Invoiced</v>
      </c>
      <c r="R1354" t="str">
        <f>IFERROR(VLOOKUP(T[[#This Row],[warehouse]],Table2[],2,FALSE),"--")</f>
        <v>--</v>
      </c>
    </row>
    <row r="1355" spans="1:18" x14ac:dyDescent="0.25">
      <c r="A1355" t="s">
        <v>669</v>
      </c>
      <c r="B1355" s="1">
        <v>43891</v>
      </c>
      <c r="C1355" t="s">
        <v>673</v>
      </c>
      <c r="D1355" t="s">
        <v>71</v>
      </c>
      <c r="E1355" t="s">
        <v>51</v>
      </c>
      <c r="F1355" t="s">
        <v>247</v>
      </c>
      <c r="G1355" t="s">
        <v>247</v>
      </c>
      <c r="H1355" t="s">
        <v>54</v>
      </c>
      <c r="I1355">
        <v>659.53</v>
      </c>
      <c r="J1355">
        <v>0</v>
      </c>
      <c r="K1355">
        <v>1</v>
      </c>
      <c r="L1355" t="s">
        <v>25</v>
      </c>
      <c r="M1355" t="s">
        <v>533</v>
      </c>
      <c r="N1355">
        <v>750</v>
      </c>
      <c r="O1355">
        <v>0</v>
      </c>
      <c r="P1355" t="str">
        <f>IF(T[[#This Row],[qty_ordered]]&lt;&gt;T[[#This Row],[qty_received]],IF(T[[#This Row],[qty_received]]&gt;0,"Partial Received","Not Receviced"),"FullyReceived")</f>
        <v>Not Receviced</v>
      </c>
      <c r="Q1355" t="str">
        <f>IF(T[[#This Row],[qty_received]]&lt;&gt;T[[#This Row],[qty_invoiced]],IF(T[[#This Row],[qty_invoiced]]&gt;0,"Partial Invoiced","Not Invoiced"),"Fully Invoiced")</f>
        <v>Partial Invoiced</v>
      </c>
      <c r="R1355" t="str">
        <f>IFERROR(VLOOKUP(T[[#This Row],[warehouse]],Table2[],2,FALSE),"--")</f>
        <v>--</v>
      </c>
    </row>
    <row r="1356" spans="1:18" x14ac:dyDescent="0.25">
      <c r="A1356" t="s">
        <v>669</v>
      </c>
      <c r="B1356" s="1">
        <v>43891</v>
      </c>
      <c r="C1356" t="s">
        <v>673</v>
      </c>
      <c r="D1356" t="s">
        <v>100</v>
      </c>
      <c r="E1356" t="s">
        <v>51</v>
      </c>
      <c r="F1356" t="s">
        <v>278</v>
      </c>
      <c r="G1356" t="s">
        <v>279</v>
      </c>
      <c r="H1356" t="s">
        <v>54</v>
      </c>
      <c r="I1356">
        <v>13332</v>
      </c>
      <c r="J1356">
        <v>0</v>
      </c>
      <c r="K1356">
        <v>1</v>
      </c>
      <c r="L1356" t="s">
        <v>25</v>
      </c>
      <c r="M1356" t="s">
        <v>533</v>
      </c>
      <c r="N1356">
        <v>10</v>
      </c>
      <c r="O1356">
        <v>0</v>
      </c>
      <c r="P1356" t="str">
        <f>IF(T[[#This Row],[qty_ordered]]&lt;&gt;T[[#This Row],[qty_received]],IF(T[[#This Row],[qty_received]]&gt;0,"Partial Received","Not Receviced"),"FullyReceived")</f>
        <v>Not Receviced</v>
      </c>
      <c r="Q1356" t="str">
        <f>IF(T[[#This Row],[qty_received]]&lt;&gt;T[[#This Row],[qty_invoiced]],IF(T[[#This Row],[qty_invoiced]]&gt;0,"Partial Invoiced","Not Invoiced"),"Fully Invoiced")</f>
        <v>Partial Invoiced</v>
      </c>
      <c r="R1356" t="str">
        <f>IFERROR(VLOOKUP(T[[#This Row],[warehouse]],Table2[],2,FALSE),"--")</f>
        <v>--</v>
      </c>
    </row>
    <row r="1357" spans="1:18" x14ac:dyDescent="0.25">
      <c r="A1357" t="s">
        <v>235</v>
      </c>
      <c r="B1357" s="1">
        <v>44160</v>
      </c>
      <c r="C1357" t="s">
        <v>998</v>
      </c>
      <c r="D1357" t="s">
        <v>88</v>
      </c>
      <c r="E1357" t="s">
        <v>51</v>
      </c>
      <c r="F1357" t="s">
        <v>546</v>
      </c>
      <c r="G1357" t="s">
        <v>999</v>
      </c>
      <c r="H1357" t="s">
        <v>54</v>
      </c>
      <c r="I1357">
        <v>18000</v>
      </c>
      <c r="J1357">
        <v>0</v>
      </c>
      <c r="K1357">
        <v>1</v>
      </c>
      <c r="L1357" t="s">
        <v>25</v>
      </c>
      <c r="M1357" t="s">
        <v>2836</v>
      </c>
      <c r="N1357">
        <v>4.5</v>
      </c>
      <c r="O1357">
        <v>0</v>
      </c>
      <c r="P1357" t="str">
        <f>IF(T[[#This Row],[qty_ordered]]&lt;&gt;T[[#This Row],[qty_received]],IF(T[[#This Row],[qty_received]]&gt;0,"Partial Received","Not Receviced"),"FullyReceived")</f>
        <v>Not Receviced</v>
      </c>
      <c r="Q1357" t="str">
        <f>IF(T[[#This Row],[qty_received]]&lt;&gt;T[[#This Row],[qty_invoiced]],IF(T[[#This Row],[qty_invoiced]]&gt;0,"Partial Invoiced","Not Invoiced"),"Fully Invoiced")</f>
        <v>Partial Invoiced</v>
      </c>
      <c r="R1357" t="str">
        <f>IFERROR(VLOOKUP(T[[#This Row],[warehouse]],Table2[],2,FALSE),"--")</f>
        <v>--</v>
      </c>
    </row>
    <row r="1358" spans="1:18" x14ac:dyDescent="0.25">
      <c r="A1358" t="s">
        <v>235</v>
      </c>
      <c r="B1358" s="1">
        <v>44160</v>
      </c>
      <c r="C1358" t="s">
        <v>998</v>
      </c>
      <c r="D1358" t="s">
        <v>74</v>
      </c>
      <c r="E1358" t="s">
        <v>51</v>
      </c>
      <c r="F1358" t="s">
        <v>546</v>
      </c>
      <c r="G1358" t="s">
        <v>999</v>
      </c>
      <c r="H1358" t="s">
        <v>54</v>
      </c>
      <c r="I1358">
        <v>5000</v>
      </c>
      <c r="J1358">
        <v>0</v>
      </c>
      <c r="K1358">
        <v>1</v>
      </c>
      <c r="L1358" t="s">
        <v>25</v>
      </c>
      <c r="M1358" t="s">
        <v>2836</v>
      </c>
      <c r="N1358">
        <v>5.24</v>
      </c>
      <c r="O1358">
        <v>0</v>
      </c>
      <c r="P1358" t="str">
        <f>IF(T[[#This Row],[qty_ordered]]&lt;&gt;T[[#This Row],[qty_received]],IF(T[[#This Row],[qty_received]]&gt;0,"Partial Received","Not Receviced"),"FullyReceived")</f>
        <v>Not Receviced</v>
      </c>
      <c r="Q1358" t="str">
        <f>IF(T[[#This Row],[qty_received]]&lt;&gt;T[[#This Row],[qty_invoiced]],IF(T[[#This Row],[qty_invoiced]]&gt;0,"Partial Invoiced","Not Invoiced"),"Fully Invoiced")</f>
        <v>Partial Invoiced</v>
      </c>
      <c r="R1358" t="str">
        <f>IFERROR(VLOOKUP(T[[#This Row],[warehouse]],Table2[],2,FALSE),"--")</f>
        <v>--</v>
      </c>
    </row>
    <row r="1359" spans="1:18" x14ac:dyDescent="0.25">
      <c r="A1359" t="s">
        <v>235</v>
      </c>
      <c r="B1359" s="1">
        <v>44160</v>
      </c>
      <c r="C1359" t="s">
        <v>1000</v>
      </c>
      <c r="D1359" t="s">
        <v>88</v>
      </c>
      <c r="E1359" t="s">
        <v>51</v>
      </c>
      <c r="F1359" t="s">
        <v>546</v>
      </c>
      <c r="G1359" t="s">
        <v>946</v>
      </c>
      <c r="H1359" t="s">
        <v>54</v>
      </c>
      <c r="I1359">
        <v>15000</v>
      </c>
      <c r="J1359">
        <v>0</v>
      </c>
      <c r="K1359">
        <v>1</v>
      </c>
      <c r="L1359" t="s">
        <v>25</v>
      </c>
      <c r="M1359" t="s">
        <v>533</v>
      </c>
      <c r="N1359">
        <v>5</v>
      </c>
      <c r="O1359">
        <v>0</v>
      </c>
      <c r="P1359" t="str">
        <f>IF(T[[#This Row],[qty_ordered]]&lt;&gt;T[[#This Row],[qty_received]],IF(T[[#This Row],[qty_received]]&gt;0,"Partial Received","Not Receviced"),"FullyReceived")</f>
        <v>Not Receviced</v>
      </c>
      <c r="Q1359" t="str">
        <f>IF(T[[#This Row],[qty_received]]&lt;&gt;T[[#This Row],[qty_invoiced]],IF(T[[#This Row],[qty_invoiced]]&gt;0,"Partial Invoiced","Not Invoiced"),"Fully Invoiced")</f>
        <v>Partial Invoiced</v>
      </c>
      <c r="R1359" t="str">
        <f>IFERROR(VLOOKUP(T[[#This Row],[warehouse]],Table2[],2,FALSE),"--")</f>
        <v>--</v>
      </c>
    </row>
    <row r="1360" spans="1:18" x14ac:dyDescent="0.25">
      <c r="A1360" t="s">
        <v>235</v>
      </c>
      <c r="B1360" s="1">
        <v>44160</v>
      </c>
      <c r="C1360" t="s">
        <v>1000</v>
      </c>
      <c r="D1360" t="s">
        <v>74</v>
      </c>
      <c r="E1360" t="s">
        <v>51</v>
      </c>
      <c r="F1360" t="s">
        <v>546</v>
      </c>
      <c r="G1360" t="s">
        <v>946</v>
      </c>
      <c r="H1360" t="s">
        <v>54</v>
      </c>
      <c r="I1360">
        <v>2500</v>
      </c>
      <c r="J1360">
        <v>0</v>
      </c>
      <c r="K1360">
        <v>1</v>
      </c>
      <c r="L1360" t="s">
        <v>25</v>
      </c>
      <c r="M1360" t="s">
        <v>533</v>
      </c>
      <c r="N1360">
        <v>5.38</v>
      </c>
      <c r="O1360">
        <v>0</v>
      </c>
      <c r="P1360" t="str">
        <f>IF(T[[#This Row],[qty_ordered]]&lt;&gt;T[[#This Row],[qty_received]],IF(T[[#This Row],[qty_received]]&gt;0,"Partial Received","Not Receviced"),"FullyReceived")</f>
        <v>Not Receviced</v>
      </c>
      <c r="Q1360" t="str">
        <f>IF(T[[#This Row],[qty_received]]&lt;&gt;T[[#This Row],[qty_invoiced]],IF(T[[#This Row],[qty_invoiced]]&gt;0,"Partial Invoiced","Not Invoiced"),"Fully Invoiced")</f>
        <v>Partial Invoiced</v>
      </c>
      <c r="R1360" t="str">
        <f>IFERROR(VLOOKUP(T[[#This Row],[warehouse]],Table2[],2,FALSE),"--")</f>
        <v>--</v>
      </c>
    </row>
    <row r="1361" spans="1:18" x14ac:dyDescent="0.25">
      <c r="A1361" t="s">
        <v>235</v>
      </c>
      <c r="B1361" s="1">
        <v>44199</v>
      </c>
      <c r="C1361" t="s">
        <v>1134</v>
      </c>
      <c r="D1361" t="s">
        <v>20</v>
      </c>
      <c r="E1361" t="s">
        <v>51</v>
      </c>
      <c r="F1361" t="s">
        <v>546</v>
      </c>
      <c r="G1361" t="s">
        <v>1135</v>
      </c>
      <c r="H1361" t="s">
        <v>54</v>
      </c>
      <c r="I1361">
        <v>10000</v>
      </c>
      <c r="J1361">
        <v>0</v>
      </c>
      <c r="K1361">
        <v>1</v>
      </c>
      <c r="L1361" t="s">
        <v>25</v>
      </c>
      <c r="M1361" t="s">
        <v>2836</v>
      </c>
      <c r="N1361">
        <v>5</v>
      </c>
      <c r="O1361">
        <v>0</v>
      </c>
      <c r="P1361" t="str">
        <f>IF(T[[#This Row],[qty_ordered]]&lt;&gt;T[[#This Row],[qty_received]],IF(T[[#This Row],[qty_received]]&gt;0,"Partial Received","Not Receviced"),"FullyReceived")</f>
        <v>Not Receviced</v>
      </c>
      <c r="Q1361" t="str">
        <f>IF(T[[#This Row],[qty_received]]&lt;&gt;T[[#This Row],[qty_invoiced]],IF(T[[#This Row],[qty_invoiced]]&gt;0,"Partial Invoiced","Not Invoiced"),"Fully Invoiced")</f>
        <v>Partial Invoiced</v>
      </c>
      <c r="R1361" t="str">
        <f>IFERROR(VLOOKUP(T[[#This Row],[warehouse]],Table2[],2,FALSE),"--")</f>
        <v>--</v>
      </c>
    </row>
    <row r="1362" spans="1:18" x14ac:dyDescent="0.25">
      <c r="A1362" t="s">
        <v>235</v>
      </c>
      <c r="B1362" s="1">
        <v>44199</v>
      </c>
      <c r="C1362" t="s">
        <v>1136</v>
      </c>
      <c r="D1362" t="s">
        <v>20</v>
      </c>
      <c r="E1362" t="s">
        <v>51</v>
      </c>
      <c r="F1362" t="s">
        <v>546</v>
      </c>
      <c r="G1362" t="s">
        <v>1137</v>
      </c>
      <c r="H1362" t="s">
        <v>54</v>
      </c>
      <c r="I1362">
        <v>20000</v>
      </c>
      <c r="J1362">
        <v>0</v>
      </c>
      <c r="K1362">
        <v>1</v>
      </c>
      <c r="L1362" t="s">
        <v>25</v>
      </c>
      <c r="M1362" t="s">
        <v>533</v>
      </c>
      <c r="N1362">
        <v>5</v>
      </c>
      <c r="O1362">
        <v>0</v>
      </c>
      <c r="P1362" t="str">
        <f>IF(T[[#This Row],[qty_ordered]]&lt;&gt;T[[#This Row],[qty_received]],IF(T[[#This Row],[qty_received]]&gt;0,"Partial Received","Not Receviced"),"FullyReceived")</f>
        <v>Not Receviced</v>
      </c>
      <c r="Q1362" t="str">
        <f>IF(T[[#This Row],[qty_received]]&lt;&gt;T[[#This Row],[qty_invoiced]],IF(T[[#This Row],[qty_invoiced]]&gt;0,"Partial Invoiced","Not Invoiced"),"Fully Invoiced")</f>
        <v>Partial Invoiced</v>
      </c>
      <c r="R1362" t="str">
        <f>IFERROR(VLOOKUP(T[[#This Row],[warehouse]],Table2[],2,FALSE),"--")</f>
        <v>--</v>
      </c>
    </row>
    <row r="1363" spans="1:18" x14ac:dyDescent="0.25">
      <c r="A1363" t="s">
        <v>852</v>
      </c>
      <c r="B1363" s="1">
        <v>44200</v>
      </c>
      <c r="C1363" t="s">
        <v>1138</v>
      </c>
      <c r="D1363" t="s">
        <v>20</v>
      </c>
      <c r="E1363" t="s">
        <v>51</v>
      </c>
      <c r="F1363" t="s">
        <v>52</v>
      </c>
      <c r="G1363" t="s">
        <v>75</v>
      </c>
      <c r="H1363" t="s">
        <v>54</v>
      </c>
      <c r="I1363">
        <v>1</v>
      </c>
      <c r="J1363">
        <v>0</v>
      </c>
      <c r="K1363">
        <v>1</v>
      </c>
      <c r="L1363" t="s">
        <v>25</v>
      </c>
      <c r="M1363" t="s">
        <v>132</v>
      </c>
      <c r="N1363">
        <v>210000</v>
      </c>
      <c r="O1363">
        <v>0</v>
      </c>
      <c r="P1363" t="str">
        <f>IF(T[[#This Row],[qty_ordered]]&lt;&gt;T[[#This Row],[qty_received]],IF(T[[#This Row],[qty_received]]&gt;0,"Partial Received","Not Receviced"),"FullyReceived")</f>
        <v>Not Receviced</v>
      </c>
      <c r="Q1363" t="str">
        <f>IF(T[[#This Row],[qty_received]]&lt;&gt;T[[#This Row],[qty_invoiced]],IF(T[[#This Row],[qty_invoiced]]&gt;0,"Partial Invoiced","Not Invoiced"),"Fully Invoiced")</f>
        <v>Partial Invoiced</v>
      </c>
      <c r="R1363" t="str">
        <f>IFERROR(VLOOKUP(T[[#This Row],[warehouse]],Table2[],2,FALSE),"--")</f>
        <v>--</v>
      </c>
    </row>
    <row r="1364" spans="1:18" x14ac:dyDescent="0.25">
      <c r="A1364" t="s">
        <v>795</v>
      </c>
      <c r="B1364" s="1">
        <v>44160</v>
      </c>
      <c r="C1364" t="s">
        <v>1008</v>
      </c>
      <c r="D1364" t="s">
        <v>100</v>
      </c>
      <c r="E1364" t="s">
        <v>1139</v>
      </c>
      <c r="F1364" t="s">
        <v>287</v>
      </c>
      <c r="G1364" t="s">
        <v>288</v>
      </c>
      <c r="H1364" t="s">
        <v>24</v>
      </c>
      <c r="I1364">
        <v>9600</v>
      </c>
      <c r="J1364">
        <v>3096.92</v>
      </c>
      <c r="K1364">
        <v>3096.92</v>
      </c>
      <c r="L1364" t="s">
        <v>25</v>
      </c>
      <c r="M1364" t="s">
        <v>132</v>
      </c>
      <c r="N1364">
        <v>358333.3333</v>
      </c>
      <c r="O1364">
        <v>1109729666.5634401</v>
      </c>
      <c r="P1364" t="str">
        <f>IF(T[[#This Row],[qty_ordered]]&lt;&gt;T[[#This Row],[qty_received]],IF(T[[#This Row],[qty_received]]&gt;0,"Partial Received","Not Receviced"),"FullyReceived")</f>
        <v>Partial Received</v>
      </c>
      <c r="Q1364" t="str">
        <f>IF(T[[#This Row],[qty_received]]&lt;&gt;T[[#This Row],[qty_invoiced]],IF(T[[#This Row],[qty_invoiced]]&gt;0,"Partial Invoiced","Not Invoiced"),"Fully Invoiced")</f>
        <v>Fully Invoiced</v>
      </c>
      <c r="R1364" t="str">
        <f>IFERROR(VLOOKUP(T[[#This Row],[warehouse]],Table2[],2,FALSE),"--")</f>
        <v>Magzoub Sorting - OMD</v>
      </c>
    </row>
    <row r="1365" spans="1:18" x14ac:dyDescent="0.25">
      <c r="A1365" t="s">
        <v>560</v>
      </c>
      <c r="B1365" s="1">
        <v>44201</v>
      </c>
      <c r="C1365" t="s">
        <v>1078</v>
      </c>
      <c r="D1365" t="s">
        <v>212</v>
      </c>
      <c r="E1365" t="s">
        <v>51</v>
      </c>
      <c r="F1365" t="s">
        <v>164</v>
      </c>
      <c r="G1365" t="s">
        <v>1079</v>
      </c>
      <c r="H1365" t="s">
        <v>54</v>
      </c>
      <c r="I1365">
        <v>74</v>
      </c>
      <c r="J1365">
        <v>0</v>
      </c>
      <c r="K1365">
        <v>1</v>
      </c>
      <c r="L1365" t="s">
        <v>25</v>
      </c>
      <c r="M1365" t="s">
        <v>533</v>
      </c>
      <c r="N1365">
        <v>620.27026999999998</v>
      </c>
      <c r="O1365">
        <v>0</v>
      </c>
      <c r="P1365" t="str">
        <f>IF(T[[#This Row],[qty_ordered]]&lt;&gt;T[[#This Row],[qty_received]],IF(T[[#This Row],[qty_received]]&gt;0,"Partial Received","Not Receviced"),"FullyReceived")</f>
        <v>Not Receviced</v>
      </c>
      <c r="Q1365" t="str">
        <f>IF(T[[#This Row],[qty_received]]&lt;&gt;T[[#This Row],[qty_invoiced]],IF(T[[#This Row],[qty_invoiced]]&gt;0,"Partial Invoiced","Not Invoiced"),"Fully Invoiced")</f>
        <v>Partial Invoiced</v>
      </c>
      <c r="R1365" t="str">
        <f>IFERROR(VLOOKUP(T[[#This Row],[warehouse]],Table2[],2,FALSE),"--")</f>
        <v>--</v>
      </c>
    </row>
    <row r="1366" spans="1:18" x14ac:dyDescent="0.25">
      <c r="A1366" t="s">
        <v>560</v>
      </c>
      <c r="B1366" s="1">
        <v>44201</v>
      </c>
      <c r="C1366" t="s">
        <v>1078</v>
      </c>
      <c r="D1366" t="s">
        <v>322</v>
      </c>
      <c r="E1366" t="s">
        <v>51</v>
      </c>
      <c r="F1366" t="s">
        <v>164</v>
      </c>
      <c r="G1366" t="s">
        <v>1079</v>
      </c>
      <c r="H1366" t="s">
        <v>54</v>
      </c>
      <c r="I1366">
        <v>260</v>
      </c>
      <c r="J1366">
        <v>0</v>
      </c>
      <c r="K1366">
        <v>1</v>
      </c>
      <c r="L1366" t="s">
        <v>25</v>
      </c>
      <c r="M1366" t="s">
        <v>533</v>
      </c>
      <c r="N1366">
        <v>426</v>
      </c>
      <c r="O1366">
        <v>0</v>
      </c>
      <c r="P1366" t="str">
        <f>IF(T[[#This Row],[qty_ordered]]&lt;&gt;T[[#This Row],[qty_received]],IF(T[[#This Row],[qty_received]]&gt;0,"Partial Received","Not Receviced"),"FullyReceived")</f>
        <v>Not Receviced</v>
      </c>
      <c r="Q1366" t="str">
        <f>IF(T[[#This Row],[qty_received]]&lt;&gt;T[[#This Row],[qty_invoiced]],IF(T[[#This Row],[qty_invoiced]]&gt;0,"Partial Invoiced","Not Invoiced"),"Fully Invoiced")</f>
        <v>Partial Invoiced</v>
      </c>
      <c r="R1366" t="str">
        <f>IFERROR(VLOOKUP(T[[#This Row],[warehouse]],Table2[],2,FALSE),"--")</f>
        <v>--</v>
      </c>
    </row>
    <row r="1367" spans="1:18" x14ac:dyDescent="0.25">
      <c r="A1367" t="s">
        <v>560</v>
      </c>
      <c r="B1367" s="1">
        <v>44201</v>
      </c>
      <c r="C1367" t="s">
        <v>1078</v>
      </c>
      <c r="D1367" t="s">
        <v>323</v>
      </c>
      <c r="E1367" t="s">
        <v>51</v>
      </c>
      <c r="F1367" t="s">
        <v>164</v>
      </c>
      <c r="G1367" t="s">
        <v>1079</v>
      </c>
      <c r="H1367" t="s">
        <v>54</v>
      </c>
      <c r="I1367">
        <v>390</v>
      </c>
      <c r="J1367">
        <v>0</v>
      </c>
      <c r="K1367">
        <v>1</v>
      </c>
      <c r="L1367" t="s">
        <v>25</v>
      </c>
      <c r="M1367" t="s">
        <v>533</v>
      </c>
      <c r="N1367">
        <v>429.384615</v>
      </c>
      <c r="O1367">
        <v>0</v>
      </c>
      <c r="P1367" t="str">
        <f>IF(T[[#This Row],[qty_ordered]]&lt;&gt;T[[#This Row],[qty_received]],IF(T[[#This Row],[qty_received]]&gt;0,"Partial Received","Not Receviced"),"FullyReceived")</f>
        <v>Not Receviced</v>
      </c>
      <c r="Q1367" t="str">
        <f>IF(T[[#This Row],[qty_received]]&lt;&gt;T[[#This Row],[qty_invoiced]],IF(T[[#This Row],[qty_invoiced]]&gt;0,"Partial Invoiced","Not Invoiced"),"Fully Invoiced")</f>
        <v>Partial Invoiced</v>
      </c>
      <c r="R1367" t="str">
        <f>IFERROR(VLOOKUP(T[[#This Row],[warehouse]],Table2[],2,FALSE),"--")</f>
        <v>--</v>
      </c>
    </row>
    <row r="1368" spans="1:18" x14ac:dyDescent="0.25">
      <c r="A1368" t="s">
        <v>560</v>
      </c>
      <c r="B1368" s="1">
        <v>44201</v>
      </c>
      <c r="C1368" t="s">
        <v>1140</v>
      </c>
      <c r="D1368" t="s">
        <v>20</v>
      </c>
      <c r="E1368" t="s">
        <v>51</v>
      </c>
      <c r="F1368" t="s">
        <v>164</v>
      </c>
      <c r="G1368" t="s">
        <v>1141</v>
      </c>
      <c r="H1368" t="s">
        <v>54</v>
      </c>
      <c r="I1368">
        <v>141</v>
      </c>
      <c r="J1368">
        <v>0</v>
      </c>
      <c r="K1368">
        <v>1</v>
      </c>
      <c r="L1368" t="s">
        <v>25</v>
      </c>
      <c r="M1368" t="s">
        <v>533</v>
      </c>
      <c r="N1368">
        <v>429.57446800000002</v>
      </c>
      <c r="O1368">
        <v>0</v>
      </c>
      <c r="P1368" t="str">
        <f>IF(T[[#This Row],[qty_ordered]]&lt;&gt;T[[#This Row],[qty_received]],IF(T[[#This Row],[qty_received]]&gt;0,"Partial Received","Not Receviced"),"FullyReceived")</f>
        <v>Not Receviced</v>
      </c>
      <c r="Q1368" t="str">
        <f>IF(T[[#This Row],[qty_received]]&lt;&gt;T[[#This Row],[qty_invoiced]],IF(T[[#This Row],[qty_invoiced]]&gt;0,"Partial Invoiced","Not Invoiced"),"Fully Invoiced")</f>
        <v>Partial Invoiced</v>
      </c>
      <c r="R1368" t="str">
        <f>IFERROR(VLOOKUP(T[[#This Row],[warehouse]],Table2[],2,FALSE),"--")</f>
        <v>--</v>
      </c>
    </row>
    <row r="1369" spans="1:18" x14ac:dyDescent="0.25">
      <c r="A1369" t="s">
        <v>618</v>
      </c>
      <c r="B1369" s="1">
        <v>44193</v>
      </c>
      <c r="C1369" t="s">
        <v>1071</v>
      </c>
      <c r="D1369" t="s">
        <v>71</v>
      </c>
      <c r="E1369" t="s">
        <v>1142</v>
      </c>
      <c r="F1369" t="s">
        <v>486</v>
      </c>
      <c r="G1369" t="s">
        <v>487</v>
      </c>
      <c r="H1369" t="s">
        <v>24</v>
      </c>
      <c r="I1369">
        <v>1000</v>
      </c>
      <c r="J1369">
        <v>573.67999999999995</v>
      </c>
      <c r="K1369">
        <v>573.67999999999995</v>
      </c>
      <c r="L1369" t="s">
        <v>25</v>
      </c>
      <c r="M1369" t="s">
        <v>132</v>
      </c>
      <c r="N1369">
        <v>300000</v>
      </c>
      <c r="O1369">
        <v>172104000</v>
      </c>
      <c r="P1369" t="str">
        <f>IF(T[[#This Row],[qty_ordered]]&lt;&gt;T[[#This Row],[qty_received]],IF(T[[#This Row],[qty_received]]&gt;0,"Partial Received","Not Receviced"),"FullyReceived")</f>
        <v>Partial Received</v>
      </c>
      <c r="Q1369" t="str">
        <f>IF(T[[#This Row],[qty_received]]&lt;&gt;T[[#This Row],[qty_invoiced]],IF(T[[#This Row],[qty_invoiced]]&gt;0,"Partial Invoiced","Not Invoiced"),"Fully Invoiced")</f>
        <v>Fully Invoiced</v>
      </c>
      <c r="R1369" t="str">
        <f>IFERROR(VLOOKUP(T[[#This Row],[warehouse]],Table2[],2,FALSE),"--")</f>
        <v>SAVOLA W/H FOR EXPOR</v>
      </c>
    </row>
    <row r="1370" spans="1:18" x14ac:dyDescent="0.25">
      <c r="A1370" t="s">
        <v>560</v>
      </c>
      <c r="B1370" s="1">
        <v>44201</v>
      </c>
      <c r="C1370" t="s">
        <v>1143</v>
      </c>
      <c r="D1370" t="s">
        <v>20</v>
      </c>
      <c r="E1370" t="s">
        <v>51</v>
      </c>
      <c r="F1370" t="s">
        <v>164</v>
      </c>
      <c r="G1370" t="s">
        <v>1144</v>
      </c>
      <c r="H1370" t="s">
        <v>54</v>
      </c>
      <c r="I1370">
        <v>160</v>
      </c>
      <c r="J1370">
        <v>0</v>
      </c>
      <c r="K1370">
        <v>1</v>
      </c>
      <c r="L1370" t="s">
        <v>25</v>
      </c>
      <c r="M1370" t="s">
        <v>533</v>
      </c>
      <c r="N1370">
        <v>427.5</v>
      </c>
      <c r="O1370">
        <v>0</v>
      </c>
      <c r="P1370" t="str">
        <f>IF(T[[#This Row],[qty_ordered]]&lt;&gt;T[[#This Row],[qty_received]],IF(T[[#This Row],[qty_received]]&gt;0,"Partial Received","Not Receviced"),"FullyReceived")</f>
        <v>Not Receviced</v>
      </c>
      <c r="Q1370" t="str">
        <f>IF(T[[#This Row],[qty_received]]&lt;&gt;T[[#This Row],[qty_invoiced]],IF(T[[#This Row],[qty_invoiced]]&gt;0,"Partial Invoiced","Not Invoiced"),"Fully Invoiced")</f>
        <v>Partial Invoiced</v>
      </c>
      <c r="R1370" t="str">
        <f>IFERROR(VLOOKUP(T[[#This Row],[warehouse]],Table2[],2,FALSE),"--")</f>
        <v>--</v>
      </c>
    </row>
    <row r="1371" spans="1:18" x14ac:dyDescent="0.25">
      <c r="A1371" t="s">
        <v>560</v>
      </c>
      <c r="B1371" s="1">
        <v>44201</v>
      </c>
      <c r="C1371" t="s">
        <v>1143</v>
      </c>
      <c r="D1371" t="s">
        <v>71</v>
      </c>
      <c r="E1371" t="s">
        <v>51</v>
      </c>
      <c r="F1371" t="s">
        <v>164</v>
      </c>
      <c r="G1371" t="s">
        <v>1144</v>
      </c>
      <c r="H1371" t="s">
        <v>54</v>
      </c>
      <c r="I1371">
        <v>304</v>
      </c>
      <c r="J1371">
        <v>0</v>
      </c>
      <c r="K1371">
        <v>1</v>
      </c>
      <c r="L1371" t="s">
        <v>25</v>
      </c>
      <c r="M1371" t="s">
        <v>533</v>
      </c>
      <c r="N1371">
        <v>425.72368399999999</v>
      </c>
      <c r="O1371">
        <v>0</v>
      </c>
      <c r="P1371" t="str">
        <f>IF(T[[#This Row],[qty_ordered]]&lt;&gt;T[[#This Row],[qty_received]],IF(T[[#This Row],[qty_received]]&gt;0,"Partial Received","Not Receviced"),"FullyReceived")</f>
        <v>Not Receviced</v>
      </c>
      <c r="Q1371" t="str">
        <f>IF(T[[#This Row],[qty_received]]&lt;&gt;T[[#This Row],[qty_invoiced]],IF(T[[#This Row],[qty_invoiced]]&gt;0,"Partial Invoiced","Not Invoiced"),"Fully Invoiced")</f>
        <v>Partial Invoiced</v>
      </c>
      <c r="R1371" t="str">
        <f>IFERROR(VLOOKUP(T[[#This Row],[warehouse]],Table2[],2,FALSE),"--")</f>
        <v>--</v>
      </c>
    </row>
    <row r="1372" spans="1:18" x14ac:dyDescent="0.25">
      <c r="A1372" t="s">
        <v>560</v>
      </c>
      <c r="B1372" s="1">
        <v>44201</v>
      </c>
      <c r="C1372" t="s">
        <v>1143</v>
      </c>
      <c r="D1372" t="s">
        <v>100</v>
      </c>
      <c r="E1372" t="s">
        <v>51</v>
      </c>
      <c r="F1372" t="s">
        <v>164</v>
      </c>
      <c r="G1372" t="s">
        <v>1144</v>
      </c>
      <c r="H1372" t="s">
        <v>54</v>
      </c>
      <c r="I1372">
        <v>181</v>
      </c>
      <c r="J1372">
        <v>0</v>
      </c>
      <c r="K1372">
        <v>1</v>
      </c>
      <c r="L1372" t="s">
        <v>25</v>
      </c>
      <c r="M1372" t="s">
        <v>533</v>
      </c>
      <c r="N1372">
        <v>429.55801100000002</v>
      </c>
      <c r="O1372">
        <v>0</v>
      </c>
      <c r="P1372" t="str">
        <f>IF(T[[#This Row],[qty_ordered]]&lt;&gt;T[[#This Row],[qty_received]],IF(T[[#This Row],[qty_received]]&gt;0,"Partial Received","Not Receviced"),"FullyReceived")</f>
        <v>Not Receviced</v>
      </c>
      <c r="Q1372" t="str">
        <f>IF(T[[#This Row],[qty_received]]&lt;&gt;T[[#This Row],[qty_invoiced]],IF(T[[#This Row],[qty_invoiced]]&gt;0,"Partial Invoiced","Not Invoiced"),"Fully Invoiced")</f>
        <v>Partial Invoiced</v>
      </c>
      <c r="R1372" t="str">
        <f>IFERROR(VLOOKUP(T[[#This Row],[warehouse]],Table2[],2,FALSE),"--")</f>
        <v>--</v>
      </c>
    </row>
    <row r="1373" spans="1:18" x14ac:dyDescent="0.25">
      <c r="A1373" t="s">
        <v>560</v>
      </c>
      <c r="B1373" s="1">
        <v>44201</v>
      </c>
      <c r="C1373" t="s">
        <v>1143</v>
      </c>
      <c r="D1373" t="s">
        <v>88</v>
      </c>
      <c r="E1373" t="s">
        <v>51</v>
      </c>
      <c r="F1373" t="s">
        <v>164</v>
      </c>
      <c r="G1373" t="s">
        <v>1144</v>
      </c>
      <c r="H1373" t="s">
        <v>54</v>
      </c>
      <c r="I1373">
        <v>193</v>
      </c>
      <c r="J1373">
        <v>0</v>
      </c>
      <c r="K1373">
        <v>1</v>
      </c>
      <c r="L1373" t="s">
        <v>25</v>
      </c>
      <c r="M1373" t="s">
        <v>533</v>
      </c>
      <c r="N1373">
        <v>627.46114</v>
      </c>
      <c r="O1373">
        <v>0</v>
      </c>
      <c r="P1373" t="str">
        <f>IF(T[[#This Row],[qty_ordered]]&lt;&gt;T[[#This Row],[qty_received]],IF(T[[#This Row],[qty_received]]&gt;0,"Partial Received","Not Receviced"),"FullyReceived")</f>
        <v>Not Receviced</v>
      </c>
      <c r="Q1373" t="str">
        <f>IF(T[[#This Row],[qty_received]]&lt;&gt;T[[#This Row],[qty_invoiced]],IF(T[[#This Row],[qty_invoiced]]&gt;0,"Partial Invoiced","Not Invoiced"),"Fully Invoiced")</f>
        <v>Partial Invoiced</v>
      </c>
      <c r="R1373" t="str">
        <f>IFERROR(VLOOKUP(T[[#This Row],[warehouse]],Table2[],2,FALSE),"--")</f>
        <v>--</v>
      </c>
    </row>
    <row r="1374" spans="1:18" x14ac:dyDescent="0.25">
      <c r="A1374" t="s">
        <v>560</v>
      </c>
      <c r="B1374" s="1">
        <v>44201</v>
      </c>
      <c r="C1374" t="s">
        <v>1143</v>
      </c>
      <c r="D1374" t="s">
        <v>74</v>
      </c>
      <c r="E1374" t="s">
        <v>51</v>
      </c>
      <c r="F1374" t="s">
        <v>164</v>
      </c>
      <c r="G1374" t="s">
        <v>1144</v>
      </c>
      <c r="H1374" t="s">
        <v>54</v>
      </c>
      <c r="I1374">
        <v>64</v>
      </c>
      <c r="J1374">
        <v>0</v>
      </c>
      <c r="K1374">
        <v>1</v>
      </c>
      <c r="L1374" t="s">
        <v>25</v>
      </c>
      <c r="M1374" t="s">
        <v>533</v>
      </c>
      <c r="N1374">
        <v>448.28125</v>
      </c>
      <c r="O1374">
        <v>0</v>
      </c>
      <c r="P1374" t="str">
        <f>IF(T[[#This Row],[qty_ordered]]&lt;&gt;T[[#This Row],[qty_received]],IF(T[[#This Row],[qty_received]]&gt;0,"Partial Received","Not Receviced"),"FullyReceived")</f>
        <v>Not Receviced</v>
      </c>
      <c r="Q1374" t="str">
        <f>IF(T[[#This Row],[qty_received]]&lt;&gt;T[[#This Row],[qty_invoiced]],IF(T[[#This Row],[qty_invoiced]]&gt;0,"Partial Invoiced","Not Invoiced"),"Fully Invoiced")</f>
        <v>Partial Invoiced</v>
      </c>
      <c r="R1374" t="str">
        <f>IFERROR(VLOOKUP(T[[#This Row],[warehouse]],Table2[],2,FALSE),"--")</f>
        <v>--</v>
      </c>
    </row>
    <row r="1375" spans="1:18" x14ac:dyDescent="0.25">
      <c r="A1375" t="s">
        <v>560</v>
      </c>
      <c r="B1375" s="1">
        <v>44201</v>
      </c>
      <c r="C1375" t="s">
        <v>1143</v>
      </c>
      <c r="D1375" t="s">
        <v>76</v>
      </c>
      <c r="E1375" t="s">
        <v>51</v>
      </c>
      <c r="F1375" t="s">
        <v>164</v>
      </c>
      <c r="G1375" t="s">
        <v>1144</v>
      </c>
      <c r="H1375" t="s">
        <v>54</v>
      </c>
      <c r="I1375">
        <v>102</v>
      </c>
      <c r="J1375">
        <v>0</v>
      </c>
      <c r="K1375">
        <v>1</v>
      </c>
      <c r="L1375" t="s">
        <v>25</v>
      </c>
      <c r="M1375" t="s">
        <v>533</v>
      </c>
      <c r="N1375">
        <v>431.07843100000002</v>
      </c>
      <c r="O1375">
        <v>0</v>
      </c>
      <c r="P1375" t="str">
        <f>IF(T[[#This Row],[qty_ordered]]&lt;&gt;T[[#This Row],[qty_received]],IF(T[[#This Row],[qty_received]]&gt;0,"Partial Received","Not Receviced"),"FullyReceived")</f>
        <v>Not Receviced</v>
      </c>
      <c r="Q1375" t="str">
        <f>IF(T[[#This Row],[qty_received]]&lt;&gt;T[[#This Row],[qty_invoiced]],IF(T[[#This Row],[qty_invoiced]]&gt;0,"Partial Invoiced","Not Invoiced"),"Fully Invoiced")</f>
        <v>Partial Invoiced</v>
      </c>
      <c r="R1375" t="str">
        <f>IFERROR(VLOOKUP(T[[#This Row],[warehouse]],Table2[],2,FALSE),"--")</f>
        <v>--</v>
      </c>
    </row>
    <row r="1376" spans="1:18" x14ac:dyDescent="0.25">
      <c r="A1376" t="s">
        <v>727</v>
      </c>
      <c r="B1376" s="1">
        <v>44174</v>
      </c>
      <c r="C1376" t="s">
        <v>1145</v>
      </c>
      <c r="D1376" t="s">
        <v>20</v>
      </c>
      <c r="E1376" t="s">
        <v>723</v>
      </c>
      <c r="F1376" t="s">
        <v>219</v>
      </c>
      <c r="G1376" t="s">
        <v>724</v>
      </c>
      <c r="H1376" t="s">
        <v>221</v>
      </c>
      <c r="I1376">
        <v>18149.099999999999</v>
      </c>
      <c r="J1376">
        <v>18149.099999999999</v>
      </c>
      <c r="K1376">
        <v>18149.099999999999</v>
      </c>
      <c r="L1376" t="s">
        <v>25</v>
      </c>
      <c r="M1376" t="s">
        <v>132</v>
      </c>
      <c r="N1376">
        <v>13307.11</v>
      </c>
      <c r="O1376">
        <v>241512070.10100001</v>
      </c>
      <c r="P1376" t="str">
        <f>IF(T[[#This Row],[qty_ordered]]&lt;&gt;T[[#This Row],[qty_received]],IF(T[[#This Row],[qty_received]]&gt;0,"Partial Received","Not Receviced"),"FullyReceived")</f>
        <v>FullyReceived</v>
      </c>
      <c r="Q1376" t="str">
        <f>IF(T[[#This Row],[qty_received]]&lt;&gt;T[[#This Row],[qty_invoiced]],IF(T[[#This Row],[qty_invoiced]]&gt;0,"Partial Invoiced","Not Invoiced"),"Fully Invoiced")</f>
        <v>Fully Invoiced</v>
      </c>
      <c r="R1376" t="str">
        <f>IFERROR(VLOOKUP(T[[#This Row],[warehouse]],Table2[],2,FALSE),"--")</f>
        <v>YELLOW BEANS</v>
      </c>
    </row>
    <row r="1377" spans="1:18" x14ac:dyDescent="0.25">
      <c r="A1377" t="s">
        <v>1146</v>
      </c>
      <c r="B1377" s="1">
        <v>44202</v>
      </c>
      <c r="C1377" t="s">
        <v>1147</v>
      </c>
      <c r="D1377" t="s">
        <v>20</v>
      </c>
      <c r="E1377" t="s">
        <v>28</v>
      </c>
      <c r="F1377" t="s">
        <v>287</v>
      </c>
      <c r="G1377" t="s">
        <v>288</v>
      </c>
      <c r="H1377" t="s">
        <v>24</v>
      </c>
      <c r="I1377">
        <v>224</v>
      </c>
      <c r="J1377">
        <v>57.56</v>
      </c>
      <c r="K1377">
        <v>57.56</v>
      </c>
      <c r="L1377" t="s">
        <v>25</v>
      </c>
      <c r="M1377" t="s">
        <v>132</v>
      </c>
      <c r="N1377">
        <v>223214.28570000001</v>
      </c>
      <c r="O1377">
        <v>12848214.284892</v>
      </c>
      <c r="P1377" t="str">
        <f>IF(T[[#This Row],[qty_ordered]]&lt;&gt;T[[#This Row],[qty_received]],IF(T[[#This Row],[qty_received]]&gt;0,"Partial Received","Not Receviced"),"FullyReceived")</f>
        <v>Partial Received</v>
      </c>
      <c r="Q1377" t="str">
        <f>IF(T[[#This Row],[qty_received]]&lt;&gt;T[[#This Row],[qty_invoiced]],IF(T[[#This Row],[qty_invoiced]]&gt;0,"Partial Invoiced","Not Invoiced"),"Fully Invoiced")</f>
        <v>Fully Invoiced</v>
      </c>
      <c r="R1377" t="str">
        <f>IFERROR(VLOOKUP(T[[#This Row],[warehouse]],Table2[],2,FALSE),"--")</f>
        <v>Crusher KHN -ASVOC</v>
      </c>
    </row>
    <row r="1378" spans="1:18" x14ac:dyDescent="0.25">
      <c r="A1378" t="s">
        <v>739</v>
      </c>
      <c r="B1378" s="1">
        <v>44186</v>
      </c>
      <c r="C1378" t="s">
        <v>1069</v>
      </c>
      <c r="D1378" t="s">
        <v>88</v>
      </c>
      <c r="E1378" t="s">
        <v>660</v>
      </c>
      <c r="F1378" t="s">
        <v>705</v>
      </c>
      <c r="G1378" t="s">
        <v>706</v>
      </c>
      <c r="H1378" t="s">
        <v>663</v>
      </c>
      <c r="I1378">
        <v>2990.7</v>
      </c>
      <c r="J1378">
        <v>2990.7</v>
      </c>
      <c r="K1378">
        <v>2990.7</v>
      </c>
      <c r="L1378" t="s">
        <v>25</v>
      </c>
      <c r="M1378" t="s">
        <v>132</v>
      </c>
      <c r="N1378">
        <v>1000</v>
      </c>
      <c r="O1378">
        <v>2990700</v>
      </c>
      <c r="P1378" t="str">
        <f>IF(T[[#This Row],[qty_ordered]]&lt;&gt;T[[#This Row],[qty_received]],IF(T[[#This Row],[qty_received]]&gt;0,"Partial Received","Not Receviced"),"FullyReceived")</f>
        <v>FullyReceived</v>
      </c>
      <c r="Q1378" t="str">
        <f>IF(T[[#This Row],[qty_received]]&lt;&gt;T[[#This Row],[qty_invoiced]],IF(T[[#This Row],[qty_invoiced]]&gt;0,"Partial Invoiced","Not Invoiced"),"Fully Invoiced")</f>
        <v>Fully Invoiced</v>
      </c>
      <c r="R1378" t="str">
        <f>IFERROR(VLOOKUP(T[[#This Row],[warehouse]],Table2[],2,FALSE),"--")</f>
        <v>SLAUGHTER HOUSE</v>
      </c>
    </row>
    <row r="1379" spans="1:18" x14ac:dyDescent="0.25">
      <c r="A1379" t="s">
        <v>658</v>
      </c>
      <c r="B1379" s="1">
        <v>44186</v>
      </c>
      <c r="C1379" t="s">
        <v>1070</v>
      </c>
      <c r="D1379" t="s">
        <v>88</v>
      </c>
      <c r="E1379" t="s">
        <v>660</v>
      </c>
      <c r="F1379" t="s">
        <v>661</v>
      </c>
      <c r="G1379" t="s">
        <v>662</v>
      </c>
      <c r="H1379" t="s">
        <v>663</v>
      </c>
      <c r="I1379">
        <v>2042.1</v>
      </c>
      <c r="J1379">
        <v>2042.1</v>
      </c>
      <c r="K1379">
        <v>2042.1</v>
      </c>
      <c r="L1379" t="s">
        <v>25</v>
      </c>
      <c r="M1379" t="s">
        <v>132</v>
      </c>
      <c r="N1379">
        <v>700</v>
      </c>
      <c r="O1379">
        <v>1429470</v>
      </c>
      <c r="P1379" t="str">
        <f>IF(T[[#This Row],[qty_ordered]]&lt;&gt;T[[#This Row],[qty_received]],IF(T[[#This Row],[qty_received]]&gt;0,"Partial Received","Not Receviced"),"FullyReceived")</f>
        <v>FullyReceived</v>
      </c>
      <c r="Q1379" t="str">
        <f>IF(T[[#This Row],[qty_received]]&lt;&gt;T[[#This Row],[qty_invoiced]],IF(T[[#This Row],[qty_invoiced]]&gt;0,"Partial Invoiced","Not Invoiced"),"Fully Invoiced")</f>
        <v>Fully Invoiced</v>
      </c>
      <c r="R1379" t="str">
        <f>IFERROR(VLOOKUP(T[[#This Row],[warehouse]],Table2[],2,FALSE),"--")</f>
        <v>SLAUGHTER HOUSE</v>
      </c>
    </row>
    <row r="1380" spans="1:18" x14ac:dyDescent="0.25">
      <c r="A1380" t="s">
        <v>732</v>
      </c>
      <c r="B1380" s="1">
        <v>44207</v>
      </c>
      <c r="C1380" t="s">
        <v>1148</v>
      </c>
      <c r="D1380" t="s">
        <v>20</v>
      </c>
      <c r="E1380" t="s">
        <v>51</v>
      </c>
      <c r="F1380" t="s">
        <v>164</v>
      </c>
      <c r="G1380" t="s">
        <v>1021</v>
      </c>
      <c r="H1380" t="s">
        <v>54</v>
      </c>
      <c r="I1380">
        <v>503</v>
      </c>
      <c r="J1380">
        <v>0</v>
      </c>
      <c r="K1380">
        <v>1</v>
      </c>
      <c r="L1380" t="s">
        <v>25</v>
      </c>
      <c r="M1380" t="s">
        <v>533</v>
      </c>
      <c r="N1380">
        <v>40</v>
      </c>
      <c r="O1380">
        <v>0</v>
      </c>
      <c r="P1380" t="str">
        <f>IF(T[[#This Row],[qty_ordered]]&lt;&gt;T[[#This Row],[qty_received]],IF(T[[#This Row],[qty_received]]&gt;0,"Partial Received","Not Receviced"),"FullyReceived")</f>
        <v>Not Receviced</v>
      </c>
      <c r="Q1380" t="str">
        <f>IF(T[[#This Row],[qty_received]]&lt;&gt;T[[#This Row],[qty_invoiced]],IF(T[[#This Row],[qty_invoiced]]&gt;0,"Partial Invoiced","Not Invoiced"),"Fully Invoiced")</f>
        <v>Partial Invoiced</v>
      </c>
      <c r="R1380" t="str">
        <f>IFERROR(VLOOKUP(T[[#This Row],[warehouse]],Table2[],2,FALSE),"--")</f>
        <v>--</v>
      </c>
    </row>
    <row r="1381" spans="1:18" x14ac:dyDescent="0.25">
      <c r="A1381" t="s">
        <v>815</v>
      </c>
      <c r="B1381" s="1">
        <v>44158</v>
      </c>
      <c r="C1381" t="s">
        <v>995</v>
      </c>
      <c r="D1381" t="s">
        <v>71</v>
      </c>
      <c r="E1381" t="s">
        <v>162</v>
      </c>
      <c r="F1381" t="s">
        <v>108</v>
      </c>
      <c r="G1381" t="s">
        <v>109</v>
      </c>
      <c r="H1381" t="s">
        <v>24</v>
      </c>
      <c r="I1381">
        <v>13.52</v>
      </c>
      <c r="J1381">
        <v>13.52</v>
      </c>
      <c r="K1381">
        <v>13.52</v>
      </c>
      <c r="L1381" t="s">
        <v>25</v>
      </c>
      <c r="M1381" t="s">
        <v>707</v>
      </c>
      <c r="N1381">
        <v>263000</v>
      </c>
      <c r="O1381">
        <v>3555760</v>
      </c>
      <c r="P1381" t="str">
        <f>IF(T[[#This Row],[qty_ordered]]&lt;&gt;T[[#This Row],[qty_received]],IF(T[[#This Row],[qty_received]]&gt;0,"Partial Received","Not Receviced"),"FullyReceived")</f>
        <v>FullyReceived</v>
      </c>
      <c r="Q1381" t="str">
        <f>IF(T[[#This Row],[qty_received]]&lt;&gt;T[[#This Row],[qty_invoiced]],IF(T[[#This Row],[qty_invoiced]]&gt;0,"Partial Invoiced","Not Invoiced"),"Fully Invoiced")</f>
        <v>Fully Invoiced</v>
      </c>
      <c r="R1381" t="str">
        <f>IFERROR(VLOOKUP(T[[#This Row],[warehouse]],Table2[],2,FALSE),"--")</f>
        <v>Sifters Mahasilna</v>
      </c>
    </row>
    <row r="1382" spans="1:18" x14ac:dyDescent="0.25">
      <c r="A1382" t="s">
        <v>423</v>
      </c>
      <c r="B1382" s="1">
        <v>44160</v>
      </c>
      <c r="C1382" t="s">
        <v>1010</v>
      </c>
      <c r="D1382" t="s">
        <v>76</v>
      </c>
      <c r="E1382" t="s">
        <v>51</v>
      </c>
      <c r="F1382" t="s">
        <v>546</v>
      </c>
      <c r="G1382" t="s">
        <v>1063</v>
      </c>
      <c r="H1382" t="s">
        <v>54</v>
      </c>
      <c r="I1382">
        <v>10000</v>
      </c>
      <c r="J1382">
        <v>0</v>
      </c>
      <c r="K1382">
        <v>1</v>
      </c>
      <c r="L1382" t="s">
        <v>25</v>
      </c>
      <c r="M1382" t="s">
        <v>533</v>
      </c>
      <c r="N1382">
        <v>6.5</v>
      </c>
      <c r="O1382">
        <v>0</v>
      </c>
      <c r="P1382" t="str">
        <f>IF(T[[#This Row],[qty_ordered]]&lt;&gt;T[[#This Row],[qty_received]],IF(T[[#This Row],[qty_received]]&gt;0,"Partial Received","Not Receviced"),"FullyReceived")</f>
        <v>Not Receviced</v>
      </c>
      <c r="Q1382" t="str">
        <f>IF(T[[#This Row],[qty_received]]&lt;&gt;T[[#This Row],[qty_invoiced]],IF(T[[#This Row],[qty_invoiced]]&gt;0,"Partial Invoiced","Not Invoiced"),"Fully Invoiced")</f>
        <v>Partial Invoiced</v>
      </c>
      <c r="R1382" t="str">
        <f>IFERROR(VLOOKUP(T[[#This Row],[warehouse]],Table2[],2,FALSE),"--")</f>
        <v>--</v>
      </c>
    </row>
    <row r="1383" spans="1:18" x14ac:dyDescent="0.25">
      <c r="A1383" t="s">
        <v>242</v>
      </c>
      <c r="B1383" s="1">
        <v>44143</v>
      </c>
      <c r="C1383" t="s">
        <v>969</v>
      </c>
      <c r="D1383" t="s">
        <v>74</v>
      </c>
      <c r="E1383" t="s">
        <v>1149</v>
      </c>
      <c r="F1383" t="s">
        <v>244</v>
      </c>
      <c r="G1383" t="s">
        <v>245</v>
      </c>
      <c r="H1383" t="s">
        <v>24</v>
      </c>
      <c r="I1383" s="2">
        <v>500</v>
      </c>
      <c r="J1383">
        <v>195.77</v>
      </c>
      <c r="K1383">
        <v>195.77</v>
      </c>
      <c r="L1383" t="s">
        <v>25</v>
      </c>
      <c r="M1383" t="s">
        <v>132</v>
      </c>
      <c r="N1383">
        <v>380000</v>
      </c>
      <c r="O1383">
        <v>74392600</v>
      </c>
      <c r="P1383" t="str">
        <f>IF(T[[#This Row],[qty_ordered]]&lt;&gt;T[[#This Row],[qty_received]],IF(T[[#This Row],[qty_received]]&gt;0,"Partial Received","Not Receviced"),"FullyReceived")</f>
        <v>Partial Received</v>
      </c>
      <c r="Q1383" t="str">
        <f>IF(T[[#This Row],[qty_received]]&lt;&gt;T[[#This Row],[qty_invoiced]],IF(T[[#This Row],[qty_invoiced]]&gt;0,"Partial Invoiced","Not Invoiced"),"Fully Invoiced")</f>
        <v>Fully Invoiced</v>
      </c>
      <c r="R1383" t="str">
        <f>IFERROR(VLOOKUP(T[[#This Row],[warehouse]],Table2[],2,FALSE),"--")</f>
        <v>Ginning Nortix</v>
      </c>
    </row>
    <row r="1384" spans="1:18" x14ac:dyDescent="0.25">
      <c r="A1384" t="s">
        <v>727</v>
      </c>
      <c r="B1384" s="1">
        <v>44174</v>
      </c>
      <c r="C1384" t="s">
        <v>1145</v>
      </c>
      <c r="D1384" t="s">
        <v>71</v>
      </c>
      <c r="E1384" t="s">
        <v>723</v>
      </c>
      <c r="F1384" t="s">
        <v>219</v>
      </c>
      <c r="G1384" t="s">
        <v>724</v>
      </c>
      <c r="H1384" t="s">
        <v>221</v>
      </c>
      <c r="I1384">
        <v>14387.62</v>
      </c>
      <c r="J1384">
        <v>14387.62</v>
      </c>
      <c r="K1384">
        <v>14387.62</v>
      </c>
      <c r="L1384" t="s">
        <v>25</v>
      </c>
      <c r="M1384" t="s">
        <v>132</v>
      </c>
      <c r="N1384">
        <v>13503.67</v>
      </c>
      <c r="O1384">
        <v>194285672.5654</v>
      </c>
      <c r="P1384" t="str">
        <f>IF(T[[#This Row],[qty_ordered]]&lt;&gt;T[[#This Row],[qty_received]],IF(T[[#This Row],[qty_received]]&gt;0,"Partial Received","Not Receviced"),"FullyReceived")</f>
        <v>FullyReceived</v>
      </c>
      <c r="Q1384" t="str">
        <f>IF(T[[#This Row],[qty_received]]&lt;&gt;T[[#This Row],[qty_invoiced]],IF(T[[#This Row],[qty_invoiced]]&gt;0,"Partial Invoiced","Not Invoiced"),"Fully Invoiced")</f>
        <v>Fully Invoiced</v>
      </c>
      <c r="R1384" t="str">
        <f>IFERROR(VLOOKUP(T[[#This Row],[warehouse]],Table2[],2,FALSE),"--")</f>
        <v>YELLOW BEANS</v>
      </c>
    </row>
    <row r="1385" spans="1:18" x14ac:dyDescent="0.25">
      <c r="A1385" t="s">
        <v>727</v>
      </c>
      <c r="B1385" s="1">
        <v>44174</v>
      </c>
      <c r="C1385" t="s">
        <v>1145</v>
      </c>
      <c r="D1385" t="s">
        <v>100</v>
      </c>
      <c r="E1385" t="s">
        <v>723</v>
      </c>
      <c r="F1385" t="s">
        <v>219</v>
      </c>
      <c r="G1385" t="s">
        <v>724</v>
      </c>
      <c r="H1385" t="s">
        <v>221</v>
      </c>
      <c r="I1385">
        <v>14706.23</v>
      </c>
      <c r="J1385">
        <v>14706.23</v>
      </c>
      <c r="K1385">
        <v>14706.23</v>
      </c>
      <c r="L1385" t="s">
        <v>25</v>
      </c>
      <c r="M1385" t="s">
        <v>132</v>
      </c>
      <c r="N1385">
        <v>13931.25</v>
      </c>
      <c r="O1385">
        <v>204876166.6875</v>
      </c>
      <c r="P1385" t="str">
        <f>IF(T[[#This Row],[qty_ordered]]&lt;&gt;T[[#This Row],[qty_received]],IF(T[[#This Row],[qty_received]]&gt;0,"Partial Received","Not Receviced"),"FullyReceived")</f>
        <v>FullyReceived</v>
      </c>
      <c r="Q1385" t="str">
        <f>IF(T[[#This Row],[qty_received]]&lt;&gt;T[[#This Row],[qty_invoiced]],IF(T[[#This Row],[qty_invoiced]]&gt;0,"Partial Invoiced","Not Invoiced"),"Fully Invoiced")</f>
        <v>Fully Invoiced</v>
      </c>
      <c r="R1385" t="str">
        <f>IFERROR(VLOOKUP(T[[#This Row],[warehouse]],Table2[],2,FALSE),"--")</f>
        <v>YELLOW BEANS</v>
      </c>
    </row>
    <row r="1386" spans="1:18" x14ac:dyDescent="0.25">
      <c r="A1386" t="s">
        <v>144</v>
      </c>
      <c r="B1386" s="1">
        <v>44213</v>
      </c>
      <c r="C1386" t="s">
        <v>1150</v>
      </c>
      <c r="D1386" t="s">
        <v>20</v>
      </c>
      <c r="E1386" t="s">
        <v>146</v>
      </c>
      <c r="F1386" t="s">
        <v>147</v>
      </c>
      <c r="G1386" t="s">
        <v>148</v>
      </c>
      <c r="H1386" t="s">
        <v>149</v>
      </c>
      <c r="I1386">
        <v>274000</v>
      </c>
      <c r="J1386">
        <v>33140</v>
      </c>
      <c r="K1386">
        <v>33140</v>
      </c>
      <c r="L1386" t="s">
        <v>25</v>
      </c>
      <c r="M1386" t="s">
        <v>744</v>
      </c>
      <c r="N1386">
        <v>28.44</v>
      </c>
      <c r="O1386">
        <v>923727</v>
      </c>
      <c r="P1386" t="str">
        <f>IF(T[[#This Row],[qty_ordered]]&lt;&gt;T[[#This Row],[qty_received]],IF(T[[#This Row],[qty_received]]&gt;0,"Partial Received","Not Receviced"),"FullyReceived")</f>
        <v>Partial Received</v>
      </c>
      <c r="Q1386" t="str">
        <f>IF(T[[#This Row],[qty_received]]&lt;&gt;T[[#This Row],[qty_invoiced]],IF(T[[#This Row],[qty_invoiced]]&gt;0,"Partial Invoiced","Not Invoiced"),"Fully Invoiced")</f>
        <v>Fully Invoiced</v>
      </c>
      <c r="R1386" t="str">
        <f>IFERROR(VLOOKUP(T[[#This Row],[warehouse]],Table2[],2,FALSE),"--")</f>
        <v>Khtoum Main Warehouse</v>
      </c>
    </row>
    <row r="1387" spans="1:18" x14ac:dyDescent="0.25">
      <c r="A1387" t="s">
        <v>144</v>
      </c>
      <c r="B1387" s="1">
        <v>44213</v>
      </c>
      <c r="C1387" t="s">
        <v>1150</v>
      </c>
      <c r="D1387" t="s">
        <v>71</v>
      </c>
      <c r="E1387" t="s">
        <v>146</v>
      </c>
      <c r="F1387" t="s">
        <v>151</v>
      </c>
      <c r="G1387" t="s">
        <v>152</v>
      </c>
      <c r="H1387" t="s">
        <v>149</v>
      </c>
      <c r="I1387">
        <v>184000</v>
      </c>
      <c r="J1387">
        <v>36700</v>
      </c>
      <c r="K1387">
        <v>36700</v>
      </c>
      <c r="L1387" t="s">
        <v>25</v>
      </c>
      <c r="M1387" t="s">
        <v>744</v>
      </c>
      <c r="N1387">
        <v>31.11</v>
      </c>
      <c r="O1387">
        <v>1075788</v>
      </c>
      <c r="P1387" t="str">
        <f>IF(T[[#This Row],[qty_ordered]]&lt;&gt;T[[#This Row],[qty_received]],IF(T[[#This Row],[qty_received]]&gt;0,"Partial Received","Not Receviced"),"FullyReceived")</f>
        <v>Partial Received</v>
      </c>
      <c r="Q1387" t="str">
        <f>IF(T[[#This Row],[qty_received]]&lt;&gt;T[[#This Row],[qty_invoiced]],IF(T[[#This Row],[qty_invoiced]]&gt;0,"Partial Invoiced","Not Invoiced"),"Fully Invoiced")</f>
        <v>Fully Invoiced</v>
      </c>
      <c r="R1387" t="str">
        <f>IFERROR(VLOOKUP(T[[#This Row],[warehouse]],Table2[],2,FALSE),"--")</f>
        <v>Khtoum Main Warehouse</v>
      </c>
    </row>
    <row r="1388" spans="1:18" x14ac:dyDescent="0.25">
      <c r="A1388" t="s">
        <v>228</v>
      </c>
      <c r="B1388" s="1">
        <v>44182</v>
      </c>
      <c r="C1388" t="s">
        <v>1029</v>
      </c>
      <c r="D1388" t="s">
        <v>71</v>
      </c>
      <c r="E1388" t="s">
        <v>239</v>
      </c>
      <c r="F1388" t="s">
        <v>196</v>
      </c>
      <c r="G1388" t="s">
        <v>197</v>
      </c>
      <c r="H1388" t="s">
        <v>24</v>
      </c>
      <c r="I1388">
        <v>14852.49</v>
      </c>
      <c r="J1388">
        <v>14852.49</v>
      </c>
      <c r="K1388">
        <v>14852.49</v>
      </c>
      <c r="L1388" t="s">
        <v>25</v>
      </c>
      <c r="M1388" t="s">
        <v>714</v>
      </c>
      <c r="N1388">
        <v>75000</v>
      </c>
      <c r="O1388">
        <v>1113936750</v>
      </c>
      <c r="P1388" t="str">
        <f>IF(T[[#This Row],[qty_ordered]]&lt;&gt;T[[#This Row],[qty_received]],IF(T[[#This Row],[qty_received]]&gt;0,"Partial Received","Not Receviced"),"FullyReceived")</f>
        <v>FullyReceived</v>
      </c>
      <c r="Q1388" t="str">
        <f>IF(T[[#This Row],[qty_received]]&lt;&gt;T[[#This Row],[qty_invoiced]],IF(T[[#This Row],[qty_invoiced]]&gt;0,"Partial Invoiced","Not Invoiced"),"Fully Invoiced")</f>
        <v>Fully Invoiced</v>
      </c>
      <c r="R1388" t="str">
        <f>IFERROR(VLOOKUP(T[[#This Row],[warehouse]],Table2[],2,FALSE),"--")</f>
        <v xml:space="preserve">Gadarif Main Store </v>
      </c>
    </row>
    <row r="1389" spans="1:18" x14ac:dyDescent="0.25">
      <c r="A1389" t="s">
        <v>423</v>
      </c>
      <c r="B1389" s="1">
        <v>44160</v>
      </c>
      <c r="C1389" t="s">
        <v>1009</v>
      </c>
      <c r="D1389" t="s">
        <v>88</v>
      </c>
      <c r="E1389" t="s">
        <v>51</v>
      </c>
      <c r="F1389" t="s">
        <v>546</v>
      </c>
      <c r="G1389" t="s">
        <v>1151</v>
      </c>
      <c r="H1389" t="s">
        <v>54</v>
      </c>
      <c r="I1389">
        <v>15000</v>
      </c>
      <c r="J1389">
        <v>0</v>
      </c>
      <c r="K1389">
        <v>1</v>
      </c>
      <c r="L1389" t="s">
        <v>25</v>
      </c>
      <c r="M1389" t="s">
        <v>533</v>
      </c>
      <c r="N1389">
        <v>5.8</v>
      </c>
      <c r="O1389">
        <v>0</v>
      </c>
      <c r="P1389" t="str">
        <f>IF(T[[#This Row],[qty_ordered]]&lt;&gt;T[[#This Row],[qty_received]],IF(T[[#This Row],[qty_received]]&gt;0,"Partial Received","Not Receviced"),"FullyReceived")</f>
        <v>Not Receviced</v>
      </c>
      <c r="Q1389" t="str">
        <f>IF(T[[#This Row],[qty_received]]&lt;&gt;T[[#This Row],[qty_invoiced]],IF(T[[#This Row],[qty_invoiced]]&gt;0,"Partial Invoiced","Not Invoiced"),"Fully Invoiced")</f>
        <v>Partial Invoiced</v>
      </c>
      <c r="R1389" t="str">
        <f>IFERROR(VLOOKUP(T[[#This Row],[warehouse]],Table2[],2,FALSE),"--")</f>
        <v>--</v>
      </c>
    </row>
    <row r="1390" spans="1:18" x14ac:dyDescent="0.25">
      <c r="A1390" t="s">
        <v>423</v>
      </c>
      <c r="B1390" s="1">
        <v>44160</v>
      </c>
      <c r="C1390" t="s">
        <v>1009</v>
      </c>
      <c r="D1390" t="s">
        <v>74</v>
      </c>
      <c r="E1390" t="s">
        <v>51</v>
      </c>
      <c r="F1390" t="s">
        <v>546</v>
      </c>
      <c r="G1390" t="s">
        <v>1151</v>
      </c>
      <c r="H1390" t="s">
        <v>54</v>
      </c>
      <c r="I1390">
        <v>10000</v>
      </c>
      <c r="J1390">
        <v>0</v>
      </c>
      <c r="K1390">
        <v>1</v>
      </c>
      <c r="L1390" t="s">
        <v>25</v>
      </c>
      <c r="M1390" t="s">
        <v>533</v>
      </c>
      <c r="N1390">
        <v>6.8</v>
      </c>
      <c r="O1390">
        <v>0</v>
      </c>
      <c r="P1390" t="str">
        <f>IF(T[[#This Row],[qty_ordered]]&lt;&gt;T[[#This Row],[qty_received]],IF(T[[#This Row],[qty_received]]&gt;0,"Partial Received","Not Receviced"),"FullyReceived")</f>
        <v>Not Receviced</v>
      </c>
      <c r="Q1390" t="str">
        <f>IF(T[[#This Row],[qty_received]]&lt;&gt;T[[#This Row],[qty_invoiced]],IF(T[[#This Row],[qty_invoiced]]&gt;0,"Partial Invoiced","Not Invoiced"),"Fully Invoiced")</f>
        <v>Partial Invoiced</v>
      </c>
      <c r="R1390" t="str">
        <f>IFERROR(VLOOKUP(T[[#This Row],[warehouse]],Table2[],2,FALSE),"--")</f>
        <v>--</v>
      </c>
    </row>
    <row r="1391" spans="1:18" x14ac:dyDescent="0.25">
      <c r="A1391" t="s">
        <v>400</v>
      </c>
      <c r="B1391" s="1">
        <v>44201</v>
      </c>
      <c r="C1391" t="s">
        <v>1152</v>
      </c>
      <c r="D1391" t="s">
        <v>71</v>
      </c>
      <c r="E1391" t="s">
        <v>51</v>
      </c>
      <c r="F1391" t="s">
        <v>373</v>
      </c>
      <c r="G1391" t="s">
        <v>373</v>
      </c>
      <c r="H1391" t="s">
        <v>54</v>
      </c>
      <c r="I1391">
        <v>1</v>
      </c>
      <c r="J1391">
        <v>0</v>
      </c>
      <c r="K1391">
        <v>1</v>
      </c>
      <c r="L1391" t="s">
        <v>25</v>
      </c>
      <c r="M1391" t="s">
        <v>533</v>
      </c>
      <c r="N1391">
        <v>52392</v>
      </c>
      <c r="O1391">
        <v>0</v>
      </c>
      <c r="P1391" t="str">
        <f>IF(T[[#This Row],[qty_ordered]]&lt;&gt;T[[#This Row],[qty_received]],IF(T[[#This Row],[qty_received]]&gt;0,"Partial Received","Not Receviced"),"FullyReceived")</f>
        <v>Not Receviced</v>
      </c>
      <c r="Q1391" t="str">
        <f>IF(T[[#This Row],[qty_received]]&lt;&gt;T[[#This Row],[qty_invoiced]],IF(T[[#This Row],[qty_invoiced]]&gt;0,"Partial Invoiced","Not Invoiced"),"Fully Invoiced")</f>
        <v>Partial Invoiced</v>
      </c>
      <c r="R1391" t="str">
        <f>IFERROR(VLOOKUP(T[[#This Row],[warehouse]],Table2[],2,FALSE),"--")</f>
        <v>--</v>
      </c>
    </row>
    <row r="1392" spans="1:18" x14ac:dyDescent="0.25">
      <c r="A1392" t="s">
        <v>400</v>
      </c>
      <c r="B1392" s="1">
        <v>44201</v>
      </c>
      <c r="C1392" t="s">
        <v>1152</v>
      </c>
      <c r="D1392" t="s">
        <v>100</v>
      </c>
      <c r="E1392" t="s">
        <v>51</v>
      </c>
      <c r="F1392" t="s">
        <v>254</v>
      </c>
      <c r="G1392" t="s">
        <v>255</v>
      </c>
      <c r="H1392" t="s">
        <v>54</v>
      </c>
      <c r="I1392">
        <v>1</v>
      </c>
      <c r="J1392">
        <v>0</v>
      </c>
      <c r="K1392">
        <v>1</v>
      </c>
      <c r="L1392" t="s">
        <v>25</v>
      </c>
      <c r="M1392" t="s">
        <v>533</v>
      </c>
      <c r="N1392">
        <v>1620</v>
      </c>
      <c r="O1392">
        <v>0</v>
      </c>
      <c r="P1392" t="str">
        <f>IF(T[[#This Row],[qty_ordered]]&lt;&gt;T[[#This Row],[qty_received]],IF(T[[#This Row],[qty_received]]&gt;0,"Partial Received","Not Receviced"),"FullyReceived")</f>
        <v>Not Receviced</v>
      </c>
      <c r="Q1392" t="str">
        <f>IF(T[[#This Row],[qty_received]]&lt;&gt;T[[#This Row],[qty_invoiced]],IF(T[[#This Row],[qty_invoiced]]&gt;0,"Partial Invoiced","Not Invoiced"),"Fully Invoiced")</f>
        <v>Partial Invoiced</v>
      </c>
      <c r="R1392" t="str">
        <f>IFERROR(VLOOKUP(T[[#This Row],[warehouse]],Table2[],2,FALSE),"--")</f>
        <v>--</v>
      </c>
    </row>
    <row r="1393" spans="1:18" x14ac:dyDescent="0.25">
      <c r="A1393" t="s">
        <v>560</v>
      </c>
      <c r="B1393" s="1">
        <v>44201</v>
      </c>
      <c r="C1393" t="s">
        <v>1153</v>
      </c>
      <c r="D1393" t="s">
        <v>20</v>
      </c>
      <c r="E1393" t="s">
        <v>51</v>
      </c>
      <c r="F1393" t="s">
        <v>164</v>
      </c>
      <c r="G1393" t="s">
        <v>792</v>
      </c>
      <c r="H1393" t="s">
        <v>54</v>
      </c>
      <c r="I1393">
        <v>78</v>
      </c>
      <c r="J1393">
        <v>0</v>
      </c>
      <c r="K1393">
        <v>1</v>
      </c>
      <c r="L1393" t="s">
        <v>25</v>
      </c>
      <c r="M1393" t="s">
        <v>533</v>
      </c>
      <c r="N1393">
        <v>420</v>
      </c>
      <c r="O1393">
        <v>0</v>
      </c>
      <c r="P1393" t="str">
        <f>IF(T[[#This Row],[qty_ordered]]&lt;&gt;T[[#This Row],[qty_received]],IF(T[[#This Row],[qty_received]]&gt;0,"Partial Received","Not Receviced"),"FullyReceived")</f>
        <v>Not Receviced</v>
      </c>
      <c r="Q1393" t="str">
        <f>IF(T[[#This Row],[qty_received]]&lt;&gt;T[[#This Row],[qty_invoiced]],IF(T[[#This Row],[qty_invoiced]]&gt;0,"Partial Invoiced","Not Invoiced"),"Fully Invoiced")</f>
        <v>Partial Invoiced</v>
      </c>
      <c r="R1393" t="str">
        <f>IFERROR(VLOOKUP(T[[#This Row],[warehouse]],Table2[],2,FALSE),"--")</f>
        <v>--</v>
      </c>
    </row>
    <row r="1394" spans="1:18" x14ac:dyDescent="0.25">
      <c r="A1394" t="s">
        <v>560</v>
      </c>
      <c r="B1394" s="1">
        <v>44201</v>
      </c>
      <c r="C1394" t="s">
        <v>1153</v>
      </c>
      <c r="D1394" t="s">
        <v>71</v>
      </c>
      <c r="E1394" t="s">
        <v>51</v>
      </c>
      <c r="F1394" t="s">
        <v>164</v>
      </c>
      <c r="G1394" t="s">
        <v>792</v>
      </c>
      <c r="H1394" t="s">
        <v>54</v>
      </c>
      <c r="I1394">
        <v>7</v>
      </c>
      <c r="J1394">
        <v>0</v>
      </c>
      <c r="K1394">
        <v>1</v>
      </c>
      <c r="L1394" t="s">
        <v>25</v>
      </c>
      <c r="M1394" t="s">
        <v>533</v>
      </c>
      <c r="N1394">
        <v>420</v>
      </c>
      <c r="O1394">
        <v>0</v>
      </c>
      <c r="P1394" t="str">
        <f>IF(T[[#This Row],[qty_ordered]]&lt;&gt;T[[#This Row],[qty_received]],IF(T[[#This Row],[qty_received]]&gt;0,"Partial Received","Not Receviced"),"FullyReceived")</f>
        <v>Not Receviced</v>
      </c>
      <c r="Q1394" t="str">
        <f>IF(T[[#This Row],[qty_received]]&lt;&gt;T[[#This Row],[qty_invoiced]],IF(T[[#This Row],[qty_invoiced]]&gt;0,"Partial Invoiced","Not Invoiced"),"Fully Invoiced")</f>
        <v>Partial Invoiced</v>
      </c>
      <c r="R1394" t="str">
        <f>IFERROR(VLOOKUP(T[[#This Row],[warehouse]],Table2[],2,FALSE),"--")</f>
        <v>--</v>
      </c>
    </row>
    <row r="1395" spans="1:18" x14ac:dyDescent="0.25">
      <c r="A1395" t="s">
        <v>560</v>
      </c>
      <c r="B1395" s="1">
        <v>44201</v>
      </c>
      <c r="C1395" t="s">
        <v>1153</v>
      </c>
      <c r="D1395" t="s">
        <v>100</v>
      </c>
      <c r="E1395" t="s">
        <v>51</v>
      </c>
      <c r="F1395" t="s">
        <v>164</v>
      </c>
      <c r="G1395" t="s">
        <v>792</v>
      </c>
      <c r="H1395" t="s">
        <v>54</v>
      </c>
      <c r="I1395">
        <v>161</v>
      </c>
      <c r="J1395">
        <v>0</v>
      </c>
      <c r="K1395">
        <v>1</v>
      </c>
      <c r="L1395" t="s">
        <v>25</v>
      </c>
      <c r="M1395" t="s">
        <v>533</v>
      </c>
      <c r="N1395">
        <v>600</v>
      </c>
      <c r="O1395">
        <v>0</v>
      </c>
      <c r="P1395" t="str">
        <f>IF(T[[#This Row],[qty_ordered]]&lt;&gt;T[[#This Row],[qty_received]],IF(T[[#This Row],[qty_received]]&gt;0,"Partial Received","Not Receviced"),"FullyReceived")</f>
        <v>Not Receviced</v>
      </c>
      <c r="Q1395" t="str">
        <f>IF(T[[#This Row],[qty_received]]&lt;&gt;T[[#This Row],[qty_invoiced]],IF(T[[#This Row],[qty_invoiced]]&gt;0,"Partial Invoiced","Not Invoiced"),"Fully Invoiced")</f>
        <v>Partial Invoiced</v>
      </c>
      <c r="R1395" t="str">
        <f>IFERROR(VLOOKUP(T[[#This Row],[warehouse]],Table2[],2,FALSE),"--")</f>
        <v>--</v>
      </c>
    </row>
    <row r="1396" spans="1:18" x14ac:dyDescent="0.25">
      <c r="A1396" t="s">
        <v>560</v>
      </c>
      <c r="B1396" s="1">
        <v>44201</v>
      </c>
      <c r="C1396" t="s">
        <v>1153</v>
      </c>
      <c r="D1396" t="s">
        <v>88</v>
      </c>
      <c r="E1396" t="s">
        <v>51</v>
      </c>
      <c r="F1396" t="s">
        <v>164</v>
      </c>
      <c r="G1396" t="s">
        <v>792</v>
      </c>
      <c r="H1396" t="s">
        <v>54</v>
      </c>
      <c r="I1396">
        <v>208</v>
      </c>
      <c r="J1396">
        <v>0</v>
      </c>
      <c r="K1396">
        <v>1</v>
      </c>
      <c r="L1396" t="s">
        <v>25</v>
      </c>
      <c r="M1396" t="s">
        <v>533</v>
      </c>
      <c r="N1396">
        <v>420</v>
      </c>
      <c r="O1396">
        <v>0</v>
      </c>
      <c r="P1396" t="str">
        <f>IF(T[[#This Row],[qty_ordered]]&lt;&gt;T[[#This Row],[qty_received]],IF(T[[#This Row],[qty_received]]&gt;0,"Partial Received","Not Receviced"),"FullyReceived")</f>
        <v>Not Receviced</v>
      </c>
      <c r="Q1396" t="str">
        <f>IF(T[[#This Row],[qty_received]]&lt;&gt;T[[#This Row],[qty_invoiced]],IF(T[[#This Row],[qty_invoiced]]&gt;0,"Partial Invoiced","Not Invoiced"),"Fully Invoiced")</f>
        <v>Partial Invoiced</v>
      </c>
      <c r="R1396" t="str">
        <f>IFERROR(VLOOKUP(T[[#This Row],[warehouse]],Table2[],2,FALSE),"--")</f>
        <v>--</v>
      </c>
    </row>
    <row r="1397" spans="1:18" x14ac:dyDescent="0.25">
      <c r="A1397" t="s">
        <v>560</v>
      </c>
      <c r="B1397" s="1">
        <v>44201</v>
      </c>
      <c r="C1397" t="s">
        <v>1154</v>
      </c>
      <c r="D1397" t="s">
        <v>20</v>
      </c>
      <c r="E1397" t="s">
        <v>51</v>
      </c>
      <c r="F1397" t="s">
        <v>164</v>
      </c>
      <c r="G1397" t="s">
        <v>1155</v>
      </c>
      <c r="H1397" t="s">
        <v>54</v>
      </c>
      <c r="I1397">
        <v>113</v>
      </c>
      <c r="J1397">
        <v>0</v>
      </c>
      <c r="K1397">
        <v>1</v>
      </c>
      <c r="L1397" t="s">
        <v>25</v>
      </c>
      <c r="M1397" t="s">
        <v>533</v>
      </c>
      <c r="N1397">
        <v>420</v>
      </c>
      <c r="O1397">
        <v>0</v>
      </c>
      <c r="P1397" t="str">
        <f>IF(T[[#This Row],[qty_ordered]]&lt;&gt;T[[#This Row],[qty_received]],IF(T[[#This Row],[qty_received]]&gt;0,"Partial Received","Not Receviced"),"FullyReceived")</f>
        <v>Not Receviced</v>
      </c>
      <c r="Q1397" t="str">
        <f>IF(T[[#This Row],[qty_received]]&lt;&gt;T[[#This Row],[qty_invoiced]],IF(T[[#This Row],[qty_invoiced]]&gt;0,"Partial Invoiced","Not Invoiced"),"Fully Invoiced")</f>
        <v>Partial Invoiced</v>
      </c>
      <c r="R1397" t="str">
        <f>IFERROR(VLOOKUP(T[[#This Row],[warehouse]],Table2[],2,FALSE),"--")</f>
        <v>--</v>
      </c>
    </row>
    <row r="1398" spans="1:18" x14ac:dyDescent="0.25">
      <c r="A1398" t="s">
        <v>560</v>
      </c>
      <c r="B1398" s="1">
        <v>44201</v>
      </c>
      <c r="C1398" t="s">
        <v>1154</v>
      </c>
      <c r="D1398" t="s">
        <v>71</v>
      </c>
      <c r="E1398" t="s">
        <v>51</v>
      </c>
      <c r="F1398" t="s">
        <v>164</v>
      </c>
      <c r="G1398" t="s">
        <v>1155</v>
      </c>
      <c r="H1398" t="s">
        <v>54</v>
      </c>
      <c r="I1398">
        <v>131</v>
      </c>
      <c r="J1398">
        <v>0</v>
      </c>
      <c r="K1398">
        <v>1</v>
      </c>
      <c r="L1398" t="s">
        <v>25</v>
      </c>
      <c r="M1398" t="s">
        <v>533</v>
      </c>
      <c r="N1398">
        <v>600</v>
      </c>
      <c r="O1398">
        <v>0</v>
      </c>
      <c r="P1398" t="str">
        <f>IF(T[[#This Row],[qty_ordered]]&lt;&gt;T[[#This Row],[qty_received]],IF(T[[#This Row],[qty_received]]&gt;0,"Partial Received","Not Receviced"),"FullyReceived")</f>
        <v>Not Receviced</v>
      </c>
      <c r="Q1398" t="str">
        <f>IF(T[[#This Row],[qty_received]]&lt;&gt;T[[#This Row],[qty_invoiced]],IF(T[[#This Row],[qty_invoiced]]&gt;0,"Partial Invoiced","Not Invoiced"),"Fully Invoiced")</f>
        <v>Partial Invoiced</v>
      </c>
      <c r="R1398" t="str">
        <f>IFERROR(VLOOKUP(T[[#This Row],[warehouse]],Table2[],2,FALSE),"--")</f>
        <v>--</v>
      </c>
    </row>
    <row r="1399" spans="1:18" x14ac:dyDescent="0.25">
      <c r="A1399" t="s">
        <v>560</v>
      </c>
      <c r="B1399" s="1">
        <v>44201</v>
      </c>
      <c r="C1399" t="s">
        <v>1156</v>
      </c>
      <c r="D1399" t="s">
        <v>20</v>
      </c>
      <c r="E1399" t="s">
        <v>51</v>
      </c>
      <c r="F1399" t="s">
        <v>164</v>
      </c>
      <c r="G1399" t="s">
        <v>1157</v>
      </c>
      <c r="H1399" t="s">
        <v>54</v>
      </c>
      <c r="I1399">
        <v>259</v>
      </c>
      <c r="J1399">
        <v>0</v>
      </c>
      <c r="K1399">
        <v>1</v>
      </c>
      <c r="L1399" t="s">
        <v>25</v>
      </c>
      <c r="M1399" t="s">
        <v>533</v>
      </c>
      <c r="N1399">
        <v>420</v>
      </c>
      <c r="O1399">
        <v>0</v>
      </c>
      <c r="P1399" t="str">
        <f>IF(T[[#This Row],[qty_ordered]]&lt;&gt;T[[#This Row],[qty_received]],IF(T[[#This Row],[qty_received]]&gt;0,"Partial Received","Not Receviced"),"FullyReceived")</f>
        <v>Not Receviced</v>
      </c>
      <c r="Q1399" t="str">
        <f>IF(T[[#This Row],[qty_received]]&lt;&gt;T[[#This Row],[qty_invoiced]],IF(T[[#This Row],[qty_invoiced]]&gt;0,"Partial Invoiced","Not Invoiced"),"Fully Invoiced")</f>
        <v>Partial Invoiced</v>
      </c>
      <c r="R1399" t="str">
        <f>IFERROR(VLOOKUP(T[[#This Row],[warehouse]],Table2[],2,FALSE),"--")</f>
        <v>--</v>
      </c>
    </row>
    <row r="1400" spans="1:18" x14ac:dyDescent="0.25">
      <c r="A1400" t="s">
        <v>560</v>
      </c>
      <c r="B1400" s="1">
        <v>44201</v>
      </c>
      <c r="C1400" t="s">
        <v>1156</v>
      </c>
      <c r="D1400" t="s">
        <v>71</v>
      </c>
      <c r="E1400" t="s">
        <v>51</v>
      </c>
      <c r="F1400" t="s">
        <v>164</v>
      </c>
      <c r="G1400" t="s">
        <v>1157</v>
      </c>
      <c r="H1400" t="s">
        <v>54</v>
      </c>
      <c r="I1400">
        <v>65</v>
      </c>
      <c r="J1400">
        <v>0</v>
      </c>
      <c r="K1400">
        <v>1</v>
      </c>
      <c r="L1400" t="s">
        <v>25</v>
      </c>
      <c r="M1400" t="s">
        <v>533</v>
      </c>
      <c r="N1400">
        <v>420</v>
      </c>
      <c r="O1400">
        <v>0</v>
      </c>
      <c r="P1400" t="str">
        <f>IF(T[[#This Row],[qty_ordered]]&lt;&gt;T[[#This Row],[qty_received]],IF(T[[#This Row],[qty_received]]&gt;0,"Partial Received","Not Receviced"),"FullyReceived")</f>
        <v>Not Receviced</v>
      </c>
      <c r="Q1400" t="str">
        <f>IF(T[[#This Row],[qty_received]]&lt;&gt;T[[#This Row],[qty_invoiced]],IF(T[[#This Row],[qty_invoiced]]&gt;0,"Partial Invoiced","Not Invoiced"),"Fully Invoiced")</f>
        <v>Partial Invoiced</v>
      </c>
      <c r="R1400" t="str">
        <f>IFERROR(VLOOKUP(T[[#This Row],[warehouse]],Table2[],2,FALSE),"--")</f>
        <v>--</v>
      </c>
    </row>
    <row r="1401" spans="1:18" x14ac:dyDescent="0.25">
      <c r="A1401" t="s">
        <v>560</v>
      </c>
      <c r="B1401" s="1">
        <v>44201</v>
      </c>
      <c r="C1401" t="s">
        <v>1156</v>
      </c>
      <c r="D1401" t="s">
        <v>100</v>
      </c>
      <c r="E1401" t="s">
        <v>51</v>
      </c>
      <c r="F1401" t="s">
        <v>164</v>
      </c>
      <c r="G1401" t="s">
        <v>1157</v>
      </c>
      <c r="H1401" t="s">
        <v>54</v>
      </c>
      <c r="I1401">
        <v>131</v>
      </c>
      <c r="J1401">
        <v>0</v>
      </c>
      <c r="K1401">
        <v>1</v>
      </c>
      <c r="L1401" t="s">
        <v>25</v>
      </c>
      <c r="M1401" t="s">
        <v>533</v>
      </c>
      <c r="N1401">
        <v>420</v>
      </c>
      <c r="O1401">
        <v>0</v>
      </c>
      <c r="P1401" t="str">
        <f>IF(T[[#This Row],[qty_ordered]]&lt;&gt;T[[#This Row],[qty_received]],IF(T[[#This Row],[qty_received]]&gt;0,"Partial Received","Not Receviced"),"FullyReceived")</f>
        <v>Not Receviced</v>
      </c>
      <c r="Q1401" t="str">
        <f>IF(T[[#This Row],[qty_received]]&lt;&gt;T[[#This Row],[qty_invoiced]],IF(T[[#This Row],[qty_invoiced]]&gt;0,"Partial Invoiced","Not Invoiced"),"Fully Invoiced")</f>
        <v>Partial Invoiced</v>
      </c>
      <c r="R1401" t="str">
        <f>IFERROR(VLOOKUP(T[[#This Row],[warehouse]],Table2[],2,FALSE),"--")</f>
        <v>--</v>
      </c>
    </row>
    <row r="1402" spans="1:18" x14ac:dyDescent="0.25">
      <c r="A1402" t="s">
        <v>560</v>
      </c>
      <c r="B1402" s="1">
        <v>44201</v>
      </c>
      <c r="C1402" t="s">
        <v>1158</v>
      </c>
      <c r="D1402" t="s">
        <v>20</v>
      </c>
      <c r="E1402" t="s">
        <v>51</v>
      </c>
      <c r="F1402" t="s">
        <v>164</v>
      </c>
      <c r="G1402" t="s">
        <v>1159</v>
      </c>
      <c r="H1402" t="s">
        <v>54</v>
      </c>
      <c r="I1402">
        <v>104</v>
      </c>
      <c r="J1402">
        <v>0</v>
      </c>
      <c r="K1402">
        <v>1</v>
      </c>
      <c r="L1402" t="s">
        <v>25</v>
      </c>
      <c r="M1402" t="s">
        <v>533</v>
      </c>
      <c r="N1402">
        <v>600</v>
      </c>
      <c r="O1402">
        <v>0</v>
      </c>
      <c r="P1402" t="str">
        <f>IF(T[[#This Row],[qty_ordered]]&lt;&gt;T[[#This Row],[qty_received]],IF(T[[#This Row],[qty_received]]&gt;0,"Partial Received","Not Receviced"),"FullyReceived")</f>
        <v>Not Receviced</v>
      </c>
      <c r="Q1402" t="str">
        <f>IF(T[[#This Row],[qty_received]]&lt;&gt;T[[#This Row],[qty_invoiced]],IF(T[[#This Row],[qty_invoiced]]&gt;0,"Partial Invoiced","Not Invoiced"),"Fully Invoiced")</f>
        <v>Partial Invoiced</v>
      </c>
      <c r="R1402" t="str">
        <f>IFERROR(VLOOKUP(T[[#This Row],[warehouse]],Table2[],2,FALSE),"--")</f>
        <v>--</v>
      </c>
    </row>
    <row r="1403" spans="1:18" x14ac:dyDescent="0.25">
      <c r="A1403" t="s">
        <v>560</v>
      </c>
      <c r="B1403" s="1">
        <v>44201</v>
      </c>
      <c r="C1403" t="s">
        <v>1158</v>
      </c>
      <c r="D1403" t="s">
        <v>71</v>
      </c>
      <c r="E1403" t="s">
        <v>51</v>
      </c>
      <c r="F1403" t="s">
        <v>164</v>
      </c>
      <c r="G1403" t="s">
        <v>1159</v>
      </c>
      <c r="H1403" t="s">
        <v>54</v>
      </c>
      <c r="I1403">
        <v>246</v>
      </c>
      <c r="J1403">
        <v>0</v>
      </c>
      <c r="K1403">
        <v>1</v>
      </c>
      <c r="L1403" t="s">
        <v>25</v>
      </c>
      <c r="M1403" t="s">
        <v>533</v>
      </c>
      <c r="N1403">
        <v>420</v>
      </c>
      <c r="O1403">
        <v>0</v>
      </c>
      <c r="P1403" t="str">
        <f>IF(T[[#This Row],[qty_ordered]]&lt;&gt;T[[#This Row],[qty_received]],IF(T[[#This Row],[qty_received]]&gt;0,"Partial Received","Not Receviced"),"FullyReceived")</f>
        <v>Not Receviced</v>
      </c>
      <c r="Q1403" t="str">
        <f>IF(T[[#This Row],[qty_received]]&lt;&gt;T[[#This Row],[qty_invoiced]],IF(T[[#This Row],[qty_invoiced]]&gt;0,"Partial Invoiced","Not Invoiced"),"Fully Invoiced")</f>
        <v>Partial Invoiced</v>
      </c>
      <c r="R1403" t="str">
        <f>IFERROR(VLOOKUP(T[[#This Row],[warehouse]],Table2[],2,FALSE),"--")</f>
        <v>--</v>
      </c>
    </row>
    <row r="1404" spans="1:18" x14ac:dyDescent="0.25">
      <c r="A1404" t="s">
        <v>560</v>
      </c>
      <c r="B1404" s="1">
        <v>44201</v>
      </c>
      <c r="C1404" t="s">
        <v>1158</v>
      </c>
      <c r="D1404" t="s">
        <v>100</v>
      </c>
      <c r="E1404" t="s">
        <v>51</v>
      </c>
      <c r="F1404" t="s">
        <v>164</v>
      </c>
      <c r="G1404" t="s">
        <v>1159</v>
      </c>
      <c r="H1404" t="s">
        <v>54</v>
      </c>
      <c r="I1404">
        <v>59</v>
      </c>
      <c r="J1404">
        <v>0</v>
      </c>
      <c r="K1404">
        <v>1</v>
      </c>
      <c r="L1404" t="s">
        <v>25</v>
      </c>
      <c r="M1404" t="s">
        <v>533</v>
      </c>
      <c r="N1404">
        <v>420</v>
      </c>
      <c r="O1404">
        <v>0</v>
      </c>
      <c r="P1404" t="str">
        <f>IF(T[[#This Row],[qty_ordered]]&lt;&gt;T[[#This Row],[qty_received]],IF(T[[#This Row],[qty_received]]&gt;0,"Partial Received","Not Receviced"),"FullyReceived")</f>
        <v>Not Receviced</v>
      </c>
      <c r="Q1404" t="str">
        <f>IF(T[[#This Row],[qty_received]]&lt;&gt;T[[#This Row],[qty_invoiced]],IF(T[[#This Row],[qty_invoiced]]&gt;0,"Partial Invoiced","Not Invoiced"),"Fully Invoiced")</f>
        <v>Partial Invoiced</v>
      </c>
      <c r="R1404" t="str">
        <f>IFERROR(VLOOKUP(T[[#This Row],[warehouse]],Table2[],2,FALSE),"--")</f>
        <v>--</v>
      </c>
    </row>
    <row r="1405" spans="1:18" x14ac:dyDescent="0.25">
      <c r="A1405" t="s">
        <v>560</v>
      </c>
      <c r="B1405" s="1">
        <v>44201</v>
      </c>
      <c r="C1405" t="s">
        <v>1158</v>
      </c>
      <c r="D1405" t="s">
        <v>88</v>
      </c>
      <c r="E1405" t="s">
        <v>51</v>
      </c>
      <c r="F1405" t="s">
        <v>164</v>
      </c>
      <c r="G1405" t="s">
        <v>1159</v>
      </c>
      <c r="H1405" t="s">
        <v>54</v>
      </c>
      <c r="I1405">
        <v>169</v>
      </c>
      <c r="J1405">
        <v>0</v>
      </c>
      <c r="K1405">
        <v>1</v>
      </c>
      <c r="L1405" t="s">
        <v>25</v>
      </c>
      <c r="M1405" t="s">
        <v>533</v>
      </c>
      <c r="N1405">
        <v>420</v>
      </c>
      <c r="O1405">
        <v>0</v>
      </c>
      <c r="P1405" t="str">
        <f>IF(T[[#This Row],[qty_ordered]]&lt;&gt;T[[#This Row],[qty_received]],IF(T[[#This Row],[qty_received]]&gt;0,"Partial Received","Not Receviced"),"FullyReceived")</f>
        <v>Not Receviced</v>
      </c>
      <c r="Q1405" t="str">
        <f>IF(T[[#This Row],[qty_received]]&lt;&gt;T[[#This Row],[qty_invoiced]],IF(T[[#This Row],[qty_invoiced]]&gt;0,"Partial Invoiced","Not Invoiced"),"Fully Invoiced")</f>
        <v>Partial Invoiced</v>
      </c>
      <c r="R1405" t="str">
        <f>IFERROR(VLOOKUP(T[[#This Row],[warehouse]],Table2[],2,FALSE),"--")</f>
        <v>--</v>
      </c>
    </row>
    <row r="1406" spans="1:18" x14ac:dyDescent="0.25">
      <c r="A1406" t="s">
        <v>560</v>
      </c>
      <c r="B1406" s="1">
        <v>44201</v>
      </c>
      <c r="C1406" t="s">
        <v>1158</v>
      </c>
      <c r="D1406" t="s">
        <v>74</v>
      </c>
      <c r="E1406" t="s">
        <v>51</v>
      </c>
      <c r="F1406" t="s">
        <v>164</v>
      </c>
      <c r="G1406" t="s">
        <v>1159</v>
      </c>
      <c r="H1406" t="s">
        <v>54</v>
      </c>
      <c r="I1406">
        <v>203</v>
      </c>
      <c r="J1406">
        <v>0</v>
      </c>
      <c r="K1406">
        <v>1</v>
      </c>
      <c r="L1406" t="s">
        <v>25</v>
      </c>
      <c r="M1406" t="s">
        <v>533</v>
      </c>
      <c r="N1406">
        <v>420</v>
      </c>
      <c r="O1406">
        <v>0</v>
      </c>
      <c r="P1406" t="str">
        <f>IF(T[[#This Row],[qty_ordered]]&lt;&gt;T[[#This Row],[qty_received]],IF(T[[#This Row],[qty_received]]&gt;0,"Partial Received","Not Receviced"),"FullyReceived")</f>
        <v>Not Receviced</v>
      </c>
      <c r="Q1406" t="str">
        <f>IF(T[[#This Row],[qty_received]]&lt;&gt;T[[#This Row],[qty_invoiced]],IF(T[[#This Row],[qty_invoiced]]&gt;0,"Partial Invoiced","Not Invoiced"),"Fully Invoiced")</f>
        <v>Partial Invoiced</v>
      </c>
      <c r="R1406" t="str">
        <f>IFERROR(VLOOKUP(T[[#This Row],[warehouse]],Table2[],2,FALSE),"--")</f>
        <v>--</v>
      </c>
    </row>
    <row r="1407" spans="1:18" x14ac:dyDescent="0.25">
      <c r="A1407" t="s">
        <v>560</v>
      </c>
      <c r="B1407" s="1">
        <v>44201</v>
      </c>
      <c r="C1407" t="s">
        <v>1158</v>
      </c>
      <c r="D1407" t="s">
        <v>76</v>
      </c>
      <c r="E1407" t="s">
        <v>51</v>
      </c>
      <c r="F1407" t="s">
        <v>164</v>
      </c>
      <c r="G1407" t="s">
        <v>1159</v>
      </c>
      <c r="H1407" t="s">
        <v>54</v>
      </c>
      <c r="I1407">
        <v>47</v>
      </c>
      <c r="J1407">
        <v>0</v>
      </c>
      <c r="K1407">
        <v>1</v>
      </c>
      <c r="L1407" t="s">
        <v>25</v>
      </c>
      <c r="M1407" t="s">
        <v>533</v>
      </c>
      <c r="N1407">
        <v>600</v>
      </c>
      <c r="O1407">
        <v>0</v>
      </c>
      <c r="P1407" t="str">
        <f>IF(T[[#This Row],[qty_ordered]]&lt;&gt;T[[#This Row],[qty_received]],IF(T[[#This Row],[qty_received]]&gt;0,"Partial Received","Not Receviced"),"FullyReceived")</f>
        <v>Not Receviced</v>
      </c>
      <c r="Q1407" t="str">
        <f>IF(T[[#This Row],[qty_received]]&lt;&gt;T[[#This Row],[qty_invoiced]],IF(T[[#This Row],[qty_invoiced]]&gt;0,"Partial Invoiced","Not Invoiced"),"Fully Invoiced")</f>
        <v>Partial Invoiced</v>
      </c>
      <c r="R1407" t="str">
        <f>IFERROR(VLOOKUP(T[[#This Row],[warehouse]],Table2[],2,FALSE),"--")</f>
        <v>--</v>
      </c>
    </row>
    <row r="1408" spans="1:18" x14ac:dyDescent="0.25">
      <c r="A1408" t="s">
        <v>560</v>
      </c>
      <c r="B1408" s="1">
        <v>44201</v>
      </c>
      <c r="C1408" t="s">
        <v>1160</v>
      </c>
      <c r="D1408" t="s">
        <v>20</v>
      </c>
      <c r="E1408" t="s">
        <v>51</v>
      </c>
      <c r="F1408" t="s">
        <v>164</v>
      </c>
      <c r="G1408" t="s">
        <v>1161</v>
      </c>
      <c r="H1408" t="s">
        <v>54</v>
      </c>
      <c r="I1408">
        <v>113</v>
      </c>
      <c r="J1408">
        <v>0</v>
      </c>
      <c r="K1408">
        <v>1</v>
      </c>
      <c r="L1408" t="s">
        <v>25</v>
      </c>
      <c r="M1408" t="s">
        <v>533</v>
      </c>
      <c r="N1408">
        <v>600</v>
      </c>
      <c r="O1408">
        <v>0</v>
      </c>
      <c r="P1408" t="str">
        <f>IF(T[[#This Row],[qty_ordered]]&lt;&gt;T[[#This Row],[qty_received]],IF(T[[#This Row],[qty_received]]&gt;0,"Partial Received","Not Receviced"),"FullyReceived")</f>
        <v>Not Receviced</v>
      </c>
      <c r="Q1408" t="str">
        <f>IF(T[[#This Row],[qty_received]]&lt;&gt;T[[#This Row],[qty_invoiced]],IF(T[[#This Row],[qty_invoiced]]&gt;0,"Partial Invoiced","Not Invoiced"),"Fully Invoiced")</f>
        <v>Partial Invoiced</v>
      </c>
      <c r="R1408" t="str">
        <f>IFERROR(VLOOKUP(T[[#This Row],[warehouse]],Table2[],2,FALSE),"--")</f>
        <v>--</v>
      </c>
    </row>
    <row r="1409" spans="1:18" x14ac:dyDescent="0.25">
      <c r="A1409" t="s">
        <v>560</v>
      </c>
      <c r="B1409" s="1">
        <v>44201</v>
      </c>
      <c r="C1409" t="s">
        <v>1160</v>
      </c>
      <c r="D1409" t="s">
        <v>71</v>
      </c>
      <c r="E1409" t="s">
        <v>51</v>
      </c>
      <c r="F1409" t="s">
        <v>164</v>
      </c>
      <c r="G1409" t="s">
        <v>1161</v>
      </c>
      <c r="H1409" t="s">
        <v>54</v>
      </c>
      <c r="I1409">
        <v>65</v>
      </c>
      <c r="J1409">
        <v>0</v>
      </c>
      <c r="K1409">
        <v>1</v>
      </c>
      <c r="L1409" t="s">
        <v>25</v>
      </c>
      <c r="M1409" t="s">
        <v>533</v>
      </c>
      <c r="N1409">
        <v>600</v>
      </c>
      <c r="O1409">
        <v>0</v>
      </c>
      <c r="P1409" t="str">
        <f>IF(T[[#This Row],[qty_ordered]]&lt;&gt;T[[#This Row],[qty_received]],IF(T[[#This Row],[qty_received]]&gt;0,"Partial Received","Not Receviced"),"FullyReceived")</f>
        <v>Not Receviced</v>
      </c>
      <c r="Q1409" t="str">
        <f>IF(T[[#This Row],[qty_received]]&lt;&gt;T[[#This Row],[qty_invoiced]],IF(T[[#This Row],[qty_invoiced]]&gt;0,"Partial Invoiced","Not Invoiced"),"Fully Invoiced")</f>
        <v>Partial Invoiced</v>
      </c>
      <c r="R1409" t="str">
        <f>IFERROR(VLOOKUP(T[[#This Row],[warehouse]],Table2[],2,FALSE),"--")</f>
        <v>--</v>
      </c>
    </row>
    <row r="1410" spans="1:18" x14ac:dyDescent="0.25">
      <c r="A1410" t="s">
        <v>560</v>
      </c>
      <c r="B1410" s="1">
        <v>44201</v>
      </c>
      <c r="C1410" t="s">
        <v>1162</v>
      </c>
      <c r="D1410" t="s">
        <v>20</v>
      </c>
      <c r="E1410" t="s">
        <v>51</v>
      </c>
      <c r="F1410" t="s">
        <v>164</v>
      </c>
      <c r="G1410" t="s">
        <v>1163</v>
      </c>
      <c r="H1410" t="s">
        <v>54</v>
      </c>
      <c r="I1410">
        <v>57</v>
      </c>
      <c r="J1410">
        <v>0</v>
      </c>
      <c r="K1410">
        <v>1</v>
      </c>
      <c r="L1410" t="s">
        <v>25</v>
      </c>
      <c r="M1410" t="s">
        <v>533</v>
      </c>
      <c r="N1410">
        <v>600</v>
      </c>
      <c r="O1410">
        <v>0</v>
      </c>
      <c r="P1410" t="str">
        <f>IF(T[[#This Row],[qty_ordered]]&lt;&gt;T[[#This Row],[qty_received]],IF(T[[#This Row],[qty_received]]&gt;0,"Partial Received","Not Receviced"),"FullyReceived")</f>
        <v>Not Receviced</v>
      </c>
      <c r="Q1410" t="str">
        <f>IF(T[[#This Row],[qty_received]]&lt;&gt;T[[#This Row],[qty_invoiced]],IF(T[[#This Row],[qty_invoiced]]&gt;0,"Partial Invoiced","Not Invoiced"),"Fully Invoiced")</f>
        <v>Partial Invoiced</v>
      </c>
      <c r="R1410" t="str">
        <f>IFERROR(VLOOKUP(T[[#This Row],[warehouse]],Table2[],2,FALSE),"--")</f>
        <v>--</v>
      </c>
    </row>
    <row r="1411" spans="1:18" x14ac:dyDescent="0.25">
      <c r="A1411" t="s">
        <v>560</v>
      </c>
      <c r="B1411" s="1">
        <v>44201</v>
      </c>
      <c r="C1411" t="s">
        <v>1162</v>
      </c>
      <c r="D1411" t="s">
        <v>71</v>
      </c>
      <c r="E1411" t="s">
        <v>51</v>
      </c>
      <c r="F1411" t="s">
        <v>164</v>
      </c>
      <c r="G1411" t="s">
        <v>1163</v>
      </c>
      <c r="H1411" t="s">
        <v>54</v>
      </c>
      <c r="I1411">
        <v>81</v>
      </c>
      <c r="J1411">
        <v>0</v>
      </c>
      <c r="K1411">
        <v>1</v>
      </c>
      <c r="L1411" t="s">
        <v>25</v>
      </c>
      <c r="M1411" t="s">
        <v>533</v>
      </c>
      <c r="N1411">
        <v>420</v>
      </c>
      <c r="O1411">
        <v>0</v>
      </c>
      <c r="P1411" t="str">
        <f>IF(T[[#This Row],[qty_ordered]]&lt;&gt;T[[#This Row],[qty_received]],IF(T[[#This Row],[qty_received]]&gt;0,"Partial Received","Not Receviced"),"FullyReceived")</f>
        <v>Not Receviced</v>
      </c>
      <c r="Q1411" t="str">
        <f>IF(T[[#This Row],[qty_received]]&lt;&gt;T[[#This Row],[qty_invoiced]],IF(T[[#This Row],[qty_invoiced]]&gt;0,"Partial Invoiced","Not Invoiced"),"Fully Invoiced")</f>
        <v>Partial Invoiced</v>
      </c>
      <c r="R1411" t="str">
        <f>IFERROR(VLOOKUP(T[[#This Row],[warehouse]],Table2[],2,FALSE),"--")</f>
        <v>--</v>
      </c>
    </row>
    <row r="1412" spans="1:18" x14ac:dyDescent="0.25">
      <c r="A1412" t="s">
        <v>560</v>
      </c>
      <c r="B1412" s="1">
        <v>44201</v>
      </c>
      <c r="C1412" t="s">
        <v>1162</v>
      </c>
      <c r="D1412" t="s">
        <v>100</v>
      </c>
      <c r="E1412" t="s">
        <v>51</v>
      </c>
      <c r="F1412" t="s">
        <v>164</v>
      </c>
      <c r="G1412" t="s">
        <v>1163</v>
      </c>
      <c r="H1412" t="s">
        <v>54</v>
      </c>
      <c r="I1412">
        <v>67</v>
      </c>
      <c r="J1412">
        <v>0</v>
      </c>
      <c r="K1412">
        <v>1</v>
      </c>
      <c r="L1412" t="s">
        <v>25</v>
      </c>
      <c r="M1412" t="s">
        <v>533</v>
      </c>
      <c r="N1412">
        <v>600</v>
      </c>
      <c r="O1412">
        <v>0</v>
      </c>
      <c r="P1412" t="str">
        <f>IF(T[[#This Row],[qty_ordered]]&lt;&gt;T[[#This Row],[qty_received]],IF(T[[#This Row],[qty_received]]&gt;0,"Partial Received","Not Receviced"),"FullyReceived")</f>
        <v>Not Receviced</v>
      </c>
      <c r="Q1412" t="str">
        <f>IF(T[[#This Row],[qty_received]]&lt;&gt;T[[#This Row],[qty_invoiced]],IF(T[[#This Row],[qty_invoiced]]&gt;0,"Partial Invoiced","Not Invoiced"),"Fully Invoiced")</f>
        <v>Partial Invoiced</v>
      </c>
      <c r="R1412" t="str">
        <f>IFERROR(VLOOKUP(T[[#This Row],[warehouse]],Table2[],2,FALSE),"--")</f>
        <v>--</v>
      </c>
    </row>
    <row r="1413" spans="1:18" x14ac:dyDescent="0.25">
      <c r="A1413" t="s">
        <v>252</v>
      </c>
      <c r="B1413" s="1">
        <v>44201</v>
      </c>
      <c r="C1413" t="s">
        <v>1164</v>
      </c>
      <c r="D1413" t="s">
        <v>20</v>
      </c>
      <c r="E1413" t="s">
        <v>51</v>
      </c>
      <c r="F1413" t="s">
        <v>183</v>
      </c>
      <c r="G1413" t="s">
        <v>1165</v>
      </c>
      <c r="H1413" t="s">
        <v>54</v>
      </c>
      <c r="I1413">
        <v>3000</v>
      </c>
      <c r="J1413">
        <v>0</v>
      </c>
      <c r="K1413">
        <v>1</v>
      </c>
      <c r="L1413" t="s">
        <v>25</v>
      </c>
      <c r="M1413" t="s">
        <v>533</v>
      </c>
      <c r="N1413">
        <v>2450</v>
      </c>
      <c r="O1413">
        <v>0</v>
      </c>
      <c r="P1413" t="str">
        <f>IF(T[[#This Row],[qty_ordered]]&lt;&gt;T[[#This Row],[qty_received]],IF(T[[#This Row],[qty_received]]&gt;0,"Partial Received","Not Receviced"),"FullyReceived")</f>
        <v>Not Receviced</v>
      </c>
      <c r="Q1413" t="str">
        <f>IF(T[[#This Row],[qty_received]]&lt;&gt;T[[#This Row],[qty_invoiced]],IF(T[[#This Row],[qty_invoiced]]&gt;0,"Partial Invoiced","Not Invoiced"),"Fully Invoiced")</f>
        <v>Partial Invoiced</v>
      </c>
      <c r="R1413" t="str">
        <f>IFERROR(VLOOKUP(T[[#This Row],[warehouse]],Table2[],2,FALSE),"--")</f>
        <v>--</v>
      </c>
    </row>
    <row r="1414" spans="1:18" x14ac:dyDescent="0.25">
      <c r="A1414" t="s">
        <v>400</v>
      </c>
      <c r="B1414" s="1">
        <v>44201</v>
      </c>
      <c r="C1414" t="s">
        <v>1152</v>
      </c>
      <c r="D1414" t="s">
        <v>20</v>
      </c>
      <c r="E1414" t="s">
        <v>51</v>
      </c>
      <c r="F1414" t="s">
        <v>183</v>
      </c>
      <c r="G1414" t="s">
        <v>1166</v>
      </c>
      <c r="H1414" t="s">
        <v>54</v>
      </c>
      <c r="I1414">
        <v>3000</v>
      </c>
      <c r="J1414">
        <v>0</v>
      </c>
      <c r="K1414">
        <v>1</v>
      </c>
      <c r="L1414" t="s">
        <v>25</v>
      </c>
      <c r="M1414" t="s">
        <v>533</v>
      </c>
      <c r="N1414">
        <v>3000</v>
      </c>
      <c r="O1414">
        <v>0</v>
      </c>
      <c r="P1414" t="str">
        <f>IF(T[[#This Row],[qty_ordered]]&lt;&gt;T[[#This Row],[qty_received]],IF(T[[#This Row],[qty_received]]&gt;0,"Partial Received","Not Receviced"),"FullyReceived")</f>
        <v>Not Receviced</v>
      </c>
      <c r="Q1414" t="str">
        <f>IF(T[[#This Row],[qty_received]]&lt;&gt;T[[#This Row],[qty_invoiced]],IF(T[[#This Row],[qty_invoiced]]&gt;0,"Partial Invoiced","Not Invoiced"),"Fully Invoiced")</f>
        <v>Partial Invoiced</v>
      </c>
      <c r="R1414" t="str">
        <f>IFERROR(VLOOKUP(T[[#This Row],[warehouse]],Table2[],2,FALSE),"--")</f>
        <v>--</v>
      </c>
    </row>
    <row r="1415" spans="1:18" x14ac:dyDescent="0.25">
      <c r="A1415" t="s">
        <v>423</v>
      </c>
      <c r="B1415" s="1">
        <v>44160</v>
      </c>
      <c r="C1415" t="s">
        <v>1010</v>
      </c>
      <c r="D1415" t="s">
        <v>88</v>
      </c>
      <c r="E1415" t="s">
        <v>51</v>
      </c>
      <c r="F1415" t="s">
        <v>546</v>
      </c>
      <c r="G1415" t="s">
        <v>1063</v>
      </c>
      <c r="H1415" t="s">
        <v>54</v>
      </c>
      <c r="I1415">
        <v>5000</v>
      </c>
      <c r="J1415">
        <v>0</v>
      </c>
      <c r="K1415">
        <v>1</v>
      </c>
      <c r="L1415" t="s">
        <v>25</v>
      </c>
      <c r="M1415" t="s">
        <v>533</v>
      </c>
      <c r="N1415">
        <v>6.8</v>
      </c>
      <c r="O1415">
        <v>0</v>
      </c>
      <c r="P1415" t="str">
        <f>IF(T[[#This Row],[qty_ordered]]&lt;&gt;T[[#This Row],[qty_received]],IF(T[[#This Row],[qty_received]]&gt;0,"Partial Received","Not Receviced"),"FullyReceived")</f>
        <v>Not Receviced</v>
      </c>
      <c r="Q1415" t="str">
        <f>IF(T[[#This Row],[qty_received]]&lt;&gt;T[[#This Row],[qty_invoiced]],IF(T[[#This Row],[qty_invoiced]]&gt;0,"Partial Invoiced","Not Invoiced"),"Fully Invoiced")</f>
        <v>Partial Invoiced</v>
      </c>
      <c r="R1415" t="str">
        <f>IFERROR(VLOOKUP(T[[#This Row],[warehouse]],Table2[],2,FALSE),"--")</f>
        <v>--</v>
      </c>
    </row>
    <row r="1416" spans="1:18" x14ac:dyDescent="0.25">
      <c r="A1416" t="s">
        <v>423</v>
      </c>
      <c r="B1416" s="1">
        <v>44160</v>
      </c>
      <c r="C1416" t="s">
        <v>1010</v>
      </c>
      <c r="D1416" t="s">
        <v>74</v>
      </c>
      <c r="E1416" t="s">
        <v>51</v>
      </c>
      <c r="F1416" t="s">
        <v>546</v>
      </c>
      <c r="G1416" t="s">
        <v>1167</v>
      </c>
      <c r="H1416" t="s">
        <v>54</v>
      </c>
      <c r="I1416">
        <v>10000</v>
      </c>
      <c r="J1416">
        <v>0</v>
      </c>
      <c r="K1416">
        <v>1</v>
      </c>
      <c r="L1416" t="s">
        <v>25</v>
      </c>
      <c r="M1416" t="s">
        <v>533</v>
      </c>
      <c r="N1416">
        <v>6.8</v>
      </c>
      <c r="O1416">
        <v>0</v>
      </c>
      <c r="P1416" t="str">
        <f>IF(T[[#This Row],[qty_ordered]]&lt;&gt;T[[#This Row],[qty_received]],IF(T[[#This Row],[qty_received]]&gt;0,"Partial Received","Not Receviced"),"FullyReceived")</f>
        <v>Not Receviced</v>
      </c>
      <c r="Q1416" t="str">
        <f>IF(T[[#This Row],[qty_received]]&lt;&gt;T[[#This Row],[qty_invoiced]],IF(T[[#This Row],[qty_invoiced]]&gt;0,"Partial Invoiced","Not Invoiced"),"Fully Invoiced")</f>
        <v>Partial Invoiced</v>
      </c>
      <c r="R1416" t="str">
        <f>IFERROR(VLOOKUP(T[[#This Row],[warehouse]],Table2[],2,FALSE),"--")</f>
        <v>--</v>
      </c>
    </row>
    <row r="1417" spans="1:18" x14ac:dyDescent="0.25">
      <c r="A1417" t="s">
        <v>303</v>
      </c>
      <c r="B1417" s="1">
        <v>44213</v>
      </c>
      <c r="C1417" t="s">
        <v>1168</v>
      </c>
      <c r="D1417" t="s">
        <v>20</v>
      </c>
      <c r="E1417" t="s">
        <v>66</v>
      </c>
      <c r="F1417" t="s">
        <v>529</v>
      </c>
      <c r="G1417" t="s">
        <v>530</v>
      </c>
      <c r="H1417" t="s">
        <v>531</v>
      </c>
      <c r="I1417">
        <v>5000</v>
      </c>
      <c r="J1417">
        <v>1086</v>
      </c>
      <c r="K1417">
        <v>1086</v>
      </c>
      <c r="L1417" t="s">
        <v>25</v>
      </c>
      <c r="M1417" t="s">
        <v>132</v>
      </c>
      <c r="N1417">
        <v>20250</v>
      </c>
      <c r="O1417">
        <v>21991500</v>
      </c>
      <c r="P1417" t="str">
        <f>IF(T[[#This Row],[qty_ordered]]&lt;&gt;T[[#This Row],[qty_received]],IF(T[[#This Row],[qty_received]]&gt;0,"Partial Received","Not Receviced"),"FullyReceived")</f>
        <v>Partial Received</v>
      </c>
      <c r="Q1417" t="str">
        <f>IF(T[[#This Row],[qty_received]]&lt;&gt;T[[#This Row],[qty_invoiced]],IF(T[[#This Row],[qty_invoiced]]&gt;0,"Partial Invoiced","Not Invoiced"),"Fully Invoiced")</f>
        <v>Fully Invoiced</v>
      </c>
      <c r="R1417" t="str">
        <f>IFERROR(VLOOKUP(T[[#This Row],[warehouse]],Table2[],2,FALSE),"--")</f>
        <v>PZU Main Warehouse</v>
      </c>
    </row>
    <row r="1418" spans="1:18" x14ac:dyDescent="0.25">
      <c r="A1418" t="s">
        <v>303</v>
      </c>
      <c r="B1418" s="1">
        <v>44213</v>
      </c>
      <c r="C1418" t="s">
        <v>1168</v>
      </c>
      <c r="D1418" t="s">
        <v>71</v>
      </c>
      <c r="E1418" t="s">
        <v>66</v>
      </c>
      <c r="F1418" t="s">
        <v>949</v>
      </c>
      <c r="G1418" t="s">
        <v>950</v>
      </c>
      <c r="H1418" t="s">
        <v>531</v>
      </c>
      <c r="I1418">
        <v>2000</v>
      </c>
      <c r="J1418">
        <v>151</v>
      </c>
      <c r="K1418">
        <v>151</v>
      </c>
      <c r="L1418" t="s">
        <v>25</v>
      </c>
      <c r="M1418" t="s">
        <v>132</v>
      </c>
      <c r="N1418">
        <v>5000</v>
      </c>
      <c r="O1418">
        <v>755000</v>
      </c>
      <c r="P1418" t="str">
        <f>IF(T[[#This Row],[qty_ordered]]&lt;&gt;T[[#This Row],[qty_received]],IF(T[[#This Row],[qty_received]]&gt;0,"Partial Received","Not Receviced"),"FullyReceived")</f>
        <v>Partial Received</v>
      </c>
      <c r="Q1418" t="str">
        <f>IF(T[[#This Row],[qty_received]]&lt;&gt;T[[#This Row],[qty_invoiced]],IF(T[[#This Row],[qty_invoiced]]&gt;0,"Partial Invoiced","Not Invoiced"),"Fully Invoiced")</f>
        <v>Fully Invoiced</v>
      </c>
      <c r="R1418" t="str">
        <f>IFERROR(VLOOKUP(T[[#This Row],[warehouse]],Table2[],2,FALSE),"--")</f>
        <v>PZU Main Warehouse</v>
      </c>
    </row>
    <row r="1419" spans="1:18" x14ac:dyDescent="0.25">
      <c r="A1419" t="s">
        <v>400</v>
      </c>
      <c r="B1419" s="1">
        <v>44201</v>
      </c>
      <c r="C1419" t="s">
        <v>1152</v>
      </c>
      <c r="D1419" t="s">
        <v>88</v>
      </c>
      <c r="E1419" t="s">
        <v>51</v>
      </c>
      <c r="F1419" t="s">
        <v>254</v>
      </c>
      <c r="G1419" t="s">
        <v>255</v>
      </c>
      <c r="H1419" t="s">
        <v>54</v>
      </c>
      <c r="I1419">
        <v>1</v>
      </c>
      <c r="J1419">
        <v>0</v>
      </c>
      <c r="K1419">
        <v>1</v>
      </c>
      <c r="L1419" t="s">
        <v>25</v>
      </c>
      <c r="M1419" t="s">
        <v>533</v>
      </c>
      <c r="N1419">
        <v>2120</v>
      </c>
      <c r="O1419">
        <v>0</v>
      </c>
      <c r="P1419" t="str">
        <f>IF(T[[#This Row],[qty_ordered]]&lt;&gt;T[[#This Row],[qty_received]],IF(T[[#This Row],[qty_received]]&gt;0,"Partial Received","Not Receviced"),"FullyReceived")</f>
        <v>Not Receviced</v>
      </c>
      <c r="Q1419" t="str">
        <f>IF(T[[#This Row],[qty_received]]&lt;&gt;T[[#This Row],[qty_invoiced]],IF(T[[#This Row],[qty_invoiced]]&gt;0,"Partial Invoiced","Not Invoiced"),"Fully Invoiced")</f>
        <v>Partial Invoiced</v>
      </c>
      <c r="R1419" t="str">
        <f>IFERROR(VLOOKUP(T[[#This Row],[warehouse]],Table2[],2,FALSE),"--")</f>
        <v>--</v>
      </c>
    </row>
    <row r="1420" spans="1:18" x14ac:dyDescent="0.25">
      <c r="A1420" t="s">
        <v>400</v>
      </c>
      <c r="B1420" s="1">
        <v>44201</v>
      </c>
      <c r="C1420" t="s">
        <v>1152</v>
      </c>
      <c r="D1420" t="s">
        <v>74</v>
      </c>
      <c r="E1420" t="s">
        <v>51</v>
      </c>
      <c r="F1420" t="s">
        <v>433</v>
      </c>
      <c r="G1420" t="s">
        <v>1169</v>
      </c>
      <c r="H1420" t="s">
        <v>54</v>
      </c>
      <c r="I1420">
        <v>1</v>
      </c>
      <c r="J1420">
        <v>0</v>
      </c>
      <c r="K1420">
        <v>1</v>
      </c>
      <c r="L1420" t="s">
        <v>25</v>
      </c>
      <c r="M1420" t="s">
        <v>533</v>
      </c>
      <c r="N1420">
        <v>10600</v>
      </c>
      <c r="O1420">
        <v>0</v>
      </c>
      <c r="P1420" t="str">
        <f>IF(T[[#This Row],[qty_ordered]]&lt;&gt;T[[#This Row],[qty_received]],IF(T[[#This Row],[qty_received]]&gt;0,"Partial Received","Not Receviced"),"FullyReceived")</f>
        <v>Not Receviced</v>
      </c>
      <c r="Q1420" t="str">
        <f>IF(T[[#This Row],[qty_received]]&lt;&gt;T[[#This Row],[qty_invoiced]],IF(T[[#This Row],[qty_invoiced]]&gt;0,"Partial Invoiced","Not Invoiced"),"Fully Invoiced")</f>
        <v>Partial Invoiced</v>
      </c>
      <c r="R1420" t="str">
        <f>IFERROR(VLOOKUP(T[[#This Row],[warehouse]],Table2[],2,FALSE),"--")</f>
        <v>--</v>
      </c>
    </row>
    <row r="1421" spans="1:18" x14ac:dyDescent="0.25">
      <c r="A1421" t="s">
        <v>400</v>
      </c>
      <c r="B1421" s="1">
        <v>44201</v>
      </c>
      <c r="C1421" t="s">
        <v>1152</v>
      </c>
      <c r="D1421" t="s">
        <v>76</v>
      </c>
      <c r="E1421" t="s">
        <v>51</v>
      </c>
      <c r="F1421" t="s">
        <v>278</v>
      </c>
      <c r="G1421" t="s">
        <v>279</v>
      </c>
      <c r="H1421" t="s">
        <v>54</v>
      </c>
      <c r="I1421">
        <v>1</v>
      </c>
      <c r="J1421">
        <v>0</v>
      </c>
      <c r="K1421">
        <v>1</v>
      </c>
      <c r="L1421" t="s">
        <v>25</v>
      </c>
      <c r="M1421" t="s">
        <v>533</v>
      </c>
      <c r="N1421">
        <v>10400</v>
      </c>
      <c r="O1421">
        <v>0</v>
      </c>
      <c r="P1421" t="str">
        <f>IF(T[[#This Row],[qty_ordered]]&lt;&gt;T[[#This Row],[qty_received]],IF(T[[#This Row],[qty_received]]&gt;0,"Partial Received","Not Receviced"),"FullyReceived")</f>
        <v>Not Receviced</v>
      </c>
      <c r="Q1421" t="str">
        <f>IF(T[[#This Row],[qty_received]]&lt;&gt;T[[#This Row],[qty_invoiced]],IF(T[[#This Row],[qty_invoiced]]&gt;0,"Partial Invoiced","Not Invoiced"),"Fully Invoiced")</f>
        <v>Partial Invoiced</v>
      </c>
      <c r="R1421" t="str">
        <f>IFERROR(VLOOKUP(T[[#This Row],[warehouse]],Table2[],2,FALSE),"--")</f>
        <v>--</v>
      </c>
    </row>
    <row r="1422" spans="1:18" x14ac:dyDescent="0.25">
      <c r="A1422" t="s">
        <v>400</v>
      </c>
      <c r="B1422" s="1">
        <v>44201</v>
      </c>
      <c r="C1422" t="s">
        <v>1152</v>
      </c>
      <c r="D1422" t="s">
        <v>212</v>
      </c>
      <c r="E1422" t="s">
        <v>51</v>
      </c>
      <c r="F1422" t="s">
        <v>373</v>
      </c>
      <c r="G1422" t="s">
        <v>373</v>
      </c>
      <c r="H1422" t="s">
        <v>54</v>
      </c>
      <c r="I1422">
        <v>227</v>
      </c>
      <c r="J1422">
        <v>0</v>
      </c>
      <c r="K1422">
        <v>1</v>
      </c>
      <c r="L1422" t="s">
        <v>25</v>
      </c>
      <c r="M1422" t="s">
        <v>533</v>
      </c>
      <c r="N1422">
        <v>750</v>
      </c>
      <c r="O1422">
        <v>0</v>
      </c>
      <c r="P1422" t="str">
        <f>IF(T[[#This Row],[qty_ordered]]&lt;&gt;T[[#This Row],[qty_received]],IF(T[[#This Row],[qty_received]]&gt;0,"Partial Received","Not Receviced"),"FullyReceived")</f>
        <v>Not Receviced</v>
      </c>
      <c r="Q1422" t="str">
        <f>IF(T[[#This Row],[qty_received]]&lt;&gt;T[[#This Row],[qty_invoiced]],IF(T[[#This Row],[qty_invoiced]]&gt;0,"Partial Invoiced","Not Invoiced"),"Fully Invoiced")</f>
        <v>Partial Invoiced</v>
      </c>
      <c r="R1422" t="str">
        <f>IFERROR(VLOOKUP(T[[#This Row],[warehouse]],Table2[],2,FALSE),"--")</f>
        <v>--</v>
      </c>
    </row>
    <row r="1423" spans="1:18" x14ac:dyDescent="0.25">
      <c r="A1423" t="s">
        <v>400</v>
      </c>
      <c r="B1423" s="1">
        <v>44201</v>
      </c>
      <c r="C1423" t="s">
        <v>1152</v>
      </c>
      <c r="D1423" t="s">
        <v>322</v>
      </c>
      <c r="E1423" t="s">
        <v>51</v>
      </c>
      <c r="F1423" t="s">
        <v>254</v>
      </c>
      <c r="G1423" t="s">
        <v>255</v>
      </c>
      <c r="H1423" t="s">
        <v>54</v>
      </c>
      <c r="I1423">
        <v>1</v>
      </c>
      <c r="J1423">
        <v>0</v>
      </c>
      <c r="K1423">
        <v>1</v>
      </c>
      <c r="L1423" t="s">
        <v>25</v>
      </c>
      <c r="M1423" t="s">
        <v>533</v>
      </c>
      <c r="N1423">
        <v>9100</v>
      </c>
      <c r="O1423">
        <v>0</v>
      </c>
      <c r="P1423" t="str">
        <f>IF(T[[#This Row],[qty_ordered]]&lt;&gt;T[[#This Row],[qty_received]],IF(T[[#This Row],[qty_received]]&gt;0,"Partial Received","Not Receviced"),"FullyReceived")</f>
        <v>Not Receviced</v>
      </c>
      <c r="Q1423" t="str">
        <f>IF(T[[#This Row],[qty_received]]&lt;&gt;T[[#This Row],[qty_invoiced]],IF(T[[#This Row],[qty_invoiced]]&gt;0,"Partial Invoiced","Not Invoiced"),"Fully Invoiced")</f>
        <v>Partial Invoiced</v>
      </c>
      <c r="R1423" t="str">
        <f>IFERROR(VLOOKUP(T[[#This Row],[warehouse]],Table2[],2,FALSE),"--")</f>
        <v>--</v>
      </c>
    </row>
    <row r="1424" spans="1:18" x14ac:dyDescent="0.25">
      <c r="A1424" t="s">
        <v>739</v>
      </c>
      <c r="B1424" s="1">
        <v>44186</v>
      </c>
      <c r="C1424" t="s">
        <v>1069</v>
      </c>
      <c r="D1424" t="s">
        <v>74</v>
      </c>
      <c r="E1424" t="s">
        <v>660</v>
      </c>
      <c r="F1424" t="s">
        <v>705</v>
      </c>
      <c r="G1424" t="s">
        <v>706</v>
      </c>
      <c r="H1424" t="s">
        <v>663</v>
      </c>
      <c r="I1424">
        <v>2983.5</v>
      </c>
      <c r="J1424">
        <v>2983.5</v>
      </c>
      <c r="K1424">
        <v>2983.5</v>
      </c>
      <c r="L1424" t="s">
        <v>25</v>
      </c>
      <c r="M1424" t="s">
        <v>132</v>
      </c>
      <c r="N1424">
        <v>1000</v>
      </c>
      <c r="O1424">
        <v>2983500</v>
      </c>
      <c r="P1424" t="str">
        <f>IF(T[[#This Row],[qty_ordered]]&lt;&gt;T[[#This Row],[qty_received]],IF(T[[#This Row],[qty_received]]&gt;0,"Partial Received","Not Receviced"),"FullyReceived")</f>
        <v>FullyReceived</v>
      </c>
      <c r="Q1424" t="str">
        <f>IF(T[[#This Row],[qty_received]]&lt;&gt;T[[#This Row],[qty_invoiced]],IF(T[[#This Row],[qty_invoiced]]&gt;0,"Partial Invoiced","Not Invoiced"),"Fully Invoiced")</f>
        <v>Fully Invoiced</v>
      </c>
      <c r="R1424" t="str">
        <f>IFERROR(VLOOKUP(T[[#This Row],[warehouse]],Table2[],2,FALSE),"--")</f>
        <v>SLAUGHTER HOUSE</v>
      </c>
    </row>
    <row r="1425" spans="1:18" x14ac:dyDescent="0.25">
      <c r="A1425" t="s">
        <v>658</v>
      </c>
      <c r="B1425" s="1">
        <v>44186</v>
      </c>
      <c r="C1425" t="s">
        <v>1070</v>
      </c>
      <c r="D1425" t="s">
        <v>74</v>
      </c>
      <c r="E1425" t="s">
        <v>660</v>
      </c>
      <c r="F1425" t="s">
        <v>661</v>
      </c>
      <c r="G1425" t="s">
        <v>662</v>
      </c>
      <c r="H1425" t="s">
        <v>663</v>
      </c>
      <c r="I1425">
        <v>2021.7</v>
      </c>
      <c r="J1425">
        <v>2021.7</v>
      </c>
      <c r="K1425">
        <v>2021.7</v>
      </c>
      <c r="L1425" t="s">
        <v>25</v>
      </c>
      <c r="M1425" t="s">
        <v>132</v>
      </c>
      <c r="N1425">
        <v>700</v>
      </c>
      <c r="O1425">
        <v>1415190</v>
      </c>
      <c r="P1425" t="str">
        <f>IF(T[[#This Row],[qty_ordered]]&lt;&gt;T[[#This Row],[qty_received]],IF(T[[#This Row],[qty_received]]&gt;0,"Partial Received","Not Receviced"),"FullyReceived")</f>
        <v>FullyReceived</v>
      </c>
      <c r="Q1425" t="str">
        <f>IF(T[[#This Row],[qty_received]]&lt;&gt;T[[#This Row],[qty_invoiced]],IF(T[[#This Row],[qty_invoiced]]&gt;0,"Partial Invoiced","Not Invoiced"),"Fully Invoiced")</f>
        <v>Fully Invoiced</v>
      </c>
      <c r="R1425" t="str">
        <f>IFERROR(VLOOKUP(T[[#This Row],[warehouse]],Table2[],2,FALSE),"--")</f>
        <v>SLAUGHTER HOUSE</v>
      </c>
    </row>
    <row r="1426" spans="1:18" x14ac:dyDescent="0.25">
      <c r="A1426" t="s">
        <v>1170</v>
      </c>
      <c r="B1426" s="1">
        <v>44210</v>
      </c>
      <c r="C1426" t="s">
        <v>1171</v>
      </c>
      <c r="D1426" t="s">
        <v>20</v>
      </c>
      <c r="E1426" t="s">
        <v>629</v>
      </c>
      <c r="F1426" t="s">
        <v>287</v>
      </c>
      <c r="G1426" t="s">
        <v>288</v>
      </c>
      <c r="H1426" t="s">
        <v>24</v>
      </c>
      <c r="I1426">
        <v>500</v>
      </c>
      <c r="J1426">
        <v>70.03</v>
      </c>
      <c r="K1426">
        <v>70.03</v>
      </c>
      <c r="L1426" t="s">
        <v>25</v>
      </c>
      <c r="M1426" t="s">
        <v>707</v>
      </c>
      <c r="N1426">
        <v>242000</v>
      </c>
      <c r="O1426">
        <v>16947260</v>
      </c>
      <c r="P1426" t="str">
        <f>IF(T[[#This Row],[qty_ordered]]&lt;&gt;T[[#This Row],[qty_received]],IF(T[[#This Row],[qty_received]]&gt;0,"Partial Received","Not Receviced"),"FullyReceived")</f>
        <v>Partial Received</v>
      </c>
      <c r="Q1426" t="str">
        <f>IF(T[[#This Row],[qty_received]]&lt;&gt;T[[#This Row],[qty_invoiced]],IF(T[[#This Row],[qty_invoiced]]&gt;0,"Partial Invoiced","Not Invoiced"),"Fully Invoiced")</f>
        <v>Fully Invoiced</v>
      </c>
      <c r="R1426" t="str">
        <f>IFERROR(VLOOKUP(T[[#This Row],[warehouse]],Table2[],2,FALSE),"--")</f>
        <v>SOPC Sifting &amp; Sorting</v>
      </c>
    </row>
    <row r="1427" spans="1:18" x14ac:dyDescent="0.25">
      <c r="A1427" t="s">
        <v>235</v>
      </c>
      <c r="B1427" s="1">
        <v>44186</v>
      </c>
      <c r="C1427" t="s">
        <v>1064</v>
      </c>
      <c r="D1427" t="s">
        <v>71</v>
      </c>
      <c r="E1427" t="s">
        <v>51</v>
      </c>
      <c r="F1427" t="s">
        <v>546</v>
      </c>
      <c r="G1427" t="s">
        <v>1065</v>
      </c>
      <c r="H1427" t="s">
        <v>54</v>
      </c>
      <c r="I1427">
        <v>5000</v>
      </c>
      <c r="J1427">
        <v>0</v>
      </c>
      <c r="K1427">
        <v>1</v>
      </c>
      <c r="L1427" t="s">
        <v>25</v>
      </c>
      <c r="M1427" t="s">
        <v>533</v>
      </c>
      <c r="N1427">
        <v>6.6</v>
      </c>
      <c r="O1427">
        <v>0</v>
      </c>
      <c r="P1427" t="str">
        <f>IF(T[[#This Row],[qty_ordered]]&lt;&gt;T[[#This Row],[qty_received]],IF(T[[#This Row],[qty_received]]&gt;0,"Partial Received","Not Receviced"),"FullyReceived")</f>
        <v>Not Receviced</v>
      </c>
      <c r="Q1427" t="str">
        <f>IF(T[[#This Row],[qty_received]]&lt;&gt;T[[#This Row],[qty_invoiced]],IF(T[[#This Row],[qty_invoiced]]&gt;0,"Partial Invoiced","Not Invoiced"),"Fully Invoiced")</f>
        <v>Partial Invoiced</v>
      </c>
      <c r="R1427" t="str">
        <f>IFERROR(VLOOKUP(T[[#This Row],[warehouse]],Table2[],2,FALSE),"--")</f>
        <v>--</v>
      </c>
    </row>
    <row r="1428" spans="1:18" x14ac:dyDescent="0.25">
      <c r="A1428" t="s">
        <v>235</v>
      </c>
      <c r="B1428" s="1">
        <v>44186</v>
      </c>
      <c r="C1428" t="s">
        <v>1064</v>
      </c>
      <c r="D1428" t="s">
        <v>100</v>
      </c>
      <c r="E1428" t="s">
        <v>51</v>
      </c>
      <c r="F1428" t="s">
        <v>546</v>
      </c>
      <c r="G1428" t="s">
        <v>1065</v>
      </c>
      <c r="H1428" t="s">
        <v>54</v>
      </c>
      <c r="I1428">
        <v>10000</v>
      </c>
      <c r="J1428">
        <v>0</v>
      </c>
      <c r="K1428">
        <v>1</v>
      </c>
      <c r="L1428" t="s">
        <v>25</v>
      </c>
      <c r="M1428" t="s">
        <v>533</v>
      </c>
      <c r="N1428">
        <v>6.35</v>
      </c>
      <c r="O1428">
        <v>0</v>
      </c>
      <c r="P1428" t="str">
        <f>IF(T[[#This Row],[qty_ordered]]&lt;&gt;T[[#This Row],[qty_received]],IF(T[[#This Row],[qty_received]]&gt;0,"Partial Received","Not Receviced"),"FullyReceived")</f>
        <v>Not Receviced</v>
      </c>
      <c r="Q1428" t="str">
        <f>IF(T[[#This Row],[qty_received]]&lt;&gt;T[[#This Row],[qty_invoiced]],IF(T[[#This Row],[qty_invoiced]]&gt;0,"Partial Invoiced","Not Invoiced"),"Fully Invoiced")</f>
        <v>Partial Invoiced</v>
      </c>
      <c r="R1428" t="str">
        <f>IFERROR(VLOOKUP(T[[#This Row],[warehouse]],Table2[],2,FALSE),"--")</f>
        <v>--</v>
      </c>
    </row>
    <row r="1429" spans="1:18" x14ac:dyDescent="0.25">
      <c r="A1429" t="s">
        <v>686</v>
      </c>
      <c r="B1429" s="1">
        <v>43849</v>
      </c>
      <c r="C1429" t="s">
        <v>687</v>
      </c>
      <c r="D1429" t="s">
        <v>593</v>
      </c>
      <c r="E1429" t="s">
        <v>51</v>
      </c>
      <c r="F1429" t="s">
        <v>373</v>
      </c>
      <c r="G1429" t="s">
        <v>373</v>
      </c>
      <c r="H1429" t="s">
        <v>54</v>
      </c>
      <c r="I1429">
        <v>14411</v>
      </c>
      <c r="J1429">
        <v>0</v>
      </c>
      <c r="K1429">
        <v>1</v>
      </c>
      <c r="L1429" t="s">
        <v>25</v>
      </c>
      <c r="M1429" t="s">
        <v>533</v>
      </c>
      <c r="N1429">
        <v>5</v>
      </c>
      <c r="O1429">
        <v>0</v>
      </c>
      <c r="P1429" t="str">
        <f>IF(T[[#This Row],[qty_ordered]]&lt;&gt;T[[#This Row],[qty_received]],IF(T[[#This Row],[qty_received]]&gt;0,"Partial Received","Not Receviced"),"FullyReceived")</f>
        <v>Not Receviced</v>
      </c>
      <c r="Q1429" t="str">
        <f>IF(T[[#This Row],[qty_received]]&lt;&gt;T[[#This Row],[qty_invoiced]],IF(T[[#This Row],[qty_invoiced]]&gt;0,"Partial Invoiced","Not Invoiced"),"Fully Invoiced")</f>
        <v>Partial Invoiced</v>
      </c>
      <c r="R1429" t="str">
        <f>IFERROR(VLOOKUP(T[[#This Row],[warehouse]],Table2[],2,FALSE),"--")</f>
        <v>--</v>
      </c>
    </row>
    <row r="1430" spans="1:18" x14ac:dyDescent="0.25">
      <c r="A1430" t="s">
        <v>686</v>
      </c>
      <c r="B1430" s="1">
        <v>43849</v>
      </c>
      <c r="C1430" t="s">
        <v>687</v>
      </c>
      <c r="D1430" t="s">
        <v>594</v>
      </c>
      <c r="E1430" t="s">
        <v>51</v>
      </c>
      <c r="F1430" t="s">
        <v>793</v>
      </c>
      <c r="G1430" t="s">
        <v>794</v>
      </c>
      <c r="H1430" t="s">
        <v>54</v>
      </c>
      <c r="I1430">
        <v>32</v>
      </c>
      <c r="J1430">
        <v>0</v>
      </c>
      <c r="K1430">
        <v>1</v>
      </c>
      <c r="L1430" t="s">
        <v>25</v>
      </c>
      <c r="M1430" t="s">
        <v>533</v>
      </c>
      <c r="N1430">
        <v>120</v>
      </c>
      <c r="O1430">
        <v>0</v>
      </c>
      <c r="P1430" t="str">
        <f>IF(T[[#This Row],[qty_ordered]]&lt;&gt;T[[#This Row],[qty_received]],IF(T[[#This Row],[qty_received]]&gt;0,"Partial Received","Not Receviced"),"FullyReceived")</f>
        <v>Not Receviced</v>
      </c>
      <c r="Q1430" t="str">
        <f>IF(T[[#This Row],[qty_received]]&lt;&gt;T[[#This Row],[qty_invoiced]],IF(T[[#This Row],[qty_invoiced]]&gt;0,"Partial Invoiced","Not Invoiced"),"Fully Invoiced")</f>
        <v>Partial Invoiced</v>
      </c>
      <c r="R1430" t="str">
        <f>IFERROR(VLOOKUP(T[[#This Row],[warehouse]],Table2[],2,FALSE),"--")</f>
        <v>--</v>
      </c>
    </row>
    <row r="1431" spans="1:18" x14ac:dyDescent="0.25">
      <c r="A1431" t="s">
        <v>686</v>
      </c>
      <c r="B1431" s="1">
        <v>43849</v>
      </c>
      <c r="C1431" t="s">
        <v>687</v>
      </c>
      <c r="D1431" t="s">
        <v>595</v>
      </c>
      <c r="E1431" t="s">
        <v>51</v>
      </c>
      <c r="F1431" t="s">
        <v>793</v>
      </c>
      <c r="G1431" t="s">
        <v>794</v>
      </c>
      <c r="H1431" t="s">
        <v>54</v>
      </c>
      <c r="I1431">
        <v>28</v>
      </c>
      <c r="J1431">
        <v>0</v>
      </c>
      <c r="K1431">
        <v>1</v>
      </c>
      <c r="L1431" t="s">
        <v>25</v>
      </c>
      <c r="M1431" t="s">
        <v>533</v>
      </c>
      <c r="N1431">
        <v>150</v>
      </c>
      <c r="O1431">
        <v>0</v>
      </c>
      <c r="P1431" t="str">
        <f>IF(T[[#This Row],[qty_ordered]]&lt;&gt;T[[#This Row],[qty_received]],IF(T[[#This Row],[qty_received]]&gt;0,"Partial Received","Not Receviced"),"FullyReceived")</f>
        <v>Not Receviced</v>
      </c>
      <c r="Q1431" t="str">
        <f>IF(T[[#This Row],[qty_received]]&lt;&gt;T[[#This Row],[qty_invoiced]],IF(T[[#This Row],[qty_invoiced]]&gt;0,"Partial Invoiced","Not Invoiced"),"Fully Invoiced")</f>
        <v>Partial Invoiced</v>
      </c>
      <c r="R1431" t="str">
        <f>IFERROR(VLOOKUP(T[[#This Row],[warehouse]],Table2[],2,FALSE),"--")</f>
        <v>--</v>
      </c>
    </row>
    <row r="1432" spans="1:18" x14ac:dyDescent="0.25">
      <c r="A1432" t="s">
        <v>686</v>
      </c>
      <c r="B1432" s="1">
        <v>43849</v>
      </c>
      <c r="C1432" t="s">
        <v>687</v>
      </c>
      <c r="D1432" t="s">
        <v>596</v>
      </c>
      <c r="E1432" t="s">
        <v>51</v>
      </c>
      <c r="F1432" t="s">
        <v>793</v>
      </c>
      <c r="G1432" t="s">
        <v>794</v>
      </c>
      <c r="H1432" t="s">
        <v>54</v>
      </c>
      <c r="I1432">
        <v>10</v>
      </c>
      <c r="J1432">
        <v>0</v>
      </c>
      <c r="K1432">
        <v>1</v>
      </c>
      <c r="L1432" t="s">
        <v>25</v>
      </c>
      <c r="M1432" t="s">
        <v>533</v>
      </c>
      <c r="N1432">
        <v>80</v>
      </c>
      <c r="O1432">
        <v>0</v>
      </c>
      <c r="P1432" t="str">
        <f>IF(T[[#This Row],[qty_ordered]]&lt;&gt;T[[#This Row],[qty_received]],IF(T[[#This Row],[qty_received]]&gt;0,"Partial Received","Not Receviced"),"FullyReceived")</f>
        <v>Not Receviced</v>
      </c>
      <c r="Q1432" t="str">
        <f>IF(T[[#This Row],[qty_received]]&lt;&gt;T[[#This Row],[qty_invoiced]],IF(T[[#This Row],[qty_invoiced]]&gt;0,"Partial Invoiced","Not Invoiced"),"Fully Invoiced")</f>
        <v>Partial Invoiced</v>
      </c>
      <c r="R1432" t="str">
        <f>IFERROR(VLOOKUP(T[[#This Row],[warehouse]],Table2[],2,FALSE),"--")</f>
        <v>--</v>
      </c>
    </row>
    <row r="1433" spans="1:18" x14ac:dyDescent="0.25">
      <c r="A1433" t="s">
        <v>686</v>
      </c>
      <c r="B1433" s="1">
        <v>43849</v>
      </c>
      <c r="C1433" t="s">
        <v>687</v>
      </c>
      <c r="D1433" t="s">
        <v>507</v>
      </c>
      <c r="E1433" t="s">
        <v>51</v>
      </c>
      <c r="F1433" t="s">
        <v>793</v>
      </c>
      <c r="G1433" t="s">
        <v>794</v>
      </c>
      <c r="H1433" t="s">
        <v>54</v>
      </c>
      <c r="I1433">
        <v>1</v>
      </c>
      <c r="J1433">
        <v>0</v>
      </c>
      <c r="K1433">
        <v>1</v>
      </c>
      <c r="L1433" t="s">
        <v>25</v>
      </c>
      <c r="M1433" t="s">
        <v>533</v>
      </c>
      <c r="N1433">
        <v>250</v>
      </c>
      <c r="O1433">
        <v>0</v>
      </c>
      <c r="P1433" t="str">
        <f>IF(T[[#This Row],[qty_ordered]]&lt;&gt;T[[#This Row],[qty_received]],IF(T[[#This Row],[qty_received]]&gt;0,"Partial Received","Not Receviced"),"FullyReceived")</f>
        <v>Not Receviced</v>
      </c>
      <c r="Q1433" t="str">
        <f>IF(T[[#This Row],[qty_received]]&lt;&gt;T[[#This Row],[qty_invoiced]],IF(T[[#This Row],[qty_invoiced]]&gt;0,"Partial Invoiced","Not Invoiced"),"Fully Invoiced")</f>
        <v>Partial Invoiced</v>
      </c>
      <c r="R1433" t="str">
        <f>IFERROR(VLOOKUP(T[[#This Row],[warehouse]],Table2[],2,FALSE),"--")</f>
        <v>--</v>
      </c>
    </row>
    <row r="1434" spans="1:18" x14ac:dyDescent="0.25">
      <c r="A1434" t="s">
        <v>686</v>
      </c>
      <c r="B1434" s="1">
        <v>43849</v>
      </c>
      <c r="C1434" t="s">
        <v>687</v>
      </c>
      <c r="D1434" t="s">
        <v>508</v>
      </c>
      <c r="E1434" t="s">
        <v>51</v>
      </c>
      <c r="F1434" t="s">
        <v>793</v>
      </c>
      <c r="G1434" t="s">
        <v>794</v>
      </c>
      <c r="H1434" t="s">
        <v>54</v>
      </c>
      <c r="I1434">
        <v>5</v>
      </c>
      <c r="J1434">
        <v>0</v>
      </c>
      <c r="K1434">
        <v>1</v>
      </c>
      <c r="L1434" t="s">
        <v>25</v>
      </c>
      <c r="M1434" t="s">
        <v>533</v>
      </c>
      <c r="N1434">
        <v>200</v>
      </c>
      <c r="O1434">
        <v>0</v>
      </c>
      <c r="P1434" t="str">
        <f>IF(T[[#This Row],[qty_ordered]]&lt;&gt;T[[#This Row],[qty_received]],IF(T[[#This Row],[qty_received]]&gt;0,"Partial Received","Not Receviced"),"FullyReceived")</f>
        <v>Not Receviced</v>
      </c>
      <c r="Q1434" t="str">
        <f>IF(T[[#This Row],[qty_received]]&lt;&gt;T[[#This Row],[qty_invoiced]],IF(T[[#This Row],[qty_invoiced]]&gt;0,"Partial Invoiced","Not Invoiced"),"Fully Invoiced")</f>
        <v>Partial Invoiced</v>
      </c>
      <c r="R1434" t="str">
        <f>IFERROR(VLOOKUP(T[[#This Row],[warehouse]],Table2[],2,FALSE),"--")</f>
        <v>--</v>
      </c>
    </row>
    <row r="1435" spans="1:18" x14ac:dyDescent="0.25">
      <c r="A1435" t="s">
        <v>686</v>
      </c>
      <c r="B1435" s="1">
        <v>43849</v>
      </c>
      <c r="C1435" t="s">
        <v>687</v>
      </c>
      <c r="D1435" t="s">
        <v>509</v>
      </c>
      <c r="E1435" t="s">
        <v>51</v>
      </c>
      <c r="F1435" t="s">
        <v>793</v>
      </c>
      <c r="G1435" t="s">
        <v>794</v>
      </c>
      <c r="H1435" t="s">
        <v>54</v>
      </c>
      <c r="I1435">
        <v>1</v>
      </c>
      <c r="J1435">
        <v>0</v>
      </c>
      <c r="K1435">
        <v>1</v>
      </c>
      <c r="L1435" t="s">
        <v>25</v>
      </c>
      <c r="M1435" t="s">
        <v>533</v>
      </c>
      <c r="N1435">
        <v>1200</v>
      </c>
      <c r="O1435">
        <v>0</v>
      </c>
      <c r="P1435" t="str">
        <f>IF(T[[#This Row],[qty_ordered]]&lt;&gt;T[[#This Row],[qty_received]],IF(T[[#This Row],[qty_received]]&gt;0,"Partial Received","Not Receviced"),"FullyReceived")</f>
        <v>Not Receviced</v>
      </c>
      <c r="Q1435" t="str">
        <f>IF(T[[#This Row],[qty_received]]&lt;&gt;T[[#This Row],[qty_invoiced]],IF(T[[#This Row],[qty_invoiced]]&gt;0,"Partial Invoiced","Not Invoiced"),"Fully Invoiced")</f>
        <v>Partial Invoiced</v>
      </c>
      <c r="R1435" t="str">
        <f>IFERROR(VLOOKUP(T[[#This Row],[warehouse]],Table2[],2,FALSE),"--")</f>
        <v>--</v>
      </c>
    </row>
    <row r="1436" spans="1:18" x14ac:dyDescent="0.25">
      <c r="A1436" t="s">
        <v>686</v>
      </c>
      <c r="B1436" s="1">
        <v>43849</v>
      </c>
      <c r="C1436" t="s">
        <v>687</v>
      </c>
      <c r="D1436" t="s">
        <v>510</v>
      </c>
      <c r="E1436" t="s">
        <v>51</v>
      </c>
      <c r="F1436" t="s">
        <v>164</v>
      </c>
      <c r="G1436" t="s">
        <v>164</v>
      </c>
      <c r="H1436" t="s">
        <v>54</v>
      </c>
      <c r="I1436">
        <v>4</v>
      </c>
      <c r="J1436">
        <v>0</v>
      </c>
      <c r="K1436">
        <v>1</v>
      </c>
      <c r="L1436" t="s">
        <v>25</v>
      </c>
      <c r="M1436" t="s">
        <v>533</v>
      </c>
      <c r="N1436">
        <v>200</v>
      </c>
      <c r="O1436">
        <v>0</v>
      </c>
      <c r="P1436" t="str">
        <f>IF(T[[#This Row],[qty_ordered]]&lt;&gt;T[[#This Row],[qty_received]],IF(T[[#This Row],[qty_received]]&gt;0,"Partial Received","Not Receviced"),"FullyReceived")</f>
        <v>Not Receviced</v>
      </c>
      <c r="Q1436" t="str">
        <f>IF(T[[#This Row],[qty_received]]&lt;&gt;T[[#This Row],[qty_invoiced]],IF(T[[#This Row],[qty_invoiced]]&gt;0,"Partial Invoiced","Not Invoiced"),"Fully Invoiced")</f>
        <v>Partial Invoiced</v>
      </c>
      <c r="R1436" t="str">
        <f>IFERROR(VLOOKUP(T[[#This Row],[warehouse]],Table2[],2,FALSE),"--")</f>
        <v>--</v>
      </c>
    </row>
    <row r="1437" spans="1:18" x14ac:dyDescent="0.25">
      <c r="A1437" t="s">
        <v>686</v>
      </c>
      <c r="B1437" s="1">
        <v>43849</v>
      </c>
      <c r="C1437" t="s">
        <v>687</v>
      </c>
      <c r="D1437" t="s">
        <v>511</v>
      </c>
      <c r="E1437" t="s">
        <v>51</v>
      </c>
      <c r="F1437" t="s">
        <v>433</v>
      </c>
      <c r="G1437" t="s">
        <v>433</v>
      </c>
      <c r="H1437" t="s">
        <v>54</v>
      </c>
      <c r="I1437">
        <v>369</v>
      </c>
      <c r="J1437">
        <v>0</v>
      </c>
      <c r="K1437">
        <v>1</v>
      </c>
      <c r="L1437" t="s">
        <v>25</v>
      </c>
      <c r="M1437" t="s">
        <v>533</v>
      </c>
      <c r="N1437">
        <v>86.016260000000003</v>
      </c>
      <c r="O1437">
        <v>0</v>
      </c>
      <c r="P1437" t="str">
        <f>IF(T[[#This Row],[qty_ordered]]&lt;&gt;T[[#This Row],[qty_received]],IF(T[[#This Row],[qty_received]]&gt;0,"Partial Received","Not Receviced"),"FullyReceived")</f>
        <v>Not Receviced</v>
      </c>
      <c r="Q1437" t="str">
        <f>IF(T[[#This Row],[qty_received]]&lt;&gt;T[[#This Row],[qty_invoiced]],IF(T[[#This Row],[qty_invoiced]]&gt;0,"Partial Invoiced","Not Invoiced"),"Fully Invoiced")</f>
        <v>Partial Invoiced</v>
      </c>
      <c r="R1437" t="str">
        <f>IFERROR(VLOOKUP(T[[#This Row],[warehouse]],Table2[],2,FALSE),"--")</f>
        <v>--</v>
      </c>
    </row>
    <row r="1438" spans="1:18" x14ac:dyDescent="0.25">
      <c r="A1438" t="s">
        <v>686</v>
      </c>
      <c r="B1438" s="1">
        <v>43849</v>
      </c>
      <c r="C1438" t="s">
        <v>687</v>
      </c>
      <c r="D1438" t="s">
        <v>512</v>
      </c>
      <c r="E1438" t="s">
        <v>51</v>
      </c>
      <c r="F1438" t="s">
        <v>247</v>
      </c>
      <c r="G1438" t="s">
        <v>247</v>
      </c>
      <c r="H1438" t="s">
        <v>54</v>
      </c>
      <c r="I1438">
        <v>15.513999999999999</v>
      </c>
      <c r="J1438">
        <v>0</v>
      </c>
      <c r="K1438">
        <v>1</v>
      </c>
      <c r="L1438" t="s">
        <v>25</v>
      </c>
      <c r="M1438" t="s">
        <v>533</v>
      </c>
      <c r="N1438">
        <v>5000</v>
      </c>
      <c r="O1438">
        <v>0</v>
      </c>
      <c r="P1438" t="str">
        <f>IF(T[[#This Row],[qty_ordered]]&lt;&gt;T[[#This Row],[qty_received]],IF(T[[#This Row],[qty_received]]&gt;0,"Partial Received","Not Receviced"),"FullyReceived")</f>
        <v>Not Receviced</v>
      </c>
      <c r="Q1438" t="str">
        <f>IF(T[[#This Row],[qty_received]]&lt;&gt;T[[#This Row],[qty_invoiced]],IF(T[[#This Row],[qty_invoiced]]&gt;0,"Partial Invoiced","Not Invoiced"),"Fully Invoiced")</f>
        <v>Partial Invoiced</v>
      </c>
      <c r="R1438" t="str">
        <f>IFERROR(VLOOKUP(T[[#This Row],[warehouse]],Table2[],2,FALSE),"--")</f>
        <v>--</v>
      </c>
    </row>
    <row r="1439" spans="1:18" x14ac:dyDescent="0.25">
      <c r="A1439" t="s">
        <v>618</v>
      </c>
      <c r="B1439" s="1">
        <v>44000</v>
      </c>
      <c r="C1439" t="s">
        <v>1172</v>
      </c>
      <c r="D1439" t="s">
        <v>20</v>
      </c>
      <c r="E1439" t="s">
        <v>1173</v>
      </c>
      <c r="F1439" t="s">
        <v>103</v>
      </c>
      <c r="G1439" t="s">
        <v>104</v>
      </c>
      <c r="H1439" t="s">
        <v>24</v>
      </c>
      <c r="I1439">
        <v>625</v>
      </c>
      <c r="J1439">
        <v>521.54</v>
      </c>
      <c r="K1439">
        <v>521.54</v>
      </c>
      <c r="L1439" t="s">
        <v>25</v>
      </c>
      <c r="M1439" t="s">
        <v>132</v>
      </c>
      <c r="N1439">
        <v>80000</v>
      </c>
      <c r="O1439">
        <v>41723200</v>
      </c>
      <c r="P1439" t="str">
        <f>IF(T[[#This Row],[qty_ordered]]&lt;&gt;T[[#This Row],[qty_received]],IF(T[[#This Row],[qty_received]]&gt;0,"Partial Received","Not Receviced"),"FullyReceived")</f>
        <v>Partial Received</v>
      </c>
      <c r="Q1439" t="str">
        <f>IF(T[[#This Row],[qty_received]]&lt;&gt;T[[#This Row],[qty_invoiced]],IF(T[[#This Row],[qty_invoiced]]&gt;0,"Partial Invoiced","Not Invoiced"),"Fully Invoiced")</f>
        <v>Fully Invoiced</v>
      </c>
      <c r="R1439" t="str">
        <f>IFERROR(VLOOKUP(T[[#This Row],[warehouse]],Table2[],2,FALSE),"--")</f>
        <v>EL Jizouli Sifter</v>
      </c>
    </row>
    <row r="1440" spans="1:18" x14ac:dyDescent="0.25">
      <c r="A1440" t="s">
        <v>462</v>
      </c>
      <c r="B1440" s="1">
        <v>43895</v>
      </c>
      <c r="C1440" t="s">
        <v>688</v>
      </c>
      <c r="D1440" t="s">
        <v>614</v>
      </c>
      <c r="E1440" t="s">
        <v>51</v>
      </c>
      <c r="F1440" t="s">
        <v>433</v>
      </c>
      <c r="G1440" t="s">
        <v>433</v>
      </c>
      <c r="H1440" t="s">
        <v>54</v>
      </c>
      <c r="I1440">
        <v>160</v>
      </c>
      <c r="J1440">
        <v>0</v>
      </c>
      <c r="K1440">
        <v>1</v>
      </c>
      <c r="L1440" t="s">
        <v>25</v>
      </c>
      <c r="M1440" t="s">
        <v>533</v>
      </c>
      <c r="N1440">
        <v>334.375</v>
      </c>
      <c r="O1440">
        <v>0</v>
      </c>
      <c r="P1440" t="str">
        <f>IF(T[[#This Row],[qty_ordered]]&lt;&gt;T[[#This Row],[qty_received]],IF(T[[#This Row],[qty_received]]&gt;0,"Partial Received","Not Receviced"),"FullyReceived")</f>
        <v>Not Receviced</v>
      </c>
      <c r="Q1440" t="str">
        <f>IF(T[[#This Row],[qty_received]]&lt;&gt;T[[#This Row],[qty_invoiced]],IF(T[[#This Row],[qty_invoiced]]&gt;0,"Partial Invoiced","Not Invoiced"),"Fully Invoiced")</f>
        <v>Partial Invoiced</v>
      </c>
      <c r="R1440" t="str">
        <f>IFERROR(VLOOKUP(T[[#This Row],[warehouse]],Table2[],2,FALSE),"--")</f>
        <v>--</v>
      </c>
    </row>
    <row r="1441" spans="1:18" x14ac:dyDescent="0.25">
      <c r="A1441" t="s">
        <v>462</v>
      </c>
      <c r="B1441" s="1">
        <v>43895</v>
      </c>
      <c r="C1441" t="s">
        <v>688</v>
      </c>
      <c r="D1441" t="s">
        <v>615</v>
      </c>
      <c r="E1441" t="s">
        <v>51</v>
      </c>
      <c r="F1441" t="s">
        <v>433</v>
      </c>
      <c r="G1441" t="s">
        <v>433</v>
      </c>
      <c r="H1441" t="s">
        <v>54</v>
      </c>
      <c r="I1441">
        <v>12000</v>
      </c>
      <c r="J1441">
        <v>0</v>
      </c>
      <c r="K1441">
        <v>1</v>
      </c>
      <c r="L1441" t="s">
        <v>25</v>
      </c>
      <c r="M1441" t="s">
        <v>533</v>
      </c>
      <c r="N1441">
        <v>3</v>
      </c>
      <c r="O1441">
        <v>0</v>
      </c>
      <c r="P1441" t="str">
        <f>IF(T[[#This Row],[qty_ordered]]&lt;&gt;T[[#This Row],[qty_received]],IF(T[[#This Row],[qty_received]]&gt;0,"Partial Received","Not Receviced"),"FullyReceived")</f>
        <v>Not Receviced</v>
      </c>
      <c r="Q1441" t="str">
        <f>IF(T[[#This Row],[qty_received]]&lt;&gt;T[[#This Row],[qty_invoiced]],IF(T[[#This Row],[qty_invoiced]]&gt;0,"Partial Invoiced","Not Invoiced"),"Fully Invoiced")</f>
        <v>Partial Invoiced</v>
      </c>
      <c r="R1441" t="str">
        <f>IFERROR(VLOOKUP(T[[#This Row],[warehouse]],Table2[],2,FALSE),"--")</f>
        <v>--</v>
      </c>
    </row>
    <row r="1442" spans="1:18" x14ac:dyDescent="0.25">
      <c r="A1442" t="s">
        <v>462</v>
      </c>
      <c r="B1442" s="1">
        <v>43895</v>
      </c>
      <c r="C1442" t="s">
        <v>688</v>
      </c>
      <c r="D1442" t="s">
        <v>752</v>
      </c>
      <c r="E1442" t="s">
        <v>51</v>
      </c>
      <c r="F1442" t="s">
        <v>793</v>
      </c>
      <c r="G1442" t="s">
        <v>794</v>
      </c>
      <c r="H1442" t="s">
        <v>54</v>
      </c>
      <c r="I1442">
        <v>118</v>
      </c>
      <c r="J1442">
        <v>0</v>
      </c>
      <c r="K1442">
        <v>1</v>
      </c>
      <c r="L1442" t="s">
        <v>25</v>
      </c>
      <c r="M1442" t="s">
        <v>533</v>
      </c>
      <c r="N1442">
        <v>100</v>
      </c>
      <c r="O1442">
        <v>0</v>
      </c>
      <c r="P1442" t="str">
        <f>IF(T[[#This Row],[qty_ordered]]&lt;&gt;T[[#This Row],[qty_received]],IF(T[[#This Row],[qty_received]]&gt;0,"Partial Received","Not Receviced"),"FullyReceived")</f>
        <v>Not Receviced</v>
      </c>
      <c r="Q1442" t="str">
        <f>IF(T[[#This Row],[qty_received]]&lt;&gt;T[[#This Row],[qty_invoiced]],IF(T[[#This Row],[qty_invoiced]]&gt;0,"Partial Invoiced","Not Invoiced"),"Fully Invoiced")</f>
        <v>Partial Invoiced</v>
      </c>
      <c r="R1442" t="str">
        <f>IFERROR(VLOOKUP(T[[#This Row],[warehouse]],Table2[],2,FALSE),"--")</f>
        <v>--</v>
      </c>
    </row>
    <row r="1443" spans="1:18" x14ac:dyDescent="0.25">
      <c r="A1443" t="s">
        <v>462</v>
      </c>
      <c r="B1443" s="1">
        <v>43895</v>
      </c>
      <c r="C1443" t="s">
        <v>688</v>
      </c>
      <c r="D1443" t="s">
        <v>759</v>
      </c>
      <c r="E1443" t="s">
        <v>51</v>
      </c>
      <c r="F1443" t="s">
        <v>793</v>
      </c>
      <c r="G1443" t="s">
        <v>794</v>
      </c>
      <c r="H1443" t="s">
        <v>54</v>
      </c>
      <c r="I1443">
        <v>42</v>
      </c>
      <c r="J1443">
        <v>0</v>
      </c>
      <c r="K1443">
        <v>1</v>
      </c>
      <c r="L1443" t="s">
        <v>25</v>
      </c>
      <c r="M1443" t="s">
        <v>533</v>
      </c>
      <c r="N1443">
        <v>120</v>
      </c>
      <c r="O1443">
        <v>0</v>
      </c>
      <c r="P1443" t="str">
        <f>IF(T[[#This Row],[qty_ordered]]&lt;&gt;T[[#This Row],[qty_received]],IF(T[[#This Row],[qty_received]]&gt;0,"Partial Received","Not Receviced"),"FullyReceived")</f>
        <v>Not Receviced</v>
      </c>
      <c r="Q1443" t="str">
        <f>IF(T[[#This Row],[qty_received]]&lt;&gt;T[[#This Row],[qty_invoiced]],IF(T[[#This Row],[qty_invoiced]]&gt;0,"Partial Invoiced","Not Invoiced"),"Fully Invoiced")</f>
        <v>Partial Invoiced</v>
      </c>
      <c r="R1443" t="str">
        <f>IFERROR(VLOOKUP(T[[#This Row],[warehouse]],Table2[],2,FALSE),"--")</f>
        <v>--</v>
      </c>
    </row>
    <row r="1444" spans="1:18" x14ac:dyDescent="0.25">
      <c r="A1444" t="s">
        <v>462</v>
      </c>
      <c r="B1444" s="1">
        <v>43895</v>
      </c>
      <c r="C1444" t="s">
        <v>688</v>
      </c>
      <c r="D1444" t="s">
        <v>694</v>
      </c>
      <c r="E1444" t="s">
        <v>51</v>
      </c>
      <c r="F1444" t="s">
        <v>793</v>
      </c>
      <c r="G1444" t="s">
        <v>794</v>
      </c>
      <c r="H1444" t="s">
        <v>54</v>
      </c>
      <c r="I1444">
        <v>18</v>
      </c>
      <c r="J1444">
        <v>0</v>
      </c>
      <c r="K1444">
        <v>1</v>
      </c>
      <c r="L1444" t="s">
        <v>25</v>
      </c>
      <c r="M1444" t="s">
        <v>533</v>
      </c>
      <c r="N1444">
        <v>300</v>
      </c>
      <c r="O1444">
        <v>0</v>
      </c>
      <c r="P1444" t="str">
        <f>IF(T[[#This Row],[qty_ordered]]&lt;&gt;T[[#This Row],[qty_received]],IF(T[[#This Row],[qty_received]]&gt;0,"Partial Received","Not Receviced"),"FullyReceived")</f>
        <v>Not Receviced</v>
      </c>
      <c r="Q1444" t="str">
        <f>IF(T[[#This Row],[qty_received]]&lt;&gt;T[[#This Row],[qty_invoiced]],IF(T[[#This Row],[qty_invoiced]]&gt;0,"Partial Invoiced","Not Invoiced"),"Fully Invoiced")</f>
        <v>Partial Invoiced</v>
      </c>
      <c r="R1444" t="str">
        <f>IFERROR(VLOOKUP(T[[#This Row],[warehouse]],Table2[],2,FALSE),"--")</f>
        <v>--</v>
      </c>
    </row>
    <row r="1445" spans="1:18" x14ac:dyDescent="0.25">
      <c r="A1445" t="s">
        <v>462</v>
      </c>
      <c r="B1445" s="1">
        <v>43895</v>
      </c>
      <c r="C1445" t="s">
        <v>688</v>
      </c>
      <c r="D1445" t="s">
        <v>760</v>
      </c>
      <c r="E1445" t="s">
        <v>51</v>
      </c>
      <c r="F1445" t="s">
        <v>390</v>
      </c>
      <c r="G1445" t="s">
        <v>390</v>
      </c>
      <c r="H1445" t="s">
        <v>54</v>
      </c>
      <c r="I1445">
        <v>4</v>
      </c>
      <c r="J1445">
        <v>0</v>
      </c>
      <c r="K1445">
        <v>1</v>
      </c>
      <c r="L1445" t="s">
        <v>25</v>
      </c>
      <c r="M1445" t="s">
        <v>533</v>
      </c>
      <c r="N1445">
        <v>6000</v>
      </c>
      <c r="O1445">
        <v>0</v>
      </c>
      <c r="P1445" t="str">
        <f>IF(T[[#This Row],[qty_ordered]]&lt;&gt;T[[#This Row],[qty_received]],IF(T[[#This Row],[qty_received]]&gt;0,"Partial Received","Not Receviced"),"FullyReceived")</f>
        <v>Not Receviced</v>
      </c>
      <c r="Q1445" t="str">
        <f>IF(T[[#This Row],[qty_received]]&lt;&gt;T[[#This Row],[qty_invoiced]],IF(T[[#This Row],[qty_invoiced]]&gt;0,"Partial Invoiced","Not Invoiced"),"Fully Invoiced")</f>
        <v>Partial Invoiced</v>
      </c>
      <c r="R1445" t="str">
        <f>IFERROR(VLOOKUP(T[[#This Row],[warehouse]],Table2[],2,FALSE),"--")</f>
        <v>--</v>
      </c>
    </row>
    <row r="1446" spans="1:18" x14ac:dyDescent="0.25">
      <c r="A1446" t="s">
        <v>462</v>
      </c>
      <c r="B1446" s="1">
        <v>43895</v>
      </c>
      <c r="C1446" t="s">
        <v>688</v>
      </c>
      <c r="D1446" t="s">
        <v>591</v>
      </c>
      <c r="E1446" t="s">
        <v>51</v>
      </c>
      <c r="F1446" t="s">
        <v>433</v>
      </c>
      <c r="G1446" t="s">
        <v>433</v>
      </c>
      <c r="H1446" t="s">
        <v>54</v>
      </c>
      <c r="I1446">
        <v>814</v>
      </c>
      <c r="J1446">
        <v>0</v>
      </c>
      <c r="K1446">
        <v>1</v>
      </c>
      <c r="L1446" t="s">
        <v>25</v>
      </c>
      <c r="M1446" t="s">
        <v>533</v>
      </c>
      <c r="N1446">
        <v>30</v>
      </c>
      <c r="O1446">
        <v>0</v>
      </c>
      <c r="P1446" t="str">
        <f>IF(T[[#This Row],[qty_ordered]]&lt;&gt;T[[#This Row],[qty_received]],IF(T[[#This Row],[qty_received]]&gt;0,"Partial Received","Not Receviced"),"FullyReceived")</f>
        <v>Not Receviced</v>
      </c>
      <c r="Q1446" t="str">
        <f>IF(T[[#This Row],[qty_received]]&lt;&gt;T[[#This Row],[qty_invoiced]],IF(T[[#This Row],[qty_invoiced]]&gt;0,"Partial Invoiced","Not Invoiced"),"Fully Invoiced")</f>
        <v>Partial Invoiced</v>
      </c>
      <c r="R1446" t="str">
        <f>IFERROR(VLOOKUP(T[[#This Row],[warehouse]],Table2[],2,FALSE),"--")</f>
        <v>--</v>
      </c>
    </row>
    <row r="1447" spans="1:18" x14ac:dyDescent="0.25">
      <c r="A1447" t="s">
        <v>462</v>
      </c>
      <c r="B1447" s="1">
        <v>43895</v>
      </c>
      <c r="C1447" t="s">
        <v>688</v>
      </c>
      <c r="D1447" t="s">
        <v>592</v>
      </c>
      <c r="E1447" t="s">
        <v>51</v>
      </c>
      <c r="F1447" t="s">
        <v>164</v>
      </c>
      <c r="G1447" t="s">
        <v>164</v>
      </c>
      <c r="H1447" t="s">
        <v>54</v>
      </c>
      <c r="I1447">
        <v>18</v>
      </c>
      <c r="J1447">
        <v>0</v>
      </c>
      <c r="K1447">
        <v>1</v>
      </c>
      <c r="L1447" t="s">
        <v>25</v>
      </c>
      <c r="M1447" t="s">
        <v>533</v>
      </c>
      <c r="N1447">
        <v>200</v>
      </c>
      <c r="O1447">
        <v>0</v>
      </c>
      <c r="P1447" t="str">
        <f>IF(T[[#This Row],[qty_ordered]]&lt;&gt;T[[#This Row],[qty_received]],IF(T[[#This Row],[qty_received]]&gt;0,"Partial Received","Not Receviced"),"FullyReceived")</f>
        <v>Not Receviced</v>
      </c>
      <c r="Q1447" t="str">
        <f>IF(T[[#This Row],[qty_received]]&lt;&gt;T[[#This Row],[qty_invoiced]],IF(T[[#This Row],[qty_invoiced]]&gt;0,"Partial Invoiced","Not Invoiced"),"Fully Invoiced")</f>
        <v>Partial Invoiced</v>
      </c>
      <c r="R1447" t="str">
        <f>IFERROR(VLOOKUP(T[[#This Row],[warehouse]],Table2[],2,FALSE),"--")</f>
        <v>--</v>
      </c>
    </row>
    <row r="1448" spans="1:18" x14ac:dyDescent="0.25">
      <c r="A1448" t="s">
        <v>462</v>
      </c>
      <c r="B1448" s="1">
        <v>43895</v>
      </c>
      <c r="C1448" t="s">
        <v>688</v>
      </c>
      <c r="D1448" t="s">
        <v>593</v>
      </c>
      <c r="E1448" t="s">
        <v>51</v>
      </c>
      <c r="F1448" t="s">
        <v>278</v>
      </c>
      <c r="G1448" t="s">
        <v>279</v>
      </c>
      <c r="H1448" t="s">
        <v>54</v>
      </c>
      <c r="I1448">
        <v>7140</v>
      </c>
      <c r="J1448">
        <v>0</v>
      </c>
      <c r="K1448">
        <v>1</v>
      </c>
      <c r="L1448" t="s">
        <v>25</v>
      </c>
      <c r="M1448" t="s">
        <v>533</v>
      </c>
      <c r="N1448">
        <v>8</v>
      </c>
      <c r="O1448">
        <v>0</v>
      </c>
      <c r="P1448" t="str">
        <f>IF(T[[#This Row],[qty_ordered]]&lt;&gt;T[[#This Row],[qty_received]],IF(T[[#This Row],[qty_received]]&gt;0,"Partial Received","Not Receviced"),"FullyReceived")</f>
        <v>Not Receviced</v>
      </c>
      <c r="Q1448" t="str">
        <f>IF(T[[#This Row],[qty_received]]&lt;&gt;T[[#This Row],[qty_invoiced]],IF(T[[#This Row],[qty_invoiced]]&gt;0,"Partial Invoiced","Not Invoiced"),"Fully Invoiced")</f>
        <v>Partial Invoiced</v>
      </c>
      <c r="R1448" t="str">
        <f>IFERROR(VLOOKUP(T[[#This Row],[warehouse]],Table2[],2,FALSE),"--")</f>
        <v>--</v>
      </c>
    </row>
    <row r="1449" spans="1:18" x14ac:dyDescent="0.25">
      <c r="A1449" t="s">
        <v>462</v>
      </c>
      <c r="B1449" s="1">
        <v>43895</v>
      </c>
      <c r="C1449" t="s">
        <v>688</v>
      </c>
      <c r="D1449" t="s">
        <v>594</v>
      </c>
      <c r="E1449" t="s">
        <v>51</v>
      </c>
      <c r="F1449" t="s">
        <v>254</v>
      </c>
      <c r="G1449" t="s">
        <v>255</v>
      </c>
      <c r="H1449" t="s">
        <v>54</v>
      </c>
      <c r="I1449">
        <v>6300</v>
      </c>
      <c r="J1449">
        <v>0</v>
      </c>
      <c r="K1449">
        <v>1</v>
      </c>
      <c r="L1449" t="s">
        <v>25</v>
      </c>
      <c r="M1449" t="s">
        <v>533</v>
      </c>
      <c r="N1449">
        <v>5</v>
      </c>
      <c r="O1449">
        <v>0</v>
      </c>
      <c r="P1449" t="str">
        <f>IF(T[[#This Row],[qty_ordered]]&lt;&gt;T[[#This Row],[qty_received]],IF(T[[#This Row],[qty_received]]&gt;0,"Partial Received","Not Receviced"),"FullyReceived")</f>
        <v>Not Receviced</v>
      </c>
      <c r="Q1449" t="str">
        <f>IF(T[[#This Row],[qty_received]]&lt;&gt;T[[#This Row],[qty_invoiced]],IF(T[[#This Row],[qty_invoiced]]&gt;0,"Partial Invoiced","Not Invoiced"),"Fully Invoiced")</f>
        <v>Partial Invoiced</v>
      </c>
      <c r="R1449" t="str">
        <f>IFERROR(VLOOKUP(T[[#This Row],[warehouse]],Table2[],2,FALSE),"--")</f>
        <v>--</v>
      </c>
    </row>
    <row r="1450" spans="1:18" x14ac:dyDescent="0.25">
      <c r="A1450" t="s">
        <v>462</v>
      </c>
      <c r="B1450" s="1">
        <v>43895</v>
      </c>
      <c r="C1450" t="s">
        <v>688</v>
      </c>
      <c r="D1450" t="s">
        <v>595</v>
      </c>
      <c r="E1450" t="s">
        <v>51</v>
      </c>
      <c r="F1450" t="s">
        <v>373</v>
      </c>
      <c r="G1450" t="s">
        <v>373</v>
      </c>
      <c r="H1450" t="s">
        <v>54</v>
      </c>
      <c r="I1450">
        <v>6300</v>
      </c>
      <c r="J1450">
        <v>0</v>
      </c>
      <c r="K1450">
        <v>1</v>
      </c>
      <c r="L1450" t="s">
        <v>25</v>
      </c>
      <c r="M1450" t="s">
        <v>533</v>
      </c>
      <c r="N1450">
        <v>5</v>
      </c>
      <c r="O1450">
        <v>0</v>
      </c>
      <c r="P1450" t="str">
        <f>IF(T[[#This Row],[qty_ordered]]&lt;&gt;T[[#This Row],[qty_received]],IF(T[[#This Row],[qty_received]]&gt;0,"Partial Received","Not Receviced"),"FullyReceived")</f>
        <v>Not Receviced</v>
      </c>
      <c r="Q1450" t="str">
        <f>IF(T[[#This Row],[qty_received]]&lt;&gt;T[[#This Row],[qty_invoiced]],IF(T[[#This Row],[qty_invoiced]]&gt;0,"Partial Invoiced","Not Invoiced"),"Fully Invoiced")</f>
        <v>Partial Invoiced</v>
      </c>
      <c r="R1450" t="str">
        <f>IFERROR(VLOOKUP(T[[#This Row],[warehouse]],Table2[],2,FALSE),"--")</f>
        <v>--</v>
      </c>
    </row>
    <row r="1451" spans="1:18" x14ac:dyDescent="0.25">
      <c r="A1451" t="s">
        <v>462</v>
      </c>
      <c r="B1451" s="1">
        <v>43895</v>
      </c>
      <c r="C1451" t="s">
        <v>688</v>
      </c>
      <c r="D1451" t="s">
        <v>596</v>
      </c>
      <c r="E1451" t="s">
        <v>51</v>
      </c>
      <c r="F1451" t="s">
        <v>433</v>
      </c>
      <c r="G1451" t="s">
        <v>433</v>
      </c>
      <c r="H1451" t="s">
        <v>54</v>
      </c>
      <c r="I1451">
        <v>6300</v>
      </c>
      <c r="J1451">
        <v>0</v>
      </c>
      <c r="K1451">
        <v>1</v>
      </c>
      <c r="L1451" t="s">
        <v>25</v>
      </c>
      <c r="M1451" t="s">
        <v>533</v>
      </c>
      <c r="N1451">
        <v>4.555555</v>
      </c>
      <c r="O1451">
        <v>0</v>
      </c>
      <c r="P1451" t="str">
        <f>IF(T[[#This Row],[qty_ordered]]&lt;&gt;T[[#This Row],[qty_received]],IF(T[[#This Row],[qty_received]]&gt;0,"Partial Received","Not Receviced"),"FullyReceived")</f>
        <v>Not Receviced</v>
      </c>
      <c r="Q1451" t="str">
        <f>IF(T[[#This Row],[qty_received]]&lt;&gt;T[[#This Row],[qty_invoiced]],IF(T[[#This Row],[qty_invoiced]]&gt;0,"Partial Invoiced","Not Invoiced"),"Fully Invoiced")</f>
        <v>Partial Invoiced</v>
      </c>
      <c r="R1451" t="str">
        <f>IFERROR(VLOOKUP(T[[#This Row],[warehouse]],Table2[],2,FALSE),"--")</f>
        <v>--</v>
      </c>
    </row>
    <row r="1452" spans="1:18" x14ac:dyDescent="0.25">
      <c r="A1452" t="s">
        <v>669</v>
      </c>
      <c r="B1452" s="1">
        <v>43891</v>
      </c>
      <c r="C1452" t="s">
        <v>673</v>
      </c>
      <c r="D1452" t="s">
        <v>88</v>
      </c>
      <c r="E1452" t="s">
        <v>51</v>
      </c>
      <c r="F1452" t="s">
        <v>254</v>
      </c>
      <c r="G1452" t="s">
        <v>255</v>
      </c>
      <c r="H1452" t="s">
        <v>54</v>
      </c>
      <c r="I1452">
        <v>3231</v>
      </c>
      <c r="J1452">
        <v>0</v>
      </c>
      <c r="K1452">
        <v>1</v>
      </c>
      <c r="L1452" t="s">
        <v>25</v>
      </c>
      <c r="M1452" t="s">
        <v>533</v>
      </c>
      <c r="N1452">
        <v>25</v>
      </c>
      <c r="O1452">
        <v>0</v>
      </c>
      <c r="P1452" t="str">
        <f>IF(T[[#This Row],[qty_ordered]]&lt;&gt;T[[#This Row],[qty_received]],IF(T[[#This Row],[qty_received]]&gt;0,"Partial Received","Not Receviced"),"FullyReceived")</f>
        <v>Not Receviced</v>
      </c>
      <c r="Q1452" t="str">
        <f>IF(T[[#This Row],[qty_received]]&lt;&gt;T[[#This Row],[qty_invoiced]],IF(T[[#This Row],[qty_invoiced]]&gt;0,"Partial Invoiced","Not Invoiced"),"Fully Invoiced")</f>
        <v>Partial Invoiced</v>
      </c>
      <c r="R1452" t="str">
        <f>IFERROR(VLOOKUP(T[[#This Row],[warehouse]],Table2[],2,FALSE),"--")</f>
        <v>--</v>
      </c>
    </row>
    <row r="1453" spans="1:18" x14ac:dyDescent="0.25">
      <c r="A1453" t="s">
        <v>669</v>
      </c>
      <c r="B1453" s="1">
        <v>43891</v>
      </c>
      <c r="C1453" t="s">
        <v>673</v>
      </c>
      <c r="D1453" t="s">
        <v>74</v>
      </c>
      <c r="E1453" t="s">
        <v>51</v>
      </c>
      <c r="F1453" t="s">
        <v>278</v>
      </c>
      <c r="G1453" t="s">
        <v>279</v>
      </c>
      <c r="H1453" t="s">
        <v>54</v>
      </c>
      <c r="I1453">
        <v>3219</v>
      </c>
      <c r="J1453">
        <v>0</v>
      </c>
      <c r="K1453">
        <v>1</v>
      </c>
      <c r="L1453" t="s">
        <v>25</v>
      </c>
      <c r="M1453" t="s">
        <v>533</v>
      </c>
      <c r="N1453">
        <v>6</v>
      </c>
      <c r="O1453">
        <v>0</v>
      </c>
      <c r="P1453" t="str">
        <f>IF(T[[#This Row],[qty_ordered]]&lt;&gt;T[[#This Row],[qty_received]],IF(T[[#This Row],[qty_received]]&gt;0,"Partial Received","Not Receviced"),"FullyReceived")</f>
        <v>Not Receviced</v>
      </c>
      <c r="Q1453" t="str">
        <f>IF(T[[#This Row],[qty_received]]&lt;&gt;T[[#This Row],[qty_invoiced]],IF(T[[#This Row],[qty_invoiced]]&gt;0,"Partial Invoiced","Not Invoiced"),"Fully Invoiced")</f>
        <v>Partial Invoiced</v>
      </c>
      <c r="R1453" t="str">
        <f>IFERROR(VLOOKUP(T[[#This Row],[warehouse]],Table2[],2,FALSE),"--")</f>
        <v>--</v>
      </c>
    </row>
    <row r="1454" spans="1:18" x14ac:dyDescent="0.25">
      <c r="A1454" t="s">
        <v>669</v>
      </c>
      <c r="B1454" s="1">
        <v>43891</v>
      </c>
      <c r="C1454" t="s">
        <v>673</v>
      </c>
      <c r="D1454" t="s">
        <v>76</v>
      </c>
      <c r="E1454" t="s">
        <v>51</v>
      </c>
      <c r="F1454" t="s">
        <v>278</v>
      </c>
      <c r="G1454" t="s">
        <v>279</v>
      </c>
      <c r="H1454" t="s">
        <v>54</v>
      </c>
      <c r="I1454">
        <v>44</v>
      </c>
      <c r="J1454">
        <v>0</v>
      </c>
      <c r="K1454">
        <v>1</v>
      </c>
      <c r="L1454" t="s">
        <v>25</v>
      </c>
      <c r="M1454" t="s">
        <v>533</v>
      </c>
      <c r="N1454">
        <v>300</v>
      </c>
      <c r="O1454">
        <v>0</v>
      </c>
      <c r="P1454" t="str">
        <f>IF(T[[#This Row],[qty_ordered]]&lt;&gt;T[[#This Row],[qty_received]],IF(T[[#This Row],[qty_received]]&gt;0,"Partial Received","Not Receviced"),"FullyReceived")</f>
        <v>Not Receviced</v>
      </c>
      <c r="Q1454" t="str">
        <f>IF(T[[#This Row],[qty_received]]&lt;&gt;T[[#This Row],[qty_invoiced]],IF(T[[#This Row],[qty_invoiced]]&gt;0,"Partial Invoiced","Not Invoiced"),"Fully Invoiced")</f>
        <v>Partial Invoiced</v>
      </c>
      <c r="R1454" t="str">
        <f>IFERROR(VLOOKUP(T[[#This Row],[warehouse]],Table2[],2,FALSE),"--")</f>
        <v>--</v>
      </c>
    </row>
    <row r="1455" spans="1:18" x14ac:dyDescent="0.25">
      <c r="A1455" t="s">
        <v>669</v>
      </c>
      <c r="B1455" s="1">
        <v>43891</v>
      </c>
      <c r="C1455" t="s">
        <v>673</v>
      </c>
      <c r="D1455" t="s">
        <v>212</v>
      </c>
      <c r="E1455" t="s">
        <v>51</v>
      </c>
      <c r="F1455" t="s">
        <v>278</v>
      </c>
      <c r="G1455" t="s">
        <v>279</v>
      </c>
      <c r="H1455" t="s">
        <v>54</v>
      </c>
      <c r="I1455">
        <v>2400</v>
      </c>
      <c r="J1455">
        <v>0</v>
      </c>
      <c r="K1455">
        <v>1</v>
      </c>
      <c r="L1455" t="s">
        <v>25</v>
      </c>
      <c r="M1455" t="s">
        <v>533</v>
      </c>
      <c r="N1455">
        <v>12</v>
      </c>
      <c r="O1455">
        <v>0</v>
      </c>
      <c r="P1455" t="str">
        <f>IF(T[[#This Row],[qty_ordered]]&lt;&gt;T[[#This Row],[qty_received]],IF(T[[#This Row],[qty_received]]&gt;0,"Partial Received","Not Receviced"),"FullyReceived")</f>
        <v>Not Receviced</v>
      </c>
      <c r="Q1455" t="str">
        <f>IF(T[[#This Row],[qty_received]]&lt;&gt;T[[#This Row],[qty_invoiced]],IF(T[[#This Row],[qty_invoiced]]&gt;0,"Partial Invoiced","Not Invoiced"),"Fully Invoiced")</f>
        <v>Partial Invoiced</v>
      </c>
      <c r="R1455" t="str">
        <f>IFERROR(VLOOKUP(T[[#This Row],[warehouse]],Table2[],2,FALSE),"--")</f>
        <v>--</v>
      </c>
    </row>
    <row r="1456" spans="1:18" x14ac:dyDescent="0.25">
      <c r="A1456" t="s">
        <v>669</v>
      </c>
      <c r="B1456" s="1">
        <v>43891</v>
      </c>
      <c r="C1456" t="s">
        <v>673</v>
      </c>
      <c r="D1456" t="s">
        <v>322</v>
      </c>
      <c r="E1456" t="s">
        <v>51</v>
      </c>
      <c r="F1456" t="s">
        <v>793</v>
      </c>
      <c r="G1456" t="s">
        <v>794</v>
      </c>
      <c r="H1456" t="s">
        <v>54</v>
      </c>
      <c r="I1456">
        <v>624</v>
      </c>
      <c r="J1456">
        <v>0</v>
      </c>
      <c r="K1456">
        <v>1</v>
      </c>
      <c r="L1456" t="s">
        <v>25</v>
      </c>
      <c r="M1456" t="s">
        <v>533</v>
      </c>
      <c r="N1456">
        <v>50</v>
      </c>
      <c r="O1456">
        <v>0</v>
      </c>
      <c r="P1456" t="str">
        <f>IF(T[[#This Row],[qty_ordered]]&lt;&gt;T[[#This Row],[qty_received]],IF(T[[#This Row],[qty_received]]&gt;0,"Partial Received","Not Receviced"),"FullyReceived")</f>
        <v>Not Receviced</v>
      </c>
      <c r="Q1456" t="str">
        <f>IF(T[[#This Row],[qty_received]]&lt;&gt;T[[#This Row],[qty_invoiced]],IF(T[[#This Row],[qty_invoiced]]&gt;0,"Partial Invoiced","Not Invoiced"),"Fully Invoiced")</f>
        <v>Partial Invoiced</v>
      </c>
      <c r="R1456" t="str">
        <f>IFERROR(VLOOKUP(T[[#This Row],[warehouse]],Table2[],2,FALSE),"--")</f>
        <v>--</v>
      </c>
    </row>
    <row r="1457" spans="1:18" x14ac:dyDescent="0.25">
      <c r="A1457" t="s">
        <v>669</v>
      </c>
      <c r="B1457" s="1">
        <v>43891</v>
      </c>
      <c r="C1457" t="s">
        <v>673</v>
      </c>
      <c r="D1457" t="s">
        <v>323</v>
      </c>
      <c r="E1457" t="s">
        <v>51</v>
      </c>
      <c r="F1457" t="s">
        <v>793</v>
      </c>
      <c r="G1457" t="s">
        <v>794</v>
      </c>
      <c r="H1457" t="s">
        <v>54</v>
      </c>
      <c r="I1457">
        <v>26</v>
      </c>
      <c r="J1457">
        <v>0</v>
      </c>
      <c r="K1457">
        <v>1</v>
      </c>
      <c r="L1457" t="s">
        <v>25</v>
      </c>
      <c r="M1457" t="s">
        <v>533</v>
      </c>
      <c r="N1457">
        <v>200</v>
      </c>
      <c r="O1457">
        <v>0</v>
      </c>
      <c r="P1457" t="str">
        <f>IF(T[[#This Row],[qty_ordered]]&lt;&gt;T[[#This Row],[qty_received]],IF(T[[#This Row],[qty_received]]&gt;0,"Partial Received","Not Receviced"),"FullyReceived")</f>
        <v>Not Receviced</v>
      </c>
      <c r="Q1457" t="str">
        <f>IF(T[[#This Row],[qty_received]]&lt;&gt;T[[#This Row],[qty_invoiced]],IF(T[[#This Row],[qty_invoiced]]&gt;0,"Partial Invoiced","Not Invoiced"),"Fully Invoiced")</f>
        <v>Partial Invoiced</v>
      </c>
      <c r="R1457" t="str">
        <f>IFERROR(VLOOKUP(T[[#This Row],[warehouse]],Table2[],2,FALSE),"--")</f>
        <v>--</v>
      </c>
    </row>
    <row r="1458" spans="1:18" x14ac:dyDescent="0.25">
      <c r="A1458" t="s">
        <v>1106</v>
      </c>
      <c r="B1458" s="1">
        <v>43900</v>
      </c>
      <c r="C1458" t="s">
        <v>1107</v>
      </c>
      <c r="D1458" t="s">
        <v>100</v>
      </c>
      <c r="E1458" t="s">
        <v>548</v>
      </c>
      <c r="F1458" t="s">
        <v>22</v>
      </c>
      <c r="G1458" t="s">
        <v>23</v>
      </c>
      <c r="H1458" t="s">
        <v>24</v>
      </c>
      <c r="I1458">
        <v>1000</v>
      </c>
      <c r="J1458">
        <v>120.94</v>
      </c>
      <c r="K1458">
        <v>120.94</v>
      </c>
      <c r="L1458" t="s">
        <v>25</v>
      </c>
      <c r="M1458" t="s">
        <v>132</v>
      </c>
      <c r="N1458">
        <v>65000</v>
      </c>
      <c r="O1458">
        <v>7861100</v>
      </c>
      <c r="P1458" t="str">
        <f>IF(T[[#This Row],[qty_ordered]]&lt;&gt;T[[#This Row],[qty_received]],IF(T[[#This Row],[qty_received]]&gt;0,"Partial Received","Not Receviced"),"FullyReceived")</f>
        <v>Partial Received</v>
      </c>
      <c r="Q1458" t="str">
        <f>IF(T[[#This Row],[qty_received]]&lt;&gt;T[[#This Row],[qty_invoiced]],IF(T[[#This Row],[qty_invoiced]]&gt;0,"Partial Invoiced","Not Invoiced"),"Fully Invoiced")</f>
        <v>Fully Invoiced</v>
      </c>
      <c r="R1458" t="str">
        <f>IFERROR(VLOOKUP(T[[#This Row],[warehouse]],Table2[],2,FALSE),"--")</f>
        <v>Crusher Almosaly-ALB</v>
      </c>
    </row>
    <row r="1459" spans="1:18" x14ac:dyDescent="0.25">
      <c r="A1459" t="s">
        <v>804</v>
      </c>
      <c r="B1459" s="1">
        <v>44017</v>
      </c>
      <c r="C1459" t="s">
        <v>1174</v>
      </c>
      <c r="D1459" t="s">
        <v>20</v>
      </c>
      <c r="E1459" t="s">
        <v>51</v>
      </c>
      <c r="F1459" t="s">
        <v>806</v>
      </c>
      <c r="G1459" t="s">
        <v>806</v>
      </c>
      <c r="H1459" t="s">
        <v>54</v>
      </c>
      <c r="I1459">
        <v>1728</v>
      </c>
      <c r="J1459">
        <v>0</v>
      </c>
      <c r="K1459">
        <v>1</v>
      </c>
      <c r="L1459" t="s">
        <v>25</v>
      </c>
      <c r="M1459" t="s">
        <v>132</v>
      </c>
      <c r="N1459">
        <v>900</v>
      </c>
      <c r="O1459">
        <v>0</v>
      </c>
      <c r="P1459" t="str">
        <f>IF(T[[#This Row],[qty_ordered]]&lt;&gt;T[[#This Row],[qty_received]],IF(T[[#This Row],[qty_received]]&gt;0,"Partial Received","Not Receviced"),"FullyReceived")</f>
        <v>Not Receviced</v>
      </c>
      <c r="Q1459" t="str">
        <f>IF(T[[#This Row],[qty_received]]&lt;&gt;T[[#This Row],[qty_invoiced]],IF(T[[#This Row],[qty_invoiced]]&gt;0,"Partial Invoiced","Not Invoiced"),"Fully Invoiced")</f>
        <v>Partial Invoiced</v>
      </c>
      <c r="R1459" t="str">
        <f>IFERROR(VLOOKUP(T[[#This Row],[warehouse]],Table2[],2,FALSE),"--")</f>
        <v>--</v>
      </c>
    </row>
    <row r="1460" spans="1:18" x14ac:dyDescent="0.25">
      <c r="A1460" t="s">
        <v>505</v>
      </c>
      <c r="B1460" s="1">
        <v>43933</v>
      </c>
      <c r="C1460" t="s">
        <v>684</v>
      </c>
      <c r="D1460" t="s">
        <v>100</v>
      </c>
      <c r="E1460" t="s">
        <v>51</v>
      </c>
      <c r="F1460" t="s">
        <v>278</v>
      </c>
      <c r="G1460" t="s">
        <v>279</v>
      </c>
      <c r="H1460" t="s">
        <v>54</v>
      </c>
      <c r="I1460">
        <v>5344</v>
      </c>
      <c r="J1460">
        <v>0</v>
      </c>
      <c r="K1460">
        <v>1</v>
      </c>
      <c r="L1460" t="s">
        <v>25</v>
      </c>
      <c r="M1460" t="s">
        <v>533</v>
      </c>
      <c r="N1460">
        <v>12</v>
      </c>
      <c r="O1460">
        <v>0</v>
      </c>
      <c r="P1460" t="str">
        <f>IF(T[[#This Row],[qty_ordered]]&lt;&gt;T[[#This Row],[qty_received]],IF(T[[#This Row],[qty_received]]&gt;0,"Partial Received","Not Receviced"),"FullyReceived")</f>
        <v>Not Receviced</v>
      </c>
      <c r="Q1460" t="str">
        <f>IF(T[[#This Row],[qty_received]]&lt;&gt;T[[#This Row],[qty_invoiced]],IF(T[[#This Row],[qty_invoiced]]&gt;0,"Partial Invoiced","Not Invoiced"),"Fully Invoiced")</f>
        <v>Partial Invoiced</v>
      </c>
      <c r="R1460" t="str">
        <f>IFERROR(VLOOKUP(T[[#This Row],[warehouse]],Table2[],2,FALSE),"--")</f>
        <v>--</v>
      </c>
    </row>
    <row r="1461" spans="1:18" x14ac:dyDescent="0.25">
      <c r="A1461" t="s">
        <v>618</v>
      </c>
      <c r="B1461" s="1">
        <v>44020</v>
      </c>
      <c r="C1461" t="s">
        <v>1175</v>
      </c>
      <c r="D1461" t="s">
        <v>20</v>
      </c>
      <c r="E1461" t="s">
        <v>66</v>
      </c>
      <c r="F1461" t="s">
        <v>300</v>
      </c>
      <c r="G1461" t="s">
        <v>301</v>
      </c>
      <c r="H1461" t="s">
        <v>24</v>
      </c>
      <c r="I1461">
        <v>1000</v>
      </c>
      <c r="J1461">
        <v>287.92</v>
      </c>
      <c r="K1461">
        <v>287.92</v>
      </c>
      <c r="L1461" t="s">
        <v>25</v>
      </c>
      <c r="M1461" t="s">
        <v>132</v>
      </c>
      <c r="N1461">
        <v>60000</v>
      </c>
      <c r="O1461">
        <v>17275200</v>
      </c>
      <c r="P1461" t="str">
        <f>IF(T[[#This Row],[qty_ordered]]&lt;&gt;T[[#This Row],[qty_received]],IF(T[[#This Row],[qty_received]]&gt;0,"Partial Received","Not Receviced"),"FullyReceived")</f>
        <v>Partial Received</v>
      </c>
      <c r="Q1461" t="str">
        <f>IF(T[[#This Row],[qty_received]]&lt;&gt;T[[#This Row],[qty_invoiced]],IF(T[[#This Row],[qty_invoiced]]&gt;0,"Partial Invoiced","Not Invoiced"),"Fully Invoiced")</f>
        <v>Fully Invoiced</v>
      </c>
      <c r="R1461" t="str">
        <f>IFERROR(VLOOKUP(T[[#This Row],[warehouse]],Table2[],2,FALSE),"--")</f>
        <v>PZU Main Warehouse</v>
      </c>
    </row>
    <row r="1462" spans="1:18" x14ac:dyDescent="0.25">
      <c r="A1462" t="s">
        <v>153</v>
      </c>
      <c r="B1462" s="1">
        <v>44020</v>
      </c>
      <c r="C1462" t="s">
        <v>1176</v>
      </c>
      <c r="D1462" t="s">
        <v>71</v>
      </c>
      <c r="E1462" t="s">
        <v>64</v>
      </c>
      <c r="F1462" t="s">
        <v>474</v>
      </c>
      <c r="G1462" t="s">
        <v>475</v>
      </c>
      <c r="H1462" t="s">
        <v>24</v>
      </c>
      <c r="I1462">
        <v>1000</v>
      </c>
      <c r="J1462">
        <v>406</v>
      </c>
      <c r="K1462">
        <v>406</v>
      </c>
      <c r="L1462" t="s">
        <v>25</v>
      </c>
      <c r="M1462" t="s">
        <v>132</v>
      </c>
      <c r="N1462">
        <v>53000</v>
      </c>
      <c r="O1462">
        <v>21518000</v>
      </c>
      <c r="P1462" t="str">
        <f>IF(T[[#This Row],[qty_ordered]]&lt;&gt;T[[#This Row],[qty_received]],IF(T[[#This Row],[qty_received]]&gt;0,"Partial Received","Not Receviced"),"FullyReceived")</f>
        <v>Partial Received</v>
      </c>
      <c r="Q1462" t="str">
        <f>IF(T[[#This Row],[qty_received]]&lt;&gt;T[[#This Row],[qty_invoiced]],IF(T[[#This Row],[qty_invoiced]]&gt;0,"Partial Invoiced","Not Invoiced"),"Fully Invoiced")</f>
        <v>Fully Invoiced</v>
      </c>
      <c r="R1462" t="str">
        <f>IFERROR(VLOOKUP(T[[#This Row],[warehouse]],Table2[],2,FALSE),"--")</f>
        <v>Stuffing OMD-ALGOMIA</v>
      </c>
    </row>
    <row r="1463" spans="1:18" x14ac:dyDescent="0.25">
      <c r="A1463" t="s">
        <v>153</v>
      </c>
      <c r="B1463" s="1">
        <v>44020</v>
      </c>
      <c r="C1463" t="s">
        <v>1176</v>
      </c>
      <c r="D1463" t="s">
        <v>100</v>
      </c>
      <c r="E1463" t="s">
        <v>840</v>
      </c>
      <c r="F1463" t="s">
        <v>474</v>
      </c>
      <c r="G1463" t="s">
        <v>475</v>
      </c>
      <c r="H1463" t="s">
        <v>24</v>
      </c>
      <c r="I1463">
        <v>1000</v>
      </c>
      <c r="J1463">
        <v>0</v>
      </c>
      <c r="K1463">
        <v>0</v>
      </c>
      <c r="L1463" t="s">
        <v>25</v>
      </c>
      <c r="M1463" t="s">
        <v>132</v>
      </c>
      <c r="N1463">
        <v>53000</v>
      </c>
      <c r="O1463">
        <v>0</v>
      </c>
      <c r="P1463" t="str">
        <f>IF(T[[#This Row],[qty_ordered]]&lt;&gt;T[[#This Row],[qty_received]],IF(T[[#This Row],[qty_received]]&gt;0,"Partial Received","Not Receviced"),"FullyReceived")</f>
        <v>Not Receviced</v>
      </c>
      <c r="Q1463" t="str">
        <f>IF(T[[#This Row],[qty_received]]&lt;&gt;T[[#This Row],[qty_invoiced]],IF(T[[#This Row],[qty_invoiced]]&gt;0,"Partial Invoiced","Not Invoiced"),"Fully Invoiced")</f>
        <v>Fully Invoiced</v>
      </c>
      <c r="R1463" t="str">
        <f>IFERROR(VLOOKUP(T[[#This Row],[warehouse]],Table2[],2,FALSE),"--")</f>
        <v>ALTILAL</v>
      </c>
    </row>
    <row r="1464" spans="1:18" x14ac:dyDescent="0.25">
      <c r="A1464" t="s">
        <v>153</v>
      </c>
      <c r="B1464" s="1">
        <v>44020</v>
      </c>
      <c r="C1464" t="s">
        <v>1176</v>
      </c>
      <c r="D1464" t="s">
        <v>88</v>
      </c>
      <c r="E1464" t="s">
        <v>44</v>
      </c>
      <c r="F1464" t="s">
        <v>474</v>
      </c>
      <c r="G1464" t="s">
        <v>475</v>
      </c>
      <c r="H1464" t="s">
        <v>24</v>
      </c>
      <c r="I1464">
        <v>1000</v>
      </c>
      <c r="J1464">
        <v>0</v>
      </c>
      <c r="K1464">
        <v>0</v>
      </c>
      <c r="L1464" t="s">
        <v>25</v>
      </c>
      <c r="M1464" t="s">
        <v>132</v>
      </c>
      <c r="N1464">
        <v>53000</v>
      </c>
      <c r="O1464">
        <v>0</v>
      </c>
      <c r="P1464" t="str">
        <f>IF(T[[#This Row],[qty_ordered]]&lt;&gt;T[[#This Row],[qty_received]],IF(T[[#This Row],[qty_received]]&gt;0,"Partial Received","Not Receviced"),"FullyReceived")</f>
        <v>Not Receviced</v>
      </c>
      <c r="Q1464" t="str">
        <f>IF(T[[#This Row],[qty_received]]&lt;&gt;T[[#This Row],[qty_invoiced]],IF(T[[#This Row],[qty_invoiced]]&gt;0,"Partial Invoiced","Not Invoiced"),"Fully Invoiced")</f>
        <v>Fully Invoiced</v>
      </c>
      <c r="R1464" t="str">
        <f>IFERROR(VLOOKUP(T[[#This Row],[warehouse]],Table2[],2,FALSE),"--")</f>
        <v>Sifter OMD - Yara (AlNawris)</v>
      </c>
    </row>
    <row r="1465" spans="1:18" x14ac:dyDescent="0.25">
      <c r="A1465" t="s">
        <v>1106</v>
      </c>
      <c r="B1465" s="1">
        <v>43900</v>
      </c>
      <c r="C1465" t="s">
        <v>1107</v>
      </c>
      <c r="D1465" t="s">
        <v>71</v>
      </c>
      <c r="E1465" t="s">
        <v>28</v>
      </c>
      <c r="F1465" t="s">
        <v>22</v>
      </c>
      <c r="G1465" t="s">
        <v>23</v>
      </c>
      <c r="H1465" t="s">
        <v>24</v>
      </c>
      <c r="I1465">
        <v>1000</v>
      </c>
      <c r="J1465">
        <v>744.8</v>
      </c>
      <c r="K1465">
        <v>744.8</v>
      </c>
      <c r="L1465" t="s">
        <v>25</v>
      </c>
      <c r="M1465" t="s">
        <v>132</v>
      </c>
      <c r="N1465">
        <v>65000</v>
      </c>
      <c r="O1465">
        <v>48412000</v>
      </c>
      <c r="P1465" t="str">
        <f>IF(T[[#This Row],[qty_ordered]]&lt;&gt;T[[#This Row],[qty_received]],IF(T[[#This Row],[qty_received]]&gt;0,"Partial Received","Not Receviced"),"FullyReceived")</f>
        <v>Partial Received</v>
      </c>
      <c r="Q1465" t="str">
        <f>IF(T[[#This Row],[qty_received]]&lt;&gt;T[[#This Row],[qty_invoiced]],IF(T[[#This Row],[qty_invoiced]]&gt;0,"Partial Invoiced","Not Invoiced"),"Fully Invoiced")</f>
        <v>Fully Invoiced</v>
      </c>
      <c r="R1465" t="str">
        <f>IFERROR(VLOOKUP(T[[#This Row],[warehouse]],Table2[],2,FALSE),"--")</f>
        <v>Crusher KHN -ASVOC</v>
      </c>
    </row>
    <row r="1466" spans="1:18" x14ac:dyDescent="0.25">
      <c r="A1466" t="s">
        <v>153</v>
      </c>
      <c r="B1466" s="1">
        <v>44006</v>
      </c>
      <c r="C1466" t="s">
        <v>681</v>
      </c>
      <c r="D1466" t="s">
        <v>20</v>
      </c>
      <c r="E1466" t="s">
        <v>66</v>
      </c>
      <c r="F1466" t="s">
        <v>300</v>
      </c>
      <c r="G1466" t="s">
        <v>301</v>
      </c>
      <c r="H1466" t="s">
        <v>24</v>
      </c>
      <c r="I1466">
        <v>830</v>
      </c>
      <c r="J1466">
        <v>585.44000000000005</v>
      </c>
      <c r="K1466">
        <v>585.44000000000005</v>
      </c>
      <c r="L1466" t="s">
        <v>25</v>
      </c>
      <c r="M1466" t="s">
        <v>132</v>
      </c>
      <c r="N1466">
        <v>60000</v>
      </c>
      <c r="O1466">
        <v>35126400</v>
      </c>
      <c r="P1466" t="str">
        <f>IF(T[[#This Row],[qty_ordered]]&lt;&gt;T[[#This Row],[qty_received]],IF(T[[#This Row],[qty_received]]&gt;0,"Partial Received","Not Receviced"),"FullyReceived")</f>
        <v>Partial Received</v>
      </c>
      <c r="Q1466" t="str">
        <f>IF(T[[#This Row],[qty_received]]&lt;&gt;T[[#This Row],[qty_invoiced]],IF(T[[#This Row],[qty_invoiced]]&gt;0,"Partial Invoiced","Not Invoiced"),"Fully Invoiced")</f>
        <v>Fully Invoiced</v>
      </c>
      <c r="R1466" t="str">
        <f>IFERROR(VLOOKUP(T[[#This Row],[warehouse]],Table2[],2,FALSE),"--")</f>
        <v>PZU Main Warehouse</v>
      </c>
    </row>
    <row r="1467" spans="1:18" x14ac:dyDescent="0.25">
      <c r="A1467" t="s">
        <v>153</v>
      </c>
      <c r="B1467" s="1">
        <v>44020</v>
      </c>
      <c r="C1467" t="s">
        <v>1176</v>
      </c>
      <c r="D1467" t="s">
        <v>20</v>
      </c>
      <c r="E1467" t="s">
        <v>192</v>
      </c>
      <c r="F1467" t="s">
        <v>474</v>
      </c>
      <c r="G1467" t="s">
        <v>475</v>
      </c>
      <c r="H1467" t="s">
        <v>24</v>
      </c>
      <c r="I1467">
        <v>1000</v>
      </c>
      <c r="J1467">
        <v>360.46</v>
      </c>
      <c r="K1467">
        <v>360.46</v>
      </c>
      <c r="L1467" t="s">
        <v>25</v>
      </c>
      <c r="M1467" t="s">
        <v>132</v>
      </c>
      <c r="N1467">
        <v>53000</v>
      </c>
      <c r="O1467">
        <v>19104380</v>
      </c>
      <c r="P1467" t="str">
        <f>IF(T[[#This Row],[qty_ordered]]&lt;&gt;T[[#This Row],[qty_received]],IF(T[[#This Row],[qty_received]]&gt;0,"Partial Received","Not Receviced"),"FullyReceived")</f>
        <v>Partial Received</v>
      </c>
      <c r="Q1467" t="str">
        <f>IF(T[[#This Row],[qty_received]]&lt;&gt;T[[#This Row],[qty_invoiced]],IF(T[[#This Row],[qty_invoiced]]&gt;0,"Partial Invoiced","Not Invoiced"),"Fully Invoiced")</f>
        <v>Fully Invoiced</v>
      </c>
      <c r="R1467" t="str">
        <f>IFERROR(VLOOKUP(T[[#This Row],[warehouse]],Table2[],2,FALSE),"--")</f>
        <v>BAYADER SIFTER-OMD</v>
      </c>
    </row>
    <row r="1468" spans="1:18" x14ac:dyDescent="0.25">
      <c r="A1468" t="s">
        <v>252</v>
      </c>
      <c r="B1468" s="1">
        <v>43835</v>
      </c>
      <c r="C1468" t="s">
        <v>843</v>
      </c>
      <c r="D1468" t="s">
        <v>100</v>
      </c>
      <c r="E1468" t="s">
        <v>51</v>
      </c>
      <c r="F1468" t="s">
        <v>183</v>
      </c>
      <c r="G1468" t="s">
        <v>1177</v>
      </c>
      <c r="H1468" t="s">
        <v>54</v>
      </c>
      <c r="I1468">
        <v>500</v>
      </c>
      <c r="J1468">
        <v>0</v>
      </c>
      <c r="K1468">
        <v>1</v>
      </c>
      <c r="L1468" t="s">
        <v>25</v>
      </c>
      <c r="M1468" t="s">
        <v>533</v>
      </c>
      <c r="N1468">
        <v>1300</v>
      </c>
      <c r="O1468">
        <v>0</v>
      </c>
      <c r="P1468" t="str">
        <f>IF(T[[#This Row],[qty_ordered]]&lt;&gt;T[[#This Row],[qty_received]],IF(T[[#This Row],[qty_received]]&gt;0,"Partial Received","Not Receviced"),"FullyReceived")</f>
        <v>Not Receviced</v>
      </c>
      <c r="Q1468" t="str">
        <f>IF(T[[#This Row],[qty_received]]&lt;&gt;T[[#This Row],[qty_invoiced]],IF(T[[#This Row],[qty_invoiced]]&gt;0,"Partial Invoiced","Not Invoiced"),"Fully Invoiced")</f>
        <v>Partial Invoiced</v>
      </c>
      <c r="R1468" t="str">
        <f>IFERROR(VLOOKUP(T[[#This Row],[warehouse]],Table2[],2,FALSE),"--")</f>
        <v>--</v>
      </c>
    </row>
    <row r="1469" spans="1:18" x14ac:dyDescent="0.25">
      <c r="A1469" t="s">
        <v>735</v>
      </c>
      <c r="B1469" s="1">
        <v>44021</v>
      </c>
      <c r="C1469" t="s">
        <v>736</v>
      </c>
      <c r="D1469" t="s">
        <v>20</v>
      </c>
      <c r="E1469" t="s">
        <v>51</v>
      </c>
      <c r="F1469" t="s">
        <v>183</v>
      </c>
      <c r="G1469" t="s">
        <v>1178</v>
      </c>
      <c r="H1469" t="s">
        <v>54</v>
      </c>
      <c r="I1469">
        <v>500</v>
      </c>
      <c r="J1469">
        <v>0</v>
      </c>
      <c r="K1469">
        <v>1</v>
      </c>
      <c r="L1469" t="s">
        <v>25</v>
      </c>
      <c r="M1469" t="s">
        <v>533</v>
      </c>
      <c r="N1469">
        <v>1250</v>
      </c>
      <c r="O1469">
        <v>0</v>
      </c>
      <c r="P1469" t="str">
        <f>IF(T[[#This Row],[qty_ordered]]&lt;&gt;T[[#This Row],[qty_received]],IF(T[[#This Row],[qty_received]]&gt;0,"Partial Received","Not Receviced"),"FullyReceived")</f>
        <v>Not Receviced</v>
      </c>
      <c r="Q1469" t="str">
        <f>IF(T[[#This Row],[qty_received]]&lt;&gt;T[[#This Row],[qty_invoiced]],IF(T[[#This Row],[qty_invoiced]]&gt;0,"Partial Invoiced","Not Invoiced"),"Fully Invoiced")</f>
        <v>Partial Invoiced</v>
      </c>
      <c r="R1469" t="str">
        <f>IFERROR(VLOOKUP(T[[#This Row],[warehouse]],Table2[],2,FALSE),"--")</f>
        <v>--</v>
      </c>
    </row>
    <row r="1470" spans="1:18" x14ac:dyDescent="0.25">
      <c r="A1470" t="s">
        <v>144</v>
      </c>
      <c r="B1470" s="1">
        <v>44024</v>
      </c>
      <c r="C1470" t="s">
        <v>1179</v>
      </c>
      <c r="D1470" t="s">
        <v>20</v>
      </c>
      <c r="E1470" t="s">
        <v>146</v>
      </c>
      <c r="F1470" t="s">
        <v>147</v>
      </c>
      <c r="G1470" t="s">
        <v>148</v>
      </c>
      <c r="H1470" t="s">
        <v>149</v>
      </c>
      <c r="I1470">
        <v>40000</v>
      </c>
      <c r="J1470">
        <v>0</v>
      </c>
      <c r="K1470">
        <v>0</v>
      </c>
      <c r="L1470" t="s">
        <v>25</v>
      </c>
      <c r="M1470" t="s">
        <v>575</v>
      </c>
      <c r="N1470">
        <v>11.805</v>
      </c>
      <c r="O1470">
        <v>0</v>
      </c>
      <c r="P1470" t="str">
        <f>IF(T[[#This Row],[qty_ordered]]&lt;&gt;T[[#This Row],[qty_received]],IF(T[[#This Row],[qty_received]]&gt;0,"Partial Received","Not Receviced"),"FullyReceived")</f>
        <v>Not Receviced</v>
      </c>
      <c r="Q1470" t="str">
        <f>IF(T[[#This Row],[qty_received]]&lt;&gt;T[[#This Row],[qty_invoiced]],IF(T[[#This Row],[qty_invoiced]]&gt;0,"Partial Invoiced","Not Invoiced"),"Fully Invoiced")</f>
        <v>Fully Invoiced</v>
      </c>
      <c r="R1470" t="str">
        <f>IFERROR(VLOOKUP(T[[#This Row],[warehouse]],Table2[],2,FALSE),"--")</f>
        <v>Khtoum Main Warehouse</v>
      </c>
    </row>
    <row r="1471" spans="1:18" x14ac:dyDescent="0.25">
      <c r="A1471" t="s">
        <v>144</v>
      </c>
      <c r="B1471" s="1">
        <v>44024</v>
      </c>
      <c r="C1471" t="s">
        <v>1179</v>
      </c>
      <c r="D1471" t="s">
        <v>71</v>
      </c>
      <c r="E1471" t="s">
        <v>146</v>
      </c>
      <c r="F1471" t="s">
        <v>151</v>
      </c>
      <c r="G1471" t="s">
        <v>152</v>
      </c>
      <c r="H1471" t="s">
        <v>149</v>
      </c>
      <c r="I1471">
        <v>60000</v>
      </c>
      <c r="J1471">
        <v>0</v>
      </c>
      <c r="K1471">
        <v>0</v>
      </c>
      <c r="L1471" t="s">
        <v>25</v>
      </c>
      <c r="M1471" t="s">
        <v>575</v>
      </c>
      <c r="N1471">
        <v>11.805</v>
      </c>
      <c r="O1471">
        <v>0</v>
      </c>
      <c r="P1471" t="str">
        <f>IF(T[[#This Row],[qty_ordered]]&lt;&gt;T[[#This Row],[qty_received]],IF(T[[#This Row],[qty_received]]&gt;0,"Partial Received","Not Receviced"),"FullyReceived")</f>
        <v>Not Receviced</v>
      </c>
      <c r="Q1471" t="str">
        <f>IF(T[[#This Row],[qty_received]]&lt;&gt;T[[#This Row],[qty_invoiced]],IF(T[[#This Row],[qty_invoiced]]&gt;0,"Partial Invoiced","Not Invoiced"),"Fully Invoiced")</f>
        <v>Fully Invoiced</v>
      </c>
      <c r="R1471" t="str">
        <f>IFERROR(VLOOKUP(T[[#This Row],[warehouse]],Table2[],2,FALSE),"--")</f>
        <v>Khtoum Main Warehouse</v>
      </c>
    </row>
    <row r="1472" spans="1:18" x14ac:dyDescent="0.25">
      <c r="A1472" t="s">
        <v>303</v>
      </c>
      <c r="B1472" s="1">
        <v>44026</v>
      </c>
      <c r="C1472" t="s">
        <v>1180</v>
      </c>
      <c r="D1472" t="s">
        <v>20</v>
      </c>
      <c r="E1472" t="s">
        <v>66</v>
      </c>
      <c r="F1472" t="s">
        <v>529</v>
      </c>
      <c r="G1472" t="s">
        <v>530</v>
      </c>
      <c r="H1472" t="s">
        <v>531</v>
      </c>
      <c r="I1472">
        <v>9000</v>
      </c>
      <c r="J1472">
        <v>0</v>
      </c>
      <c r="K1472">
        <v>0</v>
      </c>
      <c r="L1472" t="s">
        <v>25</v>
      </c>
      <c r="M1472" t="s">
        <v>132</v>
      </c>
      <c r="N1472">
        <v>17000</v>
      </c>
      <c r="O1472">
        <v>0</v>
      </c>
      <c r="P1472" t="str">
        <f>IF(T[[#This Row],[qty_ordered]]&lt;&gt;T[[#This Row],[qty_received]],IF(T[[#This Row],[qty_received]]&gt;0,"Partial Received","Not Receviced"),"FullyReceived")</f>
        <v>Not Receviced</v>
      </c>
      <c r="Q1472" t="str">
        <f>IF(T[[#This Row],[qty_received]]&lt;&gt;T[[#This Row],[qty_invoiced]],IF(T[[#This Row],[qty_invoiced]]&gt;0,"Partial Invoiced","Not Invoiced"),"Fully Invoiced")</f>
        <v>Fully Invoiced</v>
      </c>
      <c r="R1472" t="str">
        <f>IFERROR(VLOOKUP(T[[#This Row],[warehouse]],Table2[],2,FALSE),"--")</f>
        <v>PZU Main Warehouse</v>
      </c>
    </row>
    <row r="1473" spans="1:18" x14ac:dyDescent="0.25">
      <c r="A1473" t="s">
        <v>725</v>
      </c>
      <c r="B1473" s="1">
        <v>44031</v>
      </c>
      <c r="C1473" t="s">
        <v>1181</v>
      </c>
      <c r="D1473" t="s">
        <v>20</v>
      </c>
      <c r="E1473" t="s">
        <v>723</v>
      </c>
      <c r="F1473" t="s">
        <v>219</v>
      </c>
      <c r="G1473" t="s">
        <v>724</v>
      </c>
      <c r="H1473" t="s">
        <v>221</v>
      </c>
      <c r="I1473">
        <v>84382.84</v>
      </c>
      <c r="J1473">
        <v>42191.42</v>
      </c>
      <c r="K1473">
        <v>42191.42</v>
      </c>
      <c r="L1473" t="s">
        <v>25</v>
      </c>
      <c r="M1473" t="s">
        <v>132</v>
      </c>
      <c r="N1473">
        <v>6790</v>
      </c>
      <c r="O1473">
        <v>286479741.80000001</v>
      </c>
      <c r="P1473" t="str">
        <f>IF(T[[#This Row],[qty_ordered]]&lt;&gt;T[[#This Row],[qty_received]],IF(T[[#This Row],[qty_received]]&gt;0,"Partial Received","Not Receviced"),"FullyReceived")</f>
        <v>Partial Received</v>
      </c>
      <c r="Q1473" t="str">
        <f>IF(T[[#This Row],[qty_received]]&lt;&gt;T[[#This Row],[qty_invoiced]],IF(T[[#This Row],[qty_invoiced]]&gt;0,"Partial Invoiced","Not Invoiced"),"Fully Invoiced")</f>
        <v>Fully Invoiced</v>
      </c>
      <c r="R1473" t="str">
        <f>IFERROR(VLOOKUP(T[[#This Row],[warehouse]],Table2[],2,FALSE),"--")</f>
        <v>YELLOW BEANS</v>
      </c>
    </row>
    <row r="1474" spans="1:18" x14ac:dyDescent="0.25">
      <c r="A1474" t="s">
        <v>725</v>
      </c>
      <c r="B1474" s="1">
        <v>44031</v>
      </c>
      <c r="C1474" t="s">
        <v>1182</v>
      </c>
      <c r="D1474" t="s">
        <v>20</v>
      </c>
      <c r="E1474" t="s">
        <v>723</v>
      </c>
      <c r="F1474" t="s">
        <v>219</v>
      </c>
      <c r="G1474" t="s">
        <v>724</v>
      </c>
      <c r="H1474" t="s">
        <v>221</v>
      </c>
      <c r="I1474">
        <v>34954</v>
      </c>
      <c r="J1474">
        <v>34954</v>
      </c>
      <c r="K1474">
        <v>34954</v>
      </c>
      <c r="L1474" t="s">
        <v>25</v>
      </c>
      <c r="M1474" t="s">
        <v>132</v>
      </c>
      <c r="N1474">
        <v>6620</v>
      </c>
      <c r="O1474">
        <v>231395480</v>
      </c>
      <c r="P1474" t="str">
        <f>IF(T[[#This Row],[qty_ordered]]&lt;&gt;T[[#This Row],[qty_received]],IF(T[[#This Row],[qty_received]]&gt;0,"Partial Received","Not Receviced"),"FullyReceived")</f>
        <v>FullyReceived</v>
      </c>
      <c r="Q1474" t="str">
        <f>IF(T[[#This Row],[qty_received]]&lt;&gt;T[[#This Row],[qty_invoiced]],IF(T[[#This Row],[qty_invoiced]]&gt;0,"Partial Invoiced","Not Invoiced"),"Fully Invoiced")</f>
        <v>Fully Invoiced</v>
      </c>
      <c r="R1474" t="str">
        <f>IFERROR(VLOOKUP(T[[#This Row],[warehouse]],Table2[],2,FALSE),"--")</f>
        <v>YELLOW BEANS</v>
      </c>
    </row>
    <row r="1475" spans="1:18" x14ac:dyDescent="0.25">
      <c r="A1475" t="s">
        <v>153</v>
      </c>
      <c r="B1475" s="1">
        <v>44034</v>
      </c>
      <c r="C1475" t="s">
        <v>716</v>
      </c>
      <c r="D1475" t="s">
        <v>20</v>
      </c>
      <c r="E1475" t="s">
        <v>146</v>
      </c>
      <c r="F1475" t="s">
        <v>108</v>
      </c>
      <c r="G1475" t="s">
        <v>109</v>
      </c>
      <c r="H1475" t="s">
        <v>24</v>
      </c>
      <c r="I1475">
        <v>1000</v>
      </c>
      <c r="J1475">
        <v>205.64</v>
      </c>
      <c r="K1475">
        <v>205.64</v>
      </c>
      <c r="L1475" t="s">
        <v>25</v>
      </c>
      <c r="M1475" t="s">
        <v>132</v>
      </c>
      <c r="N1475">
        <v>120000</v>
      </c>
      <c r="O1475">
        <v>24676800</v>
      </c>
      <c r="P1475" t="str">
        <f>IF(T[[#This Row],[qty_ordered]]&lt;&gt;T[[#This Row],[qty_received]],IF(T[[#This Row],[qty_received]]&gt;0,"Partial Received","Not Receviced"),"FullyReceived")</f>
        <v>Partial Received</v>
      </c>
      <c r="Q1475" t="str">
        <f>IF(T[[#This Row],[qty_received]]&lt;&gt;T[[#This Row],[qty_invoiced]],IF(T[[#This Row],[qty_invoiced]]&gt;0,"Partial Invoiced","Not Invoiced"),"Fully Invoiced")</f>
        <v>Fully Invoiced</v>
      </c>
      <c r="R1475" t="str">
        <f>IFERROR(VLOOKUP(T[[#This Row],[warehouse]],Table2[],2,FALSE),"--")</f>
        <v>Khtoum Main Warehouse</v>
      </c>
    </row>
    <row r="1476" spans="1:18" x14ac:dyDescent="0.25">
      <c r="A1476" t="s">
        <v>935</v>
      </c>
      <c r="B1476" s="1">
        <v>44038</v>
      </c>
      <c r="C1476" t="s">
        <v>936</v>
      </c>
      <c r="D1476" t="s">
        <v>20</v>
      </c>
      <c r="E1476" t="s">
        <v>51</v>
      </c>
      <c r="F1476" t="s">
        <v>183</v>
      </c>
      <c r="G1476" t="s">
        <v>1183</v>
      </c>
      <c r="H1476" t="s">
        <v>54</v>
      </c>
      <c r="I1476">
        <v>29</v>
      </c>
      <c r="J1476">
        <v>0</v>
      </c>
      <c r="K1476">
        <v>1</v>
      </c>
      <c r="L1476" t="s">
        <v>25</v>
      </c>
      <c r="M1476" t="s">
        <v>533</v>
      </c>
      <c r="N1476">
        <v>4675</v>
      </c>
      <c r="O1476">
        <v>0</v>
      </c>
      <c r="P1476" t="str">
        <f>IF(T[[#This Row],[qty_ordered]]&lt;&gt;T[[#This Row],[qty_received]],IF(T[[#This Row],[qty_received]]&gt;0,"Partial Received","Not Receviced"),"FullyReceived")</f>
        <v>Not Receviced</v>
      </c>
      <c r="Q1476" t="str">
        <f>IF(T[[#This Row],[qty_received]]&lt;&gt;T[[#This Row],[qty_invoiced]],IF(T[[#This Row],[qty_invoiced]]&gt;0,"Partial Invoiced","Not Invoiced"),"Fully Invoiced")</f>
        <v>Partial Invoiced</v>
      </c>
      <c r="R1476" t="str">
        <f>IFERROR(VLOOKUP(T[[#This Row],[warehouse]],Table2[],2,FALSE),"--")</f>
        <v>--</v>
      </c>
    </row>
    <row r="1477" spans="1:18" x14ac:dyDescent="0.25">
      <c r="A1477" t="s">
        <v>228</v>
      </c>
      <c r="B1477" s="1">
        <v>44005</v>
      </c>
      <c r="C1477" t="s">
        <v>712</v>
      </c>
      <c r="D1477" t="s">
        <v>20</v>
      </c>
      <c r="E1477" t="s">
        <v>621</v>
      </c>
      <c r="F1477" t="s">
        <v>196</v>
      </c>
      <c r="G1477" t="s">
        <v>197</v>
      </c>
      <c r="H1477" t="s">
        <v>24</v>
      </c>
      <c r="I1477">
        <v>5000</v>
      </c>
      <c r="J1477">
        <v>4004.9769999999999</v>
      </c>
      <c r="K1477">
        <v>4004.9769999999999</v>
      </c>
      <c r="L1477" t="s">
        <v>25</v>
      </c>
      <c r="M1477" t="s">
        <v>132</v>
      </c>
      <c r="N1477">
        <v>50000</v>
      </c>
      <c r="O1477">
        <v>200248850</v>
      </c>
      <c r="P1477" t="str">
        <f>IF(T[[#This Row],[qty_ordered]]&lt;&gt;T[[#This Row],[qty_received]],IF(T[[#This Row],[qty_received]]&gt;0,"Partial Received","Not Receviced"),"FullyReceived")</f>
        <v>Partial Received</v>
      </c>
      <c r="Q1477" t="str">
        <f>IF(T[[#This Row],[qty_received]]&lt;&gt;T[[#This Row],[qty_invoiced]],IF(T[[#This Row],[qty_invoiced]]&gt;0,"Partial Invoiced","Not Invoiced"),"Fully Invoiced")</f>
        <v>Fully Invoiced</v>
      </c>
      <c r="R1477" t="str">
        <f>IFERROR(VLOOKUP(T[[#This Row],[warehouse]],Table2[],2,FALSE),"--")</f>
        <v>SIFTER CONCRETE SILO</v>
      </c>
    </row>
    <row r="1478" spans="1:18" x14ac:dyDescent="0.25">
      <c r="A1478" t="s">
        <v>815</v>
      </c>
      <c r="B1478" s="1">
        <v>44006</v>
      </c>
      <c r="C1478" t="s">
        <v>816</v>
      </c>
      <c r="D1478" t="s">
        <v>20</v>
      </c>
      <c r="E1478" t="s">
        <v>46</v>
      </c>
      <c r="F1478" t="s">
        <v>108</v>
      </c>
      <c r="G1478" t="s">
        <v>109</v>
      </c>
      <c r="H1478" t="s">
        <v>24</v>
      </c>
      <c r="I1478">
        <v>909.12</v>
      </c>
      <c r="J1478">
        <v>909.12</v>
      </c>
      <c r="K1478">
        <v>909.12</v>
      </c>
      <c r="L1478" t="s">
        <v>25</v>
      </c>
      <c r="M1478" t="s">
        <v>132</v>
      </c>
      <c r="N1478">
        <v>122708</v>
      </c>
      <c r="O1478">
        <v>111556296.95999999</v>
      </c>
      <c r="P1478" t="str">
        <f>IF(T[[#This Row],[qty_ordered]]&lt;&gt;T[[#This Row],[qty_received]],IF(T[[#This Row],[qty_received]]&gt;0,"Partial Received","Not Receviced"),"FullyReceived")</f>
        <v>FullyReceived</v>
      </c>
      <c r="Q1478" t="str">
        <f>IF(T[[#This Row],[qty_received]]&lt;&gt;T[[#This Row],[qty_invoiced]],IF(T[[#This Row],[qty_invoiced]]&gt;0,"Partial Invoiced","Not Invoiced"),"Fully Invoiced")</f>
        <v>Fully Invoiced</v>
      </c>
      <c r="R1478" t="str">
        <f>IFERROR(VLOOKUP(T[[#This Row],[warehouse]],Table2[],2,FALSE),"--")</f>
        <v xml:space="preserve">Sifter PZU - Tabil </v>
      </c>
    </row>
    <row r="1479" spans="1:18" x14ac:dyDescent="0.25">
      <c r="A1479" t="s">
        <v>423</v>
      </c>
      <c r="B1479" s="1">
        <v>44013</v>
      </c>
      <c r="C1479" t="s">
        <v>1057</v>
      </c>
      <c r="D1479" t="s">
        <v>20</v>
      </c>
      <c r="E1479" t="s">
        <v>203</v>
      </c>
      <c r="F1479" t="s">
        <v>151</v>
      </c>
      <c r="G1479" t="s">
        <v>152</v>
      </c>
      <c r="H1479" t="s">
        <v>149</v>
      </c>
      <c r="I1479">
        <v>20000</v>
      </c>
      <c r="J1479">
        <v>20000</v>
      </c>
      <c r="K1479">
        <v>20000</v>
      </c>
      <c r="L1479" t="s">
        <v>25</v>
      </c>
      <c r="M1479" t="s">
        <v>744</v>
      </c>
      <c r="N1479">
        <v>46</v>
      </c>
      <c r="O1479">
        <v>920000</v>
      </c>
      <c r="P1479" t="str">
        <f>IF(T[[#This Row],[qty_ordered]]&lt;&gt;T[[#This Row],[qty_received]],IF(T[[#This Row],[qty_received]]&gt;0,"Partial Received","Not Receviced"),"FullyReceived")</f>
        <v>FullyReceived</v>
      </c>
      <c r="Q1479" t="str">
        <f>IF(T[[#This Row],[qty_received]]&lt;&gt;T[[#This Row],[qty_invoiced]],IF(T[[#This Row],[qty_invoiced]]&gt;0,"Partial Invoiced","Not Invoiced"),"Fully Invoiced")</f>
        <v>Fully Invoiced</v>
      </c>
      <c r="R1479" t="str">
        <f>IFERROR(VLOOKUP(T[[#This Row],[warehouse]],Table2[],2,FALSE),"--")</f>
        <v>PZU Packaging Warehouse</v>
      </c>
    </row>
    <row r="1480" spans="1:18" x14ac:dyDescent="0.25">
      <c r="A1480" t="s">
        <v>725</v>
      </c>
      <c r="B1480" s="1">
        <v>44031</v>
      </c>
      <c r="C1480" t="s">
        <v>1182</v>
      </c>
      <c r="D1480" t="s">
        <v>71</v>
      </c>
      <c r="E1480" t="s">
        <v>723</v>
      </c>
      <c r="F1480" t="s">
        <v>219</v>
      </c>
      <c r="G1480" t="s">
        <v>724</v>
      </c>
      <c r="H1480" t="s">
        <v>221</v>
      </c>
      <c r="I1480">
        <v>77473.899999999994</v>
      </c>
      <c r="J1480">
        <v>77473.899999999994</v>
      </c>
      <c r="K1480">
        <v>77473.899999999994</v>
      </c>
      <c r="L1480" t="s">
        <v>25</v>
      </c>
      <c r="M1480" t="s">
        <v>132</v>
      </c>
      <c r="N1480">
        <v>6560</v>
      </c>
      <c r="O1480">
        <v>508228784</v>
      </c>
      <c r="P1480" t="str">
        <f>IF(T[[#This Row],[qty_ordered]]&lt;&gt;T[[#This Row],[qty_received]],IF(T[[#This Row],[qty_received]]&gt;0,"Partial Received","Not Receviced"),"FullyReceived")</f>
        <v>FullyReceived</v>
      </c>
      <c r="Q1480" t="str">
        <f>IF(T[[#This Row],[qty_received]]&lt;&gt;T[[#This Row],[qty_invoiced]],IF(T[[#This Row],[qty_invoiced]]&gt;0,"Partial Invoiced","Not Invoiced"),"Fully Invoiced")</f>
        <v>Fully Invoiced</v>
      </c>
      <c r="R1480" t="str">
        <f>IFERROR(VLOOKUP(T[[#This Row],[warehouse]],Table2[],2,FALSE),"--")</f>
        <v>YELLOW BEANS</v>
      </c>
    </row>
    <row r="1481" spans="1:18" x14ac:dyDescent="0.25">
      <c r="A1481" t="s">
        <v>423</v>
      </c>
      <c r="B1481" s="1">
        <v>44032</v>
      </c>
      <c r="C1481" t="s">
        <v>932</v>
      </c>
      <c r="D1481" t="s">
        <v>71</v>
      </c>
      <c r="E1481" t="s">
        <v>146</v>
      </c>
      <c r="F1481" t="s">
        <v>147</v>
      </c>
      <c r="G1481" t="s">
        <v>148</v>
      </c>
      <c r="H1481" t="s">
        <v>149</v>
      </c>
      <c r="I1481">
        <v>6000</v>
      </c>
      <c r="J1481">
        <v>6000</v>
      </c>
      <c r="K1481">
        <v>6000</v>
      </c>
      <c r="L1481" t="s">
        <v>25</v>
      </c>
      <c r="M1481" t="s">
        <v>575</v>
      </c>
      <c r="N1481">
        <v>41</v>
      </c>
      <c r="O1481">
        <v>246000</v>
      </c>
      <c r="P1481" t="str">
        <f>IF(T[[#This Row],[qty_ordered]]&lt;&gt;T[[#This Row],[qty_received]],IF(T[[#This Row],[qty_received]]&gt;0,"Partial Received","Not Receviced"),"FullyReceived")</f>
        <v>FullyReceived</v>
      </c>
      <c r="Q1481" t="str">
        <f>IF(T[[#This Row],[qty_received]]&lt;&gt;T[[#This Row],[qty_invoiced]],IF(T[[#This Row],[qty_invoiced]]&gt;0,"Partial Invoiced","Not Invoiced"),"Fully Invoiced")</f>
        <v>Fully Invoiced</v>
      </c>
      <c r="R1481" t="str">
        <f>IFERROR(VLOOKUP(T[[#This Row],[warehouse]],Table2[],2,FALSE),"--")</f>
        <v>Khtoum Main Warehouse</v>
      </c>
    </row>
    <row r="1482" spans="1:18" x14ac:dyDescent="0.25">
      <c r="A1482" t="s">
        <v>153</v>
      </c>
      <c r="B1482" s="1">
        <v>44038</v>
      </c>
      <c r="C1482" t="s">
        <v>1184</v>
      </c>
      <c r="D1482" t="s">
        <v>20</v>
      </c>
      <c r="E1482" t="s">
        <v>66</v>
      </c>
      <c r="F1482" t="s">
        <v>86</v>
      </c>
      <c r="G1482" t="s">
        <v>87</v>
      </c>
      <c r="H1482" t="s">
        <v>24</v>
      </c>
      <c r="I1482">
        <v>1000</v>
      </c>
      <c r="J1482">
        <v>0</v>
      </c>
      <c r="K1482">
        <v>0</v>
      </c>
      <c r="L1482" t="s">
        <v>25</v>
      </c>
      <c r="M1482" t="s">
        <v>132</v>
      </c>
      <c r="N1482">
        <v>133500</v>
      </c>
      <c r="O1482">
        <v>0</v>
      </c>
      <c r="P1482" t="str">
        <f>IF(T[[#This Row],[qty_ordered]]&lt;&gt;T[[#This Row],[qty_received]],IF(T[[#This Row],[qty_received]]&gt;0,"Partial Received","Not Receviced"),"FullyReceived")</f>
        <v>Not Receviced</v>
      </c>
      <c r="Q1482" t="str">
        <f>IF(T[[#This Row],[qty_received]]&lt;&gt;T[[#This Row],[qty_invoiced]],IF(T[[#This Row],[qty_invoiced]]&gt;0,"Partial Invoiced","Not Invoiced"),"Fully Invoiced")</f>
        <v>Fully Invoiced</v>
      </c>
      <c r="R1482" t="str">
        <f>IFERROR(VLOOKUP(T[[#This Row],[warehouse]],Table2[],2,FALSE),"--")</f>
        <v>PZU Main Warehouse</v>
      </c>
    </row>
    <row r="1483" spans="1:18" x14ac:dyDescent="0.25">
      <c r="A1483" t="s">
        <v>735</v>
      </c>
      <c r="B1483" s="1">
        <v>44021</v>
      </c>
      <c r="C1483" t="s">
        <v>736</v>
      </c>
      <c r="D1483" t="s">
        <v>71</v>
      </c>
      <c r="E1483" t="s">
        <v>51</v>
      </c>
      <c r="F1483" t="s">
        <v>183</v>
      </c>
      <c r="G1483" t="s">
        <v>1178</v>
      </c>
      <c r="H1483" t="s">
        <v>54</v>
      </c>
      <c r="I1483">
        <v>500</v>
      </c>
      <c r="J1483">
        <v>0</v>
      </c>
      <c r="K1483">
        <v>1</v>
      </c>
      <c r="L1483" t="s">
        <v>25</v>
      </c>
      <c r="M1483" t="s">
        <v>533</v>
      </c>
      <c r="N1483">
        <v>1250</v>
      </c>
      <c r="O1483">
        <v>0</v>
      </c>
      <c r="P1483" t="str">
        <f>IF(T[[#This Row],[qty_ordered]]&lt;&gt;T[[#This Row],[qty_received]],IF(T[[#This Row],[qty_received]]&gt;0,"Partial Received","Not Receviced"),"FullyReceived")</f>
        <v>Not Receviced</v>
      </c>
      <c r="Q1483" t="str">
        <f>IF(T[[#This Row],[qty_received]]&lt;&gt;T[[#This Row],[qty_invoiced]],IF(T[[#This Row],[qty_invoiced]]&gt;0,"Partial Invoiced","Not Invoiced"),"Fully Invoiced")</f>
        <v>Partial Invoiced</v>
      </c>
      <c r="R1483" t="str">
        <f>IFERROR(VLOOKUP(T[[#This Row],[warehouse]],Table2[],2,FALSE),"--")</f>
        <v>--</v>
      </c>
    </row>
    <row r="1484" spans="1:18" x14ac:dyDescent="0.25">
      <c r="A1484" t="s">
        <v>1100</v>
      </c>
      <c r="B1484" s="1">
        <v>43900</v>
      </c>
      <c r="C1484" t="s">
        <v>1101</v>
      </c>
      <c r="D1484" t="s">
        <v>71</v>
      </c>
      <c r="E1484" t="s">
        <v>51</v>
      </c>
      <c r="F1484" t="s">
        <v>183</v>
      </c>
      <c r="G1484" t="s">
        <v>1185</v>
      </c>
      <c r="H1484" t="s">
        <v>54</v>
      </c>
      <c r="I1484">
        <v>251.24</v>
      </c>
      <c r="J1484">
        <v>0</v>
      </c>
      <c r="K1484">
        <v>1</v>
      </c>
      <c r="L1484" t="s">
        <v>25</v>
      </c>
      <c r="M1484" t="s">
        <v>533</v>
      </c>
      <c r="N1484">
        <v>800</v>
      </c>
      <c r="O1484">
        <v>0</v>
      </c>
      <c r="P1484" t="str">
        <f>IF(T[[#This Row],[qty_ordered]]&lt;&gt;T[[#This Row],[qty_received]],IF(T[[#This Row],[qty_received]]&gt;0,"Partial Received","Not Receviced"),"FullyReceived")</f>
        <v>Not Receviced</v>
      </c>
      <c r="Q1484" t="str">
        <f>IF(T[[#This Row],[qty_received]]&lt;&gt;T[[#This Row],[qty_invoiced]],IF(T[[#This Row],[qty_invoiced]]&gt;0,"Partial Invoiced","Not Invoiced"),"Fully Invoiced")</f>
        <v>Partial Invoiced</v>
      </c>
      <c r="R1484" t="str">
        <f>IFERROR(VLOOKUP(T[[#This Row],[warehouse]],Table2[],2,FALSE),"--")</f>
        <v>--</v>
      </c>
    </row>
    <row r="1485" spans="1:18" x14ac:dyDescent="0.25">
      <c r="A1485" t="s">
        <v>686</v>
      </c>
      <c r="B1485" s="1">
        <v>43849</v>
      </c>
      <c r="C1485" t="s">
        <v>687</v>
      </c>
      <c r="D1485" t="s">
        <v>513</v>
      </c>
      <c r="E1485" t="s">
        <v>51</v>
      </c>
      <c r="F1485" t="s">
        <v>278</v>
      </c>
      <c r="G1485" t="s">
        <v>279</v>
      </c>
      <c r="H1485" t="s">
        <v>54</v>
      </c>
      <c r="I1485">
        <v>4865</v>
      </c>
      <c r="J1485">
        <v>0</v>
      </c>
      <c r="K1485">
        <v>1</v>
      </c>
      <c r="L1485" t="s">
        <v>25</v>
      </c>
      <c r="M1485" t="s">
        <v>533</v>
      </c>
      <c r="N1485">
        <v>10</v>
      </c>
      <c r="O1485">
        <v>0</v>
      </c>
      <c r="P1485" t="str">
        <f>IF(T[[#This Row],[qty_ordered]]&lt;&gt;T[[#This Row],[qty_received]],IF(T[[#This Row],[qty_received]]&gt;0,"Partial Received","Not Receviced"),"FullyReceived")</f>
        <v>Not Receviced</v>
      </c>
      <c r="Q1485" t="str">
        <f>IF(T[[#This Row],[qty_received]]&lt;&gt;T[[#This Row],[qty_invoiced]],IF(T[[#This Row],[qty_invoiced]]&gt;0,"Partial Invoiced","Not Invoiced"),"Fully Invoiced")</f>
        <v>Partial Invoiced</v>
      </c>
      <c r="R1485" t="str">
        <f>IFERROR(VLOOKUP(T[[#This Row],[warehouse]],Table2[],2,FALSE),"--")</f>
        <v>--</v>
      </c>
    </row>
    <row r="1486" spans="1:18" x14ac:dyDescent="0.25">
      <c r="A1486" t="s">
        <v>686</v>
      </c>
      <c r="B1486" s="1">
        <v>43849</v>
      </c>
      <c r="C1486" t="s">
        <v>687</v>
      </c>
      <c r="D1486" t="s">
        <v>858</v>
      </c>
      <c r="E1486" t="s">
        <v>51</v>
      </c>
      <c r="F1486" t="s">
        <v>278</v>
      </c>
      <c r="G1486" t="s">
        <v>279</v>
      </c>
      <c r="H1486" t="s">
        <v>54</v>
      </c>
      <c r="I1486">
        <v>4520</v>
      </c>
      <c r="J1486">
        <v>0</v>
      </c>
      <c r="K1486">
        <v>1</v>
      </c>
      <c r="L1486" t="s">
        <v>25</v>
      </c>
      <c r="M1486" t="s">
        <v>533</v>
      </c>
      <c r="N1486">
        <v>8</v>
      </c>
      <c r="O1486">
        <v>0</v>
      </c>
      <c r="P1486" t="str">
        <f>IF(T[[#This Row],[qty_ordered]]&lt;&gt;T[[#This Row],[qty_received]],IF(T[[#This Row],[qty_received]]&gt;0,"Partial Received","Not Receviced"),"FullyReceived")</f>
        <v>Not Receviced</v>
      </c>
      <c r="Q1486" t="str">
        <f>IF(T[[#This Row],[qty_received]]&lt;&gt;T[[#This Row],[qty_invoiced]],IF(T[[#This Row],[qty_invoiced]]&gt;0,"Partial Invoiced","Not Invoiced"),"Fully Invoiced")</f>
        <v>Partial Invoiced</v>
      </c>
      <c r="R1486" t="str">
        <f>IFERROR(VLOOKUP(T[[#This Row],[warehouse]],Table2[],2,FALSE),"--")</f>
        <v>--</v>
      </c>
    </row>
    <row r="1487" spans="1:18" x14ac:dyDescent="0.25">
      <c r="A1487" t="s">
        <v>686</v>
      </c>
      <c r="B1487" s="1">
        <v>43849</v>
      </c>
      <c r="C1487" t="s">
        <v>687</v>
      </c>
      <c r="D1487" t="s">
        <v>860</v>
      </c>
      <c r="E1487" t="s">
        <v>51</v>
      </c>
      <c r="F1487" t="s">
        <v>278</v>
      </c>
      <c r="G1487" t="s">
        <v>279</v>
      </c>
      <c r="H1487" t="s">
        <v>54</v>
      </c>
      <c r="I1487">
        <v>13275</v>
      </c>
      <c r="J1487">
        <v>0</v>
      </c>
      <c r="K1487">
        <v>1</v>
      </c>
      <c r="L1487" t="s">
        <v>25</v>
      </c>
      <c r="M1487" t="s">
        <v>533</v>
      </c>
      <c r="N1487">
        <v>5</v>
      </c>
      <c r="O1487">
        <v>0</v>
      </c>
      <c r="P1487" t="str">
        <f>IF(T[[#This Row],[qty_ordered]]&lt;&gt;T[[#This Row],[qty_received]],IF(T[[#This Row],[qty_received]]&gt;0,"Partial Received","Not Receviced"),"FullyReceived")</f>
        <v>Not Receviced</v>
      </c>
      <c r="Q1487" t="str">
        <f>IF(T[[#This Row],[qty_received]]&lt;&gt;T[[#This Row],[qty_invoiced]],IF(T[[#This Row],[qty_invoiced]]&gt;0,"Partial Invoiced","Not Invoiced"),"Fully Invoiced")</f>
        <v>Partial Invoiced</v>
      </c>
      <c r="R1487" t="str">
        <f>IFERROR(VLOOKUP(T[[#This Row],[warehouse]],Table2[],2,FALSE),"--")</f>
        <v>--</v>
      </c>
    </row>
    <row r="1488" spans="1:18" x14ac:dyDescent="0.25">
      <c r="A1488" t="s">
        <v>686</v>
      </c>
      <c r="B1488" s="1">
        <v>43849</v>
      </c>
      <c r="C1488" t="s">
        <v>687</v>
      </c>
      <c r="D1488" t="s">
        <v>861</v>
      </c>
      <c r="E1488" t="s">
        <v>51</v>
      </c>
      <c r="F1488" t="s">
        <v>254</v>
      </c>
      <c r="G1488" t="s">
        <v>255</v>
      </c>
      <c r="H1488" t="s">
        <v>54</v>
      </c>
      <c r="I1488">
        <v>17826</v>
      </c>
      <c r="J1488">
        <v>0</v>
      </c>
      <c r="K1488">
        <v>1</v>
      </c>
      <c r="L1488" t="s">
        <v>25</v>
      </c>
      <c r="M1488" t="s">
        <v>533</v>
      </c>
      <c r="N1488">
        <v>5</v>
      </c>
      <c r="O1488">
        <v>0</v>
      </c>
      <c r="P1488" t="str">
        <f>IF(T[[#This Row],[qty_ordered]]&lt;&gt;T[[#This Row],[qty_received]],IF(T[[#This Row],[qty_received]]&gt;0,"Partial Received","Not Receviced"),"FullyReceived")</f>
        <v>Not Receviced</v>
      </c>
      <c r="Q1488" t="str">
        <f>IF(T[[#This Row],[qty_received]]&lt;&gt;T[[#This Row],[qty_invoiced]],IF(T[[#This Row],[qty_invoiced]]&gt;0,"Partial Invoiced","Not Invoiced"),"Fully Invoiced")</f>
        <v>Partial Invoiced</v>
      </c>
      <c r="R1488" t="str">
        <f>IFERROR(VLOOKUP(T[[#This Row],[warehouse]],Table2[],2,FALSE),"--")</f>
        <v>--</v>
      </c>
    </row>
    <row r="1489" spans="1:18" x14ac:dyDescent="0.25">
      <c r="A1489" t="s">
        <v>689</v>
      </c>
      <c r="B1489" s="1">
        <v>44213</v>
      </c>
      <c r="C1489" t="s">
        <v>1186</v>
      </c>
      <c r="D1489" t="s">
        <v>20</v>
      </c>
      <c r="E1489" t="s">
        <v>410</v>
      </c>
      <c r="F1489" t="s">
        <v>1031</v>
      </c>
      <c r="G1489" t="s">
        <v>478</v>
      </c>
      <c r="H1489" t="s">
        <v>24</v>
      </c>
      <c r="I1489">
        <v>202.04</v>
      </c>
      <c r="J1489">
        <v>202.04</v>
      </c>
      <c r="K1489">
        <v>202.04</v>
      </c>
      <c r="L1489" t="s">
        <v>25</v>
      </c>
      <c r="M1489" t="s">
        <v>132</v>
      </c>
      <c r="N1489">
        <v>480000</v>
      </c>
      <c r="O1489">
        <v>96979200</v>
      </c>
      <c r="P1489" t="str">
        <f>IF(T[[#This Row],[qty_ordered]]&lt;&gt;T[[#This Row],[qty_received]],IF(T[[#This Row],[qty_received]]&gt;0,"Partial Received","Not Receviced"),"FullyReceived")</f>
        <v>FullyReceived</v>
      </c>
      <c r="Q1489" t="str">
        <f>IF(T[[#This Row],[qty_received]]&lt;&gt;T[[#This Row],[qty_invoiced]],IF(T[[#This Row],[qty_invoiced]]&gt;0,"Partial Invoiced","Not Invoiced"),"Fully Invoiced")</f>
        <v>Fully Invoiced</v>
      </c>
      <c r="R1489" t="str">
        <f>IFERROR(VLOOKUP(T[[#This Row],[warehouse]],Table2[],2,FALSE),"--")</f>
        <v>SFITER GUM Masaaie</v>
      </c>
    </row>
    <row r="1490" spans="1:18" x14ac:dyDescent="0.25">
      <c r="A1490" t="s">
        <v>1146</v>
      </c>
      <c r="B1490" s="1">
        <v>44202</v>
      </c>
      <c r="C1490" t="s">
        <v>1147</v>
      </c>
      <c r="D1490" t="s">
        <v>71</v>
      </c>
      <c r="E1490" t="s">
        <v>629</v>
      </c>
      <c r="F1490" t="s">
        <v>287</v>
      </c>
      <c r="G1490" t="s">
        <v>288</v>
      </c>
      <c r="H1490" t="s">
        <v>24</v>
      </c>
      <c r="I1490">
        <v>1447.29</v>
      </c>
      <c r="J1490">
        <v>1447.29</v>
      </c>
      <c r="K1490">
        <v>1447.29</v>
      </c>
      <c r="L1490" t="s">
        <v>25</v>
      </c>
      <c r="M1490" t="s">
        <v>132</v>
      </c>
      <c r="N1490">
        <v>236000</v>
      </c>
      <c r="O1490">
        <v>364542840</v>
      </c>
      <c r="P1490" t="str">
        <f>IF(T[[#This Row],[qty_ordered]]&lt;&gt;T[[#This Row],[qty_received]],IF(T[[#This Row],[qty_received]]&gt;0,"Partial Received","Not Receviced"),"FullyReceived")</f>
        <v>FullyReceived</v>
      </c>
      <c r="Q1490" t="str">
        <f>IF(T[[#This Row],[qty_received]]&lt;&gt;T[[#This Row],[qty_invoiced]],IF(T[[#This Row],[qty_invoiced]]&gt;0,"Partial Invoiced","Not Invoiced"),"Fully Invoiced")</f>
        <v>Fully Invoiced</v>
      </c>
      <c r="R1490" t="str">
        <f>IFERROR(VLOOKUP(T[[#This Row],[warehouse]],Table2[],2,FALSE),"--")</f>
        <v>SOPC Sifting &amp; Sorting</v>
      </c>
    </row>
    <row r="1491" spans="1:18" x14ac:dyDescent="0.25">
      <c r="A1491" t="s">
        <v>235</v>
      </c>
      <c r="B1491" s="1">
        <v>44186</v>
      </c>
      <c r="C1491" t="s">
        <v>1064</v>
      </c>
      <c r="D1491" t="s">
        <v>88</v>
      </c>
      <c r="E1491" t="s">
        <v>51</v>
      </c>
      <c r="F1491" t="s">
        <v>546</v>
      </c>
      <c r="G1491" t="s">
        <v>1065</v>
      </c>
      <c r="H1491" t="s">
        <v>54</v>
      </c>
      <c r="I1491">
        <v>10000</v>
      </c>
      <c r="J1491">
        <v>0</v>
      </c>
      <c r="K1491">
        <v>1</v>
      </c>
      <c r="L1491" t="s">
        <v>25</v>
      </c>
      <c r="M1491" t="s">
        <v>533</v>
      </c>
      <c r="N1491">
        <v>5.65</v>
      </c>
      <c r="O1491">
        <v>0</v>
      </c>
      <c r="P1491" t="str">
        <f>IF(T[[#This Row],[qty_ordered]]&lt;&gt;T[[#This Row],[qty_received]],IF(T[[#This Row],[qty_received]]&gt;0,"Partial Received","Not Receviced"),"FullyReceived")</f>
        <v>Not Receviced</v>
      </c>
      <c r="Q1491" t="str">
        <f>IF(T[[#This Row],[qty_received]]&lt;&gt;T[[#This Row],[qty_invoiced]],IF(T[[#This Row],[qty_invoiced]]&gt;0,"Partial Invoiced","Not Invoiced"),"Fully Invoiced")</f>
        <v>Partial Invoiced</v>
      </c>
      <c r="R1491" t="str">
        <f>IFERROR(VLOOKUP(T[[#This Row],[warehouse]],Table2[],2,FALSE),"--")</f>
        <v>--</v>
      </c>
    </row>
    <row r="1492" spans="1:18" x14ac:dyDescent="0.25">
      <c r="A1492" t="s">
        <v>235</v>
      </c>
      <c r="B1492" s="1">
        <v>44199</v>
      </c>
      <c r="C1492" t="s">
        <v>1136</v>
      </c>
      <c r="D1492" t="s">
        <v>71</v>
      </c>
      <c r="E1492" t="s">
        <v>51</v>
      </c>
      <c r="F1492" t="s">
        <v>546</v>
      </c>
      <c r="G1492" t="s">
        <v>1065</v>
      </c>
      <c r="H1492" t="s">
        <v>54</v>
      </c>
      <c r="I1492">
        <v>5000</v>
      </c>
      <c r="J1492">
        <v>0</v>
      </c>
      <c r="K1492">
        <v>1</v>
      </c>
      <c r="L1492" t="s">
        <v>25</v>
      </c>
      <c r="M1492" t="s">
        <v>533</v>
      </c>
      <c r="N1492">
        <v>5.3</v>
      </c>
      <c r="O1492">
        <v>0</v>
      </c>
      <c r="P1492" t="str">
        <f>IF(T[[#This Row],[qty_ordered]]&lt;&gt;T[[#This Row],[qty_received]],IF(T[[#This Row],[qty_received]]&gt;0,"Partial Received","Not Receviced"),"FullyReceived")</f>
        <v>Not Receviced</v>
      </c>
      <c r="Q1492" t="str">
        <f>IF(T[[#This Row],[qty_received]]&lt;&gt;T[[#This Row],[qty_invoiced]],IF(T[[#This Row],[qty_invoiced]]&gt;0,"Partial Invoiced","Not Invoiced"),"Fully Invoiced")</f>
        <v>Partial Invoiced</v>
      </c>
      <c r="R1492" t="str">
        <f>IFERROR(VLOOKUP(T[[#This Row],[warehouse]],Table2[],2,FALSE),"--")</f>
        <v>--</v>
      </c>
    </row>
    <row r="1493" spans="1:18" x14ac:dyDescent="0.25">
      <c r="A1493" t="s">
        <v>959</v>
      </c>
      <c r="B1493" s="1">
        <v>44138</v>
      </c>
      <c r="C1493" t="s">
        <v>960</v>
      </c>
      <c r="D1493" t="s">
        <v>88</v>
      </c>
      <c r="E1493" t="s">
        <v>214</v>
      </c>
      <c r="F1493" t="s">
        <v>167</v>
      </c>
      <c r="G1493" t="s">
        <v>156</v>
      </c>
      <c r="H1493" t="s">
        <v>24</v>
      </c>
      <c r="I1493">
        <v>331.86</v>
      </c>
      <c r="J1493">
        <v>331.86</v>
      </c>
      <c r="K1493">
        <v>331.86</v>
      </c>
      <c r="L1493" t="s">
        <v>25</v>
      </c>
      <c r="M1493" t="s">
        <v>132</v>
      </c>
      <c r="N1493">
        <v>580000</v>
      </c>
      <c r="O1493">
        <v>192478800</v>
      </c>
      <c r="P1493" t="str">
        <f>IF(T[[#This Row],[qty_ordered]]&lt;&gt;T[[#This Row],[qty_received]],IF(T[[#This Row],[qty_received]]&gt;0,"Partial Received","Not Receviced"),"FullyReceived")</f>
        <v>FullyReceived</v>
      </c>
      <c r="Q1493" t="str">
        <f>IF(T[[#This Row],[qty_received]]&lt;&gt;T[[#This Row],[qty_invoiced]],IF(T[[#This Row],[qty_invoiced]]&gt;0,"Partial Invoiced","Not Invoiced"),"Fully Invoiced")</f>
        <v>Fully Invoiced</v>
      </c>
      <c r="R1493" t="str">
        <f>IFERROR(VLOOKUP(T[[#This Row],[warehouse]],Table2[],2,FALSE),"--")</f>
        <v>CRUSHER ELBALOLA</v>
      </c>
    </row>
    <row r="1494" spans="1:18" x14ac:dyDescent="0.25">
      <c r="A1494" t="s">
        <v>1114</v>
      </c>
      <c r="B1494" s="1">
        <v>44217</v>
      </c>
      <c r="C1494" t="s">
        <v>1187</v>
      </c>
      <c r="D1494" t="s">
        <v>20</v>
      </c>
      <c r="E1494" t="s">
        <v>660</v>
      </c>
      <c r="F1494" t="s">
        <v>1188</v>
      </c>
      <c r="G1494" t="s">
        <v>1189</v>
      </c>
      <c r="H1494" t="s">
        <v>1087</v>
      </c>
      <c r="I1494">
        <v>650</v>
      </c>
      <c r="J1494">
        <v>650</v>
      </c>
      <c r="K1494">
        <v>650</v>
      </c>
      <c r="L1494" t="s">
        <v>25</v>
      </c>
      <c r="M1494" t="s">
        <v>132</v>
      </c>
      <c r="N1494">
        <v>80666.666660000003</v>
      </c>
      <c r="O1494">
        <v>52433333.329000004</v>
      </c>
      <c r="P1494" t="str">
        <f>IF(T[[#This Row],[qty_ordered]]&lt;&gt;T[[#This Row],[qty_received]],IF(T[[#This Row],[qty_received]]&gt;0,"Partial Received","Not Receviced"),"FullyReceived")</f>
        <v>FullyReceived</v>
      </c>
      <c r="Q1494" t="str">
        <f>IF(T[[#This Row],[qty_received]]&lt;&gt;T[[#This Row],[qty_invoiced]],IF(T[[#This Row],[qty_invoiced]]&gt;0,"Partial Invoiced","Not Invoiced"),"Fully Invoiced")</f>
        <v>Fully Invoiced</v>
      </c>
      <c r="R1494" t="str">
        <f>IFERROR(VLOOKUP(T[[#This Row],[warehouse]],Table2[],2,FALSE),"--")</f>
        <v>SLAUGHTER HOUSE</v>
      </c>
    </row>
    <row r="1495" spans="1:18" x14ac:dyDescent="0.25">
      <c r="A1495" t="s">
        <v>955</v>
      </c>
      <c r="B1495" s="1">
        <v>44220</v>
      </c>
      <c r="C1495" t="s">
        <v>1190</v>
      </c>
      <c r="D1495" t="s">
        <v>20</v>
      </c>
      <c r="E1495" t="s">
        <v>66</v>
      </c>
      <c r="F1495" t="s">
        <v>108</v>
      </c>
      <c r="G1495" t="s">
        <v>109</v>
      </c>
      <c r="H1495" t="s">
        <v>24</v>
      </c>
      <c r="I1495">
        <v>2000</v>
      </c>
      <c r="J1495">
        <v>0</v>
      </c>
      <c r="K1495">
        <v>0</v>
      </c>
      <c r="L1495" t="s">
        <v>25</v>
      </c>
      <c r="M1495" t="s">
        <v>707</v>
      </c>
      <c r="N1495">
        <v>388550.22399999999</v>
      </c>
      <c r="O1495">
        <v>0</v>
      </c>
      <c r="P1495" t="str">
        <f>IF(T[[#This Row],[qty_ordered]]&lt;&gt;T[[#This Row],[qty_received]],IF(T[[#This Row],[qty_received]]&gt;0,"Partial Received","Not Receviced"),"FullyReceived")</f>
        <v>Not Receviced</v>
      </c>
      <c r="Q1495" t="str">
        <f>IF(T[[#This Row],[qty_received]]&lt;&gt;T[[#This Row],[qty_invoiced]],IF(T[[#This Row],[qty_invoiced]]&gt;0,"Partial Invoiced","Not Invoiced"),"Fully Invoiced")</f>
        <v>Fully Invoiced</v>
      </c>
      <c r="R1495" t="str">
        <f>IFERROR(VLOOKUP(T[[#This Row],[warehouse]],Table2[],2,FALSE),"--")</f>
        <v>PZU Main Warehouse</v>
      </c>
    </row>
    <row r="1496" spans="1:18" x14ac:dyDescent="0.25">
      <c r="A1496" t="s">
        <v>1191</v>
      </c>
      <c r="B1496" s="1">
        <v>44220</v>
      </c>
      <c r="C1496" t="s">
        <v>1192</v>
      </c>
      <c r="D1496" t="s">
        <v>20</v>
      </c>
      <c r="E1496" t="s">
        <v>983</v>
      </c>
      <c r="F1496" t="s">
        <v>47</v>
      </c>
      <c r="G1496" t="s">
        <v>48</v>
      </c>
      <c r="H1496" t="s">
        <v>24</v>
      </c>
      <c r="I1496">
        <v>539.5</v>
      </c>
      <c r="J1496">
        <v>539.5</v>
      </c>
      <c r="K1496">
        <v>539.5</v>
      </c>
      <c r="L1496" t="s">
        <v>25</v>
      </c>
      <c r="M1496" t="s">
        <v>132</v>
      </c>
      <c r="N1496">
        <v>333333.33333300002</v>
      </c>
      <c r="O1496">
        <v>179833333.33315301</v>
      </c>
      <c r="P1496" t="str">
        <f>IF(T[[#This Row],[qty_ordered]]&lt;&gt;T[[#This Row],[qty_received]],IF(T[[#This Row],[qty_received]]&gt;0,"Partial Received","Not Receviced"),"FullyReceived")</f>
        <v>FullyReceived</v>
      </c>
      <c r="Q1496" t="str">
        <f>IF(T[[#This Row],[qty_received]]&lt;&gt;T[[#This Row],[qty_invoiced]],IF(T[[#This Row],[qty_invoiced]]&gt;0,"Partial Invoiced","Not Invoiced"),"Fully Invoiced")</f>
        <v>Fully Invoiced</v>
      </c>
      <c r="R1496" t="str">
        <f>IFERROR(VLOOKUP(T[[#This Row],[warehouse]],Table2[],2,FALSE),"--")</f>
        <v>SIFTER- ALNOR- OMDUR</v>
      </c>
    </row>
    <row r="1497" spans="1:18" x14ac:dyDescent="0.25">
      <c r="A1497" t="s">
        <v>618</v>
      </c>
      <c r="B1497" s="1">
        <v>44193</v>
      </c>
      <c r="C1497" t="s">
        <v>1071</v>
      </c>
      <c r="D1497" t="s">
        <v>100</v>
      </c>
      <c r="E1497" t="s">
        <v>957</v>
      </c>
      <c r="F1497" t="s">
        <v>486</v>
      </c>
      <c r="G1497" t="s">
        <v>487</v>
      </c>
      <c r="H1497" t="s">
        <v>24</v>
      </c>
      <c r="I1497">
        <v>1000</v>
      </c>
      <c r="J1497">
        <v>0</v>
      </c>
      <c r="K1497">
        <v>0</v>
      </c>
      <c r="L1497" t="s">
        <v>25</v>
      </c>
      <c r="M1497" t="s">
        <v>132</v>
      </c>
      <c r="N1497">
        <v>370000</v>
      </c>
      <c r="O1497">
        <v>0</v>
      </c>
      <c r="P1497" t="str">
        <f>IF(T[[#This Row],[qty_ordered]]&lt;&gt;T[[#This Row],[qty_received]],IF(T[[#This Row],[qty_received]]&gt;0,"Partial Received","Not Receviced"),"FullyReceived")</f>
        <v>Not Receviced</v>
      </c>
      <c r="Q1497" t="str">
        <f>IF(T[[#This Row],[qty_received]]&lt;&gt;T[[#This Row],[qty_invoiced]],IF(T[[#This Row],[qty_invoiced]]&gt;0,"Partial Invoiced","Not Invoiced"),"Fully Invoiced")</f>
        <v>Fully Invoiced</v>
      </c>
      <c r="R1497" t="str">
        <f>IFERROR(VLOOKUP(T[[#This Row],[warehouse]],Table2[],2,FALSE),"--")</f>
        <v>SEEDS SIFTING FACILITY</v>
      </c>
    </row>
    <row r="1498" spans="1:18" x14ac:dyDescent="0.25">
      <c r="A1498" t="s">
        <v>955</v>
      </c>
      <c r="B1498" s="1">
        <v>44151</v>
      </c>
      <c r="C1498" t="s">
        <v>1006</v>
      </c>
      <c r="D1498" t="s">
        <v>88</v>
      </c>
      <c r="E1498" t="s">
        <v>66</v>
      </c>
      <c r="F1498" t="s">
        <v>108</v>
      </c>
      <c r="G1498" t="s">
        <v>109</v>
      </c>
      <c r="H1498" t="s">
        <v>24</v>
      </c>
      <c r="I1498">
        <v>357.14299999999997</v>
      </c>
      <c r="J1498">
        <v>0</v>
      </c>
      <c r="K1498">
        <v>0</v>
      </c>
      <c r="L1498" t="s">
        <v>25</v>
      </c>
      <c r="M1498" t="s">
        <v>132</v>
      </c>
      <c r="N1498">
        <v>350000</v>
      </c>
      <c r="O1498">
        <v>0</v>
      </c>
      <c r="P1498" t="str">
        <f>IF(T[[#This Row],[qty_ordered]]&lt;&gt;T[[#This Row],[qty_received]],IF(T[[#This Row],[qty_received]]&gt;0,"Partial Received","Not Receviced"),"FullyReceived")</f>
        <v>Not Receviced</v>
      </c>
      <c r="Q1498" t="str">
        <f>IF(T[[#This Row],[qty_received]]&lt;&gt;T[[#This Row],[qty_invoiced]],IF(T[[#This Row],[qty_invoiced]]&gt;0,"Partial Invoiced","Not Invoiced"),"Fully Invoiced")</f>
        <v>Fully Invoiced</v>
      </c>
      <c r="R1498" t="str">
        <f>IFERROR(VLOOKUP(T[[#This Row],[warehouse]],Table2[],2,FALSE),"--")</f>
        <v>PZU Main Warehouse</v>
      </c>
    </row>
    <row r="1499" spans="1:18" x14ac:dyDescent="0.25">
      <c r="A1499" t="s">
        <v>955</v>
      </c>
      <c r="B1499" s="1">
        <v>44221</v>
      </c>
      <c r="C1499" t="s">
        <v>1193</v>
      </c>
      <c r="D1499" t="s">
        <v>20</v>
      </c>
      <c r="E1499" t="s">
        <v>1142</v>
      </c>
      <c r="F1499" t="s">
        <v>1031</v>
      </c>
      <c r="G1499" t="s">
        <v>478</v>
      </c>
      <c r="H1499" t="s">
        <v>24</v>
      </c>
      <c r="I1499">
        <v>552.86</v>
      </c>
      <c r="J1499">
        <v>0</v>
      </c>
      <c r="K1499">
        <v>0</v>
      </c>
      <c r="L1499" t="s">
        <v>693</v>
      </c>
      <c r="M1499" t="s">
        <v>132</v>
      </c>
      <c r="N1499">
        <v>459090.90909999999</v>
      </c>
      <c r="O1499">
        <v>-2.9802322387695299E-8</v>
      </c>
      <c r="P1499" t="str">
        <f>IF(T[[#This Row],[qty_ordered]]&lt;&gt;T[[#This Row],[qty_received]],IF(T[[#This Row],[qty_received]]&gt;0,"Partial Received","Not Receviced"),"FullyReceived")</f>
        <v>Not Receviced</v>
      </c>
      <c r="Q1499" t="str">
        <f>IF(T[[#This Row],[qty_received]]&lt;&gt;T[[#This Row],[qty_invoiced]],IF(T[[#This Row],[qty_invoiced]]&gt;0,"Partial Invoiced","Not Invoiced"),"Fully Invoiced")</f>
        <v>Fully Invoiced</v>
      </c>
      <c r="R1499" t="str">
        <f>IFERROR(VLOOKUP(T[[#This Row],[warehouse]],Table2[],2,FALSE),"--")</f>
        <v>SAVOLA W/H FOR EXPOR</v>
      </c>
    </row>
    <row r="1500" spans="1:18" x14ac:dyDescent="0.25">
      <c r="A1500" t="s">
        <v>1194</v>
      </c>
      <c r="B1500" s="1">
        <v>44209</v>
      </c>
      <c r="C1500" t="s">
        <v>1195</v>
      </c>
      <c r="D1500" t="s">
        <v>20</v>
      </c>
      <c r="E1500" t="s">
        <v>723</v>
      </c>
      <c r="F1500" t="s">
        <v>219</v>
      </c>
      <c r="G1500" t="s">
        <v>724</v>
      </c>
      <c r="H1500" t="s">
        <v>221</v>
      </c>
      <c r="I1500">
        <v>15102.86</v>
      </c>
      <c r="J1500">
        <v>15102.86</v>
      </c>
      <c r="K1500">
        <v>15102.86</v>
      </c>
      <c r="L1500" t="s">
        <v>25</v>
      </c>
      <c r="M1500" t="s">
        <v>132</v>
      </c>
      <c r="N1500">
        <v>14000</v>
      </c>
      <c r="O1500">
        <v>211440040</v>
      </c>
      <c r="P1500" t="str">
        <f>IF(T[[#This Row],[qty_ordered]]&lt;&gt;T[[#This Row],[qty_received]],IF(T[[#This Row],[qty_received]]&gt;0,"Partial Received","Not Receviced"),"FullyReceived")</f>
        <v>FullyReceived</v>
      </c>
      <c r="Q1500" t="str">
        <f>IF(T[[#This Row],[qty_received]]&lt;&gt;T[[#This Row],[qty_invoiced]],IF(T[[#This Row],[qty_invoiced]]&gt;0,"Partial Invoiced","Not Invoiced"),"Fully Invoiced")</f>
        <v>Fully Invoiced</v>
      </c>
      <c r="R1500" t="str">
        <f>IFERROR(VLOOKUP(T[[#This Row],[warehouse]],Table2[],2,FALSE),"--")</f>
        <v>YELLOW BEANS</v>
      </c>
    </row>
    <row r="1501" spans="1:18" x14ac:dyDescent="0.25">
      <c r="A1501" t="s">
        <v>1025</v>
      </c>
      <c r="B1501" s="1">
        <v>44215</v>
      </c>
      <c r="C1501" t="s">
        <v>1196</v>
      </c>
      <c r="D1501" t="s">
        <v>20</v>
      </c>
      <c r="E1501" t="s">
        <v>146</v>
      </c>
      <c r="F1501" t="s">
        <v>415</v>
      </c>
      <c r="G1501" t="s">
        <v>416</v>
      </c>
      <c r="H1501" t="s">
        <v>417</v>
      </c>
      <c r="I1501">
        <v>1500</v>
      </c>
      <c r="J1501">
        <v>1500</v>
      </c>
      <c r="K1501">
        <v>1500</v>
      </c>
      <c r="L1501" t="s">
        <v>25</v>
      </c>
      <c r="M1501" t="s">
        <v>418</v>
      </c>
      <c r="N1501">
        <v>3700</v>
      </c>
      <c r="O1501">
        <v>5550000</v>
      </c>
      <c r="P1501" t="str">
        <f>IF(T[[#This Row],[qty_ordered]]&lt;&gt;T[[#This Row],[qty_received]],IF(T[[#This Row],[qty_received]]&gt;0,"Partial Received","Not Receviced"),"FullyReceived")</f>
        <v>FullyReceived</v>
      </c>
      <c r="Q1501" t="str">
        <f>IF(T[[#This Row],[qty_received]]&lt;&gt;T[[#This Row],[qty_invoiced]],IF(T[[#This Row],[qty_invoiced]]&gt;0,"Partial Invoiced","Not Invoiced"),"Fully Invoiced")</f>
        <v>Fully Invoiced</v>
      </c>
      <c r="R1501" t="str">
        <f>IFERROR(VLOOKUP(T[[#This Row],[warehouse]],Table2[],2,FALSE),"--")</f>
        <v>Khtoum Main Warehouse</v>
      </c>
    </row>
    <row r="1502" spans="1:18" x14ac:dyDescent="0.25">
      <c r="A1502" t="s">
        <v>689</v>
      </c>
      <c r="B1502" s="1">
        <v>44215</v>
      </c>
      <c r="C1502" t="s">
        <v>1197</v>
      </c>
      <c r="D1502" t="s">
        <v>20</v>
      </c>
      <c r="E1502" t="s">
        <v>410</v>
      </c>
      <c r="F1502" t="s">
        <v>442</v>
      </c>
      <c r="G1502" t="s">
        <v>443</v>
      </c>
      <c r="H1502" t="s">
        <v>123</v>
      </c>
      <c r="I1502">
        <v>9000</v>
      </c>
      <c r="J1502">
        <v>9000</v>
      </c>
      <c r="K1502">
        <v>9000</v>
      </c>
      <c r="L1502" t="s">
        <v>25</v>
      </c>
      <c r="M1502" t="s">
        <v>132</v>
      </c>
      <c r="N1502">
        <v>7250</v>
      </c>
      <c r="O1502">
        <v>65250000</v>
      </c>
      <c r="P1502" t="str">
        <f>IF(T[[#This Row],[qty_ordered]]&lt;&gt;T[[#This Row],[qty_received]],IF(T[[#This Row],[qty_received]]&gt;0,"Partial Received","Not Receviced"),"FullyReceived")</f>
        <v>FullyReceived</v>
      </c>
      <c r="Q1502" t="str">
        <f>IF(T[[#This Row],[qty_received]]&lt;&gt;T[[#This Row],[qty_invoiced]],IF(T[[#This Row],[qty_invoiced]]&gt;0,"Partial Invoiced","Not Invoiced"),"Fully Invoiced")</f>
        <v>Fully Invoiced</v>
      </c>
      <c r="R1502" t="str">
        <f>IFERROR(VLOOKUP(T[[#This Row],[warehouse]],Table2[],2,FALSE),"--")</f>
        <v>SFITER GUM Masaaie</v>
      </c>
    </row>
    <row r="1503" spans="1:18" x14ac:dyDescent="0.25">
      <c r="A1503" t="s">
        <v>973</v>
      </c>
      <c r="B1503" s="1">
        <v>44221</v>
      </c>
      <c r="C1503" t="s">
        <v>1198</v>
      </c>
      <c r="D1503" t="s">
        <v>20</v>
      </c>
      <c r="E1503" t="s">
        <v>281</v>
      </c>
      <c r="F1503" t="s">
        <v>167</v>
      </c>
      <c r="G1503" t="s">
        <v>156</v>
      </c>
      <c r="H1503" t="s">
        <v>24</v>
      </c>
      <c r="I1503">
        <v>193.38900000000001</v>
      </c>
      <c r="J1503">
        <v>190.22</v>
      </c>
      <c r="K1503">
        <v>190.22</v>
      </c>
      <c r="L1503" t="s">
        <v>25</v>
      </c>
      <c r="M1503" t="s">
        <v>132</v>
      </c>
      <c r="N1503">
        <v>600000</v>
      </c>
      <c r="O1503">
        <v>114132000</v>
      </c>
      <c r="P1503" t="str">
        <f>IF(T[[#This Row],[qty_ordered]]&lt;&gt;T[[#This Row],[qty_received]],IF(T[[#This Row],[qty_received]]&gt;0,"Partial Received","Not Receviced"),"FullyReceived")</f>
        <v>Partial Received</v>
      </c>
      <c r="Q1503" t="str">
        <f>IF(T[[#This Row],[qty_received]]&lt;&gt;T[[#This Row],[qty_invoiced]],IF(T[[#This Row],[qty_invoiced]]&gt;0,"Partial Invoiced","Not Invoiced"),"Fully Invoiced")</f>
        <v>Fully Invoiced</v>
      </c>
      <c r="R1503" t="str">
        <f>IFERROR(VLOOKUP(T[[#This Row],[warehouse]],Table2[],2,FALSE),"--")</f>
        <v>Crusher Alm Eldin-KH</v>
      </c>
    </row>
    <row r="1504" spans="1:18" x14ac:dyDescent="0.25">
      <c r="A1504" t="s">
        <v>725</v>
      </c>
      <c r="B1504" s="1">
        <v>44221</v>
      </c>
      <c r="C1504" t="s">
        <v>1199</v>
      </c>
      <c r="D1504" t="s">
        <v>20</v>
      </c>
      <c r="E1504" t="s">
        <v>723</v>
      </c>
      <c r="F1504" t="s">
        <v>219</v>
      </c>
      <c r="G1504" t="s">
        <v>724</v>
      </c>
      <c r="H1504" t="s">
        <v>221</v>
      </c>
      <c r="I1504">
        <v>53765.99</v>
      </c>
      <c r="J1504">
        <v>52558.66</v>
      </c>
      <c r="K1504">
        <v>52558.66</v>
      </c>
      <c r="L1504" t="s">
        <v>693</v>
      </c>
      <c r="M1504" t="s">
        <v>132</v>
      </c>
      <c r="N1504">
        <v>14000</v>
      </c>
      <c r="O1504">
        <v>735821240</v>
      </c>
      <c r="P1504" t="str">
        <f>IF(T[[#This Row],[qty_ordered]]&lt;&gt;T[[#This Row],[qty_received]],IF(T[[#This Row],[qty_received]]&gt;0,"Partial Received","Not Receviced"),"FullyReceived")</f>
        <v>Partial Received</v>
      </c>
      <c r="Q1504" t="str">
        <f>IF(T[[#This Row],[qty_received]]&lt;&gt;T[[#This Row],[qty_invoiced]],IF(T[[#This Row],[qty_invoiced]]&gt;0,"Partial Invoiced","Not Invoiced"),"Fully Invoiced")</f>
        <v>Fully Invoiced</v>
      </c>
      <c r="R1504" t="str">
        <f>IFERROR(VLOOKUP(T[[#This Row],[warehouse]],Table2[],2,FALSE),"--")</f>
        <v>YELLOW BEANS</v>
      </c>
    </row>
    <row r="1505" spans="1:18" x14ac:dyDescent="0.25">
      <c r="A1505" t="s">
        <v>462</v>
      </c>
      <c r="B1505" s="1">
        <v>44221</v>
      </c>
      <c r="C1505" t="s">
        <v>1200</v>
      </c>
      <c r="D1505" t="s">
        <v>20</v>
      </c>
      <c r="E1505" t="s">
        <v>51</v>
      </c>
      <c r="F1505" t="s">
        <v>247</v>
      </c>
      <c r="G1505" t="s">
        <v>1024</v>
      </c>
      <c r="H1505" t="s">
        <v>54</v>
      </c>
      <c r="I1505">
        <v>10000</v>
      </c>
      <c r="J1505">
        <v>0</v>
      </c>
      <c r="K1505">
        <v>1</v>
      </c>
      <c r="L1505" t="s">
        <v>25</v>
      </c>
      <c r="M1505" t="s">
        <v>533</v>
      </c>
      <c r="N1505">
        <v>12000</v>
      </c>
      <c r="O1505">
        <v>0</v>
      </c>
      <c r="P1505" t="str">
        <f>IF(T[[#This Row],[qty_ordered]]&lt;&gt;T[[#This Row],[qty_received]],IF(T[[#This Row],[qty_received]]&gt;0,"Partial Received","Not Receviced"),"FullyReceived")</f>
        <v>Not Receviced</v>
      </c>
      <c r="Q1505" t="str">
        <f>IF(T[[#This Row],[qty_received]]&lt;&gt;T[[#This Row],[qty_invoiced]],IF(T[[#This Row],[qty_invoiced]]&gt;0,"Partial Invoiced","Not Invoiced"),"Fully Invoiced")</f>
        <v>Partial Invoiced</v>
      </c>
      <c r="R1505" t="str">
        <f>IFERROR(VLOOKUP(T[[#This Row],[warehouse]],Table2[],2,FALSE),"--")</f>
        <v>--</v>
      </c>
    </row>
    <row r="1506" spans="1:18" x14ac:dyDescent="0.25">
      <c r="A1506" t="s">
        <v>235</v>
      </c>
      <c r="B1506" s="1">
        <v>44160</v>
      </c>
      <c r="C1506" t="s">
        <v>998</v>
      </c>
      <c r="D1506" t="s">
        <v>76</v>
      </c>
      <c r="E1506" t="s">
        <v>51</v>
      </c>
      <c r="F1506" t="s">
        <v>546</v>
      </c>
      <c r="G1506" t="s">
        <v>1065</v>
      </c>
      <c r="H1506" t="s">
        <v>54</v>
      </c>
      <c r="I1506">
        <v>10000</v>
      </c>
      <c r="J1506">
        <v>0</v>
      </c>
      <c r="K1506">
        <v>1</v>
      </c>
      <c r="L1506" t="s">
        <v>25</v>
      </c>
      <c r="M1506" t="s">
        <v>2836</v>
      </c>
      <c r="N1506">
        <v>5.2</v>
      </c>
      <c r="O1506">
        <v>0</v>
      </c>
      <c r="P1506" t="str">
        <f>IF(T[[#This Row],[qty_ordered]]&lt;&gt;T[[#This Row],[qty_received]],IF(T[[#This Row],[qty_received]]&gt;0,"Partial Received","Not Receviced"),"FullyReceived")</f>
        <v>Not Receviced</v>
      </c>
      <c r="Q1506" t="str">
        <f>IF(T[[#This Row],[qty_received]]&lt;&gt;T[[#This Row],[qty_invoiced]],IF(T[[#This Row],[qty_invoiced]]&gt;0,"Partial Invoiced","Not Invoiced"),"Fully Invoiced")</f>
        <v>Partial Invoiced</v>
      </c>
      <c r="R1506" t="str">
        <f>IFERROR(VLOOKUP(T[[#This Row],[warehouse]],Table2[],2,FALSE),"--")</f>
        <v>--</v>
      </c>
    </row>
    <row r="1507" spans="1:18" x14ac:dyDescent="0.25">
      <c r="A1507" t="s">
        <v>235</v>
      </c>
      <c r="B1507" s="1">
        <v>44160</v>
      </c>
      <c r="C1507" t="s">
        <v>998</v>
      </c>
      <c r="D1507" t="s">
        <v>212</v>
      </c>
      <c r="E1507" t="s">
        <v>51</v>
      </c>
      <c r="F1507" t="s">
        <v>546</v>
      </c>
      <c r="G1507" t="s">
        <v>1065</v>
      </c>
      <c r="H1507" t="s">
        <v>54</v>
      </c>
      <c r="I1507">
        <v>10000</v>
      </c>
      <c r="J1507">
        <v>0</v>
      </c>
      <c r="K1507">
        <v>1</v>
      </c>
      <c r="L1507" t="s">
        <v>25</v>
      </c>
      <c r="M1507" t="s">
        <v>2836</v>
      </c>
      <c r="N1507">
        <v>5.15</v>
      </c>
      <c r="O1507">
        <v>0</v>
      </c>
      <c r="P1507" t="str">
        <f>IF(T[[#This Row],[qty_ordered]]&lt;&gt;T[[#This Row],[qty_received]],IF(T[[#This Row],[qty_received]]&gt;0,"Partial Received","Not Receviced"),"FullyReceived")</f>
        <v>Not Receviced</v>
      </c>
      <c r="Q1507" t="str">
        <f>IF(T[[#This Row],[qty_received]]&lt;&gt;T[[#This Row],[qty_invoiced]],IF(T[[#This Row],[qty_invoiced]]&gt;0,"Partial Invoiced","Not Invoiced"),"Fully Invoiced")</f>
        <v>Partial Invoiced</v>
      </c>
      <c r="R1507" t="str">
        <f>IFERROR(VLOOKUP(T[[#This Row],[warehouse]],Table2[],2,FALSE),"--")</f>
        <v>--</v>
      </c>
    </row>
    <row r="1508" spans="1:18" x14ac:dyDescent="0.25">
      <c r="A1508" t="s">
        <v>228</v>
      </c>
      <c r="B1508" s="1">
        <v>44182</v>
      </c>
      <c r="C1508" t="s">
        <v>1029</v>
      </c>
      <c r="D1508" t="s">
        <v>100</v>
      </c>
      <c r="E1508" t="s">
        <v>239</v>
      </c>
      <c r="F1508" t="s">
        <v>196</v>
      </c>
      <c r="G1508" t="s">
        <v>197</v>
      </c>
      <c r="H1508" t="s">
        <v>24</v>
      </c>
      <c r="I1508">
        <v>7500</v>
      </c>
      <c r="J1508">
        <v>0</v>
      </c>
      <c r="K1508">
        <v>0</v>
      </c>
      <c r="L1508" t="s">
        <v>25</v>
      </c>
      <c r="M1508" t="s">
        <v>714</v>
      </c>
      <c r="N1508">
        <v>80000</v>
      </c>
      <c r="O1508">
        <v>0</v>
      </c>
      <c r="P1508" t="str">
        <f>IF(T[[#This Row],[qty_ordered]]&lt;&gt;T[[#This Row],[qty_received]],IF(T[[#This Row],[qty_received]]&gt;0,"Partial Received","Not Receviced"),"FullyReceived")</f>
        <v>Not Receviced</v>
      </c>
      <c r="Q1508" t="str">
        <f>IF(T[[#This Row],[qty_received]]&lt;&gt;T[[#This Row],[qty_invoiced]],IF(T[[#This Row],[qty_invoiced]]&gt;0,"Partial Invoiced","Not Invoiced"),"Fully Invoiced")</f>
        <v>Fully Invoiced</v>
      </c>
      <c r="R1508" t="str">
        <f>IFERROR(VLOOKUP(T[[#This Row],[warehouse]],Table2[],2,FALSE),"--")</f>
        <v xml:space="preserve">Gadarif Main Store </v>
      </c>
    </row>
    <row r="1509" spans="1:18" x14ac:dyDescent="0.25">
      <c r="A1509" t="s">
        <v>1170</v>
      </c>
      <c r="B1509" s="1">
        <v>44223</v>
      </c>
      <c r="C1509" t="s">
        <v>1201</v>
      </c>
      <c r="D1509" t="s">
        <v>20</v>
      </c>
      <c r="E1509" t="s">
        <v>66</v>
      </c>
      <c r="F1509" t="s">
        <v>244</v>
      </c>
      <c r="G1509" t="s">
        <v>245</v>
      </c>
      <c r="H1509" t="s">
        <v>24</v>
      </c>
      <c r="I1509">
        <v>155.72</v>
      </c>
      <c r="J1509">
        <v>155.72</v>
      </c>
      <c r="K1509">
        <v>155.72</v>
      </c>
      <c r="L1509" t="s">
        <v>25</v>
      </c>
      <c r="M1509" t="s">
        <v>132</v>
      </c>
      <c r="N1509">
        <v>465000</v>
      </c>
      <c r="O1509">
        <v>72409800</v>
      </c>
      <c r="P1509" t="str">
        <f>IF(T[[#This Row],[qty_ordered]]&lt;&gt;T[[#This Row],[qty_received]],IF(T[[#This Row],[qty_received]]&gt;0,"Partial Received","Not Receviced"),"FullyReceived")</f>
        <v>FullyReceived</v>
      </c>
      <c r="Q1509" t="str">
        <f>IF(T[[#This Row],[qty_received]]&lt;&gt;T[[#This Row],[qty_invoiced]],IF(T[[#This Row],[qty_invoiced]]&gt;0,"Partial Invoiced","Not Invoiced"),"Fully Invoiced")</f>
        <v>Fully Invoiced</v>
      </c>
      <c r="R1509" t="str">
        <f>IFERROR(VLOOKUP(T[[#This Row],[warehouse]],Table2[],2,FALSE),"--")</f>
        <v>PZU Main Warehouse</v>
      </c>
    </row>
    <row r="1510" spans="1:18" x14ac:dyDescent="0.25">
      <c r="A1510" t="s">
        <v>423</v>
      </c>
      <c r="B1510" s="1">
        <v>44223</v>
      </c>
      <c r="C1510" t="s">
        <v>1202</v>
      </c>
      <c r="D1510" t="s">
        <v>20</v>
      </c>
      <c r="E1510" t="s">
        <v>146</v>
      </c>
      <c r="F1510" t="s">
        <v>151</v>
      </c>
      <c r="G1510" t="s">
        <v>152</v>
      </c>
      <c r="H1510" t="s">
        <v>149</v>
      </c>
      <c r="I1510">
        <v>251406</v>
      </c>
      <c r="J1510">
        <v>251406</v>
      </c>
      <c r="K1510">
        <v>251406</v>
      </c>
      <c r="L1510" t="s">
        <v>25</v>
      </c>
      <c r="M1510" t="s">
        <v>575</v>
      </c>
      <c r="N1510">
        <v>94</v>
      </c>
      <c r="O1510">
        <v>23632164</v>
      </c>
      <c r="P1510" t="str">
        <f>IF(T[[#This Row],[qty_ordered]]&lt;&gt;T[[#This Row],[qty_received]],IF(T[[#This Row],[qty_received]]&gt;0,"Partial Received","Not Receviced"),"FullyReceived")</f>
        <v>FullyReceived</v>
      </c>
      <c r="Q1510" t="str">
        <f>IF(T[[#This Row],[qty_received]]&lt;&gt;T[[#This Row],[qty_invoiced]],IF(T[[#This Row],[qty_invoiced]]&gt;0,"Partial Invoiced","Not Invoiced"),"Fully Invoiced")</f>
        <v>Fully Invoiced</v>
      </c>
      <c r="R1510" t="str">
        <f>IFERROR(VLOOKUP(T[[#This Row],[warehouse]],Table2[],2,FALSE),"--")</f>
        <v>Khtoum Main Warehouse</v>
      </c>
    </row>
    <row r="1511" spans="1:18" x14ac:dyDescent="0.25">
      <c r="A1511" t="s">
        <v>423</v>
      </c>
      <c r="B1511" s="1">
        <v>44223</v>
      </c>
      <c r="C1511" t="s">
        <v>1202</v>
      </c>
      <c r="D1511" t="s">
        <v>100</v>
      </c>
      <c r="E1511" t="s">
        <v>146</v>
      </c>
      <c r="F1511" t="s">
        <v>943</v>
      </c>
      <c r="G1511" t="s">
        <v>944</v>
      </c>
      <c r="H1511" t="s">
        <v>149</v>
      </c>
      <c r="I1511">
        <v>73920</v>
      </c>
      <c r="J1511">
        <v>73920</v>
      </c>
      <c r="K1511">
        <v>73920</v>
      </c>
      <c r="L1511" t="s">
        <v>25</v>
      </c>
      <c r="M1511" t="s">
        <v>575</v>
      </c>
      <c r="N1511">
        <v>84</v>
      </c>
      <c r="O1511">
        <v>6209280</v>
      </c>
      <c r="P1511" t="str">
        <f>IF(T[[#This Row],[qty_ordered]]&lt;&gt;T[[#This Row],[qty_received]],IF(T[[#This Row],[qty_received]]&gt;0,"Partial Received","Not Receviced"),"FullyReceived")</f>
        <v>FullyReceived</v>
      </c>
      <c r="Q1511" t="str">
        <f>IF(T[[#This Row],[qty_received]]&lt;&gt;T[[#This Row],[qty_invoiced]],IF(T[[#This Row],[qty_invoiced]]&gt;0,"Partial Invoiced","Not Invoiced"),"Fully Invoiced")</f>
        <v>Fully Invoiced</v>
      </c>
      <c r="R1511" t="str">
        <f>IFERROR(VLOOKUP(T[[#This Row],[warehouse]],Table2[],2,FALSE),"--")</f>
        <v>Khtoum Main Warehouse</v>
      </c>
    </row>
    <row r="1512" spans="1:18" x14ac:dyDescent="0.25">
      <c r="A1512" t="s">
        <v>242</v>
      </c>
      <c r="B1512" s="1">
        <v>44143</v>
      </c>
      <c r="C1512" t="s">
        <v>969</v>
      </c>
      <c r="D1512" t="s">
        <v>76</v>
      </c>
      <c r="E1512" t="s">
        <v>405</v>
      </c>
      <c r="F1512" t="s">
        <v>244</v>
      </c>
      <c r="G1512" t="s">
        <v>245</v>
      </c>
      <c r="H1512" t="s">
        <v>24</v>
      </c>
      <c r="I1512">
        <v>202.72</v>
      </c>
      <c r="J1512">
        <v>202.72</v>
      </c>
      <c r="K1512">
        <v>202.72</v>
      </c>
      <c r="L1512" t="s">
        <v>25</v>
      </c>
      <c r="M1512" t="s">
        <v>132</v>
      </c>
      <c r="N1512">
        <v>480000</v>
      </c>
      <c r="O1512">
        <v>97305600</v>
      </c>
      <c r="P1512" t="str">
        <f>IF(T[[#This Row],[qty_ordered]]&lt;&gt;T[[#This Row],[qty_received]],IF(T[[#This Row],[qty_received]]&gt;0,"Partial Received","Not Receviced"),"FullyReceived")</f>
        <v>FullyReceived</v>
      </c>
      <c r="Q1512" t="str">
        <f>IF(T[[#This Row],[qty_received]]&lt;&gt;T[[#This Row],[qty_invoiced]],IF(T[[#This Row],[qty_invoiced]]&gt;0,"Partial Invoiced","Not Invoiced"),"Fully Invoiced")</f>
        <v>Fully Invoiced</v>
      </c>
      <c r="R1512" t="str">
        <f>IFERROR(VLOOKUP(T[[#This Row],[warehouse]],Table2[],2,FALSE),"--")</f>
        <v>GINNING ISHRAG-MDNI</v>
      </c>
    </row>
    <row r="1513" spans="1:18" x14ac:dyDescent="0.25">
      <c r="A1513" t="s">
        <v>739</v>
      </c>
      <c r="B1513" s="1">
        <v>44186</v>
      </c>
      <c r="C1513" t="s">
        <v>1069</v>
      </c>
      <c r="D1513" t="s">
        <v>76</v>
      </c>
      <c r="E1513" t="s">
        <v>660</v>
      </c>
      <c r="F1513" t="s">
        <v>705</v>
      </c>
      <c r="G1513" t="s">
        <v>706</v>
      </c>
      <c r="H1513" t="s">
        <v>663</v>
      </c>
      <c r="I1513">
        <v>3012.6</v>
      </c>
      <c r="J1513">
        <v>3012.6</v>
      </c>
      <c r="K1513">
        <v>3012.6</v>
      </c>
      <c r="L1513" t="s">
        <v>25</v>
      </c>
      <c r="M1513" t="s">
        <v>132</v>
      </c>
      <c r="N1513">
        <v>1000</v>
      </c>
      <c r="O1513">
        <v>3012600</v>
      </c>
      <c r="P1513" t="str">
        <f>IF(T[[#This Row],[qty_ordered]]&lt;&gt;T[[#This Row],[qty_received]],IF(T[[#This Row],[qty_received]]&gt;0,"Partial Received","Not Receviced"),"FullyReceived")</f>
        <v>FullyReceived</v>
      </c>
      <c r="Q1513" t="str">
        <f>IF(T[[#This Row],[qty_received]]&lt;&gt;T[[#This Row],[qty_invoiced]],IF(T[[#This Row],[qty_invoiced]]&gt;0,"Partial Invoiced","Not Invoiced"),"Fully Invoiced")</f>
        <v>Fully Invoiced</v>
      </c>
      <c r="R1513" t="str">
        <f>IFERROR(VLOOKUP(T[[#This Row],[warehouse]],Table2[],2,FALSE),"--")</f>
        <v>SLAUGHTER HOUSE</v>
      </c>
    </row>
    <row r="1514" spans="1:18" x14ac:dyDescent="0.25">
      <c r="A1514" t="s">
        <v>658</v>
      </c>
      <c r="B1514" s="1">
        <v>44186</v>
      </c>
      <c r="C1514" t="s">
        <v>1070</v>
      </c>
      <c r="D1514" t="s">
        <v>76</v>
      </c>
      <c r="E1514" t="s">
        <v>660</v>
      </c>
      <c r="F1514" t="s">
        <v>661</v>
      </c>
      <c r="G1514" t="s">
        <v>662</v>
      </c>
      <c r="H1514" t="s">
        <v>663</v>
      </c>
      <c r="I1514">
        <v>2015.7</v>
      </c>
      <c r="J1514">
        <v>2015.7</v>
      </c>
      <c r="K1514">
        <v>2015.7</v>
      </c>
      <c r="L1514" t="s">
        <v>25</v>
      </c>
      <c r="M1514" t="s">
        <v>132</v>
      </c>
      <c r="N1514">
        <v>680</v>
      </c>
      <c r="O1514">
        <v>1370676</v>
      </c>
      <c r="P1514" t="str">
        <f>IF(T[[#This Row],[qty_ordered]]&lt;&gt;T[[#This Row],[qty_received]],IF(T[[#This Row],[qty_received]]&gt;0,"Partial Received","Not Receviced"),"FullyReceived")</f>
        <v>FullyReceived</v>
      </c>
      <c r="Q1514" t="str">
        <f>IF(T[[#This Row],[qty_received]]&lt;&gt;T[[#This Row],[qty_invoiced]],IF(T[[#This Row],[qty_invoiced]]&gt;0,"Partial Invoiced","Not Invoiced"),"Fully Invoiced")</f>
        <v>Fully Invoiced</v>
      </c>
      <c r="R1514" t="str">
        <f>IFERROR(VLOOKUP(T[[#This Row],[warehouse]],Table2[],2,FALSE),"--")</f>
        <v>SLAUGHTER HOUSE</v>
      </c>
    </row>
    <row r="1515" spans="1:18" x14ac:dyDescent="0.25">
      <c r="A1515" t="s">
        <v>935</v>
      </c>
      <c r="B1515" s="1">
        <v>44221</v>
      </c>
      <c r="C1515" t="s">
        <v>1203</v>
      </c>
      <c r="D1515" t="s">
        <v>20</v>
      </c>
      <c r="E1515" t="s">
        <v>51</v>
      </c>
      <c r="F1515" t="s">
        <v>183</v>
      </c>
      <c r="G1515" t="s">
        <v>1204</v>
      </c>
      <c r="H1515" t="s">
        <v>54</v>
      </c>
      <c r="I1515">
        <v>1000</v>
      </c>
      <c r="J1515">
        <v>0</v>
      </c>
      <c r="K1515">
        <v>1</v>
      </c>
      <c r="L1515" t="s">
        <v>25</v>
      </c>
      <c r="M1515" t="s">
        <v>533</v>
      </c>
      <c r="N1515">
        <v>13000</v>
      </c>
      <c r="O1515">
        <v>0</v>
      </c>
      <c r="P1515" t="str">
        <f>IF(T[[#This Row],[qty_ordered]]&lt;&gt;T[[#This Row],[qty_received]],IF(T[[#This Row],[qty_received]]&gt;0,"Partial Received","Not Receviced"),"FullyReceived")</f>
        <v>Not Receviced</v>
      </c>
      <c r="Q1515" t="str">
        <f>IF(T[[#This Row],[qty_received]]&lt;&gt;T[[#This Row],[qty_invoiced]],IF(T[[#This Row],[qty_invoiced]]&gt;0,"Partial Invoiced","Not Invoiced"),"Fully Invoiced")</f>
        <v>Partial Invoiced</v>
      </c>
      <c r="R1515" t="str">
        <f>IFERROR(VLOOKUP(T[[#This Row],[warehouse]],Table2[],2,FALSE),"--")</f>
        <v>--</v>
      </c>
    </row>
    <row r="1516" spans="1:18" x14ac:dyDescent="0.25">
      <c r="A1516" t="s">
        <v>795</v>
      </c>
      <c r="B1516" s="1">
        <v>44272</v>
      </c>
      <c r="C1516" t="s">
        <v>1205</v>
      </c>
      <c r="D1516" t="s">
        <v>20</v>
      </c>
      <c r="E1516" t="s">
        <v>321</v>
      </c>
      <c r="F1516" t="s">
        <v>526</v>
      </c>
      <c r="G1516" t="s">
        <v>472</v>
      </c>
      <c r="H1516" t="s">
        <v>123</v>
      </c>
      <c r="I1516">
        <v>10000</v>
      </c>
      <c r="J1516">
        <v>10000</v>
      </c>
      <c r="K1516">
        <v>10000</v>
      </c>
      <c r="L1516" t="s">
        <v>25</v>
      </c>
      <c r="M1516" t="s">
        <v>132</v>
      </c>
      <c r="N1516">
        <v>21000</v>
      </c>
      <c r="O1516">
        <v>210000000</v>
      </c>
      <c r="P1516" t="str">
        <f>IF(T[[#This Row],[qty_ordered]]&lt;&gt;T[[#This Row],[qty_received]],IF(T[[#This Row],[qty_received]]&gt;0,"Partial Received","Not Receviced"),"FullyReceived")</f>
        <v>FullyReceived</v>
      </c>
      <c r="Q1516" t="str">
        <f>IF(T[[#This Row],[qty_received]]&lt;&gt;T[[#This Row],[qty_invoiced]],IF(T[[#This Row],[qty_invoiced]]&gt;0,"Partial Invoiced","Not Invoiced"),"Fully Invoiced")</f>
        <v>Fully Invoiced</v>
      </c>
      <c r="R1516" t="str">
        <f>IFERROR(VLOOKUP(T[[#This Row],[warehouse]],Table2[],2,FALSE),"--")</f>
        <v>Crusher KHA- Other</v>
      </c>
    </row>
    <row r="1517" spans="1:18" x14ac:dyDescent="0.25">
      <c r="A1517" t="s">
        <v>1206</v>
      </c>
      <c r="B1517" s="1">
        <v>44223</v>
      </c>
      <c r="C1517" t="s">
        <v>1207</v>
      </c>
      <c r="D1517" t="s">
        <v>20</v>
      </c>
      <c r="E1517" t="s">
        <v>51</v>
      </c>
      <c r="F1517" t="s">
        <v>164</v>
      </c>
      <c r="G1517" t="s">
        <v>1021</v>
      </c>
      <c r="H1517" t="s">
        <v>54</v>
      </c>
      <c r="I1517">
        <v>3972.67</v>
      </c>
      <c r="J1517">
        <v>0</v>
      </c>
      <c r="K1517">
        <v>1</v>
      </c>
      <c r="L1517" t="s">
        <v>25</v>
      </c>
      <c r="M1517" t="s">
        <v>533</v>
      </c>
      <c r="N1517">
        <v>125.859938</v>
      </c>
      <c r="O1517">
        <v>0</v>
      </c>
      <c r="P1517" t="str">
        <f>IF(T[[#This Row],[qty_ordered]]&lt;&gt;T[[#This Row],[qty_received]],IF(T[[#This Row],[qty_received]]&gt;0,"Partial Received","Not Receviced"),"FullyReceived")</f>
        <v>Not Receviced</v>
      </c>
      <c r="Q1517" t="str">
        <f>IF(T[[#This Row],[qty_received]]&lt;&gt;T[[#This Row],[qty_invoiced]],IF(T[[#This Row],[qty_invoiced]]&gt;0,"Partial Invoiced","Not Invoiced"),"Fully Invoiced")</f>
        <v>Partial Invoiced</v>
      </c>
      <c r="R1517" t="str">
        <f>IFERROR(VLOOKUP(T[[#This Row],[warehouse]],Table2[],2,FALSE),"--")</f>
        <v>--</v>
      </c>
    </row>
    <row r="1518" spans="1:18" x14ac:dyDescent="0.25">
      <c r="A1518" t="s">
        <v>423</v>
      </c>
      <c r="B1518" s="1">
        <v>44223</v>
      </c>
      <c r="C1518" t="s">
        <v>1202</v>
      </c>
      <c r="D1518" t="s">
        <v>71</v>
      </c>
      <c r="E1518" t="s">
        <v>146</v>
      </c>
      <c r="F1518" t="s">
        <v>312</v>
      </c>
      <c r="G1518" t="s">
        <v>313</v>
      </c>
      <c r="H1518" t="s">
        <v>149</v>
      </c>
      <c r="I1518">
        <v>13282</v>
      </c>
      <c r="J1518">
        <v>13000</v>
      </c>
      <c r="K1518">
        <v>13000</v>
      </c>
      <c r="L1518" t="s">
        <v>25</v>
      </c>
      <c r="M1518" t="s">
        <v>575</v>
      </c>
      <c r="N1518">
        <v>96</v>
      </c>
      <c r="O1518">
        <v>1248000</v>
      </c>
      <c r="P1518" t="str">
        <f>IF(T[[#This Row],[qty_ordered]]&lt;&gt;T[[#This Row],[qty_received]],IF(T[[#This Row],[qty_received]]&gt;0,"Partial Received","Not Receviced"),"FullyReceived")</f>
        <v>Partial Received</v>
      </c>
      <c r="Q1518" t="str">
        <f>IF(T[[#This Row],[qty_received]]&lt;&gt;T[[#This Row],[qty_invoiced]],IF(T[[#This Row],[qty_invoiced]]&gt;0,"Partial Invoiced","Not Invoiced"),"Fully Invoiced")</f>
        <v>Fully Invoiced</v>
      </c>
      <c r="R1518" t="str">
        <f>IFERROR(VLOOKUP(T[[#This Row],[warehouse]],Table2[],2,FALSE),"--")</f>
        <v>Khtoum Main Warehouse</v>
      </c>
    </row>
    <row r="1519" spans="1:18" x14ac:dyDescent="0.25">
      <c r="A1519" t="s">
        <v>812</v>
      </c>
      <c r="B1519" s="1">
        <v>44159</v>
      </c>
      <c r="C1519" t="s">
        <v>1007</v>
      </c>
      <c r="D1519" t="s">
        <v>71</v>
      </c>
      <c r="E1519" t="s">
        <v>51</v>
      </c>
      <c r="F1519" t="s">
        <v>183</v>
      </c>
      <c r="G1519" t="s">
        <v>938</v>
      </c>
      <c r="H1519" t="s">
        <v>54</v>
      </c>
      <c r="I1519">
        <v>3000</v>
      </c>
      <c r="J1519">
        <v>0</v>
      </c>
      <c r="K1519">
        <v>1</v>
      </c>
      <c r="L1519" t="s">
        <v>25</v>
      </c>
      <c r="M1519" t="s">
        <v>533</v>
      </c>
      <c r="N1519">
        <v>2500</v>
      </c>
      <c r="O1519">
        <v>0</v>
      </c>
      <c r="P1519" t="str">
        <f>IF(T[[#This Row],[qty_ordered]]&lt;&gt;T[[#This Row],[qty_received]],IF(T[[#This Row],[qty_received]]&gt;0,"Partial Received","Not Receviced"),"FullyReceived")</f>
        <v>Not Receviced</v>
      </c>
      <c r="Q1519" t="str">
        <f>IF(T[[#This Row],[qty_received]]&lt;&gt;T[[#This Row],[qty_invoiced]],IF(T[[#This Row],[qty_invoiced]]&gt;0,"Partial Invoiced","Not Invoiced"),"Fully Invoiced")</f>
        <v>Partial Invoiced</v>
      </c>
      <c r="R1519" t="str">
        <f>IFERROR(VLOOKUP(T[[#This Row],[warehouse]],Table2[],2,FALSE),"--")</f>
        <v>--</v>
      </c>
    </row>
    <row r="1520" spans="1:18" x14ac:dyDescent="0.25">
      <c r="A1520" t="s">
        <v>739</v>
      </c>
      <c r="B1520" s="1">
        <v>44186</v>
      </c>
      <c r="C1520" t="s">
        <v>1069</v>
      </c>
      <c r="D1520" t="s">
        <v>212</v>
      </c>
      <c r="E1520" t="s">
        <v>660</v>
      </c>
      <c r="F1520" t="s">
        <v>705</v>
      </c>
      <c r="G1520" t="s">
        <v>706</v>
      </c>
      <c r="H1520" t="s">
        <v>663</v>
      </c>
      <c r="I1520">
        <v>2801.3</v>
      </c>
      <c r="J1520">
        <v>2801.3</v>
      </c>
      <c r="K1520">
        <v>2801.3</v>
      </c>
      <c r="L1520" t="s">
        <v>25</v>
      </c>
      <c r="M1520" t="s">
        <v>132</v>
      </c>
      <c r="N1520">
        <v>1000</v>
      </c>
      <c r="O1520">
        <v>2801300</v>
      </c>
      <c r="P1520" t="str">
        <f>IF(T[[#This Row],[qty_ordered]]&lt;&gt;T[[#This Row],[qty_received]],IF(T[[#This Row],[qty_received]]&gt;0,"Partial Received","Not Receviced"),"FullyReceived")</f>
        <v>FullyReceived</v>
      </c>
      <c r="Q1520" t="str">
        <f>IF(T[[#This Row],[qty_received]]&lt;&gt;T[[#This Row],[qty_invoiced]],IF(T[[#This Row],[qty_invoiced]]&gt;0,"Partial Invoiced","Not Invoiced"),"Fully Invoiced")</f>
        <v>Fully Invoiced</v>
      </c>
      <c r="R1520" t="str">
        <f>IFERROR(VLOOKUP(T[[#This Row],[warehouse]],Table2[],2,FALSE),"--")</f>
        <v>SLAUGHTER HOUSE</v>
      </c>
    </row>
    <row r="1521" spans="1:18" x14ac:dyDescent="0.25">
      <c r="A1521" t="s">
        <v>658</v>
      </c>
      <c r="B1521" s="1">
        <v>44186</v>
      </c>
      <c r="C1521" t="s">
        <v>1070</v>
      </c>
      <c r="D1521" t="s">
        <v>212</v>
      </c>
      <c r="E1521" t="s">
        <v>660</v>
      </c>
      <c r="F1521" t="s">
        <v>661</v>
      </c>
      <c r="G1521" t="s">
        <v>662</v>
      </c>
      <c r="H1521" t="s">
        <v>663</v>
      </c>
      <c r="I1521">
        <v>2027.2</v>
      </c>
      <c r="J1521">
        <v>2027.2</v>
      </c>
      <c r="K1521">
        <v>2027.2</v>
      </c>
      <c r="L1521" t="s">
        <v>25</v>
      </c>
      <c r="M1521" t="s">
        <v>132</v>
      </c>
      <c r="N1521">
        <v>680</v>
      </c>
      <c r="O1521">
        <v>1378496</v>
      </c>
      <c r="P1521" t="str">
        <f>IF(T[[#This Row],[qty_ordered]]&lt;&gt;T[[#This Row],[qty_received]],IF(T[[#This Row],[qty_received]]&gt;0,"Partial Received","Not Receviced"),"FullyReceived")</f>
        <v>FullyReceived</v>
      </c>
      <c r="Q1521" t="str">
        <f>IF(T[[#This Row],[qty_received]]&lt;&gt;T[[#This Row],[qty_invoiced]],IF(T[[#This Row],[qty_invoiced]]&gt;0,"Partial Invoiced","Not Invoiced"),"Fully Invoiced")</f>
        <v>Fully Invoiced</v>
      </c>
      <c r="R1521" t="str">
        <f>IFERROR(VLOOKUP(T[[#This Row],[warehouse]],Table2[],2,FALSE),"--")</f>
        <v>SLAUGHTER HOUSE</v>
      </c>
    </row>
    <row r="1522" spans="1:18" x14ac:dyDescent="0.25">
      <c r="A1522" t="s">
        <v>1194</v>
      </c>
      <c r="B1522" s="1">
        <v>44209</v>
      </c>
      <c r="C1522" t="s">
        <v>1195</v>
      </c>
      <c r="D1522" t="s">
        <v>71</v>
      </c>
      <c r="E1522" t="s">
        <v>723</v>
      </c>
      <c r="F1522" t="s">
        <v>219</v>
      </c>
      <c r="G1522" t="s">
        <v>724</v>
      </c>
      <c r="H1522" t="s">
        <v>221</v>
      </c>
      <c r="I1522">
        <v>15738.2</v>
      </c>
      <c r="J1522">
        <v>15738.2</v>
      </c>
      <c r="K1522">
        <v>15738.2</v>
      </c>
      <c r="L1522" t="s">
        <v>25</v>
      </c>
      <c r="M1522" t="s">
        <v>132</v>
      </c>
      <c r="N1522">
        <v>14573.49294</v>
      </c>
      <c r="O1522">
        <v>229360546.58830801</v>
      </c>
      <c r="P1522" t="str">
        <f>IF(T[[#This Row],[qty_ordered]]&lt;&gt;T[[#This Row],[qty_received]],IF(T[[#This Row],[qty_received]]&gt;0,"Partial Received","Not Receviced"),"FullyReceived")</f>
        <v>FullyReceived</v>
      </c>
      <c r="Q1522" t="str">
        <f>IF(T[[#This Row],[qty_received]]&lt;&gt;T[[#This Row],[qty_invoiced]],IF(T[[#This Row],[qty_invoiced]]&gt;0,"Partial Invoiced","Not Invoiced"),"Fully Invoiced")</f>
        <v>Fully Invoiced</v>
      </c>
      <c r="R1522" t="str">
        <f>IFERROR(VLOOKUP(T[[#This Row],[warehouse]],Table2[],2,FALSE),"--")</f>
        <v>YELLOW BEANS</v>
      </c>
    </row>
    <row r="1523" spans="1:18" x14ac:dyDescent="0.25">
      <c r="A1523" t="s">
        <v>992</v>
      </c>
      <c r="B1523" s="1">
        <v>44234</v>
      </c>
      <c r="C1523" t="s">
        <v>1208</v>
      </c>
      <c r="D1523" t="s">
        <v>20</v>
      </c>
      <c r="E1523" t="s">
        <v>51</v>
      </c>
      <c r="F1523" t="s">
        <v>183</v>
      </c>
      <c r="G1523" t="s">
        <v>938</v>
      </c>
      <c r="H1523" t="s">
        <v>54</v>
      </c>
      <c r="I1523">
        <v>3000</v>
      </c>
      <c r="J1523">
        <v>0</v>
      </c>
      <c r="K1523">
        <v>0</v>
      </c>
      <c r="L1523" t="s">
        <v>25</v>
      </c>
      <c r="M1523" t="s">
        <v>533</v>
      </c>
      <c r="N1523">
        <v>2500</v>
      </c>
      <c r="O1523">
        <v>0</v>
      </c>
      <c r="P1523" t="str">
        <f>IF(T[[#This Row],[qty_ordered]]&lt;&gt;T[[#This Row],[qty_received]],IF(T[[#This Row],[qty_received]]&gt;0,"Partial Received","Not Receviced"),"FullyReceived")</f>
        <v>Not Receviced</v>
      </c>
      <c r="Q1523" t="str">
        <f>IF(T[[#This Row],[qty_received]]&lt;&gt;T[[#This Row],[qty_invoiced]],IF(T[[#This Row],[qty_invoiced]]&gt;0,"Partial Invoiced","Not Invoiced"),"Fully Invoiced")</f>
        <v>Fully Invoiced</v>
      </c>
      <c r="R1523" t="str">
        <f>IFERROR(VLOOKUP(T[[#This Row],[warehouse]],Table2[],2,FALSE),"--")</f>
        <v>--</v>
      </c>
    </row>
    <row r="1524" spans="1:18" x14ac:dyDescent="0.25">
      <c r="A1524" t="s">
        <v>242</v>
      </c>
      <c r="B1524" s="1">
        <v>44143</v>
      </c>
      <c r="C1524" t="s">
        <v>969</v>
      </c>
      <c r="D1524" t="s">
        <v>212</v>
      </c>
      <c r="E1524" t="s">
        <v>405</v>
      </c>
      <c r="F1524" t="s">
        <v>244</v>
      </c>
      <c r="G1524" t="s">
        <v>245</v>
      </c>
      <c r="H1524" t="s">
        <v>24</v>
      </c>
      <c r="I1524">
        <v>100</v>
      </c>
      <c r="J1524">
        <v>98.82</v>
      </c>
      <c r="K1524">
        <v>98.82</v>
      </c>
      <c r="L1524" t="s">
        <v>25</v>
      </c>
      <c r="M1524" t="s">
        <v>132</v>
      </c>
      <c r="N1524">
        <v>465000</v>
      </c>
      <c r="O1524">
        <v>45951300</v>
      </c>
      <c r="P1524" t="str">
        <f>IF(T[[#This Row],[qty_ordered]]&lt;&gt;T[[#This Row],[qty_received]],IF(T[[#This Row],[qty_received]]&gt;0,"Partial Received","Not Receviced"),"FullyReceived")</f>
        <v>Partial Received</v>
      </c>
      <c r="Q1524" t="str">
        <f>IF(T[[#This Row],[qty_received]]&lt;&gt;T[[#This Row],[qty_invoiced]],IF(T[[#This Row],[qty_invoiced]]&gt;0,"Partial Invoiced","Not Invoiced"),"Fully Invoiced")</f>
        <v>Fully Invoiced</v>
      </c>
      <c r="R1524" t="str">
        <f>IFERROR(VLOOKUP(T[[#This Row],[warehouse]],Table2[],2,FALSE),"--")</f>
        <v>GINNING ISHRAG-MDNI</v>
      </c>
    </row>
    <row r="1525" spans="1:18" x14ac:dyDescent="0.25">
      <c r="A1525" t="s">
        <v>423</v>
      </c>
      <c r="B1525" s="1">
        <v>44032</v>
      </c>
      <c r="C1525" t="s">
        <v>932</v>
      </c>
      <c r="D1525" t="s">
        <v>20</v>
      </c>
      <c r="E1525" t="s">
        <v>146</v>
      </c>
      <c r="F1525" t="s">
        <v>151</v>
      </c>
      <c r="G1525" t="s">
        <v>152</v>
      </c>
      <c r="H1525" t="s">
        <v>149</v>
      </c>
      <c r="I1525">
        <v>10000</v>
      </c>
      <c r="J1525">
        <v>10000</v>
      </c>
      <c r="K1525">
        <v>10000</v>
      </c>
      <c r="L1525" t="s">
        <v>25</v>
      </c>
      <c r="M1525" t="s">
        <v>575</v>
      </c>
      <c r="N1525">
        <v>46</v>
      </c>
      <c r="O1525">
        <v>460000</v>
      </c>
      <c r="P1525" t="str">
        <f>IF(T[[#This Row],[qty_ordered]]&lt;&gt;T[[#This Row],[qty_received]],IF(T[[#This Row],[qty_received]]&gt;0,"Partial Received","Not Receviced"),"FullyReceived")</f>
        <v>FullyReceived</v>
      </c>
      <c r="Q1525" t="str">
        <f>IF(T[[#This Row],[qty_received]]&lt;&gt;T[[#This Row],[qty_invoiced]],IF(T[[#This Row],[qty_invoiced]]&gt;0,"Partial Invoiced","Not Invoiced"),"Fully Invoiced")</f>
        <v>Fully Invoiced</v>
      </c>
      <c r="R1525" t="str">
        <f>IFERROR(VLOOKUP(T[[#This Row],[warehouse]],Table2[],2,FALSE),"--")</f>
        <v>Khtoum Main Warehouse</v>
      </c>
    </row>
    <row r="1526" spans="1:18" x14ac:dyDescent="0.25">
      <c r="A1526" t="s">
        <v>153</v>
      </c>
      <c r="B1526" s="1">
        <v>44033</v>
      </c>
      <c r="C1526" t="s">
        <v>1209</v>
      </c>
      <c r="D1526" t="s">
        <v>20</v>
      </c>
      <c r="E1526" t="s">
        <v>890</v>
      </c>
      <c r="F1526" t="s">
        <v>103</v>
      </c>
      <c r="G1526" t="s">
        <v>104</v>
      </c>
      <c r="H1526" t="s">
        <v>24</v>
      </c>
      <c r="I1526">
        <v>848.06</v>
      </c>
      <c r="J1526">
        <v>848.06</v>
      </c>
      <c r="K1526">
        <v>848.06</v>
      </c>
      <c r="L1526" t="s">
        <v>25</v>
      </c>
      <c r="M1526" t="s">
        <v>132</v>
      </c>
      <c r="N1526">
        <v>64000</v>
      </c>
      <c r="O1526">
        <v>54275840</v>
      </c>
      <c r="P1526" t="str">
        <f>IF(T[[#This Row],[qty_ordered]]&lt;&gt;T[[#This Row],[qty_received]],IF(T[[#This Row],[qty_received]]&gt;0,"Partial Received","Not Receviced"),"FullyReceived")</f>
        <v>FullyReceived</v>
      </c>
      <c r="Q1526" t="str">
        <f>IF(T[[#This Row],[qty_received]]&lt;&gt;T[[#This Row],[qty_invoiced]],IF(T[[#This Row],[qty_invoiced]]&gt;0,"Partial Invoiced","Not Invoiced"),"Fully Invoiced")</f>
        <v>Fully Invoiced</v>
      </c>
      <c r="R1526" t="str">
        <f>IFERROR(VLOOKUP(T[[#This Row],[warehouse]],Table2[],2,FALSE),"--")</f>
        <v>GREEN CROPS SIFTING</v>
      </c>
    </row>
    <row r="1527" spans="1:18" x14ac:dyDescent="0.25">
      <c r="A1527" t="s">
        <v>686</v>
      </c>
      <c r="B1527" s="1">
        <v>43849</v>
      </c>
      <c r="C1527" t="s">
        <v>687</v>
      </c>
      <c r="D1527" t="s">
        <v>862</v>
      </c>
      <c r="E1527" t="s">
        <v>51</v>
      </c>
      <c r="F1527" t="s">
        <v>373</v>
      </c>
      <c r="G1527" t="s">
        <v>373</v>
      </c>
      <c r="H1527" t="s">
        <v>54</v>
      </c>
      <c r="I1527">
        <v>16931</v>
      </c>
      <c r="J1527">
        <v>0</v>
      </c>
      <c r="K1527">
        <v>1</v>
      </c>
      <c r="L1527" t="s">
        <v>25</v>
      </c>
      <c r="M1527" t="s">
        <v>533</v>
      </c>
      <c r="N1527">
        <v>5</v>
      </c>
      <c r="O1527">
        <v>0</v>
      </c>
      <c r="P1527" t="str">
        <f>IF(T[[#This Row],[qty_ordered]]&lt;&gt;T[[#This Row],[qty_received]],IF(T[[#This Row],[qty_received]]&gt;0,"Partial Received","Not Receviced"),"FullyReceived")</f>
        <v>Not Receviced</v>
      </c>
      <c r="Q1527" t="str">
        <f>IF(T[[#This Row],[qty_received]]&lt;&gt;T[[#This Row],[qty_invoiced]],IF(T[[#This Row],[qty_invoiced]]&gt;0,"Partial Invoiced","Not Invoiced"),"Fully Invoiced")</f>
        <v>Partial Invoiced</v>
      </c>
      <c r="R1527" t="str">
        <f>IFERROR(VLOOKUP(T[[#This Row],[warehouse]],Table2[],2,FALSE),"--")</f>
        <v>--</v>
      </c>
    </row>
    <row r="1528" spans="1:18" x14ac:dyDescent="0.25">
      <c r="A1528" t="s">
        <v>686</v>
      </c>
      <c r="B1528" s="1">
        <v>43849</v>
      </c>
      <c r="C1528" t="s">
        <v>687</v>
      </c>
      <c r="D1528" t="s">
        <v>863</v>
      </c>
      <c r="E1528" t="s">
        <v>51</v>
      </c>
      <c r="F1528" t="s">
        <v>793</v>
      </c>
      <c r="G1528" t="s">
        <v>794</v>
      </c>
      <c r="H1528" t="s">
        <v>54</v>
      </c>
      <c r="I1528">
        <v>89</v>
      </c>
      <c r="J1528">
        <v>0</v>
      </c>
      <c r="K1528">
        <v>1</v>
      </c>
      <c r="L1528" t="s">
        <v>25</v>
      </c>
      <c r="M1528" t="s">
        <v>533</v>
      </c>
      <c r="N1528">
        <v>100</v>
      </c>
      <c r="O1528">
        <v>0</v>
      </c>
      <c r="P1528" t="str">
        <f>IF(T[[#This Row],[qty_ordered]]&lt;&gt;T[[#This Row],[qty_received]],IF(T[[#This Row],[qty_received]]&gt;0,"Partial Received","Not Receviced"),"FullyReceived")</f>
        <v>Not Receviced</v>
      </c>
      <c r="Q1528" t="str">
        <f>IF(T[[#This Row],[qty_received]]&lt;&gt;T[[#This Row],[qty_invoiced]],IF(T[[#This Row],[qty_invoiced]]&gt;0,"Partial Invoiced","Not Invoiced"),"Fully Invoiced")</f>
        <v>Partial Invoiced</v>
      </c>
      <c r="R1528" t="str">
        <f>IFERROR(VLOOKUP(T[[#This Row],[warehouse]],Table2[],2,FALSE),"--")</f>
        <v>--</v>
      </c>
    </row>
    <row r="1529" spans="1:18" x14ac:dyDescent="0.25">
      <c r="A1529" t="s">
        <v>686</v>
      </c>
      <c r="B1529" s="1">
        <v>43849</v>
      </c>
      <c r="C1529" t="s">
        <v>687</v>
      </c>
      <c r="D1529" t="s">
        <v>864</v>
      </c>
      <c r="E1529" t="s">
        <v>51</v>
      </c>
      <c r="F1529" t="s">
        <v>793</v>
      </c>
      <c r="G1529" t="s">
        <v>794</v>
      </c>
      <c r="H1529" t="s">
        <v>54</v>
      </c>
      <c r="I1529">
        <v>16</v>
      </c>
      <c r="J1529">
        <v>0</v>
      </c>
      <c r="K1529">
        <v>1</v>
      </c>
      <c r="L1529" t="s">
        <v>25</v>
      </c>
      <c r="M1529" t="s">
        <v>533</v>
      </c>
      <c r="N1529">
        <v>150</v>
      </c>
      <c r="O1529">
        <v>0</v>
      </c>
      <c r="P1529" t="str">
        <f>IF(T[[#This Row],[qty_ordered]]&lt;&gt;T[[#This Row],[qty_received]],IF(T[[#This Row],[qty_received]]&gt;0,"Partial Received","Not Receviced"),"FullyReceived")</f>
        <v>Not Receviced</v>
      </c>
      <c r="Q1529" t="str">
        <f>IF(T[[#This Row],[qty_received]]&lt;&gt;T[[#This Row],[qty_invoiced]],IF(T[[#This Row],[qty_invoiced]]&gt;0,"Partial Invoiced","Not Invoiced"),"Fully Invoiced")</f>
        <v>Partial Invoiced</v>
      </c>
      <c r="R1529" t="str">
        <f>IFERROR(VLOOKUP(T[[#This Row],[warehouse]],Table2[],2,FALSE),"--")</f>
        <v>--</v>
      </c>
    </row>
    <row r="1530" spans="1:18" x14ac:dyDescent="0.25">
      <c r="A1530" t="s">
        <v>686</v>
      </c>
      <c r="B1530" s="1">
        <v>43849</v>
      </c>
      <c r="C1530" t="s">
        <v>687</v>
      </c>
      <c r="D1530" t="s">
        <v>566</v>
      </c>
      <c r="E1530" t="s">
        <v>51</v>
      </c>
      <c r="F1530" t="s">
        <v>793</v>
      </c>
      <c r="G1530" t="s">
        <v>794</v>
      </c>
      <c r="H1530" t="s">
        <v>54</v>
      </c>
      <c r="I1530">
        <v>30</v>
      </c>
      <c r="J1530">
        <v>0</v>
      </c>
      <c r="K1530">
        <v>1</v>
      </c>
      <c r="L1530" t="s">
        <v>25</v>
      </c>
      <c r="M1530" t="s">
        <v>533</v>
      </c>
      <c r="N1530">
        <v>200</v>
      </c>
      <c r="O1530">
        <v>0</v>
      </c>
      <c r="P1530" t="str">
        <f>IF(T[[#This Row],[qty_ordered]]&lt;&gt;T[[#This Row],[qty_received]],IF(T[[#This Row],[qty_received]]&gt;0,"Partial Received","Not Receviced"),"FullyReceived")</f>
        <v>Not Receviced</v>
      </c>
      <c r="Q1530" t="str">
        <f>IF(T[[#This Row],[qty_received]]&lt;&gt;T[[#This Row],[qty_invoiced]],IF(T[[#This Row],[qty_invoiced]]&gt;0,"Partial Invoiced","Not Invoiced"),"Fully Invoiced")</f>
        <v>Partial Invoiced</v>
      </c>
      <c r="R1530" t="str">
        <f>IFERROR(VLOOKUP(T[[#This Row],[warehouse]],Table2[],2,FALSE),"--")</f>
        <v>--</v>
      </c>
    </row>
    <row r="1531" spans="1:18" x14ac:dyDescent="0.25">
      <c r="A1531" t="s">
        <v>686</v>
      </c>
      <c r="B1531" s="1">
        <v>43849</v>
      </c>
      <c r="C1531" t="s">
        <v>687</v>
      </c>
      <c r="D1531" t="s">
        <v>567</v>
      </c>
      <c r="E1531" t="s">
        <v>51</v>
      </c>
      <c r="F1531" t="s">
        <v>433</v>
      </c>
      <c r="G1531" t="s">
        <v>433</v>
      </c>
      <c r="H1531" t="s">
        <v>54</v>
      </c>
      <c r="I1531">
        <v>50</v>
      </c>
      <c r="J1531">
        <v>0</v>
      </c>
      <c r="K1531">
        <v>1</v>
      </c>
      <c r="L1531" t="s">
        <v>25</v>
      </c>
      <c r="M1531" t="s">
        <v>533</v>
      </c>
      <c r="N1531">
        <v>130</v>
      </c>
      <c r="O1531">
        <v>0</v>
      </c>
      <c r="P1531" t="str">
        <f>IF(T[[#This Row],[qty_ordered]]&lt;&gt;T[[#This Row],[qty_received]],IF(T[[#This Row],[qty_received]]&gt;0,"Partial Received","Not Receviced"),"FullyReceived")</f>
        <v>Not Receviced</v>
      </c>
      <c r="Q1531" t="str">
        <f>IF(T[[#This Row],[qty_received]]&lt;&gt;T[[#This Row],[qty_invoiced]],IF(T[[#This Row],[qty_invoiced]]&gt;0,"Partial Invoiced","Not Invoiced"),"Fully Invoiced")</f>
        <v>Partial Invoiced</v>
      </c>
      <c r="R1531" t="str">
        <f>IFERROR(VLOOKUP(T[[#This Row],[warehouse]],Table2[],2,FALSE),"--")</f>
        <v>--</v>
      </c>
    </row>
    <row r="1532" spans="1:18" x14ac:dyDescent="0.25">
      <c r="A1532" t="s">
        <v>686</v>
      </c>
      <c r="B1532" s="1">
        <v>43849</v>
      </c>
      <c r="C1532" t="s">
        <v>687</v>
      </c>
      <c r="D1532" t="s">
        <v>568</v>
      </c>
      <c r="E1532" t="s">
        <v>51</v>
      </c>
      <c r="F1532" t="s">
        <v>433</v>
      </c>
      <c r="G1532" t="s">
        <v>433</v>
      </c>
      <c r="H1532" t="s">
        <v>54</v>
      </c>
      <c r="I1532">
        <v>30</v>
      </c>
      <c r="J1532">
        <v>0</v>
      </c>
      <c r="K1532">
        <v>1</v>
      </c>
      <c r="L1532" t="s">
        <v>25</v>
      </c>
      <c r="M1532" t="s">
        <v>533</v>
      </c>
      <c r="N1532">
        <v>140</v>
      </c>
      <c r="O1532">
        <v>0</v>
      </c>
      <c r="P1532" t="str">
        <f>IF(T[[#This Row],[qty_ordered]]&lt;&gt;T[[#This Row],[qty_received]],IF(T[[#This Row],[qty_received]]&gt;0,"Partial Received","Not Receviced"),"FullyReceived")</f>
        <v>Not Receviced</v>
      </c>
      <c r="Q1532" t="str">
        <f>IF(T[[#This Row],[qty_received]]&lt;&gt;T[[#This Row],[qty_invoiced]],IF(T[[#This Row],[qty_invoiced]]&gt;0,"Partial Invoiced","Not Invoiced"),"Fully Invoiced")</f>
        <v>Partial Invoiced</v>
      </c>
      <c r="R1532" t="str">
        <f>IFERROR(VLOOKUP(T[[#This Row],[warehouse]],Table2[],2,FALSE),"--")</f>
        <v>--</v>
      </c>
    </row>
    <row r="1533" spans="1:18" x14ac:dyDescent="0.25">
      <c r="A1533" t="s">
        <v>686</v>
      </c>
      <c r="B1533" s="1">
        <v>43849</v>
      </c>
      <c r="C1533" t="s">
        <v>687</v>
      </c>
      <c r="D1533" t="s">
        <v>569</v>
      </c>
      <c r="E1533" t="s">
        <v>51</v>
      </c>
      <c r="F1533" t="s">
        <v>793</v>
      </c>
      <c r="G1533" t="s">
        <v>794</v>
      </c>
      <c r="H1533" t="s">
        <v>54</v>
      </c>
      <c r="I1533">
        <v>10</v>
      </c>
      <c r="J1533">
        <v>0</v>
      </c>
      <c r="K1533">
        <v>1</v>
      </c>
      <c r="L1533" t="s">
        <v>25</v>
      </c>
      <c r="M1533" t="s">
        <v>533</v>
      </c>
      <c r="N1533">
        <v>150</v>
      </c>
      <c r="O1533">
        <v>0</v>
      </c>
      <c r="P1533" t="str">
        <f>IF(T[[#This Row],[qty_ordered]]&lt;&gt;T[[#This Row],[qty_received]],IF(T[[#This Row],[qty_received]]&gt;0,"Partial Received","Not Receviced"),"FullyReceived")</f>
        <v>Not Receviced</v>
      </c>
      <c r="Q1533" t="str">
        <f>IF(T[[#This Row],[qty_received]]&lt;&gt;T[[#This Row],[qty_invoiced]],IF(T[[#This Row],[qty_invoiced]]&gt;0,"Partial Invoiced","Not Invoiced"),"Fully Invoiced")</f>
        <v>Partial Invoiced</v>
      </c>
      <c r="R1533" t="str">
        <f>IFERROR(VLOOKUP(T[[#This Row],[warehouse]],Table2[],2,FALSE),"--")</f>
        <v>--</v>
      </c>
    </row>
    <row r="1534" spans="1:18" x14ac:dyDescent="0.25">
      <c r="A1534" t="s">
        <v>686</v>
      </c>
      <c r="B1534" s="1">
        <v>43849</v>
      </c>
      <c r="C1534" t="s">
        <v>687</v>
      </c>
      <c r="D1534" t="s">
        <v>570</v>
      </c>
      <c r="E1534" t="s">
        <v>51</v>
      </c>
      <c r="F1534" t="s">
        <v>433</v>
      </c>
      <c r="G1534" t="s">
        <v>433</v>
      </c>
      <c r="H1534" t="s">
        <v>54</v>
      </c>
      <c r="I1534">
        <v>38.92</v>
      </c>
      <c r="J1534">
        <v>0</v>
      </c>
      <c r="K1534">
        <v>1</v>
      </c>
      <c r="L1534" t="s">
        <v>25</v>
      </c>
      <c r="M1534" t="s">
        <v>533</v>
      </c>
      <c r="N1534">
        <v>25</v>
      </c>
      <c r="O1534">
        <v>0</v>
      </c>
      <c r="P1534" t="str">
        <f>IF(T[[#This Row],[qty_ordered]]&lt;&gt;T[[#This Row],[qty_received]],IF(T[[#This Row],[qty_received]]&gt;0,"Partial Received","Not Receviced"),"FullyReceived")</f>
        <v>Not Receviced</v>
      </c>
      <c r="Q1534" t="str">
        <f>IF(T[[#This Row],[qty_received]]&lt;&gt;T[[#This Row],[qty_invoiced]],IF(T[[#This Row],[qty_invoiced]]&gt;0,"Partial Invoiced","Not Invoiced"),"Fully Invoiced")</f>
        <v>Partial Invoiced</v>
      </c>
      <c r="R1534" t="str">
        <f>IFERROR(VLOOKUP(T[[#This Row],[warehouse]],Table2[],2,FALSE),"--")</f>
        <v>--</v>
      </c>
    </row>
    <row r="1535" spans="1:18" x14ac:dyDescent="0.25">
      <c r="A1535" t="s">
        <v>686</v>
      </c>
      <c r="B1535" s="1">
        <v>43849</v>
      </c>
      <c r="C1535" t="s">
        <v>687</v>
      </c>
      <c r="D1535" t="s">
        <v>571</v>
      </c>
      <c r="E1535" t="s">
        <v>51</v>
      </c>
      <c r="F1535" t="s">
        <v>390</v>
      </c>
      <c r="G1535" t="s">
        <v>390</v>
      </c>
      <c r="H1535" t="s">
        <v>54</v>
      </c>
      <c r="I1535">
        <v>2020</v>
      </c>
      <c r="J1535">
        <v>0</v>
      </c>
      <c r="K1535">
        <v>1</v>
      </c>
      <c r="L1535" t="s">
        <v>25</v>
      </c>
      <c r="M1535" t="s">
        <v>533</v>
      </c>
      <c r="N1535">
        <v>5</v>
      </c>
      <c r="O1535">
        <v>0</v>
      </c>
      <c r="P1535" t="str">
        <f>IF(T[[#This Row],[qty_ordered]]&lt;&gt;T[[#This Row],[qty_received]],IF(T[[#This Row],[qty_received]]&gt;0,"Partial Received","Not Receviced"),"FullyReceived")</f>
        <v>Not Receviced</v>
      </c>
      <c r="Q1535" t="str">
        <f>IF(T[[#This Row],[qty_received]]&lt;&gt;T[[#This Row],[qty_invoiced]],IF(T[[#This Row],[qty_invoiced]]&gt;0,"Partial Invoiced","Not Invoiced"),"Fully Invoiced")</f>
        <v>Partial Invoiced</v>
      </c>
      <c r="R1535" t="str">
        <f>IFERROR(VLOOKUP(T[[#This Row],[warehouse]],Table2[],2,FALSE),"--")</f>
        <v>--</v>
      </c>
    </row>
    <row r="1536" spans="1:18" x14ac:dyDescent="0.25">
      <c r="A1536" t="s">
        <v>686</v>
      </c>
      <c r="B1536" s="1">
        <v>43849</v>
      </c>
      <c r="C1536" t="s">
        <v>687</v>
      </c>
      <c r="D1536" t="s">
        <v>1210</v>
      </c>
      <c r="E1536" t="s">
        <v>51</v>
      </c>
      <c r="F1536" t="s">
        <v>185</v>
      </c>
      <c r="G1536" t="s">
        <v>275</v>
      </c>
      <c r="H1536" t="s">
        <v>54</v>
      </c>
      <c r="I1536">
        <v>20</v>
      </c>
      <c r="J1536">
        <v>0</v>
      </c>
      <c r="K1536">
        <v>1</v>
      </c>
      <c r="L1536" t="s">
        <v>25</v>
      </c>
      <c r="M1536" t="s">
        <v>533</v>
      </c>
      <c r="N1536">
        <v>1000</v>
      </c>
      <c r="O1536">
        <v>0</v>
      </c>
      <c r="P1536" t="str">
        <f>IF(T[[#This Row],[qty_ordered]]&lt;&gt;T[[#This Row],[qty_received]],IF(T[[#This Row],[qty_received]]&gt;0,"Partial Received","Not Receviced"),"FullyReceived")</f>
        <v>Not Receviced</v>
      </c>
      <c r="Q1536" t="str">
        <f>IF(T[[#This Row],[qty_received]]&lt;&gt;T[[#This Row],[qty_invoiced]],IF(T[[#This Row],[qty_invoiced]]&gt;0,"Partial Invoiced","Not Invoiced"),"Fully Invoiced")</f>
        <v>Partial Invoiced</v>
      </c>
      <c r="R1536" t="str">
        <f>IFERROR(VLOOKUP(T[[#This Row],[warehouse]],Table2[],2,FALSE),"--")</f>
        <v>--</v>
      </c>
    </row>
    <row r="1537" spans="1:18" x14ac:dyDescent="0.25">
      <c r="A1537" t="s">
        <v>804</v>
      </c>
      <c r="B1537" s="1">
        <v>44223</v>
      </c>
      <c r="C1537" t="s">
        <v>1211</v>
      </c>
      <c r="D1537" t="s">
        <v>20</v>
      </c>
      <c r="E1537" t="s">
        <v>51</v>
      </c>
      <c r="F1537" t="s">
        <v>806</v>
      </c>
      <c r="G1537" t="s">
        <v>806</v>
      </c>
      <c r="H1537" t="s">
        <v>54</v>
      </c>
      <c r="I1537">
        <v>3000</v>
      </c>
      <c r="J1537">
        <v>0</v>
      </c>
      <c r="K1537">
        <v>1</v>
      </c>
      <c r="L1537" t="s">
        <v>25</v>
      </c>
      <c r="M1537" t="s">
        <v>707</v>
      </c>
      <c r="N1537">
        <v>1800</v>
      </c>
      <c r="O1537">
        <v>0</v>
      </c>
      <c r="P1537" t="str">
        <f>IF(T[[#This Row],[qty_ordered]]&lt;&gt;T[[#This Row],[qty_received]],IF(T[[#This Row],[qty_received]]&gt;0,"Partial Received","Not Receviced"),"FullyReceived")</f>
        <v>Not Receviced</v>
      </c>
      <c r="Q1537" t="str">
        <f>IF(T[[#This Row],[qty_received]]&lt;&gt;T[[#This Row],[qty_invoiced]],IF(T[[#This Row],[qty_invoiced]]&gt;0,"Partial Invoiced","Not Invoiced"),"Fully Invoiced")</f>
        <v>Partial Invoiced</v>
      </c>
      <c r="R1537" t="str">
        <f>IFERROR(VLOOKUP(T[[#This Row],[warehouse]],Table2[],2,FALSE),"--")</f>
        <v>--</v>
      </c>
    </row>
    <row r="1538" spans="1:18" x14ac:dyDescent="0.25">
      <c r="A1538" t="s">
        <v>804</v>
      </c>
      <c r="B1538" s="1">
        <v>44223</v>
      </c>
      <c r="C1538" t="s">
        <v>1212</v>
      </c>
      <c r="D1538" t="s">
        <v>20</v>
      </c>
      <c r="E1538" t="s">
        <v>51</v>
      </c>
      <c r="F1538" t="s">
        <v>806</v>
      </c>
      <c r="G1538" t="s">
        <v>806</v>
      </c>
      <c r="H1538" t="s">
        <v>54</v>
      </c>
      <c r="I1538">
        <v>2143</v>
      </c>
      <c r="J1538">
        <v>0</v>
      </c>
      <c r="K1538">
        <v>1</v>
      </c>
      <c r="L1538" t="s">
        <v>25</v>
      </c>
      <c r="M1538" t="s">
        <v>707</v>
      </c>
      <c r="N1538">
        <v>1800</v>
      </c>
      <c r="O1538">
        <v>0</v>
      </c>
      <c r="P1538" t="str">
        <f>IF(T[[#This Row],[qty_ordered]]&lt;&gt;T[[#This Row],[qty_received]],IF(T[[#This Row],[qty_received]]&gt;0,"Partial Received","Not Receviced"),"FullyReceived")</f>
        <v>Not Receviced</v>
      </c>
      <c r="Q1538" t="str">
        <f>IF(T[[#This Row],[qty_received]]&lt;&gt;T[[#This Row],[qty_invoiced]],IF(T[[#This Row],[qty_invoiced]]&gt;0,"Partial Invoiced","Not Invoiced"),"Fully Invoiced")</f>
        <v>Partial Invoiced</v>
      </c>
      <c r="R1538" t="str">
        <f>IFERROR(VLOOKUP(T[[#This Row],[warehouse]],Table2[],2,FALSE),"--")</f>
        <v>--</v>
      </c>
    </row>
    <row r="1539" spans="1:18" x14ac:dyDescent="0.25">
      <c r="A1539" t="s">
        <v>959</v>
      </c>
      <c r="B1539" s="1">
        <v>44138</v>
      </c>
      <c r="C1539" t="s">
        <v>960</v>
      </c>
      <c r="D1539" t="s">
        <v>74</v>
      </c>
      <c r="E1539" t="s">
        <v>214</v>
      </c>
      <c r="F1539" t="s">
        <v>167</v>
      </c>
      <c r="G1539" t="s">
        <v>156</v>
      </c>
      <c r="H1539" t="s">
        <v>24</v>
      </c>
      <c r="I1539">
        <v>318.39</v>
      </c>
      <c r="J1539">
        <v>318.39</v>
      </c>
      <c r="K1539">
        <v>318.39</v>
      </c>
      <c r="L1539" t="s">
        <v>25</v>
      </c>
      <c r="M1539" t="s">
        <v>132</v>
      </c>
      <c r="N1539">
        <v>740000</v>
      </c>
      <c r="O1539">
        <v>235608600</v>
      </c>
      <c r="P1539" t="str">
        <f>IF(T[[#This Row],[qty_ordered]]&lt;&gt;T[[#This Row],[qty_received]],IF(T[[#This Row],[qty_received]]&gt;0,"Partial Received","Not Receviced"),"FullyReceived")</f>
        <v>FullyReceived</v>
      </c>
      <c r="Q1539" t="str">
        <f>IF(T[[#This Row],[qty_received]]&lt;&gt;T[[#This Row],[qty_invoiced]],IF(T[[#This Row],[qty_invoiced]]&gt;0,"Partial Invoiced","Not Invoiced"),"Fully Invoiced")</f>
        <v>Fully Invoiced</v>
      </c>
      <c r="R1539" t="str">
        <f>IFERROR(VLOOKUP(T[[#This Row],[warehouse]],Table2[],2,FALSE),"--")</f>
        <v>CRUSHER ELBALOLA</v>
      </c>
    </row>
    <row r="1540" spans="1:18" x14ac:dyDescent="0.25">
      <c r="A1540" t="s">
        <v>959</v>
      </c>
      <c r="B1540" s="1">
        <v>44172</v>
      </c>
      <c r="C1540" t="s">
        <v>1213</v>
      </c>
      <c r="D1540" t="s">
        <v>88</v>
      </c>
      <c r="E1540" t="s">
        <v>214</v>
      </c>
      <c r="F1540" t="s">
        <v>526</v>
      </c>
      <c r="G1540" t="s">
        <v>472</v>
      </c>
      <c r="H1540" t="s">
        <v>123</v>
      </c>
      <c r="I1540">
        <v>4000</v>
      </c>
      <c r="J1540">
        <v>4000</v>
      </c>
      <c r="K1540">
        <v>4000</v>
      </c>
      <c r="L1540" t="s">
        <v>25</v>
      </c>
      <c r="M1540" t="s">
        <v>132</v>
      </c>
      <c r="N1540">
        <v>22266.056380000002</v>
      </c>
      <c r="O1540">
        <v>84000000</v>
      </c>
      <c r="P1540" t="str">
        <f>IF(T[[#This Row],[qty_ordered]]&lt;&gt;T[[#This Row],[qty_received]],IF(T[[#This Row],[qty_received]]&gt;0,"Partial Received","Not Receviced"),"FullyReceived")</f>
        <v>FullyReceived</v>
      </c>
      <c r="Q1540" t="str">
        <f>IF(T[[#This Row],[qty_received]]&lt;&gt;T[[#This Row],[qty_invoiced]],IF(T[[#This Row],[qty_invoiced]]&gt;0,"Partial Invoiced","Not Invoiced"),"Fully Invoiced")</f>
        <v>Fully Invoiced</v>
      </c>
      <c r="R1540" t="str">
        <f>IFERROR(VLOOKUP(T[[#This Row],[warehouse]],Table2[],2,FALSE),"--")</f>
        <v>CRUSHER ELBALOLA</v>
      </c>
    </row>
    <row r="1541" spans="1:18" x14ac:dyDescent="0.25">
      <c r="A1541" t="s">
        <v>955</v>
      </c>
      <c r="B1541" s="1">
        <v>44168</v>
      </c>
      <c r="C1541" t="s">
        <v>1017</v>
      </c>
      <c r="D1541" t="s">
        <v>88</v>
      </c>
      <c r="E1541" t="s">
        <v>28</v>
      </c>
      <c r="F1541" t="s">
        <v>287</v>
      </c>
      <c r="G1541" t="s">
        <v>288</v>
      </c>
      <c r="H1541" t="s">
        <v>24</v>
      </c>
      <c r="I1541">
        <v>1913.3330000000001</v>
      </c>
      <c r="J1541">
        <v>0</v>
      </c>
      <c r="K1541">
        <v>0</v>
      </c>
      <c r="L1541" t="s">
        <v>25</v>
      </c>
      <c r="M1541" t="s">
        <v>132</v>
      </c>
      <c r="N1541">
        <v>300000</v>
      </c>
      <c r="O1541">
        <v>0</v>
      </c>
      <c r="P1541" t="str">
        <f>IF(T[[#This Row],[qty_ordered]]&lt;&gt;T[[#This Row],[qty_received]],IF(T[[#This Row],[qty_received]]&gt;0,"Partial Received","Not Receviced"),"FullyReceived")</f>
        <v>Not Receviced</v>
      </c>
      <c r="Q1541" t="str">
        <f>IF(T[[#This Row],[qty_received]]&lt;&gt;T[[#This Row],[qty_invoiced]],IF(T[[#This Row],[qty_invoiced]]&gt;0,"Partial Invoiced","Not Invoiced"),"Fully Invoiced")</f>
        <v>Fully Invoiced</v>
      </c>
      <c r="R1541" t="str">
        <f>IFERROR(VLOOKUP(T[[#This Row],[warehouse]],Table2[],2,FALSE),"--")</f>
        <v>Crusher KHN -ASVOC</v>
      </c>
    </row>
    <row r="1542" spans="1:18" x14ac:dyDescent="0.25">
      <c r="A1542" t="s">
        <v>992</v>
      </c>
      <c r="B1542" s="1">
        <v>44234</v>
      </c>
      <c r="C1542" t="s">
        <v>1214</v>
      </c>
      <c r="D1542" t="s">
        <v>20</v>
      </c>
      <c r="E1542" t="s">
        <v>51</v>
      </c>
      <c r="F1542" t="s">
        <v>183</v>
      </c>
      <c r="G1542" t="s">
        <v>1215</v>
      </c>
      <c r="H1542" t="s">
        <v>54</v>
      </c>
      <c r="I1542">
        <v>3000</v>
      </c>
      <c r="J1542">
        <v>0</v>
      </c>
      <c r="K1542">
        <v>0</v>
      </c>
      <c r="L1542" t="s">
        <v>59</v>
      </c>
      <c r="M1542" t="s">
        <v>533</v>
      </c>
      <c r="N1542">
        <v>2500</v>
      </c>
      <c r="O1542">
        <v>0</v>
      </c>
      <c r="P1542" t="str">
        <f>IF(T[[#This Row],[qty_ordered]]&lt;&gt;T[[#This Row],[qty_received]],IF(T[[#This Row],[qty_received]]&gt;0,"Partial Received","Not Receviced"),"FullyReceived")</f>
        <v>Not Receviced</v>
      </c>
      <c r="Q1542" t="str">
        <f>IF(T[[#This Row],[qty_received]]&lt;&gt;T[[#This Row],[qty_invoiced]],IF(T[[#This Row],[qty_invoiced]]&gt;0,"Partial Invoiced","Not Invoiced"),"Fully Invoiced")</f>
        <v>Fully Invoiced</v>
      </c>
      <c r="R1542" t="str">
        <f>IFERROR(VLOOKUP(T[[#This Row],[warehouse]],Table2[],2,FALSE),"--")</f>
        <v>--</v>
      </c>
    </row>
    <row r="1543" spans="1:18" x14ac:dyDescent="0.25">
      <c r="A1543" t="s">
        <v>959</v>
      </c>
      <c r="B1543" s="1">
        <v>44172</v>
      </c>
      <c r="C1543" t="s">
        <v>1213</v>
      </c>
      <c r="D1543" t="s">
        <v>74</v>
      </c>
      <c r="E1543" t="s">
        <v>214</v>
      </c>
      <c r="F1543" t="s">
        <v>526</v>
      </c>
      <c r="G1543" t="s">
        <v>472</v>
      </c>
      <c r="H1543" t="s">
        <v>123</v>
      </c>
      <c r="I1543">
        <v>5000</v>
      </c>
      <c r="J1543">
        <v>5000</v>
      </c>
      <c r="K1543">
        <v>5000</v>
      </c>
      <c r="L1543" t="s">
        <v>25</v>
      </c>
      <c r="M1543" t="s">
        <v>132</v>
      </c>
      <c r="N1543">
        <v>23750</v>
      </c>
      <c r="O1543">
        <v>118750000</v>
      </c>
      <c r="P1543" t="str">
        <f>IF(T[[#This Row],[qty_ordered]]&lt;&gt;T[[#This Row],[qty_received]],IF(T[[#This Row],[qty_received]]&gt;0,"Partial Received","Not Receviced"),"FullyReceived")</f>
        <v>FullyReceived</v>
      </c>
      <c r="Q1543" t="str">
        <f>IF(T[[#This Row],[qty_received]]&lt;&gt;T[[#This Row],[qty_invoiced]],IF(T[[#This Row],[qty_invoiced]]&gt;0,"Partial Invoiced","Not Invoiced"),"Fully Invoiced")</f>
        <v>Fully Invoiced</v>
      </c>
      <c r="R1543" t="str">
        <f>IFERROR(VLOOKUP(T[[#This Row],[warehouse]],Table2[],2,FALSE),"--")</f>
        <v>CRUSHER ELBALOLA</v>
      </c>
    </row>
    <row r="1544" spans="1:18" x14ac:dyDescent="0.25">
      <c r="A1544" t="s">
        <v>739</v>
      </c>
      <c r="B1544" s="1">
        <v>44186</v>
      </c>
      <c r="C1544" t="s">
        <v>1069</v>
      </c>
      <c r="D1544" t="s">
        <v>322</v>
      </c>
      <c r="E1544" t="s">
        <v>660</v>
      </c>
      <c r="F1544" t="s">
        <v>705</v>
      </c>
      <c r="G1544" t="s">
        <v>706</v>
      </c>
      <c r="H1544" t="s">
        <v>663</v>
      </c>
      <c r="I1544">
        <v>2721.3</v>
      </c>
      <c r="J1544">
        <v>2721.3</v>
      </c>
      <c r="K1544">
        <v>2721.3</v>
      </c>
      <c r="L1544" t="s">
        <v>25</v>
      </c>
      <c r="M1544" t="s">
        <v>132</v>
      </c>
      <c r="N1544">
        <v>1100</v>
      </c>
      <c r="O1544">
        <v>2993430</v>
      </c>
      <c r="P1544" t="str">
        <f>IF(T[[#This Row],[qty_ordered]]&lt;&gt;T[[#This Row],[qty_received]],IF(T[[#This Row],[qty_received]]&gt;0,"Partial Received","Not Receviced"),"FullyReceived")</f>
        <v>FullyReceived</v>
      </c>
      <c r="Q1544" t="str">
        <f>IF(T[[#This Row],[qty_received]]&lt;&gt;T[[#This Row],[qty_invoiced]],IF(T[[#This Row],[qty_invoiced]]&gt;0,"Partial Invoiced","Not Invoiced"),"Fully Invoiced")</f>
        <v>Fully Invoiced</v>
      </c>
      <c r="R1544" t="str">
        <f>IFERROR(VLOOKUP(T[[#This Row],[warehouse]],Table2[],2,FALSE),"--")</f>
        <v>SLAUGHTER HOUSE</v>
      </c>
    </row>
    <row r="1545" spans="1:18" x14ac:dyDescent="0.25">
      <c r="A1545" t="s">
        <v>235</v>
      </c>
      <c r="B1545" s="1">
        <v>44160</v>
      </c>
      <c r="C1545" t="s">
        <v>1000</v>
      </c>
      <c r="D1545" t="s">
        <v>76</v>
      </c>
      <c r="E1545" t="s">
        <v>51</v>
      </c>
      <c r="F1545" t="s">
        <v>546</v>
      </c>
      <c r="G1545" t="s">
        <v>1063</v>
      </c>
      <c r="H1545" t="s">
        <v>54</v>
      </c>
      <c r="I1545">
        <v>10000</v>
      </c>
      <c r="J1545">
        <v>0</v>
      </c>
      <c r="K1545">
        <v>1</v>
      </c>
      <c r="L1545" t="s">
        <v>25</v>
      </c>
      <c r="M1545" t="s">
        <v>533</v>
      </c>
      <c r="N1545">
        <v>5</v>
      </c>
      <c r="O1545">
        <v>0</v>
      </c>
      <c r="P1545" t="str">
        <f>IF(T[[#This Row],[qty_ordered]]&lt;&gt;T[[#This Row],[qty_received]],IF(T[[#This Row],[qty_received]]&gt;0,"Partial Received","Not Receviced"),"FullyReceived")</f>
        <v>Not Receviced</v>
      </c>
      <c r="Q1545" t="str">
        <f>IF(T[[#This Row],[qty_received]]&lt;&gt;T[[#This Row],[qty_invoiced]],IF(T[[#This Row],[qty_invoiced]]&gt;0,"Partial Invoiced","Not Invoiced"),"Fully Invoiced")</f>
        <v>Partial Invoiced</v>
      </c>
      <c r="R1545" t="str">
        <f>IFERROR(VLOOKUP(T[[#This Row],[warehouse]],Table2[],2,FALSE),"--")</f>
        <v>--</v>
      </c>
    </row>
    <row r="1546" spans="1:18" x14ac:dyDescent="0.25">
      <c r="A1546" t="s">
        <v>235</v>
      </c>
      <c r="B1546" s="1">
        <v>44160</v>
      </c>
      <c r="C1546" t="s">
        <v>1000</v>
      </c>
      <c r="D1546" t="s">
        <v>212</v>
      </c>
      <c r="E1546" t="s">
        <v>51</v>
      </c>
      <c r="F1546" t="s">
        <v>546</v>
      </c>
      <c r="G1546" t="s">
        <v>1063</v>
      </c>
      <c r="H1546" t="s">
        <v>54</v>
      </c>
      <c r="I1546">
        <v>5000</v>
      </c>
      <c r="J1546">
        <v>0</v>
      </c>
      <c r="K1546">
        <v>1</v>
      </c>
      <c r="L1546" t="s">
        <v>25</v>
      </c>
      <c r="M1546" t="s">
        <v>533</v>
      </c>
      <c r="N1546">
        <v>5</v>
      </c>
      <c r="O1546">
        <v>0</v>
      </c>
      <c r="P1546" t="str">
        <f>IF(T[[#This Row],[qty_ordered]]&lt;&gt;T[[#This Row],[qty_received]],IF(T[[#This Row],[qty_received]]&gt;0,"Partial Received","Not Receviced"),"FullyReceived")</f>
        <v>Not Receviced</v>
      </c>
      <c r="Q1546" t="str">
        <f>IF(T[[#This Row],[qty_received]]&lt;&gt;T[[#This Row],[qty_invoiced]],IF(T[[#This Row],[qty_invoiced]]&gt;0,"Partial Invoiced","Not Invoiced"),"Fully Invoiced")</f>
        <v>Partial Invoiced</v>
      </c>
      <c r="R1546" t="str">
        <f>IFERROR(VLOOKUP(T[[#This Row],[warehouse]],Table2[],2,FALSE),"--")</f>
        <v>--</v>
      </c>
    </row>
    <row r="1547" spans="1:18" x14ac:dyDescent="0.25">
      <c r="A1547" t="s">
        <v>235</v>
      </c>
      <c r="B1547" s="1">
        <v>44160</v>
      </c>
      <c r="C1547" t="s">
        <v>1000</v>
      </c>
      <c r="D1547" t="s">
        <v>322</v>
      </c>
      <c r="E1547" t="s">
        <v>51</v>
      </c>
      <c r="F1547" t="s">
        <v>546</v>
      </c>
      <c r="G1547" t="s">
        <v>1063</v>
      </c>
      <c r="H1547" t="s">
        <v>54</v>
      </c>
      <c r="I1547">
        <v>10000</v>
      </c>
      <c r="J1547">
        <v>0</v>
      </c>
      <c r="K1547">
        <v>1</v>
      </c>
      <c r="L1547" t="s">
        <v>25</v>
      </c>
      <c r="M1547" t="s">
        <v>533</v>
      </c>
      <c r="N1547">
        <v>5</v>
      </c>
      <c r="O1547">
        <v>0</v>
      </c>
      <c r="P1547" t="str">
        <f>IF(T[[#This Row],[qty_ordered]]&lt;&gt;T[[#This Row],[qty_received]],IF(T[[#This Row],[qty_received]]&gt;0,"Partial Received","Not Receviced"),"FullyReceived")</f>
        <v>Not Receviced</v>
      </c>
      <c r="Q1547" t="str">
        <f>IF(T[[#This Row],[qty_received]]&lt;&gt;T[[#This Row],[qty_invoiced]],IF(T[[#This Row],[qty_invoiced]]&gt;0,"Partial Invoiced","Not Invoiced"),"Fully Invoiced")</f>
        <v>Partial Invoiced</v>
      </c>
      <c r="R1547" t="str">
        <f>IFERROR(VLOOKUP(T[[#This Row],[warehouse]],Table2[],2,FALSE),"--")</f>
        <v>--</v>
      </c>
    </row>
    <row r="1548" spans="1:18" x14ac:dyDescent="0.25">
      <c r="A1548" t="s">
        <v>235</v>
      </c>
      <c r="B1548" s="1">
        <v>44160</v>
      </c>
      <c r="C1548" t="s">
        <v>1000</v>
      </c>
      <c r="D1548" t="s">
        <v>323</v>
      </c>
      <c r="E1548" t="s">
        <v>51</v>
      </c>
      <c r="F1548" t="s">
        <v>546</v>
      </c>
      <c r="G1548" t="s">
        <v>1063</v>
      </c>
      <c r="H1548" t="s">
        <v>54</v>
      </c>
      <c r="I1548">
        <v>10000</v>
      </c>
      <c r="J1548">
        <v>0</v>
      </c>
      <c r="K1548">
        <v>1</v>
      </c>
      <c r="L1548" t="s">
        <v>25</v>
      </c>
      <c r="M1548" t="s">
        <v>533</v>
      </c>
      <c r="N1548">
        <v>7.2</v>
      </c>
      <c r="O1548">
        <v>0</v>
      </c>
      <c r="P1548" t="str">
        <f>IF(T[[#This Row],[qty_ordered]]&lt;&gt;T[[#This Row],[qty_received]],IF(T[[#This Row],[qty_received]]&gt;0,"Partial Received","Not Receviced"),"FullyReceived")</f>
        <v>Not Receviced</v>
      </c>
      <c r="Q1548" t="str">
        <f>IF(T[[#This Row],[qty_received]]&lt;&gt;T[[#This Row],[qty_invoiced]],IF(T[[#This Row],[qty_invoiced]]&gt;0,"Partial Invoiced","Not Invoiced"),"Fully Invoiced")</f>
        <v>Partial Invoiced</v>
      </c>
      <c r="R1548" t="str">
        <f>IFERROR(VLOOKUP(T[[#This Row],[warehouse]],Table2[],2,FALSE),"--")</f>
        <v>--</v>
      </c>
    </row>
    <row r="1549" spans="1:18" x14ac:dyDescent="0.25">
      <c r="A1549" t="s">
        <v>144</v>
      </c>
      <c r="B1549" s="1">
        <v>44223</v>
      </c>
      <c r="C1549" t="s">
        <v>1216</v>
      </c>
      <c r="D1549" t="s">
        <v>20</v>
      </c>
      <c r="E1549" t="s">
        <v>1142</v>
      </c>
      <c r="F1549" t="s">
        <v>147</v>
      </c>
      <c r="G1549" t="s">
        <v>148</v>
      </c>
      <c r="H1549" t="s">
        <v>149</v>
      </c>
      <c r="I1549">
        <v>208400</v>
      </c>
      <c r="J1549">
        <v>208400</v>
      </c>
      <c r="K1549">
        <v>208400</v>
      </c>
      <c r="L1549" t="s">
        <v>25</v>
      </c>
      <c r="M1549" t="s">
        <v>744</v>
      </c>
      <c r="N1549">
        <v>25.95</v>
      </c>
      <c r="O1549">
        <v>5407980</v>
      </c>
      <c r="P1549" t="str">
        <f>IF(T[[#This Row],[qty_ordered]]&lt;&gt;T[[#This Row],[qty_received]],IF(T[[#This Row],[qty_received]]&gt;0,"Partial Received","Not Receviced"),"FullyReceived")</f>
        <v>FullyReceived</v>
      </c>
      <c r="Q1549" t="str">
        <f>IF(T[[#This Row],[qty_received]]&lt;&gt;T[[#This Row],[qty_invoiced]],IF(T[[#This Row],[qty_invoiced]]&gt;0,"Partial Invoiced","Not Invoiced"),"Fully Invoiced")</f>
        <v>Fully Invoiced</v>
      </c>
      <c r="R1549" t="str">
        <f>IFERROR(VLOOKUP(T[[#This Row],[warehouse]],Table2[],2,FALSE),"--")</f>
        <v>SAVOLA W/H FOR EXPOR</v>
      </c>
    </row>
    <row r="1550" spans="1:18" x14ac:dyDescent="0.25">
      <c r="A1550" t="s">
        <v>144</v>
      </c>
      <c r="B1550" s="1">
        <v>44223</v>
      </c>
      <c r="C1550" t="s">
        <v>1216</v>
      </c>
      <c r="D1550" t="s">
        <v>71</v>
      </c>
      <c r="E1550" t="s">
        <v>1142</v>
      </c>
      <c r="F1550" t="s">
        <v>151</v>
      </c>
      <c r="G1550" t="s">
        <v>152</v>
      </c>
      <c r="H1550" t="s">
        <v>149</v>
      </c>
      <c r="I1550">
        <v>6000</v>
      </c>
      <c r="J1550">
        <v>6000</v>
      </c>
      <c r="K1550">
        <v>6000</v>
      </c>
      <c r="L1550" t="s">
        <v>25</v>
      </c>
      <c r="M1550" t="s">
        <v>744</v>
      </c>
      <c r="N1550">
        <v>25.95</v>
      </c>
      <c r="O1550">
        <v>155700</v>
      </c>
      <c r="P1550" t="str">
        <f>IF(T[[#This Row],[qty_ordered]]&lt;&gt;T[[#This Row],[qty_received]],IF(T[[#This Row],[qty_received]]&gt;0,"Partial Received","Not Receviced"),"FullyReceived")</f>
        <v>FullyReceived</v>
      </c>
      <c r="Q1550" t="str">
        <f>IF(T[[#This Row],[qty_received]]&lt;&gt;T[[#This Row],[qty_invoiced]],IF(T[[#This Row],[qty_invoiced]]&gt;0,"Partial Invoiced","Not Invoiced"),"Fully Invoiced")</f>
        <v>Fully Invoiced</v>
      </c>
      <c r="R1550" t="str">
        <f>IFERROR(VLOOKUP(T[[#This Row],[warehouse]],Table2[],2,FALSE),"--")</f>
        <v>SAVOLA W/H FOR EXPOR</v>
      </c>
    </row>
    <row r="1551" spans="1:18" x14ac:dyDescent="0.25">
      <c r="A1551" t="s">
        <v>658</v>
      </c>
      <c r="B1551" s="1">
        <v>44186</v>
      </c>
      <c r="C1551" t="s">
        <v>1070</v>
      </c>
      <c r="D1551" t="s">
        <v>322</v>
      </c>
      <c r="E1551" t="s">
        <v>660</v>
      </c>
      <c r="F1551" t="s">
        <v>661</v>
      </c>
      <c r="G1551" t="s">
        <v>662</v>
      </c>
      <c r="H1551" t="s">
        <v>663</v>
      </c>
      <c r="I1551">
        <v>2042.1</v>
      </c>
      <c r="J1551">
        <v>2042.1</v>
      </c>
      <c r="K1551">
        <v>2042.1</v>
      </c>
      <c r="L1551" t="s">
        <v>25</v>
      </c>
      <c r="M1551" t="s">
        <v>132</v>
      </c>
      <c r="N1551">
        <v>700</v>
      </c>
      <c r="O1551">
        <v>1429470</v>
      </c>
      <c r="P1551" t="str">
        <f>IF(T[[#This Row],[qty_ordered]]&lt;&gt;T[[#This Row],[qty_received]],IF(T[[#This Row],[qty_received]]&gt;0,"Partial Received","Not Receviced"),"FullyReceived")</f>
        <v>FullyReceived</v>
      </c>
      <c r="Q1551" t="str">
        <f>IF(T[[#This Row],[qty_received]]&lt;&gt;T[[#This Row],[qty_invoiced]],IF(T[[#This Row],[qty_invoiced]]&gt;0,"Partial Invoiced","Not Invoiced"),"Fully Invoiced")</f>
        <v>Fully Invoiced</v>
      </c>
      <c r="R1551" t="str">
        <f>IFERROR(VLOOKUP(T[[#This Row],[warehouse]],Table2[],2,FALSE),"--")</f>
        <v>SLAUGHTER HOUSE</v>
      </c>
    </row>
    <row r="1552" spans="1:18" x14ac:dyDescent="0.25">
      <c r="A1552" t="s">
        <v>618</v>
      </c>
      <c r="B1552" s="1">
        <v>44115</v>
      </c>
      <c r="C1552" t="s">
        <v>965</v>
      </c>
      <c r="D1552" t="s">
        <v>322</v>
      </c>
      <c r="E1552" t="s">
        <v>66</v>
      </c>
      <c r="F1552" t="s">
        <v>86</v>
      </c>
      <c r="G1552" t="s">
        <v>87</v>
      </c>
      <c r="H1552" t="s">
        <v>24</v>
      </c>
      <c r="I1552">
        <v>2305</v>
      </c>
      <c r="J1552">
        <v>0</v>
      </c>
      <c r="K1552">
        <v>0</v>
      </c>
      <c r="L1552" t="s">
        <v>25</v>
      </c>
      <c r="M1552" t="s">
        <v>132</v>
      </c>
      <c r="N1552">
        <v>360086.767896</v>
      </c>
      <c r="O1552">
        <v>0</v>
      </c>
      <c r="P1552" t="str">
        <f>IF(T[[#This Row],[qty_ordered]]&lt;&gt;T[[#This Row],[qty_received]],IF(T[[#This Row],[qty_received]]&gt;0,"Partial Received","Not Receviced"),"FullyReceived")</f>
        <v>Not Receviced</v>
      </c>
      <c r="Q1552" t="str">
        <f>IF(T[[#This Row],[qty_received]]&lt;&gt;T[[#This Row],[qty_invoiced]],IF(T[[#This Row],[qty_invoiced]]&gt;0,"Partial Invoiced","Not Invoiced"),"Fully Invoiced")</f>
        <v>Fully Invoiced</v>
      </c>
      <c r="R1552" t="str">
        <f>IFERROR(VLOOKUP(T[[#This Row],[warehouse]],Table2[],2,FALSE),"--")</f>
        <v>PZU Main Warehouse</v>
      </c>
    </row>
    <row r="1553" spans="1:18" x14ac:dyDescent="0.25">
      <c r="A1553" t="s">
        <v>235</v>
      </c>
      <c r="B1553" s="1">
        <v>44199</v>
      </c>
      <c r="C1553" t="s">
        <v>1134</v>
      </c>
      <c r="D1553" t="s">
        <v>71</v>
      </c>
      <c r="E1553" t="s">
        <v>51</v>
      </c>
      <c r="F1553" t="s">
        <v>546</v>
      </c>
      <c r="G1553" t="s">
        <v>1217</v>
      </c>
      <c r="H1553" t="s">
        <v>54</v>
      </c>
      <c r="I1553">
        <v>10000</v>
      </c>
      <c r="J1553">
        <v>0</v>
      </c>
      <c r="K1553">
        <v>1</v>
      </c>
      <c r="L1553" t="s">
        <v>25</v>
      </c>
      <c r="M1553" t="s">
        <v>2836</v>
      </c>
      <c r="N1553">
        <v>7.2</v>
      </c>
      <c r="O1553">
        <v>0</v>
      </c>
      <c r="P1553" t="str">
        <f>IF(T[[#This Row],[qty_ordered]]&lt;&gt;T[[#This Row],[qty_received]],IF(T[[#This Row],[qty_received]]&gt;0,"Partial Received","Not Receviced"),"FullyReceived")</f>
        <v>Not Receviced</v>
      </c>
      <c r="Q1553" t="str">
        <f>IF(T[[#This Row],[qty_received]]&lt;&gt;T[[#This Row],[qty_invoiced]],IF(T[[#This Row],[qty_invoiced]]&gt;0,"Partial Invoiced","Not Invoiced"),"Fully Invoiced")</f>
        <v>Partial Invoiced</v>
      </c>
      <c r="R1553" t="str">
        <f>IFERROR(VLOOKUP(T[[#This Row],[warehouse]],Table2[],2,FALSE),"--")</f>
        <v>--</v>
      </c>
    </row>
    <row r="1554" spans="1:18" x14ac:dyDescent="0.25">
      <c r="A1554" t="s">
        <v>235</v>
      </c>
      <c r="B1554" s="1">
        <v>44199</v>
      </c>
      <c r="C1554" t="s">
        <v>1134</v>
      </c>
      <c r="D1554" t="s">
        <v>100</v>
      </c>
      <c r="E1554" t="s">
        <v>51</v>
      </c>
      <c r="F1554" t="s">
        <v>546</v>
      </c>
      <c r="G1554" t="s">
        <v>1217</v>
      </c>
      <c r="H1554" t="s">
        <v>54</v>
      </c>
      <c r="I1554">
        <v>10000</v>
      </c>
      <c r="J1554">
        <v>0</v>
      </c>
      <c r="K1554">
        <v>1</v>
      </c>
      <c r="L1554" t="s">
        <v>25</v>
      </c>
      <c r="M1554" t="s">
        <v>2836</v>
      </c>
      <c r="N1554">
        <v>7.25</v>
      </c>
      <c r="O1554">
        <v>0</v>
      </c>
      <c r="P1554" t="str">
        <f>IF(T[[#This Row],[qty_ordered]]&lt;&gt;T[[#This Row],[qty_received]],IF(T[[#This Row],[qty_received]]&gt;0,"Partial Received","Not Receviced"),"FullyReceived")</f>
        <v>Not Receviced</v>
      </c>
      <c r="Q1554" t="str">
        <f>IF(T[[#This Row],[qty_received]]&lt;&gt;T[[#This Row],[qty_invoiced]],IF(T[[#This Row],[qty_invoiced]]&gt;0,"Partial Invoiced","Not Invoiced"),"Fully Invoiced")</f>
        <v>Partial Invoiced</v>
      </c>
      <c r="R1554" t="str">
        <f>IFERROR(VLOOKUP(T[[#This Row],[warehouse]],Table2[],2,FALSE),"--")</f>
        <v>--</v>
      </c>
    </row>
    <row r="1555" spans="1:18" x14ac:dyDescent="0.25">
      <c r="A1555" t="s">
        <v>235</v>
      </c>
      <c r="B1555" s="1">
        <v>44160</v>
      </c>
      <c r="C1555" t="s">
        <v>998</v>
      </c>
      <c r="D1555" t="s">
        <v>323</v>
      </c>
      <c r="E1555" t="s">
        <v>51</v>
      </c>
      <c r="F1555" t="s">
        <v>546</v>
      </c>
      <c r="G1555" t="s">
        <v>1151</v>
      </c>
      <c r="H1555" t="s">
        <v>54</v>
      </c>
      <c r="I1555">
        <v>10000</v>
      </c>
      <c r="J1555">
        <v>0</v>
      </c>
      <c r="K1555">
        <v>1</v>
      </c>
      <c r="L1555" t="s">
        <v>25</v>
      </c>
      <c r="M1555" t="s">
        <v>2836</v>
      </c>
      <c r="N1555">
        <v>7.25</v>
      </c>
      <c r="O1555">
        <v>0</v>
      </c>
      <c r="P1555" t="str">
        <f>IF(T[[#This Row],[qty_ordered]]&lt;&gt;T[[#This Row],[qty_received]],IF(T[[#This Row],[qty_received]]&gt;0,"Partial Received","Not Receviced"),"FullyReceived")</f>
        <v>Not Receviced</v>
      </c>
      <c r="Q1555" t="str">
        <f>IF(T[[#This Row],[qty_received]]&lt;&gt;T[[#This Row],[qty_invoiced]],IF(T[[#This Row],[qty_invoiced]]&gt;0,"Partial Invoiced","Not Invoiced"),"Fully Invoiced")</f>
        <v>Partial Invoiced</v>
      </c>
      <c r="R1555" t="str">
        <f>IFERROR(VLOOKUP(T[[#This Row],[warehouse]],Table2[],2,FALSE),"--")</f>
        <v>--</v>
      </c>
    </row>
    <row r="1556" spans="1:18" x14ac:dyDescent="0.25">
      <c r="A1556" t="s">
        <v>235</v>
      </c>
      <c r="B1556" s="1">
        <v>44160</v>
      </c>
      <c r="C1556" t="s">
        <v>998</v>
      </c>
      <c r="D1556" t="s">
        <v>324</v>
      </c>
      <c r="E1556" t="s">
        <v>51</v>
      </c>
      <c r="F1556" t="s">
        <v>546</v>
      </c>
      <c r="G1556" t="s">
        <v>1151</v>
      </c>
      <c r="H1556" t="s">
        <v>54</v>
      </c>
      <c r="I1556">
        <v>10000</v>
      </c>
      <c r="J1556">
        <v>0</v>
      </c>
      <c r="K1556">
        <v>0</v>
      </c>
      <c r="L1556" t="s">
        <v>25</v>
      </c>
      <c r="M1556" t="s">
        <v>2836</v>
      </c>
      <c r="N1556">
        <v>7.25</v>
      </c>
      <c r="O1556">
        <v>0</v>
      </c>
      <c r="P1556" t="str">
        <f>IF(T[[#This Row],[qty_ordered]]&lt;&gt;T[[#This Row],[qty_received]],IF(T[[#This Row],[qty_received]]&gt;0,"Partial Received","Not Receviced"),"FullyReceived")</f>
        <v>Not Receviced</v>
      </c>
      <c r="Q1556" t="str">
        <f>IF(T[[#This Row],[qty_received]]&lt;&gt;T[[#This Row],[qty_invoiced]],IF(T[[#This Row],[qty_invoiced]]&gt;0,"Partial Invoiced","Not Invoiced"),"Fully Invoiced")</f>
        <v>Fully Invoiced</v>
      </c>
      <c r="R1556" t="str">
        <f>IFERROR(VLOOKUP(T[[#This Row],[warehouse]],Table2[],2,FALSE),"--")</f>
        <v>--</v>
      </c>
    </row>
    <row r="1557" spans="1:18" x14ac:dyDescent="0.25">
      <c r="A1557" t="s">
        <v>1218</v>
      </c>
      <c r="B1557" s="1">
        <v>44248</v>
      </c>
      <c r="C1557" t="s">
        <v>1219</v>
      </c>
      <c r="D1557" t="s">
        <v>20</v>
      </c>
      <c r="E1557" t="s">
        <v>1220</v>
      </c>
      <c r="F1557" t="s">
        <v>1221</v>
      </c>
      <c r="G1557" t="s">
        <v>1222</v>
      </c>
      <c r="H1557" t="s">
        <v>123</v>
      </c>
      <c r="I1557">
        <v>377400</v>
      </c>
      <c r="J1557">
        <v>377400</v>
      </c>
      <c r="K1557">
        <v>377400</v>
      </c>
      <c r="L1557" t="s">
        <v>693</v>
      </c>
      <c r="M1557" t="s">
        <v>1223</v>
      </c>
      <c r="N1557">
        <v>10103.66</v>
      </c>
      <c r="O1557">
        <v>3813121284</v>
      </c>
      <c r="P1557" t="str">
        <f>IF(T[[#This Row],[qty_ordered]]&lt;&gt;T[[#This Row],[qty_received]],IF(T[[#This Row],[qty_received]]&gt;0,"Partial Received","Not Receviced"),"FullyReceived")</f>
        <v>FullyReceived</v>
      </c>
      <c r="Q1557" t="str">
        <f>IF(T[[#This Row],[qty_received]]&lt;&gt;T[[#This Row],[qty_invoiced]],IF(T[[#This Row],[qty_invoiced]]&gt;0,"Partial Invoiced","Not Invoiced"),"Fully Invoiced")</f>
        <v>Fully Invoiced</v>
      </c>
      <c r="R1557" t="str">
        <f>IFERROR(VLOOKUP(T[[#This Row],[warehouse]],Table2[],2,FALSE),"--")</f>
        <v>Import Virtual Warehouse - PZU</v>
      </c>
    </row>
    <row r="1558" spans="1:18" x14ac:dyDescent="0.25">
      <c r="A1558" t="s">
        <v>235</v>
      </c>
      <c r="B1558" s="1">
        <v>44160</v>
      </c>
      <c r="C1558" t="s">
        <v>1000</v>
      </c>
      <c r="D1558" t="s">
        <v>325</v>
      </c>
      <c r="E1558" t="s">
        <v>51</v>
      </c>
      <c r="F1558" t="s">
        <v>546</v>
      </c>
      <c r="G1558" t="s">
        <v>1063</v>
      </c>
      <c r="H1558" t="s">
        <v>54</v>
      </c>
      <c r="I1558">
        <v>10000</v>
      </c>
      <c r="J1558">
        <v>0</v>
      </c>
      <c r="K1558">
        <v>1</v>
      </c>
      <c r="L1558" t="s">
        <v>25</v>
      </c>
      <c r="M1558" t="s">
        <v>533</v>
      </c>
      <c r="N1558">
        <v>7.25</v>
      </c>
      <c r="O1558">
        <v>0</v>
      </c>
      <c r="P1558" t="str">
        <f>IF(T[[#This Row],[qty_ordered]]&lt;&gt;T[[#This Row],[qty_received]],IF(T[[#This Row],[qty_received]]&gt;0,"Partial Received","Not Receviced"),"FullyReceived")</f>
        <v>Not Receviced</v>
      </c>
      <c r="Q1558" t="str">
        <f>IF(T[[#This Row],[qty_received]]&lt;&gt;T[[#This Row],[qty_invoiced]],IF(T[[#This Row],[qty_invoiced]]&gt;0,"Partial Invoiced","Not Invoiced"),"Fully Invoiced")</f>
        <v>Partial Invoiced</v>
      </c>
      <c r="R1558" t="str">
        <f>IFERROR(VLOOKUP(T[[#This Row],[warehouse]],Table2[],2,FALSE),"--")</f>
        <v>--</v>
      </c>
    </row>
    <row r="1559" spans="1:18" x14ac:dyDescent="0.25">
      <c r="A1559" t="s">
        <v>242</v>
      </c>
      <c r="B1559" s="1">
        <v>44241</v>
      </c>
      <c r="C1559" t="s">
        <v>1224</v>
      </c>
      <c r="D1559" t="s">
        <v>71</v>
      </c>
      <c r="E1559" t="s">
        <v>405</v>
      </c>
      <c r="F1559" t="s">
        <v>244</v>
      </c>
      <c r="G1559" t="s">
        <v>245</v>
      </c>
      <c r="H1559" t="s">
        <v>24</v>
      </c>
      <c r="I1559">
        <v>200</v>
      </c>
      <c r="J1559">
        <v>94.02</v>
      </c>
      <c r="K1559">
        <v>94.02</v>
      </c>
      <c r="L1559" t="s">
        <v>25</v>
      </c>
      <c r="M1559" t="s">
        <v>707</v>
      </c>
      <c r="N1559">
        <v>590000</v>
      </c>
      <c r="O1559">
        <v>55471800</v>
      </c>
      <c r="P1559" t="str">
        <f>IF(T[[#This Row],[qty_ordered]]&lt;&gt;T[[#This Row],[qty_received]],IF(T[[#This Row],[qty_received]]&gt;0,"Partial Received","Not Receviced"),"FullyReceived")</f>
        <v>Partial Received</v>
      </c>
      <c r="Q1559" t="str">
        <f>IF(T[[#This Row],[qty_received]]&lt;&gt;T[[#This Row],[qty_invoiced]],IF(T[[#This Row],[qty_invoiced]]&gt;0,"Partial Invoiced","Not Invoiced"),"Fully Invoiced")</f>
        <v>Fully Invoiced</v>
      </c>
      <c r="R1559" t="str">
        <f>IFERROR(VLOOKUP(T[[#This Row],[warehouse]],Table2[],2,FALSE),"--")</f>
        <v>GINNING ISHRAG-MDNI</v>
      </c>
    </row>
    <row r="1560" spans="1:18" x14ac:dyDescent="0.25">
      <c r="A1560" t="s">
        <v>242</v>
      </c>
      <c r="B1560" s="1">
        <v>44241</v>
      </c>
      <c r="C1560" t="s">
        <v>1224</v>
      </c>
      <c r="D1560" t="s">
        <v>100</v>
      </c>
      <c r="E1560" t="s">
        <v>405</v>
      </c>
      <c r="F1560" t="s">
        <v>244</v>
      </c>
      <c r="G1560" t="s">
        <v>245</v>
      </c>
      <c r="H1560" t="s">
        <v>24</v>
      </c>
      <c r="I1560">
        <v>300</v>
      </c>
      <c r="J1560">
        <v>214.72</v>
      </c>
      <c r="K1560">
        <v>214.72</v>
      </c>
      <c r="L1560" t="s">
        <v>25</v>
      </c>
      <c r="M1560" t="s">
        <v>707</v>
      </c>
      <c r="N1560">
        <v>590000</v>
      </c>
      <c r="O1560">
        <v>126684800</v>
      </c>
      <c r="P1560" t="str">
        <f>IF(T[[#This Row],[qty_ordered]]&lt;&gt;T[[#This Row],[qty_received]],IF(T[[#This Row],[qty_received]]&gt;0,"Partial Received","Not Receviced"),"FullyReceived")</f>
        <v>Partial Received</v>
      </c>
      <c r="Q1560" t="str">
        <f>IF(T[[#This Row],[qty_received]]&lt;&gt;T[[#This Row],[qty_invoiced]],IF(T[[#This Row],[qty_invoiced]]&gt;0,"Partial Invoiced","Not Invoiced"),"Fully Invoiced")</f>
        <v>Fully Invoiced</v>
      </c>
      <c r="R1560" t="str">
        <f>IFERROR(VLOOKUP(T[[#This Row],[warehouse]],Table2[],2,FALSE),"--")</f>
        <v>GINNING ISHRAG-MDNI</v>
      </c>
    </row>
    <row r="1561" spans="1:18" x14ac:dyDescent="0.25">
      <c r="A1561" t="s">
        <v>462</v>
      </c>
      <c r="B1561" s="1">
        <v>44221</v>
      </c>
      <c r="C1561" t="s">
        <v>1200</v>
      </c>
      <c r="D1561" t="s">
        <v>71</v>
      </c>
      <c r="E1561" t="s">
        <v>51</v>
      </c>
      <c r="F1561" t="s">
        <v>254</v>
      </c>
      <c r="G1561" t="s">
        <v>255</v>
      </c>
      <c r="H1561" t="s">
        <v>54</v>
      </c>
      <c r="I1561">
        <v>6713</v>
      </c>
      <c r="J1561">
        <v>0</v>
      </c>
      <c r="K1561">
        <v>1</v>
      </c>
      <c r="L1561" t="s">
        <v>25</v>
      </c>
      <c r="M1561" t="s">
        <v>533</v>
      </c>
      <c r="N1561">
        <v>13</v>
      </c>
      <c r="O1561">
        <v>0</v>
      </c>
      <c r="P1561" t="str">
        <f>IF(T[[#This Row],[qty_ordered]]&lt;&gt;T[[#This Row],[qty_received]],IF(T[[#This Row],[qty_received]]&gt;0,"Partial Received","Not Receviced"),"FullyReceived")</f>
        <v>Not Receviced</v>
      </c>
      <c r="Q1561" t="str">
        <f>IF(T[[#This Row],[qty_received]]&lt;&gt;T[[#This Row],[qty_invoiced]],IF(T[[#This Row],[qty_invoiced]]&gt;0,"Partial Invoiced","Not Invoiced"),"Fully Invoiced")</f>
        <v>Partial Invoiced</v>
      </c>
      <c r="R1561" t="str">
        <f>IFERROR(VLOOKUP(T[[#This Row],[warehouse]],Table2[],2,FALSE),"--")</f>
        <v>--</v>
      </c>
    </row>
    <row r="1562" spans="1:18" x14ac:dyDescent="0.25">
      <c r="A1562" t="s">
        <v>462</v>
      </c>
      <c r="B1562" s="1">
        <v>44221</v>
      </c>
      <c r="C1562" t="s">
        <v>1200</v>
      </c>
      <c r="D1562" t="s">
        <v>100</v>
      </c>
      <c r="E1562" t="s">
        <v>51</v>
      </c>
      <c r="F1562" t="s">
        <v>278</v>
      </c>
      <c r="G1562" t="s">
        <v>279</v>
      </c>
      <c r="H1562" t="s">
        <v>54</v>
      </c>
      <c r="I1562">
        <v>10816</v>
      </c>
      <c r="J1562">
        <v>0</v>
      </c>
      <c r="K1562">
        <v>1</v>
      </c>
      <c r="L1562" t="s">
        <v>25</v>
      </c>
      <c r="M1562" t="s">
        <v>533</v>
      </c>
      <c r="N1562">
        <v>15</v>
      </c>
      <c r="O1562">
        <v>0</v>
      </c>
      <c r="P1562" t="str">
        <f>IF(T[[#This Row],[qty_ordered]]&lt;&gt;T[[#This Row],[qty_received]],IF(T[[#This Row],[qty_received]]&gt;0,"Partial Received","Not Receviced"),"FullyReceived")</f>
        <v>Not Receviced</v>
      </c>
      <c r="Q1562" t="str">
        <f>IF(T[[#This Row],[qty_received]]&lt;&gt;T[[#This Row],[qty_invoiced]],IF(T[[#This Row],[qty_invoiced]]&gt;0,"Partial Invoiced","Not Invoiced"),"Fully Invoiced")</f>
        <v>Partial Invoiced</v>
      </c>
      <c r="R1562" t="str">
        <f>IFERROR(VLOOKUP(T[[#This Row],[warehouse]],Table2[],2,FALSE),"--")</f>
        <v>--</v>
      </c>
    </row>
    <row r="1563" spans="1:18" x14ac:dyDescent="0.25">
      <c r="A1563" t="s">
        <v>462</v>
      </c>
      <c r="B1563" s="1">
        <v>44221</v>
      </c>
      <c r="C1563" t="s">
        <v>1200</v>
      </c>
      <c r="D1563" t="s">
        <v>88</v>
      </c>
      <c r="E1563" t="s">
        <v>51</v>
      </c>
      <c r="F1563" t="s">
        <v>278</v>
      </c>
      <c r="G1563" t="s">
        <v>279</v>
      </c>
      <c r="H1563" t="s">
        <v>54</v>
      </c>
      <c r="I1563">
        <v>1893</v>
      </c>
      <c r="J1563">
        <v>0</v>
      </c>
      <c r="K1563">
        <v>1</v>
      </c>
      <c r="L1563" t="s">
        <v>25</v>
      </c>
      <c r="M1563" t="s">
        <v>533</v>
      </c>
      <c r="N1563">
        <v>10</v>
      </c>
      <c r="O1563">
        <v>0</v>
      </c>
      <c r="P1563" t="str">
        <f>IF(T[[#This Row],[qty_ordered]]&lt;&gt;T[[#This Row],[qty_received]],IF(T[[#This Row],[qty_received]]&gt;0,"Partial Received","Not Receviced"),"FullyReceived")</f>
        <v>Not Receviced</v>
      </c>
      <c r="Q1563" t="str">
        <f>IF(T[[#This Row],[qty_received]]&lt;&gt;T[[#This Row],[qty_invoiced]],IF(T[[#This Row],[qty_invoiced]]&gt;0,"Partial Invoiced","Not Invoiced"),"Fully Invoiced")</f>
        <v>Partial Invoiced</v>
      </c>
      <c r="R1563" t="str">
        <f>IFERROR(VLOOKUP(T[[#This Row],[warehouse]],Table2[],2,FALSE),"--")</f>
        <v>--</v>
      </c>
    </row>
    <row r="1564" spans="1:18" x14ac:dyDescent="0.25">
      <c r="A1564" t="s">
        <v>462</v>
      </c>
      <c r="B1564" s="1">
        <v>44221</v>
      </c>
      <c r="C1564" t="s">
        <v>1200</v>
      </c>
      <c r="D1564" t="s">
        <v>74</v>
      </c>
      <c r="E1564" t="s">
        <v>51</v>
      </c>
      <c r="F1564" t="s">
        <v>433</v>
      </c>
      <c r="G1564" t="s">
        <v>433</v>
      </c>
      <c r="H1564" t="s">
        <v>54</v>
      </c>
      <c r="I1564">
        <v>6713</v>
      </c>
      <c r="J1564">
        <v>0</v>
      </c>
      <c r="K1564">
        <v>1</v>
      </c>
      <c r="L1564" t="s">
        <v>25</v>
      </c>
      <c r="M1564" t="s">
        <v>533</v>
      </c>
      <c r="N1564">
        <v>5</v>
      </c>
      <c r="O1564">
        <v>0</v>
      </c>
      <c r="P1564" t="str">
        <f>IF(T[[#This Row],[qty_ordered]]&lt;&gt;T[[#This Row],[qty_received]],IF(T[[#This Row],[qty_received]]&gt;0,"Partial Received","Not Receviced"),"FullyReceived")</f>
        <v>Not Receviced</v>
      </c>
      <c r="Q1564" t="str">
        <f>IF(T[[#This Row],[qty_received]]&lt;&gt;T[[#This Row],[qty_invoiced]],IF(T[[#This Row],[qty_invoiced]]&gt;0,"Partial Invoiced","Not Invoiced"),"Fully Invoiced")</f>
        <v>Partial Invoiced</v>
      </c>
      <c r="R1564" t="str">
        <f>IFERROR(VLOOKUP(T[[#This Row],[warehouse]],Table2[],2,FALSE),"--")</f>
        <v>--</v>
      </c>
    </row>
    <row r="1565" spans="1:18" x14ac:dyDescent="0.25">
      <c r="A1565" t="s">
        <v>462</v>
      </c>
      <c r="B1565" s="1">
        <v>44221</v>
      </c>
      <c r="C1565" t="s">
        <v>1200</v>
      </c>
      <c r="D1565" t="s">
        <v>76</v>
      </c>
      <c r="E1565" t="s">
        <v>51</v>
      </c>
      <c r="F1565" t="s">
        <v>433</v>
      </c>
      <c r="G1565" t="s">
        <v>433</v>
      </c>
      <c r="H1565" t="s">
        <v>54</v>
      </c>
      <c r="I1565">
        <v>45</v>
      </c>
      <c r="J1565">
        <v>0</v>
      </c>
      <c r="K1565">
        <v>1</v>
      </c>
      <c r="L1565" t="s">
        <v>25</v>
      </c>
      <c r="M1565" t="s">
        <v>533</v>
      </c>
      <c r="N1565">
        <v>200</v>
      </c>
      <c r="O1565">
        <v>0</v>
      </c>
      <c r="P1565" t="str">
        <f>IF(T[[#This Row],[qty_ordered]]&lt;&gt;T[[#This Row],[qty_received]],IF(T[[#This Row],[qty_received]]&gt;0,"Partial Received","Not Receviced"),"FullyReceived")</f>
        <v>Not Receviced</v>
      </c>
      <c r="Q1565" t="str">
        <f>IF(T[[#This Row],[qty_received]]&lt;&gt;T[[#This Row],[qty_invoiced]],IF(T[[#This Row],[qty_invoiced]]&gt;0,"Partial Invoiced","Not Invoiced"),"Fully Invoiced")</f>
        <v>Partial Invoiced</v>
      </c>
      <c r="R1565" t="str">
        <f>IFERROR(VLOOKUP(T[[#This Row],[warehouse]],Table2[],2,FALSE),"--")</f>
        <v>--</v>
      </c>
    </row>
    <row r="1566" spans="1:18" x14ac:dyDescent="0.25">
      <c r="A1566" t="s">
        <v>462</v>
      </c>
      <c r="B1566" s="1">
        <v>44221</v>
      </c>
      <c r="C1566" t="s">
        <v>1200</v>
      </c>
      <c r="D1566" t="s">
        <v>212</v>
      </c>
      <c r="E1566" t="s">
        <v>51</v>
      </c>
      <c r="F1566" t="s">
        <v>433</v>
      </c>
      <c r="G1566" t="s">
        <v>433</v>
      </c>
      <c r="H1566" t="s">
        <v>54</v>
      </c>
      <c r="I1566">
        <v>36</v>
      </c>
      <c r="J1566">
        <v>0</v>
      </c>
      <c r="K1566">
        <v>1</v>
      </c>
      <c r="L1566" t="s">
        <v>25</v>
      </c>
      <c r="M1566" t="s">
        <v>533</v>
      </c>
      <c r="N1566">
        <v>250</v>
      </c>
      <c r="O1566">
        <v>0</v>
      </c>
      <c r="P1566" t="str">
        <f>IF(T[[#This Row],[qty_ordered]]&lt;&gt;T[[#This Row],[qty_received]],IF(T[[#This Row],[qty_received]]&gt;0,"Partial Received","Not Receviced"),"FullyReceived")</f>
        <v>Not Receviced</v>
      </c>
      <c r="Q1566" t="str">
        <f>IF(T[[#This Row],[qty_received]]&lt;&gt;T[[#This Row],[qty_invoiced]],IF(T[[#This Row],[qty_invoiced]]&gt;0,"Partial Invoiced","Not Invoiced"),"Fully Invoiced")</f>
        <v>Partial Invoiced</v>
      </c>
      <c r="R1566" t="str">
        <f>IFERROR(VLOOKUP(T[[#This Row],[warehouse]],Table2[],2,FALSE),"--")</f>
        <v>--</v>
      </c>
    </row>
    <row r="1567" spans="1:18" x14ac:dyDescent="0.25">
      <c r="A1567" t="s">
        <v>739</v>
      </c>
      <c r="B1567" s="1">
        <v>44241</v>
      </c>
      <c r="C1567" t="s">
        <v>1225</v>
      </c>
      <c r="D1567" t="s">
        <v>20</v>
      </c>
      <c r="E1567" t="s">
        <v>660</v>
      </c>
      <c r="F1567" t="s">
        <v>705</v>
      </c>
      <c r="G1567" t="s">
        <v>706</v>
      </c>
      <c r="H1567" t="s">
        <v>663</v>
      </c>
      <c r="I1567">
        <v>2847</v>
      </c>
      <c r="J1567">
        <v>2847</v>
      </c>
      <c r="K1567">
        <v>2847</v>
      </c>
      <c r="L1567" t="s">
        <v>25</v>
      </c>
      <c r="M1567" t="s">
        <v>707</v>
      </c>
      <c r="N1567">
        <v>1287.3920000000001</v>
      </c>
      <c r="O1567">
        <v>3665205.0240000002</v>
      </c>
      <c r="P1567" t="str">
        <f>IF(T[[#This Row],[qty_ordered]]&lt;&gt;T[[#This Row],[qty_received]],IF(T[[#This Row],[qty_received]]&gt;0,"Partial Received","Not Receviced"),"FullyReceived")</f>
        <v>FullyReceived</v>
      </c>
      <c r="Q1567" t="str">
        <f>IF(T[[#This Row],[qty_received]]&lt;&gt;T[[#This Row],[qty_invoiced]],IF(T[[#This Row],[qty_invoiced]]&gt;0,"Partial Invoiced","Not Invoiced"),"Fully Invoiced")</f>
        <v>Fully Invoiced</v>
      </c>
      <c r="R1567" t="str">
        <f>IFERROR(VLOOKUP(T[[#This Row],[warehouse]],Table2[],2,FALSE),"--")</f>
        <v>SLAUGHTER HOUSE</v>
      </c>
    </row>
    <row r="1568" spans="1:18" x14ac:dyDescent="0.25">
      <c r="A1568" t="s">
        <v>228</v>
      </c>
      <c r="B1568" s="1">
        <v>44153</v>
      </c>
      <c r="C1568" t="s">
        <v>984</v>
      </c>
      <c r="D1568" t="s">
        <v>100</v>
      </c>
      <c r="E1568" t="s">
        <v>239</v>
      </c>
      <c r="F1568" t="s">
        <v>230</v>
      </c>
      <c r="G1568" t="s">
        <v>231</v>
      </c>
      <c r="H1568" t="s">
        <v>24</v>
      </c>
      <c r="I1568">
        <v>375</v>
      </c>
      <c r="J1568">
        <v>0</v>
      </c>
      <c r="K1568">
        <v>0</v>
      </c>
      <c r="L1568" t="s">
        <v>25</v>
      </c>
      <c r="M1568" t="s">
        <v>707</v>
      </c>
      <c r="N1568">
        <v>400000</v>
      </c>
      <c r="O1568">
        <v>0</v>
      </c>
      <c r="P1568" t="str">
        <f>IF(T[[#This Row],[qty_ordered]]&lt;&gt;T[[#This Row],[qty_received]],IF(T[[#This Row],[qty_received]]&gt;0,"Partial Received","Not Receviced"),"FullyReceived")</f>
        <v>Not Receviced</v>
      </c>
      <c r="Q1568" t="str">
        <f>IF(T[[#This Row],[qty_received]]&lt;&gt;T[[#This Row],[qty_invoiced]],IF(T[[#This Row],[qty_invoiced]]&gt;0,"Partial Invoiced","Not Invoiced"),"Fully Invoiced")</f>
        <v>Fully Invoiced</v>
      </c>
      <c r="R1568" t="str">
        <f>IFERROR(VLOOKUP(T[[#This Row],[warehouse]],Table2[],2,FALSE),"--")</f>
        <v xml:space="preserve">Gadarif Main Store </v>
      </c>
    </row>
    <row r="1569" spans="1:18" x14ac:dyDescent="0.25">
      <c r="A1569" t="s">
        <v>1226</v>
      </c>
      <c r="B1569" s="1">
        <v>44238</v>
      </c>
      <c r="C1569" t="s">
        <v>1227</v>
      </c>
      <c r="D1569" t="s">
        <v>71</v>
      </c>
      <c r="E1569" t="s">
        <v>51</v>
      </c>
      <c r="F1569" t="s">
        <v>52</v>
      </c>
      <c r="G1569" t="s">
        <v>75</v>
      </c>
      <c r="H1569" t="s">
        <v>54</v>
      </c>
      <c r="I1569">
        <v>1</v>
      </c>
      <c r="J1569">
        <v>0</v>
      </c>
      <c r="K1569">
        <v>1</v>
      </c>
      <c r="L1569" t="s">
        <v>25</v>
      </c>
      <c r="M1569" t="s">
        <v>132</v>
      </c>
      <c r="N1569">
        <v>1625000</v>
      </c>
      <c r="O1569">
        <v>0</v>
      </c>
      <c r="P1569" t="str">
        <f>IF(T[[#This Row],[qty_ordered]]&lt;&gt;T[[#This Row],[qty_received]],IF(T[[#This Row],[qty_received]]&gt;0,"Partial Received","Not Receviced"),"FullyReceived")</f>
        <v>Not Receviced</v>
      </c>
      <c r="Q1569" t="str">
        <f>IF(T[[#This Row],[qty_received]]&lt;&gt;T[[#This Row],[qty_invoiced]],IF(T[[#This Row],[qty_invoiced]]&gt;0,"Partial Invoiced","Not Invoiced"),"Fully Invoiced")</f>
        <v>Partial Invoiced</v>
      </c>
      <c r="R1569" t="str">
        <f>IFERROR(VLOOKUP(T[[#This Row],[warehouse]],Table2[],2,FALSE),"--")</f>
        <v>--</v>
      </c>
    </row>
    <row r="1570" spans="1:18" x14ac:dyDescent="0.25">
      <c r="A1570" t="s">
        <v>423</v>
      </c>
      <c r="B1570" s="1">
        <v>44250</v>
      </c>
      <c r="C1570" t="s">
        <v>1228</v>
      </c>
      <c r="D1570" t="s">
        <v>20</v>
      </c>
      <c r="E1570" t="s">
        <v>51</v>
      </c>
      <c r="F1570" t="s">
        <v>933</v>
      </c>
      <c r="G1570" t="s">
        <v>933</v>
      </c>
      <c r="H1570" t="s">
        <v>54</v>
      </c>
      <c r="I1570">
        <v>3000</v>
      </c>
      <c r="J1570">
        <v>3000</v>
      </c>
      <c r="K1570">
        <v>1</v>
      </c>
      <c r="L1570" t="s">
        <v>25</v>
      </c>
      <c r="M1570" t="s">
        <v>575</v>
      </c>
      <c r="N1570">
        <v>64</v>
      </c>
      <c r="O1570">
        <v>192000</v>
      </c>
      <c r="P1570" t="str">
        <f>IF(T[[#This Row],[qty_ordered]]&lt;&gt;T[[#This Row],[qty_received]],IF(T[[#This Row],[qty_received]]&gt;0,"Partial Received","Not Receviced"),"FullyReceived")</f>
        <v>FullyReceived</v>
      </c>
      <c r="Q1570" t="str">
        <f>IF(T[[#This Row],[qty_received]]&lt;&gt;T[[#This Row],[qty_invoiced]],IF(T[[#This Row],[qty_invoiced]]&gt;0,"Partial Invoiced","Not Invoiced"),"Fully Invoiced")</f>
        <v>Partial Invoiced</v>
      </c>
      <c r="R1570" t="str">
        <f>IFERROR(VLOOKUP(T[[#This Row],[warehouse]],Table2[],2,FALSE),"--")</f>
        <v>--</v>
      </c>
    </row>
    <row r="1571" spans="1:18" x14ac:dyDescent="0.25">
      <c r="A1571" t="s">
        <v>739</v>
      </c>
      <c r="B1571" s="1">
        <v>44241</v>
      </c>
      <c r="C1571" t="s">
        <v>1225</v>
      </c>
      <c r="D1571" t="s">
        <v>71</v>
      </c>
      <c r="E1571" t="s">
        <v>660</v>
      </c>
      <c r="F1571" t="s">
        <v>705</v>
      </c>
      <c r="G1571" t="s">
        <v>706</v>
      </c>
      <c r="H1571" t="s">
        <v>663</v>
      </c>
      <c r="I1571">
        <v>2663.7</v>
      </c>
      <c r="J1571">
        <v>2663.7</v>
      </c>
      <c r="K1571">
        <v>2663.7</v>
      </c>
      <c r="L1571" t="s">
        <v>25</v>
      </c>
      <c r="M1571" t="s">
        <v>707</v>
      </c>
      <c r="N1571">
        <v>1220</v>
      </c>
      <c r="O1571">
        <v>3249714</v>
      </c>
      <c r="P1571" t="str">
        <f>IF(T[[#This Row],[qty_ordered]]&lt;&gt;T[[#This Row],[qty_received]],IF(T[[#This Row],[qty_received]]&gt;0,"Partial Received","Not Receviced"),"FullyReceived")</f>
        <v>FullyReceived</v>
      </c>
      <c r="Q1571" t="str">
        <f>IF(T[[#This Row],[qty_received]]&lt;&gt;T[[#This Row],[qty_invoiced]],IF(T[[#This Row],[qty_invoiced]]&gt;0,"Partial Invoiced","Not Invoiced"),"Fully Invoiced")</f>
        <v>Fully Invoiced</v>
      </c>
      <c r="R1571" t="str">
        <f>IFERROR(VLOOKUP(T[[#This Row],[warehouse]],Table2[],2,FALSE),"--")</f>
        <v>SLAUGHTER HOUSE</v>
      </c>
    </row>
    <row r="1572" spans="1:18" x14ac:dyDescent="0.25">
      <c r="A1572" t="s">
        <v>1170</v>
      </c>
      <c r="B1572" s="1">
        <v>44223</v>
      </c>
      <c r="C1572" t="s">
        <v>1201</v>
      </c>
      <c r="D1572" t="s">
        <v>71</v>
      </c>
      <c r="E1572" t="s">
        <v>66</v>
      </c>
      <c r="F1572" t="s">
        <v>244</v>
      </c>
      <c r="G1572" t="s">
        <v>245</v>
      </c>
      <c r="H1572" t="s">
        <v>24</v>
      </c>
      <c r="I1572">
        <v>248.42</v>
      </c>
      <c r="J1572">
        <v>215.8</v>
      </c>
      <c r="K1572">
        <v>215.8</v>
      </c>
      <c r="L1572" t="s">
        <v>25</v>
      </c>
      <c r="M1572" t="s">
        <v>132</v>
      </c>
      <c r="N1572">
        <v>590000</v>
      </c>
      <c r="O1572">
        <v>127322000</v>
      </c>
      <c r="P1572" t="str">
        <f>IF(T[[#This Row],[qty_ordered]]&lt;&gt;T[[#This Row],[qty_received]],IF(T[[#This Row],[qty_received]]&gt;0,"Partial Received","Not Receviced"),"FullyReceived")</f>
        <v>Partial Received</v>
      </c>
      <c r="Q1572" t="str">
        <f>IF(T[[#This Row],[qty_received]]&lt;&gt;T[[#This Row],[qty_invoiced]],IF(T[[#This Row],[qty_invoiced]]&gt;0,"Partial Invoiced","Not Invoiced"),"Fully Invoiced")</f>
        <v>Fully Invoiced</v>
      </c>
      <c r="R1572" t="str">
        <f>IFERROR(VLOOKUP(T[[#This Row],[warehouse]],Table2[],2,FALSE),"--")</f>
        <v>PZU Main Warehouse</v>
      </c>
    </row>
    <row r="1573" spans="1:18" x14ac:dyDescent="0.25">
      <c r="A1573" t="s">
        <v>235</v>
      </c>
      <c r="B1573" s="1">
        <v>44160</v>
      </c>
      <c r="C1573" t="s">
        <v>1000</v>
      </c>
      <c r="D1573" t="s">
        <v>324</v>
      </c>
      <c r="E1573" t="s">
        <v>51</v>
      </c>
      <c r="F1573" t="s">
        <v>546</v>
      </c>
      <c r="G1573" t="s">
        <v>1063</v>
      </c>
      <c r="H1573" t="s">
        <v>54</v>
      </c>
      <c r="I1573">
        <v>10000</v>
      </c>
      <c r="J1573">
        <v>0</v>
      </c>
      <c r="K1573">
        <v>1</v>
      </c>
      <c r="L1573" t="s">
        <v>25</v>
      </c>
      <c r="M1573" t="s">
        <v>533</v>
      </c>
      <c r="N1573">
        <v>7.2</v>
      </c>
      <c r="O1573">
        <v>0</v>
      </c>
      <c r="P1573" t="str">
        <f>IF(T[[#This Row],[qty_ordered]]&lt;&gt;T[[#This Row],[qty_received]],IF(T[[#This Row],[qty_received]]&gt;0,"Partial Received","Not Receviced"),"FullyReceived")</f>
        <v>Not Receviced</v>
      </c>
      <c r="Q1573" t="str">
        <f>IF(T[[#This Row],[qty_received]]&lt;&gt;T[[#This Row],[qty_invoiced]],IF(T[[#This Row],[qty_invoiced]]&gt;0,"Partial Invoiced","Not Invoiced"),"Fully Invoiced")</f>
        <v>Partial Invoiced</v>
      </c>
      <c r="R1573" t="str">
        <f>IFERROR(VLOOKUP(T[[#This Row],[warehouse]],Table2[],2,FALSE),"--")</f>
        <v>--</v>
      </c>
    </row>
    <row r="1574" spans="1:18" x14ac:dyDescent="0.25">
      <c r="A1574" t="s">
        <v>1170</v>
      </c>
      <c r="B1574" s="1">
        <v>44244</v>
      </c>
      <c r="C1574" t="s">
        <v>1229</v>
      </c>
      <c r="D1574" t="s">
        <v>20</v>
      </c>
      <c r="E1574" t="s">
        <v>239</v>
      </c>
      <c r="F1574" t="s">
        <v>196</v>
      </c>
      <c r="G1574" t="s">
        <v>197</v>
      </c>
      <c r="H1574" t="s">
        <v>24</v>
      </c>
      <c r="I1574">
        <v>7000</v>
      </c>
      <c r="J1574">
        <v>0</v>
      </c>
      <c r="K1574">
        <v>0</v>
      </c>
      <c r="L1574" t="s">
        <v>25</v>
      </c>
      <c r="M1574" t="s">
        <v>132</v>
      </c>
      <c r="N1574">
        <v>75000</v>
      </c>
      <c r="O1574">
        <v>0</v>
      </c>
      <c r="P1574" t="str">
        <f>IF(T[[#This Row],[qty_ordered]]&lt;&gt;T[[#This Row],[qty_received]],IF(T[[#This Row],[qty_received]]&gt;0,"Partial Received","Not Receviced"),"FullyReceived")</f>
        <v>Not Receviced</v>
      </c>
      <c r="Q1574" t="str">
        <f>IF(T[[#This Row],[qty_received]]&lt;&gt;T[[#This Row],[qty_invoiced]],IF(T[[#This Row],[qty_invoiced]]&gt;0,"Partial Invoiced","Not Invoiced"),"Fully Invoiced")</f>
        <v>Fully Invoiced</v>
      </c>
      <c r="R1574" t="str">
        <f>IFERROR(VLOOKUP(T[[#This Row],[warehouse]],Table2[],2,FALSE),"--")</f>
        <v xml:space="preserve">Gadarif Main Store </v>
      </c>
    </row>
    <row r="1575" spans="1:18" x14ac:dyDescent="0.25">
      <c r="A1575" t="s">
        <v>1230</v>
      </c>
      <c r="B1575" s="1">
        <v>44250</v>
      </c>
      <c r="C1575" t="s">
        <v>1231</v>
      </c>
      <c r="D1575" t="s">
        <v>20</v>
      </c>
      <c r="E1575" t="s">
        <v>1232</v>
      </c>
      <c r="F1575" t="s">
        <v>1233</v>
      </c>
      <c r="G1575" t="s">
        <v>1234</v>
      </c>
      <c r="H1575" t="s">
        <v>663</v>
      </c>
      <c r="I1575">
        <v>22507.69</v>
      </c>
      <c r="J1575">
        <v>18000</v>
      </c>
      <c r="K1575">
        <v>18000</v>
      </c>
      <c r="L1575" t="s">
        <v>25</v>
      </c>
      <c r="M1575" t="s">
        <v>132</v>
      </c>
      <c r="N1575">
        <v>650</v>
      </c>
      <c r="O1575">
        <v>11700000</v>
      </c>
      <c r="P1575" t="str">
        <f>IF(T[[#This Row],[qty_ordered]]&lt;&gt;T[[#This Row],[qty_received]],IF(T[[#This Row],[qty_received]]&gt;0,"Partial Received","Not Receviced"),"FullyReceived")</f>
        <v>Partial Received</v>
      </c>
      <c r="Q1575" t="str">
        <f>IF(T[[#This Row],[qty_received]]&lt;&gt;T[[#This Row],[qty_invoiced]],IF(T[[#This Row],[qty_invoiced]]&gt;0,"Partial Invoiced","Not Invoiced"),"Fully Invoiced")</f>
        <v>Fully Invoiced</v>
      </c>
      <c r="R1575" t="str">
        <f>IFERROR(VLOOKUP(T[[#This Row],[warehouse]],Table2[],2,FALSE),"--")</f>
        <v>FACILITY-SCS-Horticu</v>
      </c>
    </row>
    <row r="1576" spans="1:18" x14ac:dyDescent="0.25">
      <c r="A1576" t="s">
        <v>1226</v>
      </c>
      <c r="B1576" s="1">
        <v>44238</v>
      </c>
      <c r="C1576" t="s">
        <v>1227</v>
      </c>
      <c r="D1576" t="s">
        <v>100</v>
      </c>
      <c r="E1576" t="s">
        <v>51</v>
      </c>
      <c r="F1576" t="s">
        <v>52</v>
      </c>
      <c r="G1576" t="s">
        <v>75</v>
      </c>
      <c r="H1576" t="s">
        <v>54</v>
      </c>
      <c r="I1576">
        <v>6000</v>
      </c>
      <c r="J1576">
        <v>0</v>
      </c>
      <c r="K1576">
        <v>1</v>
      </c>
      <c r="L1576" t="s">
        <v>25</v>
      </c>
      <c r="M1576" t="s">
        <v>132</v>
      </c>
      <c r="N1576">
        <v>840</v>
      </c>
      <c r="O1576">
        <v>0</v>
      </c>
      <c r="P1576" t="str">
        <f>IF(T[[#This Row],[qty_ordered]]&lt;&gt;T[[#This Row],[qty_received]],IF(T[[#This Row],[qty_received]]&gt;0,"Partial Received","Not Receviced"),"FullyReceived")</f>
        <v>Not Receviced</v>
      </c>
      <c r="Q1576" t="str">
        <f>IF(T[[#This Row],[qty_received]]&lt;&gt;T[[#This Row],[qty_invoiced]],IF(T[[#This Row],[qty_invoiced]]&gt;0,"Partial Invoiced","Not Invoiced"),"Fully Invoiced")</f>
        <v>Partial Invoiced</v>
      </c>
      <c r="R1576" t="str">
        <f>IFERROR(VLOOKUP(T[[#This Row],[warehouse]],Table2[],2,FALSE),"--")</f>
        <v>--</v>
      </c>
    </row>
    <row r="1577" spans="1:18" x14ac:dyDescent="0.25">
      <c r="A1577" t="s">
        <v>1235</v>
      </c>
      <c r="B1577" s="1">
        <v>44251</v>
      </c>
      <c r="C1577" t="s">
        <v>1236</v>
      </c>
      <c r="D1577" t="s">
        <v>20</v>
      </c>
      <c r="E1577" t="s">
        <v>660</v>
      </c>
      <c r="F1577" t="s">
        <v>705</v>
      </c>
      <c r="G1577" t="s">
        <v>706</v>
      </c>
      <c r="H1577" t="s">
        <v>663</v>
      </c>
      <c r="I1577">
        <v>2924.3</v>
      </c>
      <c r="J1577">
        <v>2924.3</v>
      </c>
      <c r="K1577">
        <v>2924.3</v>
      </c>
      <c r="L1577" t="s">
        <v>25</v>
      </c>
      <c r="M1577" t="s">
        <v>132</v>
      </c>
      <c r="N1577">
        <v>1400</v>
      </c>
      <c r="O1577">
        <v>4094020</v>
      </c>
      <c r="P1577" t="str">
        <f>IF(T[[#This Row],[qty_ordered]]&lt;&gt;T[[#This Row],[qty_received]],IF(T[[#This Row],[qty_received]]&gt;0,"Partial Received","Not Receviced"),"FullyReceived")</f>
        <v>FullyReceived</v>
      </c>
      <c r="Q1577" t="str">
        <f>IF(T[[#This Row],[qty_received]]&lt;&gt;T[[#This Row],[qty_invoiced]],IF(T[[#This Row],[qty_invoiced]]&gt;0,"Partial Invoiced","Not Invoiced"),"Fully Invoiced")</f>
        <v>Fully Invoiced</v>
      </c>
      <c r="R1577" t="str">
        <f>IFERROR(VLOOKUP(T[[#This Row],[warehouse]],Table2[],2,FALSE),"--")</f>
        <v>SLAUGHTER HOUSE</v>
      </c>
    </row>
    <row r="1578" spans="1:18" x14ac:dyDescent="0.25">
      <c r="A1578" t="s">
        <v>955</v>
      </c>
      <c r="B1578" s="1">
        <v>44151</v>
      </c>
      <c r="C1578" t="s">
        <v>1006</v>
      </c>
      <c r="D1578" t="s">
        <v>212</v>
      </c>
      <c r="E1578" t="s">
        <v>66</v>
      </c>
      <c r="F1578" t="s">
        <v>108</v>
      </c>
      <c r="G1578" t="s">
        <v>109</v>
      </c>
      <c r="H1578" t="s">
        <v>24</v>
      </c>
      <c r="I1578">
        <v>375</v>
      </c>
      <c r="J1578">
        <v>0</v>
      </c>
      <c r="K1578">
        <v>0</v>
      </c>
      <c r="L1578" t="s">
        <v>25</v>
      </c>
      <c r="M1578" t="s">
        <v>132</v>
      </c>
      <c r="N1578">
        <v>400000</v>
      </c>
      <c r="O1578">
        <v>0</v>
      </c>
      <c r="P1578" t="str">
        <f>IF(T[[#This Row],[qty_ordered]]&lt;&gt;T[[#This Row],[qty_received]],IF(T[[#This Row],[qty_received]]&gt;0,"Partial Received","Not Receviced"),"FullyReceived")</f>
        <v>Not Receviced</v>
      </c>
      <c r="Q1578" t="str">
        <f>IF(T[[#This Row],[qty_received]]&lt;&gt;T[[#This Row],[qty_invoiced]],IF(T[[#This Row],[qty_invoiced]]&gt;0,"Partial Invoiced","Not Invoiced"),"Fully Invoiced")</f>
        <v>Fully Invoiced</v>
      </c>
      <c r="R1578" t="str">
        <f>IFERROR(VLOOKUP(T[[#This Row],[warehouse]],Table2[],2,FALSE),"--")</f>
        <v>PZU Main Warehouse</v>
      </c>
    </row>
    <row r="1579" spans="1:18" x14ac:dyDescent="0.25">
      <c r="A1579" t="s">
        <v>560</v>
      </c>
      <c r="B1579" s="1">
        <v>44251</v>
      </c>
      <c r="C1579" t="s">
        <v>1237</v>
      </c>
      <c r="D1579" t="s">
        <v>20</v>
      </c>
      <c r="E1579" t="s">
        <v>51</v>
      </c>
      <c r="F1579" t="s">
        <v>164</v>
      </c>
      <c r="G1579" t="s">
        <v>164</v>
      </c>
      <c r="H1579" t="s">
        <v>54</v>
      </c>
      <c r="I1579">
        <v>9</v>
      </c>
      <c r="J1579">
        <v>0</v>
      </c>
      <c r="K1579">
        <v>1</v>
      </c>
      <c r="L1579" t="s">
        <v>25</v>
      </c>
      <c r="M1579" t="s">
        <v>533</v>
      </c>
      <c r="N1579">
        <v>900</v>
      </c>
      <c r="O1579">
        <v>0</v>
      </c>
      <c r="P1579" t="str">
        <f>IF(T[[#This Row],[qty_ordered]]&lt;&gt;T[[#This Row],[qty_received]],IF(T[[#This Row],[qty_received]]&gt;0,"Partial Received","Not Receviced"),"FullyReceived")</f>
        <v>Not Receviced</v>
      </c>
      <c r="Q1579" t="str">
        <f>IF(T[[#This Row],[qty_received]]&lt;&gt;T[[#This Row],[qty_invoiced]],IF(T[[#This Row],[qty_invoiced]]&gt;0,"Partial Invoiced","Not Invoiced"),"Fully Invoiced")</f>
        <v>Partial Invoiced</v>
      </c>
      <c r="R1579" t="str">
        <f>IFERROR(VLOOKUP(T[[#This Row],[warehouse]],Table2[],2,FALSE),"--")</f>
        <v>--</v>
      </c>
    </row>
    <row r="1580" spans="1:18" x14ac:dyDescent="0.25">
      <c r="A1580" t="s">
        <v>560</v>
      </c>
      <c r="B1580" s="1">
        <v>44251</v>
      </c>
      <c r="C1580" t="s">
        <v>1237</v>
      </c>
      <c r="D1580" t="s">
        <v>71</v>
      </c>
      <c r="E1580" t="s">
        <v>51</v>
      </c>
      <c r="F1580" t="s">
        <v>164</v>
      </c>
      <c r="G1580" t="s">
        <v>164</v>
      </c>
      <c r="H1580" t="s">
        <v>54</v>
      </c>
      <c r="I1580">
        <v>41</v>
      </c>
      <c r="J1580">
        <v>0</v>
      </c>
      <c r="K1580">
        <v>1</v>
      </c>
      <c r="L1580" t="s">
        <v>25</v>
      </c>
      <c r="M1580" t="s">
        <v>533</v>
      </c>
      <c r="N1580">
        <v>900</v>
      </c>
      <c r="O1580">
        <v>0</v>
      </c>
      <c r="P1580" t="str">
        <f>IF(T[[#This Row],[qty_ordered]]&lt;&gt;T[[#This Row],[qty_received]],IF(T[[#This Row],[qty_received]]&gt;0,"Partial Received","Not Receviced"),"FullyReceived")</f>
        <v>Not Receviced</v>
      </c>
      <c r="Q1580" t="str">
        <f>IF(T[[#This Row],[qty_received]]&lt;&gt;T[[#This Row],[qty_invoiced]],IF(T[[#This Row],[qty_invoiced]]&gt;0,"Partial Invoiced","Not Invoiced"),"Fully Invoiced")</f>
        <v>Partial Invoiced</v>
      </c>
      <c r="R1580" t="str">
        <f>IFERROR(VLOOKUP(T[[#This Row],[warehouse]],Table2[],2,FALSE),"--")</f>
        <v>--</v>
      </c>
    </row>
    <row r="1581" spans="1:18" x14ac:dyDescent="0.25">
      <c r="A1581" t="s">
        <v>560</v>
      </c>
      <c r="B1581" s="1">
        <v>44251</v>
      </c>
      <c r="C1581" t="s">
        <v>1237</v>
      </c>
      <c r="D1581" t="s">
        <v>100</v>
      </c>
      <c r="E1581" t="s">
        <v>51</v>
      </c>
      <c r="F1581" t="s">
        <v>164</v>
      </c>
      <c r="G1581" t="s">
        <v>164</v>
      </c>
      <c r="H1581" t="s">
        <v>54</v>
      </c>
      <c r="I1581">
        <v>72</v>
      </c>
      <c r="J1581">
        <v>0</v>
      </c>
      <c r="K1581">
        <v>1</v>
      </c>
      <c r="L1581" t="s">
        <v>25</v>
      </c>
      <c r="M1581" t="s">
        <v>533</v>
      </c>
      <c r="N1581">
        <v>997.30555600000002</v>
      </c>
      <c r="O1581">
        <v>0</v>
      </c>
      <c r="P1581" t="str">
        <f>IF(T[[#This Row],[qty_ordered]]&lt;&gt;T[[#This Row],[qty_received]],IF(T[[#This Row],[qty_received]]&gt;0,"Partial Received","Not Receviced"),"FullyReceived")</f>
        <v>Not Receviced</v>
      </c>
      <c r="Q1581" t="str">
        <f>IF(T[[#This Row],[qty_received]]&lt;&gt;T[[#This Row],[qty_invoiced]],IF(T[[#This Row],[qty_invoiced]]&gt;0,"Partial Invoiced","Not Invoiced"),"Fully Invoiced")</f>
        <v>Partial Invoiced</v>
      </c>
      <c r="R1581" t="str">
        <f>IFERROR(VLOOKUP(T[[#This Row],[warehouse]],Table2[],2,FALSE),"--")</f>
        <v>--</v>
      </c>
    </row>
    <row r="1582" spans="1:18" x14ac:dyDescent="0.25">
      <c r="A1582" t="s">
        <v>560</v>
      </c>
      <c r="B1582" s="1">
        <v>44251</v>
      </c>
      <c r="C1582" t="s">
        <v>1238</v>
      </c>
      <c r="D1582" t="s">
        <v>20</v>
      </c>
      <c r="E1582" t="s">
        <v>51</v>
      </c>
      <c r="F1582" t="s">
        <v>164</v>
      </c>
      <c r="G1582" t="s">
        <v>164</v>
      </c>
      <c r="H1582" t="s">
        <v>54</v>
      </c>
      <c r="I1582">
        <v>66</v>
      </c>
      <c r="J1582">
        <v>0</v>
      </c>
      <c r="K1582">
        <v>1</v>
      </c>
      <c r="L1582" t="s">
        <v>25</v>
      </c>
      <c r="M1582" t="s">
        <v>533</v>
      </c>
      <c r="N1582">
        <v>650</v>
      </c>
      <c r="O1582">
        <v>0</v>
      </c>
      <c r="P1582" t="str">
        <f>IF(T[[#This Row],[qty_ordered]]&lt;&gt;T[[#This Row],[qty_received]],IF(T[[#This Row],[qty_received]]&gt;0,"Partial Received","Not Receviced"),"FullyReceived")</f>
        <v>Not Receviced</v>
      </c>
      <c r="Q1582" t="str">
        <f>IF(T[[#This Row],[qty_received]]&lt;&gt;T[[#This Row],[qty_invoiced]],IF(T[[#This Row],[qty_invoiced]]&gt;0,"Partial Invoiced","Not Invoiced"),"Fully Invoiced")</f>
        <v>Partial Invoiced</v>
      </c>
      <c r="R1582" t="str">
        <f>IFERROR(VLOOKUP(T[[#This Row],[warehouse]],Table2[],2,FALSE),"--")</f>
        <v>--</v>
      </c>
    </row>
    <row r="1583" spans="1:18" x14ac:dyDescent="0.25">
      <c r="A1583" t="s">
        <v>560</v>
      </c>
      <c r="B1583" s="1">
        <v>44251</v>
      </c>
      <c r="C1583" t="s">
        <v>1238</v>
      </c>
      <c r="D1583" t="s">
        <v>71</v>
      </c>
      <c r="E1583" t="s">
        <v>51</v>
      </c>
      <c r="F1583" t="s">
        <v>164</v>
      </c>
      <c r="G1583" t="s">
        <v>164</v>
      </c>
      <c r="H1583" t="s">
        <v>54</v>
      </c>
      <c r="I1583">
        <v>11</v>
      </c>
      <c r="J1583">
        <v>0</v>
      </c>
      <c r="K1583">
        <v>1</v>
      </c>
      <c r="L1583" t="s">
        <v>25</v>
      </c>
      <c r="M1583" t="s">
        <v>533</v>
      </c>
      <c r="N1583">
        <v>900</v>
      </c>
      <c r="O1583">
        <v>0</v>
      </c>
      <c r="P1583" t="str">
        <f>IF(T[[#This Row],[qty_ordered]]&lt;&gt;T[[#This Row],[qty_received]],IF(T[[#This Row],[qty_received]]&gt;0,"Partial Received","Not Receviced"),"FullyReceived")</f>
        <v>Not Receviced</v>
      </c>
      <c r="Q1583" t="str">
        <f>IF(T[[#This Row],[qty_received]]&lt;&gt;T[[#This Row],[qty_invoiced]],IF(T[[#This Row],[qty_invoiced]]&gt;0,"Partial Invoiced","Not Invoiced"),"Fully Invoiced")</f>
        <v>Partial Invoiced</v>
      </c>
      <c r="R1583" t="str">
        <f>IFERROR(VLOOKUP(T[[#This Row],[warehouse]],Table2[],2,FALSE),"--")</f>
        <v>--</v>
      </c>
    </row>
    <row r="1584" spans="1:18" x14ac:dyDescent="0.25">
      <c r="A1584" t="s">
        <v>560</v>
      </c>
      <c r="B1584" s="1">
        <v>44251</v>
      </c>
      <c r="C1584" t="s">
        <v>1238</v>
      </c>
      <c r="D1584" t="s">
        <v>100</v>
      </c>
      <c r="E1584" t="s">
        <v>51</v>
      </c>
      <c r="F1584" t="s">
        <v>164</v>
      </c>
      <c r="G1584" t="s">
        <v>164</v>
      </c>
      <c r="H1584" t="s">
        <v>54</v>
      </c>
      <c r="I1584">
        <v>57</v>
      </c>
      <c r="J1584">
        <v>0</v>
      </c>
      <c r="K1584">
        <v>1</v>
      </c>
      <c r="L1584" t="s">
        <v>25</v>
      </c>
      <c r="M1584" t="s">
        <v>533</v>
      </c>
      <c r="N1584">
        <v>971.05263200000002</v>
      </c>
      <c r="O1584">
        <v>0</v>
      </c>
      <c r="P1584" t="str">
        <f>IF(T[[#This Row],[qty_ordered]]&lt;&gt;T[[#This Row],[qty_received]],IF(T[[#This Row],[qty_received]]&gt;0,"Partial Received","Not Receviced"),"FullyReceived")</f>
        <v>Not Receviced</v>
      </c>
      <c r="Q1584" t="str">
        <f>IF(T[[#This Row],[qty_received]]&lt;&gt;T[[#This Row],[qty_invoiced]],IF(T[[#This Row],[qty_invoiced]]&gt;0,"Partial Invoiced","Not Invoiced"),"Fully Invoiced")</f>
        <v>Partial Invoiced</v>
      </c>
      <c r="R1584" t="str">
        <f>IFERROR(VLOOKUP(T[[#This Row],[warehouse]],Table2[],2,FALSE),"--")</f>
        <v>--</v>
      </c>
    </row>
    <row r="1585" spans="1:18" x14ac:dyDescent="0.25">
      <c r="A1585" t="s">
        <v>1239</v>
      </c>
      <c r="B1585" s="1">
        <v>44245</v>
      </c>
      <c r="C1585" t="s">
        <v>1240</v>
      </c>
      <c r="D1585" t="s">
        <v>20</v>
      </c>
      <c r="E1585" t="s">
        <v>66</v>
      </c>
      <c r="F1585" t="s">
        <v>244</v>
      </c>
      <c r="G1585" t="s">
        <v>245</v>
      </c>
      <c r="H1585" t="s">
        <v>24</v>
      </c>
      <c r="I1585">
        <v>341</v>
      </c>
      <c r="J1585">
        <v>307.95999999999998</v>
      </c>
      <c r="K1585">
        <v>307.95999999999998</v>
      </c>
      <c r="L1585" t="s">
        <v>25</v>
      </c>
      <c r="M1585" t="s">
        <v>707</v>
      </c>
      <c r="N1585">
        <v>519061.58360000001</v>
      </c>
      <c r="O1585">
        <v>159850205.285456</v>
      </c>
      <c r="P1585" t="str">
        <f>IF(T[[#This Row],[qty_ordered]]&lt;&gt;T[[#This Row],[qty_received]],IF(T[[#This Row],[qty_received]]&gt;0,"Partial Received","Not Receviced"),"FullyReceived")</f>
        <v>Partial Received</v>
      </c>
      <c r="Q1585" t="str">
        <f>IF(T[[#This Row],[qty_received]]&lt;&gt;T[[#This Row],[qty_invoiced]],IF(T[[#This Row],[qty_invoiced]]&gt;0,"Partial Invoiced","Not Invoiced"),"Fully Invoiced")</f>
        <v>Fully Invoiced</v>
      </c>
      <c r="R1585" t="str">
        <f>IFERROR(VLOOKUP(T[[#This Row],[warehouse]],Table2[],2,FALSE),"--")</f>
        <v>PZU Main Warehouse</v>
      </c>
    </row>
    <row r="1586" spans="1:18" x14ac:dyDescent="0.25">
      <c r="A1586" t="s">
        <v>468</v>
      </c>
      <c r="B1586" s="1">
        <v>44248</v>
      </c>
      <c r="C1586" t="s">
        <v>1241</v>
      </c>
      <c r="D1586" t="s">
        <v>20</v>
      </c>
      <c r="E1586" t="s">
        <v>629</v>
      </c>
      <c r="F1586" t="s">
        <v>287</v>
      </c>
      <c r="G1586" t="s">
        <v>288</v>
      </c>
      <c r="H1586" t="s">
        <v>24</v>
      </c>
      <c r="I1586">
        <v>90</v>
      </c>
      <c r="J1586">
        <v>86.47</v>
      </c>
      <c r="K1586">
        <v>86.47</v>
      </c>
      <c r="L1586" t="s">
        <v>25</v>
      </c>
      <c r="M1586" t="s">
        <v>132</v>
      </c>
      <c r="N1586">
        <v>330000</v>
      </c>
      <c r="O1586">
        <v>28535100</v>
      </c>
      <c r="P1586" t="str">
        <f>IF(T[[#This Row],[qty_ordered]]&lt;&gt;T[[#This Row],[qty_received]],IF(T[[#This Row],[qty_received]]&gt;0,"Partial Received","Not Receviced"),"FullyReceived")</f>
        <v>Partial Received</v>
      </c>
      <c r="Q1586" t="str">
        <f>IF(T[[#This Row],[qty_received]]&lt;&gt;T[[#This Row],[qty_invoiced]],IF(T[[#This Row],[qty_invoiced]]&gt;0,"Partial Invoiced","Not Invoiced"),"Fully Invoiced")</f>
        <v>Fully Invoiced</v>
      </c>
      <c r="R1586" t="str">
        <f>IFERROR(VLOOKUP(T[[#This Row],[warehouse]],Table2[],2,FALSE),"--")</f>
        <v>SOPC Sifting &amp; Sorting</v>
      </c>
    </row>
    <row r="1587" spans="1:18" x14ac:dyDescent="0.25">
      <c r="A1587" t="s">
        <v>1114</v>
      </c>
      <c r="B1587" s="1">
        <v>44250</v>
      </c>
      <c r="C1587" t="s">
        <v>1242</v>
      </c>
      <c r="D1587" t="s">
        <v>20</v>
      </c>
      <c r="E1587" t="s">
        <v>660</v>
      </c>
      <c r="F1587" t="s">
        <v>705</v>
      </c>
      <c r="G1587" t="s">
        <v>706</v>
      </c>
      <c r="H1587" t="s">
        <v>663</v>
      </c>
      <c r="I1587">
        <v>0</v>
      </c>
      <c r="J1587">
        <v>0</v>
      </c>
      <c r="K1587">
        <v>0</v>
      </c>
      <c r="L1587" t="s">
        <v>25</v>
      </c>
      <c r="M1587" t="s">
        <v>132</v>
      </c>
      <c r="N1587">
        <v>1400.0972300000001</v>
      </c>
      <c r="O1587">
        <v>0</v>
      </c>
      <c r="P1587" t="str">
        <f>IF(T[[#This Row],[qty_ordered]]&lt;&gt;T[[#This Row],[qty_received]],IF(T[[#This Row],[qty_received]]&gt;0,"Partial Received","Not Receviced"),"FullyReceived")</f>
        <v>FullyReceived</v>
      </c>
      <c r="Q1587" t="str">
        <f>IF(T[[#This Row],[qty_received]]&lt;&gt;T[[#This Row],[qty_invoiced]],IF(T[[#This Row],[qty_invoiced]]&gt;0,"Partial Invoiced","Not Invoiced"),"Fully Invoiced")</f>
        <v>Fully Invoiced</v>
      </c>
      <c r="R1587" t="str">
        <f>IFERROR(VLOOKUP(T[[#This Row],[warehouse]],Table2[],2,FALSE),"--")</f>
        <v>SLAUGHTER HOUSE</v>
      </c>
    </row>
    <row r="1588" spans="1:18" x14ac:dyDescent="0.25">
      <c r="A1588" t="s">
        <v>658</v>
      </c>
      <c r="B1588" s="1">
        <v>44243</v>
      </c>
      <c r="C1588" t="s">
        <v>1243</v>
      </c>
      <c r="D1588" t="s">
        <v>71</v>
      </c>
      <c r="E1588" t="s">
        <v>660</v>
      </c>
      <c r="F1588" t="s">
        <v>661</v>
      </c>
      <c r="G1588" t="s">
        <v>662</v>
      </c>
      <c r="H1588" t="s">
        <v>663</v>
      </c>
      <c r="I1588">
        <v>2029.4</v>
      </c>
      <c r="J1588">
        <v>2029.4</v>
      </c>
      <c r="K1588">
        <v>2029</v>
      </c>
      <c r="L1588" t="s">
        <v>25</v>
      </c>
      <c r="M1588" t="s">
        <v>707</v>
      </c>
      <c r="N1588">
        <v>1100.826</v>
      </c>
      <c r="O1588">
        <v>1522050</v>
      </c>
      <c r="P1588" t="str">
        <f>IF(T[[#This Row],[qty_ordered]]&lt;&gt;T[[#This Row],[qty_received]],IF(T[[#This Row],[qty_received]]&gt;0,"Partial Received","Not Receviced"),"FullyReceived")</f>
        <v>FullyReceived</v>
      </c>
      <c r="Q1588" t="str">
        <f>IF(T[[#This Row],[qty_received]]&lt;&gt;T[[#This Row],[qty_invoiced]],IF(T[[#This Row],[qty_invoiced]]&gt;0,"Partial Invoiced","Not Invoiced"),"Fully Invoiced")</f>
        <v>Partial Invoiced</v>
      </c>
      <c r="R1588" t="str">
        <f>IFERROR(VLOOKUP(T[[#This Row],[warehouse]],Table2[],2,FALSE),"--")</f>
        <v>SLAUGHTER HOUSE</v>
      </c>
    </row>
    <row r="1589" spans="1:18" x14ac:dyDescent="0.25">
      <c r="A1589" t="s">
        <v>560</v>
      </c>
      <c r="B1589" s="1">
        <v>44251</v>
      </c>
      <c r="C1589" t="s">
        <v>1238</v>
      </c>
      <c r="D1589" t="s">
        <v>88</v>
      </c>
      <c r="E1589" t="s">
        <v>51</v>
      </c>
      <c r="F1589" t="s">
        <v>164</v>
      </c>
      <c r="G1589" t="s">
        <v>164</v>
      </c>
      <c r="H1589" t="s">
        <v>54</v>
      </c>
      <c r="I1589">
        <v>38</v>
      </c>
      <c r="J1589">
        <v>0</v>
      </c>
      <c r="K1589">
        <v>1</v>
      </c>
      <c r="L1589" t="s">
        <v>25</v>
      </c>
      <c r="M1589" t="s">
        <v>533</v>
      </c>
      <c r="N1589">
        <v>998.13157899999999</v>
      </c>
      <c r="O1589">
        <v>0</v>
      </c>
      <c r="P1589" t="str">
        <f>IF(T[[#This Row],[qty_ordered]]&lt;&gt;T[[#This Row],[qty_received]],IF(T[[#This Row],[qty_received]]&gt;0,"Partial Received","Not Receviced"),"FullyReceived")</f>
        <v>Not Receviced</v>
      </c>
      <c r="Q1589" t="str">
        <f>IF(T[[#This Row],[qty_received]]&lt;&gt;T[[#This Row],[qty_invoiced]],IF(T[[#This Row],[qty_invoiced]]&gt;0,"Partial Invoiced","Not Invoiced"),"Fully Invoiced")</f>
        <v>Partial Invoiced</v>
      </c>
      <c r="R1589" t="str">
        <f>IFERROR(VLOOKUP(T[[#This Row],[warehouse]],Table2[],2,FALSE),"--")</f>
        <v>--</v>
      </c>
    </row>
    <row r="1590" spans="1:18" x14ac:dyDescent="0.25">
      <c r="A1590" t="s">
        <v>560</v>
      </c>
      <c r="B1590" s="1">
        <v>44251</v>
      </c>
      <c r="C1590" t="s">
        <v>1238</v>
      </c>
      <c r="D1590" t="s">
        <v>74</v>
      </c>
      <c r="E1590" t="s">
        <v>51</v>
      </c>
      <c r="F1590" t="s">
        <v>164</v>
      </c>
      <c r="G1590" t="s">
        <v>164</v>
      </c>
      <c r="H1590" t="s">
        <v>54</v>
      </c>
      <c r="I1590">
        <v>61</v>
      </c>
      <c r="J1590">
        <v>0</v>
      </c>
      <c r="K1590">
        <v>1</v>
      </c>
      <c r="L1590" t="s">
        <v>25</v>
      </c>
      <c r="M1590" t="s">
        <v>533</v>
      </c>
      <c r="N1590">
        <v>976.22950800000001</v>
      </c>
      <c r="O1590">
        <v>0</v>
      </c>
      <c r="P1590" t="str">
        <f>IF(T[[#This Row],[qty_ordered]]&lt;&gt;T[[#This Row],[qty_received]],IF(T[[#This Row],[qty_received]]&gt;0,"Partial Received","Not Receviced"),"FullyReceived")</f>
        <v>Not Receviced</v>
      </c>
      <c r="Q1590" t="str">
        <f>IF(T[[#This Row],[qty_received]]&lt;&gt;T[[#This Row],[qty_invoiced]],IF(T[[#This Row],[qty_invoiced]]&gt;0,"Partial Invoiced","Not Invoiced"),"Fully Invoiced")</f>
        <v>Partial Invoiced</v>
      </c>
      <c r="R1590" t="str">
        <f>IFERROR(VLOOKUP(T[[#This Row],[warehouse]],Table2[],2,FALSE),"--")</f>
        <v>--</v>
      </c>
    </row>
    <row r="1591" spans="1:18" x14ac:dyDescent="0.25">
      <c r="A1591" t="s">
        <v>560</v>
      </c>
      <c r="B1591" s="1">
        <v>44251</v>
      </c>
      <c r="C1591" t="s">
        <v>1244</v>
      </c>
      <c r="D1591" t="s">
        <v>20</v>
      </c>
      <c r="E1591" t="s">
        <v>51</v>
      </c>
      <c r="F1591" t="s">
        <v>164</v>
      </c>
      <c r="G1591" t="s">
        <v>164</v>
      </c>
      <c r="H1591" t="s">
        <v>54</v>
      </c>
      <c r="I1591">
        <v>50</v>
      </c>
      <c r="J1591">
        <v>0</v>
      </c>
      <c r="K1591">
        <v>1</v>
      </c>
      <c r="L1591" t="s">
        <v>25</v>
      </c>
      <c r="M1591" t="s">
        <v>533</v>
      </c>
      <c r="N1591">
        <v>600</v>
      </c>
      <c r="O1591">
        <v>0</v>
      </c>
      <c r="P1591" t="str">
        <f>IF(T[[#This Row],[qty_ordered]]&lt;&gt;T[[#This Row],[qty_received]],IF(T[[#This Row],[qty_received]]&gt;0,"Partial Received","Not Receviced"),"FullyReceived")</f>
        <v>Not Receviced</v>
      </c>
      <c r="Q1591" t="str">
        <f>IF(T[[#This Row],[qty_received]]&lt;&gt;T[[#This Row],[qty_invoiced]],IF(T[[#This Row],[qty_invoiced]]&gt;0,"Partial Invoiced","Not Invoiced"),"Fully Invoiced")</f>
        <v>Partial Invoiced</v>
      </c>
      <c r="R1591" t="str">
        <f>IFERROR(VLOOKUP(T[[#This Row],[warehouse]],Table2[],2,FALSE),"--")</f>
        <v>--</v>
      </c>
    </row>
    <row r="1592" spans="1:18" x14ac:dyDescent="0.25">
      <c r="A1592" t="s">
        <v>560</v>
      </c>
      <c r="B1592" s="1">
        <v>44251</v>
      </c>
      <c r="C1592" t="s">
        <v>1244</v>
      </c>
      <c r="D1592" t="s">
        <v>71</v>
      </c>
      <c r="E1592" t="s">
        <v>51</v>
      </c>
      <c r="F1592" t="s">
        <v>164</v>
      </c>
      <c r="G1592" t="s">
        <v>164</v>
      </c>
      <c r="H1592" t="s">
        <v>54</v>
      </c>
      <c r="I1592">
        <v>30</v>
      </c>
      <c r="J1592">
        <v>0</v>
      </c>
      <c r="K1592">
        <v>1</v>
      </c>
      <c r="L1592" t="s">
        <v>25</v>
      </c>
      <c r="M1592" t="s">
        <v>533</v>
      </c>
      <c r="N1592">
        <v>900</v>
      </c>
      <c r="O1592">
        <v>0</v>
      </c>
      <c r="P1592" t="str">
        <f>IF(T[[#This Row],[qty_ordered]]&lt;&gt;T[[#This Row],[qty_received]],IF(T[[#This Row],[qty_received]]&gt;0,"Partial Received","Not Receviced"),"FullyReceived")</f>
        <v>Not Receviced</v>
      </c>
      <c r="Q1592" t="str">
        <f>IF(T[[#This Row],[qty_received]]&lt;&gt;T[[#This Row],[qty_invoiced]],IF(T[[#This Row],[qty_invoiced]]&gt;0,"Partial Invoiced","Not Invoiced"),"Fully Invoiced")</f>
        <v>Partial Invoiced</v>
      </c>
      <c r="R1592" t="str">
        <f>IFERROR(VLOOKUP(T[[#This Row],[warehouse]],Table2[],2,FALSE),"--")</f>
        <v>--</v>
      </c>
    </row>
    <row r="1593" spans="1:18" x14ac:dyDescent="0.25">
      <c r="A1593" t="s">
        <v>560</v>
      </c>
      <c r="B1593" s="1">
        <v>44251</v>
      </c>
      <c r="C1593" t="s">
        <v>1244</v>
      </c>
      <c r="D1593" t="s">
        <v>100</v>
      </c>
      <c r="E1593" t="s">
        <v>51</v>
      </c>
      <c r="F1593" t="s">
        <v>164</v>
      </c>
      <c r="G1593" t="s">
        <v>164</v>
      </c>
      <c r="H1593" t="s">
        <v>54</v>
      </c>
      <c r="I1593">
        <v>30</v>
      </c>
      <c r="J1593">
        <v>0</v>
      </c>
      <c r="K1593">
        <v>1</v>
      </c>
      <c r="L1593" t="s">
        <v>25</v>
      </c>
      <c r="M1593" t="s">
        <v>533</v>
      </c>
      <c r="N1593">
        <v>900</v>
      </c>
      <c r="O1593">
        <v>0</v>
      </c>
      <c r="P1593" t="str">
        <f>IF(T[[#This Row],[qty_ordered]]&lt;&gt;T[[#This Row],[qty_received]],IF(T[[#This Row],[qty_received]]&gt;0,"Partial Received","Not Receviced"),"FullyReceived")</f>
        <v>Not Receviced</v>
      </c>
      <c r="Q1593" t="str">
        <f>IF(T[[#This Row],[qty_received]]&lt;&gt;T[[#This Row],[qty_invoiced]],IF(T[[#This Row],[qty_invoiced]]&gt;0,"Partial Invoiced","Not Invoiced"),"Fully Invoiced")</f>
        <v>Partial Invoiced</v>
      </c>
      <c r="R1593" t="str">
        <f>IFERROR(VLOOKUP(T[[#This Row],[warehouse]],Table2[],2,FALSE),"--")</f>
        <v>--</v>
      </c>
    </row>
    <row r="1594" spans="1:18" x14ac:dyDescent="0.25">
      <c r="A1594" t="s">
        <v>560</v>
      </c>
      <c r="B1594" s="1">
        <v>44251</v>
      </c>
      <c r="C1594" t="s">
        <v>1245</v>
      </c>
      <c r="D1594" t="s">
        <v>20</v>
      </c>
      <c r="E1594" t="s">
        <v>51</v>
      </c>
      <c r="F1594" t="s">
        <v>164</v>
      </c>
      <c r="G1594" t="s">
        <v>164</v>
      </c>
      <c r="H1594" t="s">
        <v>54</v>
      </c>
      <c r="I1594">
        <v>66</v>
      </c>
      <c r="J1594">
        <v>0</v>
      </c>
      <c r="K1594">
        <v>1</v>
      </c>
      <c r="L1594" t="s">
        <v>25</v>
      </c>
      <c r="M1594" t="s">
        <v>533</v>
      </c>
      <c r="N1594">
        <v>650</v>
      </c>
      <c r="O1594">
        <v>0</v>
      </c>
      <c r="P1594" t="str">
        <f>IF(T[[#This Row],[qty_ordered]]&lt;&gt;T[[#This Row],[qty_received]],IF(T[[#This Row],[qty_received]]&gt;0,"Partial Received","Not Receviced"),"FullyReceived")</f>
        <v>Not Receviced</v>
      </c>
      <c r="Q1594" t="str">
        <f>IF(T[[#This Row],[qty_received]]&lt;&gt;T[[#This Row],[qty_invoiced]],IF(T[[#This Row],[qty_invoiced]]&gt;0,"Partial Invoiced","Not Invoiced"),"Fully Invoiced")</f>
        <v>Partial Invoiced</v>
      </c>
      <c r="R1594" t="str">
        <f>IFERROR(VLOOKUP(T[[#This Row],[warehouse]],Table2[],2,FALSE),"--")</f>
        <v>--</v>
      </c>
    </row>
    <row r="1595" spans="1:18" x14ac:dyDescent="0.25">
      <c r="A1595" t="s">
        <v>560</v>
      </c>
      <c r="B1595" s="1">
        <v>44251</v>
      </c>
      <c r="C1595" t="s">
        <v>1245</v>
      </c>
      <c r="D1595" t="s">
        <v>71</v>
      </c>
      <c r="E1595" t="s">
        <v>51</v>
      </c>
      <c r="F1595" t="s">
        <v>164</v>
      </c>
      <c r="G1595" t="s">
        <v>164</v>
      </c>
      <c r="H1595" t="s">
        <v>54</v>
      </c>
      <c r="I1595">
        <v>57</v>
      </c>
      <c r="J1595">
        <v>0</v>
      </c>
      <c r="K1595">
        <v>1</v>
      </c>
      <c r="L1595" t="s">
        <v>25</v>
      </c>
      <c r="M1595" t="s">
        <v>533</v>
      </c>
      <c r="N1595">
        <v>971.05263200000002</v>
      </c>
      <c r="O1595">
        <v>0</v>
      </c>
      <c r="P1595" t="str">
        <f>IF(T[[#This Row],[qty_ordered]]&lt;&gt;T[[#This Row],[qty_received]],IF(T[[#This Row],[qty_received]]&gt;0,"Partial Received","Not Receviced"),"FullyReceived")</f>
        <v>Not Receviced</v>
      </c>
      <c r="Q1595" t="str">
        <f>IF(T[[#This Row],[qty_received]]&lt;&gt;T[[#This Row],[qty_invoiced]],IF(T[[#This Row],[qty_invoiced]]&gt;0,"Partial Invoiced","Not Invoiced"),"Fully Invoiced")</f>
        <v>Partial Invoiced</v>
      </c>
      <c r="R1595" t="str">
        <f>IFERROR(VLOOKUP(T[[#This Row],[warehouse]],Table2[],2,FALSE),"--")</f>
        <v>--</v>
      </c>
    </row>
    <row r="1596" spans="1:18" x14ac:dyDescent="0.25">
      <c r="A1596" t="s">
        <v>560</v>
      </c>
      <c r="B1596" s="1">
        <v>44251</v>
      </c>
      <c r="C1596" t="s">
        <v>1245</v>
      </c>
      <c r="D1596" t="s">
        <v>100</v>
      </c>
      <c r="E1596" t="s">
        <v>51</v>
      </c>
      <c r="F1596" t="s">
        <v>164</v>
      </c>
      <c r="G1596" t="s">
        <v>164</v>
      </c>
      <c r="H1596" t="s">
        <v>54</v>
      </c>
      <c r="I1596">
        <v>14</v>
      </c>
      <c r="J1596">
        <v>0</v>
      </c>
      <c r="K1596">
        <v>1</v>
      </c>
      <c r="L1596" t="s">
        <v>25</v>
      </c>
      <c r="M1596" t="s">
        <v>533</v>
      </c>
      <c r="N1596">
        <v>1029.142857</v>
      </c>
      <c r="O1596">
        <v>0</v>
      </c>
      <c r="P1596" t="str">
        <f>IF(T[[#This Row],[qty_ordered]]&lt;&gt;T[[#This Row],[qty_received]],IF(T[[#This Row],[qty_received]]&gt;0,"Partial Received","Not Receviced"),"FullyReceived")</f>
        <v>Not Receviced</v>
      </c>
      <c r="Q1596" t="str">
        <f>IF(T[[#This Row],[qty_received]]&lt;&gt;T[[#This Row],[qty_invoiced]],IF(T[[#This Row],[qty_invoiced]]&gt;0,"Partial Invoiced","Not Invoiced"),"Fully Invoiced")</f>
        <v>Partial Invoiced</v>
      </c>
      <c r="R1596" t="str">
        <f>IFERROR(VLOOKUP(T[[#This Row],[warehouse]],Table2[],2,FALSE),"--")</f>
        <v>--</v>
      </c>
    </row>
    <row r="1597" spans="1:18" x14ac:dyDescent="0.25">
      <c r="A1597" t="s">
        <v>795</v>
      </c>
      <c r="B1597" s="1">
        <v>44160</v>
      </c>
      <c r="C1597" t="s">
        <v>1008</v>
      </c>
      <c r="D1597" t="s">
        <v>74</v>
      </c>
      <c r="E1597" t="s">
        <v>825</v>
      </c>
      <c r="F1597" t="s">
        <v>287</v>
      </c>
      <c r="G1597" t="s">
        <v>288</v>
      </c>
      <c r="H1597" t="s">
        <v>24</v>
      </c>
      <c r="I1597">
        <v>5491</v>
      </c>
      <c r="J1597">
        <v>0</v>
      </c>
      <c r="K1597">
        <v>0</v>
      </c>
      <c r="L1597" t="s">
        <v>25</v>
      </c>
      <c r="M1597" t="s">
        <v>132</v>
      </c>
      <c r="N1597">
        <v>366053.54216000001</v>
      </c>
      <c r="O1597">
        <v>0</v>
      </c>
      <c r="P1597" t="str">
        <f>IF(T[[#This Row],[qty_ordered]]&lt;&gt;T[[#This Row],[qty_received]],IF(T[[#This Row],[qty_received]]&gt;0,"Partial Received","Not Receviced"),"FullyReceived")</f>
        <v>Not Receviced</v>
      </c>
      <c r="Q1597" t="str">
        <f>IF(T[[#This Row],[qty_received]]&lt;&gt;T[[#This Row],[qty_invoiced]],IF(T[[#This Row],[qty_invoiced]]&gt;0,"Partial Invoiced","Not Invoiced"),"Fully Invoiced")</f>
        <v>Fully Invoiced</v>
      </c>
      <c r="R1597" t="str">
        <f>IFERROR(VLOOKUP(T[[#This Row],[warehouse]],Table2[],2,FALSE),"--")</f>
        <v>CRUSHER HASABO</v>
      </c>
    </row>
    <row r="1598" spans="1:18" x14ac:dyDescent="0.25">
      <c r="A1598" t="s">
        <v>228</v>
      </c>
      <c r="B1598" s="1">
        <v>44182</v>
      </c>
      <c r="C1598" t="s">
        <v>1029</v>
      </c>
      <c r="D1598" t="s">
        <v>88</v>
      </c>
      <c r="E1598" t="s">
        <v>239</v>
      </c>
      <c r="F1598" t="s">
        <v>196</v>
      </c>
      <c r="G1598" t="s">
        <v>197</v>
      </c>
      <c r="H1598" t="s">
        <v>24</v>
      </c>
      <c r="I1598">
        <v>5250</v>
      </c>
      <c r="J1598">
        <v>0</v>
      </c>
      <c r="K1598">
        <v>0</v>
      </c>
      <c r="L1598" t="s">
        <v>25</v>
      </c>
      <c r="M1598" t="s">
        <v>714</v>
      </c>
      <c r="N1598">
        <v>80000</v>
      </c>
      <c r="O1598">
        <v>0</v>
      </c>
      <c r="P1598" t="str">
        <f>IF(T[[#This Row],[qty_ordered]]&lt;&gt;T[[#This Row],[qty_received]],IF(T[[#This Row],[qty_received]]&gt;0,"Partial Received","Not Receviced"),"FullyReceived")</f>
        <v>Not Receviced</v>
      </c>
      <c r="Q1598" t="str">
        <f>IF(T[[#This Row],[qty_received]]&lt;&gt;T[[#This Row],[qty_invoiced]],IF(T[[#This Row],[qty_invoiced]]&gt;0,"Partial Invoiced","Not Invoiced"),"Fully Invoiced")</f>
        <v>Fully Invoiced</v>
      </c>
      <c r="R1598" t="str">
        <f>IFERROR(VLOOKUP(T[[#This Row],[warehouse]],Table2[],2,FALSE),"--")</f>
        <v xml:space="preserve">Gadarif Main Store </v>
      </c>
    </row>
    <row r="1599" spans="1:18" x14ac:dyDescent="0.25">
      <c r="A1599" t="s">
        <v>228</v>
      </c>
      <c r="B1599" s="1">
        <v>44182</v>
      </c>
      <c r="C1599" t="s">
        <v>1029</v>
      </c>
      <c r="D1599" t="s">
        <v>74</v>
      </c>
      <c r="E1599" t="s">
        <v>239</v>
      </c>
      <c r="F1599" t="s">
        <v>196</v>
      </c>
      <c r="G1599" t="s">
        <v>197</v>
      </c>
      <c r="H1599" t="s">
        <v>24</v>
      </c>
      <c r="I1599">
        <v>7713</v>
      </c>
      <c r="J1599">
        <v>0</v>
      </c>
      <c r="K1599">
        <v>0</v>
      </c>
      <c r="L1599" t="s">
        <v>25</v>
      </c>
      <c r="M1599" t="s">
        <v>714</v>
      </c>
      <c r="N1599">
        <v>75197.718137999997</v>
      </c>
      <c r="O1599">
        <v>0</v>
      </c>
      <c r="P1599" t="str">
        <f>IF(T[[#This Row],[qty_ordered]]&lt;&gt;T[[#This Row],[qty_received]],IF(T[[#This Row],[qty_received]]&gt;0,"Partial Received","Not Receviced"),"FullyReceived")</f>
        <v>Not Receviced</v>
      </c>
      <c r="Q1599" t="str">
        <f>IF(T[[#This Row],[qty_received]]&lt;&gt;T[[#This Row],[qty_invoiced]],IF(T[[#This Row],[qty_invoiced]]&gt;0,"Partial Invoiced","Not Invoiced"),"Fully Invoiced")</f>
        <v>Fully Invoiced</v>
      </c>
      <c r="R1599" t="str">
        <f>IFERROR(VLOOKUP(T[[#This Row],[warehouse]],Table2[],2,FALSE),"--")</f>
        <v xml:space="preserve">Gadarif Main Store </v>
      </c>
    </row>
    <row r="1600" spans="1:18" x14ac:dyDescent="0.25">
      <c r="A1600" t="s">
        <v>560</v>
      </c>
      <c r="B1600" s="1">
        <v>44251</v>
      </c>
      <c r="C1600" t="s">
        <v>1245</v>
      </c>
      <c r="D1600" t="s">
        <v>88</v>
      </c>
      <c r="E1600" t="s">
        <v>51</v>
      </c>
      <c r="F1600" t="s">
        <v>164</v>
      </c>
      <c r="G1600" t="s">
        <v>164</v>
      </c>
      <c r="H1600" t="s">
        <v>54</v>
      </c>
      <c r="I1600">
        <v>61</v>
      </c>
      <c r="J1600">
        <v>0</v>
      </c>
      <c r="K1600">
        <v>1</v>
      </c>
      <c r="L1600" t="s">
        <v>25</v>
      </c>
      <c r="M1600" t="s">
        <v>533</v>
      </c>
      <c r="N1600">
        <v>1067.04918</v>
      </c>
      <c r="O1600">
        <v>0</v>
      </c>
      <c r="P1600" t="str">
        <f>IF(T[[#This Row],[qty_ordered]]&lt;&gt;T[[#This Row],[qty_received]],IF(T[[#This Row],[qty_received]]&gt;0,"Partial Received","Not Receviced"),"FullyReceived")</f>
        <v>Not Receviced</v>
      </c>
      <c r="Q1600" t="str">
        <f>IF(T[[#This Row],[qty_received]]&lt;&gt;T[[#This Row],[qty_invoiced]],IF(T[[#This Row],[qty_invoiced]]&gt;0,"Partial Invoiced","Not Invoiced"),"Fully Invoiced")</f>
        <v>Partial Invoiced</v>
      </c>
      <c r="R1600" t="str">
        <f>IFERROR(VLOOKUP(T[[#This Row],[warehouse]],Table2[],2,FALSE),"--")</f>
        <v>--</v>
      </c>
    </row>
    <row r="1601" spans="1:18" x14ac:dyDescent="0.25">
      <c r="A1601" t="s">
        <v>560</v>
      </c>
      <c r="B1601" s="1">
        <v>44251</v>
      </c>
      <c r="C1601" t="s">
        <v>1246</v>
      </c>
      <c r="D1601" t="s">
        <v>20</v>
      </c>
      <c r="E1601" t="s">
        <v>51</v>
      </c>
      <c r="F1601" t="s">
        <v>164</v>
      </c>
      <c r="G1601" t="s">
        <v>164</v>
      </c>
      <c r="H1601" t="s">
        <v>54</v>
      </c>
      <c r="I1601">
        <v>38</v>
      </c>
      <c r="J1601">
        <v>0</v>
      </c>
      <c r="K1601">
        <v>1</v>
      </c>
      <c r="L1601" t="s">
        <v>25</v>
      </c>
      <c r="M1601" t="s">
        <v>533</v>
      </c>
      <c r="N1601">
        <v>959.21052599999996</v>
      </c>
      <c r="O1601">
        <v>0</v>
      </c>
      <c r="P1601" t="str">
        <f>IF(T[[#This Row],[qty_ordered]]&lt;&gt;T[[#This Row],[qty_received]],IF(T[[#This Row],[qty_received]]&gt;0,"Partial Received","Not Receviced"),"FullyReceived")</f>
        <v>Not Receviced</v>
      </c>
      <c r="Q1601" t="str">
        <f>IF(T[[#This Row],[qty_received]]&lt;&gt;T[[#This Row],[qty_invoiced]],IF(T[[#This Row],[qty_invoiced]]&gt;0,"Partial Invoiced","Not Invoiced"),"Fully Invoiced")</f>
        <v>Partial Invoiced</v>
      </c>
      <c r="R1601" t="str">
        <f>IFERROR(VLOOKUP(T[[#This Row],[warehouse]],Table2[],2,FALSE),"--")</f>
        <v>--</v>
      </c>
    </row>
    <row r="1602" spans="1:18" x14ac:dyDescent="0.25">
      <c r="A1602" t="s">
        <v>560</v>
      </c>
      <c r="B1602" s="1">
        <v>44251</v>
      </c>
      <c r="C1602" t="s">
        <v>1246</v>
      </c>
      <c r="D1602" t="s">
        <v>71</v>
      </c>
      <c r="E1602" t="s">
        <v>51</v>
      </c>
      <c r="F1602" t="s">
        <v>164</v>
      </c>
      <c r="G1602" t="s">
        <v>164</v>
      </c>
      <c r="H1602" t="s">
        <v>54</v>
      </c>
      <c r="I1602">
        <v>50</v>
      </c>
      <c r="J1602">
        <v>0</v>
      </c>
      <c r="K1602">
        <v>1</v>
      </c>
      <c r="L1602" t="s">
        <v>25</v>
      </c>
      <c r="M1602" t="s">
        <v>533</v>
      </c>
      <c r="N1602">
        <v>900</v>
      </c>
      <c r="O1602">
        <v>0</v>
      </c>
      <c r="P1602" t="str">
        <f>IF(T[[#This Row],[qty_ordered]]&lt;&gt;T[[#This Row],[qty_received]],IF(T[[#This Row],[qty_received]]&gt;0,"Partial Received","Not Receviced"),"FullyReceived")</f>
        <v>Not Receviced</v>
      </c>
      <c r="Q1602" t="str">
        <f>IF(T[[#This Row],[qty_received]]&lt;&gt;T[[#This Row],[qty_invoiced]],IF(T[[#This Row],[qty_invoiced]]&gt;0,"Partial Invoiced","Not Invoiced"),"Fully Invoiced")</f>
        <v>Partial Invoiced</v>
      </c>
      <c r="R1602" t="str">
        <f>IFERROR(VLOOKUP(T[[#This Row],[warehouse]],Table2[],2,FALSE),"--")</f>
        <v>--</v>
      </c>
    </row>
    <row r="1603" spans="1:18" x14ac:dyDescent="0.25">
      <c r="A1603" t="s">
        <v>560</v>
      </c>
      <c r="B1603" s="1">
        <v>44251</v>
      </c>
      <c r="C1603" t="s">
        <v>1246</v>
      </c>
      <c r="D1603" t="s">
        <v>100</v>
      </c>
      <c r="E1603" t="s">
        <v>51</v>
      </c>
      <c r="F1603" t="s">
        <v>164</v>
      </c>
      <c r="G1603" t="s">
        <v>164</v>
      </c>
      <c r="H1603" t="s">
        <v>54</v>
      </c>
      <c r="I1603">
        <v>18</v>
      </c>
      <c r="J1603">
        <v>0</v>
      </c>
      <c r="K1603">
        <v>1</v>
      </c>
      <c r="L1603" t="s">
        <v>25</v>
      </c>
      <c r="M1603" t="s">
        <v>533</v>
      </c>
      <c r="N1603">
        <v>975.33333300000004</v>
      </c>
      <c r="O1603">
        <v>0</v>
      </c>
      <c r="P1603" t="str">
        <f>IF(T[[#This Row],[qty_ordered]]&lt;&gt;T[[#This Row],[qty_received]],IF(T[[#This Row],[qty_received]]&gt;0,"Partial Received","Not Receviced"),"FullyReceived")</f>
        <v>Not Receviced</v>
      </c>
      <c r="Q1603" t="str">
        <f>IF(T[[#This Row],[qty_received]]&lt;&gt;T[[#This Row],[qty_invoiced]],IF(T[[#This Row],[qty_invoiced]]&gt;0,"Partial Invoiced","Not Invoiced"),"Fully Invoiced")</f>
        <v>Partial Invoiced</v>
      </c>
      <c r="R1603" t="str">
        <f>IFERROR(VLOOKUP(T[[#This Row],[warehouse]],Table2[],2,FALSE),"--")</f>
        <v>--</v>
      </c>
    </row>
    <row r="1604" spans="1:18" x14ac:dyDescent="0.25">
      <c r="A1604" t="s">
        <v>560</v>
      </c>
      <c r="B1604" s="1">
        <v>44251</v>
      </c>
      <c r="C1604" t="s">
        <v>1246</v>
      </c>
      <c r="D1604" t="s">
        <v>88</v>
      </c>
      <c r="E1604" t="s">
        <v>51</v>
      </c>
      <c r="F1604" t="s">
        <v>164</v>
      </c>
      <c r="G1604" t="s">
        <v>164</v>
      </c>
      <c r="H1604" t="s">
        <v>54</v>
      </c>
      <c r="I1604">
        <v>9</v>
      </c>
      <c r="J1604">
        <v>0</v>
      </c>
      <c r="K1604">
        <v>1</v>
      </c>
      <c r="L1604" t="s">
        <v>25</v>
      </c>
      <c r="M1604" t="s">
        <v>533</v>
      </c>
      <c r="N1604">
        <v>900</v>
      </c>
      <c r="O1604">
        <v>0</v>
      </c>
      <c r="P1604" t="str">
        <f>IF(T[[#This Row],[qty_ordered]]&lt;&gt;T[[#This Row],[qty_received]],IF(T[[#This Row],[qty_received]]&gt;0,"Partial Received","Not Receviced"),"FullyReceived")</f>
        <v>Not Receviced</v>
      </c>
      <c r="Q1604" t="str">
        <f>IF(T[[#This Row],[qty_received]]&lt;&gt;T[[#This Row],[qty_invoiced]],IF(T[[#This Row],[qty_invoiced]]&gt;0,"Partial Invoiced","Not Invoiced"),"Fully Invoiced")</f>
        <v>Partial Invoiced</v>
      </c>
      <c r="R1604" t="str">
        <f>IFERROR(VLOOKUP(T[[#This Row],[warehouse]],Table2[],2,FALSE),"--")</f>
        <v>--</v>
      </c>
    </row>
    <row r="1605" spans="1:18" x14ac:dyDescent="0.25">
      <c r="A1605" t="s">
        <v>560</v>
      </c>
      <c r="B1605" s="1">
        <v>44251</v>
      </c>
      <c r="C1605" t="s">
        <v>1246</v>
      </c>
      <c r="D1605" t="s">
        <v>74</v>
      </c>
      <c r="E1605" t="s">
        <v>51</v>
      </c>
      <c r="F1605" t="s">
        <v>164</v>
      </c>
      <c r="G1605" t="s">
        <v>164</v>
      </c>
      <c r="H1605" t="s">
        <v>54</v>
      </c>
      <c r="I1605">
        <v>21</v>
      </c>
      <c r="J1605">
        <v>0</v>
      </c>
      <c r="K1605">
        <v>1</v>
      </c>
      <c r="L1605" t="s">
        <v>25</v>
      </c>
      <c r="M1605" t="s">
        <v>533</v>
      </c>
      <c r="N1605">
        <v>900</v>
      </c>
      <c r="O1605">
        <v>0</v>
      </c>
      <c r="P1605" t="str">
        <f>IF(T[[#This Row],[qty_ordered]]&lt;&gt;T[[#This Row],[qty_received]],IF(T[[#This Row],[qty_received]]&gt;0,"Partial Received","Not Receviced"),"FullyReceived")</f>
        <v>Not Receviced</v>
      </c>
      <c r="Q1605" t="str">
        <f>IF(T[[#This Row],[qty_received]]&lt;&gt;T[[#This Row],[qty_invoiced]],IF(T[[#This Row],[qty_invoiced]]&gt;0,"Partial Invoiced","Not Invoiced"),"Fully Invoiced")</f>
        <v>Partial Invoiced</v>
      </c>
      <c r="R1605" t="str">
        <f>IFERROR(VLOOKUP(T[[#This Row],[warehouse]],Table2[],2,FALSE),"--")</f>
        <v>--</v>
      </c>
    </row>
    <row r="1606" spans="1:18" x14ac:dyDescent="0.25">
      <c r="A1606" t="s">
        <v>560</v>
      </c>
      <c r="B1606" s="1">
        <v>44251</v>
      </c>
      <c r="C1606" t="s">
        <v>1246</v>
      </c>
      <c r="D1606" t="s">
        <v>76</v>
      </c>
      <c r="E1606" t="s">
        <v>51</v>
      </c>
      <c r="F1606" t="s">
        <v>164</v>
      </c>
      <c r="G1606" t="s">
        <v>164</v>
      </c>
      <c r="H1606" t="s">
        <v>54</v>
      </c>
      <c r="I1606">
        <v>44</v>
      </c>
      <c r="J1606">
        <v>0</v>
      </c>
      <c r="K1606">
        <v>1</v>
      </c>
      <c r="L1606" t="s">
        <v>25</v>
      </c>
      <c r="M1606" t="s">
        <v>533</v>
      </c>
      <c r="N1606">
        <v>946.22727299999997</v>
      </c>
      <c r="O1606">
        <v>0</v>
      </c>
      <c r="P1606" t="str">
        <f>IF(T[[#This Row],[qty_ordered]]&lt;&gt;T[[#This Row],[qty_received]],IF(T[[#This Row],[qty_received]]&gt;0,"Partial Received","Not Receviced"),"FullyReceived")</f>
        <v>Not Receviced</v>
      </c>
      <c r="Q1606" t="str">
        <f>IF(T[[#This Row],[qty_received]]&lt;&gt;T[[#This Row],[qty_invoiced]],IF(T[[#This Row],[qty_invoiced]]&gt;0,"Partial Invoiced","Not Invoiced"),"Fully Invoiced")</f>
        <v>Partial Invoiced</v>
      </c>
      <c r="R1606" t="str">
        <f>IFERROR(VLOOKUP(T[[#This Row],[warehouse]],Table2[],2,FALSE),"--")</f>
        <v>--</v>
      </c>
    </row>
    <row r="1607" spans="1:18" x14ac:dyDescent="0.25">
      <c r="A1607" t="s">
        <v>560</v>
      </c>
      <c r="B1607" s="1">
        <v>44251</v>
      </c>
      <c r="C1607" t="s">
        <v>1246</v>
      </c>
      <c r="D1607" t="s">
        <v>212</v>
      </c>
      <c r="E1607" t="s">
        <v>51</v>
      </c>
      <c r="F1607" t="s">
        <v>164</v>
      </c>
      <c r="G1607" t="s">
        <v>164</v>
      </c>
      <c r="H1607" t="s">
        <v>54</v>
      </c>
      <c r="I1607">
        <v>65</v>
      </c>
      <c r="J1607">
        <v>0</v>
      </c>
      <c r="K1607">
        <v>1</v>
      </c>
      <c r="L1607" t="s">
        <v>25</v>
      </c>
      <c r="M1607" t="s">
        <v>533</v>
      </c>
      <c r="N1607">
        <v>991.29230800000005</v>
      </c>
      <c r="O1607">
        <v>0</v>
      </c>
      <c r="P1607" t="str">
        <f>IF(T[[#This Row],[qty_ordered]]&lt;&gt;T[[#This Row],[qty_received]],IF(T[[#This Row],[qty_received]]&gt;0,"Partial Received","Not Receviced"),"FullyReceived")</f>
        <v>Not Receviced</v>
      </c>
      <c r="Q1607" t="str">
        <f>IF(T[[#This Row],[qty_received]]&lt;&gt;T[[#This Row],[qty_invoiced]],IF(T[[#This Row],[qty_invoiced]]&gt;0,"Partial Invoiced","Not Invoiced"),"Fully Invoiced")</f>
        <v>Partial Invoiced</v>
      </c>
      <c r="R1607" t="str">
        <f>IFERROR(VLOOKUP(T[[#This Row],[warehouse]],Table2[],2,FALSE),"--")</f>
        <v>--</v>
      </c>
    </row>
    <row r="1608" spans="1:18" x14ac:dyDescent="0.25">
      <c r="A1608" t="s">
        <v>852</v>
      </c>
      <c r="B1608" s="1">
        <v>44200</v>
      </c>
      <c r="C1608" t="s">
        <v>1138</v>
      </c>
      <c r="D1608" t="s">
        <v>100</v>
      </c>
      <c r="E1608" t="s">
        <v>51</v>
      </c>
      <c r="F1608" t="s">
        <v>52</v>
      </c>
      <c r="G1608" t="s">
        <v>75</v>
      </c>
      <c r="H1608" t="s">
        <v>54</v>
      </c>
      <c r="I1608">
        <v>1</v>
      </c>
      <c r="J1608">
        <v>0</v>
      </c>
      <c r="K1608">
        <v>1</v>
      </c>
      <c r="L1608" t="s">
        <v>25</v>
      </c>
      <c r="M1608" t="s">
        <v>132</v>
      </c>
      <c r="N1608">
        <v>540000</v>
      </c>
      <c r="O1608">
        <v>0</v>
      </c>
      <c r="P1608" t="str">
        <f>IF(T[[#This Row],[qty_ordered]]&lt;&gt;T[[#This Row],[qty_received]],IF(T[[#This Row],[qty_received]]&gt;0,"Partial Received","Not Receviced"),"FullyReceived")</f>
        <v>Not Receviced</v>
      </c>
      <c r="Q1608" t="str">
        <f>IF(T[[#This Row],[qty_received]]&lt;&gt;T[[#This Row],[qty_invoiced]],IF(T[[#This Row],[qty_invoiced]]&gt;0,"Partial Invoiced","Not Invoiced"),"Fully Invoiced")</f>
        <v>Partial Invoiced</v>
      </c>
      <c r="R1608" t="str">
        <f>IFERROR(VLOOKUP(T[[#This Row],[warehouse]],Table2[],2,FALSE),"--")</f>
        <v>--</v>
      </c>
    </row>
    <row r="1609" spans="1:18" x14ac:dyDescent="0.25">
      <c r="A1609" t="s">
        <v>560</v>
      </c>
      <c r="B1609" s="1">
        <v>44251</v>
      </c>
      <c r="C1609" t="s">
        <v>1247</v>
      </c>
      <c r="D1609" t="s">
        <v>71</v>
      </c>
      <c r="E1609" t="s">
        <v>51</v>
      </c>
      <c r="F1609" t="s">
        <v>164</v>
      </c>
      <c r="G1609" t="s">
        <v>164</v>
      </c>
      <c r="H1609" t="s">
        <v>54</v>
      </c>
      <c r="I1609">
        <v>36</v>
      </c>
      <c r="J1609">
        <v>0</v>
      </c>
      <c r="K1609">
        <v>1</v>
      </c>
      <c r="L1609" t="s">
        <v>25</v>
      </c>
      <c r="M1609" t="s">
        <v>533</v>
      </c>
      <c r="N1609">
        <v>600</v>
      </c>
      <c r="O1609">
        <v>0</v>
      </c>
      <c r="P1609" t="str">
        <f>IF(T[[#This Row],[qty_ordered]]&lt;&gt;T[[#This Row],[qty_received]],IF(T[[#This Row],[qty_received]]&gt;0,"Partial Received","Not Receviced"),"FullyReceived")</f>
        <v>Not Receviced</v>
      </c>
      <c r="Q1609" t="str">
        <f>IF(T[[#This Row],[qty_received]]&lt;&gt;T[[#This Row],[qty_invoiced]],IF(T[[#This Row],[qty_invoiced]]&gt;0,"Partial Invoiced","Not Invoiced"),"Fully Invoiced")</f>
        <v>Partial Invoiced</v>
      </c>
      <c r="R1609" t="str">
        <f>IFERROR(VLOOKUP(T[[#This Row],[warehouse]],Table2[],2,FALSE),"--")</f>
        <v>--</v>
      </c>
    </row>
    <row r="1610" spans="1:18" x14ac:dyDescent="0.25">
      <c r="A1610" t="s">
        <v>560</v>
      </c>
      <c r="B1610" s="1">
        <v>44251</v>
      </c>
      <c r="C1610" t="s">
        <v>1247</v>
      </c>
      <c r="D1610" t="s">
        <v>100</v>
      </c>
      <c r="E1610" t="s">
        <v>51</v>
      </c>
      <c r="F1610" t="s">
        <v>164</v>
      </c>
      <c r="G1610" t="s">
        <v>164</v>
      </c>
      <c r="H1610" t="s">
        <v>54</v>
      </c>
      <c r="I1610">
        <v>88</v>
      </c>
      <c r="J1610">
        <v>0</v>
      </c>
      <c r="K1610">
        <v>1</v>
      </c>
      <c r="L1610" t="s">
        <v>25</v>
      </c>
      <c r="M1610" t="s">
        <v>533</v>
      </c>
      <c r="N1610">
        <v>600</v>
      </c>
      <c r="O1610">
        <v>0</v>
      </c>
      <c r="P1610" t="str">
        <f>IF(T[[#This Row],[qty_ordered]]&lt;&gt;T[[#This Row],[qty_received]],IF(T[[#This Row],[qty_received]]&gt;0,"Partial Received","Not Receviced"),"FullyReceived")</f>
        <v>Not Receviced</v>
      </c>
      <c r="Q1610" t="str">
        <f>IF(T[[#This Row],[qty_received]]&lt;&gt;T[[#This Row],[qty_invoiced]],IF(T[[#This Row],[qty_invoiced]]&gt;0,"Partial Invoiced","Not Invoiced"),"Fully Invoiced")</f>
        <v>Partial Invoiced</v>
      </c>
      <c r="R1610" t="str">
        <f>IFERROR(VLOOKUP(T[[#This Row],[warehouse]],Table2[],2,FALSE),"--")</f>
        <v>--</v>
      </c>
    </row>
    <row r="1611" spans="1:18" x14ac:dyDescent="0.25">
      <c r="A1611" t="s">
        <v>560</v>
      </c>
      <c r="B1611" s="1">
        <v>44251</v>
      </c>
      <c r="C1611" t="s">
        <v>1247</v>
      </c>
      <c r="D1611" t="s">
        <v>88</v>
      </c>
      <c r="E1611" t="s">
        <v>51</v>
      </c>
      <c r="F1611" t="s">
        <v>164</v>
      </c>
      <c r="G1611" t="s">
        <v>164</v>
      </c>
      <c r="H1611" t="s">
        <v>54</v>
      </c>
      <c r="I1611">
        <v>59</v>
      </c>
      <c r="J1611">
        <v>0</v>
      </c>
      <c r="K1611">
        <v>1</v>
      </c>
      <c r="L1611" t="s">
        <v>25</v>
      </c>
      <c r="M1611" t="s">
        <v>533</v>
      </c>
      <c r="N1611">
        <v>900</v>
      </c>
      <c r="O1611">
        <v>0</v>
      </c>
      <c r="P1611" t="str">
        <f>IF(T[[#This Row],[qty_ordered]]&lt;&gt;T[[#This Row],[qty_received]],IF(T[[#This Row],[qty_received]]&gt;0,"Partial Received","Not Receviced"),"FullyReceived")</f>
        <v>Not Receviced</v>
      </c>
      <c r="Q1611" t="str">
        <f>IF(T[[#This Row],[qty_received]]&lt;&gt;T[[#This Row],[qty_invoiced]],IF(T[[#This Row],[qty_invoiced]]&gt;0,"Partial Invoiced","Not Invoiced"),"Fully Invoiced")</f>
        <v>Partial Invoiced</v>
      </c>
      <c r="R1611" t="str">
        <f>IFERROR(VLOOKUP(T[[#This Row],[warehouse]],Table2[],2,FALSE),"--")</f>
        <v>--</v>
      </c>
    </row>
    <row r="1612" spans="1:18" x14ac:dyDescent="0.25">
      <c r="A1612" t="s">
        <v>560</v>
      </c>
      <c r="B1612" s="1">
        <v>44251</v>
      </c>
      <c r="C1612" t="s">
        <v>1247</v>
      </c>
      <c r="D1612" t="s">
        <v>74</v>
      </c>
      <c r="E1612" t="s">
        <v>51</v>
      </c>
      <c r="F1612" t="s">
        <v>164</v>
      </c>
      <c r="G1612" t="s">
        <v>164</v>
      </c>
      <c r="H1612" t="s">
        <v>54</v>
      </c>
      <c r="I1612">
        <v>82</v>
      </c>
      <c r="J1612">
        <v>0</v>
      </c>
      <c r="K1612">
        <v>1</v>
      </c>
      <c r="L1612" t="s">
        <v>25</v>
      </c>
      <c r="M1612" t="s">
        <v>533</v>
      </c>
      <c r="N1612">
        <v>900</v>
      </c>
      <c r="O1612">
        <v>0</v>
      </c>
      <c r="P1612" t="str">
        <f>IF(T[[#This Row],[qty_ordered]]&lt;&gt;T[[#This Row],[qty_received]],IF(T[[#This Row],[qty_received]]&gt;0,"Partial Received","Not Receviced"),"FullyReceived")</f>
        <v>Not Receviced</v>
      </c>
      <c r="Q1612" t="str">
        <f>IF(T[[#This Row],[qty_received]]&lt;&gt;T[[#This Row],[qty_invoiced]],IF(T[[#This Row],[qty_invoiced]]&gt;0,"Partial Invoiced","Not Invoiced"),"Fully Invoiced")</f>
        <v>Partial Invoiced</v>
      </c>
      <c r="R1612" t="str">
        <f>IFERROR(VLOOKUP(T[[#This Row],[warehouse]],Table2[],2,FALSE),"--")</f>
        <v>--</v>
      </c>
    </row>
    <row r="1613" spans="1:18" x14ac:dyDescent="0.25">
      <c r="A1613" t="s">
        <v>560</v>
      </c>
      <c r="B1613" s="1">
        <v>44251</v>
      </c>
      <c r="C1613" t="s">
        <v>1247</v>
      </c>
      <c r="D1613" t="s">
        <v>76</v>
      </c>
      <c r="E1613" t="s">
        <v>51</v>
      </c>
      <c r="F1613" t="s">
        <v>164</v>
      </c>
      <c r="G1613" t="s">
        <v>164</v>
      </c>
      <c r="H1613" t="s">
        <v>54</v>
      </c>
      <c r="I1613">
        <v>39</v>
      </c>
      <c r="J1613">
        <v>0</v>
      </c>
      <c r="K1613">
        <v>1</v>
      </c>
      <c r="L1613" t="s">
        <v>25</v>
      </c>
      <c r="M1613" t="s">
        <v>533</v>
      </c>
      <c r="N1613">
        <v>1065.1538459999999</v>
      </c>
      <c r="O1613">
        <v>0</v>
      </c>
      <c r="P1613" t="str">
        <f>IF(T[[#This Row],[qty_ordered]]&lt;&gt;T[[#This Row],[qty_received]],IF(T[[#This Row],[qty_received]]&gt;0,"Partial Received","Not Receviced"),"FullyReceived")</f>
        <v>Not Receviced</v>
      </c>
      <c r="Q1613" t="str">
        <f>IF(T[[#This Row],[qty_received]]&lt;&gt;T[[#This Row],[qty_invoiced]],IF(T[[#This Row],[qty_invoiced]]&gt;0,"Partial Invoiced","Not Invoiced"),"Fully Invoiced")</f>
        <v>Partial Invoiced</v>
      </c>
      <c r="R1613" t="str">
        <f>IFERROR(VLOOKUP(T[[#This Row],[warehouse]],Table2[],2,FALSE),"--")</f>
        <v>--</v>
      </c>
    </row>
    <row r="1614" spans="1:18" x14ac:dyDescent="0.25">
      <c r="A1614" t="s">
        <v>560</v>
      </c>
      <c r="B1614" s="1">
        <v>44251</v>
      </c>
      <c r="C1614" t="s">
        <v>1247</v>
      </c>
      <c r="D1614" t="s">
        <v>212</v>
      </c>
      <c r="E1614" t="s">
        <v>51</v>
      </c>
      <c r="F1614" t="s">
        <v>164</v>
      </c>
      <c r="G1614" t="s">
        <v>164</v>
      </c>
      <c r="H1614" t="s">
        <v>54</v>
      </c>
      <c r="I1614">
        <v>39</v>
      </c>
      <c r="J1614">
        <v>0</v>
      </c>
      <c r="K1614">
        <v>1</v>
      </c>
      <c r="L1614" t="s">
        <v>25</v>
      </c>
      <c r="M1614" t="s">
        <v>533</v>
      </c>
      <c r="N1614">
        <v>900</v>
      </c>
      <c r="O1614">
        <v>0</v>
      </c>
      <c r="P1614" t="str">
        <f>IF(T[[#This Row],[qty_ordered]]&lt;&gt;T[[#This Row],[qty_received]],IF(T[[#This Row],[qty_received]]&gt;0,"Partial Received","Not Receviced"),"FullyReceived")</f>
        <v>Not Receviced</v>
      </c>
      <c r="Q1614" t="str">
        <f>IF(T[[#This Row],[qty_received]]&lt;&gt;T[[#This Row],[qty_invoiced]],IF(T[[#This Row],[qty_invoiced]]&gt;0,"Partial Invoiced","Not Invoiced"),"Fully Invoiced")</f>
        <v>Partial Invoiced</v>
      </c>
      <c r="R1614" t="str">
        <f>IFERROR(VLOOKUP(T[[#This Row],[warehouse]],Table2[],2,FALSE),"--")</f>
        <v>--</v>
      </c>
    </row>
    <row r="1615" spans="1:18" x14ac:dyDescent="0.25">
      <c r="A1615" t="s">
        <v>560</v>
      </c>
      <c r="B1615" s="1">
        <v>44251</v>
      </c>
      <c r="C1615" t="s">
        <v>1247</v>
      </c>
      <c r="D1615" t="s">
        <v>322</v>
      </c>
      <c r="E1615" t="s">
        <v>51</v>
      </c>
      <c r="F1615" t="s">
        <v>164</v>
      </c>
      <c r="G1615" t="s">
        <v>164</v>
      </c>
      <c r="H1615" t="s">
        <v>54</v>
      </c>
      <c r="I1615">
        <v>30</v>
      </c>
      <c r="J1615">
        <v>0</v>
      </c>
      <c r="K1615">
        <v>1</v>
      </c>
      <c r="L1615" t="s">
        <v>25</v>
      </c>
      <c r="M1615" t="s">
        <v>533</v>
      </c>
      <c r="N1615">
        <v>1246.5333330000001</v>
      </c>
      <c r="O1615">
        <v>0</v>
      </c>
      <c r="P1615" t="str">
        <f>IF(T[[#This Row],[qty_ordered]]&lt;&gt;T[[#This Row],[qty_received]],IF(T[[#This Row],[qty_received]]&gt;0,"Partial Received","Not Receviced"),"FullyReceived")</f>
        <v>Not Receviced</v>
      </c>
      <c r="Q1615" t="str">
        <f>IF(T[[#This Row],[qty_received]]&lt;&gt;T[[#This Row],[qty_invoiced]],IF(T[[#This Row],[qty_invoiced]]&gt;0,"Partial Invoiced","Not Invoiced"),"Fully Invoiced")</f>
        <v>Partial Invoiced</v>
      </c>
      <c r="R1615" t="str">
        <f>IFERROR(VLOOKUP(T[[#This Row],[warehouse]],Table2[],2,FALSE),"--")</f>
        <v>--</v>
      </c>
    </row>
    <row r="1616" spans="1:18" x14ac:dyDescent="0.25">
      <c r="A1616" t="s">
        <v>560</v>
      </c>
      <c r="B1616" s="1">
        <v>44251</v>
      </c>
      <c r="C1616" t="s">
        <v>1247</v>
      </c>
      <c r="D1616" t="s">
        <v>323</v>
      </c>
      <c r="E1616" t="s">
        <v>51</v>
      </c>
      <c r="F1616" t="s">
        <v>164</v>
      </c>
      <c r="G1616" t="s">
        <v>164</v>
      </c>
      <c r="H1616" t="s">
        <v>54</v>
      </c>
      <c r="I1616">
        <v>78</v>
      </c>
      <c r="J1616">
        <v>0</v>
      </c>
      <c r="K1616">
        <v>1</v>
      </c>
      <c r="L1616" t="s">
        <v>25</v>
      </c>
      <c r="M1616" t="s">
        <v>533</v>
      </c>
      <c r="N1616">
        <v>949.25640999999996</v>
      </c>
      <c r="O1616">
        <v>0</v>
      </c>
      <c r="P1616" t="str">
        <f>IF(T[[#This Row],[qty_ordered]]&lt;&gt;T[[#This Row],[qty_received]],IF(T[[#This Row],[qty_received]]&gt;0,"Partial Received","Not Receviced"),"FullyReceived")</f>
        <v>Not Receviced</v>
      </c>
      <c r="Q1616" t="str">
        <f>IF(T[[#This Row],[qty_received]]&lt;&gt;T[[#This Row],[qty_invoiced]],IF(T[[#This Row],[qty_invoiced]]&gt;0,"Partial Invoiced","Not Invoiced"),"Fully Invoiced")</f>
        <v>Partial Invoiced</v>
      </c>
      <c r="R1616" t="str">
        <f>IFERROR(VLOOKUP(T[[#This Row],[warehouse]],Table2[],2,FALSE),"--")</f>
        <v>--</v>
      </c>
    </row>
    <row r="1617" spans="1:18" x14ac:dyDescent="0.25">
      <c r="A1617" t="s">
        <v>560</v>
      </c>
      <c r="B1617" s="1">
        <v>44251</v>
      </c>
      <c r="C1617" t="s">
        <v>1248</v>
      </c>
      <c r="D1617" t="s">
        <v>20</v>
      </c>
      <c r="E1617" t="s">
        <v>51</v>
      </c>
      <c r="F1617" t="s">
        <v>164</v>
      </c>
      <c r="G1617" t="s">
        <v>164</v>
      </c>
      <c r="H1617" t="s">
        <v>54</v>
      </c>
      <c r="I1617">
        <v>55</v>
      </c>
      <c r="J1617">
        <v>0</v>
      </c>
      <c r="K1617">
        <v>1</v>
      </c>
      <c r="L1617" t="s">
        <v>25</v>
      </c>
      <c r="M1617" t="s">
        <v>533</v>
      </c>
      <c r="N1617">
        <v>620</v>
      </c>
      <c r="O1617">
        <v>0</v>
      </c>
      <c r="P1617" t="str">
        <f>IF(T[[#This Row],[qty_ordered]]&lt;&gt;T[[#This Row],[qty_received]],IF(T[[#This Row],[qty_received]]&gt;0,"Partial Received","Not Receviced"),"FullyReceived")</f>
        <v>Not Receviced</v>
      </c>
      <c r="Q1617" t="str">
        <f>IF(T[[#This Row],[qty_received]]&lt;&gt;T[[#This Row],[qty_invoiced]],IF(T[[#This Row],[qty_invoiced]]&gt;0,"Partial Invoiced","Not Invoiced"),"Fully Invoiced")</f>
        <v>Partial Invoiced</v>
      </c>
      <c r="R1617" t="str">
        <f>IFERROR(VLOOKUP(T[[#This Row],[warehouse]],Table2[],2,FALSE),"--")</f>
        <v>--</v>
      </c>
    </row>
    <row r="1618" spans="1:18" x14ac:dyDescent="0.25">
      <c r="A1618" t="s">
        <v>560</v>
      </c>
      <c r="B1618" s="1">
        <v>44251</v>
      </c>
      <c r="C1618" t="s">
        <v>1248</v>
      </c>
      <c r="D1618" t="s">
        <v>71</v>
      </c>
      <c r="E1618" t="s">
        <v>51</v>
      </c>
      <c r="F1618" t="s">
        <v>164</v>
      </c>
      <c r="G1618" t="s">
        <v>164</v>
      </c>
      <c r="H1618" t="s">
        <v>54</v>
      </c>
      <c r="I1618">
        <v>44</v>
      </c>
      <c r="J1618">
        <v>0</v>
      </c>
      <c r="K1618">
        <v>1</v>
      </c>
      <c r="L1618" t="s">
        <v>25</v>
      </c>
      <c r="M1618" t="s">
        <v>533</v>
      </c>
      <c r="N1618">
        <v>600</v>
      </c>
      <c r="O1618">
        <v>0</v>
      </c>
      <c r="P1618" t="str">
        <f>IF(T[[#This Row],[qty_ordered]]&lt;&gt;T[[#This Row],[qty_received]],IF(T[[#This Row],[qty_received]]&gt;0,"Partial Received","Not Receviced"),"FullyReceived")</f>
        <v>Not Receviced</v>
      </c>
      <c r="Q1618" t="str">
        <f>IF(T[[#This Row],[qty_received]]&lt;&gt;T[[#This Row],[qty_invoiced]],IF(T[[#This Row],[qty_invoiced]]&gt;0,"Partial Invoiced","Not Invoiced"),"Fully Invoiced")</f>
        <v>Partial Invoiced</v>
      </c>
      <c r="R1618" t="str">
        <f>IFERROR(VLOOKUP(T[[#This Row],[warehouse]],Table2[],2,FALSE),"--")</f>
        <v>--</v>
      </c>
    </row>
    <row r="1619" spans="1:18" x14ac:dyDescent="0.25">
      <c r="A1619" t="s">
        <v>560</v>
      </c>
      <c r="B1619" s="1">
        <v>44251</v>
      </c>
      <c r="C1619" t="s">
        <v>1248</v>
      </c>
      <c r="D1619" t="s">
        <v>100</v>
      </c>
      <c r="E1619" t="s">
        <v>51</v>
      </c>
      <c r="F1619" t="s">
        <v>164</v>
      </c>
      <c r="G1619" t="s">
        <v>164</v>
      </c>
      <c r="H1619" t="s">
        <v>54</v>
      </c>
      <c r="I1619">
        <v>44</v>
      </c>
      <c r="J1619">
        <v>0</v>
      </c>
      <c r="K1619">
        <v>1</v>
      </c>
      <c r="L1619" t="s">
        <v>25</v>
      </c>
      <c r="M1619" t="s">
        <v>533</v>
      </c>
      <c r="N1619">
        <v>600</v>
      </c>
      <c r="O1619">
        <v>0</v>
      </c>
      <c r="P1619" t="str">
        <f>IF(T[[#This Row],[qty_ordered]]&lt;&gt;T[[#This Row],[qty_received]],IF(T[[#This Row],[qty_received]]&gt;0,"Partial Received","Not Receviced"),"FullyReceived")</f>
        <v>Not Receviced</v>
      </c>
      <c r="Q1619" t="str">
        <f>IF(T[[#This Row],[qty_received]]&lt;&gt;T[[#This Row],[qty_invoiced]],IF(T[[#This Row],[qty_invoiced]]&gt;0,"Partial Invoiced","Not Invoiced"),"Fully Invoiced")</f>
        <v>Partial Invoiced</v>
      </c>
      <c r="R1619" t="str">
        <f>IFERROR(VLOOKUP(T[[#This Row],[warehouse]],Table2[],2,FALSE),"--")</f>
        <v>--</v>
      </c>
    </row>
    <row r="1620" spans="1:18" x14ac:dyDescent="0.25">
      <c r="A1620" t="s">
        <v>560</v>
      </c>
      <c r="B1620" s="1">
        <v>44251</v>
      </c>
      <c r="C1620" t="s">
        <v>1248</v>
      </c>
      <c r="D1620" t="s">
        <v>88</v>
      </c>
      <c r="E1620" t="s">
        <v>51</v>
      </c>
      <c r="F1620" t="s">
        <v>164</v>
      </c>
      <c r="G1620" t="s">
        <v>164</v>
      </c>
      <c r="H1620" t="s">
        <v>54</v>
      </c>
      <c r="I1620">
        <v>30</v>
      </c>
      <c r="J1620">
        <v>0</v>
      </c>
      <c r="K1620">
        <v>1</v>
      </c>
      <c r="L1620" t="s">
        <v>25</v>
      </c>
      <c r="M1620" t="s">
        <v>533</v>
      </c>
      <c r="N1620">
        <v>900</v>
      </c>
      <c r="O1620">
        <v>0</v>
      </c>
      <c r="P1620" t="str">
        <f>IF(T[[#This Row],[qty_ordered]]&lt;&gt;T[[#This Row],[qty_received]],IF(T[[#This Row],[qty_received]]&gt;0,"Partial Received","Not Receviced"),"FullyReceived")</f>
        <v>Not Receviced</v>
      </c>
      <c r="Q1620" t="str">
        <f>IF(T[[#This Row],[qty_received]]&lt;&gt;T[[#This Row],[qty_invoiced]],IF(T[[#This Row],[qty_invoiced]]&gt;0,"Partial Invoiced","Not Invoiced"),"Fully Invoiced")</f>
        <v>Partial Invoiced</v>
      </c>
      <c r="R1620" t="str">
        <f>IFERROR(VLOOKUP(T[[#This Row],[warehouse]],Table2[],2,FALSE),"--")</f>
        <v>--</v>
      </c>
    </row>
    <row r="1621" spans="1:18" x14ac:dyDescent="0.25">
      <c r="A1621" t="s">
        <v>739</v>
      </c>
      <c r="B1621" s="1">
        <v>44140</v>
      </c>
      <c r="C1621" t="s">
        <v>966</v>
      </c>
      <c r="D1621" t="s">
        <v>71</v>
      </c>
      <c r="E1621" t="s">
        <v>660</v>
      </c>
      <c r="F1621" t="s">
        <v>705</v>
      </c>
      <c r="G1621" t="s">
        <v>706</v>
      </c>
      <c r="H1621" t="s">
        <v>663</v>
      </c>
      <c r="I1621">
        <v>3019</v>
      </c>
      <c r="J1621">
        <v>3019</v>
      </c>
      <c r="K1621">
        <v>3019</v>
      </c>
      <c r="L1621" t="s">
        <v>25</v>
      </c>
      <c r="M1621" t="s">
        <v>132</v>
      </c>
      <c r="N1621">
        <v>800</v>
      </c>
      <c r="O1621">
        <v>2415200</v>
      </c>
      <c r="P1621" t="str">
        <f>IF(T[[#This Row],[qty_ordered]]&lt;&gt;T[[#This Row],[qty_received]],IF(T[[#This Row],[qty_received]]&gt;0,"Partial Received","Not Receviced"),"FullyReceived")</f>
        <v>FullyReceived</v>
      </c>
      <c r="Q1621" t="str">
        <f>IF(T[[#This Row],[qty_received]]&lt;&gt;T[[#This Row],[qty_invoiced]],IF(T[[#This Row],[qty_invoiced]]&gt;0,"Partial Invoiced","Not Invoiced"),"Fully Invoiced")</f>
        <v>Fully Invoiced</v>
      </c>
      <c r="R1621" t="str">
        <f>IFERROR(VLOOKUP(T[[#This Row],[warehouse]],Table2[],2,FALSE),"--")</f>
        <v>SLAUGHTER HOUSE</v>
      </c>
    </row>
    <row r="1622" spans="1:18" x14ac:dyDescent="0.25">
      <c r="A1622" t="s">
        <v>658</v>
      </c>
      <c r="B1622" s="1">
        <v>44140</v>
      </c>
      <c r="C1622" t="s">
        <v>967</v>
      </c>
      <c r="D1622" t="s">
        <v>71</v>
      </c>
      <c r="E1622" t="s">
        <v>660</v>
      </c>
      <c r="F1622" t="s">
        <v>661</v>
      </c>
      <c r="G1622" t="s">
        <v>662</v>
      </c>
      <c r="H1622" t="s">
        <v>663</v>
      </c>
      <c r="I1622">
        <v>2048.6</v>
      </c>
      <c r="J1622">
        <v>2048.6</v>
      </c>
      <c r="K1622">
        <v>2048.6</v>
      </c>
      <c r="L1622" t="s">
        <v>25</v>
      </c>
      <c r="M1622" t="s">
        <v>132</v>
      </c>
      <c r="N1622">
        <v>650</v>
      </c>
      <c r="O1622">
        <v>1331590</v>
      </c>
      <c r="P1622" t="str">
        <f>IF(T[[#This Row],[qty_ordered]]&lt;&gt;T[[#This Row],[qty_received]],IF(T[[#This Row],[qty_received]]&gt;0,"Partial Received","Not Receviced"),"FullyReceived")</f>
        <v>FullyReceived</v>
      </c>
      <c r="Q1622" t="str">
        <f>IF(T[[#This Row],[qty_received]]&lt;&gt;T[[#This Row],[qty_invoiced]],IF(T[[#This Row],[qty_invoiced]]&gt;0,"Partial Invoiced","Not Invoiced"),"Fully Invoiced")</f>
        <v>Fully Invoiced</v>
      </c>
      <c r="R1622" t="str">
        <f>IFERROR(VLOOKUP(T[[#This Row],[warehouse]],Table2[],2,FALSE),"--")</f>
        <v>SLAUGHTER HOUSE</v>
      </c>
    </row>
    <row r="1623" spans="1:18" x14ac:dyDescent="0.25">
      <c r="A1623" t="s">
        <v>153</v>
      </c>
      <c r="B1623" s="1">
        <v>44102</v>
      </c>
      <c r="C1623" t="s">
        <v>904</v>
      </c>
      <c r="D1623" t="s">
        <v>100</v>
      </c>
      <c r="E1623" t="s">
        <v>66</v>
      </c>
      <c r="F1623" t="s">
        <v>86</v>
      </c>
      <c r="G1623" t="s">
        <v>87</v>
      </c>
      <c r="H1623" t="s">
        <v>24</v>
      </c>
      <c r="I1623">
        <v>850</v>
      </c>
      <c r="J1623">
        <v>0</v>
      </c>
      <c r="K1623">
        <v>0</v>
      </c>
      <c r="L1623" t="s">
        <v>25</v>
      </c>
      <c r="M1623" t="s">
        <v>132</v>
      </c>
      <c r="N1623">
        <v>294117.64705999999</v>
      </c>
      <c r="O1623">
        <v>0</v>
      </c>
      <c r="P1623" t="str">
        <f>IF(T[[#This Row],[qty_ordered]]&lt;&gt;T[[#This Row],[qty_received]],IF(T[[#This Row],[qty_received]]&gt;0,"Partial Received","Not Receviced"),"FullyReceived")</f>
        <v>Not Receviced</v>
      </c>
      <c r="Q1623" t="str">
        <f>IF(T[[#This Row],[qty_received]]&lt;&gt;T[[#This Row],[qty_invoiced]],IF(T[[#This Row],[qty_invoiced]]&gt;0,"Partial Invoiced","Not Invoiced"),"Fully Invoiced")</f>
        <v>Fully Invoiced</v>
      </c>
      <c r="R1623" t="str">
        <f>IFERROR(VLOOKUP(T[[#This Row],[warehouse]],Table2[],2,FALSE),"--")</f>
        <v>PZU Main Warehouse</v>
      </c>
    </row>
    <row r="1624" spans="1:18" x14ac:dyDescent="0.25">
      <c r="A1624" t="s">
        <v>1249</v>
      </c>
      <c r="B1624" s="1">
        <v>44146</v>
      </c>
      <c r="C1624" t="s">
        <v>1250</v>
      </c>
      <c r="D1624" t="s">
        <v>20</v>
      </c>
      <c r="E1624" t="s">
        <v>1149</v>
      </c>
      <c r="F1624" t="s">
        <v>244</v>
      </c>
      <c r="G1624" t="s">
        <v>245</v>
      </c>
      <c r="H1624" t="s">
        <v>24</v>
      </c>
      <c r="I1624">
        <v>500</v>
      </c>
      <c r="J1624">
        <v>250.04</v>
      </c>
      <c r="K1624">
        <v>250.04</v>
      </c>
      <c r="L1624" t="s">
        <v>25</v>
      </c>
      <c r="M1624" t="s">
        <v>51</v>
      </c>
      <c r="N1624">
        <v>275000</v>
      </c>
      <c r="O1624">
        <v>68761000</v>
      </c>
      <c r="P1624" t="str">
        <f>IF(T[[#This Row],[qty_ordered]]&lt;&gt;T[[#This Row],[qty_received]],IF(T[[#This Row],[qty_received]]&gt;0,"Partial Received","Not Receviced"),"FullyReceived")</f>
        <v>Partial Received</v>
      </c>
      <c r="Q1624" t="str">
        <f>IF(T[[#This Row],[qty_received]]&lt;&gt;T[[#This Row],[qty_invoiced]],IF(T[[#This Row],[qty_invoiced]]&gt;0,"Partial Invoiced","Not Invoiced"),"Fully Invoiced")</f>
        <v>Fully Invoiced</v>
      </c>
      <c r="R1624" t="str">
        <f>IFERROR(VLOOKUP(T[[#This Row],[warehouse]],Table2[],2,FALSE),"--")</f>
        <v>Ginning Nortix</v>
      </c>
    </row>
    <row r="1625" spans="1:18" x14ac:dyDescent="0.25">
      <c r="A1625" t="s">
        <v>618</v>
      </c>
      <c r="B1625" s="1">
        <v>44115</v>
      </c>
      <c r="C1625" t="s">
        <v>965</v>
      </c>
      <c r="D1625" t="s">
        <v>100</v>
      </c>
      <c r="E1625" t="s">
        <v>162</v>
      </c>
      <c r="F1625" t="s">
        <v>86</v>
      </c>
      <c r="G1625" t="s">
        <v>87</v>
      </c>
      <c r="H1625" t="s">
        <v>24</v>
      </c>
      <c r="I1625">
        <v>2546.02</v>
      </c>
      <c r="J1625">
        <v>2546.02</v>
      </c>
      <c r="K1625">
        <v>2546.02</v>
      </c>
      <c r="L1625" t="s">
        <v>25</v>
      </c>
      <c r="M1625" t="s">
        <v>132</v>
      </c>
      <c r="N1625">
        <v>396050</v>
      </c>
      <c r="O1625">
        <v>899394022</v>
      </c>
      <c r="P1625" t="str">
        <f>IF(T[[#This Row],[qty_ordered]]&lt;&gt;T[[#This Row],[qty_received]],IF(T[[#This Row],[qty_received]]&gt;0,"Partial Received","Not Receviced"),"FullyReceived")</f>
        <v>FullyReceived</v>
      </c>
      <c r="Q1625" t="str">
        <f>IF(T[[#This Row],[qty_received]]&lt;&gt;T[[#This Row],[qty_invoiced]],IF(T[[#This Row],[qty_invoiced]]&gt;0,"Partial Invoiced","Not Invoiced"),"Fully Invoiced")</f>
        <v>Fully Invoiced</v>
      </c>
      <c r="R1625" t="str">
        <f>IFERROR(VLOOKUP(T[[#This Row],[warehouse]],Table2[],2,FALSE),"--")</f>
        <v>Sifters Mahasilna</v>
      </c>
    </row>
    <row r="1626" spans="1:18" x14ac:dyDescent="0.25">
      <c r="A1626" t="s">
        <v>955</v>
      </c>
      <c r="B1626" s="1">
        <v>44136</v>
      </c>
      <c r="C1626" t="s">
        <v>956</v>
      </c>
      <c r="D1626" t="s">
        <v>71</v>
      </c>
      <c r="E1626" t="s">
        <v>983</v>
      </c>
      <c r="F1626" t="s">
        <v>86</v>
      </c>
      <c r="G1626" t="s">
        <v>87</v>
      </c>
      <c r="H1626" t="s">
        <v>24</v>
      </c>
      <c r="I1626">
        <v>1564.08</v>
      </c>
      <c r="J1626">
        <v>1564.08</v>
      </c>
      <c r="K1626">
        <v>1564.08</v>
      </c>
      <c r="L1626" t="s">
        <v>25</v>
      </c>
      <c r="M1626" t="s">
        <v>132</v>
      </c>
      <c r="N1626">
        <v>135725</v>
      </c>
      <c r="O1626">
        <v>333801953.75</v>
      </c>
      <c r="P1626" t="str">
        <f>IF(T[[#This Row],[qty_ordered]]&lt;&gt;T[[#This Row],[qty_received]],IF(T[[#This Row],[qty_received]]&gt;0,"Partial Received","Not Receviced"),"FullyReceived")</f>
        <v>FullyReceived</v>
      </c>
      <c r="Q1626" t="str">
        <f>IF(T[[#This Row],[qty_received]]&lt;&gt;T[[#This Row],[qty_invoiced]],IF(T[[#This Row],[qty_invoiced]]&gt;0,"Partial Invoiced","Not Invoiced"),"Fully Invoiced")</f>
        <v>Fully Invoiced</v>
      </c>
      <c r="R1626" t="str">
        <f>IFERROR(VLOOKUP(T[[#This Row],[warehouse]],Table2[],2,FALSE),"--")</f>
        <v>SIFTER- ALNOR- OMDUR</v>
      </c>
    </row>
    <row r="1627" spans="1:18" x14ac:dyDescent="0.25">
      <c r="A1627" t="s">
        <v>955</v>
      </c>
      <c r="B1627" s="1">
        <v>44136</v>
      </c>
      <c r="C1627" t="s">
        <v>956</v>
      </c>
      <c r="D1627" t="s">
        <v>100</v>
      </c>
      <c r="E1627" t="s">
        <v>908</v>
      </c>
      <c r="F1627" t="s">
        <v>86</v>
      </c>
      <c r="G1627" t="s">
        <v>87</v>
      </c>
      <c r="H1627" t="s">
        <v>24</v>
      </c>
      <c r="I1627">
        <v>1000</v>
      </c>
      <c r="J1627">
        <v>607.66999999999996</v>
      </c>
      <c r="K1627">
        <v>607.66999999999996</v>
      </c>
      <c r="L1627" t="s">
        <v>25</v>
      </c>
      <c r="M1627" t="s">
        <v>132</v>
      </c>
      <c r="N1627">
        <v>200000</v>
      </c>
      <c r="O1627">
        <v>121534000</v>
      </c>
      <c r="P1627" t="str">
        <f>IF(T[[#This Row],[qty_ordered]]&lt;&gt;T[[#This Row],[qty_received]],IF(T[[#This Row],[qty_received]]&gt;0,"Partial Received","Not Receviced"),"FullyReceived")</f>
        <v>Partial Received</v>
      </c>
      <c r="Q1627" t="str">
        <f>IF(T[[#This Row],[qty_received]]&lt;&gt;T[[#This Row],[qty_invoiced]],IF(T[[#This Row],[qty_invoiced]]&gt;0,"Partial Invoiced","Not Invoiced"),"Fully Invoiced")</f>
        <v>Fully Invoiced</v>
      </c>
      <c r="R1627" t="str">
        <f>IFERROR(VLOOKUP(T[[#This Row],[warehouse]],Table2[],2,FALSE),"--")</f>
        <v>SIFTER- ALNAZER-OMDU</v>
      </c>
    </row>
    <row r="1628" spans="1:18" x14ac:dyDescent="0.25">
      <c r="A1628" t="s">
        <v>955</v>
      </c>
      <c r="B1628" s="1">
        <v>44151</v>
      </c>
      <c r="C1628" t="s">
        <v>1006</v>
      </c>
      <c r="D1628" t="s">
        <v>20</v>
      </c>
      <c r="E1628" t="s">
        <v>44</v>
      </c>
      <c r="F1628" t="s">
        <v>108</v>
      </c>
      <c r="G1628" t="s">
        <v>109</v>
      </c>
      <c r="H1628" t="s">
        <v>24</v>
      </c>
      <c r="I1628">
        <v>2000</v>
      </c>
      <c r="J1628">
        <v>99.21</v>
      </c>
      <c r="K1628">
        <v>99.21</v>
      </c>
      <c r="L1628" t="s">
        <v>25</v>
      </c>
      <c r="M1628" t="s">
        <v>132</v>
      </c>
      <c r="N1628">
        <v>200000</v>
      </c>
      <c r="O1628">
        <v>19842000</v>
      </c>
      <c r="P1628" t="str">
        <f>IF(T[[#This Row],[qty_ordered]]&lt;&gt;T[[#This Row],[qty_received]],IF(T[[#This Row],[qty_received]]&gt;0,"Partial Received","Not Receviced"),"FullyReceived")</f>
        <v>Partial Received</v>
      </c>
      <c r="Q1628" t="str">
        <f>IF(T[[#This Row],[qty_received]]&lt;&gt;T[[#This Row],[qty_invoiced]],IF(T[[#This Row],[qty_invoiced]]&gt;0,"Partial Invoiced","Not Invoiced"),"Fully Invoiced")</f>
        <v>Fully Invoiced</v>
      </c>
      <c r="R1628" t="str">
        <f>IFERROR(VLOOKUP(T[[#This Row],[warehouse]],Table2[],2,FALSE),"--")</f>
        <v>Sifter OMD - Yara (AlNawris)</v>
      </c>
    </row>
    <row r="1629" spans="1:18" x14ac:dyDescent="0.25">
      <c r="A1629" t="s">
        <v>804</v>
      </c>
      <c r="B1629" s="1">
        <v>44132</v>
      </c>
      <c r="C1629" t="s">
        <v>939</v>
      </c>
      <c r="D1629" t="s">
        <v>71</v>
      </c>
      <c r="E1629" t="s">
        <v>51</v>
      </c>
      <c r="F1629" t="s">
        <v>806</v>
      </c>
      <c r="G1629" t="s">
        <v>806</v>
      </c>
      <c r="H1629" t="s">
        <v>54</v>
      </c>
      <c r="I1629">
        <v>195</v>
      </c>
      <c r="J1629">
        <v>0</v>
      </c>
      <c r="K1629">
        <v>1</v>
      </c>
      <c r="L1629" t="s">
        <v>25</v>
      </c>
      <c r="M1629" t="s">
        <v>132</v>
      </c>
      <c r="N1629">
        <v>4578.4615379999996</v>
      </c>
      <c r="O1629">
        <v>0</v>
      </c>
      <c r="P1629" t="str">
        <f>IF(T[[#This Row],[qty_ordered]]&lt;&gt;T[[#This Row],[qty_received]],IF(T[[#This Row],[qty_received]]&gt;0,"Partial Received","Not Receviced"),"FullyReceived")</f>
        <v>Not Receviced</v>
      </c>
      <c r="Q1629" t="str">
        <f>IF(T[[#This Row],[qty_received]]&lt;&gt;T[[#This Row],[qty_invoiced]],IF(T[[#This Row],[qty_invoiced]]&gt;0,"Partial Invoiced","Not Invoiced"),"Fully Invoiced")</f>
        <v>Partial Invoiced</v>
      </c>
      <c r="R1629" t="str">
        <f>IFERROR(VLOOKUP(T[[#This Row],[warehouse]],Table2[],2,FALSE),"--")</f>
        <v>--</v>
      </c>
    </row>
    <row r="1630" spans="1:18" x14ac:dyDescent="0.25">
      <c r="A1630" t="s">
        <v>739</v>
      </c>
      <c r="B1630" s="1">
        <v>44140</v>
      </c>
      <c r="C1630" t="s">
        <v>966</v>
      </c>
      <c r="D1630" t="s">
        <v>100</v>
      </c>
      <c r="E1630" t="s">
        <v>660</v>
      </c>
      <c r="F1630" t="s">
        <v>705</v>
      </c>
      <c r="G1630" t="s">
        <v>706</v>
      </c>
      <c r="H1630" t="s">
        <v>663</v>
      </c>
      <c r="I1630">
        <v>3016.9</v>
      </c>
      <c r="J1630">
        <v>3016.9</v>
      </c>
      <c r="K1630">
        <v>3016.9</v>
      </c>
      <c r="L1630" t="s">
        <v>25</v>
      </c>
      <c r="M1630" t="s">
        <v>132</v>
      </c>
      <c r="N1630">
        <v>800</v>
      </c>
      <c r="O1630">
        <v>2413520</v>
      </c>
      <c r="P1630" t="str">
        <f>IF(T[[#This Row],[qty_ordered]]&lt;&gt;T[[#This Row],[qty_received]],IF(T[[#This Row],[qty_received]]&gt;0,"Partial Received","Not Receviced"),"FullyReceived")</f>
        <v>FullyReceived</v>
      </c>
      <c r="Q1630" t="str">
        <f>IF(T[[#This Row],[qty_received]]&lt;&gt;T[[#This Row],[qty_invoiced]],IF(T[[#This Row],[qty_invoiced]]&gt;0,"Partial Invoiced","Not Invoiced"),"Fully Invoiced")</f>
        <v>Fully Invoiced</v>
      </c>
      <c r="R1630" t="str">
        <f>IFERROR(VLOOKUP(T[[#This Row],[warehouse]],Table2[],2,FALSE),"--")</f>
        <v>SLAUGHTER HOUSE</v>
      </c>
    </row>
    <row r="1631" spans="1:18" x14ac:dyDescent="0.25">
      <c r="A1631" t="s">
        <v>658</v>
      </c>
      <c r="B1631" s="1">
        <v>44140</v>
      </c>
      <c r="C1631" t="s">
        <v>967</v>
      </c>
      <c r="D1631" t="s">
        <v>100</v>
      </c>
      <c r="E1631" t="s">
        <v>660</v>
      </c>
      <c r="F1631" t="s">
        <v>661</v>
      </c>
      <c r="G1631" t="s">
        <v>662</v>
      </c>
      <c r="H1631" t="s">
        <v>663</v>
      </c>
      <c r="I1631">
        <v>2087.1999999999998</v>
      </c>
      <c r="J1631">
        <v>2087.1999999999998</v>
      </c>
      <c r="K1631">
        <v>2087.1999999999998</v>
      </c>
      <c r="L1631" t="s">
        <v>25</v>
      </c>
      <c r="M1631" t="s">
        <v>132</v>
      </c>
      <c r="N1631">
        <v>700</v>
      </c>
      <c r="O1631">
        <v>1461040</v>
      </c>
      <c r="P1631" t="str">
        <f>IF(T[[#This Row],[qty_ordered]]&lt;&gt;T[[#This Row],[qty_received]],IF(T[[#This Row],[qty_received]]&gt;0,"Partial Received","Not Receviced"),"FullyReceived")</f>
        <v>FullyReceived</v>
      </c>
      <c r="Q1631" t="str">
        <f>IF(T[[#This Row],[qty_received]]&lt;&gt;T[[#This Row],[qty_invoiced]],IF(T[[#This Row],[qty_invoiced]]&gt;0,"Partial Invoiced","Not Invoiced"),"Fully Invoiced")</f>
        <v>Fully Invoiced</v>
      </c>
      <c r="R1631" t="str">
        <f>IFERROR(VLOOKUP(T[[#This Row],[warehouse]],Table2[],2,FALSE),"--")</f>
        <v>SLAUGHTER HOUSE</v>
      </c>
    </row>
    <row r="1632" spans="1:18" x14ac:dyDescent="0.25">
      <c r="A1632" t="s">
        <v>242</v>
      </c>
      <c r="B1632" s="1">
        <v>44143</v>
      </c>
      <c r="C1632" t="s">
        <v>969</v>
      </c>
      <c r="D1632" t="s">
        <v>71</v>
      </c>
      <c r="E1632" t="s">
        <v>66</v>
      </c>
      <c r="F1632" t="s">
        <v>244</v>
      </c>
      <c r="G1632" t="s">
        <v>245</v>
      </c>
      <c r="H1632" t="s">
        <v>24</v>
      </c>
      <c r="I1632">
        <v>179</v>
      </c>
      <c r="J1632">
        <v>41.5</v>
      </c>
      <c r="K1632">
        <v>41.5</v>
      </c>
      <c r="L1632" t="s">
        <v>25</v>
      </c>
      <c r="M1632" t="s">
        <v>132</v>
      </c>
      <c r="N1632">
        <v>280000</v>
      </c>
      <c r="O1632">
        <v>11620000</v>
      </c>
      <c r="P1632" t="str">
        <f>IF(T[[#This Row],[qty_ordered]]&lt;&gt;T[[#This Row],[qty_received]],IF(T[[#This Row],[qty_received]]&gt;0,"Partial Received","Not Receviced"),"FullyReceived")</f>
        <v>Partial Received</v>
      </c>
      <c r="Q1632" t="str">
        <f>IF(T[[#This Row],[qty_received]]&lt;&gt;T[[#This Row],[qty_invoiced]],IF(T[[#This Row],[qty_invoiced]]&gt;0,"Partial Invoiced","Not Invoiced"),"Fully Invoiced")</f>
        <v>Fully Invoiced</v>
      </c>
      <c r="R1632" t="str">
        <f>IFERROR(VLOOKUP(T[[#This Row],[warehouse]],Table2[],2,FALSE),"--")</f>
        <v>PZU Main Warehouse</v>
      </c>
    </row>
    <row r="1633" spans="1:18" x14ac:dyDescent="0.25">
      <c r="A1633" t="s">
        <v>235</v>
      </c>
      <c r="B1633" s="1">
        <v>44132</v>
      </c>
      <c r="C1633" t="s">
        <v>951</v>
      </c>
      <c r="D1633" t="s">
        <v>74</v>
      </c>
      <c r="E1633" t="s">
        <v>51</v>
      </c>
      <c r="F1633" t="s">
        <v>546</v>
      </c>
      <c r="G1633" t="s">
        <v>1151</v>
      </c>
      <c r="H1633" t="s">
        <v>54</v>
      </c>
      <c r="I1633">
        <v>15000</v>
      </c>
      <c r="J1633">
        <v>0</v>
      </c>
      <c r="K1633">
        <v>1</v>
      </c>
      <c r="L1633" t="s">
        <v>25</v>
      </c>
      <c r="M1633" t="s">
        <v>533</v>
      </c>
      <c r="N1633">
        <v>4.5</v>
      </c>
      <c r="O1633">
        <v>0</v>
      </c>
      <c r="P1633" t="str">
        <f>IF(T[[#This Row],[qty_ordered]]&lt;&gt;T[[#This Row],[qty_received]],IF(T[[#This Row],[qty_received]]&gt;0,"Partial Received","Not Receviced"),"FullyReceived")</f>
        <v>Not Receviced</v>
      </c>
      <c r="Q1633" t="str">
        <f>IF(T[[#This Row],[qty_received]]&lt;&gt;T[[#This Row],[qty_invoiced]],IF(T[[#This Row],[qty_invoiced]]&gt;0,"Partial Invoiced","Not Invoiced"),"Fully Invoiced")</f>
        <v>Partial Invoiced</v>
      </c>
      <c r="R1633" t="str">
        <f>IFERROR(VLOOKUP(T[[#This Row],[warehouse]],Table2[],2,FALSE),"--")</f>
        <v>--</v>
      </c>
    </row>
    <row r="1634" spans="1:18" x14ac:dyDescent="0.25">
      <c r="A1634" t="s">
        <v>423</v>
      </c>
      <c r="B1634" s="1">
        <v>44160</v>
      </c>
      <c r="C1634" t="s">
        <v>1009</v>
      </c>
      <c r="D1634" t="s">
        <v>71</v>
      </c>
      <c r="E1634" t="s">
        <v>51</v>
      </c>
      <c r="F1634" t="s">
        <v>546</v>
      </c>
      <c r="G1634" t="s">
        <v>952</v>
      </c>
      <c r="H1634" t="s">
        <v>54</v>
      </c>
      <c r="I1634">
        <v>10000</v>
      </c>
      <c r="J1634">
        <v>0</v>
      </c>
      <c r="K1634">
        <v>1</v>
      </c>
      <c r="L1634" t="s">
        <v>25</v>
      </c>
      <c r="M1634" t="s">
        <v>533</v>
      </c>
      <c r="N1634">
        <v>6.8</v>
      </c>
      <c r="O1634">
        <v>0</v>
      </c>
      <c r="P1634" t="str">
        <f>IF(T[[#This Row],[qty_ordered]]&lt;&gt;T[[#This Row],[qty_received]],IF(T[[#This Row],[qty_received]]&gt;0,"Partial Received","Not Receviced"),"FullyReceived")</f>
        <v>Not Receviced</v>
      </c>
      <c r="Q1634" t="str">
        <f>IF(T[[#This Row],[qty_received]]&lt;&gt;T[[#This Row],[qty_invoiced]],IF(T[[#This Row],[qty_invoiced]]&gt;0,"Partial Invoiced","Not Invoiced"),"Fully Invoiced")</f>
        <v>Partial Invoiced</v>
      </c>
      <c r="R1634" t="str">
        <f>IFERROR(VLOOKUP(T[[#This Row],[warehouse]],Table2[],2,FALSE),"--")</f>
        <v>--</v>
      </c>
    </row>
    <row r="1635" spans="1:18" x14ac:dyDescent="0.25">
      <c r="A1635" t="s">
        <v>423</v>
      </c>
      <c r="B1635" s="1">
        <v>44160</v>
      </c>
      <c r="C1635" t="s">
        <v>1009</v>
      </c>
      <c r="D1635" t="s">
        <v>100</v>
      </c>
      <c r="E1635" t="s">
        <v>51</v>
      </c>
      <c r="F1635" t="s">
        <v>546</v>
      </c>
      <c r="G1635" t="s">
        <v>952</v>
      </c>
      <c r="H1635" t="s">
        <v>54</v>
      </c>
      <c r="I1635">
        <v>5000</v>
      </c>
      <c r="J1635">
        <v>0</v>
      </c>
      <c r="K1635">
        <v>1</v>
      </c>
      <c r="L1635" t="s">
        <v>25</v>
      </c>
      <c r="M1635" t="s">
        <v>533</v>
      </c>
      <c r="N1635">
        <v>5.9</v>
      </c>
      <c r="O1635">
        <v>0</v>
      </c>
      <c r="P1635" t="str">
        <f>IF(T[[#This Row],[qty_ordered]]&lt;&gt;T[[#This Row],[qty_received]],IF(T[[#This Row],[qty_received]]&gt;0,"Partial Received","Not Receviced"),"FullyReceived")</f>
        <v>Not Receviced</v>
      </c>
      <c r="Q1635" t="str">
        <f>IF(T[[#This Row],[qty_received]]&lt;&gt;T[[#This Row],[qty_invoiced]],IF(T[[#This Row],[qty_invoiced]]&gt;0,"Partial Invoiced","Not Invoiced"),"Fully Invoiced")</f>
        <v>Partial Invoiced</v>
      </c>
      <c r="R1635" t="str">
        <f>IFERROR(VLOOKUP(T[[#This Row],[warehouse]],Table2[],2,FALSE),"--")</f>
        <v>--</v>
      </c>
    </row>
    <row r="1636" spans="1:18" x14ac:dyDescent="0.25">
      <c r="A1636" t="s">
        <v>84</v>
      </c>
      <c r="B1636" s="1">
        <v>44201</v>
      </c>
      <c r="C1636" t="s">
        <v>1251</v>
      </c>
      <c r="D1636" t="s">
        <v>20</v>
      </c>
      <c r="E1636" t="s">
        <v>908</v>
      </c>
      <c r="F1636" t="s">
        <v>108</v>
      </c>
      <c r="G1636" t="s">
        <v>109</v>
      </c>
      <c r="H1636" t="s">
        <v>24</v>
      </c>
      <c r="I1636">
        <v>1436.33</v>
      </c>
      <c r="J1636">
        <v>1368.57</v>
      </c>
      <c r="K1636">
        <v>1368.5709999999999</v>
      </c>
      <c r="L1636" t="s">
        <v>25</v>
      </c>
      <c r="M1636" t="s">
        <v>707</v>
      </c>
      <c r="N1636">
        <v>266999.92340000003</v>
      </c>
      <c r="O1636">
        <v>365408085.16753799</v>
      </c>
      <c r="P1636" t="str">
        <f>IF(T[[#This Row],[qty_ordered]]&lt;&gt;T[[#This Row],[qty_received]],IF(T[[#This Row],[qty_received]]&gt;0,"Partial Received","Not Receviced"),"FullyReceived")</f>
        <v>Partial Received</v>
      </c>
      <c r="Q1636" t="str">
        <f>IF(T[[#This Row],[qty_received]]&lt;&gt;T[[#This Row],[qty_invoiced]],IF(T[[#This Row],[qty_invoiced]]&gt;0,"Partial Invoiced","Not Invoiced"),"Fully Invoiced")</f>
        <v>Partial Invoiced</v>
      </c>
      <c r="R1636" t="str">
        <f>IFERROR(VLOOKUP(T[[#This Row],[warehouse]],Table2[],2,FALSE),"--")</f>
        <v>SIFTER- ALNAZER-OMDU</v>
      </c>
    </row>
    <row r="1637" spans="1:18" x14ac:dyDescent="0.25">
      <c r="A1637" t="s">
        <v>560</v>
      </c>
      <c r="B1637" s="1">
        <v>44201</v>
      </c>
      <c r="C1637" t="s">
        <v>1140</v>
      </c>
      <c r="D1637" t="s">
        <v>71</v>
      </c>
      <c r="E1637" t="s">
        <v>51</v>
      </c>
      <c r="F1637" t="s">
        <v>164</v>
      </c>
      <c r="G1637" t="s">
        <v>1141</v>
      </c>
      <c r="H1637" t="s">
        <v>54</v>
      </c>
      <c r="I1637">
        <v>112</v>
      </c>
      <c r="J1637">
        <v>0</v>
      </c>
      <c r="K1637">
        <v>1</v>
      </c>
      <c r="L1637" t="s">
        <v>25</v>
      </c>
      <c r="M1637" t="s">
        <v>533</v>
      </c>
      <c r="N1637">
        <v>642.85714299999995</v>
      </c>
      <c r="O1637">
        <v>0</v>
      </c>
      <c r="P1637" t="str">
        <f>IF(T[[#This Row],[qty_ordered]]&lt;&gt;T[[#This Row],[qty_received]],IF(T[[#This Row],[qty_received]]&gt;0,"Partial Received","Not Receviced"),"FullyReceived")</f>
        <v>Not Receviced</v>
      </c>
      <c r="Q1637" t="str">
        <f>IF(T[[#This Row],[qty_received]]&lt;&gt;T[[#This Row],[qty_invoiced]],IF(T[[#This Row],[qty_invoiced]]&gt;0,"Partial Invoiced","Not Invoiced"),"Fully Invoiced")</f>
        <v>Partial Invoiced</v>
      </c>
      <c r="R1637" t="str">
        <f>IFERROR(VLOOKUP(T[[#This Row],[warehouse]],Table2[],2,FALSE),"--")</f>
        <v>--</v>
      </c>
    </row>
    <row r="1638" spans="1:18" x14ac:dyDescent="0.25">
      <c r="A1638" t="s">
        <v>560</v>
      </c>
      <c r="B1638" s="1">
        <v>44201</v>
      </c>
      <c r="C1638" t="s">
        <v>1140</v>
      </c>
      <c r="D1638" t="s">
        <v>100</v>
      </c>
      <c r="E1638" t="s">
        <v>51</v>
      </c>
      <c r="F1638" t="s">
        <v>164</v>
      </c>
      <c r="G1638" t="s">
        <v>1141</v>
      </c>
      <c r="H1638" t="s">
        <v>54</v>
      </c>
      <c r="I1638">
        <v>116</v>
      </c>
      <c r="J1638">
        <v>0</v>
      </c>
      <c r="K1638">
        <v>1</v>
      </c>
      <c r="L1638" t="s">
        <v>25</v>
      </c>
      <c r="M1638" t="s">
        <v>533</v>
      </c>
      <c r="N1638">
        <v>643.96551699999998</v>
      </c>
      <c r="O1638">
        <v>0</v>
      </c>
      <c r="P1638" t="str">
        <f>IF(T[[#This Row],[qty_ordered]]&lt;&gt;T[[#This Row],[qty_received]],IF(T[[#This Row],[qty_received]]&gt;0,"Partial Received","Not Receviced"),"FullyReceived")</f>
        <v>Not Receviced</v>
      </c>
      <c r="Q1638" t="str">
        <f>IF(T[[#This Row],[qty_received]]&lt;&gt;T[[#This Row],[qty_invoiced]],IF(T[[#This Row],[qty_invoiced]]&gt;0,"Partial Invoiced","Not Invoiced"),"Fully Invoiced")</f>
        <v>Partial Invoiced</v>
      </c>
      <c r="R1638" t="str">
        <f>IFERROR(VLOOKUP(T[[#This Row],[warehouse]],Table2[],2,FALSE),"--")</f>
        <v>--</v>
      </c>
    </row>
    <row r="1639" spans="1:18" x14ac:dyDescent="0.25">
      <c r="A1639" t="s">
        <v>959</v>
      </c>
      <c r="B1639" s="1">
        <v>44172</v>
      </c>
      <c r="C1639" t="s">
        <v>1213</v>
      </c>
      <c r="D1639" t="s">
        <v>100</v>
      </c>
      <c r="E1639" t="s">
        <v>214</v>
      </c>
      <c r="F1639" t="s">
        <v>526</v>
      </c>
      <c r="G1639" t="s">
        <v>472</v>
      </c>
      <c r="H1639" t="s">
        <v>123</v>
      </c>
      <c r="I1639">
        <v>20000</v>
      </c>
      <c r="J1639">
        <v>20000</v>
      </c>
      <c r="K1639">
        <v>20000</v>
      </c>
      <c r="L1639" t="s">
        <v>25</v>
      </c>
      <c r="M1639" t="s">
        <v>132</v>
      </c>
      <c r="N1639">
        <v>22266.056380000002</v>
      </c>
      <c r="O1639">
        <v>271000000</v>
      </c>
      <c r="P1639" t="str">
        <f>IF(T[[#This Row],[qty_ordered]]&lt;&gt;T[[#This Row],[qty_received]],IF(T[[#This Row],[qty_received]]&gt;0,"Partial Received","Not Receviced"),"FullyReceived")</f>
        <v>FullyReceived</v>
      </c>
      <c r="Q1639" t="str">
        <f>IF(T[[#This Row],[qty_received]]&lt;&gt;T[[#This Row],[qty_invoiced]],IF(T[[#This Row],[qty_invoiced]]&gt;0,"Partial Invoiced","Not Invoiced"),"Fully Invoiced")</f>
        <v>Fully Invoiced</v>
      </c>
      <c r="R1639" t="str">
        <f>IFERROR(VLOOKUP(T[[#This Row],[warehouse]],Table2[],2,FALSE),"--")</f>
        <v>CRUSHER ELBALOLA</v>
      </c>
    </row>
    <row r="1640" spans="1:18" x14ac:dyDescent="0.25">
      <c r="A1640" t="s">
        <v>560</v>
      </c>
      <c r="B1640" s="1">
        <v>44201</v>
      </c>
      <c r="C1640" t="s">
        <v>1140</v>
      </c>
      <c r="D1640" t="s">
        <v>88</v>
      </c>
      <c r="E1640" t="s">
        <v>51</v>
      </c>
      <c r="F1640" t="s">
        <v>164</v>
      </c>
      <c r="G1640" t="s">
        <v>1141</v>
      </c>
      <c r="H1640" t="s">
        <v>54</v>
      </c>
      <c r="I1640">
        <v>195</v>
      </c>
      <c r="J1640">
        <v>0</v>
      </c>
      <c r="K1640">
        <v>1</v>
      </c>
      <c r="L1640" t="s">
        <v>25</v>
      </c>
      <c r="M1640" t="s">
        <v>533</v>
      </c>
      <c r="N1640">
        <v>431.794872</v>
      </c>
      <c r="O1640">
        <v>0</v>
      </c>
      <c r="P1640" t="str">
        <f>IF(T[[#This Row],[qty_ordered]]&lt;&gt;T[[#This Row],[qty_received]],IF(T[[#This Row],[qty_received]]&gt;0,"Partial Received","Not Receviced"),"FullyReceived")</f>
        <v>Not Receviced</v>
      </c>
      <c r="Q1640" t="str">
        <f>IF(T[[#This Row],[qty_received]]&lt;&gt;T[[#This Row],[qty_invoiced]],IF(T[[#This Row],[qty_invoiced]]&gt;0,"Partial Invoiced","Not Invoiced"),"Fully Invoiced")</f>
        <v>Partial Invoiced</v>
      </c>
      <c r="R1640" t="str">
        <f>IFERROR(VLOOKUP(T[[#This Row],[warehouse]],Table2[],2,FALSE),"--")</f>
        <v>--</v>
      </c>
    </row>
    <row r="1641" spans="1:18" x14ac:dyDescent="0.25">
      <c r="A1641" t="s">
        <v>955</v>
      </c>
      <c r="B1641" s="1">
        <v>44168</v>
      </c>
      <c r="C1641" t="s">
        <v>1017</v>
      </c>
      <c r="D1641" t="s">
        <v>71</v>
      </c>
      <c r="E1641" t="s">
        <v>28</v>
      </c>
      <c r="F1641" t="s">
        <v>287</v>
      </c>
      <c r="G1641" t="s">
        <v>288</v>
      </c>
      <c r="H1641" t="s">
        <v>24</v>
      </c>
      <c r="I1641">
        <v>1650</v>
      </c>
      <c r="J1641">
        <v>0</v>
      </c>
      <c r="K1641">
        <v>0</v>
      </c>
      <c r="L1641" t="s">
        <v>25</v>
      </c>
      <c r="M1641" t="s">
        <v>132</v>
      </c>
      <c r="N1641">
        <v>269696.96969699999</v>
      </c>
      <c r="O1641">
        <v>0</v>
      </c>
      <c r="P1641" t="str">
        <f>IF(T[[#This Row],[qty_ordered]]&lt;&gt;T[[#This Row],[qty_received]],IF(T[[#This Row],[qty_received]]&gt;0,"Partial Received","Not Receviced"),"FullyReceived")</f>
        <v>Not Receviced</v>
      </c>
      <c r="Q1641" t="str">
        <f>IF(T[[#This Row],[qty_received]]&lt;&gt;T[[#This Row],[qty_invoiced]],IF(T[[#This Row],[qty_invoiced]]&gt;0,"Partial Invoiced","Not Invoiced"),"Fully Invoiced")</f>
        <v>Fully Invoiced</v>
      </c>
      <c r="R1641" t="str">
        <f>IFERROR(VLOOKUP(T[[#This Row],[warehouse]],Table2[],2,FALSE),"--")</f>
        <v>Crusher KHN -ASVOC</v>
      </c>
    </row>
    <row r="1642" spans="1:18" x14ac:dyDescent="0.25">
      <c r="A1642" t="s">
        <v>560</v>
      </c>
      <c r="B1642" s="1">
        <v>44201</v>
      </c>
      <c r="C1642" t="s">
        <v>1252</v>
      </c>
      <c r="D1642" t="s">
        <v>20</v>
      </c>
      <c r="E1642" t="s">
        <v>51</v>
      </c>
      <c r="F1642" t="s">
        <v>164</v>
      </c>
      <c r="G1642" t="s">
        <v>1155</v>
      </c>
      <c r="H1642" t="s">
        <v>54</v>
      </c>
      <c r="I1642">
        <v>171</v>
      </c>
      <c r="J1642">
        <v>0</v>
      </c>
      <c r="K1642">
        <v>1</v>
      </c>
      <c r="L1642" t="s">
        <v>25</v>
      </c>
      <c r="M1642" t="s">
        <v>533</v>
      </c>
      <c r="N1642">
        <v>420</v>
      </c>
      <c r="O1642">
        <v>0</v>
      </c>
      <c r="P1642" t="str">
        <f>IF(T[[#This Row],[qty_ordered]]&lt;&gt;T[[#This Row],[qty_received]],IF(T[[#This Row],[qty_received]]&gt;0,"Partial Received","Not Receviced"),"FullyReceived")</f>
        <v>Not Receviced</v>
      </c>
      <c r="Q1642" t="str">
        <f>IF(T[[#This Row],[qty_received]]&lt;&gt;T[[#This Row],[qty_invoiced]],IF(T[[#This Row],[qty_invoiced]]&gt;0,"Partial Invoiced","Not Invoiced"),"Fully Invoiced")</f>
        <v>Partial Invoiced</v>
      </c>
      <c r="R1642" t="str">
        <f>IFERROR(VLOOKUP(T[[#This Row],[warehouse]],Table2[],2,FALSE),"--")</f>
        <v>--</v>
      </c>
    </row>
    <row r="1643" spans="1:18" x14ac:dyDescent="0.25">
      <c r="A1643" t="s">
        <v>560</v>
      </c>
      <c r="B1643" s="1">
        <v>44201</v>
      </c>
      <c r="C1643" t="s">
        <v>1253</v>
      </c>
      <c r="D1643" t="s">
        <v>20</v>
      </c>
      <c r="E1643" t="s">
        <v>51</v>
      </c>
      <c r="F1643" t="s">
        <v>164</v>
      </c>
      <c r="G1643" t="s">
        <v>792</v>
      </c>
      <c r="H1643" t="s">
        <v>54</v>
      </c>
      <c r="I1643">
        <v>27</v>
      </c>
      <c r="J1643">
        <v>0</v>
      </c>
      <c r="K1643">
        <v>1</v>
      </c>
      <c r="L1643" t="s">
        <v>25</v>
      </c>
      <c r="M1643" t="s">
        <v>533</v>
      </c>
      <c r="N1643">
        <v>600</v>
      </c>
      <c r="O1643">
        <v>0</v>
      </c>
      <c r="P1643" t="str">
        <f>IF(T[[#This Row],[qty_ordered]]&lt;&gt;T[[#This Row],[qty_received]],IF(T[[#This Row],[qty_received]]&gt;0,"Partial Received","Not Receviced"),"FullyReceived")</f>
        <v>Not Receviced</v>
      </c>
      <c r="Q1643" t="str">
        <f>IF(T[[#This Row],[qty_received]]&lt;&gt;T[[#This Row],[qty_invoiced]],IF(T[[#This Row],[qty_invoiced]]&gt;0,"Partial Invoiced","Not Invoiced"),"Fully Invoiced")</f>
        <v>Partial Invoiced</v>
      </c>
      <c r="R1643" t="str">
        <f>IFERROR(VLOOKUP(T[[#This Row],[warehouse]],Table2[],2,FALSE),"--")</f>
        <v>--</v>
      </c>
    </row>
    <row r="1644" spans="1:18" x14ac:dyDescent="0.25">
      <c r="A1644" t="s">
        <v>560</v>
      </c>
      <c r="B1644" s="1">
        <v>44201</v>
      </c>
      <c r="C1644" t="s">
        <v>1254</v>
      </c>
      <c r="D1644" t="s">
        <v>20</v>
      </c>
      <c r="E1644" t="s">
        <v>51</v>
      </c>
      <c r="F1644" t="s">
        <v>164</v>
      </c>
      <c r="G1644" t="s">
        <v>1255</v>
      </c>
      <c r="H1644" t="s">
        <v>54</v>
      </c>
      <c r="I1644">
        <v>472</v>
      </c>
      <c r="J1644">
        <v>0</v>
      </c>
      <c r="K1644">
        <v>1</v>
      </c>
      <c r="L1644" t="s">
        <v>25</v>
      </c>
      <c r="M1644" t="s">
        <v>533</v>
      </c>
      <c r="N1644">
        <v>434.21610199999998</v>
      </c>
      <c r="O1644">
        <v>0</v>
      </c>
      <c r="P1644" t="str">
        <f>IF(T[[#This Row],[qty_ordered]]&lt;&gt;T[[#This Row],[qty_received]],IF(T[[#This Row],[qty_received]]&gt;0,"Partial Received","Not Receviced"),"FullyReceived")</f>
        <v>Not Receviced</v>
      </c>
      <c r="Q1644" t="str">
        <f>IF(T[[#This Row],[qty_received]]&lt;&gt;T[[#This Row],[qty_invoiced]],IF(T[[#This Row],[qty_invoiced]]&gt;0,"Partial Invoiced","Not Invoiced"),"Fully Invoiced")</f>
        <v>Partial Invoiced</v>
      </c>
      <c r="R1644" t="str">
        <f>IFERROR(VLOOKUP(T[[#This Row],[warehouse]],Table2[],2,FALSE),"--")</f>
        <v>--</v>
      </c>
    </row>
    <row r="1645" spans="1:18" x14ac:dyDescent="0.25">
      <c r="A1645" t="s">
        <v>560</v>
      </c>
      <c r="B1645" s="1">
        <v>44251</v>
      </c>
      <c r="C1645" t="s">
        <v>1248</v>
      </c>
      <c r="D1645" t="s">
        <v>74</v>
      </c>
      <c r="E1645" t="s">
        <v>51</v>
      </c>
      <c r="F1645" t="s">
        <v>164</v>
      </c>
      <c r="G1645" t="s">
        <v>164</v>
      </c>
      <c r="H1645" t="s">
        <v>54</v>
      </c>
      <c r="I1645">
        <v>82</v>
      </c>
      <c r="J1645">
        <v>0</v>
      </c>
      <c r="K1645">
        <v>1</v>
      </c>
      <c r="L1645" t="s">
        <v>25</v>
      </c>
      <c r="M1645" t="s">
        <v>533</v>
      </c>
      <c r="N1645">
        <v>900</v>
      </c>
      <c r="O1645">
        <v>0</v>
      </c>
      <c r="P1645" t="str">
        <f>IF(T[[#This Row],[qty_ordered]]&lt;&gt;T[[#This Row],[qty_received]],IF(T[[#This Row],[qty_received]]&gt;0,"Partial Received","Not Receviced"),"FullyReceived")</f>
        <v>Not Receviced</v>
      </c>
      <c r="Q1645" t="str">
        <f>IF(T[[#This Row],[qty_received]]&lt;&gt;T[[#This Row],[qty_invoiced]],IF(T[[#This Row],[qty_invoiced]]&gt;0,"Partial Invoiced","Not Invoiced"),"Fully Invoiced")</f>
        <v>Partial Invoiced</v>
      </c>
      <c r="R1645" t="str">
        <f>IFERROR(VLOOKUP(T[[#This Row],[warehouse]],Table2[],2,FALSE),"--")</f>
        <v>--</v>
      </c>
    </row>
    <row r="1646" spans="1:18" x14ac:dyDescent="0.25">
      <c r="A1646" t="s">
        <v>560</v>
      </c>
      <c r="B1646" s="1">
        <v>44251</v>
      </c>
      <c r="C1646" t="s">
        <v>1248</v>
      </c>
      <c r="D1646" t="s">
        <v>76</v>
      </c>
      <c r="E1646" t="s">
        <v>51</v>
      </c>
      <c r="F1646" t="s">
        <v>164</v>
      </c>
      <c r="G1646" t="s">
        <v>164</v>
      </c>
      <c r="H1646" t="s">
        <v>54</v>
      </c>
      <c r="I1646">
        <v>41</v>
      </c>
      <c r="J1646">
        <v>0</v>
      </c>
      <c r="K1646">
        <v>1</v>
      </c>
      <c r="L1646" t="s">
        <v>25</v>
      </c>
      <c r="M1646" t="s">
        <v>533</v>
      </c>
      <c r="N1646">
        <v>900</v>
      </c>
      <c r="O1646">
        <v>0</v>
      </c>
      <c r="P1646" t="str">
        <f>IF(T[[#This Row],[qty_ordered]]&lt;&gt;T[[#This Row],[qty_received]],IF(T[[#This Row],[qty_received]]&gt;0,"Partial Received","Not Receviced"),"FullyReceived")</f>
        <v>Not Receviced</v>
      </c>
      <c r="Q1646" t="str">
        <f>IF(T[[#This Row],[qty_received]]&lt;&gt;T[[#This Row],[qty_invoiced]],IF(T[[#This Row],[qty_invoiced]]&gt;0,"Partial Invoiced","Not Invoiced"),"Fully Invoiced")</f>
        <v>Partial Invoiced</v>
      </c>
      <c r="R1646" t="str">
        <f>IFERROR(VLOOKUP(T[[#This Row],[warehouse]],Table2[],2,FALSE),"--")</f>
        <v>--</v>
      </c>
    </row>
    <row r="1647" spans="1:18" x14ac:dyDescent="0.25">
      <c r="A1647" t="s">
        <v>560</v>
      </c>
      <c r="B1647" s="1">
        <v>44251</v>
      </c>
      <c r="C1647" t="s">
        <v>1248</v>
      </c>
      <c r="D1647" t="s">
        <v>212</v>
      </c>
      <c r="E1647" t="s">
        <v>51</v>
      </c>
      <c r="F1647" t="s">
        <v>164</v>
      </c>
      <c r="G1647" t="s">
        <v>164</v>
      </c>
      <c r="H1647" t="s">
        <v>54</v>
      </c>
      <c r="I1647">
        <v>41</v>
      </c>
      <c r="J1647">
        <v>0</v>
      </c>
      <c r="K1647">
        <v>1</v>
      </c>
      <c r="L1647" t="s">
        <v>25</v>
      </c>
      <c r="M1647" t="s">
        <v>533</v>
      </c>
      <c r="N1647">
        <v>900</v>
      </c>
      <c r="O1647">
        <v>0</v>
      </c>
      <c r="P1647" t="str">
        <f>IF(T[[#This Row],[qty_ordered]]&lt;&gt;T[[#This Row],[qty_received]],IF(T[[#This Row],[qty_received]]&gt;0,"Partial Received","Not Receviced"),"FullyReceived")</f>
        <v>Not Receviced</v>
      </c>
      <c r="Q1647" t="str">
        <f>IF(T[[#This Row],[qty_received]]&lt;&gt;T[[#This Row],[qty_invoiced]],IF(T[[#This Row],[qty_invoiced]]&gt;0,"Partial Invoiced","Not Invoiced"),"Fully Invoiced")</f>
        <v>Partial Invoiced</v>
      </c>
      <c r="R1647" t="str">
        <f>IFERROR(VLOOKUP(T[[#This Row],[warehouse]],Table2[],2,FALSE),"--")</f>
        <v>--</v>
      </c>
    </row>
    <row r="1648" spans="1:18" x14ac:dyDescent="0.25">
      <c r="A1648" t="s">
        <v>560</v>
      </c>
      <c r="B1648" s="1">
        <v>44251</v>
      </c>
      <c r="C1648" t="s">
        <v>1248</v>
      </c>
      <c r="D1648" t="s">
        <v>322</v>
      </c>
      <c r="E1648" t="s">
        <v>51</v>
      </c>
      <c r="F1648" t="s">
        <v>164</v>
      </c>
      <c r="G1648" t="s">
        <v>164</v>
      </c>
      <c r="H1648" t="s">
        <v>54</v>
      </c>
      <c r="I1648">
        <v>41</v>
      </c>
      <c r="J1648">
        <v>0</v>
      </c>
      <c r="K1648">
        <v>1</v>
      </c>
      <c r="L1648" t="s">
        <v>25</v>
      </c>
      <c r="M1648" t="s">
        <v>533</v>
      </c>
      <c r="N1648">
        <v>900</v>
      </c>
      <c r="O1648">
        <v>0</v>
      </c>
      <c r="P1648" t="str">
        <f>IF(T[[#This Row],[qty_ordered]]&lt;&gt;T[[#This Row],[qty_received]],IF(T[[#This Row],[qty_received]]&gt;0,"Partial Received","Not Receviced"),"FullyReceived")</f>
        <v>Not Receviced</v>
      </c>
      <c r="Q1648" t="str">
        <f>IF(T[[#This Row],[qty_received]]&lt;&gt;T[[#This Row],[qty_invoiced]],IF(T[[#This Row],[qty_invoiced]]&gt;0,"Partial Invoiced","Not Invoiced"),"Fully Invoiced")</f>
        <v>Partial Invoiced</v>
      </c>
      <c r="R1648" t="str">
        <f>IFERROR(VLOOKUP(T[[#This Row],[warehouse]],Table2[],2,FALSE),"--")</f>
        <v>--</v>
      </c>
    </row>
    <row r="1649" spans="1:18" x14ac:dyDescent="0.25">
      <c r="A1649" t="s">
        <v>560</v>
      </c>
      <c r="B1649" s="1">
        <v>44251</v>
      </c>
      <c r="C1649" t="s">
        <v>1248</v>
      </c>
      <c r="D1649" t="s">
        <v>323</v>
      </c>
      <c r="E1649" t="s">
        <v>51</v>
      </c>
      <c r="F1649" t="s">
        <v>164</v>
      </c>
      <c r="G1649" t="s">
        <v>164</v>
      </c>
      <c r="H1649" t="s">
        <v>54</v>
      </c>
      <c r="I1649">
        <v>30</v>
      </c>
      <c r="J1649">
        <v>0</v>
      </c>
      <c r="K1649">
        <v>1</v>
      </c>
      <c r="L1649" t="s">
        <v>25</v>
      </c>
      <c r="M1649" t="s">
        <v>533</v>
      </c>
      <c r="N1649">
        <v>900</v>
      </c>
      <c r="O1649">
        <v>0</v>
      </c>
      <c r="P1649" t="str">
        <f>IF(T[[#This Row],[qty_ordered]]&lt;&gt;T[[#This Row],[qty_received]],IF(T[[#This Row],[qty_received]]&gt;0,"Partial Received","Not Receviced"),"FullyReceived")</f>
        <v>Not Receviced</v>
      </c>
      <c r="Q1649" t="str">
        <f>IF(T[[#This Row],[qty_received]]&lt;&gt;T[[#This Row],[qty_invoiced]],IF(T[[#This Row],[qty_invoiced]]&gt;0,"Partial Invoiced","Not Invoiced"),"Fully Invoiced")</f>
        <v>Partial Invoiced</v>
      </c>
      <c r="R1649" t="str">
        <f>IFERROR(VLOOKUP(T[[#This Row],[warehouse]],Table2[],2,FALSE),"--")</f>
        <v>--</v>
      </c>
    </row>
    <row r="1650" spans="1:18" x14ac:dyDescent="0.25">
      <c r="A1650" t="s">
        <v>560</v>
      </c>
      <c r="B1650" s="1">
        <v>44251</v>
      </c>
      <c r="C1650" t="s">
        <v>1248</v>
      </c>
      <c r="D1650" t="s">
        <v>324</v>
      </c>
      <c r="E1650" t="s">
        <v>51</v>
      </c>
      <c r="F1650" t="s">
        <v>164</v>
      </c>
      <c r="G1650" t="s">
        <v>164</v>
      </c>
      <c r="H1650" t="s">
        <v>54</v>
      </c>
      <c r="I1650">
        <v>12</v>
      </c>
      <c r="J1650">
        <v>0</v>
      </c>
      <c r="K1650">
        <v>1</v>
      </c>
      <c r="L1650" t="s">
        <v>25</v>
      </c>
      <c r="M1650" t="s">
        <v>533</v>
      </c>
      <c r="N1650">
        <v>928.25</v>
      </c>
      <c r="O1650">
        <v>0</v>
      </c>
      <c r="P1650" t="str">
        <f>IF(T[[#This Row],[qty_ordered]]&lt;&gt;T[[#This Row],[qty_received]],IF(T[[#This Row],[qty_received]]&gt;0,"Partial Received","Not Receviced"),"FullyReceived")</f>
        <v>Not Receviced</v>
      </c>
      <c r="Q1650" t="str">
        <f>IF(T[[#This Row],[qty_received]]&lt;&gt;T[[#This Row],[qty_invoiced]],IF(T[[#This Row],[qty_invoiced]]&gt;0,"Partial Invoiced","Not Invoiced"),"Fully Invoiced")</f>
        <v>Partial Invoiced</v>
      </c>
      <c r="R1650" t="str">
        <f>IFERROR(VLOOKUP(T[[#This Row],[warehouse]],Table2[],2,FALSE),"--")</f>
        <v>--</v>
      </c>
    </row>
    <row r="1651" spans="1:18" x14ac:dyDescent="0.25">
      <c r="A1651" t="s">
        <v>560</v>
      </c>
      <c r="B1651" s="1">
        <v>44251</v>
      </c>
      <c r="C1651" t="s">
        <v>1248</v>
      </c>
      <c r="D1651" t="s">
        <v>325</v>
      </c>
      <c r="E1651" t="s">
        <v>51</v>
      </c>
      <c r="F1651" t="s">
        <v>164</v>
      </c>
      <c r="G1651" t="s">
        <v>164</v>
      </c>
      <c r="H1651" t="s">
        <v>54</v>
      </c>
      <c r="I1651">
        <v>60</v>
      </c>
      <c r="J1651">
        <v>0</v>
      </c>
      <c r="K1651">
        <v>1</v>
      </c>
      <c r="L1651" t="s">
        <v>25</v>
      </c>
      <c r="M1651" t="s">
        <v>533</v>
      </c>
      <c r="N1651">
        <v>1043.133333</v>
      </c>
      <c r="O1651">
        <v>0</v>
      </c>
      <c r="P1651" t="str">
        <f>IF(T[[#This Row],[qty_ordered]]&lt;&gt;T[[#This Row],[qty_received]],IF(T[[#This Row],[qty_received]]&gt;0,"Partial Received","Not Receviced"),"FullyReceived")</f>
        <v>Not Receviced</v>
      </c>
      <c r="Q1651" t="str">
        <f>IF(T[[#This Row],[qty_received]]&lt;&gt;T[[#This Row],[qty_invoiced]],IF(T[[#This Row],[qty_invoiced]]&gt;0,"Partial Invoiced","Not Invoiced"),"Fully Invoiced")</f>
        <v>Partial Invoiced</v>
      </c>
      <c r="R1651" t="str">
        <f>IFERROR(VLOOKUP(T[[#This Row],[warehouse]],Table2[],2,FALSE),"--")</f>
        <v>--</v>
      </c>
    </row>
    <row r="1652" spans="1:18" x14ac:dyDescent="0.25">
      <c r="A1652" t="s">
        <v>560</v>
      </c>
      <c r="B1652" s="1">
        <v>44251</v>
      </c>
      <c r="C1652" t="s">
        <v>1248</v>
      </c>
      <c r="D1652" t="s">
        <v>451</v>
      </c>
      <c r="E1652" t="s">
        <v>51</v>
      </c>
      <c r="F1652" t="s">
        <v>164</v>
      </c>
      <c r="G1652" t="s">
        <v>164</v>
      </c>
      <c r="H1652" t="s">
        <v>54</v>
      </c>
      <c r="I1652">
        <v>9</v>
      </c>
      <c r="J1652">
        <v>0</v>
      </c>
      <c r="K1652">
        <v>1</v>
      </c>
      <c r="L1652" t="s">
        <v>25</v>
      </c>
      <c r="M1652" t="s">
        <v>533</v>
      </c>
      <c r="N1652">
        <v>1013</v>
      </c>
      <c r="O1652">
        <v>0</v>
      </c>
      <c r="P1652" t="str">
        <f>IF(T[[#This Row],[qty_ordered]]&lt;&gt;T[[#This Row],[qty_received]],IF(T[[#This Row],[qty_received]]&gt;0,"Partial Received","Not Receviced"),"FullyReceived")</f>
        <v>Not Receviced</v>
      </c>
      <c r="Q1652" t="str">
        <f>IF(T[[#This Row],[qty_received]]&lt;&gt;T[[#This Row],[qty_invoiced]],IF(T[[#This Row],[qty_invoiced]]&gt;0,"Partial Invoiced","Not Invoiced"),"Fully Invoiced")</f>
        <v>Partial Invoiced</v>
      </c>
      <c r="R1652" t="str">
        <f>IFERROR(VLOOKUP(T[[#This Row],[warehouse]],Table2[],2,FALSE),"--")</f>
        <v>--</v>
      </c>
    </row>
    <row r="1653" spans="1:18" x14ac:dyDescent="0.25">
      <c r="A1653" t="s">
        <v>560</v>
      </c>
      <c r="B1653" s="1">
        <v>44251</v>
      </c>
      <c r="C1653" t="s">
        <v>1248</v>
      </c>
      <c r="D1653" t="s">
        <v>452</v>
      </c>
      <c r="E1653" t="s">
        <v>51</v>
      </c>
      <c r="F1653" t="s">
        <v>164</v>
      </c>
      <c r="G1653" t="s">
        <v>164</v>
      </c>
      <c r="H1653" t="s">
        <v>54</v>
      </c>
      <c r="I1653">
        <v>30</v>
      </c>
      <c r="J1653">
        <v>0</v>
      </c>
      <c r="K1653">
        <v>1</v>
      </c>
      <c r="L1653" t="s">
        <v>25</v>
      </c>
      <c r="M1653" t="s">
        <v>533</v>
      </c>
      <c r="N1653">
        <v>978.83333300000004</v>
      </c>
      <c r="O1653">
        <v>0</v>
      </c>
      <c r="P1653" t="str">
        <f>IF(T[[#This Row],[qty_ordered]]&lt;&gt;T[[#This Row],[qty_received]],IF(T[[#This Row],[qty_received]]&gt;0,"Partial Received","Not Receviced"),"FullyReceived")</f>
        <v>Not Receviced</v>
      </c>
      <c r="Q1653" t="str">
        <f>IF(T[[#This Row],[qty_received]]&lt;&gt;T[[#This Row],[qty_invoiced]],IF(T[[#This Row],[qty_invoiced]]&gt;0,"Partial Invoiced","Not Invoiced"),"Fully Invoiced")</f>
        <v>Partial Invoiced</v>
      </c>
      <c r="R1653" t="str">
        <f>IFERROR(VLOOKUP(T[[#This Row],[warehouse]],Table2[],2,FALSE),"--")</f>
        <v>--</v>
      </c>
    </row>
    <row r="1654" spans="1:18" x14ac:dyDescent="0.25">
      <c r="A1654" t="s">
        <v>560</v>
      </c>
      <c r="B1654" s="1">
        <v>44251</v>
      </c>
      <c r="C1654" t="s">
        <v>1248</v>
      </c>
      <c r="D1654" t="s">
        <v>614</v>
      </c>
      <c r="E1654" t="s">
        <v>51</v>
      </c>
      <c r="F1654" t="s">
        <v>164</v>
      </c>
      <c r="G1654" t="s">
        <v>164</v>
      </c>
      <c r="H1654" t="s">
        <v>54</v>
      </c>
      <c r="I1654">
        <v>57</v>
      </c>
      <c r="J1654">
        <v>0</v>
      </c>
      <c r="K1654">
        <v>1</v>
      </c>
      <c r="L1654" t="s">
        <v>25</v>
      </c>
      <c r="M1654" t="s">
        <v>533</v>
      </c>
      <c r="N1654">
        <v>935.684211</v>
      </c>
      <c r="O1654">
        <v>0</v>
      </c>
      <c r="P1654" t="str">
        <f>IF(T[[#This Row],[qty_ordered]]&lt;&gt;T[[#This Row],[qty_received]],IF(T[[#This Row],[qty_received]]&gt;0,"Partial Received","Not Receviced"),"FullyReceived")</f>
        <v>Not Receviced</v>
      </c>
      <c r="Q1654" t="str">
        <f>IF(T[[#This Row],[qty_received]]&lt;&gt;T[[#This Row],[qty_invoiced]],IF(T[[#This Row],[qty_invoiced]]&gt;0,"Partial Invoiced","Not Invoiced"),"Fully Invoiced")</f>
        <v>Partial Invoiced</v>
      </c>
      <c r="R1654" t="str">
        <f>IFERROR(VLOOKUP(T[[#This Row],[warehouse]],Table2[],2,FALSE),"--")</f>
        <v>--</v>
      </c>
    </row>
    <row r="1655" spans="1:18" x14ac:dyDescent="0.25">
      <c r="A1655" t="s">
        <v>560</v>
      </c>
      <c r="B1655" s="1">
        <v>44251</v>
      </c>
      <c r="C1655" t="s">
        <v>1248</v>
      </c>
      <c r="D1655" t="s">
        <v>615</v>
      </c>
      <c r="E1655" t="s">
        <v>51</v>
      </c>
      <c r="F1655" t="s">
        <v>164</v>
      </c>
      <c r="G1655" t="s">
        <v>164</v>
      </c>
      <c r="H1655" t="s">
        <v>54</v>
      </c>
      <c r="I1655">
        <v>30</v>
      </c>
      <c r="J1655">
        <v>0</v>
      </c>
      <c r="K1655">
        <v>1</v>
      </c>
      <c r="L1655" t="s">
        <v>25</v>
      </c>
      <c r="M1655" t="s">
        <v>533</v>
      </c>
      <c r="N1655">
        <v>1035.5999999999999</v>
      </c>
      <c r="O1655">
        <v>0</v>
      </c>
      <c r="P1655" t="str">
        <f>IF(T[[#This Row],[qty_ordered]]&lt;&gt;T[[#This Row],[qty_received]],IF(T[[#This Row],[qty_received]]&gt;0,"Partial Received","Not Receviced"),"FullyReceived")</f>
        <v>Not Receviced</v>
      </c>
      <c r="Q1655" t="str">
        <f>IF(T[[#This Row],[qty_received]]&lt;&gt;T[[#This Row],[qty_invoiced]],IF(T[[#This Row],[qty_invoiced]]&gt;0,"Partial Invoiced","Not Invoiced"),"Fully Invoiced")</f>
        <v>Partial Invoiced</v>
      </c>
      <c r="R1655" t="str">
        <f>IFERROR(VLOOKUP(T[[#This Row],[warehouse]],Table2[],2,FALSE),"--")</f>
        <v>--</v>
      </c>
    </row>
    <row r="1656" spans="1:18" x14ac:dyDescent="0.25">
      <c r="A1656" t="s">
        <v>560</v>
      </c>
      <c r="B1656" s="1">
        <v>44251</v>
      </c>
      <c r="C1656" t="s">
        <v>1256</v>
      </c>
      <c r="D1656" t="s">
        <v>20</v>
      </c>
      <c r="E1656" t="s">
        <v>51</v>
      </c>
      <c r="F1656" t="s">
        <v>164</v>
      </c>
      <c r="G1656" t="s">
        <v>164</v>
      </c>
      <c r="H1656" t="s">
        <v>54</v>
      </c>
      <c r="I1656">
        <v>44</v>
      </c>
      <c r="J1656">
        <v>0</v>
      </c>
      <c r="K1656">
        <v>1</v>
      </c>
      <c r="L1656" t="s">
        <v>25</v>
      </c>
      <c r="M1656" t="s">
        <v>533</v>
      </c>
      <c r="N1656">
        <v>600</v>
      </c>
      <c r="O1656">
        <v>0</v>
      </c>
      <c r="P1656" t="str">
        <f>IF(T[[#This Row],[qty_ordered]]&lt;&gt;T[[#This Row],[qty_received]],IF(T[[#This Row],[qty_received]]&gt;0,"Partial Received","Not Receviced"),"FullyReceived")</f>
        <v>Not Receviced</v>
      </c>
      <c r="Q1656" t="str">
        <f>IF(T[[#This Row],[qty_received]]&lt;&gt;T[[#This Row],[qty_invoiced]],IF(T[[#This Row],[qty_invoiced]]&gt;0,"Partial Invoiced","Not Invoiced"),"Fully Invoiced")</f>
        <v>Partial Invoiced</v>
      </c>
      <c r="R1656" t="str">
        <f>IFERROR(VLOOKUP(T[[#This Row],[warehouse]],Table2[],2,FALSE),"--")</f>
        <v>--</v>
      </c>
    </row>
    <row r="1657" spans="1:18" x14ac:dyDescent="0.25">
      <c r="A1657" t="s">
        <v>739</v>
      </c>
      <c r="B1657" s="1">
        <v>44241</v>
      </c>
      <c r="C1657" t="s">
        <v>1225</v>
      </c>
      <c r="D1657" t="s">
        <v>88</v>
      </c>
      <c r="E1657" t="s">
        <v>660</v>
      </c>
      <c r="F1657" t="s">
        <v>705</v>
      </c>
      <c r="G1657" t="s">
        <v>706</v>
      </c>
      <c r="H1657" t="s">
        <v>663</v>
      </c>
      <c r="I1657">
        <v>4861.8999999999996</v>
      </c>
      <c r="J1657">
        <v>4861.8999999999996</v>
      </c>
      <c r="K1657">
        <v>4861.8999999999996</v>
      </c>
      <c r="L1657" t="s">
        <v>25</v>
      </c>
      <c r="M1657" t="s">
        <v>707</v>
      </c>
      <c r="N1657">
        <v>1300</v>
      </c>
      <c r="O1657">
        <v>6320470</v>
      </c>
      <c r="P1657" t="str">
        <f>IF(T[[#This Row],[qty_ordered]]&lt;&gt;T[[#This Row],[qty_received]],IF(T[[#This Row],[qty_received]]&gt;0,"Partial Received","Not Receviced"),"FullyReceived")</f>
        <v>FullyReceived</v>
      </c>
      <c r="Q1657" t="str">
        <f>IF(T[[#This Row],[qty_received]]&lt;&gt;T[[#This Row],[qty_invoiced]],IF(T[[#This Row],[qty_invoiced]]&gt;0,"Partial Invoiced","Not Invoiced"),"Fully Invoiced")</f>
        <v>Fully Invoiced</v>
      </c>
      <c r="R1657" t="str">
        <f>IFERROR(VLOOKUP(T[[#This Row],[warehouse]],Table2[],2,FALSE),"--")</f>
        <v>SLAUGHTER HOUSE</v>
      </c>
    </row>
    <row r="1658" spans="1:18" x14ac:dyDescent="0.25">
      <c r="A1658" t="s">
        <v>1170</v>
      </c>
      <c r="B1658" s="1">
        <v>44262</v>
      </c>
      <c r="C1658" t="s">
        <v>1257</v>
      </c>
      <c r="D1658" t="s">
        <v>20</v>
      </c>
      <c r="E1658" t="s">
        <v>1258</v>
      </c>
      <c r="F1658" t="s">
        <v>1259</v>
      </c>
      <c r="G1658" t="s">
        <v>1260</v>
      </c>
      <c r="H1658" t="s">
        <v>24</v>
      </c>
      <c r="I1658">
        <v>987.72</v>
      </c>
      <c r="J1658">
        <v>987.72</v>
      </c>
      <c r="K1658">
        <v>987.72</v>
      </c>
      <c r="L1658" t="s">
        <v>25</v>
      </c>
      <c r="M1658" t="s">
        <v>707</v>
      </c>
      <c r="N1658">
        <v>217864.92374999999</v>
      </c>
      <c r="O1658">
        <v>215189542.48635</v>
      </c>
      <c r="P1658" t="str">
        <f>IF(T[[#This Row],[qty_ordered]]&lt;&gt;T[[#This Row],[qty_received]],IF(T[[#This Row],[qty_received]]&gt;0,"Partial Received","Not Receviced"),"FullyReceived")</f>
        <v>FullyReceived</v>
      </c>
      <c r="Q1658" t="str">
        <f>IF(T[[#This Row],[qty_received]]&lt;&gt;T[[#This Row],[qty_invoiced]],IF(T[[#This Row],[qty_invoiced]]&gt;0,"Partial Invoiced","Not Invoiced"),"Fully Invoiced")</f>
        <v>Fully Invoiced</v>
      </c>
      <c r="R1658" t="str">
        <f>IFERROR(VLOOKUP(T[[#This Row],[warehouse]],Table2[],2,FALSE),"--")</f>
        <v>Alrahma</v>
      </c>
    </row>
    <row r="1659" spans="1:18" x14ac:dyDescent="0.25">
      <c r="A1659" t="s">
        <v>252</v>
      </c>
      <c r="B1659" s="1">
        <v>44201</v>
      </c>
      <c r="C1659" t="s">
        <v>1164</v>
      </c>
      <c r="D1659" t="s">
        <v>71</v>
      </c>
      <c r="E1659" t="s">
        <v>51</v>
      </c>
      <c r="F1659" t="s">
        <v>183</v>
      </c>
      <c r="G1659" t="s">
        <v>1165</v>
      </c>
      <c r="H1659" t="s">
        <v>54</v>
      </c>
      <c r="I1659">
        <v>3000</v>
      </c>
      <c r="J1659">
        <v>0</v>
      </c>
      <c r="K1659">
        <v>1</v>
      </c>
      <c r="L1659" t="s">
        <v>25</v>
      </c>
      <c r="M1659" t="s">
        <v>533</v>
      </c>
      <c r="N1659">
        <v>3000</v>
      </c>
      <c r="O1659">
        <v>0</v>
      </c>
      <c r="P1659" t="str">
        <f>IF(T[[#This Row],[qty_ordered]]&lt;&gt;T[[#This Row],[qty_received]],IF(T[[#This Row],[qty_received]]&gt;0,"Partial Received","Not Receviced"),"FullyReceived")</f>
        <v>Not Receviced</v>
      </c>
      <c r="Q1659" t="str">
        <f>IF(T[[#This Row],[qty_received]]&lt;&gt;T[[#This Row],[qty_invoiced]],IF(T[[#This Row],[qty_invoiced]]&gt;0,"Partial Invoiced","Not Invoiced"),"Fully Invoiced")</f>
        <v>Partial Invoiced</v>
      </c>
      <c r="R1659" t="str">
        <f>IFERROR(VLOOKUP(T[[#This Row],[warehouse]],Table2[],2,FALSE),"--")</f>
        <v>--</v>
      </c>
    </row>
    <row r="1660" spans="1:18" x14ac:dyDescent="0.25">
      <c r="A1660" t="s">
        <v>601</v>
      </c>
      <c r="B1660" s="1">
        <v>44263</v>
      </c>
      <c r="C1660" t="s">
        <v>1261</v>
      </c>
      <c r="D1660" t="s">
        <v>20</v>
      </c>
      <c r="E1660" t="s">
        <v>146</v>
      </c>
      <c r="F1660" t="s">
        <v>603</v>
      </c>
      <c r="G1660" t="s">
        <v>604</v>
      </c>
      <c r="H1660" t="s">
        <v>149</v>
      </c>
      <c r="I1660">
        <v>5</v>
      </c>
      <c r="J1660">
        <v>5</v>
      </c>
      <c r="K1660">
        <v>5</v>
      </c>
      <c r="L1660" t="s">
        <v>25</v>
      </c>
      <c r="M1660" t="s">
        <v>575</v>
      </c>
      <c r="N1660">
        <v>75000</v>
      </c>
      <c r="O1660">
        <v>375000</v>
      </c>
      <c r="P1660" t="str">
        <f>IF(T[[#This Row],[qty_ordered]]&lt;&gt;T[[#This Row],[qty_received]],IF(T[[#This Row],[qty_received]]&gt;0,"Partial Received","Not Receviced"),"FullyReceived")</f>
        <v>FullyReceived</v>
      </c>
      <c r="Q1660" t="str">
        <f>IF(T[[#This Row],[qty_received]]&lt;&gt;T[[#This Row],[qty_invoiced]],IF(T[[#This Row],[qty_invoiced]]&gt;0,"Partial Invoiced","Not Invoiced"),"Fully Invoiced")</f>
        <v>Fully Invoiced</v>
      </c>
      <c r="R1660" t="str">
        <f>IFERROR(VLOOKUP(T[[#This Row],[warehouse]],Table2[],2,FALSE),"--")</f>
        <v>Khtoum Main Warehouse</v>
      </c>
    </row>
    <row r="1661" spans="1:18" x14ac:dyDescent="0.25">
      <c r="A1661" t="s">
        <v>959</v>
      </c>
      <c r="B1661" s="1">
        <v>44263</v>
      </c>
      <c r="C1661" t="s">
        <v>1262</v>
      </c>
      <c r="D1661" t="s">
        <v>20</v>
      </c>
      <c r="E1661" t="s">
        <v>214</v>
      </c>
      <c r="F1661" t="s">
        <v>526</v>
      </c>
      <c r="G1661" t="s">
        <v>472</v>
      </c>
      <c r="H1661" t="s">
        <v>123</v>
      </c>
      <c r="I1661">
        <v>7000</v>
      </c>
      <c r="J1661">
        <v>6200</v>
      </c>
      <c r="K1661">
        <v>6200</v>
      </c>
      <c r="L1661" t="s">
        <v>25</v>
      </c>
      <c r="M1661" t="s">
        <v>707</v>
      </c>
      <c r="N1661">
        <v>21000.000049999999</v>
      </c>
      <c r="O1661">
        <v>130200000.31</v>
      </c>
      <c r="P1661" t="str">
        <f>IF(T[[#This Row],[qty_ordered]]&lt;&gt;T[[#This Row],[qty_received]],IF(T[[#This Row],[qty_received]]&gt;0,"Partial Received","Not Receviced"),"FullyReceived")</f>
        <v>Partial Received</v>
      </c>
      <c r="Q1661" t="str">
        <f>IF(T[[#This Row],[qty_received]]&lt;&gt;T[[#This Row],[qty_invoiced]],IF(T[[#This Row],[qty_invoiced]]&gt;0,"Partial Invoiced","Not Invoiced"),"Fully Invoiced")</f>
        <v>Fully Invoiced</v>
      </c>
      <c r="R1661" t="str">
        <f>IFERROR(VLOOKUP(T[[#This Row],[warehouse]],Table2[],2,FALSE),"--")</f>
        <v>CRUSHER ELBALOLA</v>
      </c>
    </row>
    <row r="1662" spans="1:18" x14ac:dyDescent="0.25">
      <c r="A1662" t="s">
        <v>727</v>
      </c>
      <c r="B1662" s="1">
        <v>44174</v>
      </c>
      <c r="C1662" t="s">
        <v>1145</v>
      </c>
      <c r="D1662" t="s">
        <v>76</v>
      </c>
      <c r="E1662" t="s">
        <v>723</v>
      </c>
      <c r="F1662" t="s">
        <v>219</v>
      </c>
      <c r="G1662" t="s">
        <v>724</v>
      </c>
      <c r="H1662" t="s">
        <v>221</v>
      </c>
      <c r="I1662">
        <v>28935.84</v>
      </c>
      <c r="J1662">
        <v>28935.84</v>
      </c>
      <c r="K1662">
        <v>28935.84</v>
      </c>
      <c r="L1662" t="s">
        <v>25</v>
      </c>
      <c r="M1662" t="s">
        <v>132</v>
      </c>
      <c r="N1662">
        <v>18957.610445999999</v>
      </c>
      <c r="O1662">
        <v>548554382.64778495</v>
      </c>
      <c r="P1662" t="str">
        <f>IF(T[[#This Row],[qty_ordered]]&lt;&gt;T[[#This Row],[qty_received]],IF(T[[#This Row],[qty_received]]&gt;0,"Partial Received","Not Receviced"),"FullyReceived")</f>
        <v>FullyReceived</v>
      </c>
      <c r="Q1662" t="str">
        <f>IF(T[[#This Row],[qty_received]]&lt;&gt;T[[#This Row],[qty_invoiced]],IF(T[[#This Row],[qty_invoiced]]&gt;0,"Partial Invoiced","Not Invoiced"),"Fully Invoiced")</f>
        <v>Fully Invoiced</v>
      </c>
      <c r="R1662" t="str">
        <f>IFERROR(VLOOKUP(T[[#This Row],[warehouse]],Table2[],2,FALSE),"--")</f>
        <v>YELLOW BEANS</v>
      </c>
    </row>
    <row r="1663" spans="1:18" x14ac:dyDescent="0.25">
      <c r="A1663" t="s">
        <v>725</v>
      </c>
      <c r="B1663" s="1">
        <v>44221</v>
      </c>
      <c r="C1663" t="s">
        <v>1199</v>
      </c>
      <c r="D1663" t="s">
        <v>71</v>
      </c>
      <c r="E1663" t="s">
        <v>723</v>
      </c>
      <c r="F1663" t="s">
        <v>219</v>
      </c>
      <c r="G1663" t="s">
        <v>724</v>
      </c>
      <c r="H1663" t="s">
        <v>221</v>
      </c>
      <c r="I1663">
        <v>33696.21</v>
      </c>
      <c r="J1663">
        <v>30057.51</v>
      </c>
      <c r="K1663">
        <v>30057.51</v>
      </c>
      <c r="L1663" t="s">
        <v>693</v>
      </c>
      <c r="M1663" t="s">
        <v>132</v>
      </c>
      <c r="N1663">
        <v>14132.818379</v>
      </c>
      <c r="O1663">
        <v>424797329.75497597</v>
      </c>
      <c r="P1663" t="str">
        <f>IF(T[[#This Row],[qty_ordered]]&lt;&gt;T[[#This Row],[qty_received]],IF(T[[#This Row],[qty_received]]&gt;0,"Partial Received","Not Receviced"),"FullyReceived")</f>
        <v>Partial Received</v>
      </c>
      <c r="Q1663" t="str">
        <f>IF(T[[#This Row],[qty_received]]&lt;&gt;T[[#This Row],[qty_invoiced]],IF(T[[#This Row],[qty_invoiced]]&gt;0,"Partial Invoiced","Not Invoiced"),"Fully Invoiced")</f>
        <v>Fully Invoiced</v>
      </c>
      <c r="R1663" t="str">
        <f>IFERROR(VLOOKUP(T[[#This Row],[warehouse]],Table2[],2,FALSE),"--")</f>
        <v>YELLOW BEANS</v>
      </c>
    </row>
    <row r="1664" spans="1:18" x14ac:dyDescent="0.25">
      <c r="A1664" t="s">
        <v>423</v>
      </c>
      <c r="B1664" s="1">
        <v>44265</v>
      </c>
      <c r="C1664" t="s">
        <v>1263</v>
      </c>
      <c r="D1664" t="s">
        <v>20</v>
      </c>
      <c r="E1664" t="s">
        <v>239</v>
      </c>
      <c r="F1664" t="s">
        <v>294</v>
      </c>
      <c r="G1664" t="s">
        <v>295</v>
      </c>
      <c r="H1664" t="s">
        <v>149</v>
      </c>
      <c r="I1664">
        <v>381200</v>
      </c>
      <c r="J1664">
        <v>381200</v>
      </c>
      <c r="K1664">
        <v>381200</v>
      </c>
      <c r="L1664" t="s">
        <v>25</v>
      </c>
      <c r="M1664" t="s">
        <v>575</v>
      </c>
      <c r="N1664">
        <v>176</v>
      </c>
      <c r="O1664">
        <v>67091200</v>
      </c>
      <c r="P1664" t="str">
        <f>IF(T[[#This Row],[qty_ordered]]&lt;&gt;T[[#This Row],[qty_received]],IF(T[[#This Row],[qty_received]]&gt;0,"Partial Received","Not Receviced"),"FullyReceived")</f>
        <v>FullyReceived</v>
      </c>
      <c r="Q1664" t="str">
        <f>IF(T[[#This Row],[qty_received]]&lt;&gt;T[[#This Row],[qty_invoiced]],IF(T[[#This Row],[qty_invoiced]]&gt;0,"Partial Invoiced","Not Invoiced"),"Fully Invoiced")</f>
        <v>Fully Invoiced</v>
      </c>
      <c r="R1664" t="str">
        <f>IFERROR(VLOOKUP(T[[#This Row],[warehouse]],Table2[],2,FALSE),"--")</f>
        <v xml:space="preserve">Gadarif Main Store </v>
      </c>
    </row>
    <row r="1665" spans="1:18" x14ac:dyDescent="0.25">
      <c r="A1665" t="s">
        <v>1083</v>
      </c>
      <c r="B1665" s="1">
        <v>44266</v>
      </c>
      <c r="C1665" t="s">
        <v>1084</v>
      </c>
      <c r="D1665" t="s">
        <v>20</v>
      </c>
      <c r="E1665" t="s">
        <v>660</v>
      </c>
      <c r="F1665" t="s">
        <v>705</v>
      </c>
      <c r="G1665" t="s">
        <v>706</v>
      </c>
      <c r="H1665" t="s">
        <v>663</v>
      </c>
      <c r="I1665">
        <v>205.7</v>
      </c>
      <c r="J1665">
        <v>205.7</v>
      </c>
      <c r="K1665">
        <v>205.7</v>
      </c>
      <c r="L1665" t="s">
        <v>25</v>
      </c>
      <c r="M1665" t="s">
        <v>132</v>
      </c>
      <c r="N1665">
        <v>1404.9586770000001</v>
      </c>
      <c r="O1665">
        <v>288999.99985889997</v>
      </c>
      <c r="P1665" t="str">
        <f>IF(T[[#This Row],[qty_ordered]]&lt;&gt;T[[#This Row],[qty_received]],IF(T[[#This Row],[qty_received]]&gt;0,"Partial Received","Not Receviced"),"FullyReceived")</f>
        <v>FullyReceived</v>
      </c>
      <c r="Q1665" t="str">
        <f>IF(T[[#This Row],[qty_received]]&lt;&gt;T[[#This Row],[qty_invoiced]],IF(T[[#This Row],[qty_invoiced]]&gt;0,"Partial Invoiced","Not Invoiced"),"Fully Invoiced")</f>
        <v>Fully Invoiced</v>
      </c>
      <c r="R1665" t="str">
        <f>IFERROR(VLOOKUP(T[[#This Row],[warehouse]],Table2[],2,FALSE),"--")</f>
        <v>SLAUGHTER HOUSE</v>
      </c>
    </row>
    <row r="1666" spans="1:18" x14ac:dyDescent="0.25">
      <c r="A1666" t="s">
        <v>955</v>
      </c>
      <c r="B1666" s="1">
        <v>44269</v>
      </c>
      <c r="C1666" t="s">
        <v>1264</v>
      </c>
      <c r="D1666" t="s">
        <v>20</v>
      </c>
      <c r="E1666" t="s">
        <v>214</v>
      </c>
      <c r="F1666" t="s">
        <v>167</v>
      </c>
      <c r="G1666" t="s">
        <v>156</v>
      </c>
      <c r="H1666" t="s">
        <v>24</v>
      </c>
      <c r="I1666">
        <v>475</v>
      </c>
      <c r="J1666">
        <v>0</v>
      </c>
      <c r="K1666">
        <v>0</v>
      </c>
      <c r="L1666" t="s">
        <v>59</v>
      </c>
      <c r="M1666" t="s">
        <v>707</v>
      </c>
      <c r="N1666">
        <v>800000</v>
      </c>
      <c r="O1666">
        <v>0</v>
      </c>
      <c r="P1666" t="str">
        <f>IF(T[[#This Row],[qty_ordered]]&lt;&gt;T[[#This Row],[qty_received]],IF(T[[#This Row],[qty_received]]&gt;0,"Partial Received","Not Receviced"),"FullyReceived")</f>
        <v>Not Receviced</v>
      </c>
      <c r="Q1666" t="str">
        <f>IF(T[[#This Row],[qty_received]]&lt;&gt;T[[#This Row],[qty_invoiced]],IF(T[[#This Row],[qty_invoiced]]&gt;0,"Partial Invoiced","Not Invoiced"),"Fully Invoiced")</f>
        <v>Fully Invoiced</v>
      </c>
      <c r="R1666" t="str">
        <f>IFERROR(VLOOKUP(T[[#This Row],[warehouse]],Table2[],2,FALSE),"--")</f>
        <v>CRUSHER ELBALOLA</v>
      </c>
    </row>
    <row r="1667" spans="1:18" x14ac:dyDescent="0.25">
      <c r="A1667" t="s">
        <v>795</v>
      </c>
      <c r="B1667" s="1">
        <v>44269</v>
      </c>
      <c r="C1667" t="s">
        <v>1265</v>
      </c>
      <c r="D1667" t="s">
        <v>20</v>
      </c>
      <c r="E1667" t="s">
        <v>214</v>
      </c>
      <c r="F1667" t="s">
        <v>167</v>
      </c>
      <c r="G1667" t="s">
        <v>156</v>
      </c>
      <c r="H1667" t="s">
        <v>24</v>
      </c>
      <c r="I1667">
        <v>625</v>
      </c>
      <c r="J1667">
        <v>0</v>
      </c>
      <c r="K1667">
        <v>0</v>
      </c>
      <c r="L1667" t="s">
        <v>59</v>
      </c>
      <c r="M1667" t="s">
        <v>707</v>
      </c>
      <c r="N1667">
        <v>800000</v>
      </c>
      <c r="O1667">
        <v>0</v>
      </c>
      <c r="P1667" t="str">
        <f>IF(T[[#This Row],[qty_ordered]]&lt;&gt;T[[#This Row],[qty_received]],IF(T[[#This Row],[qty_received]]&gt;0,"Partial Received","Not Receviced"),"FullyReceived")</f>
        <v>Not Receviced</v>
      </c>
      <c r="Q1667" t="str">
        <f>IF(T[[#This Row],[qty_received]]&lt;&gt;T[[#This Row],[qty_invoiced]],IF(T[[#This Row],[qty_invoiced]]&gt;0,"Partial Invoiced","Not Invoiced"),"Fully Invoiced")</f>
        <v>Fully Invoiced</v>
      </c>
      <c r="R1667" t="str">
        <f>IFERROR(VLOOKUP(T[[#This Row],[warehouse]],Table2[],2,FALSE),"--")</f>
        <v>CRUSHER ELBALOLA</v>
      </c>
    </row>
    <row r="1668" spans="1:18" x14ac:dyDescent="0.25">
      <c r="A1668" t="s">
        <v>242</v>
      </c>
      <c r="B1668" s="1">
        <v>44269</v>
      </c>
      <c r="C1668" t="s">
        <v>1266</v>
      </c>
      <c r="D1668" t="s">
        <v>20</v>
      </c>
      <c r="E1668" t="s">
        <v>66</v>
      </c>
      <c r="F1668" t="s">
        <v>86</v>
      </c>
      <c r="G1668" t="s">
        <v>87</v>
      </c>
      <c r="H1668" t="s">
        <v>24</v>
      </c>
      <c r="I1668">
        <v>366</v>
      </c>
      <c r="J1668">
        <v>0</v>
      </c>
      <c r="K1668">
        <v>0</v>
      </c>
      <c r="L1668" t="s">
        <v>59</v>
      </c>
      <c r="M1668" t="s">
        <v>707</v>
      </c>
      <c r="N1668">
        <v>410000</v>
      </c>
      <c r="O1668">
        <v>0</v>
      </c>
      <c r="P1668" t="str">
        <f>IF(T[[#This Row],[qty_ordered]]&lt;&gt;T[[#This Row],[qty_received]],IF(T[[#This Row],[qty_received]]&gt;0,"Partial Received","Not Receviced"),"FullyReceived")</f>
        <v>Not Receviced</v>
      </c>
      <c r="Q1668" t="str">
        <f>IF(T[[#This Row],[qty_received]]&lt;&gt;T[[#This Row],[qty_invoiced]],IF(T[[#This Row],[qty_invoiced]]&gt;0,"Partial Invoiced","Not Invoiced"),"Fully Invoiced")</f>
        <v>Fully Invoiced</v>
      </c>
      <c r="R1668" t="str">
        <f>IFERROR(VLOOKUP(T[[#This Row],[warehouse]],Table2[],2,FALSE),"--")</f>
        <v>PZU Main Warehouse</v>
      </c>
    </row>
    <row r="1669" spans="1:18" x14ac:dyDescent="0.25">
      <c r="A1669" t="s">
        <v>739</v>
      </c>
      <c r="B1669" s="1">
        <v>44241</v>
      </c>
      <c r="C1669" t="s">
        <v>1225</v>
      </c>
      <c r="D1669" t="s">
        <v>74</v>
      </c>
      <c r="E1669" t="s">
        <v>660</v>
      </c>
      <c r="F1669" t="s">
        <v>705</v>
      </c>
      <c r="G1669" t="s">
        <v>706</v>
      </c>
      <c r="H1669" t="s">
        <v>663</v>
      </c>
      <c r="I1669">
        <v>3779.9</v>
      </c>
      <c r="J1669">
        <v>3779.9</v>
      </c>
      <c r="K1669">
        <v>3779.9</v>
      </c>
      <c r="L1669" t="s">
        <v>25</v>
      </c>
      <c r="M1669" t="s">
        <v>707</v>
      </c>
      <c r="N1669">
        <v>1300</v>
      </c>
      <c r="O1669">
        <v>4913870</v>
      </c>
      <c r="P1669" t="str">
        <f>IF(T[[#This Row],[qty_ordered]]&lt;&gt;T[[#This Row],[qty_received]],IF(T[[#This Row],[qty_received]]&gt;0,"Partial Received","Not Receviced"),"FullyReceived")</f>
        <v>FullyReceived</v>
      </c>
      <c r="Q1669" t="str">
        <f>IF(T[[#This Row],[qty_received]]&lt;&gt;T[[#This Row],[qty_invoiced]],IF(T[[#This Row],[qty_invoiced]]&gt;0,"Partial Invoiced","Not Invoiced"),"Fully Invoiced")</f>
        <v>Fully Invoiced</v>
      </c>
      <c r="R1669" t="str">
        <f>IFERROR(VLOOKUP(T[[#This Row],[warehouse]],Table2[],2,FALSE),"--")</f>
        <v>SLAUGHTER HOUSE</v>
      </c>
    </row>
    <row r="1670" spans="1:18" x14ac:dyDescent="0.25">
      <c r="A1670" t="s">
        <v>1114</v>
      </c>
      <c r="B1670" s="1">
        <v>44217</v>
      </c>
      <c r="C1670" t="s">
        <v>1187</v>
      </c>
      <c r="D1670" t="s">
        <v>100</v>
      </c>
      <c r="E1670" t="s">
        <v>660</v>
      </c>
      <c r="F1670" t="s">
        <v>1188</v>
      </c>
      <c r="G1670" t="s">
        <v>1189</v>
      </c>
      <c r="H1670" t="s">
        <v>1087</v>
      </c>
      <c r="I1670">
        <v>733</v>
      </c>
      <c r="J1670">
        <v>0</v>
      </c>
      <c r="K1670">
        <v>0</v>
      </c>
      <c r="L1670" t="s">
        <v>25</v>
      </c>
      <c r="M1670" t="s">
        <v>132</v>
      </c>
      <c r="N1670">
        <v>90040.927693999998</v>
      </c>
      <c r="O1670">
        <v>0</v>
      </c>
      <c r="P1670" t="str">
        <f>IF(T[[#This Row],[qty_ordered]]&lt;&gt;T[[#This Row],[qty_received]],IF(T[[#This Row],[qty_received]]&gt;0,"Partial Received","Not Receviced"),"FullyReceived")</f>
        <v>Not Receviced</v>
      </c>
      <c r="Q1670" t="str">
        <f>IF(T[[#This Row],[qty_received]]&lt;&gt;T[[#This Row],[qty_invoiced]],IF(T[[#This Row],[qty_invoiced]]&gt;0,"Partial Invoiced","Not Invoiced"),"Fully Invoiced")</f>
        <v>Fully Invoiced</v>
      </c>
      <c r="R1670" t="str">
        <f>IFERROR(VLOOKUP(T[[#This Row],[warehouse]],Table2[],2,FALSE),"--")</f>
        <v>SLAUGHTER HOUSE</v>
      </c>
    </row>
    <row r="1671" spans="1:18" x14ac:dyDescent="0.25">
      <c r="A1671" t="s">
        <v>423</v>
      </c>
      <c r="B1671" s="1">
        <v>44174</v>
      </c>
      <c r="C1671" t="s">
        <v>1267</v>
      </c>
      <c r="D1671" t="s">
        <v>88</v>
      </c>
      <c r="E1671" t="s">
        <v>51</v>
      </c>
      <c r="F1671" t="s">
        <v>546</v>
      </c>
      <c r="G1671" t="s">
        <v>1268</v>
      </c>
      <c r="H1671" t="s">
        <v>54</v>
      </c>
      <c r="I1671">
        <v>1000</v>
      </c>
      <c r="J1671">
        <v>0</v>
      </c>
      <c r="K1671">
        <v>1</v>
      </c>
      <c r="L1671" t="s">
        <v>25</v>
      </c>
      <c r="M1671" t="s">
        <v>533</v>
      </c>
      <c r="N1671">
        <v>20</v>
      </c>
      <c r="O1671">
        <v>0</v>
      </c>
      <c r="P1671" t="str">
        <f>IF(T[[#This Row],[qty_ordered]]&lt;&gt;T[[#This Row],[qty_received]],IF(T[[#This Row],[qty_received]]&gt;0,"Partial Received","Not Receviced"),"FullyReceived")</f>
        <v>Not Receviced</v>
      </c>
      <c r="Q1671" t="str">
        <f>IF(T[[#This Row],[qty_received]]&lt;&gt;T[[#This Row],[qty_invoiced]],IF(T[[#This Row],[qty_invoiced]]&gt;0,"Partial Invoiced","Not Invoiced"),"Fully Invoiced")</f>
        <v>Partial Invoiced</v>
      </c>
      <c r="R1671" t="str">
        <f>IFERROR(VLOOKUP(T[[#This Row],[warehouse]],Table2[],2,FALSE),"--")</f>
        <v>--</v>
      </c>
    </row>
    <row r="1672" spans="1:18" x14ac:dyDescent="0.25">
      <c r="A1672" t="s">
        <v>423</v>
      </c>
      <c r="B1672" s="1">
        <v>44256</v>
      </c>
      <c r="C1672" t="s">
        <v>1269</v>
      </c>
      <c r="D1672" t="s">
        <v>100</v>
      </c>
      <c r="E1672" t="s">
        <v>51</v>
      </c>
      <c r="F1672" t="s">
        <v>546</v>
      </c>
      <c r="G1672" t="s">
        <v>1151</v>
      </c>
      <c r="H1672" t="s">
        <v>54</v>
      </c>
      <c r="I1672">
        <v>10000</v>
      </c>
      <c r="J1672">
        <v>0</v>
      </c>
      <c r="K1672">
        <v>1</v>
      </c>
      <c r="L1672" t="s">
        <v>25</v>
      </c>
      <c r="M1672" t="s">
        <v>533</v>
      </c>
      <c r="N1672">
        <v>6.8</v>
      </c>
      <c r="O1672">
        <v>0</v>
      </c>
      <c r="P1672" t="str">
        <f>IF(T[[#This Row],[qty_ordered]]&lt;&gt;T[[#This Row],[qty_received]],IF(T[[#This Row],[qty_received]]&gt;0,"Partial Received","Not Receviced"),"FullyReceived")</f>
        <v>Not Receviced</v>
      </c>
      <c r="Q1672" t="str">
        <f>IF(T[[#This Row],[qty_received]]&lt;&gt;T[[#This Row],[qty_invoiced]],IF(T[[#This Row],[qty_invoiced]]&gt;0,"Partial Invoiced","Not Invoiced"),"Fully Invoiced")</f>
        <v>Partial Invoiced</v>
      </c>
      <c r="R1672" t="str">
        <f>IFERROR(VLOOKUP(T[[#This Row],[warehouse]],Table2[],2,FALSE),"--")</f>
        <v>--</v>
      </c>
    </row>
    <row r="1673" spans="1:18" x14ac:dyDescent="0.25">
      <c r="A1673" t="s">
        <v>658</v>
      </c>
      <c r="B1673" s="1">
        <v>44243</v>
      </c>
      <c r="C1673" t="s">
        <v>1243</v>
      </c>
      <c r="D1673" t="s">
        <v>76</v>
      </c>
      <c r="E1673" t="s">
        <v>660</v>
      </c>
      <c r="F1673" t="s">
        <v>661</v>
      </c>
      <c r="G1673" t="s">
        <v>662</v>
      </c>
      <c r="H1673" t="s">
        <v>663</v>
      </c>
      <c r="I1673">
        <v>2010.9</v>
      </c>
      <c r="J1673">
        <v>2010.9</v>
      </c>
      <c r="K1673">
        <v>2010.9</v>
      </c>
      <c r="L1673" t="s">
        <v>25</v>
      </c>
      <c r="M1673" t="s">
        <v>707</v>
      </c>
      <c r="N1673">
        <v>1100.826</v>
      </c>
      <c r="O1673">
        <v>1598665.5</v>
      </c>
      <c r="P1673" t="str">
        <f>IF(T[[#This Row],[qty_ordered]]&lt;&gt;T[[#This Row],[qty_received]],IF(T[[#This Row],[qty_received]]&gt;0,"Partial Received","Not Receviced"),"FullyReceived")</f>
        <v>FullyReceived</v>
      </c>
      <c r="Q1673" t="str">
        <f>IF(T[[#This Row],[qty_received]]&lt;&gt;T[[#This Row],[qty_invoiced]],IF(T[[#This Row],[qty_invoiced]]&gt;0,"Partial Invoiced","Not Invoiced"),"Fully Invoiced")</f>
        <v>Fully Invoiced</v>
      </c>
      <c r="R1673" t="str">
        <f>IFERROR(VLOOKUP(T[[#This Row],[warehouse]],Table2[],2,FALSE),"--")</f>
        <v>SLAUGHTER HOUSE</v>
      </c>
    </row>
    <row r="1674" spans="1:18" x14ac:dyDescent="0.25">
      <c r="A1674" t="s">
        <v>1235</v>
      </c>
      <c r="B1674" s="1">
        <v>44251</v>
      </c>
      <c r="C1674" t="s">
        <v>1236</v>
      </c>
      <c r="D1674" t="s">
        <v>71</v>
      </c>
      <c r="E1674" t="s">
        <v>660</v>
      </c>
      <c r="F1674" t="s">
        <v>705</v>
      </c>
      <c r="G1674" t="s">
        <v>706</v>
      </c>
      <c r="H1674" t="s">
        <v>663</v>
      </c>
      <c r="I1674">
        <v>0</v>
      </c>
      <c r="J1674">
        <v>0</v>
      </c>
      <c r="K1674">
        <v>0</v>
      </c>
      <c r="L1674" t="s">
        <v>25</v>
      </c>
      <c r="M1674" t="s">
        <v>132</v>
      </c>
      <c r="N1674">
        <v>1400</v>
      </c>
      <c r="O1674">
        <v>0</v>
      </c>
      <c r="P1674" t="str">
        <f>IF(T[[#This Row],[qty_ordered]]&lt;&gt;T[[#This Row],[qty_received]],IF(T[[#This Row],[qty_received]]&gt;0,"Partial Received","Not Receviced"),"FullyReceived")</f>
        <v>FullyReceived</v>
      </c>
      <c r="Q1674" t="str">
        <f>IF(T[[#This Row],[qty_received]]&lt;&gt;T[[#This Row],[qty_invoiced]],IF(T[[#This Row],[qty_invoiced]]&gt;0,"Partial Invoiced","Not Invoiced"),"Fully Invoiced")</f>
        <v>Fully Invoiced</v>
      </c>
      <c r="R1674" t="str">
        <f>IFERROR(VLOOKUP(T[[#This Row],[warehouse]],Table2[],2,FALSE),"--")</f>
        <v>SLAUGHTER HOUSE</v>
      </c>
    </row>
    <row r="1675" spans="1:18" x14ac:dyDescent="0.25">
      <c r="A1675" t="s">
        <v>1191</v>
      </c>
      <c r="B1675" s="1">
        <v>44273</v>
      </c>
      <c r="C1675" t="s">
        <v>1270</v>
      </c>
      <c r="D1675" t="s">
        <v>20</v>
      </c>
      <c r="E1675" t="s">
        <v>660</v>
      </c>
      <c r="F1675" t="s">
        <v>705</v>
      </c>
      <c r="G1675" t="s">
        <v>706</v>
      </c>
      <c r="H1675" t="s">
        <v>663</v>
      </c>
      <c r="I1675">
        <v>2601.5</v>
      </c>
      <c r="J1675">
        <v>2601.5</v>
      </c>
      <c r="K1675">
        <v>2601.5</v>
      </c>
      <c r="L1675" t="s">
        <v>25</v>
      </c>
      <c r="M1675" t="s">
        <v>132</v>
      </c>
      <c r="N1675">
        <v>1350</v>
      </c>
      <c r="O1675">
        <v>3512025</v>
      </c>
      <c r="P1675" t="str">
        <f>IF(T[[#This Row],[qty_ordered]]&lt;&gt;T[[#This Row],[qty_received]],IF(T[[#This Row],[qty_received]]&gt;0,"Partial Received","Not Receviced"),"FullyReceived")</f>
        <v>FullyReceived</v>
      </c>
      <c r="Q1675" t="str">
        <f>IF(T[[#This Row],[qty_received]]&lt;&gt;T[[#This Row],[qty_invoiced]],IF(T[[#This Row],[qty_invoiced]]&gt;0,"Partial Invoiced","Not Invoiced"),"Fully Invoiced")</f>
        <v>Fully Invoiced</v>
      </c>
      <c r="R1675" t="str">
        <f>IFERROR(VLOOKUP(T[[#This Row],[warehouse]],Table2[],2,FALSE),"--")</f>
        <v>SLAUGHTER HOUSE</v>
      </c>
    </row>
    <row r="1676" spans="1:18" x14ac:dyDescent="0.25">
      <c r="A1676" t="s">
        <v>242</v>
      </c>
      <c r="B1676" s="1">
        <v>44241</v>
      </c>
      <c r="C1676" t="s">
        <v>1224</v>
      </c>
      <c r="D1676" t="s">
        <v>323</v>
      </c>
      <c r="E1676" t="s">
        <v>405</v>
      </c>
      <c r="F1676" t="s">
        <v>244</v>
      </c>
      <c r="G1676" t="s">
        <v>245</v>
      </c>
      <c r="H1676" t="s">
        <v>24</v>
      </c>
      <c r="I1676">
        <v>472</v>
      </c>
      <c r="J1676">
        <v>217.8</v>
      </c>
      <c r="K1676">
        <v>217.8</v>
      </c>
      <c r="L1676" t="s">
        <v>25</v>
      </c>
      <c r="M1676" t="s">
        <v>707</v>
      </c>
      <c r="N1676">
        <v>591618.64406800002</v>
      </c>
      <c r="O1676">
        <v>128854540.67801</v>
      </c>
      <c r="P1676" t="str">
        <f>IF(T[[#This Row],[qty_ordered]]&lt;&gt;T[[#This Row],[qty_received]],IF(T[[#This Row],[qty_received]]&gt;0,"Partial Received","Not Receviced"),"FullyReceived")</f>
        <v>Partial Received</v>
      </c>
      <c r="Q1676" t="str">
        <f>IF(T[[#This Row],[qty_received]]&lt;&gt;T[[#This Row],[qty_invoiced]],IF(T[[#This Row],[qty_invoiced]]&gt;0,"Partial Invoiced","Not Invoiced"),"Fully Invoiced")</f>
        <v>Fully Invoiced</v>
      </c>
      <c r="R1676" t="str">
        <f>IFERROR(VLOOKUP(T[[#This Row],[warehouse]],Table2[],2,FALSE),"--")</f>
        <v>GINNING ISHRAG-MDNI</v>
      </c>
    </row>
    <row r="1677" spans="1:18" x14ac:dyDescent="0.25">
      <c r="A1677" t="s">
        <v>242</v>
      </c>
      <c r="B1677" s="1">
        <v>44241</v>
      </c>
      <c r="C1677" t="s">
        <v>1224</v>
      </c>
      <c r="D1677" t="s">
        <v>324</v>
      </c>
      <c r="E1677" t="s">
        <v>405</v>
      </c>
      <c r="F1677" t="s">
        <v>244</v>
      </c>
      <c r="G1677" t="s">
        <v>245</v>
      </c>
      <c r="H1677" t="s">
        <v>24</v>
      </c>
      <c r="I1677">
        <v>144.44</v>
      </c>
      <c r="J1677">
        <v>144.44</v>
      </c>
      <c r="K1677">
        <v>144.44</v>
      </c>
      <c r="L1677" t="s">
        <v>25</v>
      </c>
      <c r="M1677" t="s">
        <v>707</v>
      </c>
      <c r="N1677">
        <v>634376.80000000005</v>
      </c>
      <c r="O1677">
        <v>83486320</v>
      </c>
      <c r="P1677" t="str">
        <f>IF(T[[#This Row],[qty_ordered]]&lt;&gt;T[[#This Row],[qty_received]],IF(T[[#This Row],[qty_received]]&gt;0,"Partial Received","Not Receviced"),"FullyReceived")</f>
        <v>FullyReceived</v>
      </c>
      <c r="Q1677" t="str">
        <f>IF(T[[#This Row],[qty_received]]&lt;&gt;T[[#This Row],[qty_invoiced]],IF(T[[#This Row],[qty_invoiced]]&gt;0,"Partial Invoiced","Not Invoiced"),"Fully Invoiced")</f>
        <v>Fully Invoiced</v>
      </c>
      <c r="R1677" t="str">
        <f>IFERROR(VLOOKUP(T[[#This Row],[warehouse]],Table2[],2,FALSE),"--")</f>
        <v>GINNING ISHRAG-MDNI</v>
      </c>
    </row>
    <row r="1678" spans="1:18" x14ac:dyDescent="0.25">
      <c r="A1678" t="s">
        <v>1235</v>
      </c>
      <c r="B1678" s="1">
        <v>44251</v>
      </c>
      <c r="C1678" t="s">
        <v>1236</v>
      </c>
      <c r="D1678" t="s">
        <v>100</v>
      </c>
      <c r="E1678" t="s">
        <v>660</v>
      </c>
      <c r="F1678" t="s">
        <v>705</v>
      </c>
      <c r="G1678" t="s">
        <v>706</v>
      </c>
      <c r="H1678" t="s">
        <v>663</v>
      </c>
      <c r="I1678">
        <v>5864.2</v>
      </c>
      <c r="J1678">
        <v>5864.2</v>
      </c>
      <c r="K1678">
        <v>5864.2</v>
      </c>
      <c r="L1678" t="s">
        <v>25</v>
      </c>
      <c r="M1678" t="s">
        <v>132</v>
      </c>
      <c r="N1678">
        <v>1450</v>
      </c>
      <c r="O1678">
        <v>8503090</v>
      </c>
      <c r="P1678" t="str">
        <f>IF(T[[#This Row],[qty_ordered]]&lt;&gt;T[[#This Row],[qty_received]],IF(T[[#This Row],[qty_received]]&gt;0,"Partial Received","Not Receviced"),"FullyReceived")</f>
        <v>FullyReceived</v>
      </c>
      <c r="Q1678" t="str">
        <f>IF(T[[#This Row],[qty_received]]&lt;&gt;T[[#This Row],[qty_invoiced]],IF(T[[#This Row],[qty_invoiced]]&gt;0,"Partial Invoiced","Not Invoiced"),"Fully Invoiced")</f>
        <v>Fully Invoiced</v>
      </c>
      <c r="R1678" t="str">
        <f>IFERROR(VLOOKUP(T[[#This Row],[warehouse]],Table2[],2,FALSE),"--")</f>
        <v>SLAUGHTER HOUSE</v>
      </c>
    </row>
    <row r="1679" spans="1:18" x14ac:dyDescent="0.25">
      <c r="A1679" t="s">
        <v>658</v>
      </c>
      <c r="B1679" s="1">
        <v>44243</v>
      </c>
      <c r="C1679" t="s">
        <v>1243</v>
      </c>
      <c r="D1679" t="s">
        <v>212</v>
      </c>
      <c r="E1679" t="s">
        <v>660</v>
      </c>
      <c r="F1679" t="s">
        <v>661</v>
      </c>
      <c r="G1679" t="s">
        <v>662</v>
      </c>
      <c r="H1679" t="s">
        <v>663</v>
      </c>
      <c r="I1679">
        <v>3030.1</v>
      </c>
      <c r="J1679">
        <v>3030.1</v>
      </c>
      <c r="K1679">
        <v>3030.1</v>
      </c>
      <c r="L1679" t="s">
        <v>25</v>
      </c>
      <c r="M1679" t="s">
        <v>707</v>
      </c>
      <c r="N1679">
        <v>1100.826</v>
      </c>
      <c r="O1679">
        <v>2408929.5</v>
      </c>
      <c r="P1679" t="str">
        <f>IF(T[[#This Row],[qty_ordered]]&lt;&gt;T[[#This Row],[qty_received]],IF(T[[#This Row],[qty_received]]&gt;0,"Partial Received","Not Receviced"),"FullyReceived")</f>
        <v>FullyReceived</v>
      </c>
      <c r="Q1679" t="str">
        <f>IF(T[[#This Row],[qty_received]]&lt;&gt;T[[#This Row],[qty_invoiced]],IF(T[[#This Row],[qty_invoiced]]&gt;0,"Partial Invoiced","Not Invoiced"),"Fully Invoiced")</f>
        <v>Fully Invoiced</v>
      </c>
      <c r="R1679" t="str">
        <f>IFERROR(VLOOKUP(T[[#This Row],[warehouse]],Table2[],2,FALSE),"--")</f>
        <v>SLAUGHTER HOUSE</v>
      </c>
    </row>
    <row r="1680" spans="1:18" x14ac:dyDescent="0.25">
      <c r="A1680" t="s">
        <v>560</v>
      </c>
      <c r="B1680" s="1">
        <v>44251</v>
      </c>
      <c r="C1680" t="s">
        <v>1248</v>
      </c>
      <c r="D1680" t="s">
        <v>752</v>
      </c>
      <c r="E1680" t="s">
        <v>51</v>
      </c>
      <c r="F1680" t="s">
        <v>164</v>
      </c>
      <c r="G1680" t="s">
        <v>734</v>
      </c>
      <c r="H1680" t="s">
        <v>54</v>
      </c>
      <c r="I1680">
        <v>18</v>
      </c>
      <c r="J1680">
        <v>0</v>
      </c>
      <c r="K1680">
        <v>1</v>
      </c>
      <c r="L1680" t="s">
        <v>25</v>
      </c>
      <c r="M1680" t="s">
        <v>533</v>
      </c>
      <c r="N1680">
        <v>900</v>
      </c>
      <c r="O1680">
        <v>0</v>
      </c>
      <c r="P1680" t="str">
        <f>IF(T[[#This Row],[qty_ordered]]&lt;&gt;T[[#This Row],[qty_received]],IF(T[[#This Row],[qty_received]]&gt;0,"Partial Received","Not Receviced"),"FullyReceived")</f>
        <v>Not Receviced</v>
      </c>
      <c r="Q1680" t="str">
        <f>IF(T[[#This Row],[qty_received]]&lt;&gt;T[[#This Row],[qty_invoiced]],IF(T[[#This Row],[qty_invoiced]]&gt;0,"Partial Invoiced","Not Invoiced"),"Fully Invoiced")</f>
        <v>Partial Invoiced</v>
      </c>
      <c r="R1680" t="str">
        <f>IFERROR(VLOOKUP(T[[#This Row],[warehouse]],Table2[],2,FALSE),"--")</f>
        <v>--</v>
      </c>
    </row>
    <row r="1681" spans="1:18" x14ac:dyDescent="0.25">
      <c r="A1681" t="s">
        <v>658</v>
      </c>
      <c r="B1681" s="1">
        <v>44243</v>
      </c>
      <c r="C1681" t="s">
        <v>1243</v>
      </c>
      <c r="D1681" t="s">
        <v>74</v>
      </c>
      <c r="E1681" t="s">
        <v>660</v>
      </c>
      <c r="F1681" t="s">
        <v>661</v>
      </c>
      <c r="G1681" t="s">
        <v>662</v>
      </c>
      <c r="H1681" t="s">
        <v>663</v>
      </c>
      <c r="I1681">
        <v>499.6</v>
      </c>
      <c r="J1681">
        <v>499.6</v>
      </c>
      <c r="K1681">
        <v>499.6</v>
      </c>
      <c r="L1681" t="s">
        <v>25</v>
      </c>
      <c r="M1681" t="s">
        <v>707</v>
      </c>
      <c r="N1681">
        <v>1100.826</v>
      </c>
      <c r="O1681">
        <v>374700</v>
      </c>
      <c r="P1681" t="str">
        <f>IF(T[[#This Row],[qty_ordered]]&lt;&gt;T[[#This Row],[qty_received]],IF(T[[#This Row],[qty_received]]&gt;0,"Partial Received","Not Receviced"),"FullyReceived")</f>
        <v>FullyReceived</v>
      </c>
      <c r="Q1681" t="str">
        <f>IF(T[[#This Row],[qty_received]]&lt;&gt;T[[#This Row],[qty_invoiced]],IF(T[[#This Row],[qty_invoiced]]&gt;0,"Partial Invoiced","Not Invoiced"),"Fully Invoiced")</f>
        <v>Fully Invoiced</v>
      </c>
      <c r="R1681" t="str">
        <f>IFERROR(VLOOKUP(T[[#This Row],[warehouse]],Table2[],2,FALSE),"--")</f>
        <v>SLAUGHTER HOUSE</v>
      </c>
    </row>
    <row r="1682" spans="1:18" x14ac:dyDescent="0.25">
      <c r="A1682" t="s">
        <v>235</v>
      </c>
      <c r="B1682" s="1">
        <v>44199</v>
      </c>
      <c r="C1682" t="s">
        <v>1134</v>
      </c>
      <c r="D1682" t="s">
        <v>88</v>
      </c>
      <c r="E1682" t="s">
        <v>51</v>
      </c>
      <c r="F1682" t="s">
        <v>546</v>
      </c>
      <c r="G1682" t="s">
        <v>1217</v>
      </c>
      <c r="H1682" t="s">
        <v>54</v>
      </c>
      <c r="I1682">
        <v>10000</v>
      </c>
      <c r="J1682">
        <v>0</v>
      </c>
      <c r="K1682">
        <v>1</v>
      </c>
      <c r="L1682" t="s">
        <v>25</v>
      </c>
      <c r="M1682" t="s">
        <v>2836</v>
      </c>
      <c r="N1682">
        <v>7.2</v>
      </c>
      <c r="O1682">
        <v>0</v>
      </c>
      <c r="P1682" t="str">
        <f>IF(T[[#This Row],[qty_ordered]]&lt;&gt;T[[#This Row],[qty_received]],IF(T[[#This Row],[qty_received]]&gt;0,"Partial Received","Not Receviced"),"FullyReceived")</f>
        <v>Not Receviced</v>
      </c>
      <c r="Q1682" t="str">
        <f>IF(T[[#This Row],[qty_received]]&lt;&gt;T[[#This Row],[qty_invoiced]],IF(T[[#This Row],[qty_invoiced]]&gt;0,"Partial Invoiced","Not Invoiced"),"Fully Invoiced")</f>
        <v>Partial Invoiced</v>
      </c>
      <c r="R1682" t="str">
        <f>IFERROR(VLOOKUP(T[[#This Row],[warehouse]],Table2[],2,FALSE),"--")</f>
        <v>--</v>
      </c>
    </row>
    <row r="1683" spans="1:18" x14ac:dyDescent="0.25">
      <c r="A1683" t="s">
        <v>235</v>
      </c>
      <c r="B1683" s="1">
        <v>44160</v>
      </c>
      <c r="C1683" t="s">
        <v>998</v>
      </c>
      <c r="D1683" t="s">
        <v>325</v>
      </c>
      <c r="E1683" t="s">
        <v>51</v>
      </c>
      <c r="F1683" t="s">
        <v>546</v>
      </c>
      <c r="G1683" t="s">
        <v>1151</v>
      </c>
      <c r="H1683" t="s">
        <v>54</v>
      </c>
      <c r="I1683">
        <v>10000</v>
      </c>
      <c r="J1683">
        <v>0</v>
      </c>
      <c r="K1683">
        <v>1</v>
      </c>
      <c r="L1683" t="s">
        <v>25</v>
      </c>
      <c r="M1683" t="s">
        <v>2836</v>
      </c>
      <c r="N1683">
        <v>7.25</v>
      </c>
      <c r="O1683">
        <v>0</v>
      </c>
      <c r="P1683" t="str">
        <f>IF(T[[#This Row],[qty_ordered]]&lt;&gt;T[[#This Row],[qty_received]],IF(T[[#This Row],[qty_received]]&gt;0,"Partial Received","Not Receviced"),"FullyReceived")</f>
        <v>Not Receviced</v>
      </c>
      <c r="Q1683" t="str">
        <f>IF(T[[#This Row],[qty_received]]&lt;&gt;T[[#This Row],[qty_invoiced]],IF(T[[#This Row],[qty_invoiced]]&gt;0,"Partial Invoiced","Not Invoiced"),"Fully Invoiced")</f>
        <v>Partial Invoiced</v>
      </c>
      <c r="R1683" t="str">
        <f>IFERROR(VLOOKUP(T[[#This Row],[warehouse]],Table2[],2,FALSE),"--")</f>
        <v>--</v>
      </c>
    </row>
    <row r="1684" spans="1:18" x14ac:dyDescent="0.25">
      <c r="A1684" t="s">
        <v>235</v>
      </c>
      <c r="B1684" s="1">
        <v>44160</v>
      </c>
      <c r="C1684" t="s">
        <v>1000</v>
      </c>
      <c r="D1684" t="s">
        <v>451</v>
      </c>
      <c r="E1684" t="s">
        <v>51</v>
      </c>
      <c r="F1684" t="s">
        <v>546</v>
      </c>
      <c r="G1684" t="s">
        <v>1063</v>
      </c>
      <c r="H1684" t="s">
        <v>54</v>
      </c>
      <c r="I1684">
        <v>10000</v>
      </c>
      <c r="J1684">
        <v>0</v>
      </c>
      <c r="K1684">
        <v>1</v>
      </c>
      <c r="L1684" t="s">
        <v>25</v>
      </c>
      <c r="M1684" t="s">
        <v>533</v>
      </c>
      <c r="N1684">
        <v>7.2</v>
      </c>
      <c r="O1684">
        <v>0</v>
      </c>
      <c r="P1684" t="str">
        <f>IF(T[[#This Row],[qty_ordered]]&lt;&gt;T[[#This Row],[qty_received]],IF(T[[#This Row],[qty_received]]&gt;0,"Partial Received","Not Receviced"),"FullyReceived")</f>
        <v>Not Receviced</v>
      </c>
      <c r="Q1684" t="str">
        <f>IF(T[[#This Row],[qty_received]]&lt;&gt;T[[#This Row],[qty_invoiced]],IF(T[[#This Row],[qty_invoiced]]&gt;0,"Partial Invoiced","Not Invoiced"),"Fully Invoiced")</f>
        <v>Partial Invoiced</v>
      </c>
      <c r="R1684" t="str">
        <f>IFERROR(VLOOKUP(T[[#This Row],[warehouse]],Table2[],2,FALSE),"--")</f>
        <v>--</v>
      </c>
    </row>
    <row r="1685" spans="1:18" x14ac:dyDescent="0.25">
      <c r="A1685" t="s">
        <v>235</v>
      </c>
      <c r="B1685" s="1">
        <v>44263</v>
      </c>
      <c r="C1685" t="s">
        <v>1271</v>
      </c>
      <c r="D1685" t="s">
        <v>20</v>
      </c>
      <c r="E1685" t="s">
        <v>51</v>
      </c>
      <c r="F1685" t="s">
        <v>546</v>
      </c>
      <c r="G1685" t="s">
        <v>1272</v>
      </c>
      <c r="H1685" t="s">
        <v>54</v>
      </c>
      <c r="I1685">
        <v>2400</v>
      </c>
      <c r="J1685">
        <v>0</v>
      </c>
      <c r="K1685">
        <v>1</v>
      </c>
      <c r="L1685" t="s">
        <v>25</v>
      </c>
      <c r="M1685" t="s">
        <v>533</v>
      </c>
      <c r="N1685">
        <v>11</v>
      </c>
      <c r="O1685">
        <v>0</v>
      </c>
      <c r="P1685" t="str">
        <f>IF(T[[#This Row],[qty_ordered]]&lt;&gt;T[[#This Row],[qty_received]],IF(T[[#This Row],[qty_received]]&gt;0,"Partial Received","Not Receviced"),"FullyReceived")</f>
        <v>Not Receviced</v>
      </c>
      <c r="Q1685" t="str">
        <f>IF(T[[#This Row],[qty_received]]&lt;&gt;T[[#This Row],[qty_invoiced]],IF(T[[#This Row],[qty_invoiced]]&gt;0,"Partial Invoiced","Not Invoiced"),"Fully Invoiced")</f>
        <v>Partial Invoiced</v>
      </c>
      <c r="R1685" t="str">
        <f>IFERROR(VLOOKUP(T[[#This Row],[warehouse]],Table2[],2,FALSE),"--")</f>
        <v>--</v>
      </c>
    </row>
    <row r="1686" spans="1:18" x14ac:dyDescent="0.25">
      <c r="A1686" t="s">
        <v>462</v>
      </c>
      <c r="B1686" s="1">
        <v>44221</v>
      </c>
      <c r="C1686" t="s">
        <v>1200</v>
      </c>
      <c r="D1686" t="s">
        <v>752</v>
      </c>
      <c r="E1686" t="s">
        <v>51</v>
      </c>
      <c r="F1686" t="s">
        <v>254</v>
      </c>
      <c r="G1686" t="s">
        <v>255</v>
      </c>
      <c r="H1686" t="s">
        <v>54</v>
      </c>
      <c r="I1686">
        <v>7257</v>
      </c>
      <c r="J1686">
        <v>0</v>
      </c>
      <c r="K1686">
        <v>1</v>
      </c>
      <c r="L1686" t="s">
        <v>25</v>
      </c>
      <c r="M1686" t="s">
        <v>533</v>
      </c>
      <c r="N1686">
        <v>13</v>
      </c>
      <c r="O1686">
        <v>0</v>
      </c>
      <c r="P1686" t="str">
        <f>IF(T[[#This Row],[qty_ordered]]&lt;&gt;T[[#This Row],[qty_received]],IF(T[[#This Row],[qty_received]]&gt;0,"Partial Received","Not Receviced"),"FullyReceived")</f>
        <v>Not Receviced</v>
      </c>
      <c r="Q1686" t="str">
        <f>IF(T[[#This Row],[qty_received]]&lt;&gt;T[[#This Row],[qty_invoiced]],IF(T[[#This Row],[qty_invoiced]]&gt;0,"Partial Invoiced","Not Invoiced"),"Fully Invoiced")</f>
        <v>Partial Invoiced</v>
      </c>
      <c r="R1686" t="str">
        <f>IFERROR(VLOOKUP(T[[#This Row],[warehouse]],Table2[],2,FALSE),"--")</f>
        <v>--</v>
      </c>
    </row>
    <row r="1687" spans="1:18" x14ac:dyDescent="0.25">
      <c r="A1687" t="s">
        <v>462</v>
      </c>
      <c r="B1687" s="1">
        <v>44221</v>
      </c>
      <c r="C1687" t="s">
        <v>1200</v>
      </c>
      <c r="D1687" t="s">
        <v>759</v>
      </c>
      <c r="E1687" t="s">
        <v>51</v>
      </c>
      <c r="F1687" t="s">
        <v>278</v>
      </c>
      <c r="G1687" t="s">
        <v>279</v>
      </c>
      <c r="H1687" t="s">
        <v>54</v>
      </c>
      <c r="I1687">
        <v>8148</v>
      </c>
      <c r="J1687">
        <v>0</v>
      </c>
      <c r="K1687">
        <v>1</v>
      </c>
      <c r="L1687" t="s">
        <v>25</v>
      </c>
      <c r="M1687" t="s">
        <v>533</v>
      </c>
      <c r="N1687">
        <v>15</v>
      </c>
      <c r="O1687">
        <v>0</v>
      </c>
      <c r="P1687" t="str">
        <f>IF(T[[#This Row],[qty_ordered]]&lt;&gt;T[[#This Row],[qty_received]],IF(T[[#This Row],[qty_received]]&gt;0,"Partial Received","Not Receviced"),"FullyReceived")</f>
        <v>Not Receviced</v>
      </c>
      <c r="Q1687" t="str">
        <f>IF(T[[#This Row],[qty_received]]&lt;&gt;T[[#This Row],[qty_invoiced]],IF(T[[#This Row],[qty_invoiced]]&gt;0,"Partial Invoiced","Not Invoiced"),"Fully Invoiced")</f>
        <v>Partial Invoiced</v>
      </c>
      <c r="R1687" t="str">
        <f>IFERROR(VLOOKUP(T[[#This Row],[warehouse]],Table2[],2,FALSE),"--")</f>
        <v>--</v>
      </c>
    </row>
    <row r="1688" spans="1:18" x14ac:dyDescent="0.25">
      <c r="A1688" t="s">
        <v>462</v>
      </c>
      <c r="B1688" s="1">
        <v>44221</v>
      </c>
      <c r="C1688" t="s">
        <v>1200</v>
      </c>
      <c r="D1688" t="s">
        <v>694</v>
      </c>
      <c r="E1688" t="s">
        <v>51</v>
      </c>
      <c r="F1688" t="s">
        <v>278</v>
      </c>
      <c r="G1688" t="s">
        <v>279</v>
      </c>
      <c r="H1688" t="s">
        <v>54</v>
      </c>
      <c r="I1688">
        <v>330</v>
      </c>
      <c r="J1688">
        <v>0</v>
      </c>
      <c r="K1688">
        <v>1</v>
      </c>
      <c r="L1688" t="s">
        <v>25</v>
      </c>
      <c r="M1688" t="s">
        <v>533</v>
      </c>
      <c r="N1688">
        <v>10</v>
      </c>
      <c r="O1688">
        <v>0</v>
      </c>
      <c r="P1688" t="str">
        <f>IF(T[[#This Row],[qty_ordered]]&lt;&gt;T[[#This Row],[qty_received]],IF(T[[#This Row],[qty_received]]&gt;0,"Partial Received","Not Receviced"),"FullyReceived")</f>
        <v>Not Receviced</v>
      </c>
      <c r="Q1688" t="str">
        <f>IF(T[[#This Row],[qty_received]]&lt;&gt;T[[#This Row],[qty_invoiced]],IF(T[[#This Row],[qty_invoiced]]&gt;0,"Partial Invoiced","Not Invoiced"),"Fully Invoiced")</f>
        <v>Partial Invoiced</v>
      </c>
      <c r="R1688" t="str">
        <f>IFERROR(VLOOKUP(T[[#This Row],[warehouse]],Table2[],2,FALSE),"--")</f>
        <v>--</v>
      </c>
    </row>
    <row r="1689" spans="1:18" x14ac:dyDescent="0.25">
      <c r="A1689" t="s">
        <v>462</v>
      </c>
      <c r="B1689" s="1">
        <v>44221</v>
      </c>
      <c r="C1689" t="s">
        <v>1200</v>
      </c>
      <c r="D1689" t="s">
        <v>760</v>
      </c>
      <c r="E1689" t="s">
        <v>51</v>
      </c>
      <c r="F1689" t="s">
        <v>433</v>
      </c>
      <c r="G1689" t="s">
        <v>433</v>
      </c>
      <c r="H1689" t="s">
        <v>54</v>
      </c>
      <c r="I1689">
        <v>6937</v>
      </c>
      <c r="J1689">
        <v>0</v>
      </c>
      <c r="K1689">
        <v>1</v>
      </c>
      <c r="L1689" t="s">
        <v>25</v>
      </c>
      <c r="M1689" t="s">
        <v>533</v>
      </c>
      <c r="N1689">
        <v>5</v>
      </c>
      <c r="O1689">
        <v>0</v>
      </c>
      <c r="P1689" t="str">
        <f>IF(T[[#This Row],[qty_ordered]]&lt;&gt;T[[#This Row],[qty_received]],IF(T[[#This Row],[qty_received]]&gt;0,"Partial Received","Not Receviced"),"FullyReceived")</f>
        <v>Not Receviced</v>
      </c>
      <c r="Q1689" t="str">
        <f>IF(T[[#This Row],[qty_received]]&lt;&gt;T[[#This Row],[qty_invoiced]],IF(T[[#This Row],[qty_invoiced]]&gt;0,"Partial Invoiced","Not Invoiced"),"Fully Invoiced")</f>
        <v>Partial Invoiced</v>
      </c>
      <c r="R1689" t="str">
        <f>IFERROR(VLOOKUP(T[[#This Row],[warehouse]],Table2[],2,FALSE),"--")</f>
        <v>--</v>
      </c>
    </row>
    <row r="1690" spans="1:18" x14ac:dyDescent="0.25">
      <c r="A1690" t="s">
        <v>462</v>
      </c>
      <c r="B1690" s="1">
        <v>44221</v>
      </c>
      <c r="C1690" t="s">
        <v>1200</v>
      </c>
      <c r="D1690" t="s">
        <v>591</v>
      </c>
      <c r="E1690" t="s">
        <v>51</v>
      </c>
      <c r="F1690" t="s">
        <v>433</v>
      </c>
      <c r="G1690" t="s">
        <v>433</v>
      </c>
      <c r="H1690" t="s">
        <v>54</v>
      </c>
      <c r="I1690">
        <v>100</v>
      </c>
      <c r="J1690">
        <v>0</v>
      </c>
      <c r="K1690">
        <v>1</v>
      </c>
      <c r="L1690" t="s">
        <v>25</v>
      </c>
      <c r="M1690" t="s">
        <v>533</v>
      </c>
      <c r="N1690">
        <v>300</v>
      </c>
      <c r="O1690">
        <v>0</v>
      </c>
      <c r="P1690" t="str">
        <f>IF(T[[#This Row],[qty_ordered]]&lt;&gt;T[[#This Row],[qty_received]],IF(T[[#This Row],[qty_received]]&gt;0,"Partial Received","Not Receviced"),"FullyReceived")</f>
        <v>Not Receviced</v>
      </c>
      <c r="Q1690" t="str">
        <f>IF(T[[#This Row],[qty_received]]&lt;&gt;T[[#This Row],[qty_invoiced]],IF(T[[#This Row],[qty_invoiced]]&gt;0,"Partial Invoiced","Not Invoiced"),"Fully Invoiced")</f>
        <v>Partial Invoiced</v>
      </c>
      <c r="R1690" t="str">
        <f>IFERROR(VLOOKUP(T[[#This Row],[warehouse]],Table2[],2,FALSE),"--")</f>
        <v>--</v>
      </c>
    </row>
    <row r="1691" spans="1:18" x14ac:dyDescent="0.25">
      <c r="A1691" t="s">
        <v>462</v>
      </c>
      <c r="B1691" s="1">
        <v>44221</v>
      </c>
      <c r="C1691" t="s">
        <v>1200</v>
      </c>
      <c r="D1691" t="s">
        <v>592</v>
      </c>
      <c r="E1691" t="s">
        <v>51</v>
      </c>
      <c r="F1691" t="s">
        <v>793</v>
      </c>
      <c r="G1691" t="s">
        <v>1273</v>
      </c>
      <c r="H1691" t="s">
        <v>54</v>
      </c>
      <c r="I1691">
        <v>25</v>
      </c>
      <c r="J1691">
        <v>0</v>
      </c>
      <c r="K1691">
        <v>1</v>
      </c>
      <c r="L1691" t="s">
        <v>25</v>
      </c>
      <c r="M1691" t="s">
        <v>533</v>
      </c>
      <c r="N1691">
        <v>178</v>
      </c>
      <c r="O1691">
        <v>0</v>
      </c>
      <c r="P1691" t="str">
        <f>IF(T[[#This Row],[qty_ordered]]&lt;&gt;T[[#This Row],[qty_received]],IF(T[[#This Row],[qty_received]]&gt;0,"Partial Received","Not Receviced"),"FullyReceived")</f>
        <v>Not Receviced</v>
      </c>
      <c r="Q1691" t="str">
        <f>IF(T[[#This Row],[qty_received]]&lt;&gt;T[[#This Row],[qty_invoiced]],IF(T[[#This Row],[qty_invoiced]]&gt;0,"Partial Invoiced","Not Invoiced"),"Fully Invoiced")</f>
        <v>Partial Invoiced</v>
      </c>
      <c r="R1691" t="str">
        <f>IFERROR(VLOOKUP(T[[#This Row],[warehouse]],Table2[],2,FALSE),"--")</f>
        <v>--</v>
      </c>
    </row>
    <row r="1692" spans="1:18" x14ac:dyDescent="0.25">
      <c r="A1692" t="s">
        <v>462</v>
      </c>
      <c r="B1692" s="1">
        <v>44221</v>
      </c>
      <c r="C1692" t="s">
        <v>1200</v>
      </c>
      <c r="D1692" t="s">
        <v>593</v>
      </c>
      <c r="E1692" t="s">
        <v>51</v>
      </c>
      <c r="F1692" t="s">
        <v>793</v>
      </c>
      <c r="G1692" t="s">
        <v>1274</v>
      </c>
      <c r="H1692" t="s">
        <v>54</v>
      </c>
      <c r="I1692">
        <v>6</v>
      </c>
      <c r="J1692">
        <v>0</v>
      </c>
      <c r="K1692">
        <v>1</v>
      </c>
      <c r="L1692" t="s">
        <v>25</v>
      </c>
      <c r="M1692" t="s">
        <v>533</v>
      </c>
      <c r="N1692">
        <v>366.66666700000002</v>
      </c>
      <c r="O1692">
        <v>0</v>
      </c>
      <c r="P1692" t="str">
        <f>IF(T[[#This Row],[qty_ordered]]&lt;&gt;T[[#This Row],[qty_received]],IF(T[[#This Row],[qty_received]]&gt;0,"Partial Received","Not Receviced"),"FullyReceived")</f>
        <v>Not Receviced</v>
      </c>
      <c r="Q1692" t="str">
        <f>IF(T[[#This Row],[qty_received]]&lt;&gt;T[[#This Row],[qty_invoiced]],IF(T[[#This Row],[qty_invoiced]]&gt;0,"Partial Invoiced","Not Invoiced"),"Fully Invoiced")</f>
        <v>Partial Invoiced</v>
      </c>
      <c r="R1692" t="str">
        <f>IFERROR(VLOOKUP(T[[#This Row],[warehouse]],Table2[],2,FALSE),"--")</f>
        <v>--</v>
      </c>
    </row>
    <row r="1693" spans="1:18" x14ac:dyDescent="0.25">
      <c r="A1693" t="s">
        <v>560</v>
      </c>
      <c r="B1693" s="1">
        <v>44251</v>
      </c>
      <c r="C1693" t="s">
        <v>1248</v>
      </c>
      <c r="D1693" t="s">
        <v>759</v>
      </c>
      <c r="E1693" t="s">
        <v>51</v>
      </c>
      <c r="F1693" t="s">
        <v>164</v>
      </c>
      <c r="G1693" t="s">
        <v>734</v>
      </c>
      <c r="H1693" t="s">
        <v>54</v>
      </c>
      <c r="I1693">
        <v>51</v>
      </c>
      <c r="J1693">
        <v>0</v>
      </c>
      <c r="K1693">
        <v>1</v>
      </c>
      <c r="L1693" t="s">
        <v>25</v>
      </c>
      <c r="M1693" t="s">
        <v>533</v>
      </c>
      <c r="N1693">
        <v>981.98039200000005</v>
      </c>
      <c r="O1693">
        <v>0</v>
      </c>
      <c r="P1693" t="str">
        <f>IF(T[[#This Row],[qty_ordered]]&lt;&gt;T[[#This Row],[qty_received]],IF(T[[#This Row],[qty_received]]&gt;0,"Partial Received","Not Receviced"),"FullyReceived")</f>
        <v>Not Receviced</v>
      </c>
      <c r="Q1693" t="str">
        <f>IF(T[[#This Row],[qty_received]]&lt;&gt;T[[#This Row],[qty_invoiced]],IF(T[[#This Row],[qty_invoiced]]&gt;0,"Partial Invoiced","Not Invoiced"),"Fully Invoiced")</f>
        <v>Partial Invoiced</v>
      </c>
      <c r="R1693" t="str">
        <f>IFERROR(VLOOKUP(T[[#This Row],[warehouse]],Table2[],2,FALSE),"--")</f>
        <v>--</v>
      </c>
    </row>
    <row r="1694" spans="1:18" x14ac:dyDescent="0.25">
      <c r="A1694" t="s">
        <v>560</v>
      </c>
      <c r="B1694" s="1">
        <v>44251</v>
      </c>
      <c r="C1694" t="s">
        <v>1248</v>
      </c>
      <c r="D1694" t="s">
        <v>694</v>
      </c>
      <c r="E1694" t="s">
        <v>51</v>
      </c>
      <c r="F1694" t="s">
        <v>164</v>
      </c>
      <c r="G1694" t="s">
        <v>734</v>
      </c>
      <c r="H1694" t="s">
        <v>54</v>
      </c>
      <c r="I1694">
        <v>72</v>
      </c>
      <c r="J1694">
        <v>0</v>
      </c>
      <c r="K1694">
        <v>1</v>
      </c>
      <c r="L1694" t="s">
        <v>25</v>
      </c>
      <c r="M1694" t="s">
        <v>533</v>
      </c>
      <c r="N1694">
        <v>925.11111100000005</v>
      </c>
      <c r="O1694">
        <v>0</v>
      </c>
      <c r="P1694" t="str">
        <f>IF(T[[#This Row],[qty_ordered]]&lt;&gt;T[[#This Row],[qty_received]],IF(T[[#This Row],[qty_received]]&gt;0,"Partial Received","Not Receviced"),"FullyReceived")</f>
        <v>Not Receviced</v>
      </c>
      <c r="Q1694" t="str">
        <f>IF(T[[#This Row],[qty_received]]&lt;&gt;T[[#This Row],[qty_invoiced]],IF(T[[#This Row],[qty_invoiced]]&gt;0,"Partial Invoiced","Not Invoiced"),"Fully Invoiced")</f>
        <v>Partial Invoiced</v>
      </c>
      <c r="R1694" t="str">
        <f>IFERROR(VLOOKUP(T[[#This Row],[warehouse]],Table2[],2,FALSE),"--")</f>
        <v>--</v>
      </c>
    </row>
    <row r="1695" spans="1:18" x14ac:dyDescent="0.25">
      <c r="A1695" t="s">
        <v>560</v>
      </c>
      <c r="B1695" s="1">
        <v>44251</v>
      </c>
      <c r="C1695" t="s">
        <v>1248</v>
      </c>
      <c r="D1695" t="s">
        <v>760</v>
      </c>
      <c r="E1695" t="s">
        <v>51</v>
      </c>
      <c r="F1695" t="s">
        <v>164</v>
      </c>
      <c r="G1695" t="s">
        <v>164</v>
      </c>
      <c r="H1695" t="s">
        <v>54</v>
      </c>
      <c r="I1695">
        <v>30</v>
      </c>
      <c r="J1695">
        <v>0</v>
      </c>
      <c r="K1695">
        <v>1</v>
      </c>
      <c r="L1695" t="s">
        <v>25</v>
      </c>
      <c r="M1695" t="s">
        <v>533</v>
      </c>
      <c r="N1695">
        <v>1005.466667</v>
      </c>
      <c r="O1695">
        <v>0</v>
      </c>
      <c r="P1695" t="str">
        <f>IF(T[[#This Row],[qty_ordered]]&lt;&gt;T[[#This Row],[qty_received]],IF(T[[#This Row],[qty_received]]&gt;0,"Partial Received","Not Receviced"),"FullyReceived")</f>
        <v>Not Receviced</v>
      </c>
      <c r="Q1695" t="str">
        <f>IF(T[[#This Row],[qty_received]]&lt;&gt;T[[#This Row],[qty_invoiced]],IF(T[[#This Row],[qty_invoiced]]&gt;0,"Partial Invoiced","Not Invoiced"),"Fully Invoiced")</f>
        <v>Partial Invoiced</v>
      </c>
      <c r="R1695" t="str">
        <f>IFERROR(VLOOKUP(T[[#This Row],[warehouse]],Table2[],2,FALSE),"--")</f>
        <v>--</v>
      </c>
    </row>
    <row r="1696" spans="1:18" x14ac:dyDescent="0.25">
      <c r="A1696" t="s">
        <v>560</v>
      </c>
      <c r="B1696" s="1">
        <v>44251</v>
      </c>
      <c r="C1696" t="s">
        <v>1247</v>
      </c>
      <c r="D1696" t="s">
        <v>324</v>
      </c>
      <c r="E1696" t="s">
        <v>51</v>
      </c>
      <c r="F1696" t="s">
        <v>164</v>
      </c>
      <c r="G1696" t="s">
        <v>792</v>
      </c>
      <c r="H1696" t="s">
        <v>54</v>
      </c>
      <c r="I1696">
        <v>36</v>
      </c>
      <c r="J1696">
        <v>0</v>
      </c>
      <c r="K1696">
        <v>1</v>
      </c>
      <c r="L1696" t="s">
        <v>25</v>
      </c>
      <c r="M1696" t="s">
        <v>533</v>
      </c>
      <c r="N1696">
        <v>1104.0277779999999</v>
      </c>
      <c r="O1696">
        <v>0</v>
      </c>
      <c r="P1696" t="str">
        <f>IF(T[[#This Row],[qty_ordered]]&lt;&gt;T[[#This Row],[qty_received]],IF(T[[#This Row],[qty_received]]&gt;0,"Partial Received","Not Receviced"),"FullyReceived")</f>
        <v>Not Receviced</v>
      </c>
      <c r="Q1696" t="str">
        <f>IF(T[[#This Row],[qty_received]]&lt;&gt;T[[#This Row],[qty_invoiced]],IF(T[[#This Row],[qty_invoiced]]&gt;0,"Partial Invoiced","Not Invoiced"),"Fully Invoiced")</f>
        <v>Partial Invoiced</v>
      </c>
      <c r="R1696" t="str">
        <f>IFERROR(VLOOKUP(T[[#This Row],[warehouse]],Table2[],2,FALSE),"--")</f>
        <v>--</v>
      </c>
    </row>
    <row r="1697" spans="1:18" x14ac:dyDescent="0.25">
      <c r="A1697" t="s">
        <v>560</v>
      </c>
      <c r="B1697" s="1">
        <v>44251</v>
      </c>
      <c r="C1697" t="s">
        <v>1247</v>
      </c>
      <c r="D1697" t="s">
        <v>325</v>
      </c>
      <c r="E1697" t="s">
        <v>51</v>
      </c>
      <c r="F1697" t="s">
        <v>164</v>
      </c>
      <c r="G1697" t="s">
        <v>792</v>
      </c>
      <c r="H1697" t="s">
        <v>54</v>
      </c>
      <c r="I1697">
        <v>24</v>
      </c>
      <c r="J1697">
        <v>0</v>
      </c>
      <c r="K1697">
        <v>1</v>
      </c>
      <c r="L1697" t="s">
        <v>25</v>
      </c>
      <c r="M1697" t="s">
        <v>533</v>
      </c>
      <c r="N1697">
        <v>1013</v>
      </c>
      <c r="O1697">
        <v>0</v>
      </c>
      <c r="P1697" t="str">
        <f>IF(T[[#This Row],[qty_ordered]]&lt;&gt;T[[#This Row],[qty_received]],IF(T[[#This Row],[qty_received]]&gt;0,"Partial Received","Not Receviced"),"FullyReceived")</f>
        <v>Not Receviced</v>
      </c>
      <c r="Q1697" t="str">
        <f>IF(T[[#This Row],[qty_received]]&lt;&gt;T[[#This Row],[qty_invoiced]],IF(T[[#This Row],[qty_invoiced]]&gt;0,"Partial Invoiced","Not Invoiced"),"Fully Invoiced")</f>
        <v>Partial Invoiced</v>
      </c>
      <c r="R1697" t="str">
        <f>IFERROR(VLOOKUP(T[[#This Row],[warehouse]],Table2[],2,FALSE),"--")</f>
        <v>--</v>
      </c>
    </row>
    <row r="1698" spans="1:18" x14ac:dyDescent="0.25">
      <c r="A1698" t="s">
        <v>560</v>
      </c>
      <c r="B1698" s="1">
        <v>44251</v>
      </c>
      <c r="C1698" t="s">
        <v>1247</v>
      </c>
      <c r="D1698" t="s">
        <v>451</v>
      </c>
      <c r="E1698" t="s">
        <v>51</v>
      </c>
      <c r="F1698" t="s">
        <v>164</v>
      </c>
      <c r="G1698" t="s">
        <v>164</v>
      </c>
      <c r="H1698" t="s">
        <v>54</v>
      </c>
      <c r="I1698">
        <v>30</v>
      </c>
      <c r="J1698">
        <v>0</v>
      </c>
      <c r="K1698">
        <v>1</v>
      </c>
      <c r="L1698" t="s">
        <v>25</v>
      </c>
      <c r="M1698" t="s">
        <v>533</v>
      </c>
      <c r="N1698">
        <v>1024.3</v>
      </c>
      <c r="O1698">
        <v>0</v>
      </c>
      <c r="P1698" t="str">
        <f>IF(T[[#This Row],[qty_ordered]]&lt;&gt;T[[#This Row],[qty_received]],IF(T[[#This Row],[qty_received]]&gt;0,"Partial Received","Not Receviced"),"FullyReceived")</f>
        <v>Not Receviced</v>
      </c>
      <c r="Q1698" t="str">
        <f>IF(T[[#This Row],[qty_received]]&lt;&gt;T[[#This Row],[qty_invoiced]],IF(T[[#This Row],[qty_invoiced]]&gt;0,"Partial Invoiced","Not Invoiced"),"Fully Invoiced")</f>
        <v>Partial Invoiced</v>
      </c>
      <c r="R1698" t="str">
        <f>IFERROR(VLOOKUP(T[[#This Row],[warehouse]],Table2[],2,FALSE),"--")</f>
        <v>--</v>
      </c>
    </row>
    <row r="1699" spans="1:18" x14ac:dyDescent="0.25">
      <c r="A1699" t="s">
        <v>560</v>
      </c>
      <c r="B1699" s="1">
        <v>44251</v>
      </c>
      <c r="C1699" t="s">
        <v>1237</v>
      </c>
      <c r="D1699" t="s">
        <v>88</v>
      </c>
      <c r="E1699" t="s">
        <v>51</v>
      </c>
      <c r="F1699" t="s">
        <v>164</v>
      </c>
      <c r="G1699" t="s">
        <v>1275</v>
      </c>
      <c r="H1699" t="s">
        <v>54</v>
      </c>
      <c r="I1699">
        <v>36</v>
      </c>
      <c r="J1699">
        <v>0</v>
      </c>
      <c r="K1699">
        <v>1</v>
      </c>
      <c r="L1699" t="s">
        <v>25</v>
      </c>
      <c r="M1699" t="s">
        <v>533</v>
      </c>
      <c r="N1699">
        <v>1016.1388889999999</v>
      </c>
      <c r="O1699">
        <v>0</v>
      </c>
      <c r="P1699" t="str">
        <f>IF(T[[#This Row],[qty_ordered]]&lt;&gt;T[[#This Row],[qty_received]],IF(T[[#This Row],[qty_received]]&gt;0,"Partial Received","Not Receviced"),"FullyReceived")</f>
        <v>Not Receviced</v>
      </c>
      <c r="Q1699" t="str">
        <f>IF(T[[#This Row],[qty_received]]&lt;&gt;T[[#This Row],[qty_invoiced]],IF(T[[#This Row],[qty_invoiced]]&gt;0,"Partial Invoiced","Not Invoiced"),"Fully Invoiced")</f>
        <v>Partial Invoiced</v>
      </c>
      <c r="R1699" t="str">
        <f>IFERROR(VLOOKUP(T[[#This Row],[warehouse]],Table2[],2,FALSE),"--")</f>
        <v>--</v>
      </c>
    </row>
    <row r="1700" spans="1:18" x14ac:dyDescent="0.25">
      <c r="A1700" t="s">
        <v>560</v>
      </c>
      <c r="B1700" s="1">
        <v>44251</v>
      </c>
      <c r="C1700" t="s">
        <v>1276</v>
      </c>
      <c r="D1700" t="s">
        <v>88</v>
      </c>
      <c r="E1700" t="s">
        <v>51</v>
      </c>
      <c r="F1700" t="s">
        <v>164</v>
      </c>
      <c r="G1700" t="s">
        <v>1163</v>
      </c>
      <c r="H1700" t="s">
        <v>54</v>
      </c>
      <c r="I1700">
        <v>36</v>
      </c>
      <c r="J1700">
        <v>0</v>
      </c>
      <c r="K1700">
        <v>1</v>
      </c>
      <c r="L1700" t="s">
        <v>25</v>
      </c>
      <c r="M1700" t="s">
        <v>533</v>
      </c>
      <c r="N1700">
        <v>900</v>
      </c>
      <c r="O1700">
        <v>0</v>
      </c>
      <c r="P1700" t="str">
        <f>IF(T[[#This Row],[qty_ordered]]&lt;&gt;T[[#This Row],[qty_received]],IF(T[[#This Row],[qty_received]]&gt;0,"Partial Received","Not Receviced"),"FullyReceived")</f>
        <v>Not Receviced</v>
      </c>
      <c r="Q1700" t="str">
        <f>IF(T[[#This Row],[qty_received]]&lt;&gt;T[[#This Row],[qty_invoiced]],IF(T[[#This Row],[qty_invoiced]]&gt;0,"Partial Invoiced","Not Invoiced"),"Fully Invoiced")</f>
        <v>Partial Invoiced</v>
      </c>
      <c r="R1700" t="str">
        <f>IFERROR(VLOOKUP(T[[#This Row],[warehouse]],Table2[],2,FALSE),"--")</f>
        <v>--</v>
      </c>
    </row>
    <row r="1701" spans="1:18" x14ac:dyDescent="0.25">
      <c r="A1701" t="s">
        <v>560</v>
      </c>
      <c r="B1701" s="1">
        <v>44251</v>
      </c>
      <c r="C1701" t="s">
        <v>1245</v>
      </c>
      <c r="D1701" t="s">
        <v>74</v>
      </c>
      <c r="E1701" t="s">
        <v>51</v>
      </c>
      <c r="F1701" t="s">
        <v>164</v>
      </c>
      <c r="G1701" t="s">
        <v>1255</v>
      </c>
      <c r="H1701" t="s">
        <v>54</v>
      </c>
      <c r="I1701">
        <v>28</v>
      </c>
      <c r="J1701">
        <v>0</v>
      </c>
      <c r="K1701">
        <v>1</v>
      </c>
      <c r="L1701" t="s">
        <v>25</v>
      </c>
      <c r="M1701" t="s">
        <v>533</v>
      </c>
      <c r="N1701">
        <v>2203.9642859999999</v>
      </c>
      <c r="O1701">
        <v>0</v>
      </c>
      <c r="P1701" t="str">
        <f>IF(T[[#This Row],[qty_ordered]]&lt;&gt;T[[#This Row],[qty_received]],IF(T[[#This Row],[qty_received]]&gt;0,"Partial Received","Not Receviced"),"FullyReceived")</f>
        <v>Not Receviced</v>
      </c>
      <c r="Q1701" t="str">
        <f>IF(T[[#This Row],[qty_received]]&lt;&gt;T[[#This Row],[qty_invoiced]],IF(T[[#This Row],[qty_invoiced]]&gt;0,"Partial Invoiced","Not Invoiced"),"Fully Invoiced")</f>
        <v>Partial Invoiced</v>
      </c>
      <c r="R1701" t="str">
        <f>IFERROR(VLOOKUP(T[[#This Row],[warehouse]],Table2[],2,FALSE),"--")</f>
        <v>--</v>
      </c>
    </row>
    <row r="1702" spans="1:18" x14ac:dyDescent="0.25">
      <c r="A1702" t="s">
        <v>560</v>
      </c>
      <c r="B1702" s="1">
        <v>44251</v>
      </c>
      <c r="C1702" t="s">
        <v>1245</v>
      </c>
      <c r="D1702" t="s">
        <v>76</v>
      </c>
      <c r="E1702" t="s">
        <v>51</v>
      </c>
      <c r="F1702" t="s">
        <v>164</v>
      </c>
      <c r="G1702" t="s">
        <v>1255</v>
      </c>
      <c r="H1702" t="s">
        <v>54</v>
      </c>
      <c r="I1702">
        <v>24</v>
      </c>
      <c r="J1702">
        <v>0</v>
      </c>
      <c r="K1702">
        <v>1</v>
      </c>
      <c r="L1702" t="s">
        <v>25</v>
      </c>
      <c r="M1702" t="s">
        <v>533</v>
      </c>
      <c r="N1702">
        <v>900</v>
      </c>
      <c r="O1702">
        <v>0</v>
      </c>
      <c r="P1702" t="str">
        <f>IF(T[[#This Row],[qty_ordered]]&lt;&gt;T[[#This Row],[qty_received]],IF(T[[#This Row],[qty_received]]&gt;0,"Partial Received","Not Receviced"),"FullyReceived")</f>
        <v>Not Receviced</v>
      </c>
      <c r="Q1702" t="str">
        <f>IF(T[[#This Row],[qty_received]]&lt;&gt;T[[#This Row],[qty_invoiced]],IF(T[[#This Row],[qty_invoiced]]&gt;0,"Partial Invoiced","Not Invoiced"),"Fully Invoiced")</f>
        <v>Partial Invoiced</v>
      </c>
      <c r="R1702" t="str">
        <f>IFERROR(VLOOKUP(T[[#This Row],[warehouse]],Table2[],2,FALSE),"--")</f>
        <v>--</v>
      </c>
    </row>
    <row r="1703" spans="1:18" x14ac:dyDescent="0.25">
      <c r="A1703" t="s">
        <v>560</v>
      </c>
      <c r="B1703" s="1">
        <v>44251</v>
      </c>
      <c r="C1703" t="s">
        <v>1238</v>
      </c>
      <c r="D1703" t="s">
        <v>76</v>
      </c>
      <c r="E1703" t="s">
        <v>51</v>
      </c>
      <c r="F1703" t="s">
        <v>164</v>
      </c>
      <c r="G1703" t="s">
        <v>1141</v>
      </c>
      <c r="H1703" t="s">
        <v>54</v>
      </c>
      <c r="I1703">
        <v>30</v>
      </c>
      <c r="J1703">
        <v>0</v>
      </c>
      <c r="K1703">
        <v>1</v>
      </c>
      <c r="L1703" t="s">
        <v>25</v>
      </c>
      <c r="M1703" t="s">
        <v>533</v>
      </c>
      <c r="N1703">
        <v>1880</v>
      </c>
      <c r="O1703">
        <v>0</v>
      </c>
      <c r="P1703" t="str">
        <f>IF(T[[#This Row],[qty_ordered]]&lt;&gt;T[[#This Row],[qty_received]],IF(T[[#This Row],[qty_received]]&gt;0,"Partial Received","Not Receviced"),"FullyReceived")</f>
        <v>Not Receviced</v>
      </c>
      <c r="Q1703" t="str">
        <f>IF(T[[#This Row],[qty_received]]&lt;&gt;T[[#This Row],[qty_invoiced]],IF(T[[#This Row],[qty_invoiced]]&gt;0,"Partial Invoiced","Not Invoiced"),"Fully Invoiced")</f>
        <v>Partial Invoiced</v>
      </c>
      <c r="R1703" t="str">
        <f>IFERROR(VLOOKUP(T[[#This Row],[warehouse]],Table2[],2,FALSE),"--")</f>
        <v>--</v>
      </c>
    </row>
    <row r="1704" spans="1:18" x14ac:dyDescent="0.25">
      <c r="A1704" t="s">
        <v>560</v>
      </c>
      <c r="B1704" s="1">
        <v>44251</v>
      </c>
      <c r="C1704" t="s">
        <v>1238</v>
      </c>
      <c r="D1704" t="s">
        <v>212</v>
      </c>
      <c r="E1704" t="s">
        <v>51</v>
      </c>
      <c r="F1704" t="s">
        <v>164</v>
      </c>
      <c r="G1704" t="s">
        <v>1141</v>
      </c>
      <c r="H1704" t="s">
        <v>54</v>
      </c>
      <c r="I1704">
        <v>51</v>
      </c>
      <c r="J1704">
        <v>0</v>
      </c>
      <c r="K1704">
        <v>1</v>
      </c>
      <c r="L1704" t="s">
        <v>25</v>
      </c>
      <c r="M1704" t="s">
        <v>533</v>
      </c>
      <c r="N1704">
        <v>911.07843100000002</v>
      </c>
      <c r="O1704">
        <v>0</v>
      </c>
      <c r="P1704" t="str">
        <f>IF(T[[#This Row],[qty_ordered]]&lt;&gt;T[[#This Row],[qty_received]],IF(T[[#This Row],[qty_received]]&gt;0,"Partial Received","Not Receviced"),"FullyReceived")</f>
        <v>Not Receviced</v>
      </c>
      <c r="Q1704" t="str">
        <f>IF(T[[#This Row],[qty_received]]&lt;&gt;T[[#This Row],[qty_invoiced]],IF(T[[#This Row],[qty_invoiced]]&gt;0,"Partial Invoiced","Not Invoiced"),"Fully Invoiced")</f>
        <v>Partial Invoiced</v>
      </c>
      <c r="R1704" t="str">
        <f>IFERROR(VLOOKUP(T[[#This Row],[warehouse]],Table2[],2,FALSE),"--")</f>
        <v>--</v>
      </c>
    </row>
    <row r="1705" spans="1:18" x14ac:dyDescent="0.25">
      <c r="A1705" t="s">
        <v>560</v>
      </c>
      <c r="B1705" s="1">
        <v>44251</v>
      </c>
      <c r="C1705" t="s">
        <v>1256</v>
      </c>
      <c r="D1705" t="s">
        <v>615</v>
      </c>
      <c r="E1705" t="s">
        <v>51</v>
      </c>
      <c r="F1705" t="s">
        <v>164</v>
      </c>
      <c r="G1705" t="s">
        <v>164</v>
      </c>
      <c r="H1705" t="s">
        <v>54</v>
      </c>
      <c r="I1705">
        <v>26</v>
      </c>
      <c r="J1705">
        <v>0</v>
      </c>
      <c r="K1705">
        <v>1</v>
      </c>
      <c r="L1705" t="s">
        <v>25</v>
      </c>
      <c r="M1705" t="s">
        <v>533</v>
      </c>
      <c r="N1705">
        <v>2149.3076919999999</v>
      </c>
      <c r="O1705">
        <v>0</v>
      </c>
      <c r="P1705" t="str">
        <f>IF(T[[#This Row],[qty_ordered]]&lt;&gt;T[[#This Row],[qty_received]],IF(T[[#This Row],[qty_received]]&gt;0,"Partial Received","Not Receviced"),"FullyReceived")</f>
        <v>Not Receviced</v>
      </c>
      <c r="Q1705" t="str">
        <f>IF(T[[#This Row],[qty_received]]&lt;&gt;T[[#This Row],[qty_invoiced]],IF(T[[#This Row],[qty_invoiced]]&gt;0,"Partial Invoiced","Not Invoiced"),"Fully Invoiced")</f>
        <v>Partial Invoiced</v>
      </c>
      <c r="R1705" t="str">
        <f>IFERROR(VLOOKUP(T[[#This Row],[warehouse]],Table2[],2,FALSE),"--")</f>
        <v>--</v>
      </c>
    </row>
    <row r="1706" spans="1:18" x14ac:dyDescent="0.25">
      <c r="A1706" t="s">
        <v>560</v>
      </c>
      <c r="B1706" s="1">
        <v>44251</v>
      </c>
      <c r="C1706" t="s">
        <v>1256</v>
      </c>
      <c r="D1706" t="s">
        <v>752</v>
      </c>
      <c r="E1706" t="s">
        <v>51</v>
      </c>
      <c r="F1706" t="s">
        <v>164</v>
      </c>
      <c r="G1706" t="s">
        <v>164</v>
      </c>
      <c r="H1706" t="s">
        <v>54</v>
      </c>
      <c r="I1706">
        <v>25</v>
      </c>
      <c r="J1706">
        <v>0</v>
      </c>
      <c r="K1706">
        <v>1</v>
      </c>
      <c r="L1706" t="s">
        <v>25</v>
      </c>
      <c r="M1706" t="s">
        <v>533</v>
      </c>
      <c r="N1706">
        <v>960</v>
      </c>
      <c r="O1706">
        <v>0</v>
      </c>
      <c r="P1706" t="str">
        <f>IF(T[[#This Row],[qty_ordered]]&lt;&gt;T[[#This Row],[qty_received]],IF(T[[#This Row],[qty_received]]&gt;0,"Partial Received","Not Receviced"),"FullyReceived")</f>
        <v>Not Receviced</v>
      </c>
      <c r="Q1706" t="str">
        <f>IF(T[[#This Row],[qty_received]]&lt;&gt;T[[#This Row],[qty_invoiced]],IF(T[[#This Row],[qty_invoiced]]&gt;0,"Partial Invoiced","Not Invoiced"),"Fully Invoiced")</f>
        <v>Partial Invoiced</v>
      </c>
      <c r="R1706" t="str">
        <f>IFERROR(VLOOKUP(T[[#This Row],[warehouse]],Table2[],2,FALSE),"--")</f>
        <v>--</v>
      </c>
    </row>
    <row r="1707" spans="1:18" x14ac:dyDescent="0.25">
      <c r="A1707" t="s">
        <v>560</v>
      </c>
      <c r="B1707" s="1">
        <v>44251</v>
      </c>
      <c r="C1707" t="s">
        <v>1256</v>
      </c>
      <c r="D1707" t="s">
        <v>759</v>
      </c>
      <c r="E1707" t="s">
        <v>51</v>
      </c>
      <c r="F1707" t="s">
        <v>164</v>
      </c>
      <c r="G1707" t="s">
        <v>164</v>
      </c>
      <c r="H1707" t="s">
        <v>54</v>
      </c>
      <c r="I1707">
        <v>130</v>
      </c>
      <c r="J1707">
        <v>0</v>
      </c>
      <c r="K1707">
        <v>1</v>
      </c>
      <c r="L1707" t="s">
        <v>25</v>
      </c>
      <c r="M1707" t="s">
        <v>533</v>
      </c>
      <c r="N1707">
        <v>993.03076899999996</v>
      </c>
      <c r="O1707">
        <v>0</v>
      </c>
      <c r="P1707" t="str">
        <f>IF(T[[#This Row],[qty_ordered]]&lt;&gt;T[[#This Row],[qty_received]],IF(T[[#This Row],[qty_received]]&gt;0,"Partial Received","Not Receviced"),"FullyReceived")</f>
        <v>Not Receviced</v>
      </c>
      <c r="Q1707" t="str">
        <f>IF(T[[#This Row],[qty_received]]&lt;&gt;T[[#This Row],[qty_invoiced]],IF(T[[#This Row],[qty_invoiced]]&gt;0,"Partial Invoiced","Not Invoiced"),"Fully Invoiced")</f>
        <v>Partial Invoiced</v>
      </c>
      <c r="R1707" t="str">
        <f>IFERROR(VLOOKUP(T[[#This Row],[warehouse]],Table2[],2,FALSE),"--")</f>
        <v>--</v>
      </c>
    </row>
    <row r="1708" spans="1:18" x14ac:dyDescent="0.25">
      <c r="A1708" t="s">
        <v>560</v>
      </c>
      <c r="B1708" s="1">
        <v>44251</v>
      </c>
      <c r="C1708" t="s">
        <v>1256</v>
      </c>
      <c r="D1708" t="s">
        <v>694</v>
      </c>
      <c r="E1708" t="s">
        <v>51</v>
      </c>
      <c r="F1708" t="s">
        <v>164</v>
      </c>
      <c r="G1708" t="s">
        <v>164</v>
      </c>
      <c r="H1708" t="s">
        <v>54</v>
      </c>
      <c r="I1708">
        <v>65</v>
      </c>
      <c r="J1708">
        <v>0</v>
      </c>
      <c r="K1708">
        <v>1</v>
      </c>
      <c r="L1708" t="s">
        <v>25</v>
      </c>
      <c r="M1708" t="s">
        <v>533</v>
      </c>
      <c r="N1708">
        <v>977.38461500000005</v>
      </c>
      <c r="O1708">
        <v>0</v>
      </c>
      <c r="P1708" t="str">
        <f>IF(T[[#This Row],[qty_ordered]]&lt;&gt;T[[#This Row],[qty_received]],IF(T[[#This Row],[qty_received]]&gt;0,"Partial Received","Not Receviced"),"FullyReceived")</f>
        <v>Not Receviced</v>
      </c>
      <c r="Q1708" t="str">
        <f>IF(T[[#This Row],[qty_received]]&lt;&gt;T[[#This Row],[qty_invoiced]],IF(T[[#This Row],[qty_invoiced]]&gt;0,"Partial Invoiced","Not Invoiced"),"Fully Invoiced")</f>
        <v>Partial Invoiced</v>
      </c>
      <c r="R1708" t="str">
        <f>IFERROR(VLOOKUP(T[[#This Row],[warehouse]],Table2[],2,FALSE),"--")</f>
        <v>--</v>
      </c>
    </row>
    <row r="1709" spans="1:18" x14ac:dyDescent="0.25">
      <c r="A1709" t="s">
        <v>560</v>
      </c>
      <c r="B1709" s="1">
        <v>44251</v>
      </c>
      <c r="C1709" t="s">
        <v>1256</v>
      </c>
      <c r="D1709" t="s">
        <v>760</v>
      </c>
      <c r="E1709" t="s">
        <v>51</v>
      </c>
      <c r="F1709" t="s">
        <v>164</v>
      </c>
      <c r="G1709" t="s">
        <v>164</v>
      </c>
      <c r="H1709" t="s">
        <v>54</v>
      </c>
      <c r="I1709">
        <v>30</v>
      </c>
      <c r="J1709">
        <v>0</v>
      </c>
      <c r="K1709">
        <v>1</v>
      </c>
      <c r="L1709" t="s">
        <v>25</v>
      </c>
      <c r="M1709" t="s">
        <v>533</v>
      </c>
      <c r="N1709">
        <v>1095.866667</v>
      </c>
      <c r="O1709">
        <v>0</v>
      </c>
      <c r="P1709" t="str">
        <f>IF(T[[#This Row],[qty_ordered]]&lt;&gt;T[[#This Row],[qty_received]],IF(T[[#This Row],[qty_received]]&gt;0,"Partial Received","Not Receviced"),"FullyReceived")</f>
        <v>Not Receviced</v>
      </c>
      <c r="Q1709" t="str">
        <f>IF(T[[#This Row],[qty_received]]&lt;&gt;T[[#This Row],[qty_invoiced]],IF(T[[#This Row],[qty_invoiced]]&gt;0,"Partial Invoiced","Not Invoiced"),"Fully Invoiced")</f>
        <v>Partial Invoiced</v>
      </c>
      <c r="R1709" t="str">
        <f>IFERROR(VLOOKUP(T[[#This Row],[warehouse]],Table2[],2,FALSE),"--")</f>
        <v>--</v>
      </c>
    </row>
    <row r="1710" spans="1:18" x14ac:dyDescent="0.25">
      <c r="A1710" t="s">
        <v>560</v>
      </c>
      <c r="B1710" s="1">
        <v>44251</v>
      </c>
      <c r="C1710" t="s">
        <v>1256</v>
      </c>
      <c r="D1710" t="s">
        <v>591</v>
      </c>
      <c r="E1710" t="s">
        <v>51</v>
      </c>
      <c r="F1710" t="s">
        <v>164</v>
      </c>
      <c r="G1710" t="s">
        <v>164</v>
      </c>
      <c r="H1710" t="s">
        <v>54</v>
      </c>
      <c r="I1710">
        <v>72</v>
      </c>
      <c r="J1710">
        <v>0</v>
      </c>
      <c r="K1710">
        <v>1</v>
      </c>
      <c r="L1710" t="s">
        <v>25</v>
      </c>
      <c r="M1710" t="s">
        <v>533</v>
      </c>
      <c r="N1710">
        <v>1022.416667</v>
      </c>
      <c r="O1710">
        <v>0</v>
      </c>
      <c r="P1710" t="str">
        <f>IF(T[[#This Row],[qty_ordered]]&lt;&gt;T[[#This Row],[qty_received]],IF(T[[#This Row],[qty_received]]&gt;0,"Partial Received","Not Receviced"),"FullyReceived")</f>
        <v>Not Receviced</v>
      </c>
      <c r="Q1710" t="str">
        <f>IF(T[[#This Row],[qty_received]]&lt;&gt;T[[#This Row],[qty_invoiced]],IF(T[[#This Row],[qty_invoiced]]&gt;0,"Partial Invoiced","Not Invoiced"),"Fully Invoiced")</f>
        <v>Partial Invoiced</v>
      </c>
      <c r="R1710" t="str">
        <f>IFERROR(VLOOKUP(T[[#This Row],[warehouse]],Table2[],2,FALSE),"--")</f>
        <v>--</v>
      </c>
    </row>
    <row r="1711" spans="1:18" x14ac:dyDescent="0.25">
      <c r="A1711" t="s">
        <v>560</v>
      </c>
      <c r="B1711" s="1">
        <v>44251</v>
      </c>
      <c r="C1711" t="s">
        <v>1256</v>
      </c>
      <c r="D1711" t="s">
        <v>592</v>
      </c>
      <c r="E1711" t="s">
        <v>51</v>
      </c>
      <c r="F1711" t="s">
        <v>164</v>
      </c>
      <c r="G1711" t="s">
        <v>164</v>
      </c>
      <c r="H1711" t="s">
        <v>54</v>
      </c>
      <c r="I1711">
        <v>30</v>
      </c>
      <c r="J1711">
        <v>0</v>
      </c>
      <c r="K1711">
        <v>1</v>
      </c>
      <c r="L1711" t="s">
        <v>25</v>
      </c>
      <c r="M1711" t="s">
        <v>533</v>
      </c>
      <c r="N1711">
        <v>900</v>
      </c>
      <c r="O1711">
        <v>0</v>
      </c>
      <c r="P1711" t="str">
        <f>IF(T[[#This Row],[qty_ordered]]&lt;&gt;T[[#This Row],[qty_received]],IF(T[[#This Row],[qty_received]]&gt;0,"Partial Received","Not Receviced"),"FullyReceived")</f>
        <v>Not Receviced</v>
      </c>
      <c r="Q1711" t="str">
        <f>IF(T[[#This Row],[qty_received]]&lt;&gt;T[[#This Row],[qty_invoiced]],IF(T[[#This Row],[qty_invoiced]]&gt;0,"Partial Invoiced","Not Invoiced"),"Fully Invoiced")</f>
        <v>Partial Invoiced</v>
      </c>
      <c r="R1711" t="str">
        <f>IFERROR(VLOOKUP(T[[#This Row],[warehouse]],Table2[],2,FALSE),"--")</f>
        <v>--</v>
      </c>
    </row>
    <row r="1712" spans="1:18" x14ac:dyDescent="0.25">
      <c r="A1712" t="s">
        <v>560</v>
      </c>
      <c r="B1712" s="1">
        <v>44251</v>
      </c>
      <c r="C1712" t="s">
        <v>1256</v>
      </c>
      <c r="D1712" t="s">
        <v>593</v>
      </c>
      <c r="E1712" t="s">
        <v>51</v>
      </c>
      <c r="F1712" t="s">
        <v>164</v>
      </c>
      <c r="G1712" t="s">
        <v>164</v>
      </c>
      <c r="H1712" t="s">
        <v>54</v>
      </c>
      <c r="I1712">
        <v>36</v>
      </c>
      <c r="J1712">
        <v>0</v>
      </c>
      <c r="K1712">
        <v>1</v>
      </c>
      <c r="L1712" t="s">
        <v>25</v>
      </c>
      <c r="M1712" t="s">
        <v>533</v>
      </c>
      <c r="N1712">
        <v>950.22222199999999</v>
      </c>
      <c r="O1712">
        <v>0</v>
      </c>
      <c r="P1712" t="str">
        <f>IF(T[[#This Row],[qty_ordered]]&lt;&gt;T[[#This Row],[qty_received]],IF(T[[#This Row],[qty_received]]&gt;0,"Partial Received","Not Receviced"),"FullyReceived")</f>
        <v>Not Receviced</v>
      </c>
      <c r="Q1712" t="str">
        <f>IF(T[[#This Row],[qty_received]]&lt;&gt;T[[#This Row],[qty_invoiced]],IF(T[[#This Row],[qty_invoiced]]&gt;0,"Partial Invoiced","Not Invoiced"),"Fully Invoiced")</f>
        <v>Partial Invoiced</v>
      </c>
      <c r="R1712" t="str">
        <f>IFERROR(VLOOKUP(T[[#This Row],[warehouse]],Table2[],2,FALSE),"--")</f>
        <v>--</v>
      </c>
    </row>
    <row r="1713" spans="1:18" x14ac:dyDescent="0.25">
      <c r="A1713" t="s">
        <v>560</v>
      </c>
      <c r="B1713" s="1">
        <v>44251</v>
      </c>
      <c r="C1713" t="s">
        <v>1246</v>
      </c>
      <c r="D1713" t="s">
        <v>322</v>
      </c>
      <c r="E1713" t="s">
        <v>51</v>
      </c>
      <c r="F1713" t="s">
        <v>164</v>
      </c>
      <c r="G1713" t="s">
        <v>164</v>
      </c>
      <c r="H1713" t="s">
        <v>54</v>
      </c>
      <c r="I1713">
        <v>15</v>
      </c>
      <c r="J1713">
        <v>0</v>
      </c>
      <c r="K1713">
        <v>1</v>
      </c>
      <c r="L1713" t="s">
        <v>25</v>
      </c>
      <c r="M1713" t="s">
        <v>533</v>
      </c>
      <c r="N1713">
        <v>900</v>
      </c>
      <c r="O1713">
        <v>0</v>
      </c>
      <c r="P1713" t="str">
        <f>IF(T[[#This Row],[qty_ordered]]&lt;&gt;T[[#This Row],[qty_received]],IF(T[[#This Row],[qty_received]]&gt;0,"Partial Received","Not Receviced"),"FullyReceived")</f>
        <v>Not Receviced</v>
      </c>
      <c r="Q1713" t="str">
        <f>IF(T[[#This Row],[qty_received]]&lt;&gt;T[[#This Row],[qty_invoiced]],IF(T[[#This Row],[qty_invoiced]]&gt;0,"Partial Invoiced","Not Invoiced"),"Fully Invoiced")</f>
        <v>Partial Invoiced</v>
      </c>
      <c r="R1713" t="str">
        <f>IFERROR(VLOOKUP(T[[#This Row],[warehouse]],Table2[],2,FALSE),"--")</f>
        <v>--</v>
      </c>
    </row>
    <row r="1714" spans="1:18" x14ac:dyDescent="0.25">
      <c r="A1714" t="s">
        <v>560</v>
      </c>
      <c r="B1714" s="1">
        <v>44251</v>
      </c>
      <c r="C1714" t="s">
        <v>1246</v>
      </c>
      <c r="D1714" t="s">
        <v>323</v>
      </c>
      <c r="E1714" t="s">
        <v>51</v>
      </c>
      <c r="F1714" t="s">
        <v>164</v>
      </c>
      <c r="G1714" t="s">
        <v>164</v>
      </c>
      <c r="H1714" t="s">
        <v>54</v>
      </c>
      <c r="I1714">
        <v>50</v>
      </c>
      <c r="J1714">
        <v>0</v>
      </c>
      <c r="K1714">
        <v>1</v>
      </c>
      <c r="L1714" t="s">
        <v>25</v>
      </c>
      <c r="M1714" t="s">
        <v>533</v>
      </c>
      <c r="N1714">
        <v>1009.72</v>
      </c>
      <c r="O1714">
        <v>0</v>
      </c>
      <c r="P1714" t="str">
        <f>IF(T[[#This Row],[qty_ordered]]&lt;&gt;T[[#This Row],[qty_received]],IF(T[[#This Row],[qty_received]]&gt;0,"Partial Received","Not Receviced"),"FullyReceived")</f>
        <v>Not Receviced</v>
      </c>
      <c r="Q1714" t="str">
        <f>IF(T[[#This Row],[qty_received]]&lt;&gt;T[[#This Row],[qty_invoiced]],IF(T[[#This Row],[qty_invoiced]]&gt;0,"Partial Invoiced","Not Invoiced"),"Fully Invoiced")</f>
        <v>Partial Invoiced</v>
      </c>
      <c r="R1714" t="str">
        <f>IFERROR(VLOOKUP(T[[#This Row],[warehouse]],Table2[],2,FALSE),"--")</f>
        <v>--</v>
      </c>
    </row>
    <row r="1715" spans="1:18" x14ac:dyDescent="0.25">
      <c r="A1715" t="s">
        <v>560</v>
      </c>
      <c r="B1715" s="1">
        <v>44251</v>
      </c>
      <c r="C1715" t="s">
        <v>1246</v>
      </c>
      <c r="D1715" t="s">
        <v>324</v>
      </c>
      <c r="E1715" t="s">
        <v>51</v>
      </c>
      <c r="F1715" t="s">
        <v>164</v>
      </c>
      <c r="G1715" t="s">
        <v>164</v>
      </c>
      <c r="H1715" t="s">
        <v>54</v>
      </c>
      <c r="I1715">
        <v>30</v>
      </c>
      <c r="J1715">
        <v>0</v>
      </c>
      <c r="K1715">
        <v>1</v>
      </c>
      <c r="L1715" t="s">
        <v>25</v>
      </c>
      <c r="M1715" t="s">
        <v>533</v>
      </c>
      <c r="N1715">
        <v>918.83333300000004</v>
      </c>
      <c r="O1715">
        <v>0</v>
      </c>
      <c r="P1715" t="str">
        <f>IF(T[[#This Row],[qty_ordered]]&lt;&gt;T[[#This Row],[qty_received]],IF(T[[#This Row],[qty_received]]&gt;0,"Partial Received","Not Receviced"),"FullyReceived")</f>
        <v>Not Receviced</v>
      </c>
      <c r="Q1715" t="str">
        <f>IF(T[[#This Row],[qty_received]]&lt;&gt;T[[#This Row],[qty_invoiced]],IF(T[[#This Row],[qty_invoiced]]&gt;0,"Partial Invoiced","Not Invoiced"),"Fully Invoiced")</f>
        <v>Partial Invoiced</v>
      </c>
      <c r="R1715" t="str">
        <f>IFERROR(VLOOKUP(T[[#This Row],[warehouse]],Table2[],2,FALSE),"--")</f>
        <v>--</v>
      </c>
    </row>
    <row r="1716" spans="1:18" x14ac:dyDescent="0.25">
      <c r="A1716" t="s">
        <v>560</v>
      </c>
      <c r="B1716" s="1">
        <v>44251</v>
      </c>
      <c r="C1716" t="s">
        <v>1256</v>
      </c>
      <c r="D1716" t="s">
        <v>594</v>
      </c>
      <c r="E1716" t="s">
        <v>51</v>
      </c>
      <c r="F1716" t="s">
        <v>164</v>
      </c>
      <c r="G1716" t="s">
        <v>164</v>
      </c>
      <c r="H1716" t="s">
        <v>54</v>
      </c>
      <c r="I1716">
        <v>21</v>
      </c>
      <c r="J1716">
        <v>0</v>
      </c>
      <c r="K1716">
        <v>1</v>
      </c>
      <c r="L1716" t="s">
        <v>25</v>
      </c>
      <c r="M1716" t="s">
        <v>533</v>
      </c>
      <c r="N1716">
        <v>1007.619048</v>
      </c>
      <c r="O1716">
        <v>0</v>
      </c>
      <c r="P1716" t="str">
        <f>IF(T[[#This Row],[qty_ordered]]&lt;&gt;T[[#This Row],[qty_received]],IF(T[[#This Row],[qty_received]]&gt;0,"Partial Received","Not Receviced"),"FullyReceived")</f>
        <v>Not Receviced</v>
      </c>
      <c r="Q1716" t="str">
        <f>IF(T[[#This Row],[qty_received]]&lt;&gt;T[[#This Row],[qty_invoiced]],IF(T[[#This Row],[qty_invoiced]]&gt;0,"Partial Invoiced","Not Invoiced"),"Fully Invoiced")</f>
        <v>Partial Invoiced</v>
      </c>
      <c r="R1716" t="str">
        <f>IFERROR(VLOOKUP(T[[#This Row],[warehouse]],Table2[],2,FALSE),"--")</f>
        <v>--</v>
      </c>
    </row>
    <row r="1717" spans="1:18" x14ac:dyDescent="0.25">
      <c r="A1717" t="s">
        <v>423</v>
      </c>
      <c r="B1717" s="1">
        <v>44053</v>
      </c>
      <c r="C1717" t="s">
        <v>718</v>
      </c>
      <c r="D1717" t="s">
        <v>71</v>
      </c>
      <c r="E1717" t="s">
        <v>51</v>
      </c>
      <c r="F1717" t="s">
        <v>546</v>
      </c>
      <c r="G1717" t="s">
        <v>719</v>
      </c>
      <c r="H1717" t="s">
        <v>54</v>
      </c>
      <c r="I1717">
        <v>300</v>
      </c>
      <c r="J1717">
        <v>0</v>
      </c>
      <c r="K1717">
        <v>1</v>
      </c>
      <c r="L1717" t="s">
        <v>25</v>
      </c>
      <c r="M1717" t="s">
        <v>533</v>
      </c>
      <c r="N1717">
        <v>3.4</v>
      </c>
      <c r="O1717">
        <v>0</v>
      </c>
      <c r="P1717" t="str">
        <f>IF(T[[#This Row],[qty_ordered]]&lt;&gt;T[[#This Row],[qty_received]],IF(T[[#This Row],[qty_received]]&gt;0,"Partial Received","Not Receviced"),"FullyReceived")</f>
        <v>Not Receviced</v>
      </c>
      <c r="Q1717" t="str">
        <f>IF(T[[#This Row],[qty_received]]&lt;&gt;T[[#This Row],[qty_invoiced]],IF(T[[#This Row],[qty_invoiced]]&gt;0,"Partial Invoiced","Not Invoiced"),"Fully Invoiced")</f>
        <v>Partial Invoiced</v>
      </c>
      <c r="R1717" t="str">
        <f>IFERROR(VLOOKUP(T[[#This Row],[warehouse]],Table2[],2,FALSE),"--")</f>
        <v>--</v>
      </c>
    </row>
    <row r="1718" spans="1:18" x14ac:dyDescent="0.25">
      <c r="A1718" t="s">
        <v>423</v>
      </c>
      <c r="B1718" s="1">
        <v>44075</v>
      </c>
      <c r="C1718" t="s">
        <v>1277</v>
      </c>
      <c r="D1718" t="s">
        <v>20</v>
      </c>
      <c r="E1718" t="s">
        <v>51</v>
      </c>
      <c r="F1718" t="s">
        <v>546</v>
      </c>
      <c r="G1718" t="s">
        <v>1278</v>
      </c>
      <c r="H1718" t="s">
        <v>54</v>
      </c>
      <c r="I1718">
        <v>5500</v>
      </c>
      <c r="J1718">
        <v>0</v>
      </c>
      <c r="K1718">
        <v>1</v>
      </c>
      <c r="L1718" t="s">
        <v>25</v>
      </c>
      <c r="M1718" t="s">
        <v>533</v>
      </c>
      <c r="N1718">
        <v>3.4</v>
      </c>
      <c r="O1718">
        <v>0</v>
      </c>
      <c r="P1718" t="str">
        <f>IF(T[[#This Row],[qty_ordered]]&lt;&gt;T[[#This Row],[qty_received]],IF(T[[#This Row],[qty_received]]&gt;0,"Partial Received","Not Receviced"),"FullyReceived")</f>
        <v>Not Receviced</v>
      </c>
      <c r="Q1718" t="str">
        <f>IF(T[[#This Row],[qty_received]]&lt;&gt;T[[#This Row],[qty_invoiced]],IF(T[[#This Row],[qty_invoiced]]&gt;0,"Partial Invoiced","Not Invoiced"),"Fully Invoiced")</f>
        <v>Partial Invoiced</v>
      </c>
      <c r="R1718" t="str">
        <f>IFERROR(VLOOKUP(T[[#This Row],[warehouse]],Table2[],2,FALSE),"--")</f>
        <v>--</v>
      </c>
    </row>
    <row r="1719" spans="1:18" x14ac:dyDescent="0.25">
      <c r="A1719" t="s">
        <v>658</v>
      </c>
      <c r="B1719" s="1">
        <v>44076</v>
      </c>
      <c r="C1719" t="s">
        <v>1279</v>
      </c>
      <c r="D1719" t="s">
        <v>20</v>
      </c>
      <c r="E1719" t="s">
        <v>660</v>
      </c>
      <c r="F1719" t="s">
        <v>661</v>
      </c>
      <c r="G1719" t="s">
        <v>662</v>
      </c>
      <c r="H1719" t="s">
        <v>663</v>
      </c>
      <c r="I1719">
        <v>4506.3999999999996</v>
      </c>
      <c r="J1719">
        <v>4506.3999999999996</v>
      </c>
      <c r="K1719">
        <v>4506.3999999999996</v>
      </c>
      <c r="L1719" t="s">
        <v>25</v>
      </c>
      <c r="M1719" t="s">
        <v>132</v>
      </c>
      <c r="N1719">
        <v>270</v>
      </c>
      <c r="O1719">
        <v>1216728</v>
      </c>
      <c r="P1719" t="str">
        <f>IF(T[[#This Row],[qty_ordered]]&lt;&gt;T[[#This Row],[qty_received]],IF(T[[#This Row],[qty_received]]&gt;0,"Partial Received","Not Receviced"),"FullyReceived")</f>
        <v>FullyReceived</v>
      </c>
      <c r="Q1719" t="str">
        <f>IF(T[[#This Row],[qty_received]]&lt;&gt;T[[#This Row],[qty_invoiced]],IF(T[[#This Row],[qty_invoiced]]&gt;0,"Partial Invoiced","Not Invoiced"),"Fully Invoiced")</f>
        <v>Fully Invoiced</v>
      </c>
      <c r="R1719" t="str">
        <f>IFERROR(VLOOKUP(T[[#This Row],[warehouse]],Table2[],2,FALSE),"--")</f>
        <v>SLAUGHTER HOUSE</v>
      </c>
    </row>
    <row r="1720" spans="1:18" x14ac:dyDescent="0.25">
      <c r="A1720" t="s">
        <v>727</v>
      </c>
      <c r="B1720" s="1">
        <v>44053</v>
      </c>
      <c r="C1720" t="s">
        <v>728</v>
      </c>
      <c r="D1720" t="s">
        <v>71</v>
      </c>
      <c r="E1720" t="s">
        <v>723</v>
      </c>
      <c r="F1720" t="s">
        <v>219</v>
      </c>
      <c r="G1720" t="s">
        <v>724</v>
      </c>
      <c r="H1720" t="s">
        <v>221</v>
      </c>
      <c r="I1720">
        <v>25718.01</v>
      </c>
      <c r="J1720">
        <v>25718.01</v>
      </c>
      <c r="K1720">
        <v>25718.01</v>
      </c>
      <c r="L1720" t="s">
        <v>25</v>
      </c>
      <c r="M1720" t="s">
        <v>132</v>
      </c>
      <c r="N1720">
        <v>8755.7199999999993</v>
      </c>
      <c r="O1720">
        <v>225179694.51719999</v>
      </c>
      <c r="P1720" t="str">
        <f>IF(T[[#This Row],[qty_ordered]]&lt;&gt;T[[#This Row],[qty_received]],IF(T[[#This Row],[qty_received]]&gt;0,"Partial Received","Not Receviced"),"FullyReceived")</f>
        <v>FullyReceived</v>
      </c>
      <c r="Q1720" t="str">
        <f>IF(T[[#This Row],[qty_received]]&lt;&gt;T[[#This Row],[qty_invoiced]],IF(T[[#This Row],[qty_invoiced]]&gt;0,"Partial Invoiced","Not Invoiced"),"Fully Invoiced")</f>
        <v>Fully Invoiced</v>
      </c>
      <c r="R1720" t="str">
        <f>IFERROR(VLOOKUP(T[[#This Row],[warehouse]],Table2[],2,FALSE),"--")</f>
        <v>YELLOW BEANS</v>
      </c>
    </row>
    <row r="1721" spans="1:18" x14ac:dyDescent="0.25">
      <c r="A1721" t="s">
        <v>725</v>
      </c>
      <c r="B1721" s="1">
        <v>44055</v>
      </c>
      <c r="C1721" t="s">
        <v>726</v>
      </c>
      <c r="D1721" t="s">
        <v>71</v>
      </c>
      <c r="E1721" t="s">
        <v>723</v>
      </c>
      <c r="F1721" t="s">
        <v>219</v>
      </c>
      <c r="G1721" t="s">
        <v>724</v>
      </c>
      <c r="H1721" t="s">
        <v>221</v>
      </c>
      <c r="I1721">
        <v>36802.300000000003</v>
      </c>
      <c r="J1721">
        <v>36802.300000000003</v>
      </c>
      <c r="K1721">
        <v>36802.300000000003</v>
      </c>
      <c r="L1721" t="s">
        <v>25</v>
      </c>
      <c r="M1721" t="s">
        <v>132</v>
      </c>
      <c r="N1721">
        <v>6750</v>
      </c>
      <c r="O1721">
        <v>248415525</v>
      </c>
      <c r="P1721" t="str">
        <f>IF(T[[#This Row],[qty_ordered]]&lt;&gt;T[[#This Row],[qty_received]],IF(T[[#This Row],[qty_received]]&gt;0,"Partial Received","Not Receviced"),"FullyReceived")</f>
        <v>FullyReceived</v>
      </c>
      <c r="Q1721" t="str">
        <f>IF(T[[#This Row],[qty_received]]&lt;&gt;T[[#This Row],[qty_invoiced]],IF(T[[#This Row],[qty_invoiced]]&gt;0,"Partial Invoiced","Not Invoiced"),"Fully Invoiced")</f>
        <v>Fully Invoiced</v>
      </c>
      <c r="R1721" t="str">
        <f>IFERROR(VLOOKUP(T[[#This Row],[warehouse]],Table2[],2,FALSE),"--")</f>
        <v>YELLOW BEANS</v>
      </c>
    </row>
    <row r="1722" spans="1:18" x14ac:dyDescent="0.25">
      <c r="A1722" t="s">
        <v>235</v>
      </c>
      <c r="B1722" s="1">
        <v>44077</v>
      </c>
      <c r="C1722" t="s">
        <v>1280</v>
      </c>
      <c r="D1722" t="s">
        <v>20</v>
      </c>
      <c r="E1722" t="s">
        <v>51</v>
      </c>
      <c r="F1722" t="s">
        <v>546</v>
      </c>
      <c r="G1722" t="s">
        <v>1281</v>
      </c>
      <c r="H1722" t="s">
        <v>54</v>
      </c>
      <c r="I1722">
        <v>5200</v>
      </c>
      <c r="J1722">
        <v>0</v>
      </c>
      <c r="K1722">
        <v>1</v>
      </c>
      <c r="L1722" t="s">
        <v>25</v>
      </c>
      <c r="M1722" t="s">
        <v>533</v>
      </c>
      <c r="N1722">
        <v>4.5</v>
      </c>
      <c r="O1722">
        <v>0</v>
      </c>
      <c r="P1722" t="str">
        <f>IF(T[[#This Row],[qty_ordered]]&lt;&gt;T[[#This Row],[qty_received]],IF(T[[#This Row],[qty_received]]&gt;0,"Partial Received","Not Receviced"),"FullyReceived")</f>
        <v>Not Receviced</v>
      </c>
      <c r="Q1722" t="str">
        <f>IF(T[[#This Row],[qty_received]]&lt;&gt;T[[#This Row],[qty_invoiced]],IF(T[[#This Row],[qty_invoiced]]&gt;0,"Partial Invoiced","Not Invoiced"),"Fully Invoiced")</f>
        <v>Partial Invoiced</v>
      </c>
      <c r="R1722" t="str">
        <f>IFERROR(VLOOKUP(T[[#This Row],[warehouse]],Table2[],2,FALSE),"--")</f>
        <v>--</v>
      </c>
    </row>
    <row r="1723" spans="1:18" x14ac:dyDescent="0.25">
      <c r="A1723" t="s">
        <v>235</v>
      </c>
      <c r="B1723" s="1">
        <v>43852</v>
      </c>
      <c r="C1723" t="s">
        <v>929</v>
      </c>
      <c r="D1723" t="s">
        <v>100</v>
      </c>
      <c r="E1723" t="s">
        <v>51</v>
      </c>
      <c r="F1723" t="s">
        <v>546</v>
      </c>
      <c r="G1723" t="s">
        <v>952</v>
      </c>
      <c r="H1723" t="s">
        <v>54</v>
      </c>
      <c r="I1723">
        <v>3200</v>
      </c>
      <c r="J1723" s="3">
        <v>0</v>
      </c>
      <c r="K1723">
        <v>1</v>
      </c>
      <c r="L1723" t="s">
        <v>25</v>
      </c>
      <c r="M1723" t="s">
        <v>359</v>
      </c>
      <c r="N1723">
        <v>4.5</v>
      </c>
      <c r="O1723">
        <v>0</v>
      </c>
      <c r="P1723" t="str">
        <f>IF(T[[#This Row],[qty_ordered]]&lt;&gt;T[[#This Row],[qty_received]],IF(T[[#This Row],[qty_received]]&gt;0,"Partial Received","Not Receviced"),"FullyReceived")</f>
        <v>Not Receviced</v>
      </c>
      <c r="Q1723" t="str">
        <f>IF(T[[#This Row],[qty_received]]&lt;&gt;T[[#This Row],[qty_invoiced]],IF(T[[#This Row],[qty_invoiced]]&gt;0,"Partial Invoiced","Not Invoiced"),"Fully Invoiced")</f>
        <v>Partial Invoiced</v>
      </c>
      <c r="R1723" t="str">
        <f>IFERROR(VLOOKUP(T[[#This Row],[warehouse]],Table2[],2,FALSE),"--")</f>
        <v>--</v>
      </c>
    </row>
    <row r="1724" spans="1:18" x14ac:dyDescent="0.25">
      <c r="A1724" t="s">
        <v>235</v>
      </c>
      <c r="B1724" s="1">
        <v>43852</v>
      </c>
      <c r="C1724" t="s">
        <v>929</v>
      </c>
      <c r="D1724" t="s">
        <v>88</v>
      </c>
      <c r="E1724" t="s">
        <v>51</v>
      </c>
      <c r="F1724" t="s">
        <v>546</v>
      </c>
      <c r="G1724" t="s">
        <v>952</v>
      </c>
      <c r="H1724" t="s">
        <v>54</v>
      </c>
      <c r="I1724">
        <v>18000</v>
      </c>
      <c r="J1724">
        <v>0</v>
      </c>
      <c r="K1724">
        <v>1</v>
      </c>
      <c r="L1724" t="s">
        <v>25</v>
      </c>
      <c r="M1724" t="s">
        <v>359</v>
      </c>
      <c r="N1724">
        <v>4.5</v>
      </c>
      <c r="O1724">
        <v>0</v>
      </c>
      <c r="P1724" t="str">
        <f>IF(T[[#This Row],[qty_ordered]]&lt;&gt;T[[#This Row],[qty_received]],IF(T[[#This Row],[qty_received]]&gt;0,"Partial Received","Not Receviced"),"FullyReceived")</f>
        <v>Not Receviced</v>
      </c>
      <c r="Q1724" t="str">
        <f>IF(T[[#This Row],[qty_received]]&lt;&gt;T[[#This Row],[qty_invoiced]],IF(T[[#This Row],[qty_invoiced]]&gt;0,"Partial Invoiced","Not Invoiced"),"Fully Invoiced")</f>
        <v>Partial Invoiced</v>
      </c>
      <c r="R1724" t="str">
        <f>IFERROR(VLOOKUP(T[[#This Row],[warehouse]],Table2[],2,FALSE),"--")</f>
        <v>--</v>
      </c>
    </row>
    <row r="1725" spans="1:18" x14ac:dyDescent="0.25">
      <c r="A1725" t="s">
        <v>269</v>
      </c>
      <c r="B1725" s="1">
        <v>43828</v>
      </c>
      <c r="C1725" t="s">
        <v>807</v>
      </c>
      <c r="D1725" t="s">
        <v>100</v>
      </c>
      <c r="E1725" t="s">
        <v>51</v>
      </c>
      <c r="F1725" t="s">
        <v>390</v>
      </c>
      <c r="G1725" t="s">
        <v>390</v>
      </c>
      <c r="H1725" t="s">
        <v>54</v>
      </c>
      <c r="I1725">
        <v>1</v>
      </c>
      <c r="J1725">
        <v>0</v>
      </c>
      <c r="K1725">
        <v>1</v>
      </c>
      <c r="L1725" t="s">
        <v>25</v>
      </c>
      <c r="M1725" t="s">
        <v>533</v>
      </c>
      <c r="N1725">
        <v>19282</v>
      </c>
      <c r="O1725">
        <v>0</v>
      </c>
      <c r="P1725" t="str">
        <f>IF(T[[#This Row],[qty_ordered]]&lt;&gt;T[[#This Row],[qty_received]],IF(T[[#This Row],[qty_received]]&gt;0,"Partial Received","Not Receviced"),"FullyReceived")</f>
        <v>Not Receviced</v>
      </c>
      <c r="Q1725" t="str">
        <f>IF(T[[#This Row],[qty_received]]&lt;&gt;T[[#This Row],[qty_invoiced]],IF(T[[#This Row],[qty_invoiced]]&gt;0,"Partial Invoiced","Not Invoiced"),"Fully Invoiced")</f>
        <v>Partial Invoiced</v>
      </c>
      <c r="R1725" t="str">
        <f>IFERROR(VLOOKUP(T[[#This Row],[warehouse]],Table2[],2,FALSE),"--")</f>
        <v>--</v>
      </c>
    </row>
    <row r="1726" spans="1:18" x14ac:dyDescent="0.25">
      <c r="A1726" t="s">
        <v>269</v>
      </c>
      <c r="B1726" s="1">
        <v>43828</v>
      </c>
      <c r="C1726" t="s">
        <v>807</v>
      </c>
      <c r="D1726" t="s">
        <v>88</v>
      </c>
      <c r="E1726" t="s">
        <v>51</v>
      </c>
      <c r="F1726" t="s">
        <v>185</v>
      </c>
      <c r="G1726" t="s">
        <v>275</v>
      </c>
      <c r="H1726" t="s">
        <v>54</v>
      </c>
      <c r="I1726">
        <v>18.600000000000001</v>
      </c>
      <c r="J1726">
        <v>0</v>
      </c>
      <c r="K1726">
        <v>1</v>
      </c>
      <c r="L1726" t="s">
        <v>25</v>
      </c>
      <c r="M1726" t="s">
        <v>533</v>
      </c>
      <c r="N1726">
        <v>2320</v>
      </c>
      <c r="O1726">
        <v>0</v>
      </c>
      <c r="P1726" t="str">
        <f>IF(T[[#This Row],[qty_ordered]]&lt;&gt;T[[#This Row],[qty_received]],IF(T[[#This Row],[qty_received]]&gt;0,"Partial Received","Not Receviced"),"FullyReceived")</f>
        <v>Not Receviced</v>
      </c>
      <c r="Q1726" t="str">
        <f>IF(T[[#This Row],[qty_received]]&lt;&gt;T[[#This Row],[qty_invoiced]],IF(T[[#This Row],[qty_invoiced]]&gt;0,"Partial Invoiced","Not Invoiced"),"Fully Invoiced")</f>
        <v>Partial Invoiced</v>
      </c>
      <c r="R1726" t="str">
        <f>IFERROR(VLOOKUP(T[[#This Row],[warehouse]],Table2[],2,FALSE),"--")</f>
        <v>--</v>
      </c>
    </row>
    <row r="1727" spans="1:18" x14ac:dyDescent="0.25">
      <c r="A1727" t="s">
        <v>739</v>
      </c>
      <c r="B1727" s="1">
        <v>44082</v>
      </c>
      <c r="C1727" t="s">
        <v>892</v>
      </c>
      <c r="D1727" t="s">
        <v>20</v>
      </c>
      <c r="E1727" t="s">
        <v>660</v>
      </c>
      <c r="F1727" t="s">
        <v>705</v>
      </c>
      <c r="G1727" t="s">
        <v>706</v>
      </c>
      <c r="H1727" t="s">
        <v>663</v>
      </c>
      <c r="I1727">
        <v>3814.9</v>
      </c>
      <c r="J1727">
        <v>3814.9</v>
      </c>
      <c r="K1727">
        <v>3814.9</v>
      </c>
      <c r="L1727" t="s">
        <v>25</v>
      </c>
      <c r="M1727" t="s">
        <v>132</v>
      </c>
      <c r="N1727">
        <v>800</v>
      </c>
      <c r="O1727">
        <v>3051920</v>
      </c>
      <c r="P1727" t="str">
        <f>IF(T[[#This Row],[qty_ordered]]&lt;&gt;T[[#This Row],[qty_received]],IF(T[[#This Row],[qty_received]]&gt;0,"Partial Received","Not Receviced"),"FullyReceived")</f>
        <v>FullyReceived</v>
      </c>
      <c r="Q1727" t="str">
        <f>IF(T[[#This Row],[qty_received]]&lt;&gt;T[[#This Row],[qty_invoiced]],IF(T[[#This Row],[qty_invoiced]]&gt;0,"Partial Invoiced","Not Invoiced"),"Fully Invoiced")</f>
        <v>Fully Invoiced</v>
      </c>
      <c r="R1727" t="str">
        <f>IFERROR(VLOOKUP(T[[#This Row],[warehouse]],Table2[],2,FALSE),"--")</f>
        <v>SLAUGHTER HOUSE</v>
      </c>
    </row>
    <row r="1728" spans="1:18" x14ac:dyDescent="0.25">
      <c r="A1728" t="s">
        <v>739</v>
      </c>
      <c r="B1728" s="1">
        <v>44082</v>
      </c>
      <c r="C1728" t="s">
        <v>847</v>
      </c>
      <c r="D1728" t="s">
        <v>20</v>
      </c>
      <c r="E1728" t="s">
        <v>660</v>
      </c>
      <c r="F1728" t="s">
        <v>747</v>
      </c>
      <c r="G1728" t="s">
        <v>748</v>
      </c>
      <c r="H1728" t="s">
        <v>663</v>
      </c>
      <c r="I1728">
        <v>469.2</v>
      </c>
      <c r="J1728">
        <v>469.2</v>
      </c>
      <c r="K1728">
        <v>469.2</v>
      </c>
      <c r="L1728" t="s">
        <v>25</v>
      </c>
      <c r="M1728" t="s">
        <v>132</v>
      </c>
      <c r="N1728">
        <v>660</v>
      </c>
      <c r="O1728">
        <v>309672</v>
      </c>
      <c r="P1728" t="str">
        <f>IF(T[[#This Row],[qty_ordered]]&lt;&gt;T[[#This Row],[qty_received]],IF(T[[#This Row],[qty_received]]&gt;0,"Partial Received","Not Receviced"),"FullyReceived")</f>
        <v>FullyReceived</v>
      </c>
      <c r="Q1728" t="str">
        <f>IF(T[[#This Row],[qty_received]]&lt;&gt;T[[#This Row],[qty_invoiced]],IF(T[[#This Row],[qty_invoiced]]&gt;0,"Partial Invoiced","Not Invoiced"),"Fully Invoiced")</f>
        <v>Fully Invoiced</v>
      </c>
      <c r="R1728" t="str">
        <f>IFERROR(VLOOKUP(T[[#This Row],[warehouse]],Table2[],2,FALSE),"--")</f>
        <v>SLAUGHTER HOUSE</v>
      </c>
    </row>
    <row r="1729" spans="1:18" x14ac:dyDescent="0.25">
      <c r="A1729" t="s">
        <v>739</v>
      </c>
      <c r="B1729" s="1">
        <v>44241</v>
      </c>
      <c r="C1729" t="s">
        <v>1225</v>
      </c>
      <c r="D1729" t="s">
        <v>212</v>
      </c>
      <c r="E1729" t="s">
        <v>660</v>
      </c>
      <c r="F1729" t="s">
        <v>705</v>
      </c>
      <c r="G1729" t="s">
        <v>706</v>
      </c>
      <c r="H1729" t="s">
        <v>663</v>
      </c>
      <c r="I1729">
        <v>2954.9</v>
      </c>
      <c r="J1729">
        <v>2954.9</v>
      </c>
      <c r="K1729">
        <v>2954.9</v>
      </c>
      <c r="L1729" t="s">
        <v>25</v>
      </c>
      <c r="M1729" t="s">
        <v>707</v>
      </c>
      <c r="N1729">
        <v>1450</v>
      </c>
      <c r="O1729">
        <v>4284605</v>
      </c>
      <c r="P1729" t="str">
        <f>IF(T[[#This Row],[qty_ordered]]&lt;&gt;T[[#This Row],[qty_received]],IF(T[[#This Row],[qty_received]]&gt;0,"Partial Received","Not Receviced"),"FullyReceived")</f>
        <v>FullyReceived</v>
      </c>
      <c r="Q1729" t="str">
        <f>IF(T[[#This Row],[qty_received]]&lt;&gt;T[[#This Row],[qty_invoiced]],IF(T[[#This Row],[qty_invoiced]]&gt;0,"Partial Invoiced","Not Invoiced"),"Fully Invoiced")</f>
        <v>Fully Invoiced</v>
      </c>
      <c r="R1729" t="str">
        <f>IFERROR(VLOOKUP(T[[#This Row],[warehouse]],Table2[],2,FALSE),"--")</f>
        <v>SLAUGHTER HOUSE</v>
      </c>
    </row>
    <row r="1730" spans="1:18" x14ac:dyDescent="0.25">
      <c r="A1730" t="s">
        <v>735</v>
      </c>
      <c r="B1730" s="1">
        <v>44199</v>
      </c>
      <c r="C1730" t="s">
        <v>1074</v>
      </c>
      <c r="D1730" t="s">
        <v>71</v>
      </c>
      <c r="E1730" t="s">
        <v>51</v>
      </c>
      <c r="F1730" t="s">
        <v>183</v>
      </c>
      <c r="G1730" t="s">
        <v>1282</v>
      </c>
      <c r="H1730" t="s">
        <v>54</v>
      </c>
      <c r="I1730">
        <v>3000</v>
      </c>
      <c r="J1730">
        <v>0</v>
      </c>
      <c r="K1730">
        <v>1</v>
      </c>
      <c r="L1730" t="s">
        <v>25</v>
      </c>
      <c r="M1730" t="s">
        <v>533</v>
      </c>
      <c r="N1730">
        <v>3100</v>
      </c>
      <c r="O1730">
        <v>0</v>
      </c>
      <c r="P1730" t="str">
        <f>IF(T[[#This Row],[qty_ordered]]&lt;&gt;T[[#This Row],[qty_received]],IF(T[[#This Row],[qty_received]]&gt;0,"Partial Received","Not Receviced"),"FullyReceived")</f>
        <v>Not Receviced</v>
      </c>
      <c r="Q1730" t="str">
        <f>IF(T[[#This Row],[qty_received]]&lt;&gt;T[[#This Row],[qty_invoiced]],IF(T[[#This Row],[qty_invoiced]]&gt;0,"Partial Invoiced","Not Invoiced"),"Fully Invoiced")</f>
        <v>Partial Invoiced</v>
      </c>
      <c r="R1730" t="str">
        <f>IFERROR(VLOOKUP(T[[#This Row],[warehouse]],Table2[],2,FALSE),"--")</f>
        <v>--</v>
      </c>
    </row>
    <row r="1731" spans="1:18" x14ac:dyDescent="0.25">
      <c r="A1731" t="s">
        <v>462</v>
      </c>
      <c r="B1731" s="1">
        <v>44221</v>
      </c>
      <c r="C1731" t="s">
        <v>1200</v>
      </c>
      <c r="D1731" t="s">
        <v>594</v>
      </c>
      <c r="E1731" t="s">
        <v>51</v>
      </c>
      <c r="F1731" t="s">
        <v>373</v>
      </c>
      <c r="G1731" t="s">
        <v>373</v>
      </c>
      <c r="H1731" t="s">
        <v>54</v>
      </c>
      <c r="I1731">
        <v>2143</v>
      </c>
      <c r="J1731">
        <v>0</v>
      </c>
      <c r="K1731">
        <v>1</v>
      </c>
      <c r="L1731" t="s">
        <v>25</v>
      </c>
      <c r="M1731" t="s">
        <v>533</v>
      </c>
      <c r="N1731">
        <v>13</v>
      </c>
      <c r="O1731">
        <v>0</v>
      </c>
      <c r="P1731" t="str">
        <f>IF(T[[#This Row],[qty_ordered]]&lt;&gt;T[[#This Row],[qty_received]],IF(T[[#This Row],[qty_received]]&gt;0,"Partial Received","Not Receviced"),"FullyReceived")</f>
        <v>Not Receviced</v>
      </c>
      <c r="Q1731" t="str">
        <f>IF(T[[#This Row],[qty_received]]&lt;&gt;T[[#This Row],[qty_invoiced]],IF(T[[#This Row],[qty_invoiced]]&gt;0,"Partial Invoiced","Not Invoiced"),"Fully Invoiced")</f>
        <v>Partial Invoiced</v>
      </c>
      <c r="R1731" t="str">
        <f>IFERROR(VLOOKUP(T[[#This Row],[warehouse]],Table2[],2,FALSE),"--")</f>
        <v>--</v>
      </c>
    </row>
    <row r="1732" spans="1:18" x14ac:dyDescent="0.25">
      <c r="A1732" t="s">
        <v>462</v>
      </c>
      <c r="B1732" s="1">
        <v>44221</v>
      </c>
      <c r="C1732" t="s">
        <v>1200</v>
      </c>
      <c r="D1732" t="s">
        <v>595</v>
      </c>
      <c r="E1732" t="s">
        <v>51</v>
      </c>
      <c r="F1732" t="s">
        <v>254</v>
      </c>
      <c r="G1732" t="s">
        <v>255</v>
      </c>
      <c r="H1732" t="s">
        <v>54</v>
      </c>
      <c r="I1732">
        <v>9920</v>
      </c>
      <c r="J1732">
        <v>0</v>
      </c>
      <c r="K1732">
        <v>1</v>
      </c>
      <c r="L1732" t="s">
        <v>25</v>
      </c>
      <c r="M1732" t="s">
        <v>533</v>
      </c>
      <c r="N1732">
        <v>13</v>
      </c>
      <c r="O1732">
        <v>0</v>
      </c>
      <c r="P1732" t="str">
        <f>IF(T[[#This Row],[qty_ordered]]&lt;&gt;T[[#This Row],[qty_received]],IF(T[[#This Row],[qty_received]]&gt;0,"Partial Received","Not Receviced"),"FullyReceived")</f>
        <v>Not Receviced</v>
      </c>
      <c r="Q1732" t="str">
        <f>IF(T[[#This Row],[qty_received]]&lt;&gt;T[[#This Row],[qty_invoiced]],IF(T[[#This Row],[qty_invoiced]]&gt;0,"Partial Invoiced","Not Invoiced"),"Fully Invoiced")</f>
        <v>Partial Invoiced</v>
      </c>
      <c r="R1732" t="str">
        <f>IFERROR(VLOOKUP(T[[#This Row],[warehouse]],Table2[],2,FALSE),"--")</f>
        <v>--</v>
      </c>
    </row>
    <row r="1733" spans="1:18" x14ac:dyDescent="0.25">
      <c r="A1733" t="s">
        <v>462</v>
      </c>
      <c r="B1733" s="1">
        <v>44221</v>
      </c>
      <c r="C1733" t="s">
        <v>1200</v>
      </c>
      <c r="D1733" t="s">
        <v>596</v>
      </c>
      <c r="E1733" t="s">
        <v>51</v>
      </c>
      <c r="F1733" t="s">
        <v>278</v>
      </c>
      <c r="G1733" t="s">
        <v>279</v>
      </c>
      <c r="H1733" t="s">
        <v>54</v>
      </c>
      <c r="I1733">
        <v>18124</v>
      </c>
      <c r="J1733">
        <v>0</v>
      </c>
      <c r="K1733">
        <v>1</v>
      </c>
      <c r="L1733" t="s">
        <v>25</v>
      </c>
      <c r="M1733" t="s">
        <v>533</v>
      </c>
      <c r="N1733">
        <v>15</v>
      </c>
      <c r="O1733">
        <v>0</v>
      </c>
      <c r="P1733" t="str">
        <f>IF(T[[#This Row],[qty_ordered]]&lt;&gt;T[[#This Row],[qty_received]],IF(T[[#This Row],[qty_received]]&gt;0,"Partial Received","Not Receviced"),"FullyReceived")</f>
        <v>Not Receviced</v>
      </c>
      <c r="Q1733" t="str">
        <f>IF(T[[#This Row],[qty_received]]&lt;&gt;T[[#This Row],[qty_invoiced]],IF(T[[#This Row],[qty_invoiced]]&gt;0,"Partial Invoiced","Not Invoiced"),"Fully Invoiced")</f>
        <v>Partial Invoiced</v>
      </c>
      <c r="R1733" t="str">
        <f>IFERROR(VLOOKUP(T[[#This Row],[warehouse]],Table2[],2,FALSE),"--")</f>
        <v>--</v>
      </c>
    </row>
    <row r="1734" spans="1:18" x14ac:dyDescent="0.25">
      <c r="A1734" t="s">
        <v>462</v>
      </c>
      <c r="B1734" s="1">
        <v>44221</v>
      </c>
      <c r="C1734" t="s">
        <v>1200</v>
      </c>
      <c r="D1734" t="s">
        <v>507</v>
      </c>
      <c r="E1734" t="s">
        <v>51</v>
      </c>
      <c r="F1734" t="s">
        <v>278</v>
      </c>
      <c r="G1734" t="s">
        <v>279</v>
      </c>
      <c r="H1734" t="s">
        <v>54</v>
      </c>
      <c r="I1734">
        <v>400</v>
      </c>
      <c r="J1734">
        <v>0</v>
      </c>
      <c r="K1734">
        <v>1</v>
      </c>
      <c r="L1734" t="s">
        <v>25</v>
      </c>
      <c r="M1734" t="s">
        <v>533</v>
      </c>
      <c r="N1734">
        <v>10</v>
      </c>
      <c r="O1734">
        <v>0</v>
      </c>
      <c r="P1734" t="str">
        <f>IF(T[[#This Row],[qty_ordered]]&lt;&gt;T[[#This Row],[qty_received]],IF(T[[#This Row],[qty_received]]&gt;0,"Partial Received","Not Receviced"),"FullyReceived")</f>
        <v>Not Receviced</v>
      </c>
      <c r="Q1734" t="str">
        <f>IF(T[[#This Row],[qty_received]]&lt;&gt;T[[#This Row],[qty_invoiced]],IF(T[[#This Row],[qty_invoiced]]&gt;0,"Partial Invoiced","Not Invoiced"),"Fully Invoiced")</f>
        <v>Partial Invoiced</v>
      </c>
      <c r="R1734" t="str">
        <f>IFERROR(VLOOKUP(T[[#This Row],[warehouse]],Table2[],2,FALSE),"--")</f>
        <v>--</v>
      </c>
    </row>
    <row r="1735" spans="1:18" x14ac:dyDescent="0.25">
      <c r="A1735" t="s">
        <v>462</v>
      </c>
      <c r="B1735" s="1">
        <v>44221</v>
      </c>
      <c r="C1735" t="s">
        <v>1200</v>
      </c>
      <c r="D1735" t="s">
        <v>508</v>
      </c>
      <c r="E1735" t="s">
        <v>51</v>
      </c>
      <c r="F1735" t="s">
        <v>433</v>
      </c>
      <c r="G1735" t="s">
        <v>1169</v>
      </c>
      <c r="H1735" t="s">
        <v>54</v>
      </c>
      <c r="I1735">
        <v>5163</v>
      </c>
      <c r="J1735">
        <v>0</v>
      </c>
      <c r="K1735">
        <v>1</v>
      </c>
      <c r="L1735" t="s">
        <v>25</v>
      </c>
      <c r="M1735" t="s">
        <v>533</v>
      </c>
      <c r="N1735">
        <v>5</v>
      </c>
      <c r="O1735">
        <v>0</v>
      </c>
      <c r="P1735" t="str">
        <f>IF(T[[#This Row],[qty_ordered]]&lt;&gt;T[[#This Row],[qty_received]],IF(T[[#This Row],[qty_received]]&gt;0,"Partial Received","Not Receviced"),"FullyReceived")</f>
        <v>Not Receviced</v>
      </c>
      <c r="Q1735" t="str">
        <f>IF(T[[#This Row],[qty_received]]&lt;&gt;T[[#This Row],[qty_invoiced]],IF(T[[#This Row],[qty_invoiced]]&gt;0,"Partial Invoiced","Not Invoiced"),"Fully Invoiced")</f>
        <v>Partial Invoiced</v>
      </c>
      <c r="R1735" t="str">
        <f>IFERROR(VLOOKUP(T[[#This Row],[warehouse]],Table2[],2,FALSE),"--")</f>
        <v>--</v>
      </c>
    </row>
    <row r="1736" spans="1:18" x14ac:dyDescent="0.25">
      <c r="A1736" t="s">
        <v>462</v>
      </c>
      <c r="B1736" s="1">
        <v>44221</v>
      </c>
      <c r="C1736" t="s">
        <v>1200</v>
      </c>
      <c r="D1736" t="s">
        <v>509</v>
      </c>
      <c r="E1736" t="s">
        <v>51</v>
      </c>
      <c r="F1736" t="s">
        <v>183</v>
      </c>
      <c r="G1736" t="s">
        <v>183</v>
      </c>
      <c r="H1736" t="s">
        <v>54</v>
      </c>
      <c r="I1736">
        <v>50</v>
      </c>
      <c r="J1736">
        <v>0</v>
      </c>
      <c r="K1736">
        <v>1</v>
      </c>
      <c r="L1736" t="s">
        <v>25</v>
      </c>
      <c r="M1736" t="s">
        <v>533</v>
      </c>
      <c r="N1736">
        <v>284</v>
      </c>
      <c r="O1736">
        <v>0</v>
      </c>
      <c r="P1736" t="str">
        <f>IF(T[[#This Row],[qty_ordered]]&lt;&gt;T[[#This Row],[qty_received]],IF(T[[#This Row],[qty_received]]&gt;0,"Partial Received","Not Receviced"),"FullyReceived")</f>
        <v>Not Receviced</v>
      </c>
      <c r="Q1736" t="str">
        <f>IF(T[[#This Row],[qty_received]]&lt;&gt;T[[#This Row],[qty_invoiced]],IF(T[[#This Row],[qty_invoiced]]&gt;0,"Partial Invoiced","Not Invoiced"),"Fully Invoiced")</f>
        <v>Partial Invoiced</v>
      </c>
      <c r="R1736" t="str">
        <f>IFERROR(VLOOKUP(T[[#This Row],[warehouse]],Table2[],2,FALSE),"--")</f>
        <v>--</v>
      </c>
    </row>
    <row r="1737" spans="1:18" x14ac:dyDescent="0.25">
      <c r="A1737" t="s">
        <v>462</v>
      </c>
      <c r="B1737" s="1">
        <v>44221</v>
      </c>
      <c r="C1737" t="s">
        <v>1200</v>
      </c>
      <c r="D1737" t="s">
        <v>510</v>
      </c>
      <c r="E1737" t="s">
        <v>51</v>
      </c>
      <c r="F1737" t="s">
        <v>793</v>
      </c>
      <c r="G1737" t="s">
        <v>1061</v>
      </c>
      <c r="H1737" t="s">
        <v>54</v>
      </c>
      <c r="I1737">
        <v>3</v>
      </c>
      <c r="J1737">
        <v>0</v>
      </c>
      <c r="K1737">
        <v>1</v>
      </c>
      <c r="L1737" t="s">
        <v>25</v>
      </c>
      <c r="M1737" t="s">
        <v>533</v>
      </c>
      <c r="N1737">
        <v>233.33333300000001</v>
      </c>
      <c r="O1737">
        <v>0</v>
      </c>
      <c r="P1737" t="str">
        <f>IF(T[[#This Row],[qty_ordered]]&lt;&gt;T[[#This Row],[qty_received]],IF(T[[#This Row],[qty_received]]&gt;0,"Partial Received","Not Receviced"),"FullyReceived")</f>
        <v>Not Receviced</v>
      </c>
      <c r="Q1737" t="str">
        <f>IF(T[[#This Row],[qty_received]]&lt;&gt;T[[#This Row],[qty_invoiced]],IF(T[[#This Row],[qty_invoiced]]&gt;0,"Partial Invoiced","Not Invoiced"),"Fully Invoiced")</f>
        <v>Partial Invoiced</v>
      </c>
      <c r="R1737" t="str">
        <f>IFERROR(VLOOKUP(T[[#This Row],[warehouse]],Table2[],2,FALSE),"--")</f>
        <v>--</v>
      </c>
    </row>
    <row r="1738" spans="1:18" x14ac:dyDescent="0.25">
      <c r="A1738" t="s">
        <v>462</v>
      </c>
      <c r="B1738" s="1">
        <v>44221</v>
      </c>
      <c r="C1738" t="s">
        <v>1200</v>
      </c>
      <c r="D1738" t="s">
        <v>511</v>
      </c>
      <c r="E1738" t="s">
        <v>51</v>
      </c>
      <c r="F1738" t="s">
        <v>793</v>
      </c>
      <c r="G1738" t="s">
        <v>1061</v>
      </c>
      <c r="H1738" t="s">
        <v>54</v>
      </c>
      <c r="I1738">
        <v>23</v>
      </c>
      <c r="J1738">
        <v>0</v>
      </c>
      <c r="K1738">
        <v>1</v>
      </c>
      <c r="L1738" t="s">
        <v>25</v>
      </c>
      <c r="M1738" t="s">
        <v>533</v>
      </c>
      <c r="N1738">
        <v>161.73912999999999</v>
      </c>
      <c r="O1738">
        <v>0</v>
      </c>
      <c r="P1738" t="str">
        <f>IF(T[[#This Row],[qty_ordered]]&lt;&gt;T[[#This Row],[qty_received]],IF(T[[#This Row],[qty_received]]&gt;0,"Partial Received","Not Receviced"),"FullyReceived")</f>
        <v>Not Receviced</v>
      </c>
      <c r="Q1738" t="str">
        <f>IF(T[[#This Row],[qty_received]]&lt;&gt;T[[#This Row],[qty_invoiced]],IF(T[[#This Row],[qty_invoiced]]&gt;0,"Partial Invoiced","Not Invoiced"),"Fully Invoiced")</f>
        <v>Partial Invoiced</v>
      </c>
      <c r="R1738" t="str">
        <f>IFERROR(VLOOKUP(T[[#This Row],[warehouse]],Table2[],2,FALSE),"--")</f>
        <v>--</v>
      </c>
    </row>
    <row r="1739" spans="1:18" x14ac:dyDescent="0.25">
      <c r="A1739" t="s">
        <v>462</v>
      </c>
      <c r="B1739" s="1">
        <v>44221</v>
      </c>
      <c r="C1739" t="s">
        <v>1200</v>
      </c>
      <c r="D1739" t="s">
        <v>512</v>
      </c>
      <c r="E1739" t="s">
        <v>51</v>
      </c>
      <c r="F1739" t="s">
        <v>793</v>
      </c>
      <c r="G1739" t="s">
        <v>1283</v>
      </c>
      <c r="H1739" t="s">
        <v>54</v>
      </c>
      <c r="I1739">
        <v>6</v>
      </c>
      <c r="J1739">
        <v>0</v>
      </c>
      <c r="K1739">
        <v>1</v>
      </c>
      <c r="L1739" t="s">
        <v>25</v>
      </c>
      <c r="M1739" t="s">
        <v>533</v>
      </c>
      <c r="N1739">
        <v>158.33333300000001</v>
      </c>
      <c r="O1739">
        <v>0</v>
      </c>
      <c r="P1739" t="str">
        <f>IF(T[[#This Row],[qty_ordered]]&lt;&gt;T[[#This Row],[qty_received]],IF(T[[#This Row],[qty_received]]&gt;0,"Partial Received","Not Receviced"),"FullyReceived")</f>
        <v>Not Receviced</v>
      </c>
      <c r="Q1739" t="str">
        <f>IF(T[[#This Row],[qty_received]]&lt;&gt;T[[#This Row],[qty_invoiced]],IF(T[[#This Row],[qty_invoiced]]&gt;0,"Partial Invoiced","Not Invoiced"),"Fully Invoiced")</f>
        <v>Partial Invoiced</v>
      </c>
      <c r="R1739" t="str">
        <f>IFERROR(VLOOKUP(T[[#This Row],[warehouse]],Table2[],2,FALSE),"--")</f>
        <v>--</v>
      </c>
    </row>
    <row r="1740" spans="1:18" x14ac:dyDescent="0.25">
      <c r="A1740" t="s">
        <v>462</v>
      </c>
      <c r="B1740" s="1">
        <v>44221</v>
      </c>
      <c r="C1740" t="s">
        <v>1200</v>
      </c>
      <c r="D1740" t="s">
        <v>513</v>
      </c>
      <c r="E1740" t="s">
        <v>51</v>
      </c>
      <c r="F1740" t="s">
        <v>254</v>
      </c>
      <c r="G1740" t="s">
        <v>255</v>
      </c>
      <c r="H1740" t="s">
        <v>54</v>
      </c>
      <c r="I1740">
        <v>12</v>
      </c>
      <c r="J1740">
        <v>0</v>
      </c>
      <c r="K1740">
        <v>1</v>
      </c>
      <c r="L1740" t="s">
        <v>25</v>
      </c>
      <c r="M1740" t="s">
        <v>533</v>
      </c>
      <c r="N1740">
        <v>100</v>
      </c>
      <c r="O1740">
        <v>0</v>
      </c>
      <c r="P1740" t="str">
        <f>IF(T[[#This Row],[qty_ordered]]&lt;&gt;T[[#This Row],[qty_received]],IF(T[[#This Row],[qty_received]]&gt;0,"Partial Received","Not Receviced"),"FullyReceived")</f>
        <v>Not Receviced</v>
      </c>
      <c r="Q1740" t="str">
        <f>IF(T[[#This Row],[qty_received]]&lt;&gt;T[[#This Row],[qty_invoiced]],IF(T[[#This Row],[qty_invoiced]]&gt;0,"Partial Invoiced","Not Invoiced"),"Fully Invoiced")</f>
        <v>Partial Invoiced</v>
      </c>
      <c r="R1740" t="str">
        <f>IFERROR(VLOOKUP(T[[#This Row],[warehouse]],Table2[],2,FALSE),"--")</f>
        <v>--</v>
      </c>
    </row>
    <row r="1741" spans="1:18" x14ac:dyDescent="0.25">
      <c r="A1741" t="s">
        <v>242</v>
      </c>
      <c r="B1741" s="1">
        <v>44241</v>
      </c>
      <c r="C1741" t="s">
        <v>1224</v>
      </c>
      <c r="D1741" t="s">
        <v>325</v>
      </c>
      <c r="E1741" t="s">
        <v>66</v>
      </c>
      <c r="F1741" t="s">
        <v>244</v>
      </c>
      <c r="G1741" t="s">
        <v>245</v>
      </c>
      <c r="H1741" t="s">
        <v>24</v>
      </c>
      <c r="I1741">
        <v>73</v>
      </c>
      <c r="J1741">
        <v>73</v>
      </c>
      <c r="K1741">
        <v>73</v>
      </c>
      <c r="L1741" t="s">
        <v>25</v>
      </c>
      <c r="M1741" t="s">
        <v>707</v>
      </c>
      <c r="N1741">
        <v>578000</v>
      </c>
      <c r="O1741">
        <v>42194000</v>
      </c>
      <c r="P1741" t="str">
        <f>IF(T[[#This Row],[qty_ordered]]&lt;&gt;T[[#This Row],[qty_received]],IF(T[[#This Row],[qty_received]]&gt;0,"Partial Received","Not Receviced"),"FullyReceived")</f>
        <v>FullyReceived</v>
      </c>
      <c r="Q1741" t="str">
        <f>IF(T[[#This Row],[qty_received]]&lt;&gt;T[[#This Row],[qty_invoiced]],IF(T[[#This Row],[qty_invoiced]]&gt;0,"Partial Invoiced","Not Invoiced"),"Fully Invoiced")</f>
        <v>Fully Invoiced</v>
      </c>
      <c r="R1741" t="str">
        <f>IFERROR(VLOOKUP(T[[#This Row],[warehouse]],Table2[],2,FALSE),"--")</f>
        <v>PZU Main Warehouse</v>
      </c>
    </row>
    <row r="1742" spans="1:18" x14ac:dyDescent="0.25">
      <c r="A1742" t="s">
        <v>144</v>
      </c>
      <c r="B1742" s="1">
        <v>44257</v>
      </c>
      <c r="C1742" t="s">
        <v>1284</v>
      </c>
      <c r="D1742" t="s">
        <v>100</v>
      </c>
      <c r="E1742" t="s">
        <v>146</v>
      </c>
      <c r="F1742" t="s">
        <v>147</v>
      </c>
      <c r="G1742" t="s">
        <v>148</v>
      </c>
      <c r="H1742" t="s">
        <v>149</v>
      </c>
      <c r="I1742">
        <v>66000</v>
      </c>
      <c r="J1742">
        <v>64300</v>
      </c>
      <c r="K1742">
        <v>64300</v>
      </c>
      <c r="L1742" t="s">
        <v>25</v>
      </c>
      <c r="M1742" t="s">
        <v>744</v>
      </c>
      <c r="N1742">
        <v>31.574999999999999</v>
      </c>
      <c r="O1742">
        <v>1989847.5</v>
      </c>
      <c r="P1742" t="str">
        <f>IF(T[[#This Row],[qty_ordered]]&lt;&gt;T[[#This Row],[qty_received]],IF(T[[#This Row],[qty_received]]&gt;0,"Partial Received","Not Receviced"),"FullyReceived")</f>
        <v>Partial Received</v>
      </c>
      <c r="Q1742" t="str">
        <f>IF(T[[#This Row],[qty_received]]&lt;&gt;T[[#This Row],[qty_invoiced]],IF(T[[#This Row],[qty_invoiced]]&gt;0,"Partial Invoiced","Not Invoiced"),"Fully Invoiced")</f>
        <v>Fully Invoiced</v>
      </c>
      <c r="R1742" t="str">
        <f>IFERROR(VLOOKUP(T[[#This Row],[warehouse]],Table2[],2,FALSE),"--")</f>
        <v>Khtoum Main Warehouse</v>
      </c>
    </row>
    <row r="1743" spans="1:18" x14ac:dyDescent="0.25">
      <c r="A1743" t="s">
        <v>658</v>
      </c>
      <c r="B1743" s="1">
        <v>44243</v>
      </c>
      <c r="C1743" t="s">
        <v>1243</v>
      </c>
      <c r="D1743" t="s">
        <v>322</v>
      </c>
      <c r="E1743" t="s">
        <v>660</v>
      </c>
      <c r="F1743" t="s">
        <v>661</v>
      </c>
      <c r="G1743" t="s">
        <v>662</v>
      </c>
      <c r="H1743" t="s">
        <v>663</v>
      </c>
      <c r="I1743">
        <v>2992.4</v>
      </c>
      <c r="J1743">
        <v>2992.4</v>
      </c>
      <c r="K1743">
        <v>2992.4</v>
      </c>
      <c r="L1743" t="s">
        <v>25</v>
      </c>
      <c r="M1743" t="s">
        <v>707</v>
      </c>
      <c r="N1743">
        <v>1100.826</v>
      </c>
      <c r="O1743">
        <v>3291640</v>
      </c>
      <c r="P1743" t="str">
        <f>IF(T[[#This Row],[qty_ordered]]&lt;&gt;T[[#This Row],[qty_received]],IF(T[[#This Row],[qty_received]]&gt;0,"Partial Received","Not Receviced"),"FullyReceived")</f>
        <v>FullyReceived</v>
      </c>
      <c r="Q1743" t="str">
        <f>IF(T[[#This Row],[qty_received]]&lt;&gt;T[[#This Row],[qty_invoiced]],IF(T[[#This Row],[qty_invoiced]]&gt;0,"Partial Invoiced","Not Invoiced"),"Fully Invoiced")</f>
        <v>Fully Invoiced</v>
      </c>
      <c r="R1743" t="str">
        <f>IFERROR(VLOOKUP(T[[#This Row],[warehouse]],Table2[],2,FALSE),"--")</f>
        <v>SLAUGHTER HOUSE</v>
      </c>
    </row>
    <row r="1744" spans="1:18" x14ac:dyDescent="0.25">
      <c r="A1744" t="s">
        <v>1235</v>
      </c>
      <c r="B1744" s="1">
        <v>44251</v>
      </c>
      <c r="C1744" t="s">
        <v>1236</v>
      </c>
      <c r="D1744" t="s">
        <v>88</v>
      </c>
      <c r="E1744" t="s">
        <v>660</v>
      </c>
      <c r="F1744" t="s">
        <v>705</v>
      </c>
      <c r="G1744" t="s">
        <v>706</v>
      </c>
      <c r="H1744" t="s">
        <v>663</v>
      </c>
      <c r="I1744">
        <v>5784.6</v>
      </c>
      <c r="J1744">
        <v>5784.6</v>
      </c>
      <c r="K1744">
        <v>5784.6</v>
      </c>
      <c r="L1744" t="s">
        <v>25</v>
      </c>
      <c r="M1744" t="s">
        <v>132</v>
      </c>
      <c r="N1744">
        <v>1450</v>
      </c>
      <c r="O1744">
        <v>8387670</v>
      </c>
      <c r="P1744" t="str">
        <f>IF(T[[#This Row],[qty_ordered]]&lt;&gt;T[[#This Row],[qty_received]],IF(T[[#This Row],[qty_received]]&gt;0,"Partial Received","Not Receviced"),"FullyReceived")</f>
        <v>FullyReceived</v>
      </c>
      <c r="Q1744" t="str">
        <f>IF(T[[#This Row],[qty_received]]&lt;&gt;T[[#This Row],[qty_invoiced]],IF(T[[#This Row],[qty_invoiced]]&gt;0,"Partial Invoiced","Not Invoiced"),"Fully Invoiced")</f>
        <v>Fully Invoiced</v>
      </c>
      <c r="R1744" t="str">
        <f>IFERROR(VLOOKUP(T[[#This Row],[warehouse]],Table2[],2,FALSE),"--")</f>
        <v>SLAUGHTER HOUSE</v>
      </c>
    </row>
    <row r="1745" spans="1:18" x14ac:dyDescent="0.25">
      <c r="A1745" t="s">
        <v>739</v>
      </c>
      <c r="B1745" s="1">
        <v>44241</v>
      </c>
      <c r="C1745" t="s">
        <v>1225</v>
      </c>
      <c r="D1745" t="s">
        <v>322</v>
      </c>
      <c r="E1745" t="s">
        <v>660</v>
      </c>
      <c r="F1745" t="s">
        <v>705</v>
      </c>
      <c r="G1745" t="s">
        <v>706</v>
      </c>
      <c r="H1745" t="s">
        <v>663</v>
      </c>
      <c r="I1745">
        <v>2781.3</v>
      </c>
      <c r="J1745">
        <v>2781.3</v>
      </c>
      <c r="K1745">
        <v>2781.3</v>
      </c>
      <c r="L1745" t="s">
        <v>25</v>
      </c>
      <c r="M1745" t="s">
        <v>707</v>
      </c>
      <c r="N1745">
        <v>1450</v>
      </c>
      <c r="O1745">
        <v>4032885</v>
      </c>
      <c r="P1745" t="str">
        <f>IF(T[[#This Row],[qty_ordered]]&lt;&gt;T[[#This Row],[qty_received]],IF(T[[#This Row],[qty_received]]&gt;0,"Partial Received","Not Receviced"),"FullyReceived")</f>
        <v>FullyReceived</v>
      </c>
      <c r="Q1745" t="str">
        <f>IF(T[[#This Row],[qty_received]]&lt;&gt;T[[#This Row],[qty_invoiced]],IF(T[[#This Row],[qty_invoiced]]&gt;0,"Partial Invoiced","Not Invoiced"),"Fully Invoiced")</f>
        <v>Fully Invoiced</v>
      </c>
      <c r="R1745" t="str">
        <f>IFERROR(VLOOKUP(T[[#This Row],[warehouse]],Table2[],2,FALSE),"--")</f>
        <v>SLAUGHTER HOUSE</v>
      </c>
    </row>
    <row r="1746" spans="1:18" x14ac:dyDescent="0.25">
      <c r="A1746" t="s">
        <v>804</v>
      </c>
      <c r="B1746" s="1">
        <v>44223</v>
      </c>
      <c r="C1746" t="s">
        <v>1211</v>
      </c>
      <c r="D1746" t="s">
        <v>71</v>
      </c>
      <c r="E1746" t="s">
        <v>51</v>
      </c>
      <c r="F1746" t="s">
        <v>806</v>
      </c>
      <c r="G1746" t="s">
        <v>806</v>
      </c>
      <c r="H1746" t="s">
        <v>54</v>
      </c>
      <c r="I1746">
        <v>1</v>
      </c>
      <c r="J1746">
        <v>0</v>
      </c>
      <c r="K1746">
        <v>1</v>
      </c>
      <c r="L1746" t="s">
        <v>25</v>
      </c>
      <c r="M1746" t="s">
        <v>707</v>
      </c>
      <c r="N1746">
        <v>6806700</v>
      </c>
      <c r="O1746">
        <v>0</v>
      </c>
      <c r="P1746" t="str">
        <f>IF(T[[#This Row],[qty_ordered]]&lt;&gt;T[[#This Row],[qty_received]],IF(T[[#This Row],[qty_received]]&gt;0,"Partial Received","Not Receviced"),"FullyReceived")</f>
        <v>Not Receviced</v>
      </c>
      <c r="Q1746" t="str">
        <f>IF(T[[#This Row],[qty_received]]&lt;&gt;T[[#This Row],[qty_invoiced]],IF(T[[#This Row],[qty_invoiced]]&gt;0,"Partial Invoiced","Not Invoiced"),"Fully Invoiced")</f>
        <v>Partial Invoiced</v>
      </c>
      <c r="R1746" t="str">
        <f>IFERROR(VLOOKUP(T[[#This Row],[warehouse]],Table2[],2,FALSE),"--")</f>
        <v>--</v>
      </c>
    </row>
    <row r="1747" spans="1:18" x14ac:dyDescent="0.25">
      <c r="A1747" t="s">
        <v>1218</v>
      </c>
      <c r="B1747" s="1">
        <v>44248</v>
      </c>
      <c r="C1747" t="s">
        <v>1219</v>
      </c>
      <c r="D1747" t="s">
        <v>71</v>
      </c>
      <c r="E1747" t="s">
        <v>1285</v>
      </c>
      <c r="F1747" t="s">
        <v>1221</v>
      </c>
      <c r="G1747" t="s">
        <v>1222</v>
      </c>
      <c r="H1747" t="s">
        <v>123</v>
      </c>
      <c r="I1747">
        <v>14700</v>
      </c>
      <c r="J1747">
        <v>14700</v>
      </c>
      <c r="K1747">
        <v>14700</v>
      </c>
      <c r="L1747" t="s">
        <v>693</v>
      </c>
      <c r="M1747" t="s">
        <v>1223</v>
      </c>
      <c r="N1747">
        <v>10103.66</v>
      </c>
      <c r="O1747">
        <v>148523802</v>
      </c>
      <c r="P1747" t="str">
        <f>IF(T[[#This Row],[qty_ordered]]&lt;&gt;T[[#This Row],[qty_received]],IF(T[[#This Row],[qty_received]]&gt;0,"Partial Received","Not Receviced"),"FullyReceived")</f>
        <v>FullyReceived</v>
      </c>
      <c r="Q1747" t="str">
        <f>IF(T[[#This Row],[qty_received]]&lt;&gt;T[[#This Row],[qty_invoiced]],IF(T[[#This Row],[qty_invoiced]]&gt;0,"Partial Invoiced","Not Invoiced"),"Fully Invoiced")</f>
        <v>Fully Invoiced</v>
      </c>
      <c r="R1747" t="str">
        <f>IFERROR(VLOOKUP(T[[#This Row],[warehouse]],Table2[],2,FALSE),"--")</f>
        <v>Khartoum Import Warehouse</v>
      </c>
    </row>
    <row r="1748" spans="1:18" x14ac:dyDescent="0.25">
      <c r="A1748" t="s">
        <v>493</v>
      </c>
      <c r="B1748" s="1">
        <v>44290</v>
      </c>
      <c r="C1748" t="s">
        <v>1286</v>
      </c>
      <c r="D1748" t="s">
        <v>20</v>
      </c>
      <c r="E1748" t="s">
        <v>51</v>
      </c>
      <c r="F1748" t="s">
        <v>52</v>
      </c>
      <c r="G1748" t="s">
        <v>75</v>
      </c>
      <c r="H1748" t="s">
        <v>54</v>
      </c>
      <c r="I1748">
        <v>1</v>
      </c>
      <c r="J1748">
        <v>0</v>
      </c>
      <c r="K1748">
        <v>0</v>
      </c>
      <c r="L1748" t="s">
        <v>51</v>
      </c>
      <c r="M1748" t="s">
        <v>707</v>
      </c>
      <c r="N1748">
        <v>18877150</v>
      </c>
      <c r="O1748">
        <v>0</v>
      </c>
      <c r="P1748" t="str">
        <f>IF(T[[#This Row],[qty_ordered]]&lt;&gt;T[[#This Row],[qty_received]],IF(T[[#This Row],[qty_received]]&gt;0,"Partial Received","Not Receviced"),"FullyReceived")</f>
        <v>Not Receviced</v>
      </c>
      <c r="Q1748" t="str">
        <f>IF(T[[#This Row],[qty_received]]&lt;&gt;T[[#This Row],[qty_invoiced]],IF(T[[#This Row],[qty_invoiced]]&gt;0,"Partial Invoiced","Not Invoiced"),"Fully Invoiced")</f>
        <v>Fully Invoiced</v>
      </c>
      <c r="R1748" t="str">
        <f>IFERROR(VLOOKUP(T[[#This Row],[warehouse]],Table2[],2,FALSE),"--")</f>
        <v>--</v>
      </c>
    </row>
    <row r="1749" spans="1:18" x14ac:dyDescent="0.25">
      <c r="A1749" t="s">
        <v>1218</v>
      </c>
      <c r="B1749" s="1">
        <v>44248</v>
      </c>
      <c r="C1749" t="s">
        <v>1219</v>
      </c>
      <c r="D1749" t="s">
        <v>88</v>
      </c>
      <c r="E1749" t="s">
        <v>1142</v>
      </c>
      <c r="F1749" t="s">
        <v>1221</v>
      </c>
      <c r="G1749" t="s">
        <v>1222</v>
      </c>
      <c r="H1749" t="s">
        <v>123</v>
      </c>
      <c r="I1749">
        <v>15960</v>
      </c>
      <c r="J1749">
        <v>15960</v>
      </c>
      <c r="K1749">
        <v>15960</v>
      </c>
      <c r="L1749" t="s">
        <v>693</v>
      </c>
      <c r="M1749" t="s">
        <v>1223</v>
      </c>
      <c r="N1749">
        <v>10103.66</v>
      </c>
      <c r="O1749">
        <v>161254413.59999999</v>
      </c>
      <c r="P1749" t="str">
        <f>IF(T[[#This Row],[qty_ordered]]&lt;&gt;T[[#This Row],[qty_received]],IF(T[[#This Row],[qty_received]]&gt;0,"Partial Received","Not Receviced"),"FullyReceived")</f>
        <v>FullyReceived</v>
      </c>
      <c r="Q1749" t="str">
        <f>IF(T[[#This Row],[qty_received]]&lt;&gt;T[[#This Row],[qty_invoiced]],IF(T[[#This Row],[qty_invoiced]]&gt;0,"Partial Invoiced","Not Invoiced"),"Fully Invoiced")</f>
        <v>Fully Invoiced</v>
      </c>
      <c r="R1749" t="str">
        <f>IFERROR(VLOOKUP(T[[#This Row],[warehouse]],Table2[],2,FALSE),"--")</f>
        <v>SAVOLA W/H FOR EXPOR</v>
      </c>
    </row>
    <row r="1750" spans="1:18" x14ac:dyDescent="0.25">
      <c r="A1750" t="s">
        <v>1287</v>
      </c>
      <c r="B1750" s="1">
        <v>44284</v>
      </c>
      <c r="C1750" t="s">
        <v>1288</v>
      </c>
      <c r="D1750" t="s">
        <v>20</v>
      </c>
      <c r="E1750" t="s">
        <v>1289</v>
      </c>
      <c r="F1750" t="s">
        <v>406</v>
      </c>
      <c r="G1750" t="s">
        <v>407</v>
      </c>
      <c r="H1750" t="s">
        <v>24</v>
      </c>
      <c r="I1750">
        <v>1100</v>
      </c>
      <c r="J1750">
        <v>978.702</v>
      </c>
      <c r="K1750">
        <v>978.702</v>
      </c>
      <c r="L1750" t="s">
        <v>25</v>
      </c>
      <c r="M1750" t="s">
        <v>132</v>
      </c>
      <c r="N1750">
        <v>700000</v>
      </c>
      <c r="O1750">
        <v>685091400</v>
      </c>
      <c r="P1750" t="str">
        <f>IF(T[[#This Row],[qty_ordered]]&lt;&gt;T[[#This Row],[qty_received]],IF(T[[#This Row],[qty_received]]&gt;0,"Partial Received","Not Receviced"),"FullyReceived")</f>
        <v>Partial Received</v>
      </c>
      <c r="Q1750" t="str">
        <f>IF(T[[#This Row],[qty_received]]&lt;&gt;T[[#This Row],[qty_invoiced]],IF(T[[#This Row],[qty_invoiced]]&gt;0,"Partial Invoiced","Not Invoiced"),"Fully Invoiced")</f>
        <v>Fully Invoiced</v>
      </c>
      <c r="R1750" t="str">
        <f>IFERROR(VLOOKUP(T[[#This Row],[warehouse]],Table2[],2,FALSE),"--")</f>
        <v>MSG GINNING GDARIF</v>
      </c>
    </row>
    <row r="1751" spans="1:18" x14ac:dyDescent="0.25">
      <c r="A1751" t="s">
        <v>462</v>
      </c>
      <c r="B1751" s="1">
        <v>44221</v>
      </c>
      <c r="C1751" t="s">
        <v>1200</v>
      </c>
      <c r="D1751" t="s">
        <v>860</v>
      </c>
      <c r="E1751" t="s">
        <v>51</v>
      </c>
      <c r="F1751" t="s">
        <v>373</v>
      </c>
      <c r="G1751" t="s">
        <v>373</v>
      </c>
      <c r="H1751" t="s">
        <v>54</v>
      </c>
      <c r="I1751">
        <v>1868</v>
      </c>
      <c r="J1751">
        <v>0</v>
      </c>
      <c r="K1751">
        <v>1</v>
      </c>
      <c r="L1751" t="s">
        <v>25</v>
      </c>
      <c r="M1751" t="s">
        <v>533</v>
      </c>
      <c r="N1751">
        <v>13</v>
      </c>
      <c r="O1751">
        <v>0</v>
      </c>
      <c r="P1751" t="str">
        <f>IF(T[[#This Row],[qty_ordered]]&lt;&gt;T[[#This Row],[qty_received]],IF(T[[#This Row],[qty_received]]&gt;0,"Partial Received","Not Receviced"),"FullyReceived")</f>
        <v>Not Receviced</v>
      </c>
      <c r="Q1751" t="str">
        <f>IF(T[[#This Row],[qty_received]]&lt;&gt;T[[#This Row],[qty_invoiced]],IF(T[[#This Row],[qty_invoiced]]&gt;0,"Partial Invoiced","Not Invoiced"),"Fully Invoiced")</f>
        <v>Partial Invoiced</v>
      </c>
      <c r="R1751" t="str">
        <f>IFERROR(VLOOKUP(T[[#This Row],[warehouse]],Table2[],2,FALSE),"--")</f>
        <v>--</v>
      </c>
    </row>
    <row r="1752" spans="1:18" x14ac:dyDescent="0.25">
      <c r="A1752" t="s">
        <v>462</v>
      </c>
      <c r="B1752" s="1">
        <v>44221</v>
      </c>
      <c r="C1752" t="s">
        <v>1200</v>
      </c>
      <c r="D1752" t="s">
        <v>861</v>
      </c>
      <c r="E1752" t="s">
        <v>51</v>
      </c>
      <c r="F1752" t="s">
        <v>254</v>
      </c>
      <c r="G1752" t="s">
        <v>255</v>
      </c>
      <c r="H1752" t="s">
        <v>54</v>
      </c>
      <c r="I1752">
        <v>2300</v>
      </c>
      <c r="J1752">
        <v>0</v>
      </c>
      <c r="K1752">
        <v>1</v>
      </c>
      <c r="L1752" t="s">
        <v>25</v>
      </c>
      <c r="M1752" t="s">
        <v>533</v>
      </c>
      <c r="N1752">
        <v>13</v>
      </c>
      <c r="O1752">
        <v>0</v>
      </c>
      <c r="P1752" t="str">
        <f>IF(T[[#This Row],[qty_ordered]]&lt;&gt;T[[#This Row],[qty_received]],IF(T[[#This Row],[qty_received]]&gt;0,"Partial Received","Not Receviced"),"FullyReceived")</f>
        <v>Not Receviced</v>
      </c>
      <c r="Q1752" t="str">
        <f>IF(T[[#This Row],[qty_received]]&lt;&gt;T[[#This Row],[qty_invoiced]],IF(T[[#This Row],[qty_invoiced]]&gt;0,"Partial Invoiced","Not Invoiced"),"Fully Invoiced")</f>
        <v>Partial Invoiced</v>
      </c>
      <c r="R1752" t="str">
        <f>IFERROR(VLOOKUP(T[[#This Row],[warehouse]],Table2[],2,FALSE),"--")</f>
        <v>--</v>
      </c>
    </row>
    <row r="1753" spans="1:18" x14ac:dyDescent="0.25">
      <c r="A1753" t="s">
        <v>235</v>
      </c>
      <c r="B1753" s="1">
        <v>44186</v>
      </c>
      <c r="C1753" t="s">
        <v>1064</v>
      </c>
      <c r="D1753" t="s">
        <v>76</v>
      </c>
      <c r="E1753" t="s">
        <v>51</v>
      </c>
      <c r="F1753" t="s">
        <v>546</v>
      </c>
      <c r="G1753" t="s">
        <v>1065</v>
      </c>
      <c r="H1753" t="s">
        <v>54</v>
      </c>
      <c r="I1753">
        <v>50800</v>
      </c>
      <c r="J1753">
        <v>0</v>
      </c>
      <c r="K1753">
        <v>1</v>
      </c>
      <c r="L1753" t="s">
        <v>25</v>
      </c>
      <c r="M1753" t="s">
        <v>533</v>
      </c>
      <c r="N1753">
        <v>7</v>
      </c>
      <c r="O1753">
        <v>0</v>
      </c>
      <c r="P1753" t="str">
        <f>IF(T[[#This Row],[qty_ordered]]&lt;&gt;T[[#This Row],[qty_received]],IF(T[[#This Row],[qty_received]]&gt;0,"Partial Received","Not Receviced"),"FullyReceived")</f>
        <v>Not Receviced</v>
      </c>
      <c r="Q1753" t="str">
        <f>IF(T[[#This Row],[qty_received]]&lt;&gt;T[[#This Row],[qty_invoiced]],IF(T[[#This Row],[qty_invoiced]]&gt;0,"Partial Invoiced","Not Invoiced"),"Fully Invoiced")</f>
        <v>Partial Invoiced</v>
      </c>
      <c r="R1753" t="str">
        <f>IFERROR(VLOOKUP(T[[#This Row],[warehouse]],Table2[],2,FALSE),"--")</f>
        <v>--</v>
      </c>
    </row>
    <row r="1754" spans="1:18" x14ac:dyDescent="0.25">
      <c r="A1754" t="s">
        <v>235</v>
      </c>
      <c r="B1754" s="1">
        <v>44160</v>
      </c>
      <c r="C1754" t="s">
        <v>998</v>
      </c>
      <c r="D1754" t="s">
        <v>451</v>
      </c>
      <c r="E1754" t="s">
        <v>51</v>
      </c>
      <c r="F1754" t="s">
        <v>546</v>
      </c>
      <c r="G1754" t="s">
        <v>1065</v>
      </c>
      <c r="H1754" t="s">
        <v>54</v>
      </c>
      <c r="I1754">
        <v>10000</v>
      </c>
      <c r="J1754">
        <v>0</v>
      </c>
      <c r="K1754">
        <v>1</v>
      </c>
      <c r="L1754" t="s">
        <v>25</v>
      </c>
      <c r="M1754" t="s">
        <v>2836</v>
      </c>
      <c r="N1754">
        <v>7.28</v>
      </c>
      <c r="O1754">
        <v>0</v>
      </c>
      <c r="P1754" t="str">
        <f>IF(T[[#This Row],[qty_ordered]]&lt;&gt;T[[#This Row],[qty_received]],IF(T[[#This Row],[qty_received]]&gt;0,"Partial Received","Not Receviced"),"FullyReceived")</f>
        <v>Not Receviced</v>
      </c>
      <c r="Q1754" t="str">
        <f>IF(T[[#This Row],[qty_received]]&lt;&gt;T[[#This Row],[qty_invoiced]],IF(T[[#This Row],[qty_invoiced]]&gt;0,"Partial Invoiced","Not Invoiced"),"Fully Invoiced")</f>
        <v>Partial Invoiced</v>
      </c>
      <c r="R1754" t="str">
        <f>IFERROR(VLOOKUP(T[[#This Row],[warehouse]],Table2[],2,FALSE),"--")</f>
        <v>--</v>
      </c>
    </row>
    <row r="1755" spans="1:18" x14ac:dyDescent="0.25">
      <c r="A1755" t="s">
        <v>235</v>
      </c>
      <c r="B1755" s="1">
        <v>44199</v>
      </c>
      <c r="C1755" t="s">
        <v>1134</v>
      </c>
      <c r="D1755" t="s">
        <v>74</v>
      </c>
      <c r="E1755" t="s">
        <v>51</v>
      </c>
      <c r="F1755" t="s">
        <v>546</v>
      </c>
      <c r="G1755" t="s">
        <v>1065</v>
      </c>
      <c r="H1755" t="s">
        <v>54</v>
      </c>
      <c r="I1755">
        <v>10000</v>
      </c>
      <c r="J1755">
        <v>0</v>
      </c>
      <c r="K1755">
        <v>1</v>
      </c>
      <c r="L1755" t="s">
        <v>25</v>
      </c>
      <c r="M1755" t="s">
        <v>2836</v>
      </c>
      <c r="N1755">
        <v>7.28</v>
      </c>
      <c r="O1755">
        <v>0</v>
      </c>
      <c r="P1755" t="str">
        <f>IF(T[[#This Row],[qty_ordered]]&lt;&gt;T[[#This Row],[qty_received]],IF(T[[#This Row],[qty_received]]&gt;0,"Partial Received","Not Receviced"),"FullyReceived")</f>
        <v>Not Receviced</v>
      </c>
      <c r="Q1755" t="str">
        <f>IF(T[[#This Row],[qty_received]]&lt;&gt;T[[#This Row],[qty_invoiced]],IF(T[[#This Row],[qty_invoiced]]&gt;0,"Partial Invoiced","Not Invoiced"),"Fully Invoiced")</f>
        <v>Partial Invoiced</v>
      </c>
      <c r="R1755" t="str">
        <f>IFERROR(VLOOKUP(T[[#This Row],[warehouse]],Table2[],2,FALSE),"--")</f>
        <v>--</v>
      </c>
    </row>
    <row r="1756" spans="1:18" x14ac:dyDescent="0.25">
      <c r="A1756" t="s">
        <v>423</v>
      </c>
      <c r="B1756" s="1">
        <v>44283</v>
      </c>
      <c r="C1756" t="s">
        <v>1290</v>
      </c>
      <c r="D1756" t="s">
        <v>20</v>
      </c>
      <c r="E1756" t="s">
        <v>146</v>
      </c>
      <c r="F1756" t="s">
        <v>943</v>
      </c>
      <c r="G1756" t="s">
        <v>944</v>
      </c>
      <c r="H1756" t="s">
        <v>149</v>
      </c>
      <c r="I1756">
        <v>100000</v>
      </c>
      <c r="J1756">
        <v>100000</v>
      </c>
      <c r="K1756">
        <v>100000</v>
      </c>
      <c r="L1756" t="s">
        <v>25</v>
      </c>
      <c r="M1756" t="s">
        <v>575</v>
      </c>
      <c r="N1756">
        <v>125</v>
      </c>
      <c r="O1756">
        <v>12500000</v>
      </c>
      <c r="P1756" t="str">
        <f>IF(T[[#This Row],[qty_ordered]]&lt;&gt;T[[#This Row],[qty_received]],IF(T[[#This Row],[qty_received]]&gt;0,"Partial Received","Not Receviced"),"FullyReceived")</f>
        <v>FullyReceived</v>
      </c>
      <c r="Q1756" t="str">
        <f>IF(T[[#This Row],[qty_received]]&lt;&gt;T[[#This Row],[qty_invoiced]],IF(T[[#This Row],[qty_invoiced]]&gt;0,"Partial Invoiced","Not Invoiced"),"Fully Invoiced")</f>
        <v>Fully Invoiced</v>
      </c>
      <c r="R1756" t="str">
        <f>IFERROR(VLOOKUP(T[[#This Row],[warehouse]],Table2[],2,FALSE),"--")</f>
        <v>Khtoum Main Warehouse</v>
      </c>
    </row>
    <row r="1757" spans="1:18" x14ac:dyDescent="0.25">
      <c r="A1757" t="s">
        <v>852</v>
      </c>
      <c r="B1757" s="1">
        <v>44200</v>
      </c>
      <c r="C1757" t="s">
        <v>1138</v>
      </c>
      <c r="D1757" t="s">
        <v>88</v>
      </c>
      <c r="E1757" t="s">
        <v>51</v>
      </c>
      <c r="F1757" t="s">
        <v>52</v>
      </c>
      <c r="G1757" t="s">
        <v>53</v>
      </c>
      <c r="H1757" t="s">
        <v>54</v>
      </c>
      <c r="I1757">
        <v>20000</v>
      </c>
      <c r="J1757">
        <v>0</v>
      </c>
      <c r="K1757">
        <v>1</v>
      </c>
      <c r="L1757" t="s">
        <v>25</v>
      </c>
      <c r="M1757" t="s">
        <v>132</v>
      </c>
      <c r="N1757">
        <v>150</v>
      </c>
      <c r="O1757">
        <v>0</v>
      </c>
      <c r="P1757" t="str">
        <f>IF(T[[#This Row],[qty_ordered]]&lt;&gt;T[[#This Row],[qty_received]],IF(T[[#This Row],[qty_received]]&gt;0,"Partial Received","Not Receviced"),"FullyReceived")</f>
        <v>Not Receviced</v>
      </c>
      <c r="Q1757" t="str">
        <f>IF(T[[#This Row],[qty_received]]&lt;&gt;T[[#This Row],[qty_invoiced]],IF(T[[#This Row],[qty_invoiced]]&gt;0,"Partial Invoiced","Not Invoiced"),"Fully Invoiced")</f>
        <v>Partial Invoiced</v>
      </c>
      <c r="R1757" t="str">
        <f>IFERROR(VLOOKUP(T[[#This Row],[warehouse]],Table2[],2,FALSE),"--")</f>
        <v>--</v>
      </c>
    </row>
    <row r="1758" spans="1:18" x14ac:dyDescent="0.25">
      <c r="A1758" t="s">
        <v>144</v>
      </c>
      <c r="B1758" s="1">
        <v>44293</v>
      </c>
      <c r="C1758" t="s">
        <v>1291</v>
      </c>
      <c r="D1758" t="s">
        <v>20</v>
      </c>
      <c r="E1758" t="s">
        <v>1142</v>
      </c>
      <c r="F1758" t="s">
        <v>147</v>
      </c>
      <c r="G1758" t="s">
        <v>148</v>
      </c>
      <c r="H1758" t="s">
        <v>149</v>
      </c>
      <c r="I1758">
        <v>86000</v>
      </c>
      <c r="J1758">
        <v>86000</v>
      </c>
      <c r="K1758">
        <v>86000</v>
      </c>
      <c r="L1758" t="s">
        <v>25</v>
      </c>
      <c r="M1758" t="s">
        <v>744</v>
      </c>
      <c r="N1758">
        <v>36.124560000000002</v>
      </c>
      <c r="O1758">
        <v>3106712.16</v>
      </c>
      <c r="P1758" t="str">
        <f>IF(T[[#This Row],[qty_ordered]]&lt;&gt;T[[#This Row],[qty_received]],IF(T[[#This Row],[qty_received]]&gt;0,"Partial Received","Not Receviced"),"FullyReceived")</f>
        <v>FullyReceived</v>
      </c>
      <c r="Q1758" t="str">
        <f>IF(T[[#This Row],[qty_received]]&lt;&gt;T[[#This Row],[qty_invoiced]],IF(T[[#This Row],[qty_invoiced]]&gt;0,"Partial Invoiced","Not Invoiced"),"Fully Invoiced")</f>
        <v>Fully Invoiced</v>
      </c>
      <c r="R1758" t="str">
        <f>IFERROR(VLOOKUP(T[[#This Row],[warehouse]],Table2[],2,FALSE),"--")</f>
        <v>SAVOLA W/H FOR EXPOR</v>
      </c>
    </row>
    <row r="1759" spans="1:18" x14ac:dyDescent="0.25">
      <c r="A1759" t="s">
        <v>84</v>
      </c>
      <c r="B1759" s="1">
        <v>44294</v>
      </c>
      <c r="C1759" t="s">
        <v>1292</v>
      </c>
      <c r="D1759" t="s">
        <v>20</v>
      </c>
      <c r="E1759" t="s">
        <v>1142</v>
      </c>
      <c r="F1759" t="s">
        <v>103</v>
      </c>
      <c r="G1759" t="s">
        <v>104</v>
      </c>
      <c r="H1759" t="s">
        <v>24</v>
      </c>
      <c r="I1759">
        <v>512.82100000000003</v>
      </c>
      <c r="J1759">
        <v>219.31</v>
      </c>
      <c r="K1759">
        <v>219.31</v>
      </c>
      <c r="L1759" t="s">
        <v>25</v>
      </c>
      <c r="M1759" t="s">
        <v>707</v>
      </c>
      <c r="N1759">
        <v>183462.82857000001</v>
      </c>
      <c r="O1759">
        <v>40235232.933686703</v>
      </c>
      <c r="P1759" t="str">
        <f>IF(T[[#This Row],[qty_ordered]]&lt;&gt;T[[#This Row],[qty_received]],IF(T[[#This Row],[qty_received]]&gt;0,"Partial Received","Not Receviced"),"FullyReceived")</f>
        <v>Partial Received</v>
      </c>
      <c r="Q1759" t="str">
        <f>IF(T[[#This Row],[qty_received]]&lt;&gt;T[[#This Row],[qty_invoiced]],IF(T[[#This Row],[qty_invoiced]]&gt;0,"Partial Invoiced","Not Invoiced"),"Fully Invoiced")</f>
        <v>Fully Invoiced</v>
      </c>
      <c r="R1759" t="str">
        <f>IFERROR(VLOOKUP(T[[#This Row],[warehouse]],Table2[],2,FALSE),"--")</f>
        <v>SAVOLA W/H FOR EXPOR</v>
      </c>
    </row>
    <row r="1760" spans="1:18" x14ac:dyDescent="0.25">
      <c r="A1760" t="s">
        <v>462</v>
      </c>
      <c r="B1760" s="1">
        <v>44221</v>
      </c>
      <c r="C1760" t="s">
        <v>1200</v>
      </c>
      <c r="D1760" t="s">
        <v>858</v>
      </c>
      <c r="E1760" t="s">
        <v>51</v>
      </c>
      <c r="F1760" t="s">
        <v>278</v>
      </c>
      <c r="G1760" t="s">
        <v>279</v>
      </c>
      <c r="H1760" t="s">
        <v>54</v>
      </c>
      <c r="I1760">
        <v>12204</v>
      </c>
      <c r="J1760">
        <v>0</v>
      </c>
      <c r="K1760">
        <v>1</v>
      </c>
      <c r="L1760" t="s">
        <v>25</v>
      </c>
      <c r="M1760" t="s">
        <v>533</v>
      </c>
      <c r="N1760">
        <v>15</v>
      </c>
      <c r="O1760">
        <v>0</v>
      </c>
      <c r="P1760" t="str">
        <f>IF(T[[#This Row],[qty_ordered]]&lt;&gt;T[[#This Row],[qty_received]],IF(T[[#This Row],[qty_received]]&gt;0,"Partial Received","Not Receviced"),"FullyReceived")</f>
        <v>Not Receviced</v>
      </c>
      <c r="Q1760" t="str">
        <f>IF(T[[#This Row],[qty_received]]&lt;&gt;T[[#This Row],[qty_invoiced]],IF(T[[#This Row],[qty_invoiced]]&gt;0,"Partial Invoiced","Not Invoiced"),"Fully Invoiced")</f>
        <v>Partial Invoiced</v>
      </c>
      <c r="R1760" t="str">
        <f>IFERROR(VLOOKUP(T[[#This Row],[warehouse]],Table2[],2,FALSE),"--")</f>
        <v>--</v>
      </c>
    </row>
    <row r="1761" spans="1:18" x14ac:dyDescent="0.25">
      <c r="A1761" t="s">
        <v>462</v>
      </c>
      <c r="B1761" s="1">
        <v>44221</v>
      </c>
      <c r="C1761" t="s">
        <v>1200</v>
      </c>
      <c r="D1761" t="s">
        <v>862</v>
      </c>
      <c r="E1761" t="s">
        <v>51</v>
      </c>
      <c r="F1761" t="s">
        <v>433</v>
      </c>
      <c r="G1761" t="s">
        <v>433</v>
      </c>
      <c r="H1761" t="s">
        <v>54</v>
      </c>
      <c r="I1761">
        <v>2834</v>
      </c>
      <c r="J1761">
        <v>0</v>
      </c>
      <c r="K1761">
        <v>1</v>
      </c>
      <c r="L1761" t="s">
        <v>25</v>
      </c>
      <c r="M1761" t="s">
        <v>533</v>
      </c>
      <c r="N1761">
        <v>5</v>
      </c>
      <c r="O1761">
        <v>0</v>
      </c>
      <c r="P1761" t="str">
        <f>IF(T[[#This Row],[qty_ordered]]&lt;&gt;T[[#This Row],[qty_received]],IF(T[[#This Row],[qty_received]]&gt;0,"Partial Received","Not Receviced"),"FullyReceived")</f>
        <v>Not Receviced</v>
      </c>
      <c r="Q1761" t="str">
        <f>IF(T[[#This Row],[qty_received]]&lt;&gt;T[[#This Row],[qty_invoiced]],IF(T[[#This Row],[qty_invoiced]]&gt;0,"Partial Invoiced","Not Invoiced"),"Fully Invoiced")</f>
        <v>Partial Invoiced</v>
      </c>
      <c r="R1761" t="str">
        <f>IFERROR(VLOOKUP(T[[#This Row],[warehouse]],Table2[],2,FALSE),"--")</f>
        <v>--</v>
      </c>
    </row>
    <row r="1762" spans="1:18" x14ac:dyDescent="0.25">
      <c r="A1762" t="s">
        <v>462</v>
      </c>
      <c r="B1762" s="1">
        <v>44221</v>
      </c>
      <c r="C1762" t="s">
        <v>1200</v>
      </c>
      <c r="D1762" t="s">
        <v>863</v>
      </c>
      <c r="E1762" t="s">
        <v>51</v>
      </c>
      <c r="F1762" t="s">
        <v>433</v>
      </c>
      <c r="G1762" t="s">
        <v>433</v>
      </c>
      <c r="H1762" t="s">
        <v>54</v>
      </c>
      <c r="I1762">
        <v>30</v>
      </c>
      <c r="J1762">
        <v>0</v>
      </c>
      <c r="K1762">
        <v>1</v>
      </c>
      <c r="L1762" t="s">
        <v>25</v>
      </c>
      <c r="M1762" t="s">
        <v>533</v>
      </c>
      <c r="N1762">
        <v>280</v>
      </c>
      <c r="O1762">
        <v>0</v>
      </c>
      <c r="P1762" t="str">
        <f>IF(T[[#This Row],[qty_ordered]]&lt;&gt;T[[#This Row],[qty_received]],IF(T[[#This Row],[qty_received]]&gt;0,"Partial Received","Not Receviced"),"FullyReceived")</f>
        <v>Not Receviced</v>
      </c>
      <c r="Q1762" t="str">
        <f>IF(T[[#This Row],[qty_received]]&lt;&gt;T[[#This Row],[qty_invoiced]],IF(T[[#This Row],[qty_invoiced]]&gt;0,"Partial Invoiced","Not Invoiced"),"Fully Invoiced")</f>
        <v>Partial Invoiced</v>
      </c>
      <c r="R1762" t="str">
        <f>IFERROR(VLOOKUP(T[[#This Row],[warehouse]],Table2[],2,FALSE),"--")</f>
        <v>--</v>
      </c>
    </row>
    <row r="1763" spans="1:18" x14ac:dyDescent="0.25">
      <c r="A1763" t="s">
        <v>462</v>
      </c>
      <c r="B1763" s="1">
        <v>44221</v>
      </c>
      <c r="C1763" t="s">
        <v>1200</v>
      </c>
      <c r="D1763" t="s">
        <v>864</v>
      </c>
      <c r="E1763" t="s">
        <v>51</v>
      </c>
      <c r="F1763" t="s">
        <v>793</v>
      </c>
      <c r="G1763" t="s">
        <v>1061</v>
      </c>
      <c r="H1763" t="s">
        <v>54</v>
      </c>
      <c r="I1763">
        <v>1</v>
      </c>
      <c r="J1763">
        <v>0</v>
      </c>
      <c r="K1763">
        <v>1</v>
      </c>
      <c r="L1763" t="s">
        <v>25</v>
      </c>
      <c r="M1763" t="s">
        <v>533</v>
      </c>
      <c r="N1763">
        <v>250</v>
      </c>
      <c r="O1763">
        <v>0</v>
      </c>
      <c r="P1763" t="str">
        <f>IF(T[[#This Row],[qty_ordered]]&lt;&gt;T[[#This Row],[qty_received]],IF(T[[#This Row],[qty_received]]&gt;0,"Partial Received","Not Receviced"),"FullyReceived")</f>
        <v>Not Receviced</v>
      </c>
      <c r="Q1763" t="str">
        <f>IF(T[[#This Row],[qty_received]]&lt;&gt;T[[#This Row],[qty_invoiced]],IF(T[[#This Row],[qty_invoiced]]&gt;0,"Partial Invoiced","Not Invoiced"),"Fully Invoiced")</f>
        <v>Partial Invoiced</v>
      </c>
      <c r="R1763" t="str">
        <f>IFERROR(VLOOKUP(T[[#This Row],[warehouse]],Table2[],2,FALSE),"--")</f>
        <v>--</v>
      </c>
    </row>
    <row r="1764" spans="1:18" x14ac:dyDescent="0.25">
      <c r="A1764" t="s">
        <v>462</v>
      </c>
      <c r="B1764" s="1">
        <v>44221</v>
      </c>
      <c r="C1764" t="s">
        <v>1200</v>
      </c>
      <c r="D1764" t="s">
        <v>566</v>
      </c>
      <c r="E1764" t="s">
        <v>51</v>
      </c>
      <c r="F1764" t="s">
        <v>793</v>
      </c>
      <c r="G1764" t="s">
        <v>1061</v>
      </c>
      <c r="H1764" t="s">
        <v>54</v>
      </c>
      <c r="I1764">
        <v>6</v>
      </c>
      <c r="J1764">
        <v>0</v>
      </c>
      <c r="K1764">
        <v>1</v>
      </c>
      <c r="L1764" t="s">
        <v>25</v>
      </c>
      <c r="M1764" t="s">
        <v>533</v>
      </c>
      <c r="N1764">
        <v>158.33333300000001</v>
      </c>
      <c r="O1764">
        <v>0</v>
      </c>
      <c r="P1764" t="str">
        <f>IF(T[[#This Row],[qty_ordered]]&lt;&gt;T[[#This Row],[qty_received]],IF(T[[#This Row],[qty_received]]&gt;0,"Partial Received","Not Receviced"),"FullyReceived")</f>
        <v>Not Receviced</v>
      </c>
      <c r="Q1764" t="str">
        <f>IF(T[[#This Row],[qty_received]]&lt;&gt;T[[#This Row],[qty_invoiced]],IF(T[[#This Row],[qty_invoiced]]&gt;0,"Partial Invoiced","Not Invoiced"),"Fully Invoiced")</f>
        <v>Partial Invoiced</v>
      </c>
      <c r="R1764" t="str">
        <f>IFERROR(VLOOKUP(T[[#This Row],[warehouse]],Table2[],2,FALSE),"--")</f>
        <v>--</v>
      </c>
    </row>
    <row r="1765" spans="1:18" x14ac:dyDescent="0.25">
      <c r="A1765" t="s">
        <v>462</v>
      </c>
      <c r="B1765" s="1">
        <v>44221</v>
      </c>
      <c r="C1765" t="s">
        <v>1200</v>
      </c>
      <c r="D1765" t="s">
        <v>567</v>
      </c>
      <c r="E1765" t="s">
        <v>51</v>
      </c>
      <c r="F1765" t="s">
        <v>793</v>
      </c>
      <c r="G1765" t="s">
        <v>1283</v>
      </c>
      <c r="H1765" t="s">
        <v>54</v>
      </c>
      <c r="I1765">
        <v>10</v>
      </c>
      <c r="J1765">
        <v>0</v>
      </c>
      <c r="K1765">
        <v>1</v>
      </c>
      <c r="L1765" t="s">
        <v>25</v>
      </c>
      <c r="M1765" t="s">
        <v>533</v>
      </c>
      <c r="N1765">
        <v>155</v>
      </c>
      <c r="O1765">
        <v>0</v>
      </c>
      <c r="P1765" t="str">
        <f>IF(T[[#This Row],[qty_ordered]]&lt;&gt;T[[#This Row],[qty_received]],IF(T[[#This Row],[qty_received]]&gt;0,"Partial Received","Not Receviced"),"FullyReceived")</f>
        <v>Not Receviced</v>
      </c>
      <c r="Q1765" t="str">
        <f>IF(T[[#This Row],[qty_received]]&lt;&gt;T[[#This Row],[qty_invoiced]],IF(T[[#This Row],[qty_invoiced]]&gt;0,"Partial Invoiced","Not Invoiced"),"Fully Invoiced")</f>
        <v>Partial Invoiced</v>
      </c>
      <c r="R1765" t="str">
        <f>IFERROR(VLOOKUP(T[[#This Row],[warehouse]],Table2[],2,FALSE),"--")</f>
        <v>--</v>
      </c>
    </row>
    <row r="1766" spans="1:18" x14ac:dyDescent="0.25">
      <c r="A1766" t="s">
        <v>224</v>
      </c>
      <c r="B1766" s="1">
        <v>44297</v>
      </c>
      <c r="C1766" t="s">
        <v>1293</v>
      </c>
      <c r="D1766" t="s">
        <v>20</v>
      </c>
      <c r="E1766" t="s">
        <v>51</v>
      </c>
      <c r="F1766" t="s">
        <v>183</v>
      </c>
      <c r="G1766" t="s">
        <v>1294</v>
      </c>
      <c r="H1766" t="s">
        <v>54</v>
      </c>
      <c r="I1766">
        <v>350</v>
      </c>
      <c r="J1766">
        <v>0</v>
      </c>
      <c r="K1766">
        <v>1</v>
      </c>
      <c r="L1766" t="s">
        <v>25</v>
      </c>
      <c r="M1766" t="s">
        <v>533</v>
      </c>
      <c r="N1766">
        <v>3000</v>
      </c>
      <c r="O1766">
        <v>0</v>
      </c>
      <c r="P1766" t="str">
        <f>IF(T[[#This Row],[qty_ordered]]&lt;&gt;T[[#This Row],[qty_received]],IF(T[[#This Row],[qty_received]]&gt;0,"Partial Received","Not Receviced"),"FullyReceived")</f>
        <v>Not Receviced</v>
      </c>
      <c r="Q1766" t="str">
        <f>IF(T[[#This Row],[qty_received]]&lt;&gt;T[[#This Row],[qty_invoiced]],IF(T[[#This Row],[qty_invoiced]]&gt;0,"Partial Invoiced","Not Invoiced"),"Fully Invoiced")</f>
        <v>Partial Invoiced</v>
      </c>
      <c r="R1766" t="str">
        <f>IFERROR(VLOOKUP(T[[#This Row],[warehouse]],Table2[],2,FALSE),"--")</f>
        <v>--</v>
      </c>
    </row>
    <row r="1767" spans="1:18" x14ac:dyDescent="0.25">
      <c r="A1767" t="s">
        <v>1083</v>
      </c>
      <c r="B1767" s="1">
        <v>44266</v>
      </c>
      <c r="C1767" t="s">
        <v>1084</v>
      </c>
      <c r="D1767" t="s">
        <v>71</v>
      </c>
      <c r="E1767" t="s">
        <v>660</v>
      </c>
      <c r="F1767" t="s">
        <v>705</v>
      </c>
      <c r="G1767" t="s">
        <v>706</v>
      </c>
      <c r="H1767" t="s">
        <v>663</v>
      </c>
      <c r="I1767">
        <v>4352.8</v>
      </c>
      <c r="J1767">
        <v>4352.8</v>
      </c>
      <c r="K1767">
        <v>4352.8</v>
      </c>
      <c r="L1767" t="s">
        <v>25</v>
      </c>
      <c r="M1767" t="s">
        <v>132</v>
      </c>
      <c r="N1767">
        <v>1793.1446430000001</v>
      </c>
      <c r="O1767">
        <v>7805200.0020503998</v>
      </c>
      <c r="P1767" t="str">
        <f>IF(T[[#This Row],[qty_ordered]]&lt;&gt;T[[#This Row],[qty_received]],IF(T[[#This Row],[qty_received]]&gt;0,"Partial Received","Not Receviced"),"FullyReceived")</f>
        <v>FullyReceived</v>
      </c>
      <c r="Q1767" t="str">
        <f>IF(T[[#This Row],[qty_received]]&lt;&gt;T[[#This Row],[qty_invoiced]],IF(T[[#This Row],[qty_invoiced]]&gt;0,"Partial Invoiced","Not Invoiced"),"Fully Invoiced")</f>
        <v>Fully Invoiced</v>
      </c>
      <c r="R1767" t="str">
        <f>IFERROR(VLOOKUP(T[[#This Row],[warehouse]],Table2[],2,FALSE),"--")</f>
        <v>SLAUGHTER HOUSE</v>
      </c>
    </row>
    <row r="1768" spans="1:18" x14ac:dyDescent="0.25">
      <c r="A1768" t="s">
        <v>1083</v>
      </c>
      <c r="B1768" s="1">
        <v>44266</v>
      </c>
      <c r="C1768" t="s">
        <v>1084</v>
      </c>
      <c r="D1768" t="s">
        <v>100</v>
      </c>
      <c r="E1768" t="s">
        <v>660</v>
      </c>
      <c r="F1768" t="s">
        <v>705</v>
      </c>
      <c r="G1768" t="s">
        <v>706</v>
      </c>
      <c r="H1768" t="s">
        <v>663</v>
      </c>
      <c r="I1768">
        <v>9477.7000000000007</v>
      </c>
      <c r="J1768">
        <v>9477.7000000000007</v>
      </c>
      <c r="K1768">
        <v>9477.7000000000007</v>
      </c>
      <c r="L1768" t="s">
        <v>25</v>
      </c>
      <c r="M1768" t="s">
        <v>132</v>
      </c>
      <c r="N1768">
        <v>1971.153339</v>
      </c>
      <c r="O1768">
        <v>18682000.001040298</v>
      </c>
      <c r="P1768" t="str">
        <f>IF(T[[#This Row],[qty_ordered]]&lt;&gt;T[[#This Row],[qty_received]],IF(T[[#This Row],[qty_received]]&gt;0,"Partial Received","Not Receviced"),"FullyReceived")</f>
        <v>FullyReceived</v>
      </c>
      <c r="Q1768" t="str">
        <f>IF(T[[#This Row],[qty_received]]&lt;&gt;T[[#This Row],[qty_invoiced]],IF(T[[#This Row],[qty_invoiced]]&gt;0,"Partial Invoiced","Not Invoiced"),"Fully Invoiced")</f>
        <v>Fully Invoiced</v>
      </c>
      <c r="R1768" t="str">
        <f>IFERROR(VLOOKUP(T[[#This Row],[warehouse]],Table2[],2,FALSE),"--")</f>
        <v>SLAUGHTER HOUSE</v>
      </c>
    </row>
    <row r="1769" spans="1:18" x14ac:dyDescent="0.25">
      <c r="A1769" t="s">
        <v>423</v>
      </c>
      <c r="B1769" s="1">
        <v>44307</v>
      </c>
      <c r="C1769" t="s">
        <v>1295</v>
      </c>
      <c r="D1769" t="s">
        <v>20</v>
      </c>
      <c r="E1769" t="s">
        <v>51</v>
      </c>
      <c r="F1769" t="s">
        <v>546</v>
      </c>
      <c r="G1769" t="s">
        <v>1065</v>
      </c>
      <c r="H1769" t="s">
        <v>54</v>
      </c>
      <c r="I1769">
        <v>20400</v>
      </c>
      <c r="J1769">
        <v>0</v>
      </c>
      <c r="K1769">
        <v>1</v>
      </c>
      <c r="L1769" t="s">
        <v>25</v>
      </c>
      <c r="M1769" t="s">
        <v>533</v>
      </c>
      <c r="N1769">
        <v>7</v>
      </c>
      <c r="O1769">
        <v>0</v>
      </c>
      <c r="P1769" t="str">
        <f>IF(T[[#This Row],[qty_ordered]]&lt;&gt;T[[#This Row],[qty_received]],IF(T[[#This Row],[qty_received]]&gt;0,"Partial Received","Not Receviced"),"FullyReceived")</f>
        <v>Not Receviced</v>
      </c>
      <c r="Q1769" t="str">
        <f>IF(T[[#This Row],[qty_received]]&lt;&gt;T[[#This Row],[qty_invoiced]],IF(T[[#This Row],[qty_invoiced]]&gt;0,"Partial Invoiced","Not Invoiced"),"Fully Invoiced")</f>
        <v>Partial Invoiced</v>
      </c>
      <c r="R1769" t="str">
        <f>IFERROR(VLOOKUP(T[[#This Row],[warehouse]],Table2[],2,FALSE),"--")</f>
        <v>--</v>
      </c>
    </row>
    <row r="1770" spans="1:18" x14ac:dyDescent="0.25">
      <c r="A1770" t="s">
        <v>423</v>
      </c>
      <c r="B1770" s="1">
        <v>44307</v>
      </c>
      <c r="C1770" t="s">
        <v>1295</v>
      </c>
      <c r="D1770" t="s">
        <v>71</v>
      </c>
      <c r="E1770" t="s">
        <v>51</v>
      </c>
      <c r="F1770" t="s">
        <v>546</v>
      </c>
      <c r="G1770" t="s">
        <v>1065</v>
      </c>
      <c r="H1770" t="s">
        <v>54</v>
      </c>
      <c r="I1770">
        <v>11018</v>
      </c>
      <c r="J1770">
        <v>0</v>
      </c>
      <c r="K1770">
        <v>1</v>
      </c>
      <c r="L1770" t="s">
        <v>25</v>
      </c>
      <c r="M1770" t="s">
        <v>533</v>
      </c>
      <c r="N1770">
        <v>7</v>
      </c>
      <c r="O1770">
        <v>0</v>
      </c>
      <c r="P1770" t="str">
        <f>IF(T[[#This Row],[qty_ordered]]&lt;&gt;T[[#This Row],[qty_received]],IF(T[[#This Row],[qty_received]]&gt;0,"Partial Received","Not Receviced"),"FullyReceived")</f>
        <v>Not Receviced</v>
      </c>
      <c r="Q1770" t="str">
        <f>IF(T[[#This Row],[qty_received]]&lt;&gt;T[[#This Row],[qty_invoiced]],IF(T[[#This Row],[qty_invoiced]]&gt;0,"Partial Invoiced","Not Invoiced"),"Fully Invoiced")</f>
        <v>Partial Invoiced</v>
      </c>
      <c r="R1770" t="str">
        <f>IFERROR(VLOOKUP(T[[#This Row],[warehouse]],Table2[],2,FALSE),"--")</f>
        <v>--</v>
      </c>
    </row>
    <row r="1771" spans="1:18" x14ac:dyDescent="0.25">
      <c r="A1771" t="s">
        <v>423</v>
      </c>
      <c r="B1771" s="1">
        <v>44307</v>
      </c>
      <c r="C1771" t="s">
        <v>1295</v>
      </c>
      <c r="D1771" t="s">
        <v>100</v>
      </c>
      <c r="E1771" t="s">
        <v>51</v>
      </c>
      <c r="F1771" t="s">
        <v>546</v>
      </c>
      <c r="G1771" t="s">
        <v>1065</v>
      </c>
      <c r="H1771" t="s">
        <v>54</v>
      </c>
      <c r="I1771">
        <v>15000</v>
      </c>
      <c r="J1771">
        <v>0</v>
      </c>
      <c r="K1771">
        <v>1</v>
      </c>
      <c r="L1771" t="s">
        <v>25</v>
      </c>
      <c r="M1771" t="s">
        <v>533</v>
      </c>
      <c r="N1771">
        <v>7</v>
      </c>
      <c r="O1771">
        <v>0</v>
      </c>
      <c r="P1771" t="str">
        <f>IF(T[[#This Row],[qty_ordered]]&lt;&gt;T[[#This Row],[qty_received]],IF(T[[#This Row],[qty_received]]&gt;0,"Partial Received","Not Receviced"),"FullyReceived")</f>
        <v>Not Receviced</v>
      </c>
      <c r="Q1771" t="str">
        <f>IF(T[[#This Row],[qty_received]]&lt;&gt;T[[#This Row],[qty_invoiced]],IF(T[[#This Row],[qty_invoiced]]&gt;0,"Partial Invoiced","Not Invoiced"),"Fully Invoiced")</f>
        <v>Partial Invoiced</v>
      </c>
      <c r="R1771" t="str">
        <f>IFERROR(VLOOKUP(T[[#This Row],[warehouse]],Table2[],2,FALSE),"--")</f>
        <v>--</v>
      </c>
    </row>
    <row r="1772" spans="1:18" x14ac:dyDescent="0.25">
      <c r="A1772" t="s">
        <v>423</v>
      </c>
      <c r="B1772" s="1">
        <v>44307</v>
      </c>
      <c r="C1772" t="s">
        <v>1295</v>
      </c>
      <c r="D1772" t="s">
        <v>88</v>
      </c>
      <c r="E1772" t="s">
        <v>51</v>
      </c>
      <c r="F1772" t="s">
        <v>546</v>
      </c>
      <c r="G1772" t="s">
        <v>1065</v>
      </c>
      <c r="H1772" t="s">
        <v>54</v>
      </c>
      <c r="I1772">
        <v>15000</v>
      </c>
      <c r="J1772">
        <v>0</v>
      </c>
      <c r="K1772">
        <v>1</v>
      </c>
      <c r="L1772" t="s">
        <v>25</v>
      </c>
      <c r="M1772" t="s">
        <v>533</v>
      </c>
      <c r="N1772">
        <v>1</v>
      </c>
      <c r="O1772">
        <v>0</v>
      </c>
      <c r="P1772" t="str">
        <f>IF(T[[#This Row],[qty_ordered]]&lt;&gt;T[[#This Row],[qty_received]],IF(T[[#This Row],[qty_received]]&gt;0,"Partial Received","Not Receviced"),"FullyReceived")</f>
        <v>Not Receviced</v>
      </c>
      <c r="Q1772" t="str">
        <f>IF(T[[#This Row],[qty_received]]&lt;&gt;T[[#This Row],[qty_invoiced]],IF(T[[#This Row],[qty_invoiced]]&gt;0,"Partial Invoiced","Not Invoiced"),"Fully Invoiced")</f>
        <v>Partial Invoiced</v>
      </c>
      <c r="R1772" t="str">
        <f>IFERROR(VLOOKUP(T[[#This Row],[warehouse]],Table2[],2,FALSE),"--")</f>
        <v>--</v>
      </c>
    </row>
    <row r="1773" spans="1:18" x14ac:dyDescent="0.25">
      <c r="A1773" t="s">
        <v>732</v>
      </c>
      <c r="B1773" s="1">
        <v>44307</v>
      </c>
      <c r="C1773" t="s">
        <v>1296</v>
      </c>
      <c r="D1773" t="s">
        <v>20</v>
      </c>
      <c r="E1773" t="s">
        <v>51</v>
      </c>
      <c r="F1773" t="s">
        <v>164</v>
      </c>
      <c r="G1773" t="s">
        <v>1021</v>
      </c>
      <c r="H1773" t="s">
        <v>54</v>
      </c>
      <c r="I1773">
        <v>1336.01</v>
      </c>
      <c r="J1773">
        <v>0</v>
      </c>
      <c r="K1773">
        <v>1</v>
      </c>
      <c r="L1773" t="s">
        <v>25</v>
      </c>
      <c r="M1773" t="s">
        <v>533</v>
      </c>
      <c r="N1773">
        <v>40</v>
      </c>
      <c r="O1773">
        <v>0</v>
      </c>
      <c r="P1773" t="str">
        <f>IF(T[[#This Row],[qty_ordered]]&lt;&gt;T[[#This Row],[qty_received]],IF(T[[#This Row],[qty_received]]&gt;0,"Partial Received","Not Receviced"),"FullyReceived")</f>
        <v>Not Receviced</v>
      </c>
      <c r="Q1773" t="str">
        <f>IF(T[[#This Row],[qty_received]]&lt;&gt;T[[#This Row],[qty_invoiced]],IF(T[[#This Row],[qty_invoiced]]&gt;0,"Partial Invoiced","Not Invoiced"),"Fully Invoiced")</f>
        <v>Partial Invoiced</v>
      </c>
      <c r="R1773" t="str">
        <f>IFERROR(VLOOKUP(T[[#This Row],[warehouse]],Table2[],2,FALSE),"--")</f>
        <v>--</v>
      </c>
    </row>
    <row r="1774" spans="1:18" x14ac:dyDescent="0.25">
      <c r="A1774" t="s">
        <v>732</v>
      </c>
      <c r="B1774" s="1">
        <v>44234</v>
      </c>
      <c r="C1774" t="s">
        <v>1297</v>
      </c>
      <c r="D1774" t="s">
        <v>88</v>
      </c>
      <c r="E1774" t="s">
        <v>51</v>
      </c>
      <c r="F1774" t="s">
        <v>164</v>
      </c>
      <c r="G1774" t="s">
        <v>1021</v>
      </c>
      <c r="H1774" t="s">
        <v>54</v>
      </c>
      <c r="I1774">
        <v>2183.8000000000002</v>
      </c>
      <c r="J1774">
        <v>0</v>
      </c>
      <c r="K1774">
        <v>1</v>
      </c>
      <c r="L1774" t="s">
        <v>25</v>
      </c>
      <c r="M1774" t="s">
        <v>533</v>
      </c>
      <c r="N1774">
        <v>40</v>
      </c>
      <c r="O1774">
        <v>0</v>
      </c>
      <c r="P1774" t="str">
        <f>IF(T[[#This Row],[qty_ordered]]&lt;&gt;T[[#This Row],[qty_received]],IF(T[[#This Row],[qty_received]]&gt;0,"Partial Received","Not Receviced"),"FullyReceived")</f>
        <v>Not Receviced</v>
      </c>
      <c r="Q1774" t="str">
        <f>IF(T[[#This Row],[qty_received]]&lt;&gt;T[[#This Row],[qty_invoiced]],IF(T[[#This Row],[qty_invoiced]]&gt;0,"Partial Invoiced","Not Invoiced"),"Fully Invoiced")</f>
        <v>Partial Invoiced</v>
      </c>
      <c r="R1774" t="str">
        <f>IFERROR(VLOOKUP(T[[#This Row],[warehouse]],Table2[],2,FALSE),"--")</f>
        <v>--</v>
      </c>
    </row>
    <row r="1775" spans="1:18" x14ac:dyDescent="0.25">
      <c r="A1775" t="s">
        <v>732</v>
      </c>
      <c r="B1775" s="1">
        <v>44207</v>
      </c>
      <c r="C1775" t="s">
        <v>1148</v>
      </c>
      <c r="D1775" t="s">
        <v>88</v>
      </c>
      <c r="E1775" t="s">
        <v>51</v>
      </c>
      <c r="F1775" t="s">
        <v>164</v>
      </c>
      <c r="G1775" t="s">
        <v>1021</v>
      </c>
      <c r="H1775" t="s">
        <v>54</v>
      </c>
      <c r="I1775">
        <v>399.28</v>
      </c>
      <c r="J1775">
        <v>0</v>
      </c>
      <c r="K1775">
        <v>1</v>
      </c>
      <c r="L1775" t="s">
        <v>25</v>
      </c>
      <c r="M1775" t="s">
        <v>533</v>
      </c>
      <c r="N1775">
        <v>40</v>
      </c>
      <c r="O1775">
        <v>0</v>
      </c>
      <c r="P1775" t="str">
        <f>IF(T[[#This Row],[qty_ordered]]&lt;&gt;T[[#This Row],[qty_received]],IF(T[[#This Row],[qty_received]]&gt;0,"Partial Received","Not Receviced"),"FullyReceived")</f>
        <v>Not Receviced</v>
      </c>
      <c r="Q1775" t="str">
        <f>IF(T[[#This Row],[qty_received]]&lt;&gt;T[[#This Row],[qty_invoiced]],IF(T[[#This Row],[qty_invoiced]]&gt;0,"Partial Invoiced","Not Invoiced"),"Fully Invoiced")</f>
        <v>Partial Invoiced</v>
      </c>
      <c r="R1775" t="str">
        <f>IFERROR(VLOOKUP(T[[#This Row],[warehouse]],Table2[],2,FALSE),"--")</f>
        <v>--</v>
      </c>
    </row>
    <row r="1776" spans="1:18" x14ac:dyDescent="0.25">
      <c r="A1776" t="s">
        <v>732</v>
      </c>
      <c r="B1776" s="1">
        <v>44207</v>
      </c>
      <c r="C1776" t="s">
        <v>1148</v>
      </c>
      <c r="D1776" t="s">
        <v>74</v>
      </c>
      <c r="E1776" t="s">
        <v>51</v>
      </c>
      <c r="F1776" t="s">
        <v>164</v>
      </c>
      <c r="G1776" t="s">
        <v>1021</v>
      </c>
      <c r="H1776" t="s">
        <v>54</v>
      </c>
      <c r="I1776">
        <v>1053.19</v>
      </c>
      <c r="J1776">
        <v>0</v>
      </c>
      <c r="K1776">
        <v>1</v>
      </c>
      <c r="L1776" t="s">
        <v>25</v>
      </c>
      <c r="M1776" t="s">
        <v>533</v>
      </c>
      <c r="N1776">
        <v>40</v>
      </c>
      <c r="O1776">
        <v>0</v>
      </c>
      <c r="P1776" t="str">
        <f>IF(T[[#This Row],[qty_ordered]]&lt;&gt;T[[#This Row],[qty_received]],IF(T[[#This Row],[qty_received]]&gt;0,"Partial Received","Not Receviced"),"FullyReceived")</f>
        <v>Not Receviced</v>
      </c>
      <c r="Q1776" t="str">
        <f>IF(T[[#This Row],[qty_received]]&lt;&gt;T[[#This Row],[qty_invoiced]],IF(T[[#This Row],[qty_invoiced]]&gt;0,"Partial Invoiced","Not Invoiced"),"Fully Invoiced")</f>
        <v>Partial Invoiced</v>
      </c>
      <c r="R1776" t="str">
        <f>IFERROR(VLOOKUP(T[[#This Row],[warehouse]],Table2[],2,FALSE),"--")</f>
        <v>--</v>
      </c>
    </row>
    <row r="1777" spans="1:18" x14ac:dyDescent="0.25">
      <c r="A1777" t="s">
        <v>201</v>
      </c>
      <c r="B1777" s="1">
        <v>44300</v>
      </c>
      <c r="C1777" t="s">
        <v>1298</v>
      </c>
      <c r="D1777" t="s">
        <v>20</v>
      </c>
      <c r="E1777" t="s">
        <v>203</v>
      </c>
      <c r="F1777" t="s">
        <v>204</v>
      </c>
      <c r="G1777" t="s">
        <v>205</v>
      </c>
      <c r="H1777" t="s">
        <v>206</v>
      </c>
      <c r="I1777">
        <v>320</v>
      </c>
      <c r="J1777">
        <v>320</v>
      </c>
      <c r="K1777">
        <v>320</v>
      </c>
      <c r="L1777" t="s">
        <v>25</v>
      </c>
      <c r="M1777" t="s">
        <v>575</v>
      </c>
      <c r="N1777">
        <v>108958.69315799999</v>
      </c>
      <c r="O1777">
        <v>34866781.810560003</v>
      </c>
      <c r="P1777" t="str">
        <f>IF(T[[#This Row],[qty_ordered]]&lt;&gt;T[[#This Row],[qty_received]],IF(T[[#This Row],[qty_received]]&gt;0,"Partial Received","Not Receviced"),"FullyReceived")</f>
        <v>FullyReceived</v>
      </c>
      <c r="Q1777" t="str">
        <f>IF(T[[#This Row],[qty_received]]&lt;&gt;T[[#This Row],[qty_invoiced]],IF(T[[#This Row],[qty_invoiced]]&gt;0,"Partial Invoiced","Not Invoiced"),"Fully Invoiced")</f>
        <v>Fully Invoiced</v>
      </c>
      <c r="R1777" t="str">
        <f>IFERROR(VLOOKUP(T[[#This Row],[warehouse]],Table2[],2,FALSE),"--")</f>
        <v>PZU Packaging Warehouse</v>
      </c>
    </row>
    <row r="1778" spans="1:18" x14ac:dyDescent="0.25">
      <c r="A1778" t="s">
        <v>1059</v>
      </c>
      <c r="B1778" s="1">
        <v>44303</v>
      </c>
      <c r="C1778" t="s">
        <v>1299</v>
      </c>
      <c r="D1778" t="s">
        <v>20</v>
      </c>
      <c r="E1778" t="s">
        <v>51</v>
      </c>
      <c r="F1778" t="s">
        <v>278</v>
      </c>
      <c r="G1778" t="s">
        <v>279</v>
      </c>
      <c r="H1778" t="s">
        <v>54</v>
      </c>
      <c r="I1778">
        <v>40000</v>
      </c>
      <c r="J1778">
        <v>0</v>
      </c>
      <c r="K1778">
        <v>1</v>
      </c>
      <c r="L1778" t="s">
        <v>25</v>
      </c>
      <c r="M1778" t="s">
        <v>533</v>
      </c>
      <c r="N1778">
        <v>1200</v>
      </c>
      <c r="O1778">
        <v>0</v>
      </c>
      <c r="P1778" t="str">
        <f>IF(T[[#This Row],[qty_ordered]]&lt;&gt;T[[#This Row],[qty_received]],IF(T[[#This Row],[qty_received]]&gt;0,"Partial Received","Not Receviced"),"FullyReceived")</f>
        <v>Not Receviced</v>
      </c>
      <c r="Q1778" t="str">
        <f>IF(T[[#This Row],[qty_received]]&lt;&gt;T[[#This Row],[qty_invoiced]],IF(T[[#This Row],[qty_invoiced]]&gt;0,"Partial Invoiced","Not Invoiced"),"Fully Invoiced")</f>
        <v>Partial Invoiced</v>
      </c>
      <c r="R1778" t="str">
        <f>IFERROR(VLOOKUP(T[[#This Row],[warehouse]],Table2[],2,FALSE),"--")</f>
        <v>--</v>
      </c>
    </row>
    <row r="1779" spans="1:18" x14ac:dyDescent="0.25">
      <c r="A1779" t="s">
        <v>1059</v>
      </c>
      <c r="B1779" s="1">
        <v>44303</v>
      </c>
      <c r="C1779" t="s">
        <v>1299</v>
      </c>
      <c r="D1779" t="s">
        <v>71</v>
      </c>
      <c r="E1779" t="s">
        <v>51</v>
      </c>
      <c r="F1779" t="s">
        <v>164</v>
      </c>
      <c r="G1779" t="s">
        <v>1021</v>
      </c>
      <c r="H1779" t="s">
        <v>54</v>
      </c>
      <c r="I1779">
        <v>40000</v>
      </c>
      <c r="J1779">
        <v>0</v>
      </c>
      <c r="K1779">
        <v>1</v>
      </c>
      <c r="L1779" t="s">
        <v>25</v>
      </c>
      <c r="M1779" t="s">
        <v>533</v>
      </c>
      <c r="N1779">
        <v>916</v>
      </c>
      <c r="O1779">
        <v>0</v>
      </c>
      <c r="P1779" t="str">
        <f>IF(T[[#This Row],[qty_ordered]]&lt;&gt;T[[#This Row],[qty_received]],IF(T[[#This Row],[qty_received]]&gt;0,"Partial Received","Not Receviced"),"FullyReceived")</f>
        <v>Not Receviced</v>
      </c>
      <c r="Q1779" t="str">
        <f>IF(T[[#This Row],[qty_received]]&lt;&gt;T[[#This Row],[qty_invoiced]],IF(T[[#This Row],[qty_invoiced]]&gt;0,"Partial Invoiced","Not Invoiced"),"Fully Invoiced")</f>
        <v>Partial Invoiced</v>
      </c>
      <c r="R1779" t="str">
        <f>IFERROR(VLOOKUP(T[[#This Row],[warehouse]],Table2[],2,FALSE),"--")</f>
        <v>--</v>
      </c>
    </row>
    <row r="1780" spans="1:18" x14ac:dyDescent="0.25">
      <c r="A1780" t="s">
        <v>1059</v>
      </c>
      <c r="B1780" s="1">
        <v>44303</v>
      </c>
      <c r="C1780" t="s">
        <v>1299</v>
      </c>
      <c r="D1780" t="s">
        <v>100</v>
      </c>
      <c r="E1780" t="s">
        <v>51</v>
      </c>
      <c r="F1780" t="s">
        <v>183</v>
      </c>
      <c r="G1780" t="s">
        <v>1300</v>
      </c>
      <c r="H1780" t="s">
        <v>54</v>
      </c>
      <c r="I1780">
        <v>40000</v>
      </c>
      <c r="J1780">
        <v>0</v>
      </c>
      <c r="K1780">
        <v>1</v>
      </c>
      <c r="L1780" t="s">
        <v>25</v>
      </c>
      <c r="M1780" t="s">
        <v>533</v>
      </c>
      <c r="N1780">
        <v>1000</v>
      </c>
      <c r="O1780">
        <v>0</v>
      </c>
      <c r="P1780" t="str">
        <f>IF(T[[#This Row],[qty_ordered]]&lt;&gt;T[[#This Row],[qty_received]],IF(T[[#This Row],[qty_received]]&gt;0,"Partial Received","Not Receviced"),"FullyReceived")</f>
        <v>Not Receviced</v>
      </c>
      <c r="Q1780" t="str">
        <f>IF(T[[#This Row],[qty_received]]&lt;&gt;T[[#This Row],[qty_invoiced]],IF(T[[#This Row],[qty_invoiced]]&gt;0,"Partial Invoiced","Not Invoiced"),"Fully Invoiced")</f>
        <v>Partial Invoiced</v>
      </c>
      <c r="R1780" t="str">
        <f>IFERROR(VLOOKUP(T[[#This Row],[warehouse]],Table2[],2,FALSE),"--")</f>
        <v>--</v>
      </c>
    </row>
    <row r="1781" spans="1:18" x14ac:dyDescent="0.25">
      <c r="A1781" t="s">
        <v>1059</v>
      </c>
      <c r="B1781" s="1">
        <v>44303</v>
      </c>
      <c r="C1781" t="s">
        <v>1299</v>
      </c>
      <c r="D1781" t="s">
        <v>88</v>
      </c>
      <c r="E1781" t="s">
        <v>51</v>
      </c>
      <c r="F1781" t="s">
        <v>267</v>
      </c>
      <c r="G1781" t="s">
        <v>1301</v>
      </c>
      <c r="H1781" t="s">
        <v>54</v>
      </c>
      <c r="I1781">
        <v>40000</v>
      </c>
      <c r="J1781">
        <v>0</v>
      </c>
      <c r="K1781">
        <v>1</v>
      </c>
      <c r="L1781" t="s">
        <v>25</v>
      </c>
      <c r="M1781" t="s">
        <v>533</v>
      </c>
      <c r="N1781">
        <v>1600</v>
      </c>
      <c r="O1781">
        <v>0</v>
      </c>
      <c r="P1781" t="str">
        <f>IF(T[[#This Row],[qty_ordered]]&lt;&gt;T[[#This Row],[qty_received]],IF(T[[#This Row],[qty_received]]&gt;0,"Partial Received","Not Receviced"),"FullyReceived")</f>
        <v>Not Receviced</v>
      </c>
      <c r="Q1781" t="str">
        <f>IF(T[[#This Row],[qty_received]]&lt;&gt;T[[#This Row],[qty_invoiced]],IF(T[[#This Row],[qty_invoiced]]&gt;0,"Partial Invoiced","Not Invoiced"),"Fully Invoiced")</f>
        <v>Partial Invoiced</v>
      </c>
      <c r="R1781" t="str">
        <f>IFERROR(VLOOKUP(T[[#This Row],[warehouse]],Table2[],2,FALSE),"--")</f>
        <v>--</v>
      </c>
    </row>
    <row r="1782" spans="1:18" x14ac:dyDescent="0.25">
      <c r="A1782" t="s">
        <v>1059</v>
      </c>
      <c r="B1782" s="1">
        <v>44303</v>
      </c>
      <c r="C1782" t="s">
        <v>1299</v>
      </c>
      <c r="D1782" t="s">
        <v>74</v>
      </c>
      <c r="E1782" t="s">
        <v>51</v>
      </c>
      <c r="F1782" t="s">
        <v>254</v>
      </c>
      <c r="G1782" t="s">
        <v>255</v>
      </c>
      <c r="H1782" t="s">
        <v>54</v>
      </c>
      <c r="I1782">
        <v>40000</v>
      </c>
      <c r="J1782">
        <v>0</v>
      </c>
      <c r="K1782">
        <v>1</v>
      </c>
      <c r="L1782" t="s">
        <v>25</v>
      </c>
      <c r="M1782" t="s">
        <v>533</v>
      </c>
      <c r="N1782">
        <v>400</v>
      </c>
      <c r="O1782">
        <v>0</v>
      </c>
      <c r="P1782" t="str">
        <f>IF(T[[#This Row],[qty_ordered]]&lt;&gt;T[[#This Row],[qty_received]],IF(T[[#This Row],[qty_received]]&gt;0,"Partial Received","Not Receviced"),"FullyReceived")</f>
        <v>Not Receviced</v>
      </c>
      <c r="Q1782" t="str">
        <f>IF(T[[#This Row],[qty_received]]&lt;&gt;T[[#This Row],[qty_invoiced]],IF(T[[#This Row],[qty_invoiced]]&gt;0,"Partial Invoiced","Not Invoiced"),"Fully Invoiced")</f>
        <v>Partial Invoiced</v>
      </c>
      <c r="R1782" t="str">
        <f>IFERROR(VLOOKUP(T[[#This Row],[warehouse]],Table2[],2,FALSE),"--")</f>
        <v>--</v>
      </c>
    </row>
    <row r="1783" spans="1:18" x14ac:dyDescent="0.25">
      <c r="A1783" t="s">
        <v>1059</v>
      </c>
      <c r="B1783" s="1">
        <v>44303</v>
      </c>
      <c r="C1783" t="s">
        <v>1299</v>
      </c>
      <c r="D1783" t="s">
        <v>76</v>
      </c>
      <c r="E1783" t="s">
        <v>51</v>
      </c>
      <c r="F1783" t="s">
        <v>262</v>
      </c>
      <c r="G1783" t="s">
        <v>264</v>
      </c>
      <c r="H1783" t="s">
        <v>54</v>
      </c>
      <c r="I1783">
        <v>40000</v>
      </c>
      <c r="J1783">
        <v>0</v>
      </c>
      <c r="K1783">
        <v>1</v>
      </c>
      <c r="L1783" t="s">
        <v>25</v>
      </c>
      <c r="M1783" t="s">
        <v>533</v>
      </c>
      <c r="N1783">
        <v>260</v>
      </c>
      <c r="O1783">
        <v>0</v>
      </c>
      <c r="P1783" t="str">
        <f>IF(T[[#This Row],[qty_ordered]]&lt;&gt;T[[#This Row],[qty_received]],IF(T[[#This Row],[qty_received]]&gt;0,"Partial Received","Not Receviced"),"FullyReceived")</f>
        <v>Not Receviced</v>
      </c>
      <c r="Q1783" t="str">
        <f>IF(T[[#This Row],[qty_received]]&lt;&gt;T[[#This Row],[qty_invoiced]],IF(T[[#This Row],[qty_invoiced]]&gt;0,"Partial Invoiced","Not Invoiced"),"Fully Invoiced")</f>
        <v>Partial Invoiced</v>
      </c>
      <c r="R1783" t="str">
        <f>IFERROR(VLOOKUP(T[[#This Row],[warehouse]],Table2[],2,FALSE),"--")</f>
        <v>--</v>
      </c>
    </row>
    <row r="1784" spans="1:18" x14ac:dyDescent="0.25">
      <c r="A1784" t="s">
        <v>1059</v>
      </c>
      <c r="B1784" s="1">
        <v>44303</v>
      </c>
      <c r="C1784" t="s">
        <v>1299</v>
      </c>
      <c r="D1784" t="s">
        <v>212</v>
      </c>
      <c r="E1784" t="s">
        <v>51</v>
      </c>
      <c r="F1784" t="s">
        <v>266</v>
      </c>
      <c r="G1784" t="s">
        <v>266</v>
      </c>
      <c r="H1784" t="s">
        <v>54</v>
      </c>
      <c r="I1784">
        <v>40000</v>
      </c>
      <c r="J1784">
        <v>0</v>
      </c>
      <c r="K1784">
        <v>1</v>
      </c>
      <c r="L1784" t="s">
        <v>25</v>
      </c>
      <c r="M1784" t="s">
        <v>533</v>
      </c>
      <c r="N1784">
        <v>567</v>
      </c>
      <c r="O1784">
        <v>0</v>
      </c>
      <c r="P1784" t="str">
        <f>IF(T[[#This Row],[qty_ordered]]&lt;&gt;T[[#This Row],[qty_received]],IF(T[[#This Row],[qty_received]]&gt;0,"Partial Received","Not Receviced"),"FullyReceived")</f>
        <v>Not Receviced</v>
      </c>
      <c r="Q1784" t="str">
        <f>IF(T[[#This Row],[qty_received]]&lt;&gt;T[[#This Row],[qty_invoiced]],IF(T[[#This Row],[qty_invoiced]]&gt;0,"Partial Invoiced","Not Invoiced"),"Fully Invoiced")</f>
        <v>Partial Invoiced</v>
      </c>
      <c r="R1784" t="str">
        <f>IFERROR(VLOOKUP(T[[#This Row],[warehouse]],Table2[],2,FALSE),"--")</f>
        <v>--</v>
      </c>
    </row>
    <row r="1785" spans="1:18" x14ac:dyDescent="0.25">
      <c r="A1785" t="s">
        <v>1059</v>
      </c>
      <c r="B1785" s="1">
        <v>44303</v>
      </c>
      <c r="C1785" t="s">
        <v>1299</v>
      </c>
      <c r="D1785" t="s">
        <v>322</v>
      </c>
      <c r="E1785" t="s">
        <v>51</v>
      </c>
      <c r="F1785" t="s">
        <v>262</v>
      </c>
      <c r="G1785" t="s">
        <v>263</v>
      </c>
      <c r="H1785" t="s">
        <v>54</v>
      </c>
      <c r="I1785">
        <v>40000</v>
      </c>
      <c r="J1785">
        <v>0</v>
      </c>
      <c r="K1785">
        <v>1</v>
      </c>
      <c r="L1785" t="s">
        <v>25</v>
      </c>
      <c r="M1785" t="s">
        <v>533</v>
      </c>
      <c r="N1785">
        <v>84</v>
      </c>
      <c r="O1785">
        <v>0</v>
      </c>
      <c r="P1785" t="str">
        <f>IF(T[[#This Row],[qty_ordered]]&lt;&gt;T[[#This Row],[qty_received]],IF(T[[#This Row],[qty_received]]&gt;0,"Partial Received","Not Receviced"),"FullyReceived")</f>
        <v>Not Receviced</v>
      </c>
      <c r="Q1785" t="str">
        <f>IF(T[[#This Row],[qty_received]]&lt;&gt;T[[#This Row],[qty_invoiced]],IF(T[[#This Row],[qty_invoiced]]&gt;0,"Partial Invoiced","Not Invoiced"),"Fully Invoiced")</f>
        <v>Partial Invoiced</v>
      </c>
      <c r="R1785" t="str">
        <f>IFERROR(VLOOKUP(T[[#This Row],[warehouse]],Table2[],2,FALSE),"--")</f>
        <v>--</v>
      </c>
    </row>
    <row r="1786" spans="1:18" x14ac:dyDescent="0.25">
      <c r="A1786" t="s">
        <v>1059</v>
      </c>
      <c r="B1786" s="1">
        <v>44303</v>
      </c>
      <c r="C1786" t="s">
        <v>1299</v>
      </c>
      <c r="D1786" t="s">
        <v>323</v>
      </c>
      <c r="E1786" t="s">
        <v>51</v>
      </c>
      <c r="F1786" t="s">
        <v>753</v>
      </c>
      <c r="G1786" t="s">
        <v>1302</v>
      </c>
      <c r="H1786" t="s">
        <v>54</v>
      </c>
      <c r="I1786">
        <v>40000</v>
      </c>
      <c r="J1786">
        <v>0</v>
      </c>
      <c r="K1786">
        <v>1</v>
      </c>
      <c r="L1786" t="s">
        <v>25</v>
      </c>
      <c r="M1786" t="s">
        <v>533</v>
      </c>
      <c r="N1786">
        <v>869.72</v>
      </c>
      <c r="O1786">
        <v>0</v>
      </c>
      <c r="P1786" t="str">
        <f>IF(T[[#This Row],[qty_ordered]]&lt;&gt;T[[#This Row],[qty_received]],IF(T[[#This Row],[qty_received]]&gt;0,"Partial Received","Not Receviced"),"FullyReceived")</f>
        <v>Not Receviced</v>
      </c>
      <c r="Q1786" t="str">
        <f>IF(T[[#This Row],[qty_received]]&lt;&gt;T[[#This Row],[qty_invoiced]],IF(T[[#This Row],[qty_invoiced]]&gt;0,"Partial Invoiced","Not Invoiced"),"Fully Invoiced")</f>
        <v>Partial Invoiced</v>
      </c>
      <c r="R1786" t="str">
        <f>IFERROR(VLOOKUP(T[[#This Row],[warehouse]],Table2[],2,FALSE),"--")</f>
        <v>--</v>
      </c>
    </row>
    <row r="1787" spans="1:18" x14ac:dyDescent="0.25">
      <c r="A1787" t="s">
        <v>1059</v>
      </c>
      <c r="B1787" s="1">
        <v>44303</v>
      </c>
      <c r="C1787" t="s">
        <v>1303</v>
      </c>
      <c r="D1787" t="s">
        <v>20</v>
      </c>
      <c r="E1787" t="s">
        <v>51</v>
      </c>
      <c r="F1787" t="s">
        <v>278</v>
      </c>
      <c r="G1787" t="s">
        <v>279</v>
      </c>
      <c r="H1787" t="s">
        <v>54</v>
      </c>
      <c r="I1787">
        <v>5615</v>
      </c>
      <c r="J1787">
        <v>0</v>
      </c>
      <c r="K1787">
        <v>1</v>
      </c>
      <c r="L1787" t="s">
        <v>25</v>
      </c>
      <c r="M1787" t="s">
        <v>533</v>
      </c>
      <c r="N1787">
        <v>35</v>
      </c>
      <c r="O1787">
        <v>0</v>
      </c>
      <c r="P1787" t="str">
        <f>IF(T[[#This Row],[qty_ordered]]&lt;&gt;T[[#This Row],[qty_received]],IF(T[[#This Row],[qty_received]]&gt;0,"Partial Received","Not Receviced"),"FullyReceived")</f>
        <v>Not Receviced</v>
      </c>
      <c r="Q1787" t="str">
        <f>IF(T[[#This Row],[qty_received]]&lt;&gt;T[[#This Row],[qty_invoiced]],IF(T[[#This Row],[qty_invoiced]]&gt;0,"Partial Invoiced","Not Invoiced"),"Fully Invoiced")</f>
        <v>Partial Invoiced</v>
      </c>
      <c r="R1787" t="str">
        <f>IFERROR(VLOOKUP(T[[#This Row],[warehouse]],Table2[],2,FALSE),"--")</f>
        <v>--</v>
      </c>
    </row>
    <row r="1788" spans="1:18" x14ac:dyDescent="0.25">
      <c r="A1788" t="s">
        <v>1059</v>
      </c>
      <c r="B1788" s="1">
        <v>44303</v>
      </c>
      <c r="C1788" t="s">
        <v>1303</v>
      </c>
      <c r="D1788" t="s">
        <v>71</v>
      </c>
      <c r="E1788" t="s">
        <v>51</v>
      </c>
      <c r="F1788" t="s">
        <v>278</v>
      </c>
      <c r="G1788" t="s">
        <v>279</v>
      </c>
      <c r="H1788" t="s">
        <v>54</v>
      </c>
      <c r="I1788">
        <v>5615</v>
      </c>
      <c r="J1788">
        <v>0</v>
      </c>
      <c r="K1788">
        <v>1</v>
      </c>
      <c r="L1788" t="s">
        <v>25</v>
      </c>
      <c r="M1788" t="s">
        <v>533</v>
      </c>
      <c r="N1788">
        <v>35</v>
      </c>
      <c r="O1788">
        <v>0</v>
      </c>
      <c r="P1788" t="str">
        <f>IF(T[[#This Row],[qty_ordered]]&lt;&gt;T[[#This Row],[qty_received]],IF(T[[#This Row],[qty_received]]&gt;0,"Partial Received","Not Receviced"),"FullyReceived")</f>
        <v>Not Receviced</v>
      </c>
      <c r="Q1788" t="str">
        <f>IF(T[[#This Row],[qty_received]]&lt;&gt;T[[#This Row],[qty_invoiced]],IF(T[[#This Row],[qty_invoiced]]&gt;0,"Partial Invoiced","Not Invoiced"),"Fully Invoiced")</f>
        <v>Partial Invoiced</v>
      </c>
      <c r="R1788" t="str">
        <f>IFERROR(VLOOKUP(T[[#This Row],[warehouse]],Table2[],2,FALSE),"--")</f>
        <v>--</v>
      </c>
    </row>
    <row r="1789" spans="1:18" x14ac:dyDescent="0.25">
      <c r="A1789" t="s">
        <v>1059</v>
      </c>
      <c r="B1789" s="1">
        <v>44303</v>
      </c>
      <c r="C1789" t="s">
        <v>1303</v>
      </c>
      <c r="D1789" t="s">
        <v>100</v>
      </c>
      <c r="E1789" t="s">
        <v>51</v>
      </c>
      <c r="F1789" t="s">
        <v>369</v>
      </c>
      <c r="G1789" t="s">
        <v>1304</v>
      </c>
      <c r="H1789" t="s">
        <v>54</v>
      </c>
      <c r="I1789">
        <v>5615</v>
      </c>
      <c r="J1789">
        <v>0</v>
      </c>
      <c r="K1789">
        <v>1</v>
      </c>
      <c r="L1789" t="s">
        <v>25</v>
      </c>
      <c r="M1789" t="s">
        <v>533</v>
      </c>
      <c r="N1789">
        <v>25</v>
      </c>
      <c r="O1789">
        <v>0</v>
      </c>
      <c r="P1789" t="str">
        <f>IF(T[[#This Row],[qty_ordered]]&lt;&gt;T[[#This Row],[qty_received]],IF(T[[#This Row],[qty_received]]&gt;0,"Partial Received","Not Receviced"),"FullyReceived")</f>
        <v>Not Receviced</v>
      </c>
      <c r="Q1789" t="str">
        <f>IF(T[[#This Row],[qty_received]]&lt;&gt;T[[#This Row],[qty_invoiced]],IF(T[[#This Row],[qty_invoiced]]&gt;0,"Partial Invoiced","Not Invoiced"),"Fully Invoiced")</f>
        <v>Partial Invoiced</v>
      </c>
      <c r="R1789" t="str">
        <f>IFERROR(VLOOKUP(T[[#This Row],[warehouse]],Table2[],2,FALSE),"--")</f>
        <v>--</v>
      </c>
    </row>
    <row r="1790" spans="1:18" x14ac:dyDescent="0.25">
      <c r="A1790" t="s">
        <v>1059</v>
      </c>
      <c r="B1790" s="1">
        <v>44303</v>
      </c>
      <c r="C1790" t="s">
        <v>1303</v>
      </c>
      <c r="D1790" t="s">
        <v>88</v>
      </c>
      <c r="E1790" t="s">
        <v>51</v>
      </c>
      <c r="F1790" t="s">
        <v>262</v>
      </c>
      <c r="G1790" t="s">
        <v>1305</v>
      </c>
      <c r="H1790" t="s">
        <v>54</v>
      </c>
      <c r="I1790">
        <v>11214</v>
      </c>
      <c r="J1790">
        <v>0</v>
      </c>
      <c r="K1790">
        <v>1</v>
      </c>
      <c r="L1790" t="s">
        <v>25</v>
      </c>
      <c r="M1790" t="s">
        <v>533</v>
      </c>
      <c r="N1790">
        <v>12.000178</v>
      </c>
      <c r="O1790">
        <v>0</v>
      </c>
      <c r="P1790" t="str">
        <f>IF(T[[#This Row],[qty_ordered]]&lt;&gt;T[[#This Row],[qty_received]],IF(T[[#This Row],[qty_received]]&gt;0,"Partial Received","Not Receviced"),"FullyReceived")</f>
        <v>Not Receviced</v>
      </c>
      <c r="Q1790" t="str">
        <f>IF(T[[#This Row],[qty_received]]&lt;&gt;T[[#This Row],[qty_invoiced]],IF(T[[#This Row],[qty_invoiced]]&gt;0,"Partial Invoiced","Not Invoiced"),"Fully Invoiced")</f>
        <v>Partial Invoiced</v>
      </c>
      <c r="R1790" t="str">
        <f>IFERROR(VLOOKUP(T[[#This Row],[warehouse]],Table2[],2,FALSE),"--")</f>
        <v>--</v>
      </c>
    </row>
    <row r="1791" spans="1:18" x14ac:dyDescent="0.25">
      <c r="A1791" t="s">
        <v>1059</v>
      </c>
      <c r="B1791" s="1">
        <v>44303</v>
      </c>
      <c r="C1791" t="s">
        <v>1303</v>
      </c>
      <c r="D1791" t="s">
        <v>74</v>
      </c>
      <c r="E1791" t="s">
        <v>51</v>
      </c>
      <c r="F1791" t="s">
        <v>262</v>
      </c>
      <c r="G1791" t="s">
        <v>1306</v>
      </c>
      <c r="H1791" t="s">
        <v>54</v>
      </c>
      <c r="I1791">
        <v>20000</v>
      </c>
      <c r="J1791">
        <v>0</v>
      </c>
      <c r="K1791">
        <v>1</v>
      </c>
      <c r="L1791" t="s">
        <v>25</v>
      </c>
      <c r="M1791" t="s">
        <v>533</v>
      </c>
      <c r="N1791">
        <v>3.0482999999999998</v>
      </c>
      <c r="O1791">
        <v>0</v>
      </c>
      <c r="P1791" t="str">
        <f>IF(T[[#This Row],[qty_ordered]]&lt;&gt;T[[#This Row],[qty_received]],IF(T[[#This Row],[qty_received]]&gt;0,"Partial Received","Not Receviced"),"FullyReceived")</f>
        <v>Not Receviced</v>
      </c>
      <c r="Q1791" t="str">
        <f>IF(T[[#This Row],[qty_received]]&lt;&gt;T[[#This Row],[qty_invoiced]],IF(T[[#This Row],[qty_invoiced]]&gt;0,"Partial Invoiced","Not Invoiced"),"Fully Invoiced")</f>
        <v>Partial Invoiced</v>
      </c>
      <c r="R1791" t="str">
        <f>IFERROR(VLOOKUP(T[[#This Row],[warehouse]],Table2[],2,FALSE),"--")</f>
        <v>--</v>
      </c>
    </row>
    <row r="1792" spans="1:18" x14ac:dyDescent="0.25">
      <c r="A1792" t="s">
        <v>1218</v>
      </c>
      <c r="B1792" s="1">
        <v>44248</v>
      </c>
      <c r="C1792" t="s">
        <v>1219</v>
      </c>
      <c r="D1792" t="s">
        <v>74</v>
      </c>
      <c r="E1792" t="s">
        <v>1220</v>
      </c>
      <c r="F1792" t="s">
        <v>1307</v>
      </c>
      <c r="G1792" t="s">
        <v>1308</v>
      </c>
      <c r="H1792" t="s">
        <v>149</v>
      </c>
      <c r="I1792">
        <v>5200</v>
      </c>
      <c r="J1792">
        <v>3000</v>
      </c>
      <c r="K1792">
        <v>0</v>
      </c>
      <c r="L1792" t="s">
        <v>693</v>
      </c>
      <c r="M1792" t="s">
        <v>1223</v>
      </c>
      <c r="N1792">
        <v>0</v>
      </c>
      <c r="O1792">
        <v>0</v>
      </c>
      <c r="P1792" t="str">
        <f>IF(T[[#This Row],[qty_ordered]]&lt;&gt;T[[#This Row],[qty_received]],IF(T[[#This Row],[qty_received]]&gt;0,"Partial Received","Not Receviced"),"FullyReceived")</f>
        <v>Partial Received</v>
      </c>
      <c r="Q1792" t="str">
        <f>IF(T[[#This Row],[qty_received]]&lt;&gt;T[[#This Row],[qty_invoiced]],IF(T[[#This Row],[qty_invoiced]]&gt;0,"Partial Invoiced","Not Invoiced"),"Fully Invoiced")</f>
        <v>Not Invoiced</v>
      </c>
      <c r="R1792" t="str">
        <f>IFERROR(VLOOKUP(T[[#This Row],[warehouse]],Table2[],2,FALSE),"--")</f>
        <v>Import Virtual Warehouse - PZU</v>
      </c>
    </row>
    <row r="1793" spans="1:18" x14ac:dyDescent="0.25">
      <c r="A1793" t="s">
        <v>1287</v>
      </c>
      <c r="B1793" s="1">
        <v>44297</v>
      </c>
      <c r="C1793" t="s">
        <v>1309</v>
      </c>
      <c r="D1793" t="s">
        <v>71</v>
      </c>
      <c r="E1793" t="s">
        <v>1149</v>
      </c>
      <c r="F1793" t="s">
        <v>406</v>
      </c>
      <c r="G1793" t="s">
        <v>407</v>
      </c>
      <c r="H1793" t="s">
        <v>24</v>
      </c>
      <c r="I1793">
        <v>20</v>
      </c>
      <c r="J1793">
        <v>17.559999999999999</v>
      </c>
      <c r="K1793">
        <v>17.559999999999999</v>
      </c>
      <c r="L1793" t="s">
        <v>25</v>
      </c>
      <c r="M1793" t="s">
        <v>132</v>
      </c>
      <c r="N1793">
        <v>756500</v>
      </c>
      <c r="O1793">
        <v>13284140</v>
      </c>
      <c r="P1793" t="str">
        <f>IF(T[[#This Row],[qty_ordered]]&lt;&gt;T[[#This Row],[qty_received]],IF(T[[#This Row],[qty_received]]&gt;0,"Partial Received","Not Receviced"),"FullyReceived")</f>
        <v>Partial Received</v>
      </c>
      <c r="Q1793" t="str">
        <f>IF(T[[#This Row],[qty_received]]&lt;&gt;T[[#This Row],[qty_invoiced]],IF(T[[#This Row],[qty_invoiced]]&gt;0,"Partial Invoiced","Not Invoiced"),"Fully Invoiced")</f>
        <v>Fully Invoiced</v>
      </c>
      <c r="R1793" t="str">
        <f>IFERROR(VLOOKUP(T[[#This Row],[warehouse]],Table2[],2,FALSE),"--")</f>
        <v>Ginning Nortix</v>
      </c>
    </row>
    <row r="1794" spans="1:18" x14ac:dyDescent="0.25">
      <c r="A1794" t="s">
        <v>732</v>
      </c>
      <c r="B1794" s="1">
        <v>44307</v>
      </c>
      <c r="C1794" t="s">
        <v>1310</v>
      </c>
      <c r="D1794" t="s">
        <v>20</v>
      </c>
      <c r="E1794" t="s">
        <v>51</v>
      </c>
      <c r="F1794" t="s">
        <v>164</v>
      </c>
      <c r="G1794" t="s">
        <v>1021</v>
      </c>
      <c r="H1794" t="s">
        <v>54</v>
      </c>
      <c r="I1794">
        <v>990.88</v>
      </c>
      <c r="J1794">
        <v>0</v>
      </c>
      <c r="K1794">
        <v>1</v>
      </c>
      <c r="L1794" t="s">
        <v>25</v>
      </c>
      <c r="M1794" t="s">
        <v>533</v>
      </c>
      <c r="N1794">
        <v>40</v>
      </c>
      <c r="O1794">
        <v>0</v>
      </c>
      <c r="P1794" t="str">
        <f>IF(T[[#This Row],[qty_ordered]]&lt;&gt;T[[#This Row],[qty_received]],IF(T[[#This Row],[qty_received]]&gt;0,"Partial Received","Not Receviced"),"FullyReceived")</f>
        <v>Not Receviced</v>
      </c>
      <c r="Q1794" t="str">
        <f>IF(T[[#This Row],[qty_received]]&lt;&gt;T[[#This Row],[qty_invoiced]],IF(T[[#This Row],[qty_invoiced]]&gt;0,"Partial Invoiced","Not Invoiced"),"Fully Invoiced")</f>
        <v>Partial Invoiced</v>
      </c>
      <c r="R1794" t="str">
        <f>IFERROR(VLOOKUP(T[[#This Row],[warehouse]],Table2[],2,FALSE),"--")</f>
        <v>--</v>
      </c>
    </row>
    <row r="1795" spans="1:18" x14ac:dyDescent="0.25">
      <c r="A1795" t="s">
        <v>1206</v>
      </c>
      <c r="B1795" s="1">
        <v>44223</v>
      </c>
      <c r="C1795" t="s">
        <v>1207</v>
      </c>
      <c r="D1795" t="s">
        <v>71</v>
      </c>
      <c r="E1795" t="s">
        <v>51</v>
      </c>
      <c r="F1795" t="s">
        <v>164</v>
      </c>
      <c r="G1795" t="s">
        <v>1021</v>
      </c>
      <c r="H1795" t="s">
        <v>54</v>
      </c>
      <c r="I1795">
        <v>4965.8379999999997</v>
      </c>
      <c r="J1795">
        <v>0</v>
      </c>
      <c r="K1795">
        <v>1</v>
      </c>
      <c r="L1795" t="s">
        <v>25</v>
      </c>
      <c r="M1795" t="s">
        <v>533</v>
      </c>
      <c r="N1795">
        <v>125.859938</v>
      </c>
      <c r="O1795">
        <v>0</v>
      </c>
      <c r="P1795" t="str">
        <f>IF(T[[#This Row],[qty_ordered]]&lt;&gt;T[[#This Row],[qty_received]],IF(T[[#This Row],[qty_received]]&gt;0,"Partial Received","Not Receviced"),"FullyReceived")</f>
        <v>Not Receviced</v>
      </c>
      <c r="Q1795" t="str">
        <f>IF(T[[#This Row],[qty_received]]&lt;&gt;T[[#This Row],[qty_invoiced]],IF(T[[#This Row],[qty_invoiced]]&gt;0,"Partial Invoiced","Not Invoiced"),"Fully Invoiced")</f>
        <v>Partial Invoiced</v>
      </c>
      <c r="R1795" t="str">
        <f>IFERROR(VLOOKUP(T[[#This Row],[warehouse]],Table2[],2,FALSE),"--")</f>
        <v>--</v>
      </c>
    </row>
    <row r="1796" spans="1:18" x14ac:dyDescent="0.25">
      <c r="A1796" t="s">
        <v>959</v>
      </c>
      <c r="B1796" s="1">
        <v>44277</v>
      </c>
      <c r="C1796" t="s">
        <v>1311</v>
      </c>
      <c r="D1796" t="s">
        <v>71</v>
      </c>
      <c r="E1796" t="s">
        <v>214</v>
      </c>
      <c r="F1796" t="s">
        <v>526</v>
      </c>
      <c r="G1796" t="s">
        <v>472</v>
      </c>
      <c r="H1796" t="s">
        <v>123</v>
      </c>
      <c r="I1796">
        <v>10000</v>
      </c>
      <c r="J1796">
        <v>0</v>
      </c>
      <c r="K1796">
        <v>0</v>
      </c>
      <c r="L1796" t="s">
        <v>25</v>
      </c>
      <c r="M1796" t="s">
        <v>132</v>
      </c>
      <c r="N1796">
        <v>20250</v>
      </c>
      <c r="O1796">
        <v>0</v>
      </c>
      <c r="P1796" t="str">
        <f>IF(T[[#This Row],[qty_ordered]]&lt;&gt;T[[#This Row],[qty_received]],IF(T[[#This Row],[qty_received]]&gt;0,"Partial Received","Not Receviced"),"FullyReceived")</f>
        <v>Not Receviced</v>
      </c>
      <c r="Q1796" t="str">
        <f>IF(T[[#This Row],[qty_received]]&lt;&gt;T[[#This Row],[qty_invoiced]],IF(T[[#This Row],[qty_invoiced]]&gt;0,"Partial Invoiced","Not Invoiced"),"Fully Invoiced")</f>
        <v>Fully Invoiced</v>
      </c>
      <c r="R1796" t="str">
        <f>IFERROR(VLOOKUP(T[[#This Row],[warehouse]],Table2[],2,FALSE),"--")</f>
        <v>CRUSHER ELBALOLA</v>
      </c>
    </row>
    <row r="1797" spans="1:18" x14ac:dyDescent="0.25">
      <c r="A1797" t="s">
        <v>1312</v>
      </c>
      <c r="B1797" s="1">
        <v>44313</v>
      </c>
      <c r="C1797" t="s">
        <v>1313</v>
      </c>
      <c r="D1797" t="s">
        <v>20</v>
      </c>
      <c r="E1797" t="s">
        <v>146</v>
      </c>
      <c r="F1797" t="s">
        <v>1314</v>
      </c>
      <c r="G1797" t="s">
        <v>1315</v>
      </c>
      <c r="H1797" t="s">
        <v>54</v>
      </c>
      <c r="I1797">
        <v>10000</v>
      </c>
      <c r="J1797">
        <v>10000</v>
      </c>
      <c r="K1797">
        <v>10000</v>
      </c>
      <c r="L1797" t="s">
        <v>25</v>
      </c>
      <c r="M1797" t="s">
        <v>744</v>
      </c>
      <c r="N1797">
        <v>268.60000000000002</v>
      </c>
      <c r="O1797">
        <v>2686000</v>
      </c>
      <c r="P1797" t="str">
        <f>IF(T[[#This Row],[qty_ordered]]&lt;&gt;T[[#This Row],[qty_received]],IF(T[[#This Row],[qty_received]]&gt;0,"Partial Received","Not Receviced"),"FullyReceived")</f>
        <v>FullyReceived</v>
      </c>
      <c r="Q1797" t="str">
        <f>IF(T[[#This Row],[qty_received]]&lt;&gt;T[[#This Row],[qty_invoiced]],IF(T[[#This Row],[qty_invoiced]]&gt;0,"Partial Invoiced","Not Invoiced"),"Fully Invoiced")</f>
        <v>Fully Invoiced</v>
      </c>
      <c r="R1797" t="str">
        <f>IFERROR(VLOOKUP(T[[#This Row],[warehouse]],Table2[],2,FALSE),"--")</f>
        <v>Khtoum Main Warehouse</v>
      </c>
    </row>
    <row r="1798" spans="1:18" x14ac:dyDescent="0.25">
      <c r="A1798" t="s">
        <v>1316</v>
      </c>
      <c r="B1798" s="1">
        <v>44251</v>
      </c>
      <c r="C1798" t="s">
        <v>1317</v>
      </c>
      <c r="D1798" t="s">
        <v>71</v>
      </c>
      <c r="E1798" t="s">
        <v>51</v>
      </c>
      <c r="F1798" t="s">
        <v>793</v>
      </c>
      <c r="G1798" t="s">
        <v>1318</v>
      </c>
      <c r="H1798" t="s">
        <v>54</v>
      </c>
      <c r="I1798">
        <v>5</v>
      </c>
      <c r="J1798">
        <v>0</v>
      </c>
      <c r="K1798">
        <v>1</v>
      </c>
      <c r="L1798" t="s">
        <v>25</v>
      </c>
      <c r="M1798" t="s">
        <v>533</v>
      </c>
      <c r="N1798">
        <v>20</v>
      </c>
      <c r="O1798">
        <v>0</v>
      </c>
      <c r="P1798" t="str">
        <f>IF(T[[#This Row],[qty_ordered]]&lt;&gt;T[[#This Row],[qty_received]],IF(T[[#This Row],[qty_received]]&gt;0,"Partial Received","Not Receviced"),"FullyReceived")</f>
        <v>Not Receviced</v>
      </c>
      <c r="Q1798" t="str">
        <f>IF(T[[#This Row],[qty_received]]&lt;&gt;T[[#This Row],[qty_invoiced]],IF(T[[#This Row],[qty_invoiced]]&gt;0,"Partial Invoiced","Not Invoiced"),"Fully Invoiced")</f>
        <v>Partial Invoiced</v>
      </c>
      <c r="R1798" t="str">
        <f>IFERROR(VLOOKUP(T[[#This Row],[warehouse]],Table2[],2,FALSE),"--")</f>
        <v>--</v>
      </c>
    </row>
    <row r="1799" spans="1:18" x14ac:dyDescent="0.25">
      <c r="A1799" t="s">
        <v>1316</v>
      </c>
      <c r="B1799" s="1">
        <v>44251</v>
      </c>
      <c r="C1799" t="s">
        <v>1317</v>
      </c>
      <c r="D1799" t="s">
        <v>100</v>
      </c>
      <c r="E1799" t="s">
        <v>51</v>
      </c>
      <c r="F1799" t="s">
        <v>793</v>
      </c>
      <c r="G1799" t="s">
        <v>1318</v>
      </c>
      <c r="H1799" t="s">
        <v>54</v>
      </c>
      <c r="I1799">
        <v>2</v>
      </c>
      <c r="J1799">
        <v>0</v>
      </c>
      <c r="K1799">
        <v>1</v>
      </c>
      <c r="L1799" t="s">
        <v>25</v>
      </c>
      <c r="M1799" t="s">
        <v>533</v>
      </c>
      <c r="N1799">
        <v>35</v>
      </c>
      <c r="O1799">
        <v>0</v>
      </c>
      <c r="P1799" t="str">
        <f>IF(T[[#This Row],[qty_ordered]]&lt;&gt;T[[#This Row],[qty_received]],IF(T[[#This Row],[qty_received]]&gt;0,"Partial Received","Not Receviced"),"FullyReceived")</f>
        <v>Not Receviced</v>
      </c>
      <c r="Q1799" t="str">
        <f>IF(T[[#This Row],[qty_received]]&lt;&gt;T[[#This Row],[qty_invoiced]],IF(T[[#This Row],[qty_invoiced]]&gt;0,"Partial Invoiced","Not Invoiced"),"Fully Invoiced")</f>
        <v>Partial Invoiced</v>
      </c>
      <c r="R1799" t="str">
        <f>IFERROR(VLOOKUP(T[[#This Row],[warehouse]],Table2[],2,FALSE),"--")</f>
        <v>--</v>
      </c>
    </row>
    <row r="1800" spans="1:18" x14ac:dyDescent="0.25">
      <c r="A1800" t="s">
        <v>1316</v>
      </c>
      <c r="B1800" s="1">
        <v>44251</v>
      </c>
      <c r="C1800" t="s">
        <v>1317</v>
      </c>
      <c r="D1800" t="s">
        <v>88</v>
      </c>
      <c r="E1800" t="s">
        <v>51</v>
      </c>
      <c r="F1800" t="s">
        <v>793</v>
      </c>
      <c r="G1800" t="s">
        <v>1318</v>
      </c>
      <c r="H1800" t="s">
        <v>54</v>
      </c>
      <c r="I1800">
        <v>60</v>
      </c>
      <c r="J1800">
        <v>0</v>
      </c>
      <c r="K1800">
        <v>1</v>
      </c>
      <c r="L1800" t="s">
        <v>25</v>
      </c>
      <c r="M1800" t="s">
        <v>533</v>
      </c>
      <c r="N1800">
        <v>50</v>
      </c>
      <c r="O1800">
        <v>0</v>
      </c>
      <c r="P1800" t="str">
        <f>IF(T[[#This Row],[qty_ordered]]&lt;&gt;T[[#This Row],[qty_received]],IF(T[[#This Row],[qty_received]]&gt;0,"Partial Received","Not Receviced"),"FullyReceived")</f>
        <v>Not Receviced</v>
      </c>
      <c r="Q1800" t="str">
        <f>IF(T[[#This Row],[qty_received]]&lt;&gt;T[[#This Row],[qty_invoiced]],IF(T[[#This Row],[qty_invoiced]]&gt;0,"Partial Invoiced","Not Invoiced"),"Fully Invoiced")</f>
        <v>Partial Invoiced</v>
      </c>
      <c r="R1800" t="str">
        <f>IFERROR(VLOOKUP(T[[#This Row],[warehouse]],Table2[],2,FALSE),"--")</f>
        <v>--</v>
      </c>
    </row>
    <row r="1801" spans="1:18" x14ac:dyDescent="0.25">
      <c r="A1801" t="s">
        <v>955</v>
      </c>
      <c r="B1801" s="1">
        <v>44304</v>
      </c>
      <c r="C1801" t="s">
        <v>1319</v>
      </c>
      <c r="D1801" t="s">
        <v>20</v>
      </c>
      <c r="E1801" t="s">
        <v>1142</v>
      </c>
      <c r="F1801" t="s">
        <v>103</v>
      </c>
      <c r="G1801" t="s">
        <v>104</v>
      </c>
      <c r="H1801" t="s">
        <v>24</v>
      </c>
      <c r="I1801">
        <v>1026</v>
      </c>
      <c r="J1801">
        <v>471.5</v>
      </c>
      <c r="K1801">
        <v>471.5</v>
      </c>
      <c r="L1801" t="s">
        <v>25</v>
      </c>
      <c r="M1801" t="s">
        <v>707</v>
      </c>
      <c r="N1801">
        <v>183462.82857000001</v>
      </c>
      <c r="O1801">
        <v>86502723.670754999</v>
      </c>
      <c r="P1801" t="str">
        <f>IF(T[[#This Row],[qty_ordered]]&lt;&gt;T[[#This Row],[qty_received]],IF(T[[#This Row],[qty_received]]&gt;0,"Partial Received","Not Receviced"),"FullyReceived")</f>
        <v>Partial Received</v>
      </c>
      <c r="Q1801" t="str">
        <f>IF(T[[#This Row],[qty_received]]&lt;&gt;T[[#This Row],[qty_invoiced]],IF(T[[#This Row],[qty_invoiced]]&gt;0,"Partial Invoiced","Not Invoiced"),"Fully Invoiced")</f>
        <v>Fully Invoiced</v>
      </c>
      <c r="R1801" t="str">
        <f>IFERROR(VLOOKUP(T[[#This Row],[warehouse]],Table2[],2,FALSE),"--")</f>
        <v>SAVOLA W/H FOR EXPOR</v>
      </c>
    </row>
    <row r="1802" spans="1:18" x14ac:dyDescent="0.25">
      <c r="A1802" t="s">
        <v>1170</v>
      </c>
      <c r="B1802" s="1">
        <v>44178</v>
      </c>
      <c r="C1802" t="s">
        <v>1320</v>
      </c>
      <c r="D1802" t="s">
        <v>71</v>
      </c>
      <c r="E1802" t="s">
        <v>1149</v>
      </c>
      <c r="F1802" t="s">
        <v>406</v>
      </c>
      <c r="G1802" t="s">
        <v>407</v>
      </c>
      <c r="H1802" t="s">
        <v>24</v>
      </c>
      <c r="I1802">
        <v>76</v>
      </c>
      <c r="J1802">
        <v>0</v>
      </c>
      <c r="K1802">
        <v>0</v>
      </c>
      <c r="L1802" t="s">
        <v>25</v>
      </c>
      <c r="M1802" t="s">
        <v>707</v>
      </c>
      <c r="N1802">
        <v>263157.894737</v>
      </c>
      <c r="O1802">
        <v>0</v>
      </c>
      <c r="P1802" t="str">
        <f>IF(T[[#This Row],[qty_ordered]]&lt;&gt;T[[#This Row],[qty_received]],IF(T[[#This Row],[qty_received]]&gt;0,"Partial Received","Not Receviced"),"FullyReceived")</f>
        <v>Not Receviced</v>
      </c>
      <c r="Q1802" t="str">
        <f>IF(T[[#This Row],[qty_received]]&lt;&gt;T[[#This Row],[qty_invoiced]],IF(T[[#This Row],[qty_invoiced]]&gt;0,"Partial Invoiced","Not Invoiced"),"Fully Invoiced")</f>
        <v>Fully Invoiced</v>
      </c>
      <c r="R1802" t="str">
        <f>IFERROR(VLOOKUP(T[[#This Row],[warehouse]],Table2[],2,FALSE),"--")</f>
        <v>Ginning Nortix</v>
      </c>
    </row>
    <row r="1803" spans="1:18" x14ac:dyDescent="0.25">
      <c r="A1803" t="s">
        <v>852</v>
      </c>
      <c r="B1803" s="1">
        <v>44200</v>
      </c>
      <c r="C1803" t="s">
        <v>1138</v>
      </c>
      <c r="D1803" t="s">
        <v>74</v>
      </c>
      <c r="E1803" t="s">
        <v>51</v>
      </c>
      <c r="F1803" t="s">
        <v>52</v>
      </c>
      <c r="G1803" t="s">
        <v>75</v>
      </c>
      <c r="H1803" t="s">
        <v>54</v>
      </c>
      <c r="I1803">
        <v>1</v>
      </c>
      <c r="J1803">
        <v>0</v>
      </c>
      <c r="K1803">
        <v>1</v>
      </c>
      <c r="L1803" t="s">
        <v>25</v>
      </c>
      <c r="M1803" t="s">
        <v>132</v>
      </c>
      <c r="N1803">
        <v>750000</v>
      </c>
      <c r="O1803">
        <v>0</v>
      </c>
      <c r="P1803" t="str">
        <f>IF(T[[#This Row],[qty_ordered]]&lt;&gt;T[[#This Row],[qty_received]],IF(T[[#This Row],[qty_received]]&gt;0,"Partial Received","Not Receviced"),"FullyReceived")</f>
        <v>Not Receviced</v>
      </c>
      <c r="Q1803" t="str">
        <f>IF(T[[#This Row],[qty_received]]&lt;&gt;T[[#This Row],[qty_invoiced]],IF(T[[#This Row],[qty_invoiced]]&gt;0,"Partial Invoiced","Not Invoiced"),"Fully Invoiced")</f>
        <v>Partial Invoiced</v>
      </c>
      <c r="R1803" t="str">
        <f>IFERROR(VLOOKUP(T[[#This Row],[warehouse]],Table2[],2,FALSE),"--")</f>
        <v>--</v>
      </c>
    </row>
    <row r="1804" spans="1:18" x14ac:dyDescent="0.25">
      <c r="A1804" t="s">
        <v>462</v>
      </c>
      <c r="B1804" s="1">
        <v>44221</v>
      </c>
      <c r="C1804" t="s">
        <v>1200</v>
      </c>
      <c r="D1804" t="s">
        <v>568</v>
      </c>
      <c r="E1804" t="s">
        <v>51</v>
      </c>
      <c r="F1804" t="s">
        <v>278</v>
      </c>
      <c r="G1804" t="s">
        <v>279</v>
      </c>
      <c r="H1804" t="s">
        <v>54</v>
      </c>
      <c r="I1804">
        <v>11048</v>
      </c>
      <c r="J1804">
        <v>0</v>
      </c>
      <c r="K1804">
        <v>1</v>
      </c>
      <c r="L1804" t="s">
        <v>25</v>
      </c>
      <c r="M1804" t="s">
        <v>533</v>
      </c>
      <c r="N1804">
        <v>15</v>
      </c>
      <c r="O1804">
        <v>0</v>
      </c>
      <c r="P1804" t="str">
        <f>IF(T[[#This Row],[qty_ordered]]&lt;&gt;T[[#This Row],[qty_received]],IF(T[[#This Row],[qty_received]]&gt;0,"Partial Received","Not Receviced"),"FullyReceived")</f>
        <v>Not Receviced</v>
      </c>
      <c r="Q1804" t="str">
        <f>IF(T[[#This Row],[qty_received]]&lt;&gt;T[[#This Row],[qty_invoiced]],IF(T[[#This Row],[qty_invoiced]]&gt;0,"Partial Invoiced","Not Invoiced"),"Fully Invoiced")</f>
        <v>Partial Invoiced</v>
      </c>
      <c r="R1804" t="str">
        <f>IFERROR(VLOOKUP(T[[#This Row],[warehouse]],Table2[],2,FALSE),"--")</f>
        <v>--</v>
      </c>
    </row>
    <row r="1805" spans="1:18" x14ac:dyDescent="0.25">
      <c r="A1805" t="s">
        <v>462</v>
      </c>
      <c r="B1805" s="1">
        <v>44221</v>
      </c>
      <c r="C1805" t="s">
        <v>1200</v>
      </c>
      <c r="D1805" t="s">
        <v>569</v>
      </c>
      <c r="E1805" t="s">
        <v>51</v>
      </c>
      <c r="F1805" t="s">
        <v>185</v>
      </c>
      <c r="G1805" t="s">
        <v>275</v>
      </c>
      <c r="H1805" t="s">
        <v>54</v>
      </c>
      <c r="I1805">
        <v>2570</v>
      </c>
      <c r="J1805">
        <v>0</v>
      </c>
      <c r="K1805">
        <v>1</v>
      </c>
      <c r="L1805" t="s">
        <v>25</v>
      </c>
      <c r="M1805" t="s">
        <v>533</v>
      </c>
      <c r="N1805">
        <v>20</v>
      </c>
      <c r="O1805">
        <v>0</v>
      </c>
      <c r="P1805" t="str">
        <f>IF(T[[#This Row],[qty_ordered]]&lt;&gt;T[[#This Row],[qty_received]],IF(T[[#This Row],[qty_received]]&gt;0,"Partial Received","Not Receviced"),"FullyReceived")</f>
        <v>Not Receviced</v>
      </c>
      <c r="Q1805" t="str">
        <f>IF(T[[#This Row],[qty_received]]&lt;&gt;T[[#This Row],[qty_invoiced]],IF(T[[#This Row],[qty_invoiced]]&gt;0,"Partial Invoiced","Not Invoiced"),"Fully Invoiced")</f>
        <v>Partial Invoiced</v>
      </c>
      <c r="R1805" t="str">
        <f>IFERROR(VLOOKUP(T[[#This Row],[warehouse]],Table2[],2,FALSE),"--")</f>
        <v>--</v>
      </c>
    </row>
    <row r="1806" spans="1:18" x14ac:dyDescent="0.25">
      <c r="A1806" t="s">
        <v>462</v>
      </c>
      <c r="B1806" s="1">
        <v>44221</v>
      </c>
      <c r="C1806" t="s">
        <v>1200</v>
      </c>
      <c r="D1806" t="s">
        <v>570</v>
      </c>
      <c r="E1806" t="s">
        <v>51</v>
      </c>
      <c r="F1806" t="s">
        <v>373</v>
      </c>
      <c r="G1806" t="s">
        <v>373</v>
      </c>
      <c r="H1806" t="s">
        <v>54</v>
      </c>
      <c r="I1806">
        <v>11003</v>
      </c>
      <c r="J1806">
        <v>0</v>
      </c>
      <c r="K1806">
        <v>1</v>
      </c>
      <c r="L1806" t="s">
        <v>25</v>
      </c>
      <c r="M1806" t="s">
        <v>533</v>
      </c>
      <c r="N1806">
        <v>13</v>
      </c>
      <c r="O1806">
        <v>0</v>
      </c>
      <c r="P1806" t="str">
        <f>IF(T[[#This Row],[qty_ordered]]&lt;&gt;T[[#This Row],[qty_received]],IF(T[[#This Row],[qty_received]]&gt;0,"Partial Received","Not Receviced"),"FullyReceived")</f>
        <v>Not Receviced</v>
      </c>
      <c r="Q1806" t="str">
        <f>IF(T[[#This Row],[qty_received]]&lt;&gt;T[[#This Row],[qty_invoiced]],IF(T[[#This Row],[qty_invoiced]]&gt;0,"Partial Invoiced","Not Invoiced"),"Fully Invoiced")</f>
        <v>Partial Invoiced</v>
      </c>
      <c r="R1806" t="str">
        <f>IFERROR(VLOOKUP(T[[#This Row],[warehouse]],Table2[],2,FALSE),"--")</f>
        <v>--</v>
      </c>
    </row>
    <row r="1807" spans="1:18" x14ac:dyDescent="0.25">
      <c r="A1807" t="s">
        <v>462</v>
      </c>
      <c r="B1807" s="1">
        <v>44221</v>
      </c>
      <c r="C1807" t="s">
        <v>1200</v>
      </c>
      <c r="D1807" t="s">
        <v>571</v>
      </c>
      <c r="E1807" t="s">
        <v>51</v>
      </c>
      <c r="F1807" t="s">
        <v>254</v>
      </c>
      <c r="G1807" t="s">
        <v>255</v>
      </c>
      <c r="H1807" t="s">
        <v>54</v>
      </c>
      <c r="I1807">
        <v>2800</v>
      </c>
      <c r="J1807">
        <v>0</v>
      </c>
      <c r="K1807">
        <v>1</v>
      </c>
      <c r="L1807" t="s">
        <v>25</v>
      </c>
      <c r="M1807" t="s">
        <v>533</v>
      </c>
      <c r="N1807">
        <v>13</v>
      </c>
      <c r="O1807">
        <v>0</v>
      </c>
      <c r="P1807" t="str">
        <f>IF(T[[#This Row],[qty_ordered]]&lt;&gt;T[[#This Row],[qty_received]],IF(T[[#This Row],[qty_received]]&gt;0,"Partial Received","Not Receviced"),"FullyReceived")</f>
        <v>Not Receviced</v>
      </c>
      <c r="Q1807" t="str">
        <f>IF(T[[#This Row],[qty_received]]&lt;&gt;T[[#This Row],[qty_invoiced]],IF(T[[#This Row],[qty_invoiced]]&gt;0,"Partial Invoiced","Not Invoiced"),"Fully Invoiced")</f>
        <v>Partial Invoiced</v>
      </c>
      <c r="R1807" t="str">
        <f>IFERROR(VLOOKUP(T[[#This Row],[warehouse]],Table2[],2,FALSE),"--")</f>
        <v>--</v>
      </c>
    </row>
    <row r="1808" spans="1:18" x14ac:dyDescent="0.25">
      <c r="A1808" t="s">
        <v>462</v>
      </c>
      <c r="B1808" s="1">
        <v>44221</v>
      </c>
      <c r="C1808" t="s">
        <v>1200</v>
      </c>
      <c r="D1808" t="s">
        <v>1210</v>
      </c>
      <c r="E1808" t="s">
        <v>51</v>
      </c>
      <c r="F1808" t="s">
        <v>433</v>
      </c>
      <c r="G1808" t="s">
        <v>1169</v>
      </c>
      <c r="H1808" t="s">
        <v>54</v>
      </c>
      <c r="I1808">
        <v>11003</v>
      </c>
      <c r="J1808">
        <v>0</v>
      </c>
      <c r="K1808">
        <v>1</v>
      </c>
      <c r="L1808" t="s">
        <v>25</v>
      </c>
      <c r="M1808" t="s">
        <v>533</v>
      </c>
      <c r="N1808">
        <v>5</v>
      </c>
      <c r="O1808">
        <v>0</v>
      </c>
      <c r="P1808" t="str">
        <f>IF(T[[#This Row],[qty_ordered]]&lt;&gt;T[[#This Row],[qty_received]],IF(T[[#This Row],[qty_received]]&gt;0,"Partial Received","Not Receviced"),"FullyReceived")</f>
        <v>Not Receviced</v>
      </c>
      <c r="Q1808" t="str">
        <f>IF(T[[#This Row],[qty_received]]&lt;&gt;T[[#This Row],[qty_invoiced]],IF(T[[#This Row],[qty_invoiced]]&gt;0,"Partial Invoiced","Not Invoiced"),"Fully Invoiced")</f>
        <v>Partial Invoiced</v>
      </c>
      <c r="R1808" t="str">
        <f>IFERROR(VLOOKUP(T[[#This Row],[warehouse]],Table2[],2,FALSE),"--")</f>
        <v>--</v>
      </c>
    </row>
    <row r="1809" spans="1:18" x14ac:dyDescent="0.25">
      <c r="A1809" t="s">
        <v>462</v>
      </c>
      <c r="B1809" s="1">
        <v>44221</v>
      </c>
      <c r="C1809" t="s">
        <v>1200</v>
      </c>
      <c r="D1809" t="s">
        <v>702</v>
      </c>
      <c r="E1809" t="s">
        <v>51</v>
      </c>
      <c r="F1809" t="s">
        <v>433</v>
      </c>
      <c r="G1809" t="s">
        <v>1169</v>
      </c>
      <c r="H1809" t="s">
        <v>54</v>
      </c>
      <c r="I1809">
        <v>77</v>
      </c>
      <c r="J1809">
        <v>0</v>
      </c>
      <c r="K1809">
        <v>1</v>
      </c>
      <c r="L1809" t="s">
        <v>25</v>
      </c>
      <c r="M1809" t="s">
        <v>533</v>
      </c>
      <c r="N1809">
        <v>280</v>
      </c>
      <c r="O1809">
        <v>0</v>
      </c>
      <c r="P1809" t="str">
        <f>IF(T[[#This Row],[qty_ordered]]&lt;&gt;T[[#This Row],[qty_received]],IF(T[[#This Row],[qty_received]]&gt;0,"Partial Received","Not Receviced"),"FullyReceived")</f>
        <v>Not Receviced</v>
      </c>
      <c r="Q1809" t="str">
        <f>IF(T[[#This Row],[qty_received]]&lt;&gt;T[[#This Row],[qty_invoiced]],IF(T[[#This Row],[qty_invoiced]]&gt;0,"Partial Invoiced","Not Invoiced"),"Fully Invoiced")</f>
        <v>Partial Invoiced</v>
      </c>
      <c r="R1809" t="str">
        <f>IFERROR(VLOOKUP(T[[#This Row],[warehouse]],Table2[],2,FALSE),"--")</f>
        <v>--</v>
      </c>
    </row>
    <row r="1810" spans="1:18" x14ac:dyDescent="0.25">
      <c r="A1810" t="s">
        <v>462</v>
      </c>
      <c r="B1810" s="1">
        <v>44221</v>
      </c>
      <c r="C1810" t="s">
        <v>1200</v>
      </c>
      <c r="D1810" t="s">
        <v>1321</v>
      </c>
      <c r="E1810" t="s">
        <v>51</v>
      </c>
      <c r="F1810" t="s">
        <v>793</v>
      </c>
      <c r="G1810" t="s">
        <v>1061</v>
      </c>
      <c r="H1810" t="s">
        <v>54</v>
      </c>
      <c r="I1810">
        <v>2</v>
      </c>
      <c r="J1810">
        <v>0</v>
      </c>
      <c r="K1810">
        <v>1</v>
      </c>
      <c r="L1810" t="s">
        <v>25</v>
      </c>
      <c r="M1810" t="s">
        <v>533</v>
      </c>
      <c r="N1810">
        <v>250</v>
      </c>
      <c r="O1810">
        <v>0</v>
      </c>
      <c r="P1810" t="str">
        <f>IF(T[[#This Row],[qty_ordered]]&lt;&gt;T[[#This Row],[qty_received]],IF(T[[#This Row],[qty_received]]&gt;0,"Partial Received","Not Receviced"),"FullyReceived")</f>
        <v>Not Receviced</v>
      </c>
      <c r="Q1810" t="str">
        <f>IF(T[[#This Row],[qty_received]]&lt;&gt;T[[#This Row],[qty_invoiced]],IF(T[[#This Row],[qty_invoiced]]&gt;0,"Partial Invoiced","Not Invoiced"),"Fully Invoiced")</f>
        <v>Partial Invoiced</v>
      </c>
      <c r="R1810" t="str">
        <f>IFERROR(VLOOKUP(T[[#This Row],[warehouse]],Table2[],2,FALSE),"--")</f>
        <v>--</v>
      </c>
    </row>
    <row r="1811" spans="1:18" x14ac:dyDescent="0.25">
      <c r="A1811" t="s">
        <v>462</v>
      </c>
      <c r="B1811" s="1">
        <v>44221</v>
      </c>
      <c r="C1811" t="s">
        <v>1200</v>
      </c>
      <c r="D1811" t="s">
        <v>1322</v>
      </c>
      <c r="E1811" t="s">
        <v>51</v>
      </c>
      <c r="F1811" t="s">
        <v>793</v>
      </c>
      <c r="G1811" t="s">
        <v>1061</v>
      </c>
      <c r="H1811" t="s">
        <v>54</v>
      </c>
      <c r="I1811">
        <v>2</v>
      </c>
      <c r="J1811">
        <v>0</v>
      </c>
      <c r="K1811">
        <v>1</v>
      </c>
      <c r="L1811" t="s">
        <v>25</v>
      </c>
      <c r="M1811" t="s">
        <v>533</v>
      </c>
      <c r="N1811">
        <v>150</v>
      </c>
      <c r="O1811">
        <v>0</v>
      </c>
      <c r="P1811" t="str">
        <f>IF(T[[#This Row],[qty_ordered]]&lt;&gt;T[[#This Row],[qty_received]],IF(T[[#This Row],[qty_received]]&gt;0,"Partial Received","Not Receviced"),"FullyReceived")</f>
        <v>Not Receviced</v>
      </c>
      <c r="Q1811" t="str">
        <f>IF(T[[#This Row],[qty_received]]&lt;&gt;T[[#This Row],[qty_invoiced]],IF(T[[#This Row],[qty_invoiced]]&gt;0,"Partial Invoiced","Not Invoiced"),"Fully Invoiced")</f>
        <v>Partial Invoiced</v>
      </c>
      <c r="R1811" t="str">
        <f>IFERROR(VLOOKUP(T[[#This Row],[warehouse]],Table2[],2,FALSE),"--")</f>
        <v>--</v>
      </c>
    </row>
    <row r="1812" spans="1:18" x14ac:dyDescent="0.25">
      <c r="A1812" t="s">
        <v>462</v>
      </c>
      <c r="B1812" s="1">
        <v>44221</v>
      </c>
      <c r="C1812" t="s">
        <v>1200</v>
      </c>
      <c r="D1812" t="s">
        <v>1323</v>
      </c>
      <c r="E1812" t="s">
        <v>51</v>
      </c>
      <c r="F1812" t="s">
        <v>793</v>
      </c>
      <c r="G1812" t="s">
        <v>1061</v>
      </c>
      <c r="H1812" t="s">
        <v>54</v>
      </c>
      <c r="I1812">
        <v>3</v>
      </c>
      <c r="J1812">
        <v>0</v>
      </c>
      <c r="K1812">
        <v>1</v>
      </c>
      <c r="L1812" t="s">
        <v>25</v>
      </c>
      <c r="M1812" t="s">
        <v>533</v>
      </c>
      <c r="N1812">
        <v>200</v>
      </c>
      <c r="O1812">
        <v>0</v>
      </c>
      <c r="P1812" t="str">
        <f>IF(T[[#This Row],[qty_ordered]]&lt;&gt;T[[#This Row],[qty_received]],IF(T[[#This Row],[qty_received]]&gt;0,"Partial Received","Not Receviced"),"FullyReceived")</f>
        <v>Not Receviced</v>
      </c>
      <c r="Q1812" t="str">
        <f>IF(T[[#This Row],[qty_received]]&lt;&gt;T[[#This Row],[qty_invoiced]],IF(T[[#This Row],[qty_invoiced]]&gt;0,"Partial Invoiced","Not Invoiced"),"Fully Invoiced")</f>
        <v>Partial Invoiced</v>
      </c>
      <c r="R1812" t="str">
        <f>IFERROR(VLOOKUP(T[[#This Row],[warehouse]],Table2[],2,FALSE),"--")</f>
        <v>--</v>
      </c>
    </row>
    <row r="1813" spans="1:18" x14ac:dyDescent="0.25">
      <c r="A1813" t="s">
        <v>739</v>
      </c>
      <c r="B1813" s="1">
        <v>44082</v>
      </c>
      <c r="C1813" t="s">
        <v>847</v>
      </c>
      <c r="D1813" t="s">
        <v>88</v>
      </c>
      <c r="E1813" t="s">
        <v>660</v>
      </c>
      <c r="F1813" t="s">
        <v>747</v>
      </c>
      <c r="G1813" t="s">
        <v>748</v>
      </c>
      <c r="H1813" t="s">
        <v>663</v>
      </c>
      <c r="I1813">
        <v>520.9</v>
      </c>
      <c r="J1813">
        <v>520.9</v>
      </c>
      <c r="K1813">
        <v>520.9</v>
      </c>
      <c r="L1813" t="s">
        <v>25</v>
      </c>
      <c r="M1813" t="s">
        <v>132</v>
      </c>
      <c r="N1813">
        <v>700</v>
      </c>
      <c r="O1813">
        <v>364630</v>
      </c>
      <c r="P1813" t="str">
        <f>IF(T[[#This Row],[qty_ordered]]&lt;&gt;T[[#This Row],[qty_received]],IF(T[[#This Row],[qty_received]]&gt;0,"Partial Received","Not Receviced"),"FullyReceived")</f>
        <v>FullyReceived</v>
      </c>
      <c r="Q1813" t="str">
        <f>IF(T[[#This Row],[qty_received]]&lt;&gt;T[[#This Row],[qty_invoiced]],IF(T[[#This Row],[qty_invoiced]]&gt;0,"Partial Invoiced","Not Invoiced"),"Fully Invoiced")</f>
        <v>Fully Invoiced</v>
      </c>
      <c r="R1813" t="str">
        <f>IFERROR(VLOOKUP(T[[#This Row],[warehouse]],Table2[],2,FALSE),"--")</f>
        <v>SLAUGHTER HOUSE</v>
      </c>
    </row>
    <row r="1814" spans="1:18" x14ac:dyDescent="0.25">
      <c r="A1814" t="s">
        <v>493</v>
      </c>
      <c r="B1814" s="1">
        <v>44101</v>
      </c>
      <c r="C1814" t="s">
        <v>1324</v>
      </c>
      <c r="D1814" t="s">
        <v>20</v>
      </c>
      <c r="E1814" t="s">
        <v>51</v>
      </c>
      <c r="F1814" t="s">
        <v>52</v>
      </c>
      <c r="G1814" t="s">
        <v>75</v>
      </c>
      <c r="H1814" t="s">
        <v>54</v>
      </c>
      <c r="I1814">
        <v>38</v>
      </c>
      <c r="J1814">
        <v>0</v>
      </c>
      <c r="K1814">
        <v>0</v>
      </c>
      <c r="L1814" t="s">
        <v>25</v>
      </c>
      <c r="M1814" t="s">
        <v>132</v>
      </c>
      <c r="N1814">
        <v>389649</v>
      </c>
      <c r="O1814">
        <v>0</v>
      </c>
      <c r="P1814" t="str">
        <f>IF(T[[#This Row],[qty_ordered]]&lt;&gt;T[[#This Row],[qty_received]],IF(T[[#This Row],[qty_received]]&gt;0,"Partial Received","Not Receviced"),"FullyReceived")</f>
        <v>Not Receviced</v>
      </c>
      <c r="Q1814" t="str">
        <f>IF(T[[#This Row],[qty_received]]&lt;&gt;T[[#This Row],[qty_invoiced]],IF(T[[#This Row],[qty_invoiced]]&gt;0,"Partial Invoiced","Not Invoiced"),"Fully Invoiced")</f>
        <v>Fully Invoiced</v>
      </c>
      <c r="R1814" t="str">
        <f>IFERROR(VLOOKUP(T[[#This Row],[warehouse]],Table2[],2,FALSE),"--")</f>
        <v>--</v>
      </c>
    </row>
    <row r="1815" spans="1:18" x14ac:dyDescent="0.25">
      <c r="A1815" t="s">
        <v>153</v>
      </c>
      <c r="B1815" s="1">
        <v>44102</v>
      </c>
      <c r="C1815" t="s">
        <v>904</v>
      </c>
      <c r="D1815" t="s">
        <v>20</v>
      </c>
      <c r="E1815" t="s">
        <v>66</v>
      </c>
      <c r="F1815" t="s">
        <v>108</v>
      </c>
      <c r="G1815" t="s">
        <v>109</v>
      </c>
      <c r="H1815" t="s">
        <v>24</v>
      </c>
      <c r="I1815">
        <v>651</v>
      </c>
      <c r="J1815">
        <v>0</v>
      </c>
      <c r="K1815">
        <v>0</v>
      </c>
      <c r="L1815" t="s">
        <v>25</v>
      </c>
      <c r="M1815" t="s">
        <v>132</v>
      </c>
      <c r="N1815">
        <v>230769</v>
      </c>
      <c r="O1815">
        <v>0</v>
      </c>
      <c r="P1815" t="str">
        <f>IF(T[[#This Row],[qty_ordered]]&lt;&gt;T[[#This Row],[qty_received]],IF(T[[#This Row],[qty_received]]&gt;0,"Partial Received","Not Receviced"),"FullyReceived")</f>
        <v>Not Receviced</v>
      </c>
      <c r="Q1815" t="str">
        <f>IF(T[[#This Row],[qty_received]]&lt;&gt;T[[#This Row],[qty_invoiced]],IF(T[[#This Row],[qty_invoiced]]&gt;0,"Partial Invoiced","Not Invoiced"),"Fully Invoiced")</f>
        <v>Fully Invoiced</v>
      </c>
      <c r="R1815" t="str">
        <f>IFERROR(VLOOKUP(T[[#This Row],[warehouse]],Table2[],2,FALSE),"--")</f>
        <v>PZU Main Warehouse</v>
      </c>
    </row>
    <row r="1816" spans="1:18" x14ac:dyDescent="0.25">
      <c r="A1816" t="s">
        <v>815</v>
      </c>
      <c r="B1816" s="1">
        <v>44104</v>
      </c>
      <c r="C1816" t="s">
        <v>900</v>
      </c>
      <c r="D1816" t="s">
        <v>20</v>
      </c>
      <c r="E1816" t="s">
        <v>146</v>
      </c>
      <c r="F1816" t="s">
        <v>108</v>
      </c>
      <c r="G1816" t="s">
        <v>109</v>
      </c>
      <c r="H1816" t="s">
        <v>24</v>
      </c>
      <c r="I1816">
        <v>600</v>
      </c>
      <c r="J1816">
        <v>0</v>
      </c>
      <c r="K1816">
        <v>0</v>
      </c>
      <c r="L1816" t="s">
        <v>25</v>
      </c>
      <c r="M1816" t="s">
        <v>132</v>
      </c>
      <c r="N1816">
        <v>213000</v>
      </c>
      <c r="O1816">
        <v>0</v>
      </c>
      <c r="P1816" t="str">
        <f>IF(T[[#This Row],[qty_ordered]]&lt;&gt;T[[#This Row],[qty_received]],IF(T[[#This Row],[qty_received]]&gt;0,"Partial Received","Not Receviced"),"FullyReceived")</f>
        <v>Not Receviced</v>
      </c>
      <c r="Q1816" t="str">
        <f>IF(T[[#This Row],[qty_received]]&lt;&gt;T[[#This Row],[qty_invoiced]],IF(T[[#This Row],[qty_invoiced]]&gt;0,"Partial Invoiced","Not Invoiced"),"Fully Invoiced")</f>
        <v>Fully Invoiced</v>
      </c>
      <c r="R1816" t="str">
        <f>IFERROR(VLOOKUP(T[[#This Row],[warehouse]],Table2[],2,FALSE),"--")</f>
        <v>Khtoum Main Warehouse</v>
      </c>
    </row>
    <row r="1817" spans="1:18" x14ac:dyDescent="0.25">
      <c r="A1817" t="s">
        <v>224</v>
      </c>
      <c r="B1817" s="1">
        <v>44088</v>
      </c>
      <c r="C1817" t="s">
        <v>898</v>
      </c>
      <c r="D1817" t="s">
        <v>71</v>
      </c>
      <c r="E1817" t="s">
        <v>51</v>
      </c>
      <c r="F1817" t="s">
        <v>183</v>
      </c>
      <c r="G1817" t="s">
        <v>1325</v>
      </c>
      <c r="H1817" t="s">
        <v>54</v>
      </c>
      <c r="I1817">
        <v>340</v>
      </c>
      <c r="J1817">
        <v>0</v>
      </c>
      <c r="K1817">
        <v>1</v>
      </c>
      <c r="L1817" t="s">
        <v>25</v>
      </c>
      <c r="M1817" t="s">
        <v>533</v>
      </c>
      <c r="N1817">
        <v>123.76470999999999</v>
      </c>
      <c r="O1817">
        <v>0</v>
      </c>
      <c r="P1817" t="str">
        <f>IF(T[[#This Row],[qty_ordered]]&lt;&gt;T[[#This Row],[qty_received]],IF(T[[#This Row],[qty_received]]&gt;0,"Partial Received","Not Receviced"),"FullyReceived")</f>
        <v>Not Receviced</v>
      </c>
      <c r="Q1817" t="str">
        <f>IF(T[[#This Row],[qty_received]]&lt;&gt;T[[#This Row],[qty_invoiced]],IF(T[[#This Row],[qty_invoiced]]&gt;0,"Partial Invoiced","Not Invoiced"),"Fully Invoiced")</f>
        <v>Partial Invoiced</v>
      </c>
      <c r="R1817" t="str">
        <f>IFERROR(VLOOKUP(T[[#This Row],[warehouse]],Table2[],2,FALSE),"--")</f>
        <v>--</v>
      </c>
    </row>
    <row r="1818" spans="1:18" x14ac:dyDescent="0.25">
      <c r="A1818" t="s">
        <v>269</v>
      </c>
      <c r="B1818" s="1">
        <v>43828</v>
      </c>
      <c r="C1818" t="s">
        <v>807</v>
      </c>
      <c r="D1818" t="s">
        <v>212</v>
      </c>
      <c r="E1818" t="s">
        <v>51</v>
      </c>
      <c r="F1818" t="s">
        <v>183</v>
      </c>
      <c r="G1818" t="s">
        <v>1326</v>
      </c>
      <c r="H1818" t="s">
        <v>54</v>
      </c>
      <c r="I1818">
        <v>78.909000000000006</v>
      </c>
      <c r="J1818">
        <v>0</v>
      </c>
      <c r="K1818">
        <v>1</v>
      </c>
      <c r="L1818" t="s">
        <v>25</v>
      </c>
      <c r="M1818" t="s">
        <v>533</v>
      </c>
      <c r="N1818">
        <v>6000</v>
      </c>
      <c r="O1818">
        <v>0</v>
      </c>
      <c r="P1818" t="str">
        <f>IF(T[[#This Row],[qty_ordered]]&lt;&gt;T[[#This Row],[qty_received]],IF(T[[#This Row],[qty_received]]&gt;0,"Partial Received","Not Receviced"),"FullyReceived")</f>
        <v>Not Receviced</v>
      </c>
      <c r="Q1818" t="str">
        <f>IF(T[[#This Row],[qty_received]]&lt;&gt;T[[#This Row],[qty_invoiced]],IF(T[[#This Row],[qty_invoiced]]&gt;0,"Partial Invoiced","Not Invoiced"),"Fully Invoiced")</f>
        <v>Partial Invoiced</v>
      </c>
      <c r="R1818" t="str">
        <f>IFERROR(VLOOKUP(T[[#This Row],[warehouse]],Table2[],2,FALSE),"--")</f>
        <v>--</v>
      </c>
    </row>
    <row r="1819" spans="1:18" x14ac:dyDescent="0.25">
      <c r="A1819" t="s">
        <v>618</v>
      </c>
      <c r="B1819" s="1">
        <v>44115</v>
      </c>
      <c r="C1819" t="s">
        <v>965</v>
      </c>
      <c r="D1819" t="s">
        <v>20</v>
      </c>
      <c r="E1819" t="s">
        <v>192</v>
      </c>
      <c r="F1819" t="s">
        <v>86</v>
      </c>
      <c r="G1819" t="s">
        <v>87</v>
      </c>
      <c r="H1819" t="s">
        <v>24</v>
      </c>
      <c r="I1819">
        <v>1662.21</v>
      </c>
      <c r="J1819">
        <v>1662.21</v>
      </c>
      <c r="K1819">
        <v>1662.21</v>
      </c>
      <c r="L1819" t="s">
        <v>25</v>
      </c>
      <c r="M1819" t="s">
        <v>132</v>
      </c>
      <c r="N1819">
        <v>275862.06900000002</v>
      </c>
      <c r="O1819">
        <v>458540689.71249002</v>
      </c>
      <c r="P1819" t="str">
        <f>IF(T[[#This Row],[qty_ordered]]&lt;&gt;T[[#This Row],[qty_received]],IF(T[[#This Row],[qty_received]]&gt;0,"Partial Received","Not Receviced"),"FullyReceived")</f>
        <v>FullyReceived</v>
      </c>
      <c r="Q1819" t="str">
        <f>IF(T[[#This Row],[qty_received]]&lt;&gt;T[[#This Row],[qty_invoiced]],IF(T[[#This Row],[qty_invoiced]]&gt;0,"Partial Invoiced","Not Invoiced"),"Fully Invoiced")</f>
        <v>Fully Invoiced</v>
      </c>
      <c r="R1819" t="str">
        <f>IFERROR(VLOOKUP(T[[#This Row],[warehouse]],Table2[],2,FALSE),"--")</f>
        <v>BAYADER SIFTER-OMD</v>
      </c>
    </row>
    <row r="1820" spans="1:18" x14ac:dyDescent="0.25">
      <c r="A1820" t="s">
        <v>252</v>
      </c>
      <c r="B1820" s="1">
        <v>43808</v>
      </c>
      <c r="C1820" t="s">
        <v>556</v>
      </c>
      <c r="D1820" t="s">
        <v>100</v>
      </c>
      <c r="E1820" t="s">
        <v>51</v>
      </c>
      <c r="F1820" t="s">
        <v>183</v>
      </c>
      <c r="G1820" t="s">
        <v>1327</v>
      </c>
      <c r="H1820" t="s">
        <v>54</v>
      </c>
      <c r="I1820">
        <v>500</v>
      </c>
      <c r="J1820">
        <v>0</v>
      </c>
      <c r="K1820">
        <v>1</v>
      </c>
      <c r="L1820" t="s">
        <v>25</v>
      </c>
      <c r="M1820" t="s">
        <v>533</v>
      </c>
      <c r="N1820">
        <v>1850</v>
      </c>
      <c r="O1820">
        <v>0</v>
      </c>
      <c r="P1820" t="str">
        <f>IF(T[[#This Row],[qty_ordered]]&lt;&gt;T[[#This Row],[qty_received]],IF(T[[#This Row],[qty_received]]&gt;0,"Partial Received","Not Receviced"),"FullyReceived")</f>
        <v>Not Receviced</v>
      </c>
      <c r="Q1820" t="str">
        <f>IF(T[[#This Row],[qty_received]]&lt;&gt;T[[#This Row],[qty_invoiced]],IF(T[[#This Row],[qty_invoiced]]&gt;0,"Partial Invoiced","Not Invoiced"),"Fully Invoiced")</f>
        <v>Partial Invoiced</v>
      </c>
      <c r="R1820" t="str">
        <f>IFERROR(VLOOKUP(T[[#This Row],[warehouse]],Table2[],2,FALSE),"--")</f>
        <v>--</v>
      </c>
    </row>
    <row r="1821" spans="1:18" x14ac:dyDescent="0.25">
      <c r="A1821" t="s">
        <v>423</v>
      </c>
      <c r="B1821" s="1">
        <v>44096</v>
      </c>
      <c r="C1821" t="s">
        <v>851</v>
      </c>
      <c r="D1821" t="s">
        <v>100</v>
      </c>
      <c r="E1821" t="s">
        <v>146</v>
      </c>
      <c r="F1821" t="s">
        <v>147</v>
      </c>
      <c r="G1821" t="s">
        <v>148</v>
      </c>
      <c r="H1821" t="s">
        <v>149</v>
      </c>
      <c r="I1821">
        <v>21000</v>
      </c>
      <c r="J1821">
        <v>21000</v>
      </c>
      <c r="K1821">
        <v>21000</v>
      </c>
      <c r="L1821" t="s">
        <v>25</v>
      </c>
      <c r="M1821" t="s">
        <v>575</v>
      </c>
      <c r="N1821">
        <v>65</v>
      </c>
      <c r="O1821">
        <v>1365000</v>
      </c>
      <c r="P1821" t="str">
        <f>IF(T[[#This Row],[qty_ordered]]&lt;&gt;T[[#This Row],[qty_received]],IF(T[[#This Row],[qty_received]]&gt;0,"Partial Received","Not Receviced"),"FullyReceived")</f>
        <v>FullyReceived</v>
      </c>
      <c r="Q1821" t="str">
        <f>IF(T[[#This Row],[qty_received]]&lt;&gt;T[[#This Row],[qty_invoiced]],IF(T[[#This Row],[qty_invoiced]]&gt;0,"Partial Invoiced","Not Invoiced"),"Fully Invoiced")</f>
        <v>Fully Invoiced</v>
      </c>
      <c r="R1821" t="str">
        <f>IFERROR(VLOOKUP(T[[#This Row],[warehouse]],Table2[],2,FALSE),"--")</f>
        <v>Khtoum Main Warehouse</v>
      </c>
    </row>
    <row r="1822" spans="1:18" x14ac:dyDescent="0.25">
      <c r="A1822" t="s">
        <v>303</v>
      </c>
      <c r="B1822" s="1">
        <v>44109</v>
      </c>
      <c r="C1822" t="s">
        <v>948</v>
      </c>
      <c r="D1822" t="s">
        <v>71</v>
      </c>
      <c r="E1822" t="s">
        <v>66</v>
      </c>
      <c r="F1822" t="s">
        <v>529</v>
      </c>
      <c r="G1822" t="s">
        <v>530</v>
      </c>
      <c r="H1822" t="s">
        <v>531</v>
      </c>
      <c r="I1822">
        <v>800</v>
      </c>
      <c r="J1822">
        <v>0</v>
      </c>
      <c r="K1822">
        <v>0</v>
      </c>
      <c r="L1822" t="s">
        <v>25</v>
      </c>
      <c r="M1822" t="s">
        <v>707</v>
      </c>
      <c r="N1822">
        <v>20000</v>
      </c>
      <c r="O1822">
        <v>0</v>
      </c>
      <c r="P1822" t="str">
        <f>IF(T[[#This Row],[qty_ordered]]&lt;&gt;T[[#This Row],[qty_received]],IF(T[[#This Row],[qty_received]]&gt;0,"Partial Received","Not Receviced"),"FullyReceived")</f>
        <v>Not Receviced</v>
      </c>
      <c r="Q1822" t="str">
        <f>IF(T[[#This Row],[qty_received]]&lt;&gt;T[[#This Row],[qty_invoiced]],IF(T[[#This Row],[qty_invoiced]]&gt;0,"Partial Invoiced","Not Invoiced"),"Fully Invoiced")</f>
        <v>Fully Invoiced</v>
      </c>
      <c r="R1822" t="str">
        <f>IFERROR(VLOOKUP(T[[#This Row],[warehouse]],Table2[],2,FALSE),"--")</f>
        <v>PZU Main Warehouse</v>
      </c>
    </row>
    <row r="1823" spans="1:18" x14ac:dyDescent="0.25">
      <c r="A1823" t="s">
        <v>1328</v>
      </c>
      <c r="B1823" s="1">
        <v>44123</v>
      </c>
      <c r="C1823" t="s">
        <v>1329</v>
      </c>
      <c r="D1823" t="s">
        <v>20</v>
      </c>
      <c r="E1823" t="s">
        <v>51</v>
      </c>
      <c r="F1823" t="s">
        <v>674</v>
      </c>
      <c r="G1823" t="s">
        <v>1330</v>
      </c>
      <c r="H1823" t="s">
        <v>54</v>
      </c>
      <c r="I1823">
        <v>20000</v>
      </c>
      <c r="J1823">
        <v>0</v>
      </c>
      <c r="K1823">
        <v>1</v>
      </c>
      <c r="L1823" t="s">
        <v>693</v>
      </c>
      <c r="M1823" t="s">
        <v>533</v>
      </c>
      <c r="N1823">
        <v>2000</v>
      </c>
      <c r="O1823">
        <v>0</v>
      </c>
      <c r="P1823" t="str">
        <f>IF(T[[#This Row],[qty_ordered]]&lt;&gt;T[[#This Row],[qty_received]],IF(T[[#This Row],[qty_received]]&gt;0,"Partial Received","Not Receviced"),"FullyReceived")</f>
        <v>Not Receviced</v>
      </c>
      <c r="Q1823" t="str">
        <f>IF(T[[#This Row],[qty_received]]&lt;&gt;T[[#This Row],[qty_invoiced]],IF(T[[#This Row],[qty_invoiced]]&gt;0,"Partial Invoiced","Not Invoiced"),"Fully Invoiced")</f>
        <v>Partial Invoiced</v>
      </c>
      <c r="R1823" t="str">
        <f>IFERROR(VLOOKUP(T[[#This Row],[warehouse]],Table2[],2,FALSE),"--")</f>
        <v>--</v>
      </c>
    </row>
    <row r="1824" spans="1:18" x14ac:dyDescent="0.25">
      <c r="A1824" t="s">
        <v>727</v>
      </c>
      <c r="B1824" s="1">
        <v>44053</v>
      </c>
      <c r="C1824" t="s">
        <v>728</v>
      </c>
      <c r="D1824" t="s">
        <v>324</v>
      </c>
      <c r="E1824" t="s">
        <v>723</v>
      </c>
      <c r="F1824" t="s">
        <v>219</v>
      </c>
      <c r="G1824" t="s">
        <v>724</v>
      </c>
      <c r="H1824" t="s">
        <v>221</v>
      </c>
      <c r="I1824">
        <v>25388.381000000001</v>
      </c>
      <c r="J1824">
        <v>24601.040000000001</v>
      </c>
      <c r="K1824">
        <v>24601.040000000001</v>
      </c>
      <c r="L1824" t="s">
        <v>25</v>
      </c>
      <c r="M1824" t="s">
        <v>132</v>
      </c>
      <c r="N1824">
        <v>12880.904533999999</v>
      </c>
      <c r="O1824">
        <v>316883647.67711502</v>
      </c>
      <c r="P1824" t="str">
        <f>IF(T[[#This Row],[qty_ordered]]&lt;&gt;T[[#This Row],[qty_received]],IF(T[[#This Row],[qty_received]]&gt;0,"Partial Received","Not Receviced"),"FullyReceived")</f>
        <v>Partial Received</v>
      </c>
      <c r="Q1824" t="str">
        <f>IF(T[[#This Row],[qty_received]]&lt;&gt;T[[#This Row],[qty_invoiced]],IF(T[[#This Row],[qty_invoiced]]&gt;0,"Partial Invoiced","Not Invoiced"),"Fully Invoiced")</f>
        <v>Fully Invoiced</v>
      </c>
      <c r="R1824" t="str">
        <f>IFERROR(VLOOKUP(T[[#This Row],[warehouse]],Table2[],2,FALSE),"--")</f>
        <v>YELLOW BEANS</v>
      </c>
    </row>
    <row r="1825" spans="1:18" x14ac:dyDescent="0.25">
      <c r="A1825" t="s">
        <v>560</v>
      </c>
      <c r="B1825" s="1">
        <v>44251</v>
      </c>
      <c r="C1825" t="s">
        <v>1247</v>
      </c>
      <c r="D1825" t="s">
        <v>452</v>
      </c>
      <c r="E1825" t="s">
        <v>51</v>
      </c>
      <c r="F1825" t="s">
        <v>164</v>
      </c>
      <c r="G1825" t="s">
        <v>792</v>
      </c>
      <c r="H1825" t="s">
        <v>54</v>
      </c>
      <c r="I1825">
        <v>41</v>
      </c>
      <c r="J1825">
        <v>0</v>
      </c>
      <c r="K1825">
        <v>1</v>
      </c>
      <c r="L1825" t="s">
        <v>25</v>
      </c>
      <c r="M1825" t="s">
        <v>533</v>
      </c>
      <c r="N1825">
        <v>1037.8048779999999</v>
      </c>
      <c r="O1825">
        <v>0</v>
      </c>
      <c r="P1825" t="str">
        <f>IF(T[[#This Row],[qty_ordered]]&lt;&gt;T[[#This Row],[qty_received]],IF(T[[#This Row],[qty_received]]&gt;0,"Partial Received","Not Receviced"),"FullyReceived")</f>
        <v>Not Receviced</v>
      </c>
      <c r="Q1825" t="str">
        <f>IF(T[[#This Row],[qty_received]]&lt;&gt;T[[#This Row],[qty_invoiced]],IF(T[[#This Row],[qty_invoiced]]&gt;0,"Partial Invoiced","Not Invoiced"),"Fully Invoiced")</f>
        <v>Partial Invoiced</v>
      </c>
      <c r="R1825" t="str">
        <f>IFERROR(VLOOKUP(T[[#This Row],[warehouse]],Table2[],2,FALSE),"--")</f>
        <v>--</v>
      </c>
    </row>
    <row r="1826" spans="1:18" x14ac:dyDescent="0.25">
      <c r="A1826" t="s">
        <v>560</v>
      </c>
      <c r="B1826" s="1">
        <v>44251</v>
      </c>
      <c r="C1826" t="s">
        <v>1247</v>
      </c>
      <c r="D1826" t="s">
        <v>614</v>
      </c>
      <c r="E1826" t="s">
        <v>51</v>
      </c>
      <c r="F1826" t="s">
        <v>164</v>
      </c>
      <c r="G1826" t="s">
        <v>792</v>
      </c>
      <c r="H1826" t="s">
        <v>54</v>
      </c>
      <c r="I1826">
        <v>30</v>
      </c>
      <c r="J1826">
        <v>0</v>
      </c>
      <c r="K1826">
        <v>1</v>
      </c>
      <c r="L1826" t="s">
        <v>25</v>
      </c>
      <c r="M1826" t="s">
        <v>533</v>
      </c>
      <c r="N1826">
        <v>1046.9000000000001</v>
      </c>
      <c r="O1826">
        <v>0</v>
      </c>
      <c r="P1826" t="str">
        <f>IF(T[[#This Row],[qty_ordered]]&lt;&gt;T[[#This Row],[qty_received]],IF(T[[#This Row],[qty_received]]&gt;0,"Partial Received","Not Receviced"),"FullyReceived")</f>
        <v>Not Receviced</v>
      </c>
      <c r="Q1826" t="str">
        <f>IF(T[[#This Row],[qty_received]]&lt;&gt;T[[#This Row],[qty_invoiced]],IF(T[[#This Row],[qty_invoiced]]&gt;0,"Partial Invoiced","Not Invoiced"),"Fully Invoiced")</f>
        <v>Partial Invoiced</v>
      </c>
      <c r="R1826" t="str">
        <f>IFERROR(VLOOKUP(T[[#This Row],[warehouse]],Table2[],2,FALSE),"--")</f>
        <v>--</v>
      </c>
    </row>
    <row r="1827" spans="1:18" x14ac:dyDescent="0.25">
      <c r="A1827" t="s">
        <v>560</v>
      </c>
      <c r="B1827" s="1">
        <v>44251</v>
      </c>
      <c r="C1827" t="s">
        <v>1247</v>
      </c>
      <c r="D1827" t="s">
        <v>615</v>
      </c>
      <c r="E1827" t="s">
        <v>51</v>
      </c>
      <c r="F1827" t="s">
        <v>164</v>
      </c>
      <c r="G1827" t="s">
        <v>792</v>
      </c>
      <c r="H1827" t="s">
        <v>54</v>
      </c>
      <c r="I1827">
        <v>11</v>
      </c>
      <c r="J1827">
        <v>0</v>
      </c>
      <c r="K1827">
        <v>1</v>
      </c>
      <c r="L1827" t="s">
        <v>25</v>
      </c>
      <c r="M1827" t="s">
        <v>533</v>
      </c>
      <c r="N1827">
        <v>900</v>
      </c>
      <c r="O1827">
        <v>0</v>
      </c>
      <c r="P1827" t="str">
        <f>IF(T[[#This Row],[qty_ordered]]&lt;&gt;T[[#This Row],[qty_received]],IF(T[[#This Row],[qty_received]]&gt;0,"Partial Received","Not Receviced"),"FullyReceived")</f>
        <v>Not Receviced</v>
      </c>
      <c r="Q1827" t="str">
        <f>IF(T[[#This Row],[qty_received]]&lt;&gt;T[[#This Row],[qty_invoiced]],IF(T[[#This Row],[qty_invoiced]]&gt;0,"Partial Invoiced","Not Invoiced"),"Fully Invoiced")</f>
        <v>Partial Invoiced</v>
      </c>
      <c r="R1827" t="str">
        <f>IFERROR(VLOOKUP(T[[#This Row],[warehouse]],Table2[],2,FALSE),"--")</f>
        <v>--</v>
      </c>
    </row>
    <row r="1828" spans="1:18" x14ac:dyDescent="0.25">
      <c r="A1828" t="s">
        <v>560</v>
      </c>
      <c r="B1828" s="1">
        <v>44277</v>
      </c>
      <c r="C1828" t="s">
        <v>1331</v>
      </c>
      <c r="D1828" t="s">
        <v>100</v>
      </c>
      <c r="E1828" t="s">
        <v>51</v>
      </c>
      <c r="F1828" t="s">
        <v>164</v>
      </c>
      <c r="G1828" t="s">
        <v>792</v>
      </c>
      <c r="H1828" t="s">
        <v>54</v>
      </c>
      <c r="I1828">
        <v>29</v>
      </c>
      <c r="J1828">
        <v>0</v>
      </c>
      <c r="K1828">
        <v>1</v>
      </c>
      <c r="L1828" t="s">
        <v>25</v>
      </c>
      <c r="M1828" t="s">
        <v>533</v>
      </c>
      <c r="N1828">
        <v>970.13793099999998</v>
      </c>
      <c r="O1828">
        <v>0</v>
      </c>
      <c r="P1828" t="str">
        <f>IF(T[[#This Row],[qty_ordered]]&lt;&gt;T[[#This Row],[qty_received]],IF(T[[#This Row],[qty_received]]&gt;0,"Partial Received","Not Receviced"),"FullyReceived")</f>
        <v>Not Receviced</v>
      </c>
      <c r="Q1828" t="str">
        <f>IF(T[[#This Row],[qty_received]]&lt;&gt;T[[#This Row],[qty_invoiced]],IF(T[[#This Row],[qty_invoiced]]&gt;0,"Partial Invoiced","Not Invoiced"),"Fully Invoiced")</f>
        <v>Partial Invoiced</v>
      </c>
      <c r="R1828" t="str">
        <f>IFERROR(VLOOKUP(T[[#This Row],[warehouse]],Table2[],2,FALSE),"--")</f>
        <v>--</v>
      </c>
    </row>
    <row r="1829" spans="1:18" x14ac:dyDescent="0.25">
      <c r="A1829" t="s">
        <v>560</v>
      </c>
      <c r="B1829" s="1">
        <v>44251</v>
      </c>
      <c r="C1829" t="s">
        <v>1248</v>
      </c>
      <c r="D1829" t="s">
        <v>591</v>
      </c>
      <c r="E1829" t="s">
        <v>51</v>
      </c>
      <c r="F1829" t="s">
        <v>164</v>
      </c>
      <c r="G1829" t="s">
        <v>734</v>
      </c>
      <c r="H1829" t="s">
        <v>54</v>
      </c>
      <c r="I1829">
        <v>60</v>
      </c>
      <c r="J1829">
        <v>0</v>
      </c>
      <c r="K1829">
        <v>1</v>
      </c>
      <c r="L1829" t="s">
        <v>25</v>
      </c>
      <c r="M1829" t="s">
        <v>533</v>
      </c>
      <c r="N1829">
        <v>920.71666700000003</v>
      </c>
      <c r="O1829">
        <v>0</v>
      </c>
      <c r="P1829" t="str">
        <f>IF(T[[#This Row],[qty_ordered]]&lt;&gt;T[[#This Row],[qty_received]],IF(T[[#This Row],[qty_received]]&gt;0,"Partial Received","Not Receviced"),"FullyReceived")</f>
        <v>Not Receviced</v>
      </c>
      <c r="Q1829" t="str">
        <f>IF(T[[#This Row],[qty_received]]&lt;&gt;T[[#This Row],[qty_invoiced]],IF(T[[#This Row],[qty_invoiced]]&gt;0,"Partial Invoiced","Not Invoiced"),"Fully Invoiced")</f>
        <v>Partial Invoiced</v>
      </c>
      <c r="R1829" t="str">
        <f>IFERROR(VLOOKUP(T[[#This Row],[warehouse]],Table2[],2,FALSE),"--")</f>
        <v>--</v>
      </c>
    </row>
    <row r="1830" spans="1:18" x14ac:dyDescent="0.25">
      <c r="A1830" t="s">
        <v>560</v>
      </c>
      <c r="B1830" s="1">
        <v>44251</v>
      </c>
      <c r="C1830" t="s">
        <v>1248</v>
      </c>
      <c r="D1830" t="s">
        <v>592</v>
      </c>
      <c r="E1830" t="s">
        <v>51</v>
      </c>
      <c r="F1830" t="s">
        <v>164</v>
      </c>
      <c r="G1830" t="s">
        <v>734</v>
      </c>
      <c r="H1830" t="s">
        <v>54</v>
      </c>
      <c r="I1830">
        <v>35</v>
      </c>
      <c r="J1830">
        <v>0</v>
      </c>
      <c r="K1830">
        <v>1</v>
      </c>
      <c r="L1830" t="s">
        <v>25</v>
      </c>
      <c r="M1830" t="s">
        <v>533</v>
      </c>
      <c r="N1830">
        <v>945.2</v>
      </c>
      <c r="O1830">
        <v>0</v>
      </c>
      <c r="P1830" t="str">
        <f>IF(T[[#This Row],[qty_ordered]]&lt;&gt;T[[#This Row],[qty_received]],IF(T[[#This Row],[qty_received]]&gt;0,"Partial Received","Not Receviced"),"FullyReceived")</f>
        <v>Not Receviced</v>
      </c>
      <c r="Q1830" t="str">
        <f>IF(T[[#This Row],[qty_received]]&lt;&gt;T[[#This Row],[qty_invoiced]],IF(T[[#This Row],[qty_invoiced]]&gt;0,"Partial Invoiced","Not Invoiced"),"Fully Invoiced")</f>
        <v>Partial Invoiced</v>
      </c>
      <c r="R1830" t="str">
        <f>IFERROR(VLOOKUP(T[[#This Row],[warehouse]],Table2[],2,FALSE),"--")</f>
        <v>--</v>
      </c>
    </row>
    <row r="1831" spans="1:18" x14ac:dyDescent="0.25">
      <c r="A1831" t="s">
        <v>560</v>
      </c>
      <c r="B1831" s="1">
        <v>44251</v>
      </c>
      <c r="C1831" t="s">
        <v>1237</v>
      </c>
      <c r="D1831" t="s">
        <v>74</v>
      </c>
      <c r="E1831" t="s">
        <v>51</v>
      </c>
      <c r="F1831" t="s">
        <v>164</v>
      </c>
      <c r="G1831" t="s">
        <v>1275</v>
      </c>
      <c r="H1831" t="s">
        <v>54</v>
      </c>
      <c r="I1831">
        <v>41</v>
      </c>
      <c r="J1831">
        <v>0</v>
      </c>
      <c r="K1831">
        <v>1</v>
      </c>
      <c r="L1831" t="s">
        <v>25</v>
      </c>
      <c r="M1831" t="s">
        <v>533</v>
      </c>
      <c r="N1831">
        <v>1010.243902</v>
      </c>
      <c r="O1831">
        <v>0</v>
      </c>
      <c r="P1831" t="str">
        <f>IF(T[[#This Row],[qty_ordered]]&lt;&gt;T[[#This Row],[qty_received]],IF(T[[#This Row],[qty_received]]&gt;0,"Partial Received","Not Receviced"),"FullyReceived")</f>
        <v>Not Receviced</v>
      </c>
      <c r="Q1831" t="str">
        <f>IF(T[[#This Row],[qty_received]]&lt;&gt;T[[#This Row],[qty_invoiced]],IF(T[[#This Row],[qty_invoiced]]&gt;0,"Partial Invoiced","Not Invoiced"),"Fully Invoiced")</f>
        <v>Partial Invoiced</v>
      </c>
      <c r="R1831" t="str">
        <f>IFERROR(VLOOKUP(T[[#This Row],[warehouse]],Table2[],2,FALSE),"--")</f>
        <v>--</v>
      </c>
    </row>
    <row r="1832" spans="1:18" x14ac:dyDescent="0.25">
      <c r="A1832" t="s">
        <v>560</v>
      </c>
      <c r="B1832" s="1">
        <v>44251</v>
      </c>
      <c r="C1832" t="s">
        <v>1276</v>
      </c>
      <c r="D1832" t="s">
        <v>74</v>
      </c>
      <c r="E1832" t="s">
        <v>51</v>
      </c>
      <c r="F1832" t="s">
        <v>164</v>
      </c>
      <c r="G1832" t="s">
        <v>1332</v>
      </c>
      <c r="H1832" t="s">
        <v>54</v>
      </c>
      <c r="I1832">
        <v>41</v>
      </c>
      <c r="J1832">
        <v>0</v>
      </c>
      <c r="K1832">
        <v>1</v>
      </c>
      <c r="L1832" t="s">
        <v>25</v>
      </c>
      <c r="M1832" t="s">
        <v>533</v>
      </c>
      <c r="N1832">
        <v>974.41463399999998</v>
      </c>
      <c r="O1832">
        <v>0</v>
      </c>
      <c r="P1832" t="str">
        <f>IF(T[[#This Row],[qty_ordered]]&lt;&gt;T[[#This Row],[qty_received]],IF(T[[#This Row],[qty_received]]&gt;0,"Partial Received","Not Receviced"),"FullyReceived")</f>
        <v>Not Receviced</v>
      </c>
      <c r="Q1832" t="str">
        <f>IF(T[[#This Row],[qty_received]]&lt;&gt;T[[#This Row],[qty_invoiced]],IF(T[[#This Row],[qty_invoiced]]&gt;0,"Partial Invoiced","Not Invoiced"),"Fully Invoiced")</f>
        <v>Partial Invoiced</v>
      </c>
      <c r="R1832" t="str">
        <f>IFERROR(VLOOKUP(T[[#This Row],[warehouse]],Table2[],2,FALSE),"--")</f>
        <v>--</v>
      </c>
    </row>
    <row r="1833" spans="1:18" x14ac:dyDescent="0.25">
      <c r="A1833" t="s">
        <v>560</v>
      </c>
      <c r="B1833" s="1">
        <v>44251</v>
      </c>
      <c r="C1833" t="s">
        <v>1244</v>
      </c>
      <c r="D1833" t="s">
        <v>74</v>
      </c>
      <c r="E1833" t="s">
        <v>51</v>
      </c>
      <c r="F1833" t="s">
        <v>164</v>
      </c>
      <c r="G1833" t="s">
        <v>1333</v>
      </c>
      <c r="H1833" t="s">
        <v>54</v>
      </c>
      <c r="I1833">
        <v>30</v>
      </c>
      <c r="J1833">
        <v>0</v>
      </c>
      <c r="K1833">
        <v>1</v>
      </c>
      <c r="L1833" t="s">
        <v>25</v>
      </c>
      <c r="M1833" t="s">
        <v>533</v>
      </c>
      <c r="N1833">
        <v>900</v>
      </c>
      <c r="O1833">
        <v>0</v>
      </c>
      <c r="P1833" t="str">
        <f>IF(T[[#This Row],[qty_ordered]]&lt;&gt;T[[#This Row],[qty_received]],IF(T[[#This Row],[qty_received]]&gt;0,"Partial Received","Not Receviced"),"FullyReceived")</f>
        <v>Not Receviced</v>
      </c>
      <c r="Q1833" t="str">
        <f>IF(T[[#This Row],[qty_received]]&lt;&gt;T[[#This Row],[qty_invoiced]],IF(T[[#This Row],[qty_invoiced]]&gt;0,"Partial Invoiced","Not Invoiced"),"Fully Invoiced")</f>
        <v>Partial Invoiced</v>
      </c>
      <c r="R1833" t="str">
        <f>IFERROR(VLOOKUP(T[[#This Row],[warehouse]],Table2[],2,FALSE),"--")</f>
        <v>--</v>
      </c>
    </row>
    <row r="1834" spans="1:18" x14ac:dyDescent="0.25">
      <c r="A1834" t="s">
        <v>560</v>
      </c>
      <c r="B1834" s="1">
        <v>44251</v>
      </c>
      <c r="C1834" t="s">
        <v>1245</v>
      </c>
      <c r="D1834" t="s">
        <v>212</v>
      </c>
      <c r="E1834" t="s">
        <v>51</v>
      </c>
      <c r="F1834" t="s">
        <v>164</v>
      </c>
      <c r="G1834" t="s">
        <v>1255</v>
      </c>
      <c r="H1834" t="s">
        <v>54</v>
      </c>
      <c r="I1834">
        <v>58</v>
      </c>
      <c r="J1834">
        <v>0</v>
      </c>
      <c r="K1834">
        <v>1</v>
      </c>
      <c r="L1834" t="s">
        <v>25</v>
      </c>
      <c r="M1834" t="s">
        <v>533</v>
      </c>
      <c r="N1834">
        <v>959.48275799999999</v>
      </c>
      <c r="O1834">
        <v>0</v>
      </c>
      <c r="P1834" t="str">
        <f>IF(T[[#This Row],[qty_ordered]]&lt;&gt;T[[#This Row],[qty_received]],IF(T[[#This Row],[qty_received]]&gt;0,"Partial Received","Not Receviced"),"FullyReceived")</f>
        <v>Not Receviced</v>
      </c>
      <c r="Q1834" t="str">
        <f>IF(T[[#This Row],[qty_received]]&lt;&gt;T[[#This Row],[qty_invoiced]],IF(T[[#This Row],[qty_invoiced]]&gt;0,"Partial Invoiced","Not Invoiced"),"Fully Invoiced")</f>
        <v>Partial Invoiced</v>
      </c>
      <c r="R1834" t="str">
        <f>IFERROR(VLOOKUP(T[[#This Row],[warehouse]],Table2[],2,FALSE),"--")</f>
        <v>--</v>
      </c>
    </row>
    <row r="1835" spans="1:18" x14ac:dyDescent="0.25">
      <c r="A1835" t="s">
        <v>560</v>
      </c>
      <c r="B1835" s="1">
        <v>44251</v>
      </c>
      <c r="C1835" t="s">
        <v>1245</v>
      </c>
      <c r="D1835" t="s">
        <v>322</v>
      </c>
      <c r="E1835" t="s">
        <v>51</v>
      </c>
      <c r="F1835" t="s">
        <v>164</v>
      </c>
      <c r="G1835" t="s">
        <v>1255</v>
      </c>
      <c r="H1835" t="s">
        <v>54</v>
      </c>
      <c r="I1835">
        <v>61</v>
      </c>
      <c r="J1835">
        <v>0</v>
      </c>
      <c r="K1835">
        <v>1</v>
      </c>
      <c r="L1835" t="s">
        <v>25</v>
      </c>
      <c r="M1835" t="s">
        <v>533</v>
      </c>
      <c r="N1835">
        <v>976.22950800000001</v>
      </c>
      <c r="O1835">
        <v>0</v>
      </c>
      <c r="P1835" t="str">
        <f>IF(T[[#This Row],[qty_ordered]]&lt;&gt;T[[#This Row],[qty_received]],IF(T[[#This Row],[qty_received]]&gt;0,"Partial Received","Not Receviced"),"FullyReceived")</f>
        <v>Not Receviced</v>
      </c>
      <c r="Q1835" t="str">
        <f>IF(T[[#This Row],[qty_received]]&lt;&gt;T[[#This Row],[qty_invoiced]],IF(T[[#This Row],[qty_invoiced]]&gt;0,"Partial Invoiced","Not Invoiced"),"Fully Invoiced")</f>
        <v>Partial Invoiced</v>
      </c>
      <c r="R1835" t="str">
        <f>IFERROR(VLOOKUP(T[[#This Row],[warehouse]],Table2[],2,FALSE),"--")</f>
        <v>--</v>
      </c>
    </row>
    <row r="1836" spans="1:18" x14ac:dyDescent="0.25">
      <c r="A1836" t="s">
        <v>560</v>
      </c>
      <c r="B1836" s="1">
        <v>44251</v>
      </c>
      <c r="C1836" t="s">
        <v>1246</v>
      </c>
      <c r="D1836" t="s">
        <v>325</v>
      </c>
      <c r="E1836" t="s">
        <v>51</v>
      </c>
      <c r="F1836" t="s">
        <v>164</v>
      </c>
      <c r="G1836" t="s">
        <v>1334</v>
      </c>
      <c r="H1836" t="s">
        <v>54</v>
      </c>
      <c r="I1836">
        <v>41</v>
      </c>
      <c r="J1836">
        <v>0</v>
      </c>
      <c r="K1836">
        <v>1</v>
      </c>
      <c r="L1836" t="s">
        <v>25</v>
      </c>
      <c r="M1836" t="s">
        <v>533</v>
      </c>
      <c r="N1836">
        <v>971.65853600000003</v>
      </c>
      <c r="O1836">
        <v>0</v>
      </c>
      <c r="P1836" t="str">
        <f>IF(T[[#This Row],[qty_ordered]]&lt;&gt;T[[#This Row],[qty_received]],IF(T[[#This Row],[qty_received]]&gt;0,"Partial Received","Not Receviced"),"FullyReceived")</f>
        <v>Not Receviced</v>
      </c>
      <c r="Q1836" t="str">
        <f>IF(T[[#This Row],[qty_received]]&lt;&gt;T[[#This Row],[qty_invoiced]],IF(T[[#This Row],[qty_invoiced]]&gt;0,"Partial Invoiced","Not Invoiced"),"Fully Invoiced")</f>
        <v>Partial Invoiced</v>
      </c>
      <c r="R1836" t="str">
        <f>IFERROR(VLOOKUP(T[[#This Row],[warehouse]],Table2[],2,FALSE),"--")</f>
        <v>--</v>
      </c>
    </row>
    <row r="1837" spans="1:18" x14ac:dyDescent="0.25">
      <c r="A1837" t="s">
        <v>1114</v>
      </c>
      <c r="B1837" s="1">
        <v>44321</v>
      </c>
      <c r="C1837" t="s">
        <v>1335</v>
      </c>
      <c r="D1837" t="s">
        <v>752</v>
      </c>
      <c r="E1837" t="s">
        <v>660</v>
      </c>
      <c r="F1837" t="s">
        <v>1042</v>
      </c>
      <c r="G1837" t="s">
        <v>1043</v>
      </c>
      <c r="H1837" t="s">
        <v>663</v>
      </c>
      <c r="I1837">
        <v>4549</v>
      </c>
      <c r="J1837">
        <v>4549</v>
      </c>
      <c r="K1837">
        <v>4549</v>
      </c>
      <c r="L1837" t="s">
        <v>25</v>
      </c>
      <c r="M1837" t="s">
        <v>132</v>
      </c>
      <c r="N1837">
        <v>1412.5436999999999</v>
      </c>
      <c r="O1837">
        <v>13344819.028000001</v>
      </c>
      <c r="P1837" t="str">
        <f>IF(T[[#This Row],[qty_ordered]]&lt;&gt;T[[#This Row],[qty_received]],IF(T[[#This Row],[qty_received]]&gt;0,"Partial Received","Not Receviced"),"FullyReceived")</f>
        <v>FullyReceived</v>
      </c>
      <c r="Q1837" t="str">
        <f>IF(T[[#This Row],[qty_received]]&lt;&gt;T[[#This Row],[qty_invoiced]],IF(T[[#This Row],[qty_invoiced]]&gt;0,"Partial Invoiced","Not Invoiced"),"Fully Invoiced")</f>
        <v>Fully Invoiced</v>
      </c>
      <c r="R1837" t="str">
        <f>IFERROR(VLOOKUP(T[[#This Row],[warehouse]],Table2[],2,FALSE),"--")</f>
        <v>SLAUGHTER HOUSE</v>
      </c>
    </row>
    <row r="1838" spans="1:18" x14ac:dyDescent="0.25">
      <c r="A1838" t="s">
        <v>955</v>
      </c>
      <c r="B1838" s="1">
        <v>44221</v>
      </c>
      <c r="C1838" t="s">
        <v>1193</v>
      </c>
      <c r="D1838" t="s">
        <v>100</v>
      </c>
      <c r="E1838" t="s">
        <v>1142</v>
      </c>
      <c r="F1838" t="s">
        <v>691</v>
      </c>
      <c r="G1838" t="s">
        <v>478</v>
      </c>
      <c r="H1838" t="s">
        <v>24</v>
      </c>
      <c r="I1838">
        <v>480</v>
      </c>
      <c r="J1838">
        <v>0</v>
      </c>
      <c r="K1838">
        <v>0</v>
      </c>
      <c r="L1838" t="s">
        <v>693</v>
      </c>
      <c r="M1838" t="s">
        <v>132</v>
      </c>
      <c r="N1838">
        <v>479166.66666699998</v>
      </c>
      <c r="O1838">
        <v>0</v>
      </c>
      <c r="P1838" t="str">
        <f>IF(T[[#This Row],[qty_ordered]]&lt;&gt;T[[#This Row],[qty_received]],IF(T[[#This Row],[qty_received]]&gt;0,"Partial Received","Not Receviced"),"FullyReceived")</f>
        <v>Not Receviced</v>
      </c>
      <c r="Q1838" t="str">
        <f>IF(T[[#This Row],[qty_received]]&lt;&gt;T[[#This Row],[qty_invoiced]],IF(T[[#This Row],[qty_invoiced]]&gt;0,"Partial Invoiced","Not Invoiced"),"Fully Invoiced")</f>
        <v>Fully Invoiced</v>
      </c>
      <c r="R1838" t="str">
        <f>IFERROR(VLOOKUP(T[[#This Row],[warehouse]],Table2[],2,FALSE),"--")</f>
        <v>SAVOLA W/H FOR EXPOR</v>
      </c>
    </row>
    <row r="1839" spans="1:18" x14ac:dyDescent="0.25">
      <c r="A1839" t="s">
        <v>1114</v>
      </c>
      <c r="B1839" s="1">
        <v>44321</v>
      </c>
      <c r="C1839" t="s">
        <v>1335</v>
      </c>
      <c r="D1839" t="s">
        <v>759</v>
      </c>
      <c r="E1839" t="s">
        <v>660</v>
      </c>
      <c r="F1839" t="s">
        <v>1042</v>
      </c>
      <c r="G1839" t="s">
        <v>1043</v>
      </c>
      <c r="H1839" t="s">
        <v>663</v>
      </c>
      <c r="I1839">
        <v>9661.2999999999993</v>
      </c>
      <c r="J1839">
        <v>9661.2999999999993</v>
      </c>
      <c r="K1839">
        <v>9661.2999999999993</v>
      </c>
      <c r="L1839" t="s">
        <v>25</v>
      </c>
      <c r="M1839" t="s">
        <v>132</v>
      </c>
      <c r="N1839">
        <v>1412.5436999999999</v>
      </c>
      <c r="O1839">
        <v>126016956.522999</v>
      </c>
      <c r="P1839" t="str">
        <f>IF(T[[#This Row],[qty_ordered]]&lt;&gt;T[[#This Row],[qty_received]],IF(T[[#This Row],[qty_received]]&gt;0,"Partial Received","Not Receviced"),"FullyReceived")</f>
        <v>FullyReceived</v>
      </c>
      <c r="Q1839" t="str">
        <f>IF(T[[#This Row],[qty_received]]&lt;&gt;T[[#This Row],[qty_invoiced]],IF(T[[#This Row],[qty_invoiced]]&gt;0,"Partial Invoiced","Not Invoiced"),"Fully Invoiced")</f>
        <v>Fully Invoiced</v>
      </c>
      <c r="R1839" t="str">
        <f>IFERROR(VLOOKUP(T[[#This Row],[warehouse]],Table2[],2,FALSE),"--")</f>
        <v>SLAUGHTER HOUSE</v>
      </c>
    </row>
    <row r="1840" spans="1:18" x14ac:dyDescent="0.25">
      <c r="A1840" t="s">
        <v>1114</v>
      </c>
      <c r="B1840" s="1">
        <v>44250</v>
      </c>
      <c r="C1840" t="s">
        <v>1242</v>
      </c>
      <c r="D1840" t="s">
        <v>100</v>
      </c>
      <c r="E1840" t="s">
        <v>660</v>
      </c>
      <c r="F1840" t="s">
        <v>1042</v>
      </c>
      <c r="G1840" t="s">
        <v>1043</v>
      </c>
      <c r="H1840" t="s">
        <v>663</v>
      </c>
      <c r="I1840">
        <v>31680</v>
      </c>
      <c r="J1840">
        <v>0</v>
      </c>
      <c r="K1840">
        <v>0</v>
      </c>
      <c r="L1840" t="s">
        <v>25</v>
      </c>
      <c r="M1840" t="s">
        <v>132</v>
      </c>
      <c r="N1840">
        <v>1250</v>
      </c>
      <c r="O1840">
        <v>0</v>
      </c>
      <c r="P1840" t="str">
        <f>IF(T[[#This Row],[qty_ordered]]&lt;&gt;T[[#This Row],[qty_received]],IF(T[[#This Row],[qty_received]]&gt;0,"Partial Received","Not Receviced"),"FullyReceived")</f>
        <v>Not Receviced</v>
      </c>
      <c r="Q1840" t="str">
        <f>IF(T[[#This Row],[qty_received]]&lt;&gt;T[[#This Row],[qty_invoiced]],IF(T[[#This Row],[qty_invoiced]]&gt;0,"Partial Invoiced","Not Invoiced"),"Fully Invoiced")</f>
        <v>Fully Invoiced</v>
      </c>
      <c r="R1840" t="str">
        <f>IFERROR(VLOOKUP(T[[#This Row],[warehouse]],Table2[],2,FALSE),"--")</f>
        <v>SLAUGHTER HOUSE</v>
      </c>
    </row>
    <row r="1841" spans="1:18" x14ac:dyDescent="0.25">
      <c r="A1841" t="s">
        <v>1114</v>
      </c>
      <c r="B1841" s="1">
        <v>44347</v>
      </c>
      <c r="C1841" t="s">
        <v>1336</v>
      </c>
      <c r="D1841" t="s">
        <v>20</v>
      </c>
      <c r="E1841" t="s">
        <v>660</v>
      </c>
      <c r="F1841" t="s">
        <v>1042</v>
      </c>
      <c r="G1841" t="s">
        <v>1043</v>
      </c>
      <c r="H1841" t="s">
        <v>663</v>
      </c>
      <c r="I1841">
        <v>4513</v>
      </c>
      <c r="J1841">
        <v>4513</v>
      </c>
      <c r="K1841">
        <v>4513</v>
      </c>
      <c r="L1841" t="s">
        <v>25</v>
      </c>
      <c r="M1841" t="s">
        <v>132</v>
      </c>
      <c r="N1841">
        <v>1609.2270000000001</v>
      </c>
      <c r="O1841">
        <v>5415600</v>
      </c>
      <c r="P1841" t="str">
        <f>IF(T[[#This Row],[qty_ordered]]&lt;&gt;T[[#This Row],[qty_received]],IF(T[[#This Row],[qty_received]]&gt;0,"Partial Received","Not Receviced"),"FullyReceived")</f>
        <v>FullyReceived</v>
      </c>
      <c r="Q1841" t="str">
        <f>IF(T[[#This Row],[qty_received]]&lt;&gt;T[[#This Row],[qty_invoiced]],IF(T[[#This Row],[qty_invoiced]]&gt;0,"Partial Invoiced","Not Invoiced"),"Fully Invoiced")</f>
        <v>Fully Invoiced</v>
      </c>
      <c r="R1841" t="str">
        <f>IFERROR(VLOOKUP(T[[#This Row],[warehouse]],Table2[],2,FALSE),"--")</f>
        <v>SLAUGHTER HOUSE</v>
      </c>
    </row>
    <row r="1842" spans="1:18" x14ac:dyDescent="0.25">
      <c r="A1842" t="s">
        <v>1114</v>
      </c>
      <c r="B1842" s="1">
        <v>44347</v>
      </c>
      <c r="C1842" t="s">
        <v>1336</v>
      </c>
      <c r="D1842" t="s">
        <v>71</v>
      </c>
      <c r="E1842" t="s">
        <v>660</v>
      </c>
      <c r="F1842" t="s">
        <v>1042</v>
      </c>
      <c r="G1842" t="s">
        <v>1043</v>
      </c>
      <c r="H1842" t="s">
        <v>663</v>
      </c>
      <c r="I1842">
        <v>8495.9</v>
      </c>
      <c r="J1842">
        <v>8495.9</v>
      </c>
      <c r="K1842">
        <v>8495.9</v>
      </c>
      <c r="L1842" t="s">
        <v>25</v>
      </c>
      <c r="M1842" t="s">
        <v>132</v>
      </c>
      <c r="N1842">
        <v>1609.2270000000001</v>
      </c>
      <c r="O1842">
        <v>10195080</v>
      </c>
      <c r="P1842" t="str">
        <f>IF(T[[#This Row],[qty_ordered]]&lt;&gt;T[[#This Row],[qty_received]],IF(T[[#This Row],[qty_received]]&gt;0,"Partial Received","Not Receviced"),"FullyReceived")</f>
        <v>FullyReceived</v>
      </c>
      <c r="Q1842" t="str">
        <f>IF(T[[#This Row],[qty_received]]&lt;&gt;T[[#This Row],[qty_invoiced]],IF(T[[#This Row],[qty_invoiced]]&gt;0,"Partial Invoiced","Not Invoiced"),"Fully Invoiced")</f>
        <v>Fully Invoiced</v>
      </c>
      <c r="R1842" t="str">
        <f>IFERROR(VLOOKUP(T[[#This Row],[warehouse]],Table2[],2,FALSE),"--")</f>
        <v>SLAUGHTER HOUSE</v>
      </c>
    </row>
    <row r="1843" spans="1:18" x14ac:dyDescent="0.25">
      <c r="A1843" t="s">
        <v>1114</v>
      </c>
      <c r="B1843" s="1">
        <v>44250</v>
      </c>
      <c r="C1843" t="s">
        <v>1242</v>
      </c>
      <c r="D1843" t="s">
        <v>88</v>
      </c>
      <c r="E1843" t="s">
        <v>660</v>
      </c>
      <c r="F1843" t="s">
        <v>1042</v>
      </c>
      <c r="G1843" t="s">
        <v>1043</v>
      </c>
      <c r="H1843" t="s">
        <v>663</v>
      </c>
      <c r="I1843">
        <v>12000</v>
      </c>
      <c r="J1843">
        <v>0</v>
      </c>
      <c r="K1843">
        <v>0</v>
      </c>
      <c r="L1843" t="s">
        <v>25</v>
      </c>
      <c r="M1843" t="s">
        <v>132</v>
      </c>
      <c r="N1843">
        <v>2500</v>
      </c>
      <c r="O1843">
        <v>0</v>
      </c>
      <c r="P1843" t="str">
        <f>IF(T[[#This Row],[qty_ordered]]&lt;&gt;T[[#This Row],[qty_received]],IF(T[[#This Row],[qty_received]]&gt;0,"Partial Received","Not Receviced"),"FullyReceived")</f>
        <v>Not Receviced</v>
      </c>
      <c r="Q1843" t="str">
        <f>IF(T[[#This Row],[qty_received]]&lt;&gt;T[[#This Row],[qty_invoiced]],IF(T[[#This Row],[qty_invoiced]]&gt;0,"Partial Invoiced","Not Invoiced"),"Fully Invoiced")</f>
        <v>Fully Invoiced</v>
      </c>
      <c r="R1843" t="str">
        <f>IFERROR(VLOOKUP(T[[#This Row],[warehouse]],Table2[],2,FALSE),"--")</f>
        <v>SLAUGHTER HOUSE</v>
      </c>
    </row>
    <row r="1844" spans="1:18" x14ac:dyDescent="0.25">
      <c r="A1844" t="s">
        <v>1312</v>
      </c>
      <c r="B1844" s="1">
        <v>44252</v>
      </c>
      <c r="C1844" t="s">
        <v>1337</v>
      </c>
      <c r="D1844" t="s">
        <v>76</v>
      </c>
      <c r="E1844" t="s">
        <v>51</v>
      </c>
      <c r="F1844" t="s">
        <v>933</v>
      </c>
      <c r="G1844" t="s">
        <v>933</v>
      </c>
      <c r="H1844" t="s">
        <v>54</v>
      </c>
      <c r="I1844">
        <v>1</v>
      </c>
      <c r="J1844">
        <v>0</v>
      </c>
      <c r="K1844">
        <v>1</v>
      </c>
      <c r="L1844" t="s">
        <v>25</v>
      </c>
      <c r="M1844" t="s">
        <v>744</v>
      </c>
      <c r="N1844">
        <v>436566</v>
      </c>
      <c r="O1844">
        <v>0</v>
      </c>
      <c r="P1844" t="str">
        <f>IF(T[[#This Row],[qty_ordered]]&lt;&gt;T[[#This Row],[qty_received]],IF(T[[#This Row],[qty_received]]&gt;0,"Partial Received","Not Receviced"),"FullyReceived")</f>
        <v>Not Receviced</v>
      </c>
      <c r="Q1844" t="str">
        <f>IF(T[[#This Row],[qty_received]]&lt;&gt;T[[#This Row],[qty_invoiced]],IF(T[[#This Row],[qty_invoiced]]&gt;0,"Partial Invoiced","Not Invoiced"),"Fully Invoiced")</f>
        <v>Partial Invoiced</v>
      </c>
      <c r="R1844" t="str">
        <f>IFERROR(VLOOKUP(T[[#This Row],[warehouse]],Table2[],2,FALSE),"--")</f>
        <v>--</v>
      </c>
    </row>
    <row r="1845" spans="1:18" x14ac:dyDescent="0.25">
      <c r="A1845" t="s">
        <v>1312</v>
      </c>
      <c r="B1845" s="1">
        <v>44313</v>
      </c>
      <c r="C1845" t="s">
        <v>1313</v>
      </c>
      <c r="D1845" t="s">
        <v>100</v>
      </c>
      <c r="E1845" t="s">
        <v>51</v>
      </c>
      <c r="F1845" t="s">
        <v>933</v>
      </c>
      <c r="G1845" t="s">
        <v>933</v>
      </c>
      <c r="H1845" t="s">
        <v>54</v>
      </c>
      <c r="I1845">
        <v>1</v>
      </c>
      <c r="J1845">
        <v>0</v>
      </c>
      <c r="K1845">
        <v>1</v>
      </c>
      <c r="L1845" t="s">
        <v>25</v>
      </c>
      <c r="M1845" t="s">
        <v>744</v>
      </c>
      <c r="N1845">
        <v>293460</v>
      </c>
      <c r="O1845">
        <v>0</v>
      </c>
      <c r="P1845" t="str">
        <f>IF(T[[#This Row],[qty_ordered]]&lt;&gt;T[[#This Row],[qty_received]],IF(T[[#This Row],[qty_received]]&gt;0,"Partial Received","Not Receviced"),"FullyReceived")</f>
        <v>Not Receviced</v>
      </c>
      <c r="Q1845" t="str">
        <f>IF(T[[#This Row],[qty_received]]&lt;&gt;T[[#This Row],[qty_invoiced]],IF(T[[#This Row],[qty_invoiced]]&gt;0,"Partial Invoiced","Not Invoiced"),"Fully Invoiced")</f>
        <v>Partial Invoiced</v>
      </c>
      <c r="R1845" t="str">
        <f>IFERROR(VLOOKUP(T[[#This Row],[warehouse]],Table2[],2,FALSE),"--")</f>
        <v>--</v>
      </c>
    </row>
    <row r="1846" spans="1:18" x14ac:dyDescent="0.25">
      <c r="A1846" t="s">
        <v>560</v>
      </c>
      <c r="B1846" s="1">
        <v>44251</v>
      </c>
      <c r="C1846" t="s">
        <v>1237</v>
      </c>
      <c r="D1846" t="s">
        <v>76</v>
      </c>
      <c r="E1846" t="s">
        <v>51</v>
      </c>
      <c r="F1846" t="s">
        <v>164</v>
      </c>
      <c r="G1846" t="s">
        <v>1275</v>
      </c>
      <c r="H1846" t="s">
        <v>54</v>
      </c>
      <c r="I1846">
        <v>38</v>
      </c>
      <c r="J1846">
        <v>0</v>
      </c>
      <c r="K1846">
        <v>1</v>
      </c>
      <c r="L1846" t="s">
        <v>25</v>
      </c>
      <c r="M1846" t="s">
        <v>533</v>
      </c>
      <c r="N1846">
        <v>1530</v>
      </c>
      <c r="O1846">
        <v>0</v>
      </c>
      <c r="P1846" t="str">
        <f>IF(T[[#This Row],[qty_ordered]]&lt;&gt;T[[#This Row],[qty_received]],IF(T[[#This Row],[qty_received]]&gt;0,"Partial Received","Not Receviced"),"FullyReceived")</f>
        <v>Not Receviced</v>
      </c>
      <c r="Q1846" t="str">
        <f>IF(T[[#This Row],[qty_received]]&lt;&gt;T[[#This Row],[qty_invoiced]],IF(T[[#This Row],[qty_invoiced]]&gt;0,"Partial Invoiced","Not Invoiced"),"Fully Invoiced")</f>
        <v>Partial Invoiced</v>
      </c>
      <c r="R1846" t="str">
        <f>IFERROR(VLOOKUP(T[[#This Row],[warehouse]],Table2[],2,FALSE),"--")</f>
        <v>--</v>
      </c>
    </row>
    <row r="1847" spans="1:18" x14ac:dyDescent="0.25">
      <c r="A1847" t="s">
        <v>560</v>
      </c>
      <c r="B1847" s="1">
        <v>44251</v>
      </c>
      <c r="C1847" t="s">
        <v>1244</v>
      </c>
      <c r="D1847" t="s">
        <v>76</v>
      </c>
      <c r="E1847" t="s">
        <v>51</v>
      </c>
      <c r="F1847" t="s">
        <v>164</v>
      </c>
      <c r="G1847" t="s">
        <v>1333</v>
      </c>
      <c r="H1847" t="s">
        <v>54</v>
      </c>
      <c r="I1847">
        <v>30</v>
      </c>
      <c r="J1847">
        <v>0</v>
      </c>
      <c r="K1847">
        <v>1</v>
      </c>
      <c r="L1847" t="s">
        <v>25</v>
      </c>
      <c r="M1847" t="s">
        <v>533</v>
      </c>
      <c r="N1847">
        <v>1530</v>
      </c>
      <c r="O1847">
        <v>0</v>
      </c>
      <c r="P1847" t="str">
        <f>IF(T[[#This Row],[qty_ordered]]&lt;&gt;T[[#This Row],[qty_received]],IF(T[[#This Row],[qty_received]]&gt;0,"Partial Received","Not Receviced"),"FullyReceived")</f>
        <v>Not Receviced</v>
      </c>
      <c r="Q1847" t="str">
        <f>IF(T[[#This Row],[qty_received]]&lt;&gt;T[[#This Row],[qty_invoiced]],IF(T[[#This Row],[qty_invoiced]]&gt;0,"Partial Invoiced","Not Invoiced"),"Fully Invoiced")</f>
        <v>Partial Invoiced</v>
      </c>
      <c r="R1847" t="str">
        <f>IFERROR(VLOOKUP(T[[#This Row],[warehouse]],Table2[],2,FALSE),"--")</f>
        <v>--</v>
      </c>
    </row>
    <row r="1848" spans="1:18" x14ac:dyDescent="0.25">
      <c r="A1848" t="s">
        <v>560</v>
      </c>
      <c r="B1848" s="1">
        <v>44251</v>
      </c>
      <c r="C1848" t="s">
        <v>1246</v>
      </c>
      <c r="D1848" t="s">
        <v>615</v>
      </c>
      <c r="E1848" t="s">
        <v>51</v>
      </c>
      <c r="F1848" t="s">
        <v>164</v>
      </c>
      <c r="G1848" t="s">
        <v>1334</v>
      </c>
      <c r="H1848" t="s">
        <v>54</v>
      </c>
      <c r="I1848">
        <v>20</v>
      </c>
      <c r="J1848">
        <v>0</v>
      </c>
      <c r="K1848">
        <v>1</v>
      </c>
      <c r="L1848" t="s">
        <v>25</v>
      </c>
      <c r="M1848" t="s">
        <v>533</v>
      </c>
      <c r="N1848">
        <v>1758</v>
      </c>
      <c r="O1848">
        <v>0</v>
      </c>
      <c r="P1848" t="str">
        <f>IF(T[[#This Row],[qty_ordered]]&lt;&gt;T[[#This Row],[qty_received]],IF(T[[#This Row],[qty_received]]&gt;0,"Partial Received","Not Receviced"),"FullyReceived")</f>
        <v>Not Receviced</v>
      </c>
      <c r="Q1848" t="str">
        <f>IF(T[[#This Row],[qty_received]]&lt;&gt;T[[#This Row],[qty_invoiced]],IF(T[[#This Row],[qty_invoiced]]&gt;0,"Partial Invoiced","Not Invoiced"),"Fully Invoiced")</f>
        <v>Partial Invoiced</v>
      </c>
      <c r="R1848" t="str">
        <f>IFERROR(VLOOKUP(T[[#This Row],[warehouse]],Table2[],2,FALSE),"--")</f>
        <v>--</v>
      </c>
    </row>
    <row r="1849" spans="1:18" x14ac:dyDescent="0.25">
      <c r="A1849" t="s">
        <v>1218</v>
      </c>
      <c r="B1849" s="1">
        <v>44248</v>
      </c>
      <c r="C1849" t="s">
        <v>1219</v>
      </c>
      <c r="D1849" t="s">
        <v>76</v>
      </c>
      <c r="E1849" t="s">
        <v>1285</v>
      </c>
      <c r="F1849" t="s">
        <v>1338</v>
      </c>
      <c r="G1849" t="s">
        <v>1339</v>
      </c>
      <c r="H1849" t="s">
        <v>123</v>
      </c>
      <c r="I1849">
        <v>1077</v>
      </c>
      <c r="J1849">
        <v>1077</v>
      </c>
      <c r="K1849">
        <v>1077</v>
      </c>
      <c r="L1849" t="s">
        <v>693</v>
      </c>
      <c r="M1849" t="s">
        <v>1223</v>
      </c>
      <c r="N1849">
        <v>10103.66</v>
      </c>
      <c r="O1849">
        <v>10881641.82</v>
      </c>
      <c r="P1849" t="str">
        <f>IF(T[[#This Row],[qty_ordered]]&lt;&gt;T[[#This Row],[qty_received]],IF(T[[#This Row],[qty_received]]&gt;0,"Partial Received","Not Receviced"),"FullyReceived")</f>
        <v>FullyReceived</v>
      </c>
      <c r="Q1849" t="str">
        <f>IF(T[[#This Row],[qty_received]]&lt;&gt;T[[#This Row],[qty_invoiced]],IF(T[[#This Row],[qty_invoiced]]&gt;0,"Partial Invoiced","Not Invoiced"),"Fully Invoiced")</f>
        <v>Fully Invoiced</v>
      </c>
      <c r="R1849" t="str">
        <f>IFERROR(VLOOKUP(T[[#This Row],[warehouse]],Table2[],2,FALSE),"--")</f>
        <v>Khartoum Import Warehouse</v>
      </c>
    </row>
    <row r="1850" spans="1:18" x14ac:dyDescent="0.25">
      <c r="A1850" t="s">
        <v>560</v>
      </c>
      <c r="B1850" s="1">
        <v>44251</v>
      </c>
      <c r="C1850" t="s">
        <v>1246</v>
      </c>
      <c r="D1850" t="s">
        <v>752</v>
      </c>
      <c r="E1850" t="s">
        <v>51</v>
      </c>
      <c r="F1850" t="s">
        <v>164</v>
      </c>
      <c r="G1850" t="s">
        <v>1334</v>
      </c>
      <c r="H1850" t="s">
        <v>54</v>
      </c>
      <c r="I1850">
        <v>29</v>
      </c>
      <c r="J1850">
        <v>0</v>
      </c>
      <c r="K1850">
        <v>1</v>
      </c>
      <c r="L1850" t="s">
        <v>25</v>
      </c>
      <c r="M1850" t="s">
        <v>533</v>
      </c>
      <c r="N1850">
        <v>2001.724138</v>
      </c>
      <c r="O1850">
        <v>0</v>
      </c>
      <c r="P1850" t="str">
        <f>IF(T[[#This Row],[qty_ordered]]&lt;&gt;T[[#This Row],[qty_received]],IF(T[[#This Row],[qty_received]]&gt;0,"Partial Received","Not Receviced"),"FullyReceived")</f>
        <v>Not Receviced</v>
      </c>
      <c r="Q1850" t="str">
        <f>IF(T[[#This Row],[qty_received]]&lt;&gt;T[[#This Row],[qty_invoiced]],IF(T[[#This Row],[qty_invoiced]]&gt;0,"Partial Invoiced","Not Invoiced"),"Fully Invoiced")</f>
        <v>Partial Invoiced</v>
      </c>
      <c r="R1850" t="str">
        <f>IFERROR(VLOOKUP(T[[#This Row],[warehouse]],Table2[],2,FALSE),"--")</f>
        <v>--</v>
      </c>
    </row>
    <row r="1851" spans="1:18" x14ac:dyDescent="0.25">
      <c r="A1851" t="s">
        <v>560</v>
      </c>
      <c r="B1851" s="1">
        <v>44251</v>
      </c>
      <c r="C1851" t="s">
        <v>1246</v>
      </c>
      <c r="D1851" t="s">
        <v>759</v>
      </c>
      <c r="E1851" t="s">
        <v>51</v>
      </c>
      <c r="F1851" t="s">
        <v>164</v>
      </c>
      <c r="G1851" t="s">
        <v>1334</v>
      </c>
      <c r="H1851" t="s">
        <v>54</v>
      </c>
      <c r="I1851">
        <v>40</v>
      </c>
      <c r="J1851">
        <v>0</v>
      </c>
      <c r="K1851">
        <v>1</v>
      </c>
      <c r="L1851" t="s">
        <v>25</v>
      </c>
      <c r="M1851" t="s">
        <v>533</v>
      </c>
      <c r="N1851">
        <v>1632</v>
      </c>
      <c r="O1851">
        <v>0</v>
      </c>
      <c r="P1851" t="str">
        <f>IF(T[[#This Row],[qty_ordered]]&lt;&gt;T[[#This Row],[qty_received]],IF(T[[#This Row],[qty_received]]&gt;0,"Partial Received","Not Receviced"),"FullyReceived")</f>
        <v>Not Receviced</v>
      </c>
      <c r="Q1851" t="str">
        <f>IF(T[[#This Row],[qty_received]]&lt;&gt;T[[#This Row],[qty_invoiced]],IF(T[[#This Row],[qty_invoiced]]&gt;0,"Partial Invoiced","Not Invoiced"),"Fully Invoiced")</f>
        <v>Partial Invoiced</v>
      </c>
      <c r="R1851" t="str">
        <f>IFERROR(VLOOKUP(T[[#This Row],[warehouse]],Table2[],2,FALSE),"--")</f>
        <v>--</v>
      </c>
    </row>
    <row r="1852" spans="1:18" x14ac:dyDescent="0.25">
      <c r="A1852" t="s">
        <v>560</v>
      </c>
      <c r="B1852" s="1">
        <v>44251</v>
      </c>
      <c r="C1852" t="s">
        <v>1247</v>
      </c>
      <c r="D1852" t="s">
        <v>752</v>
      </c>
      <c r="E1852" t="s">
        <v>51</v>
      </c>
      <c r="F1852" t="s">
        <v>164</v>
      </c>
      <c r="G1852" t="s">
        <v>792</v>
      </c>
      <c r="H1852" t="s">
        <v>54</v>
      </c>
      <c r="I1852">
        <v>30</v>
      </c>
      <c r="J1852">
        <v>0</v>
      </c>
      <c r="K1852">
        <v>1</v>
      </c>
      <c r="L1852" t="s">
        <v>25</v>
      </c>
      <c r="M1852" t="s">
        <v>533</v>
      </c>
      <c r="N1852">
        <v>1530</v>
      </c>
      <c r="O1852">
        <v>0</v>
      </c>
      <c r="P1852" t="str">
        <f>IF(T[[#This Row],[qty_ordered]]&lt;&gt;T[[#This Row],[qty_received]],IF(T[[#This Row],[qty_received]]&gt;0,"Partial Received","Not Receviced"),"FullyReceived")</f>
        <v>Not Receviced</v>
      </c>
      <c r="Q1852" t="str">
        <f>IF(T[[#This Row],[qty_received]]&lt;&gt;T[[#This Row],[qty_invoiced]],IF(T[[#This Row],[qty_invoiced]]&gt;0,"Partial Invoiced","Not Invoiced"),"Fully Invoiced")</f>
        <v>Partial Invoiced</v>
      </c>
      <c r="R1852" t="str">
        <f>IFERROR(VLOOKUP(T[[#This Row],[warehouse]],Table2[],2,FALSE),"--")</f>
        <v>--</v>
      </c>
    </row>
    <row r="1853" spans="1:18" x14ac:dyDescent="0.25">
      <c r="A1853" t="s">
        <v>560</v>
      </c>
      <c r="B1853" s="1">
        <v>44251</v>
      </c>
      <c r="C1853" t="s">
        <v>1248</v>
      </c>
      <c r="D1853" t="s">
        <v>593</v>
      </c>
      <c r="E1853" t="s">
        <v>51</v>
      </c>
      <c r="F1853" t="s">
        <v>164</v>
      </c>
      <c r="G1853" t="s">
        <v>734</v>
      </c>
      <c r="H1853" t="s">
        <v>54</v>
      </c>
      <c r="I1853">
        <v>29</v>
      </c>
      <c r="J1853">
        <v>0</v>
      </c>
      <c r="K1853">
        <v>1</v>
      </c>
      <c r="L1853" t="s">
        <v>25</v>
      </c>
      <c r="M1853" t="s">
        <v>533</v>
      </c>
      <c r="N1853">
        <v>1530</v>
      </c>
      <c r="O1853">
        <v>0</v>
      </c>
      <c r="P1853" t="str">
        <f>IF(T[[#This Row],[qty_ordered]]&lt;&gt;T[[#This Row],[qty_received]],IF(T[[#This Row],[qty_received]]&gt;0,"Partial Received","Not Receviced"),"FullyReceived")</f>
        <v>Not Receviced</v>
      </c>
      <c r="Q1853" t="str">
        <f>IF(T[[#This Row],[qty_received]]&lt;&gt;T[[#This Row],[qty_invoiced]],IF(T[[#This Row],[qty_invoiced]]&gt;0,"Partial Invoiced","Not Invoiced"),"Fully Invoiced")</f>
        <v>Partial Invoiced</v>
      </c>
      <c r="R1853" t="str">
        <f>IFERROR(VLOOKUP(T[[#This Row],[warehouse]],Table2[],2,FALSE),"--")</f>
        <v>--</v>
      </c>
    </row>
    <row r="1854" spans="1:18" x14ac:dyDescent="0.25">
      <c r="A1854" t="s">
        <v>560</v>
      </c>
      <c r="B1854" s="1">
        <v>44251</v>
      </c>
      <c r="C1854" t="s">
        <v>1248</v>
      </c>
      <c r="D1854" t="s">
        <v>594</v>
      </c>
      <c r="E1854" t="s">
        <v>51</v>
      </c>
      <c r="F1854" t="s">
        <v>164</v>
      </c>
      <c r="G1854" t="s">
        <v>734</v>
      </c>
      <c r="H1854" t="s">
        <v>54</v>
      </c>
      <c r="I1854">
        <v>9</v>
      </c>
      <c r="J1854">
        <v>0</v>
      </c>
      <c r="K1854">
        <v>1</v>
      </c>
      <c r="L1854" t="s">
        <v>25</v>
      </c>
      <c r="M1854" t="s">
        <v>533</v>
      </c>
      <c r="N1854">
        <v>1530</v>
      </c>
      <c r="O1854">
        <v>0</v>
      </c>
      <c r="P1854" t="str">
        <f>IF(T[[#This Row],[qty_ordered]]&lt;&gt;T[[#This Row],[qty_received]],IF(T[[#This Row],[qty_received]]&gt;0,"Partial Received","Not Receviced"),"FullyReceived")</f>
        <v>Not Receviced</v>
      </c>
      <c r="Q1854" t="str">
        <f>IF(T[[#This Row],[qty_received]]&lt;&gt;T[[#This Row],[qty_invoiced]],IF(T[[#This Row],[qty_invoiced]]&gt;0,"Partial Invoiced","Not Invoiced"),"Fully Invoiced")</f>
        <v>Partial Invoiced</v>
      </c>
      <c r="R1854" t="str">
        <f>IFERROR(VLOOKUP(T[[#This Row],[warehouse]],Table2[],2,FALSE),"--")</f>
        <v>--</v>
      </c>
    </row>
    <row r="1855" spans="1:18" x14ac:dyDescent="0.25">
      <c r="A1855" t="s">
        <v>560</v>
      </c>
      <c r="B1855" s="1">
        <v>44251</v>
      </c>
      <c r="C1855" t="s">
        <v>1256</v>
      </c>
      <c r="D1855" t="s">
        <v>858</v>
      </c>
      <c r="E1855" t="s">
        <v>51</v>
      </c>
      <c r="F1855" t="s">
        <v>164</v>
      </c>
      <c r="G1855" t="s">
        <v>1079</v>
      </c>
      <c r="H1855" t="s">
        <v>54</v>
      </c>
      <c r="I1855">
        <v>30</v>
      </c>
      <c r="J1855">
        <v>0</v>
      </c>
      <c r="K1855">
        <v>1</v>
      </c>
      <c r="L1855" t="s">
        <v>25</v>
      </c>
      <c r="M1855" t="s">
        <v>533</v>
      </c>
      <c r="N1855">
        <v>1530</v>
      </c>
      <c r="O1855">
        <v>0</v>
      </c>
      <c r="P1855" t="str">
        <f>IF(T[[#This Row],[qty_ordered]]&lt;&gt;T[[#This Row],[qty_received]],IF(T[[#This Row],[qty_received]]&gt;0,"Partial Received","Not Receviced"),"FullyReceived")</f>
        <v>Not Receviced</v>
      </c>
      <c r="Q1855" t="str">
        <f>IF(T[[#This Row],[qty_received]]&lt;&gt;T[[#This Row],[qty_invoiced]],IF(T[[#This Row],[qty_invoiced]]&gt;0,"Partial Invoiced","Not Invoiced"),"Fully Invoiced")</f>
        <v>Partial Invoiced</v>
      </c>
      <c r="R1855" t="str">
        <f>IFERROR(VLOOKUP(T[[#This Row],[warehouse]],Table2[],2,FALSE),"--")</f>
        <v>--</v>
      </c>
    </row>
    <row r="1856" spans="1:18" x14ac:dyDescent="0.25">
      <c r="A1856" t="s">
        <v>560</v>
      </c>
      <c r="B1856" s="1">
        <v>44251</v>
      </c>
      <c r="C1856" t="s">
        <v>1256</v>
      </c>
      <c r="D1856" t="s">
        <v>860</v>
      </c>
      <c r="E1856" t="s">
        <v>51</v>
      </c>
      <c r="F1856" t="s">
        <v>164</v>
      </c>
      <c r="G1856" t="s">
        <v>1079</v>
      </c>
      <c r="H1856" t="s">
        <v>54</v>
      </c>
      <c r="I1856">
        <v>30</v>
      </c>
      <c r="J1856">
        <v>0</v>
      </c>
      <c r="K1856">
        <v>1</v>
      </c>
      <c r="L1856" t="s">
        <v>25</v>
      </c>
      <c r="M1856" t="s">
        <v>533</v>
      </c>
      <c r="N1856">
        <v>1815</v>
      </c>
      <c r="O1856">
        <v>0</v>
      </c>
      <c r="P1856" t="str">
        <f>IF(T[[#This Row],[qty_ordered]]&lt;&gt;T[[#This Row],[qty_received]],IF(T[[#This Row],[qty_received]]&gt;0,"Partial Received","Not Receviced"),"FullyReceived")</f>
        <v>Not Receviced</v>
      </c>
      <c r="Q1856" t="str">
        <f>IF(T[[#This Row],[qty_received]]&lt;&gt;T[[#This Row],[qty_invoiced]],IF(T[[#This Row],[qty_invoiced]]&gt;0,"Partial Invoiced","Not Invoiced"),"Fully Invoiced")</f>
        <v>Partial Invoiced</v>
      </c>
      <c r="R1856" t="str">
        <f>IFERROR(VLOOKUP(T[[#This Row],[warehouse]],Table2[],2,FALSE),"--")</f>
        <v>--</v>
      </c>
    </row>
    <row r="1857" spans="1:18" x14ac:dyDescent="0.25">
      <c r="A1857" t="s">
        <v>560</v>
      </c>
      <c r="B1857" s="1">
        <v>44251</v>
      </c>
      <c r="C1857" t="s">
        <v>1256</v>
      </c>
      <c r="D1857" t="s">
        <v>861</v>
      </c>
      <c r="E1857" t="s">
        <v>51</v>
      </c>
      <c r="F1857" t="s">
        <v>164</v>
      </c>
      <c r="G1857" t="s">
        <v>1079</v>
      </c>
      <c r="H1857" t="s">
        <v>54</v>
      </c>
      <c r="I1857">
        <v>76</v>
      </c>
      <c r="J1857">
        <v>0</v>
      </c>
      <c r="K1857">
        <v>1</v>
      </c>
      <c r="L1857" t="s">
        <v>25</v>
      </c>
      <c r="M1857" t="s">
        <v>533</v>
      </c>
      <c r="N1857">
        <v>1702.5</v>
      </c>
      <c r="O1857">
        <v>0</v>
      </c>
      <c r="P1857" t="str">
        <f>IF(T[[#This Row],[qty_ordered]]&lt;&gt;T[[#This Row],[qty_received]],IF(T[[#This Row],[qty_received]]&gt;0,"Partial Received","Not Receviced"),"FullyReceived")</f>
        <v>Not Receviced</v>
      </c>
      <c r="Q1857" t="str">
        <f>IF(T[[#This Row],[qty_received]]&lt;&gt;T[[#This Row],[qty_invoiced]],IF(T[[#This Row],[qty_invoiced]]&gt;0,"Partial Invoiced","Not Invoiced"),"Fully Invoiced")</f>
        <v>Partial Invoiced</v>
      </c>
      <c r="R1857" t="str">
        <f>IFERROR(VLOOKUP(T[[#This Row],[warehouse]],Table2[],2,FALSE),"--")</f>
        <v>--</v>
      </c>
    </row>
    <row r="1858" spans="1:18" x14ac:dyDescent="0.25">
      <c r="A1858" t="s">
        <v>560</v>
      </c>
      <c r="B1858" s="1">
        <v>44251</v>
      </c>
      <c r="C1858" t="s">
        <v>1256</v>
      </c>
      <c r="D1858" t="s">
        <v>862</v>
      </c>
      <c r="E1858" t="s">
        <v>51</v>
      </c>
      <c r="F1858" t="s">
        <v>164</v>
      </c>
      <c r="G1858" t="s">
        <v>1079</v>
      </c>
      <c r="H1858" t="s">
        <v>54</v>
      </c>
      <c r="I1858">
        <v>45</v>
      </c>
      <c r="J1858">
        <v>0</v>
      </c>
      <c r="K1858">
        <v>1</v>
      </c>
      <c r="L1858" t="s">
        <v>25</v>
      </c>
      <c r="M1858" t="s">
        <v>533</v>
      </c>
      <c r="N1858">
        <v>1065.333333</v>
      </c>
      <c r="O1858">
        <v>0</v>
      </c>
      <c r="P1858" t="str">
        <f>IF(T[[#This Row],[qty_ordered]]&lt;&gt;T[[#This Row],[qty_received]],IF(T[[#This Row],[qty_received]]&gt;0,"Partial Received","Not Receviced"),"FullyReceived")</f>
        <v>Not Receviced</v>
      </c>
      <c r="Q1858" t="str">
        <f>IF(T[[#This Row],[qty_received]]&lt;&gt;T[[#This Row],[qty_invoiced]],IF(T[[#This Row],[qty_invoiced]]&gt;0,"Partial Invoiced","Not Invoiced"),"Fully Invoiced")</f>
        <v>Partial Invoiced</v>
      </c>
      <c r="R1858" t="str">
        <f>IFERROR(VLOOKUP(T[[#This Row],[warehouse]],Table2[],2,FALSE),"--")</f>
        <v>--</v>
      </c>
    </row>
    <row r="1859" spans="1:18" x14ac:dyDescent="0.25">
      <c r="A1859" t="s">
        <v>560</v>
      </c>
      <c r="B1859" s="1">
        <v>44251</v>
      </c>
      <c r="C1859" t="s">
        <v>1256</v>
      </c>
      <c r="D1859" t="s">
        <v>863</v>
      </c>
      <c r="E1859" t="s">
        <v>51</v>
      </c>
      <c r="F1859" t="s">
        <v>164</v>
      </c>
      <c r="G1859" t="s">
        <v>1079</v>
      </c>
      <c r="H1859" t="s">
        <v>54</v>
      </c>
      <c r="I1859">
        <v>78</v>
      </c>
      <c r="J1859">
        <v>0</v>
      </c>
      <c r="K1859">
        <v>1</v>
      </c>
      <c r="L1859" t="s">
        <v>25</v>
      </c>
      <c r="M1859" t="s">
        <v>533</v>
      </c>
      <c r="N1859">
        <v>1631.3461540000001</v>
      </c>
      <c r="O1859">
        <v>0</v>
      </c>
      <c r="P1859" t="str">
        <f>IF(T[[#This Row],[qty_ordered]]&lt;&gt;T[[#This Row],[qty_received]],IF(T[[#This Row],[qty_received]]&gt;0,"Partial Received","Not Receviced"),"FullyReceived")</f>
        <v>Not Receviced</v>
      </c>
      <c r="Q1859" t="str">
        <f>IF(T[[#This Row],[qty_received]]&lt;&gt;T[[#This Row],[qty_invoiced]],IF(T[[#This Row],[qty_invoiced]]&gt;0,"Partial Invoiced","Not Invoiced"),"Fully Invoiced")</f>
        <v>Partial Invoiced</v>
      </c>
      <c r="R1859" t="str">
        <f>IFERROR(VLOOKUP(T[[#This Row],[warehouse]],Table2[],2,FALSE),"--")</f>
        <v>--</v>
      </c>
    </row>
    <row r="1860" spans="1:18" x14ac:dyDescent="0.25">
      <c r="A1860" t="s">
        <v>560</v>
      </c>
      <c r="B1860" s="1">
        <v>44251</v>
      </c>
      <c r="C1860" t="s">
        <v>1256</v>
      </c>
      <c r="D1860" t="s">
        <v>864</v>
      </c>
      <c r="E1860" t="s">
        <v>51</v>
      </c>
      <c r="F1860" t="s">
        <v>164</v>
      </c>
      <c r="G1860" t="s">
        <v>1079</v>
      </c>
      <c r="H1860" t="s">
        <v>54</v>
      </c>
      <c r="I1860">
        <v>159</v>
      </c>
      <c r="J1860">
        <v>0</v>
      </c>
      <c r="K1860">
        <v>1</v>
      </c>
      <c r="L1860" t="s">
        <v>25</v>
      </c>
      <c r="M1860" t="s">
        <v>533</v>
      </c>
      <c r="N1860">
        <v>1631.037736</v>
      </c>
      <c r="O1860">
        <v>0</v>
      </c>
      <c r="P1860" t="str">
        <f>IF(T[[#This Row],[qty_ordered]]&lt;&gt;T[[#This Row],[qty_received]],IF(T[[#This Row],[qty_received]]&gt;0,"Partial Received","Not Receviced"),"FullyReceived")</f>
        <v>Not Receviced</v>
      </c>
      <c r="Q1860" t="str">
        <f>IF(T[[#This Row],[qty_received]]&lt;&gt;T[[#This Row],[qty_invoiced]],IF(T[[#This Row],[qty_invoiced]]&gt;0,"Partial Invoiced","Not Invoiced"),"Fully Invoiced")</f>
        <v>Partial Invoiced</v>
      </c>
      <c r="R1860" t="str">
        <f>IFERROR(VLOOKUP(T[[#This Row],[warehouse]],Table2[],2,FALSE),"--")</f>
        <v>--</v>
      </c>
    </row>
    <row r="1861" spans="1:18" x14ac:dyDescent="0.25">
      <c r="A1861" t="s">
        <v>1170</v>
      </c>
      <c r="B1861" s="1">
        <v>44340</v>
      </c>
      <c r="C1861" t="s">
        <v>1340</v>
      </c>
      <c r="D1861" t="s">
        <v>20</v>
      </c>
      <c r="E1861" t="s">
        <v>66</v>
      </c>
      <c r="F1861" t="s">
        <v>244</v>
      </c>
      <c r="G1861" t="s">
        <v>245</v>
      </c>
      <c r="H1861" t="s">
        <v>24</v>
      </c>
      <c r="I1861">
        <v>391.48</v>
      </c>
      <c r="J1861">
        <v>267.56</v>
      </c>
      <c r="K1861">
        <v>267.56</v>
      </c>
      <c r="L1861" t="s">
        <v>25</v>
      </c>
      <c r="M1861" t="s">
        <v>132</v>
      </c>
      <c r="N1861">
        <v>555000</v>
      </c>
      <c r="O1861">
        <v>148495800</v>
      </c>
      <c r="P1861" t="str">
        <f>IF(T[[#This Row],[qty_ordered]]&lt;&gt;T[[#This Row],[qty_received]],IF(T[[#This Row],[qty_received]]&gt;0,"Partial Received","Not Receviced"),"FullyReceived")</f>
        <v>Partial Received</v>
      </c>
      <c r="Q1861" t="str">
        <f>IF(T[[#This Row],[qty_received]]&lt;&gt;T[[#This Row],[qty_invoiced]],IF(T[[#This Row],[qty_invoiced]]&gt;0,"Partial Invoiced","Not Invoiced"),"Fully Invoiced")</f>
        <v>Fully Invoiced</v>
      </c>
      <c r="R1861" t="str">
        <f>IFERROR(VLOOKUP(T[[#This Row],[warehouse]],Table2[],2,FALSE),"--")</f>
        <v>PZU Main Warehouse</v>
      </c>
    </row>
    <row r="1862" spans="1:18" x14ac:dyDescent="0.25">
      <c r="A1862" t="s">
        <v>1114</v>
      </c>
      <c r="B1862" s="1">
        <v>44321</v>
      </c>
      <c r="C1862" t="s">
        <v>1335</v>
      </c>
      <c r="D1862" t="s">
        <v>694</v>
      </c>
      <c r="E1862" t="s">
        <v>660</v>
      </c>
      <c r="F1862" t="s">
        <v>1042</v>
      </c>
      <c r="G1862" t="s">
        <v>1043</v>
      </c>
      <c r="H1862" t="s">
        <v>663</v>
      </c>
      <c r="I1862">
        <v>4354.5</v>
      </c>
      <c r="J1862">
        <v>4354.5</v>
      </c>
      <c r="K1862">
        <v>4354.5</v>
      </c>
      <c r="L1862" t="s">
        <v>25</v>
      </c>
      <c r="M1862" t="s">
        <v>132</v>
      </c>
      <c r="N1862">
        <v>1412.5436999999999</v>
      </c>
      <c r="O1862">
        <v>5443125</v>
      </c>
      <c r="P1862" t="str">
        <f>IF(T[[#This Row],[qty_ordered]]&lt;&gt;T[[#This Row],[qty_received]],IF(T[[#This Row],[qty_received]]&gt;0,"Partial Received","Not Receviced"),"FullyReceived")</f>
        <v>FullyReceived</v>
      </c>
      <c r="Q1862" t="str">
        <f>IF(T[[#This Row],[qty_received]]&lt;&gt;T[[#This Row],[qty_invoiced]],IF(T[[#This Row],[qty_invoiced]]&gt;0,"Partial Invoiced","Not Invoiced"),"Fully Invoiced")</f>
        <v>Fully Invoiced</v>
      </c>
      <c r="R1862" t="str">
        <f>IFERROR(VLOOKUP(T[[#This Row],[warehouse]],Table2[],2,FALSE),"--")</f>
        <v>SLAUGHTER HOUSE</v>
      </c>
    </row>
    <row r="1863" spans="1:18" x14ac:dyDescent="0.25">
      <c r="A1863" t="s">
        <v>1312</v>
      </c>
      <c r="B1863" s="1">
        <v>44313</v>
      </c>
      <c r="C1863" t="s">
        <v>1313</v>
      </c>
      <c r="D1863" t="s">
        <v>71</v>
      </c>
      <c r="E1863" t="s">
        <v>51</v>
      </c>
      <c r="F1863" t="s">
        <v>933</v>
      </c>
      <c r="G1863" t="s">
        <v>933</v>
      </c>
      <c r="H1863" t="s">
        <v>54</v>
      </c>
      <c r="I1863">
        <v>1</v>
      </c>
      <c r="J1863">
        <v>0</v>
      </c>
      <c r="K1863">
        <v>1</v>
      </c>
      <c r="L1863" t="s">
        <v>25</v>
      </c>
      <c r="M1863" t="s">
        <v>744</v>
      </c>
      <c r="N1863">
        <v>15000</v>
      </c>
      <c r="O1863">
        <v>0</v>
      </c>
      <c r="P1863" t="str">
        <f>IF(T[[#This Row],[qty_ordered]]&lt;&gt;T[[#This Row],[qty_received]],IF(T[[#This Row],[qty_received]]&gt;0,"Partial Received","Not Receviced"),"FullyReceived")</f>
        <v>Not Receviced</v>
      </c>
      <c r="Q1863" t="str">
        <f>IF(T[[#This Row],[qty_received]]&lt;&gt;T[[#This Row],[qty_invoiced]],IF(T[[#This Row],[qty_invoiced]]&gt;0,"Partial Invoiced","Not Invoiced"),"Fully Invoiced")</f>
        <v>Partial Invoiced</v>
      </c>
      <c r="R1863" t="str">
        <f>IFERROR(VLOOKUP(T[[#This Row],[warehouse]],Table2[],2,FALSE),"--")</f>
        <v>--</v>
      </c>
    </row>
    <row r="1864" spans="1:18" x14ac:dyDescent="0.25">
      <c r="A1864" t="s">
        <v>560</v>
      </c>
      <c r="B1864" s="1">
        <v>44251</v>
      </c>
      <c r="C1864" t="s">
        <v>1256</v>
      </c>
      <c r="D1864" t="s">
        <v>566</v>
      </c>
      <c r="E1864" t="s">
        <v>51</v>
      </c>
      <c r="F1864" t="s">
        <v>164</v>
      </c>
      <c r="G1864" t="s">
        <v>1079</v>
      </c>
      <c r="H1864" t="s">
        <v>54</v>
      </c>
      <c r="I1864">
        <v>30</v>
      </c>
      <c r="J1864">
        <v>0</v>
      </c>
      <c r="K1864">
        <v>1</v>
      </c>
      <c r="L1864" t="s">
        <v>25</v>
      </c>
      <c r="M1864" t="s">
        <v>533</v>
      </c>
      <c r="N1864">
        <v>1147.5</v>
      </c>
      <c r="O1864">
        <v>0</v>
      </c>
      <c r="P1864" t="str">
        <f>IF(T[[#This Row],[qty_ordered]]&lt;&gt;T[[#This Row],[qty_received]],IF(T[[#This Row],[qty_received]]&gt;0,"Partial Received","Not Receviced"),"FullyReceived")</f>
        <v>Not Receviced</v>
      </c>
      <c r="Q1864" t="str">
        <f>IF(T[[#This Row],[qty_received]]&lt;&gt;T[[#This Row],[qty_invoiced]],IF(T[[#This Row],[qty_invoiced]]&gt;0,"Partial Invoiced","Not Invoiced"),"Fully Invoiced")</f>
        <v>Partial Invoiced</v>
      </c>
      <c r="R1864" t="str">
        <f>IFERROR(VLOOKUP(T[[#This Row],[warehouse]],Table2[],2,FALSE),"--")</f>
        <v>--</v>
      </c>
    </row>
    <row r="1865" spans="1:18" x14ac:dyDescent="0.25">
      <c r="A1865" t="s">
        <v>560</v>
      </c>
      <c r="B1865" s="1">
        <v>44251</v>
      </c>
      <c r="C1865" t="s">
        <v>1256</v>
      </c>
      <c r="D1865" t="s">
        <v>567</v>
      </c>
      <c r="E1865" t="s">
        <v>51</v>
      </c>
      <c r="F1865" t="s">
        <v>164</v>
      </c>
      <c r="G1865" t="s">
        <v>1079</v>
      </c>
      <c r="H1865" t="s">
        <v>54</v>
      </c>
      <c r="I1865">
        <v>53</v>
      </c>
      <c r="J1865">
        <v>0</v>
      </c>
      <c r="K1865">
        <v>1</v>
      </c>
      <c r="L1865" t="s">
        <v>25</v>
      </c>
      <c r="M1865" t="s">
        <v>533</v>
      </c>
      <c r="N1865">
        <v>1834.716981</v>
      </c>
      <c r="O1865">
        <v>0</v>
      </c>
      <c r="P1865" t="str">
        <f>IF(T[[#This Row],[qty_ordered]]&lt;&gt;T[[#This Row],[qty_received]],IF(T[[#This Row],[qty_received]]&gt;0,"Partial Received","Not Receviced"),"FullyReceived")</f>
        <v>Not Receviced</v>
      </c>
      <c r="Q1865" t="str">
        <f>IF(T[[#This Row],[qty_received]]&lt;&gt;T[[#This Row],[qty_invoiced]],IF(T[[#This Row],[qty_invoiced]]&gt;0,"Partial Invoiced","Not Invoiced"),"Fully Invoiced")</f>
        <v>Partial Invoiced</v>
      </c>
      <c r="R1865" t="str">
        <f>IFERROR(VLOOKUP(T[[#This Row],[warehouse]],Table2[],2,FALSE),"--")</f>
        <v>--</v>
      </c>
    </row>
    <row r="1866" spans="1:18" x14ac:dyDescent="0.25">
      <c r="A1866" t="s">
        <v>560</v>
      </c>
      <c r="B1866" s="1">
        <v>44251</v>
      </c>
      <c r="C1866" t="s">
        <v>1276</v>
      </c>
      <c r="D1866" t="s">
        <v>76</v>
      </c>
      <c r="E1866" t="s">
        <v>51</v>
      </c>
      <c r="F1866" t="s">
        <v>164</v>
      </c>
      <c r="G1866" t="s">
        <v>1163</v>
      </c>
      <c r="H1866" t="s">
        <v>54</v>
      </c>
      <c r="I1866">
        <v>38</v>
      </c>
      <c r="J1866">
        <v>0</v>
      </c>
      <c r="K1866">
        <v>1</v>
      </c>
      <c r="L1866" t="s">
        <v>25</v>
      </c>
      <c r="M1866" t="s">
        <v>533</v>
      </c>
      <c r="N1866">
        <v>1530</v>
      </c>
      <c r="O1866">
        <v>0</v>
      </c>
      <c r="P1866" t="str">
        <f>IF(T[[#This Row],[qty_ordered]]&lt;&gt;T[[#This Row],[qty_received]],IF(T[[#This Row],[qty_received]]&gt;0,"Partial Received","Not Receviced"),"FullyReceived")</f>
        <v>Not Receviced</v>
      </c>
      <c r="Q1866" t="str">
        <f>IF(T[[#This Row],[qty_received]]&lt;&gt;T[[#This Row],[qty_invoiced]],IF(T[[#This Row],[qty_invoiced]]&gt;0,"Partial Invoiced","Not Invoiced"),"Fully Invoiced")</f>
        <v>Partial Invoiced</v>
      </c>
      <c r="R1866" t="str">
        <f>IFERROR(VLOOKUP(T[[#This Row],[warehouse]],Table2[],2,FALSE),"--")</f>
        <v>--</v>
      </c>
    </row>
    <row r="1867" spans="1:18" x14ac:dyDescent="0.25">
      <c r="A1867" t="s">
        <v>560</v>
      </c>
      <c r="B1867" s="1">
        <v>44306</v>
      </c>
      <c r="C1867" t="s">
        <v>1341</v>
      </c>
      <c r="D1867" t="s">
        <v>100</v>
      </c>
      <c r="E1867" t="s">
        <v>51</v>
      </c>
      <c r="F1867" t="s">
        <v>164</v>
      </c>
      <c r="G1867" t="s">
        <v>1144</v>
      </c>
      <c r="H1867" t="s">
        <v>54</v>
      </c>
      <c r="I1867">
        <v>27</v>
      </c>
      <c r="J1867">
        <v>0</v>
      </c>
      <c r="K1867">
        <v>1</v>
      </c>
      <c r="L1867" t="s">
        <v>25</v>
      </c>
      <c r="M1867" t="s">
        <v>533</v>
      </c>
      <c r="N1867">
        <v>1530</v>
      </c>
      <c r="O1867">
        <v>0</v>
      </c>
      <c r="P1867" t="str">
        <f>IF(T[[#This Row],[qty_ordered]]&lt;&gt;T[[#This Row],[qty_received]],IF(T[[#This Row],[qty_received]]&gt;0,"Partial Received","Not Receviced"),"FullyReceived")</f>
        <v>Not Receviced</v>
      </c>
      <c r="Q1867" t="str">
        <f>IF(T[[#This Row],[qty_received]]&lt;&gt;T[[#This Row],[qty_invoiced]],IF(T[[#This Row],[qty_invoiced]]&gt;0,"Partial Invoiced","Not Invoiced"),"Fully Invoiced")</f>
        <v>Partial Invoiced</v>
      </c>
      <c r="R1867" t="str">
        <f>IFERROR(VLOOKUP(T[[#This Row],[warehouse]],Table2[],2,FALSE),"--")</f>
        <v>--</v>
      </c>
    </row>
    <row r="1868" spans="1:18" x14ac:dyDescent="0.25">
      <c r="A1868" t="s">
        <v>560</v>
      </c>
      <c r="B1868" s="1">
        <v>44306</v>
      </c>
      <c r="C1868" t="s">
        <v>1341</v>
      </c>
      <c r="D1868" t="s">
        <v>88</v>
      </c>
      <c r="E1868" t="s">
        <v>51</v>
      </c>
      <c r="F1868" t="s">
        <v>164</v>
      </c>
      <c r="G1868" t="s">
        <v>1144</v>
      </c>
      <c r="H1868" t="s">
        <v>54</v>
      </c>
      <c r="I1868">
        <v>55</v>
      </c>
      <c r="J1868">
        <v>0</v>
      </c>
      <c r="K1868">
        <v>1</v>
      </c>
      <c r="L1868" t="s">
        <v>25</v>
      </c>
      <c r="M1868" t="s">
        <v>533</v>
      </c>
      <c r="N1868">
        <v>1530</v>
      </c>
      <c r="O1868">
        <v>0</v>
      </c>
      <c r="P1868" t="str">
        <f>IF(T[[#This Row],[qty_ordered]]&lt;&gt;T[[#This Row],[qty_received]],IF(T[[#This Row],[qty_received]]&gt;0,"Partial Received","Not Receviced"),"FullyReceived")</f>
        <v>Not Receviced</v>
      </c>
      <c r="Q1868" t="str">
        <f>IF(T[[#This Row],[qty_received]]&lt;&gt;T[[#This Row],[qty_invoiced]],IF(T[[#This Row],[qty_invoiced]]&gt;0,"Partial Invoiced","Not Invoiced"),"Fully Invoiced")</f>
        <v>Partial Invoiced</v>
      </c>
      <c r="R1868" t="str">
        <f>IFERROR(VLOOKUP(T[[#This Row],[warehouse]],Table2[],2,FALSE),"--")</f>
        <v>--</v>
      </c>
    </row>
    <row r="1869" spans="1:18" x14ac:dyDescent="0.25">
      <c r="A1869" t="s">
        <v>560</v>
      </c>
      <c r="B1869" s="1">
        <v>44251</v>
      </c>
      <c r="C1869" t="s">
        <v>1238</v>
      </c>
      <c r="D1869" t="s">
        <v>322</v>
      </c>
      <c r="E1869" t="s">
        <v>51</v>
      </c>
      <c r="F1869" t="s">
        <v>164</v>
      </c>
      <c r="G1869" t="s">
        <v>1141</v>
      </c>
      <c r="H1869" t="s">
        <v>54</v>
      </c>
      <c r="I1869">
        <v>60</v>
      </c>
      <c r="J1869">
        <v>0</v>
      </c>
      <c r="K1869">
        <v>1</v>
      </c>
      <c r="L1869" t="s">
        <v>25</v>
      </c>
      <c r="M1869" t="s">
        <v>533</v>
      </c>
      <c r="N1869">
        <v>1657.5</v>
      </c>
      <c r="O1869">
        <v>0</v>
      </c>
      <c r="P1869" t="str">
        <f>IF(T[[#This Row],[qty_ordered]]&lt;&gt;T[[#This Row],[qty_received]],IF(T[[#This Row],[qty_received]]&gt;0,"Partial Received","Not Receviced"),"FullyReceived")</f>
        <v>Not Receviced</v>
      </c>
      <c r="Q1869" t="str">
        <f>IF(T[[#This Row],[qty_received]]&lt;&gt;T[[#This Row],[qty_invoiced]],IF(T[[#This Row],[qty_invoiced]]&gt;0,"Partial Invoiced","Not Invoiced"),"Fully Invoiced")</f>
        <v>Partial Invoiced</v>
      </c>
      <c r="R1869" t="str">
        <f>IFERROR(VLOOKUP(T[[#This Row],[warehouse]],Table2[],2,FALSE),"--")</f>
        <v>--</v>
      </c>
    </row>
    <row r="1870" spans="1:18" x14ac:dyDescent="0.25">
      <c r="A1870" t="s">
        <v>560</v>
      </c>
      <c r="B1870" s="1">
        <v>44251</v>
      </c>
      <c r="C1870" t="s">
        <v>1245</v>
      </c>
      <c r="D1870" t="s">
        <v>323</v>
      </c>
      <c r="E1870" t="s">
        <v>51</v>
      </c>
      <c r="F1870" t="s">
        <v>164</v>
      </c>
      <c r="G1870" t="s">
        <v>1255</v>
      </c>
      <c r="H1870" t="s">
        <v>54</v>
      </c>
      <c r="I1870">
        <v>103</v>
      </c>
      <c r="J1870">
        <v>0</v>
      </c>
      <c r="K1870">
        <v>1</v>
      </c>
      <c r="L1870" t="s">
        <v>25</v>
      </c>
      <c r="M1870" t="s">
        <v>533</v>
      </c>
      <c r="N1870">
        <v>1631.504854</v>
      </c>
      <c r="O1870">
        <v>0</v>
      </c>
      <c r="P1870" t="str">
        <f>IF(T[[#This Row],[qty_ordered]]&lt;&gt;T[[#This Row],[qty_received]],IF(T[[#This Row],[qty_received]]&gt;0,"Partial Received","Not Receviced"),"FullyReceived")</f>
        <v>Not Receviced</v>
      </c>
      <c r="Q1870" t="str">
        <f>IF(T[[#This Row],[qty_received]]&lt;&gt;T[[#This Row],[qty_invoiced]],IF(T[[#This Row],[qty_invoiced]]&gt;0,"Partial Invoiced","Not Invoiced"),"Fully Invoiced")</f>
        <v>Partial Invoiced</v>
      </c>
      <c r="R1870" t="str">
        <f>IFERROR(VLOOKUP(T[[#This Row],[warehouse]],Table2[],2,FALSE),"--")</f>
        <v>--</v>
      </c>
    </row>
    <row r="1871" spans="1:18" x14ac:dyDescent="0.25">
      <c r="A1871" t="s">
        <v>560</v>
      </c>
      <c r="B1871" s="1">
        <v>44251</v>
      </c>
      <c r="C1871" t="s">
        <v>1245</v>
      </c>
      <c r="D1871" t="s">
        <v>324</v>
      </c>
      <c r="E1871" t="s">
        <v>51</v>
      </c>
      <c r="F1871" t="s">
        <v>164</v>
      </c>
      <c r="G1871" t="s">
        <v>1255</v>
      </c>
      <c r="H1871" t="s">
        <v>54</v>
      </c>
      <c r="I1871">
        <v>60</v>
      </c>
      <c r="J1871">
        <v>0</v>
      </c>
      <c r="K1871">
        <v>1</v>
      </c>
      <c r="L1871" t="s">
        <v>25</v>
      </c>
      <c r="M1871" t="s">
        <v>533</v>
      </c>
      <c r="N1871">
        <v>1677.333333</v>
      </c>
      <c r="O1871">
        <v>0</v>
      </c>
      <c r="P1871" t="str">
        <f>IF(T[[#This Row],[qty_ordered]]&lt;&gt;T[[#This Row],[qty_received]],IF(T[[#This Row],[qty_received]]&gt;0,"Partial Received","Not Receviced"),"FullyReceived")</f>
        <v>Not Receviced</v>
      </c>
      <c r="Q1871" t="str">
        <f>IF(T[[#This Row],[qty_received]]&lt;&gt;T[[#This Row],[qty_invoiced]],IF(T[[#This Row],[qty_invoiced]]&gt;0,"Partial Invoiced","Not Invoiced"),"Fully Invoiced")</f>
        <v>Partial Invoiced</v>
      </c>
      <c r="R1871" t="str">
        <f>IFERROR(VLOOKUP(T[[#This Row],[warehouse]],Table2[],2,FALSE),"--")</f>
        <v>--</v>
      </c>
    </row>
    <row r="1872" spans="1:18" x14ac:dyDescent="0.25">
      <c r="A1872" t="s">
        <v>560</v>
      </c>
      <c r="B1872" s="1">
        <v>44251</v>
      </c>
      <c r="C1872" t="s">
        <v>1245</v>
      </c>
      <c r="D1872" t="s">
        <v>325</v>
      </c>
      <c r="E1872" t="s">
        <v>51</v>
      </c>
      <c r="F1872" t="s">
        <v>164</v>
      </c>
      <c r="G1872" t="s">
        <v>1255</v>
      </c>
      <c r="H1872" t="s">
        <v>54</v>
      </c>
      <c r="I1872">
        <v>21</v>
      </c>
      <c r="J1872">
        <v>0</v>
      </c>
      <c r="K1872">
        <v>1</v>
      </c>
      <c r="L1872" t="s">
        <v>25</v>
      </c>
      <c r="M1872" t="s">
        <v>533</v>
      </c>
      <c r="N1872">
        <v>1530</v>
      </c>
      <c r="O1872">
        <v>0</v>
      </c>
      <c r="P1872" t="str">
        <f>IF(T[[#This Row],[qty_ordered]]&lt;&gt;T[[#This Row],[qty_received]],IF(T[[#This Row],[qty_received]]&gt;0,"Partial Received","Not Receviced"),"FullyReceived")</f>
        <v>Not Receviced</v>
      </c>
      <c r="Q1872" t="str">
        <f>IF(T[[#This Row],[qty_received]]&lt;&gt;T[[#This Row],[qty_invoiced]],IF(T[[#This Row],[qty_invoiced]]&gt;0,"Partial Invoiced","Not Invoiced"),"Fully Invoiced")</f>
        <v>Partial Invoiced</v>
      </c>
      <c r="R1872" t="str">
        <f>IFERROR(VLOOKUP(T[[#This Row],[warehouse]],Table2[],2,FALSE),"--")</f>
        <v>--</v>
      </c>
    </row>
    <row r="1873" spans="1:18" x14ac:dyDescent="0.25">
      <c r="A1873" t="s">
        <v>658</v>
      </c>
      <c r="B1873" s="1">
        <v>44243</v>
      </c>
      <c r="C1873" t="s">
        <v>1243</v>
      </c>
      <c r="D1873" t="s">
        <v>325</v>
      </c>
      <c r="E1873" t="s">
        <v>660</v>
      </c>
      <c r="F1873" t="s">
        <v>661</v>
      </c>
      <c r="G1873" t="s">
        <v>662</v>
      </c>
      <c r="H1873" t="s">
        <v>663</v>
      </c>
      <c r="I1873">
        <v>2995.7</v>
      </c>
      <c r="J1873">
        <v>2995.7</v>
      </c>
      <c r="K1873">
        <v>2995.7</v>
      </c>
      <c r="L1873" t="s">
        <v>25</v>
      </c>
      <c r="M1873" t="s">
        <v>707</v>
      </c>
      <c r="N1873">
        <v>1100.826</v>
      </c>
      <c r="O1873">
        <v>3297744.4482</v>
      </c>
      <c r="P1873" t="str">
        <f>IF(T[[#This Row],[qty_ordered]]&lt;&gt;T[[#This Row],[qty_received]],IF(T[[#This Row],[qty_received]]&gt;0,"Partial Received","Not Receviced"),"FullyReceived")</f>
        <v>FullyReceived</v>
      </c>
      <c r="Q1873" t="str">
        <f>IF(T[[#This Row],[qty_received]]&lt;&gt;T[[#This Row],[qty_invoiced]],IF(T[[#This Row],[qty_invoiced]]&gt;0,"Partial Invoiced","Not Invoiced"),"Fully Invoiced")</f>
        <v>Fully Invoiced</v>
      </c>
      <c r="R1873" t="str">
        <f>IFERROR(VLOOKUP(T[[#This Row],[warehouse]],Table2[],2,FALSE),"--")</f>
        <v>SLAUGHTER HOUSE</v>
      </c>
    </row>
    <row r="1874" spans="1:18" x14ac:dyDescent="0.25">
      <c r="A1874" t="s">
        <v>658</v>
      </c>
      <c r="B1874" s="1">
        <v>44243</v>
      </c>
      <c r="C1874" t="s">
        <v>1243</v>
      </c>
      <c r="D1874" t="s">
        <v>451</v>
      </c>
      <c r="E1874" t="s">
        <v>660</v>
      </c>
      <c r="F1874" t="s">
        <v>661</v>
      </c>
      <c r="G1874" t="s">
        <v>662</v>
      </c>
      <c r="H1874" t="s">
        <v>663</v>
      </c>
      <c r="I1874">
        <v>2991.6</v>
      </c>
      <c r="J1874">
        <v>2991.6</v>
      </c>
      <c r="K1874">
        <v>2991.5</v>
      </c>
      <c r="L1874" t="s">
        <v>25</v>
      </c>
      <c r="M1874" t="s">
        <v>707</v>
      </c>
      <c r="N1874">
        <v>1100.826</v>
      </c>
      <c r="O1874">
        <v>3293231.0616000001</v>
      </c>
      <c r="P1874" t="str">
        <f>IF(T[[#This Row],[qty_ordered]]&lt;&gt;T[[#This Row],[qty_received]],IF(T[[#This Row],[qty_received]]&gt;0,"Partial Received","Not Receviced"),"FullyReceived")</f>
        <v>FullyReceived</v>
      </c>
      <c r="Q1874" t="str">
        <f>IF(T[[#This Row],[qty_received]]&lt;&gt;T[[#This Row],[qty_invoiced]],IF(T[[#This Row],[qty_invoiced]]&gt;0,"Partial Invoiced","Not Invoiced"),"Fully Invoiced")</f>
        <v>Partial Invoiced</v>
      </c>
      <c r="R1874" t="str">
        <f>IFERROR(VLOOKUP(T[[#This Row],[warehouse]],Table2[],2,FALSE),"--")</f>
        <v>SLAUGHTER HOUSE</v>
      </c>
    </row>
    <row r="1875" spans="1:18" x14ac:dyDescent="0.25">
      <c r="A1875" t="s">
        <v>1114</v>
      </c>
      <c r="B1875" s="1">
        <v>44347</v>
      </c>
      <c r="C1875" t="s">
        <v>1336</v>
      </c>
      <c r="D1875" t="s">
        <v>100</v>
      </c>
      <c r="E1875" t="s">
        <v>660</v>
      </c>
      <c r="F1875" t="s">
        <v>1042</v>
      </c>
      <c r="G1875" t="s">
        <v>1043</v>
      </c>
      <c r="H1875" t="s">
        <v>663</v>
      </c>
      <c r="I1875">
        <v>4597.8</v>
      </c>
      <c r="J1875">
        <v>4597.8</v>
      </c>
      <c r="K1875">
        <v>4597.8</v>
      </c>
      <c r="L1875" t="s">
        <v>25</v>
      </c>
      <c r="M1875" t="s">
        <v>132</v>
      </c>
      <c r="N1875">
        <v>1609.2270000000001</v>
      </c>
      <c r="O1875">
        <v>11494500</v>
      </c>
      <c r="P1875" t="str">
        <f>IF(T[[#This Row],[qty_ordered]]&lt;&gt;T[[#This Row],[qty_received]],IF(T[[#This Row],[qty_received]]&gt;0,"Partial Received","Not Receviced"),"FullyReceived")</f>
        <v>FullyReceived</v>
      </c>
      <c r="Q1875" t="str">
        <f>IF(T[[#This Row],[qty_received]]&lt;&gt;T[[#This Row],[qty_invoiced]],IF(T[[#This Row],[qty_invoiced]]&gt;0,"Partial Invoiced","Not Invoiced"),"Fully Invoiced")</f>
        <v>Fully Invoiced</v>
      </c>
      <c r="R1875" t="str">
        <f>IFERROR(VLOOKUP(T[[#This Row],[warehouse]],Table2[],2,FALSE),"--")</f>
        <v>SLAUGHTER HOUSE</v>
      </c>
    </row>
    <row r="1876" spans="1:18" x14ac:dyDescent="0.25">
      <c r="A1876" t="s">
        <v>235</v>
      </c>
      <c r="B1876" s="1">
        <v>44350</v>
      </c>
      <c r="C1876" t="s">
        <v>1342</v>
      </c>
      <c r="D1876" t="s">
        <v>20</v>
      </c>
      <c r="E1876" t="s">
        <v>51</v>
      </c>
      <c r="F1876" t="s">
        <v>546</v>
      </c>
      <c r="G1876" t="s">
        <v>1343</v>
      </c>
      <c r="H1876" t="s">
        <v>54</v>
      </c>
      <c r="I1876">
        <v>8000</v>
      </c>
      <c r="J1876">
        <v>0</v>
      </c>
      <c r="K1876">
        <v>1</v>
      </c>
      <c r="L1876" t="s">
        <v>25</v>
      </c>
      <c r="M1876" t="s">
        <v>533</v>
      </c>
      <c r="N1876">
        <v>7</v>
      </c>
      <c r="O1876">
        <v>0</v>
      </c>
      <c r="P1876" t="str">
        <f>IF(T[[#This Row],[qty_ordered]]&lt;&gt;T[[#This Row],[qty_received]],IF(T[[#This Row],[qty_received]]&gt;0,"Partial Received","Not Receviced"),"FullyReceived")</f>
        <v>Not Receviced</v>
      </c>
      <c r="Q1876" t="str">
        <f>IF(T[[#This Row],[qty_received]]&lt;&gt;T[[#This Row],[qty_invoiced]],IF(T[[#This Row],[qty_invoiced]]&gt;0,"Partial Invoiced","Not Invoiced"),"Fully Invoiced")</f>
        <v>Partial Invoiced</v>
      </c>
      <c r="R1876" t="str">
        <f>IFERROR(VLOOKUP(T[[#This Row],[warehouse]],Table2[],2,FALSE),"--")</f>
        <v>--</v>
      </c>
    </row>
    <row r="1877" spans="1:18" x14ac:dyDescent="0.25">
      <c r="A1877" t="s">
        <v>955</v>
      </c>
      <c r="B1877" s="1">
        <v>44304</v>
      </c>
      <c r="C1877" t="s">
        <v>1319</v>
      </c>
      <c r="D1877" t="s">
        <v>71</v>
      </c>
      <c r="E1877" t="s">
        <v>162</v>
      </c>
      <c r="F1877" t="s">
        <v>103</v>
      </c>
      <c r="G1877" t="s">
        <v>104</v>
      </c>
      <c r="H1877" t="s">
        <v>24</v>
      </c>
      <c r="I1877">
        <v>500</v>
      </c>
      <c r="J1877">
        <v>27.9</v>
      </c>
      <c r="K1877">
        <v>27.9</v>
      </c>
      <c r="L1877" t="s">
        <v>25</v>
      </c>
      <c r="M1877" t="s">
        <v>707</v>
      </c>
      <c r="N1877">
        <v>230000</v>
      </c>
      <c r="O1877">
        <v>6417000</v>
      </c>
      <c r="P1877" t="str">
        <f>IF(T[[#This Row],[qty_ordered]]&lt;&gt;T[[#This Row],[qty_received]],IF(T[[#This Row],[qty_received]]&gt;0,"Partial Received","Not Receviced"),"FullyReceived")</f>
        <v>Partial Received</v>
      </c>
      <c r="Q1877" t="str">
        <f>IF(T[[#This Row],[qty_received]]&lt;&gt;T[[#This Row],[qty_invoiced]],IF(T[[#This Row],[qty_invoiced]]&gt;0,"Partial Invoiced","Not Invoiced"),"Fully Invoiced")</f>
        <v>Fully Invoiced</v>
      </c>
      <c r="R1877" t="str">
        <f>IFERROR(VLOOKUP(T[[#This Row],[warehouse]],Table2[],2,FALSE),"--")</f>
        <v>Sifters Mahasilna</v>
      </c>
    </row>
    <row r="1878" spans="1:18" x14ac:dyDescent="0.25">
      <c r="A1878" t="s">
        <v>804</v>
      </c>
      <c r="B1878" s="1">
        <v>44286</v>
      </c>
      <c r="C1878" t="s">
        <v>1344</v>
      </c>
      <c r="D1878" t="s">
        <v>71</v>
      </c>
      <c r="E1878" t="s">
        <v>51</v>
      </c>
      <c r="F1878" t="s">
        <v>806</v>
      </c>
      <c r="G1878" t="s">
        <v>806</v>
      </c>
      <c r="H1878" t="s">
        <v>54</v>
      </c>
      <c r="I1878">
        <v>1</v>
      </c>
      <c r="J1878">
        <v>0</v>
      </c>
      <c r="K1878">
        <v>1</v>
      </c>
      <c r="L1878" t="s">
        <v>25</v>
      </c>
      <c r="M1878" t="s">
        <v>132</v>
      </c>
      <c r="N1878">
        <v>35924700</v>
      </c>
      <c r="O1878">
        <v>0</v>
      </c>
      <c r="P1878" t="str">
        <f>IF(T[[#This Row],[qty_ordered]]&lt;&gt;T[[#This Row],[qty_received]],IF(T[[#This Row],[qty_received]]&gt;0,"Partial Received","Not Receviced"),"FullyReceived")</f>
        <v>Not Receviced</v>
      </c>
      <c r="Q1878" t="str">
        <f>IF(T[[#This Row],[qty_received]]&lt;&gt;T[[#This Row],[qty_invoiced]],IF(T[[#This Row],[qty_invoiced]]&gt;0,"Partial Invoiced","Not Invoiced"),"Fully Invoiced")</f>
        <v>Partial Invoiced</v>
      </c>
      <c r="R1878" t="str">
        <f>IFERROR(VLOOKUP(T[[#This Row],[warehouse]],Table2[],2,FALSE),"--")</f>
        <v>--</v>
      </c>
    </row>
    <row r="1879" spans="1:18" x14ac:dyDescent="0.25">
      <c r="A1879" t="s">
        <v>1345</v>
      </c>
      <c r="B1879" s="1">
        <v>44354</v>
      </c>
      <c r="C1879" t="s">
        <v>1346</v>
      </c>
      <c r="D1879" t="s">
        <v>20</v>
      </c>
      <c r="E1879" t="s">
        <v>51</v>
      </c>
      <c r="F1879" t="s">
        <v>52</v>
      </c>
      <c r="G1879" t="s">
        <v>1347</v>
      </c>
      <c r="H1879" t="s">
        <v>54</v>
      </c>
      <c r="I1879">
        <v>50</v>
      </c>
      <c r="J1879">
        <v>0</v>
      </c>
      <c r="K1879">
        <v>1</v>
      </c>
      <c r="L1879" t="s">
        <v>25</v>
      </c>
      <c r="M1879" t="s">
        <v>132</v>
      </c>
      <c r="N1879">
        <v>7500</v>
      </c>
      <c r="O1879">
        <v>0</v>
      </c>
      <c r="P1879" t="str">
        <f>IF(T[[#This Row],[qty_ordered]]&lt;&gt;T[[#This Row],[qty_received]],IF(T[[#This Row],[qty_received]]&gt;0,"Partial Received","Not Receviced"),"FullyReceived")</f>
        <v>Not Receviced</v>
      </c>
      <c r="Q1879" t="str">
        <f>IF(T[[#This Row],[qty_received]]&lt;&gt;T[[#This Row],[qty_invoiced]],IF(T[[#This Row],[qty_invoiced]]&gt;0,"Partial Invoiced","Not Invoiced"),"Fully Invoiced")</f>
        <v>Partial Invoiced</v>
      </c>
      <c r="R1879" t="str">
        <f>IFERROR(VLOOKUP(T[[#This Row],[warehouse]],Table2[],2,FALSE),"--")</f>
        <v>--</v>
      </c>
    </row>
    <row r="1880" spans="1:18" x14ac:dyDescent="0.25">
      <c r="A1880" t="s">
        <v>1170</v>
      </c>
      <c r="B1880" s="1">
        <v>44354</v>
      </c>
      <c r="C1880" t="s">
        <v>1348</v>
      </c>
      <c r="D1880" t="s">
        <v>20</v>
      </c>
      <c r="E1880" t="s">
        <v>1258</v>
      </c>
      <c r="F1880" t="s">
        <v>1259</v>
      </c>
      <c r="G1880" t="s">
        <v>1260</v>
      </c>
      <c r="H1880" t="s">
        <v>24</v>
      </c>
      <c r="I1880">
        <v>100</v>
      </c>
      <c r="J1880">
        <v>32.42</v>
      </c>
      <c r="K1880">
        <v>32.42</v>
      </c>
      <c r="L1880" t="s">
        <v>25</v>
      </c>
      <c r="M1880" t="s">
        <v>132</v>
      </c>
      <c r="N1880">
        <v>320000</v>
      </c>
      <c r="O1880">
        <v>10374400</v>
      </c>
      <c r="P1880" t="str">
        <f>IF(T[[#This Row],[qty_ordered]]&lt;&gt;T[[#This Row],[qty_received]],IF(T[[#This Row],[qty_received]]&gt;0,"Partial Received","Not Receviced"),"FullyReceived")</f>
        <v>Partial Received</v>
      </c>
      <c r="Q1880" t="str">
        <f>IF(T[[#This Row],[qty_received]]&lt;&gt;T[[#This Row],[qty_invoiced]],IF(T[[#This Row],[qty_invoiced]]&gt;0,"Partial Invoiced","Not Invoiced"),"Fully Invoiced")</f>
        <v>Fully Invoiced</v>
      </c>
      <c r="R1880" t="str">
        <f>IFERROR(VLOOKUP(T[[#This Row],[warehouse]],Table2[],2,FALSE),"--")</f>
        <v>Alrahma</v>
      </c>
    </row>
    <row r="1881" spans="1:18" x14ac:dyDescent="0.25">
      <c r="A1881" t="s">
        <v>1114</v>
      </c>
      <c r="B1881" s="1">
        <v>44347</v>
      </c>
      <c r="C1881" t="s">
        <v>1336</v>
      </c>
      <c r="D1881" t="s">
        <v>74</v>
      </c>
      <c r="E1881" t="s">
        <v>660</v>
      </c>
      <c r="F1881" t="s">
        <v>1042</v>
      </c>
      <c r="G1881" t="s">
        <v>1043</v>
      </c>
      <c r="H1881" t="s">
        <v>663</v>
      </c>
      <c r="I1881">
        <v>4404</v>
      </c>
      <c r="J1881">
        <v>4404</v>
      </c>
      <c r="K1881">
        <v>4404</v>
      </c>
      <c r="L1881" t="s">
        <v>25</v>
      </c>
      <c r="M1881" t="s">
        <v>132</v>
      </c>
      <c r="N1881">
        <v>1609.2270000000001</v>
      </c>
      <c r="O1881">
        <v>10068244.236</v>
      </c>
      <c r="P1881" t="str">
        <f>IF(T[[#This Row],[qty_ordered]]&lt;&gt;T[[#This Row],[qty_received]],IF(T[[#This Row],[qty_received]]&gt;0,"Partial Received","Not Receviced"),"FullyReceived")</f>
        <v>FullyReceived</v>
      </c>
      <c r="Q1881" t="str">
        <f>IF(T[[#This Row],[qty_received]]&lt;&gt;T[[#This Row],[qty_invoiced]],IF(T[[#This Row],[qty_invoiced]]&gt;0,"Partial Invoiced","Not Invoiced"),"Fully Invoiced")</f>
        <v>Fully Invoiced</v>
      </c>
      <c r="R1881" t="str">
        <f>IFERROR(VLOOKUP(T[[#This Row],[warehouse]],Table2[],2,FALSE),"--")</f>
        <v>SLAUGHTER HOUSE</v>
      </c>
    </row>
    <row r="1882" spans="1:18" x14ac:dyDescent="0.25">
      <c r="A1882" t="s">
        <v>1114</v>
      </c>
      <c r="B1882" s="1">
        <v>44347</v>
      </c>
      <c r="C1882" t="s">
        <v>1336</v>
      </c>
      <c r="D1882" t="s">
        <v>76</v>
      </c>
      <c r="E1882" t="s">
        <v>660</v>
      </c>
      <c r="F1882" t="s">
        <v>1042</v>
      </c>
      <c r="G1882" t="s">
        <v>1043</v>
      </c>
      <c r="H1882" t="s">
        <v>663</v>
      </c>
      <c r="I1882">
        <v>2006.5</v>
      </c>
      <c r="J1882">
        <v>2006.5</v>
      </c>
      <c r="K1882">
        <v>2006.5</v>
      </c>
      <c r="L1882" t="s">
        <v>25</v>
      </c>
      <c r="M1882" t="s">
        <v>132</v>
      </c>
      <c r="N1882">
        <v>1609.2270000000001</v>
      </c>
      <c r="O1882">
        <v>9538840.8049999997</v>
      </c>
      <c r="P1882" t="str">
        <f>IF(T[[#This Row],[qty_ordered]]&lt;&gt;T[[#This Row],[qty_received]],IF(T[[#This Row],[qty_received]]&gt;0,"Partial Received","Not Receviced"),"FullyReceived")</f>
        <v>FullyReceived</v>
      </c>
      <c r="Q1882" t="str">
        <f>IF(T[[#This Row],[qty_received]]&lt;&gt;T[[#This Row],[qty_invoiced]],IF(T[[#This Row],[qty_invoiced]]&gt;0,"Partial Invoiced","Not Invoiced"),"Fully Invoiced")</f>
        <v>Fully Invoiced</v>
      </c>
      <c r="R1882" t="str">
        <f>IFERROR(VLOOKUP(T[[#This Row],[warehouse]],Table2[],2,FALSE),"--")</f>
        <v>SLAUGHTER HOUSE</v>
      </c>
    </row>
    <row r="1883" spans="1:18" x14ac:dyDescent="0.25">
      <c r="A1883" t="s">
        <v>1114</v>
      </c>
      <c r="B1883" s="1">
        <v>44347</v>
      </c>
      <c r="C1883" t="s">
        <v>1336</v>
      </c>
      <c r="D1883" t="s">
        <v>212</v>
      </c>
      <c r="E1883" t="s">
        <v>660</v>
      </c>
      <c r="F1883" t="s">
        <v>1042</v>
      </c>
      <c r="G1883" t="s">
        <v>1043</v>
      </c>
      <c r="H1883" t="s">
        <v>663</v>
      </c>
      <c r="I1883">
        <v>6823.1</v>
      </c>
      <c r="J1883">
        <v>6823.1</v>
      </c>
      <c r="K1883">
        <v>6823.1</v>
      </c>
      <c r="L1883" t="s">
        <v>25</v>
      </c>
      <c r="M1883" t="s">
        <v>132</v>
      </c>
      <c r="N1883">
        <v>2350</v>
      </c>
      <c r="O1883">
        <v>16034285</v>
      </c>
      <c r="P1883" t="str">
        <f>IF(T[[#This Row],[qty_ordered]]&lt;&gt;T[[#This Row],[qty_received]],IF(T[[#This Row],[qty_received]]&gt;0,"Partial Received","Not Receviced"),"FullyReceived")</f>
        <v>FullyReceived</v>
      </c>
      <c r="Q1883" t="str">
        <f>IF(T[[#This Row],[qty_received]]&lt;&gt;T[[#This Row],[qty_invoiced]],IF(T[[#This Row],[qty_invoiced]]&gt;0,"Partial Invoiced","Not Invoiced"),"Fully Invoiced")</f>
        <v>Fully Invoiced</v>
      </c>
      <c r="R1883" t="str">
        <f>IFERROR(VLOOKUP(T[[#This Row],[warehouse]],Table2[],2,FALSE),"--")</f>
        <v>SLAUGHTER HOUSE</v>
      </c>
    </row>
    <row r="1884" spans="1:18" x14ac:dyDescent="0.25">
      <c r="A1884" t="s">
        <v>1349</v>
      </c>
      <c r="B1884" s="1">
        <v>44360</v>
      </c>
      <c r="C1884" t="s">
        <v>1350</v>
      </c>
      <c r="D1884" t="s">
        <v>71</v>
      </c>
      <c r="E1884" t="s">
        <v>660</v>
      </c>
      <c r="F1884" t="s">
        <v>1042</v>
      </c>
      <c r="G1884" t="s">
        <v>1043</v>
      </c>
      <c r="H1884" t="s">
        <v>663</v>
      </c>
      <c r="I1884">
        <v>9564.2999999999993</v>
      </c>
      <c r="J1884">
        <v>9564.2999999999993</v>
      </c>
      <c r="K1884">
        <v>9564.2999999999993</v>
      </c>
      <c r="L1884" t="s">
        <v>25</v>
      </c>
      <c r="M1884" t="s">
        <v>132</v>
      </c>
      <c r="N1884">
        <v>2325</v>
      </c>
      <c r="O1884">
        <v>22236997.5</v>
      </c>
      <c r="P1884" t="str">
        <f>IF(T[[#This Row],[qty_ordered]]&lt;&gt;T[[#This Row],[qty_received]],IF(T[[#This Row],[qty_received]]&gt;0,"Partial Received","Not Receviced"),"FullyReceived")</f>
        <v>FullyReceived</v>
      </c>
      <c r="Q1884" t="str">
        <f>IF(T[[#This Row],[qty_received]]&lt;&gt;T[[#This Row],[qty_invoiced]],IF(T[[#This Row],[qty_invoiced]]&gt;0,"Partial Invoiced","Not Invoiced"),"Fully Invoiced")</f>
        <v>Fully Invoiced</v>
      </c>
      <c r="R1884" t="str">
        <f>IFERROR(VLOOKUP(T[[#This Row],[warehouse]],Table2[],2,FALSE),"--")</f>
        <v>SLAUGHTER HOUSE</v>
      </c>
    </row>
    <row r="1885" spans="1:18" x14ac:dyDescent="0.25">
      <c r="A1885" t="s">
        <v>1316</v>
      </c>
      <c r="B1885" s="1">
        <v>44251</v>
      </c>
      <c r="C1885" t="s">
        <v>1317</v>
      </c>
      <c r="D1885" t="s">
        <v>759</v>
      </c>
      <c r="E1885" t="s">
        <v>51</v>
      </c>
      <c r="F1885" t="s">
        <v>433</v>
      </c>
      <c r="G1885" t="s">
        <v>1169</v>
      </c>
      <c r="H1885" t="s">
        <v>54</v>
      </c>
      <c r="I1885">
        <v>4985</v>
      </c>
      <c r="J1885">
        <v>0</v>
      </c>
      <c r="K1885">
        <v>0</v>
      </c>
      <c r="L1885" t="s">
        <v>25</v>
      </c>
      <c r="M1885" t="s">
        <v>533</v>
      </c>
      <c r="N1885">
        <v>3</v>
      </c>
      <c r="O1885">
        <v>0</v>
      </c>
      <c r="P1885" t="str">
        <f>IF(T[[#This Row],[qty_ordered]]&lt;&gt;T[[#This Row],[qty_received]],IF(T[[#This Row],[qty_received]]&gt;0,"Partial Received","Not Receviced"),"FullyReceived")</f>
        <v>Not Receviced</v>
      </c>
      <c r="Q1885" t="str">
        <f>IF(T[[#This Row],[qty_received]]&lt;&gt;T[[#This Row],[qty_invoiced]],IF(T[[#This Row],[qty_invoiced]]&gt;0,"Partial Invoiced","Not Invoiced"),"Fully Invoiced")</f>
        <v>Fully Invoiced</v>
      </c>
      <c r="R1885" t="str">
        <f>IFERROR(VLOOKUP(T[[#This Row],[warehouse]],Table2[],2,FALSE),"--")</f>
        <v>--</v>
      </c>
    </row>
    <row r="1886" spans="1:18" x14ac:dyDescent="0.25">
      <c r="A1886" t="s">
        <v>1316</v>
      </c>
      <c r="B1886" s="1">
        <v>44251</v>
      </c>
      <c r="C1886" t="s">
        <v>1317</v>
      </c>
      <c r="D1886" t="s">
        <v>694</v>
      </c>
      <c r="E1886" t="s">
        <v>51</v>
      </c>
      <c r="F1886" t="s">
        <v>254</v>
      </c>
      <c r="G1886" t="s">
        <v>255</v>
      </c>
      <c r="H1886" t="s">
        <v>54</v>
      </c>
      <c r="I1886">
        <v>18</v>
      </c>
      <c r="J1886">
        <v>0</v>
      </c>
      <c r="K1886">
        <v>0</v>
      </c>
      <c r="L1886" t="s">
        <v>25</v>
      </c>
      <c r="M1886" t="s">
        <v>533</v>
      </c>
      <c r="N1886">
        <v>100</v>
      </c>
      <c r="O1886">
        <v>0</v>
      </c>
      <c r="P1886" t="str">
        <f>IF(T[[#This Row],[qty_ordered]]&lt;&gt;T[[#This Row],[qty_received]],IF(T[[#This Row],[qty_received]]&gt;0,"Partial Received","Not Receviced"),"FullyReceived")</f>
        <v>Not Receviced</v>
      </c>
      <c r="Q1886" t="str">
        <f>IF(T[[#This Row],[qty_received]]&lt;&gt;T[[#This Row],[qty_invoiced]],IF(T[[#This Row],[qty_invoiced]]&gt;0,"Partial Invoiced","Not Invoiced"),"Fully Invoiced")</f>
        <v>Fully Invoiced</v>
      </c>
      <c r="R1886" t="str">
        <f>IFERROR(VLOOKUP(T[[#This Row],[warehouse]],Table2[],2,FALSE),"--")</f>
        <v>--</v>
      </c>
    </row>
    <row r="1887" spans="1:18" x14ac:dyDescent="0.25">
      <c r="A1887" t="s">
        <v>1316</v>
      </c>
      <c r="B1887" s="1">
        <v>44251</v>
      </c>
      <c r="C1887" t="s">
        <v>1317</v>
      </c>
      <c r="D1887" t="s">
        <v>760</v>
      </c>
      <c r="E1887" t="s">
        <v>51</v>
      </c>
      <c r="F1887" t="s">
        <v>278</v>
      </c>
      <c r="G1887" t="s">
        <v>279</v>
      </c>
      <c r="H1887" t="s">
        <v>54</v>
      </c>
      <c r="I1887">
        <v>4560</v>
      </c>
      <c r="J1887">
        <v>0</v>
      </c>
      <c r="K1887">
        <v>0</v>
      </c>
      <c r="L1887" t="s">
        <v>25</v>
      </c>
      <c r="M1887" t="s">
        <v>533</v>
      </c>
      <c r="N1887">
        <v>15</v>
      </c>
      <c r="O1887">
        <v>0</v>
      </c>
      <c r="P1887" t="str">
        <f>IF(T[[#This Row],[qty_ordered]]&lt;&gt;T[[#This Row],[qty_received]],IF(T[[#This Row],[qty_received]]&gt;0,"Partial Received","Not Receviced"),"FullyReceived")</f>
        <v>Not Receviced</v>
      </c>
      <c r="Q1887" t="str">
        <f>IF(T[[#This Row],[qty_received]]&lt;&gt;T[[#This Row],[qty_invoiced]],IF(T[[#This Row],[qty_invoiced]]&gt;0,"Partial Invoiced","Not Invoiced"),"Fully Invoiced")</f>
        <v>Fully Invoiced</v>
      </c>
      <c r="R1887" t="str">
        <f>IFERROR(VLOOKUP(T[[#This Row],[warehouse]],Table2[],2,FALSE),"--")</f>
        <v>--</v>
      </c>
    </row>
    <row r="1888" spans="1:18" x14ac:dyDescent="0.25">
      <c r="A1888" t="s">
        <v>1316</v>
      </c>
      <c r="B1888" s="1">
        <v>44251</v>
      </c>
      <c r="C1888" t="s">
        <v>1317</v>
      </c>
      <c r="D1888" t="s">
        <v>591</v>
      </c>
      <c r="E1888" t="s">
        <v>51</v>
      </c>
      <c r="F1888" t="s">
        <v>278</v>
      </c>
      <c r="G1888" t="s">
        <v>279</v>
      </c>
      <c r="H1888" t="s">
        <v>54</v>
      </c>
      <c r="I1888">
        <v>3179</v>
      </c>
      <c r="J1888">
        <v>0</v>
      </c>
      <c r="K1888">
        <v>0</v>
      </c>
      <c r="L1888" t="s">
        <v>25</v>
      </c>
      <c r="M1888" t="s">
        <v>533</v>
      </c>
      <c r="N1888">
        <v>20</v>
      </c>
      <c r="O1888">
        <v>0</v>
      </c>
      <c r="P1888" t="str">
        <f>IF(T[[#This Row],[qty_ordered]]&lt;&gt;T[[#This Row],[qty_received]],IF(T[[#This Row],[qty_received]]&gt;0,"Partial Received","Not Receviced"),"FullyReceived")</f>
        <v>Not Receviced</v>
      </c>
      <c r="Q1888" t="str">
        <f>IF(T[[#This Row],[qty_received]]&lt;&gt;T[[#This Row],[qty_invoiced]],IF(T[[#This Row],[qty_invoiced]]&gt;0,"Partial Invoiced","Not Invoiced"),"Fully Invoiced")</f>
        <v>Fully Invoiced</v>
      </c>
      <c r="R1888" t="str">
        <f>IFERROR(VLOOKUP(T[[#This Row],[warehouse]],Table2[],2,FALSE),"--")</f>
        <v>--</v>
      </c>
    </row>
    <row r="1889" spans="1:18" x14ac:dyDescent="0.25">
      <c r="A1889" t="s">
        <v>462</v>
      </c>
      <c r="B1889" s="1">
        <v>44221</v>
      </c>
      <c r="C1889" t="s">
        <v>1200</v>
      </c>
      <c r="D1889" t="s">
        <v>1351</v>
      </c>
      <c r="E1889" t="s">
        <v>51</v>
      </c>
      <c r="F1889" t="s">
        <v>753</v>
      </c>
      <c r="G1889" t="s">
        <v>1352</v>
      </c>
      <c r="H1889" t="s">
        <v>54</v>
      </c>
      <c r="I1889">
        <v>200</v>
      </c>
      <c r="J1889">
        <v>0</v>
      </c>
      <c r="K1889">
        <v>1</v>
      </c>
      <c r="L1889" t="s">
        <v>25</v>
      </c>
      <c r="M1889" t="s">
        <v>533</v>
      </c>
      <c r="N1889">
        <v>2720</v>
      </c>
      <c r="O1889">
        <v>0</v>
      </c>
      <c r="P1889" t="str">
        <f>IF(T[[#This Row],[qty_ordered]]&lt;&gt;T[[#This Row],[qty_received]],IF(T[[#This Row],[qty_received]]&gt;0,"Partial Received","Not Receviced"),"FullyReceived")</f>
        <v>Not Receviced</v>
      </c>
      <c r="Q1889" t="str">
        <f>IF(T[[#This Row],[qty_received]]&lt;&gt;T[[#This Row],[qty_invoiced]],IF(T[[#This Row],[qty_invoiced]]&gt;0,"Partial Invoiced","Not Invoiced"),"Fully Invoiced")</f>
        <v>Partial Invoiced</v>
      </c>
      <c r="R1889" t="str">
        <f>IFERROR(VLOOKUP(T[[#This Row],[warehouse]],Table2[],2,FALSE),"--")</f>
        <v>--</v>
      </c>
    </row>
    <row r="1890" spans="1:18" x14ac:dyDescent="0.25">
      <c r="A1890" t="s">
        <v>462</v>
      </c>
      <c r="B1890" s="1">
        <v>44221</v>
      </c>
      <c r="C1890" t="s">
        <v>1200</v>
      </c>
      <c r="D1890" t="s">
        <v>1353</v>
      </c>
      <c r="E1890" t="s">
        <v>51</v>
      </c>
      <c r="F1890" t="s">
        <v>278</v>
      </c>
      <c r="G1890" t="s">
        <v>279</v>
      </c>
      <c r="H1890" t="s">
        <v>54</v>
      </c>
      <c r="I1890">
        <v>4608</v>
      </c>
      <c r="J1890">
        <v>0</v>
      </c>
      <c r="K1890">
        <v>1</v>
      </c>
      <c r="L1890" t="s">
        <v>25</v>
      </c>
      <c r="M1890" t="s">
        <v>533</v>
      </c>
      <c r="N1890">
        <v>20.418837</v>
      </c>
      <c r="O1890">
        <v>0</v>
      </c>
      <c r="P1890" t="str">
        <f>IF(T[[#This Row],[qty_ordered]]&lt;&gt;T[[#This Row],[qty_received]],IF(T[[#This Row],[qty_received]]&gt;0,"Partial Received","Not Receviced"),"FullyReceived")</f>
        <v>Not Receviced</v>
      </c>
      <c r="Q1890" t="str">
        <f>IF(T[[#This Row],[qty_received]]&lt;&gt;T[[#This Row],[qty_invoiced]],IF(T[[#This Row],[qty_invoiced]]&gt;0,"Partial Invoiced","Not Invoiced"),"Fully Invoiced")</f>
        <v>Partial Invoiced</v>
      </c>
      <c r="R1890" t="str">
        <f>IFERROR(VLOOKUP(T[[#This Row],[warehouse]],Table2[],2,FALSE),"--")</f>
        <v>--</v>
      </c>
    </row>
    <row r="1891" spans="1:18" x14ac:dyDescent="0.25">
      <c r="A1891" t="s">
        <v>462</v>
      </c>
      <c r="B1891" s="1">
        <v>44221</v>
      </c>
      <c r="C1891" t="s">
        <v>1200</v>
      </c>
      <c r="D1891" t="s">
        <v>1354</v>
      </c>
      <c r="E1891" t="s">
        <v>51</v>
      </c>
      <c r="F1891" t="s">
        <v>185</v>
      </c>
      <c r="G1891" t="s">
        <v>275</v>
      </c>
      <c r="H1891" t="s">
        <v>54</v>
      </c>
      <c r="I1891">
        <v>894</v>
      </c>
      <c r="J1891">
        <v>0</v>
      </c>
      <c r="K1891">
        <v>1</v>
      </c>
      <c r="L1891" t="s">
        <v>25</v>
      </c>
      <c r="M1891" t="s">
        <v>533</v>
      </c>
      <c r="N1891">
        <v>22.544743</v>
      </c>
      <c r="O1891">
        <v>0</v>
      </c>
      <c r="P1891" t="str">
        <f>IF(T[[#This Row],[qty_ordered]]&lt;&gt;T[[#This Row],[qty_received]],IF(T[[#This Row],[qty_received]]&gt;0,"Partial Received","Not Receviced"),"FullyReceived")</f>
        <v>Not Receviced</v>
      </c>
      <c r="Q1891" t="str">
        <f>IF(T[[#This Row],[qty_received]]&lt;&gt;T[[#This Row],[qty_invoiced]],IF(T[[#This Row],[qty_invoiced]]&gt;0,"Partial Invoiced","Not Invoiced"),"Fully Invoiced")</f>
        <v>Partial Invoiced</v>
      </c>
      <c r="R1891" t="str">
        <f>IFERROR(VLOOKUP(T[[#This Row],[warehouse]],Table2[],2,FALSE),"--")</f>
        <v>--</v>
      </c>
    </row>
    <row r="1892" spans="1:18" x14ac:dyDescent="0.25">
      <c r="A1892" t="s">
        <v>462</v>
      </c>
      <c r="B1892" s="1">
        <v>44221</v>
      </c>
      <c r="C1892" t="s">
        <v>1200</v>
      </c>
      <c r="D1892" t="s">
        <v>1355</v>
      </c>
      <c r="E1892" t="s">
        <v>51</v>
      </c>
      <c r="F1892" t="s">
        <v>373</v>
      </c>
      <c r="G1892" t="s">
        <v>373</v>
      </c>
      <c r="H1892" t="s">
        <v>54</v>
      </c>
      <c r="I1892">
        <v>16245</v>
      </c>
      <c r="J1892">
        <v>0</v>
      </c>
      <c r="K1892">
        <v>1</v>
      </c>
      <c r="L1892" t="s">
        <v>25</v>
      </c>
      <c r="M1892" t="s">
        <v>533</v>
      </c>
      <c r="N1892">
        <v>13</v>
      </c>
      <c r="O1892">
        <v>0</v>
      </c>
      <c r="P1892" t="str">
        <f>IF(T[[#This Row],[qty_ordered]]&lt;&gt;T[[#This Row],[qty_received]],IF(T[[#This Row],[qty_received]]&gt;0,"Partial Received","Not Receviced"),"FullyReceived")</f>
        <v>Not Receviced</v>
      </c>
      <c r="Q1892" t="str">
        <f>IF(T[[#This Row],[qty_received]]&lt;&gt;T[[#This Row],[qty_invoiced]],IF(T[[#This Row],[qty_invoiced]]&gt;0,"Partial Invoiced","Not Invoiced"),"Fully Invoiced")</f>
        <v>Partial Invoiced</v>
      </c>
      <c r="R1892" t="str">
        <f>IFERROR(VLOOKUP(T[[#This Row],[warehouse]],Table2[],2,FALSE),"--")</f>
        <v>--</v>
      </c>
    </row>
    <row r="1893" spans="1:18" x14ac:dyDescent="0.25">
      <c r="A1893" t="s">
        <v>462</v>
      </c>
      <c r="B1893" s="1">
        <v>44221</v>
      </c>
      <c r="C1893" t="s">
        <v>1200</v>
      </c>
      <c r="D1893" t="s">
        <v>1356</v>
      </c>
      <c r="E1893" t="s">
        <v>51</v>
      </c>
      <c r="F1893" t="s">
        <v>254</v>
      </c>
      <c r="G1893" t="s">
        <v>255</v>
      </c>
      <c r="H1893" t="s">
        <v>54</v>
      </c>
      <c r="I1893">
        <v>13720</v>
      </c>
      <c r="J1893">
        <v>0</v>
      </c>
      <c r="K1893">
        <v>1</v>
      </c>
      <c r="L1893" t="s">
        <v>25</v>
      </c>
      <c r="M1893" t="s">
        <v>533</v>
      </c>
      <c r="N1893">
        <v>13</v>
      </c>
      <c r="O1893">
        <v>0</v>
      </c>
      <c r="P1893" t="str">
        <f>IF(T[[#This Row],[qty_ordered]]&lt;&gt;T[[#This Row],[qty_received]],IF(T[[#This Row],[qty_received]]&gt;0,"Partial Received","Not Receviced"),"FullyReceived")</f>
        <v>Not Receviced</v>
      </c>
      <c r="Q1893" t="str">
        <f>IF(T[[#This Row],[qty_received]]&lt;&gt;T[[#This Row],[qty_invoiced]],IF(T[[#This Row],[qty_invoiced]]&gt;0,"Partial Invoiced","Not Invoiced"),"Fully Invoiced")</f>
        <v>Partial Invoiced</v>
      </c>
      <c r="R1893" t="str">
        <f>IFERROR(VLOOKUP(T[[#This Row],[warehouse]],Table2[],2,FALSE),"--")</f>
        <v>--</v>
      </c>
    </row>
    <row r="1894" spans="1:18" x14ac:dyDescent="0.25">
      <c r="A1894" t="s">
        <v>462</v>
      </c>
      <c r="B1894" s="1">
        <v>44221</v>
      </c>
      <c r="C1894" t="s">
        <v>1200</v>
      </c>
      <c r="D1894" t="s">
        <v>1357</v>
      </c>
      <c r="E1894" t="s">
        <v>51</v>
      </c>
      <c r="F1894" t="s">
        <v>433</v>
      </c>
      <c r="G1894" t="s">
        <v>1358</v>
      </c>
      <c r="H1894" t="s">
        <v>54</v>
      </c>
      <c r="I1894">
        <v>16617</v>
      </c>
      <c r="J1894">
        <v>0</v>
      </c>
      <c r="K1894">
        <v>1</v>
      </c>
      <c r="L1894" t="s">
        <v>25</v>
      </c>
      <c r="M1894" t="s">
        <v>533</v>
      </c>
      <c r="N1894">
        <v>6</v>
      </c>
      <c r="O1894">
        <v>0</v>
      </c>
      <c r="P1894" t="str">
        <f>IF(T[[#This Row],[qty_ordered]]&lt;&gt;T[[#This Row],[qty_received]],IF(T[[#This Row],[qty_received]]&gt;0,"Partial Received","Not Receviced"),"FullyReceived")</f>
        <v>Not Receviced</v>
      </c>
      <c r="Q1894" t="str">
        <f>IF(T[[#This Row],[qty_received]]&lt;&gt;T[[#This Row],[qty_invoiced]],IF(T[[#This Row],[qty_invoiced]]&gt;0,"Partial Invoiced","Not Invoiced"),"Fully Invoiced")</f>
        <v>Partial Invoiced</v>
      </c>
      <c r="R1894" t="str">
        <f>IFERROR(VLOOKUP(T[[#This Row],[warehouse]],Table2[],2,FALSE),"--")</f>
        <v>--</v>
      </c>
    </row>
    <row r="1895" spans="1:18" x14ac:dyDescent="0.25">
      <c r="A1895" t="s">
        <v>462</v>
      </c>
      <c r="B1895" s="1">
        <v>44221</v>
      </c>
      <c r="C1895" t="s">
        <v>1200</v>
      </c>
      <c r="D1895" t="s">
        <v>1359</v>
      </c>
      <c r="E1895" t="s">
        <v>51</v>
      </c>
      <c r="F1895" t="s">
        <v>433</v>
      </c>
      <c r="G1895" t="s">
        <v>1358</v>
      </c>
      <c r="H1895" t="s">
        <v>54</v>
      </c>
      <c r="I1895">
        <v>154</v>
      </c>
      <c r="J1895">
        <v>0</v>
      </c>
      <c r="K1895">
        <v>1</v>
      </c>
      <c r="L1895" t="s">
        <v>25</v>
      </c>
      <c r="M1895" t="s">
        <v>533</v>
      </c>
      <c r="N1895">
        <v>294.02597400000002</v>
      </c>
      <c r="O1895">
        <v>0</v>
      </c>
      <c r="P1895" t="str">
        <f>IF(T[[#This Row],[qty_ordered]]&lt;&gt;T[[#This Row],[qty_received]],IF(T[[#This Row],[qty_received]]&gt;0,"Partial Received","Not Receviced"),"FullyReceived")</f>
        <v>Not Receviced</v>
      </c>
      <c r="Q1895" t="str">
        <f>IF(T[[#This Row],[qty_received]]&lt;&gt;T[[#This Row],[qty_invoiced]],IF(T[[#This Row],[qty_invoiced]]&gt;0,"Partial Invoiced","Not Invoiced"),"Fully Invoiced")</f>
        <v>Partial Invoiced</v>
      </c>
      <c r="R1895" t="str">
        <f>IFERROR(VLOOKUP(T[[#This Row],[warehouse]],Table2[],2,FALSE),"--")</f>
        <v>--</v>
      </c>
    </row>
    <row r="1896" spans="1:18" x14ac:dyDescent="0.25">
      <c r="A1896" t="s">
        <v>462</v>
      </c>
      <c r="B1896" s="1">
        <v>44221</v>
      </c>
      <c r="C1896" t="s">
        <v>1200</v>
      </c>
      <c r="D1896" t="s">
        <v>1360</v>
      </c>
      <c r="E1896" t="s">
        <v>51</v>
      </c>
      <c r="F1896" t="s">
        <v>793</v>
      </c>
      <c r="G1896" t="s">
        <v>1361</v>
      </c>
      <c r="H1896" t="s">
        <v>54</v>
      </c>
      <c r="I1896">
        <v>10</v>
      </c>
      <c r="J1896">
        <v>0</v>
      </c>
      <c r="K1896">
        <v>1</v>
      </c>
      <c r="L1896" t="s">
        <v>25</v>
      </c>
      <c r="M1896" t="s">
        <v>533</v>
      </c>
      <c r="N1896">
        <v>400</v>
      </c>
      <c r="O1896">
        <v>0</v>
      </c>
      <c r="P1896" t="str">
        <f>IF(T[[#This Row],[qty_ordered]]&lt;&gt;T[[#This Row],[qty_received]],IF(T[[#This Row],[qty_received]]&gt;0,"Partial Received","Not Receviced"),"FullyReceived")</f>
        <v>Not Receviced</v>
      </c>
      <c r="Q1896" t="str">
        <f>IF(T[[#This Row],[qty_received]]&lt;&gt;T[[#This Row],[qty_invoiced]],IF(T[[#This Row],[qty_invoiced]]&gt;0,"Partial Invoiced","Not Invoiced"),"Fully Invoiced")</f>
        <v>Partial Invoiced</v>
      </c>
      <c r="R1896" t="str">
        <f>IFERROR(VLOOKUP(T[[#This Row],[warehouse]],Table2[],2,FALSE),"--")</f>
        <v>--</v>
      </c>
    </row>
    <row r="1897" spans="1:18" x14ac:dyDescent="0.25">
      <c r="A1897" t="s">
        <v>462</v>
      </c>
      <c r="B1897" s="1">
        <v>44221</v>
      </c>
      <c r="C1897" t="s">
        <v>1200</v>
      </c>
      <c r="D1897" t="s">
        <v>1362</v>
      </c>
      <c r="E1897" t="s">
        <v>51</v>
      </c>
      <c r="F1897" t="s">
        <v>793</v>
      </c>
      <c r="G1897" t="s">
        <v>1318</v>
      </c>
      <c r="H1897" t="s">
        <v>54</v>
      </c>
      <c r="I1897">
        <v>8</v>
      </c>
      <c r="J1897">
        <v>0</v>
      </c>
      <c r="K1897">
        <v>1</v>
      </c>
      <c r="L1897" t="s">
        <v>25</v>
      </c>
      <c r="M1897" t="s">
        <v>533</v>
      </c>
      <c r="N1897">
        <v>468.75</v>
      </c>
      <c r="O1897">
        <v>0</v>
      </c>
      <c r="P1897" t="str">
        <f>IF(T[[#This Row],[qty_ordered]]&lt;&gt;T[[#This Row],[qty_received]],IF(T[[#This Row],[qty_received]]&gt;0,"Partial Received","Not Receviced"),"FullyReceived")</f>
        <v>Not Receviced</v>
      </c>
      <c r="Q1897" t="str">
        <f>IF(T[[#This Row],[qty_received]]&lt;&gt;T[[#This Row],[qty_invoiced]],IF(T[[#This Row],[qty_invoiced]]&gt;0,"Partial Invoiced","Not Invoiced"),"Fully Invoiced")</f>
        <v>Partial Invoiced</v>
      </c>
      <c r="R1897" t="str">
        <f>IFERROR(VLOOKUP(T[[#This Row],[warehouse]],Table2[],2,FALSE),"--")</f>
        <v>--</v>
      </c>
    </row>
    <row r="1898" spans="1:18" x14ac:dyDescent="0.25">
      <c r="A1898" t="s">
        <v>462</v>
      </c>
      <c r="B1898" s="1">
        <v>44221</v>
      </c>
      <c r="C1898" t="s">
        <v>1200</v>
      </c>
      <c r="D1898" t="s">
        <v>1363</v>
      </c>
      <c r="E1898" t="s">
        <v>51</v>
      </c>
      <c r="F1898" t="s">
        <v>793</v>
      </c>
      <c r="G1898" t="s">
        <v>1318</v>
      </c>
      <c r="H1898" t="s">
        <v>54</v>
      </c>
      <c r="I1898">
        <v>29</v>
      </c>
      <c r="J1898">
        <v>0</v>
      </c>
      <c r="K1898">
        <v>1</v>
      </c>
      <c r="L1898" t="s">
        <v>25</v>
      </c>
      <c r="M1898" t="s">
        <v>533</v>
      </c>
      <c r="N1898">
        <v>363.79310400000003</v>
      </c>
      <c r="O1898">
        <v>0</v>
      </c>
      <c r="P1898" t="str">
        <f>IF(T[[#This Row],[qty_ordered]]&lt;&gt;T[[#This Row],[qty_received]],IF(T[[#This Row],[qty_received]]&gt;0,"Partial Received","Not Receviced"),"FullyReceived")</f>
        <v>Not Receviced</v>
      </c>
      <c r="Q1898" t="str">
        <f>IF(T[[#This Row],[qty_received]]&lt;&gt;T[[#This Row],[qty_invoiced]],IF(T[[#This Row],[qty_invoiced]]&gt;0,"Partial Invoiced","Not Invoiced"),"Fully Invoiced")</f>
        <v>Partial Invoiced</v>
      </c>
      <c r="R1898" t="str">
        <f>IFERROR(VLOOKUP(T[[#This Row],[warehouse]],Table2[],2,FALSE),"--")</f>
        <v>--</v>
      </c>
    </row>
    <row r="1899" spans="1:18" x14ac:dyDescent="0.25">
      <c r="A1899" t="s">
        <v>505</v>
      </c>
      <c r="B1899" s="1">
        <v>44179</v>
      </c>
      <c r="C1899" t="s">
        <v>1023</v>
      </c>
      <c r="D1899" t="s">
        <v>71</v>
      </c>
      <c r="E1899" t="s">
        <v>51</v>
      </c>
      <c r="F1899" t="s">
        <v>278</v>
      </c>
      <c r="G1899" t="s">
        <v>279</v>
      </c>
      <c r="H1899" t="s">
        <v>54</v>
      </c>
      <c r="I1899">
        <v>77267</v>
      </c>
      <c r="J1899">
        <v>0</v>
      </c>
      <c r="K1899">
        <v>1</v>
      </c>
      <c r="L1899" t="s">
        <v>25</v>
      </c>
      <c r="M1899" t="s">
        <v>533</v>
      </c>
      <c r="N1899">
        <v>12</v>
      </c>
      <c r="O1899">
        <v>0</v>
      </c>
      <c r="P1899" t="str">
        <f>IF(T[[#This Row],[qty_ordered]]&lt;&gt;T[[#This Row],[qty_received]],IF(T[[#This Row],[qty_received]]&gt;0,"Partial Received","Not Receviced"),"FullyReceived")</f>
        <v>Not Receviced</v>
      </c>
      <c r="Q1899" t="str">
        <f>IF(T[[#This Row],[qty_received]]&lt;&gt;T[[#This Row],[qty_invoiced]],IF(T[[#This Row],[qty_invoiced]]&gt;0,"Partial Invoiced","Not Invoiced"),"Fully Invoiced")</f>
        <v>Partial Invoiced</v>
      </c>
      <c r="R1899" t="str">
        <f>IFERROR(VLOOKUP(T[[#This Row],[warehouse]],Table2[],2,FALSE),"--")</f>
        <v>--</v>
      </c>
    </row>
    <row r="1900" spans="1:18" x14ac:dyDescent="0.25">
      <c r="A1900" t="s">
        <v>505</v>
      </c>
      <c r="B1900" s="1">
        <v>44179</v>
      </c>
      <c r="C1900" t="s">
        <v>1023</v>
      </c>
      <c r="D1900" t="s">
        <v>100</v>
      </c>
      <c r="E1900" t="s">
        <v>51</v>
      </c>
      <c r="F1900" t="s">
        <v>278</v>
      </c>
      <c r="G1900" t="s">
        <v>279</v>
      </c>
      <c r="H1900" t="s">
        <v>54</v>
      </c>
      <c r="I1900">
        <v>6532</v>
      </c>
      <c r="J1900">
        <v>0</v>
      </c>
      <c r="K1900">
        <v>1</v>
      </c>
      <c r="L1900" t="s">
        <v>25</v>
      </c>
      <c r="M1900" t="s">
        <v>533</v>
      </c>
      <c r="N1900">
        <v>15.779241000000001</v>
      </c>
      <c r="O1900">
        <v>0</v>
      </c>
      <c r="P1900" t="str">
        <f>IF(T[[#This Row],[qty_ordered]]&lt;&gt;T[[#This Row],[qty_received]],IF(T[[#This Row],[qty_received]]&gt;0,"Partial Received","Not Receviced"),"FullyReceived")</f>
        <v>Not Receviced</v>
      </c>
      <c r="Q1900" t="str">
        <f>IF(T[[#This Row],[qty_received]]&lt;&gt;T[[#This Row],[qty_invoiced]],IF(T[[#This Row],[qty_invoiced]]&gt;0,"Partial Invoiced","Not Invoiced"),"Fully Invoiced")</f>
        <v>Partial Invoiced</v>
      </c>
      <c r="R1900" t="str">
        <f>IFERROR(VLOOKUP(T[[#This Row],[warehouse]],Table2[],2,FALSE),"--")</f>
        <v>--</v>
      </c>
    </row>
    <row r="1901" spans="1:18" x14ac:dyDescent="0.25">
      <c r="A1901" t="s">
        <v>505</v>
      </c>
      <c r="B1901" s="1">
        <v>44179</v>
      </c>
      <c r="C1901" t="s">
        <v>1023</v>
      </c>
      <c r="D1901" t="s">
        <v>88</v>
      </c>
      <c r="E1901" t="s">
        <v>51</v>
      </c>
      <c r="F1901" t="s">
        <v>433</v>
      </c>
      <c r="G1901" t="s">
        <v>1358</v>
      </c>
      <c r="H1901" t="s">
        <v>54</v>
      </c>
      <c r="I1901">
        <v>125170</v>
      </c>
      <c r="J1901">
        <v>0</v>
      </c>
      <c r="K1901">
        <v>1</v>
      </c>
      <c r="L1901" t="s">
        <v>25</v>
      </c>
      <c r="M1901" t="s">
        <v>533</v>
      </c>
      <c r="N1901">
        <v>8</v>
      </c>
      <c r="O1901">
        <v>0</v>
      </c>
      <c r="P1901" t="str">
        <f>IF(T[[#This Row],[qty_ordered]]&lt;&gt;T[[#This Row],[qty_received]],IF(T[[#This Row],[qty_received]]&gt;0,"Partial Received","Not Receviced"),"FullyReceived")</f>
        <v>Not Receviced</v>
      </c>
      <c r="Q1901" t="str">
        <f>IF(T[[#This Row],[qty_received]]&lt;&gt;T[[#This Row],[qty_invoiced]],IF(T[[#This Row],[qty_invoiced]]&gt;0,"Partial Invoiced","Not Invoiced"),"Fully Invoiced")</f>
        <v>Partial Invoiced</v>
      </c>
      <c r="R1901" t="str">
        <f>IFERROR(VLOOKUP(T[[#This Row],[warehouse]],Table2[],2,FALSE),"--")</f>
        <v>--</v>
      </c>
    </row>
    <row r="1902" spans="1:18" x14ac:dyDescent="0.25">
      <c r="A1902" t="s">
        <v>505</v>
      </c>
      <c r="B1902" s="1">
        <v>44179</v>
      </c>
      <c r="C1902" t="s">
        <v>1023</v>
      </c>
      <c r="D1902" t="s">
        <v>74</v>
      </c>
      <c r="E1902" t="s">
        <v>51</v>
      </c>
      <c r="F1902" t="s">
        <v>373</v>
      </c>
      <c r="G1902" t="s">
        <v>373</v>
      </c>
      <c r="H1902" t="s">
        <v>54</v>
      </c>
      <c r="I1902">
        <v>7677</v>
      </c>
      <c r="J1902">
        <v>0</v>
      </c>
      <c r="K1902">
        <v>1</v>
      </c>
      <c r="L1902" t="s">
        <v>25</v>
      </c>
      <c r="M1902" t="s">
        <v>533</v>
      </c>
      <c r="N1902">
        <v>23.933827999999998</v>
      </c>
      <c r="O1902">
        <v>0</v>
      </c>
      <c r="P1902" t="str">
        <f>IF(T[[#This Row],[qty_ordered]]&lt;&gt;T[[#This Row],[qty_received]],IF(T[[#This Row],[qty_received]]&gt;0,"Partial Received","Not Receviced"),"FullyReceived")</f>
        <v>Not Receviced</v>
      </c>
      <c r="Q1902" t="str">
        <f>IF(T[[#This Row],[qty_received]]&lt;&gt;T[[#This Row],[qty_invoiced]],IF(T[[#This Row],[qty_invoiced]]&gt;0,"Partial Invoiced","Not Invoiced"),"Fully Invoiced")</f>
        <v>Partial Invoiced</v>
      </c>
      <c r="R1902" t="str">
        <f>IFERROR(VLOOKUP(T[[#This Row],[warehouse]],Table2[],2,FALSE),"--")</f>
        <v>--</v>
      </c>
    </row>
    <row r="1903" spans="1:18" x14ac:dyDescent="0.25">
      <c r="A1903" t="s">
        <v>505</v>
      </c>
      <c r="B1903" s="1">
        <v>44179</v>
      </c>
      <c r="C1903" t="s">
        <v>1023</v>
      </c>
      <c r="D1903" t="s">
        <v>76</v>
      </c>
      <c r="E1903" t="s">
        <v>51</v>
      </c>
      <c r="F1903" t="s">
        <v>384</v>
      </c>
      <c r="G1903" t="s">
        <v>1364</v>
      </c>
      <c r="H1903" t="s">
        <v>54</v>
      </c>
      <c r="I1903">
        <v>1990</v>
      </c>
      <c r="J1903">
        <v>0</v>
      </c>
      <c r="K1903">
        <v>1</v>
      </c>
      <c r="L1903" t="s">
        <v>25</v>
      </c>
      <c r="M1903" t="s">
        <v>533</v>
      </c>
      <c r="N1903">
        <v>60</v>
      </c>
      <c r="O1903">
        <v>0</v>
      </c>
      <c r="P1903" t="str">
        <f>IF(T[[#This Row],[qty_ordered]]&lt;&gt;T[[#This Row],[qty_received]],IF(T[[#This Row],[qty_received]]&gt;0,"Partial Received","Not Receviced"),"FullyReceived")</f>
        <v>Not Receviced</v>
      </c>
      <c r="Q1903" t="str">
        <f>IF(T[[#This Row],[qty_received]]&lt;&gt;T[[#This Row],[qty_invoiced]],IF(T[[#This Row],[qty_invoiced]]&gt;0,"Partial Invoiced","Not Invoiced"),"Fully Invoiced")</f>
        <v>Partial Invoiced</v>
      </c>
      <c r="R1903" t="str">
        <f>IFERROR(VLOOKUP(T[[#This Row],[warehouse]],Table2[],2,FALSE),"--")</f>
        <v>--</v>
      </c>
    </row>
    <row r="1904" spans="1:18" x14ac:dyDescent="0.25">
      <c r="A1904" t="s">
        <v>505</v>
      </c>
      <c r="B1904" s="1">
        <v>44179</v>
      </c>
      <c r="C1904" t="s">
        <v>1023</v>
      </c>
      <c r="D1904" t="s">
        <v>212</v>
      </c>
      <c r="E1904" t="s">
        <v>51</v>
      </c>
      <c r="F1904" t="s">
        <v>254</v>
      </c>
      <c r="G1904" t="s">
        <v>255</v>
      </c>
      <c r="H1904" t="s">
        <v>54</v>
      </c>
      <c r="I1904">
        <v>1200</v>
      </c>
      <c r="J1904">
        <v>0</v>
      </c>
      <c r="K1904">
        <v>1</v>
      </c>
      <c r="L1904" t="s">
        <v>25</v>
      </c>
      <c r="M1904" t="s">
        <v>533</v>
      </c>
      <c r="N1904">
        <v>15</v>
      </c>
      <c r="O1904">
        <v>0</v>
      </c>
      <c r="P1904" t="str">
        <f>IF(T[[#This Row],[qty_ordered]]&lt;&gt;T[[#This Row],[qty_received]],IF(T[[#This Row],[qty_received]]&gt;0,"Partial Received","Not Receviced"),"FullyReceived")</f>
        <v>Not Receviced</v>
      </c>
      <c r="Q1904" t="str">
        <f>IF(T[[#This Row],[qty_received]]&lt;&gt;T[[#This Row],[qty_invoiced]],IF(T[[#This Row],[qty_invoiced]]&gt;0,"Partial Invoiced","Not Invoiced"),"Fully Invoiced")</f>
        <v>Partial Invoiced</v>
      </c>
      <c r="R1904" t="str">
        <f>IFERROR(VLOOKUP(T[[#This Row],[warehouse]],Table2[],2,FALSE),"--")</f>
        <v>--</v>
      </c>
    </row>
    <row r="1905" spans="1:18" x14ac:dyDescent="0.25">
      <c r="A1905" t="s">
        <v>1365</v>
      </c>
      <c r="B1905" s="1">
        <v>44350</v>
      </c>
      <c r="C1905" t="s">
        <v>1366</v>
      </c>
      <c r="D1905" t="s">
        <v>20</v>
      </c>
      <c r="E1905" t="s">
        <v>51</v>
      </c>
      <c r="F1905" t="s">
        <v>183</v>
      </c>
      <c r="G1905" t="s">
        <v>1367</v>
      </c>
      <c r="H1905" t="s">
        <v>54</v>
      </c>
      <c r="I1905">
        <v>1000</v>
      </c>
      <c r="J1905">
        <v>0</v>
      </c>
      <c r="K1905">
        <v>1</v>
      </c>
      <c r="L1905" t="s">
        <v>25</v>
      </c>
      <c r="M1905" t="s">
        <v>533</v>
      </c>
      <c r="N1905">
        <v>3800</v>
      </c>
      <c r="O1905">
        <v>0</v>
      </c>
      <c r="P1905" t="str">
        <f>IF(T[[#This Row],[qty_ordered]]&lt;&gt;T[[#This Row],[qty_received]],IF(T[[#This Row],[qty_received]]&gt;0,"Partial Received","Not Receviced"),"FullyReceived")</f>
        <v>Not Receviced</v>
      </c>
      <c r="Q1905" t="str">
        <f>IF(T[[#This Row],[qty_received]]&lt;&gt;T[[#This Row],[qty_invoiced]],IF(T[[#This Row],[qty_invoiced]]&gt;0,"Partial Invoiced","Not Invoiced"),"Fully Invoiced")</f>
        <v>Partial Invoiced</v>
      </c>
      <c r="R1905" t="str">
        <f>IFERROR(VLOOKUP(T[[#This Row],[warehouse]],Table2[],2,FALSE),"--")</f>
        <v>--</v>
      </c>
    </row>
    <row r="1906" spans="1:18" x14ac:dyDescent="0.25">
      <c r="A1906" t="s">
        <v>658</v>
      </c>
      <c r="B1906" s="1">
        <v>44243</v>
      </c>
      <c r="C1906" t="s">
        <v>1243</v>
      </c>
      <c r="D1906" t="s">
        <v>452</v>
      </c>
      <c r="E1906" t="s">
        <v>660</v>
      </c>
      <c r="F1906" t="s">
        <v>661</v>
      </c>
      <c r="G1906" t="s">
        <v>662</v>
      </c>
      <c r="H1906" t="s">
        <v>663</v>
      </c>
      <c r="I1906">
        <v>3044.4</v>
      </c>
      <c r="J1906">
        <v>3044.4</v>
      </c>
      <c r="K1906">
        <v>3044.4</v>
      </c>
      <c r="L1906" t="s">
        <v>25</v>
      </c>
      <c r="M1906" t="s">
        <v>707</v>
      </c>
      <c r="N1906">
        <v>2000</v>
      </c>
      <c r="O1906">
        <v>6088800</v>
      </c>
      <c r="P1906" t="str">
        <f>IF(T[[#This Row],[qty_ordered]]&lt;&gt;T[[#This Row],[qty_received]],IF(T[[#This Row],[qty_received]]&gt;0,"Partial Received","Not Receviced"),"FullyReceived")</f>
        <v>FullyReceived</v>
      </c>
      <c r="Q1906" t="str">
        <f>IF(T[[#This Row],[qty_received]]&lt;&gt;T[[#This Row],[qty_invoiced]],IF(T[[#This Row],[qty_invoiced]]&gt;0,"Partial Invoiced","Not Invoiced"),"Fully Invoiced")</f>
        <v>Fully Invoiced</v>
      </c>
      <c r="R1906" t="str">
        <f>IFERROR(VLOOKUP(T[[#This Row],[warehouse]],Table2[],2,FALSE),"--")</f>
        <v>SLAUGHTER HOUSE</v>
      </c>
    </row>
    <row r="1907" spans="1:18" x14ac:dyDescent="0.25">
      <c r="A1907" t="s">
        <v>1349</v>
      </c>
      <c r="B1907" s="1">
        <v>44360</v>
      </c>
      <c r="C1907" t="s">
        <v>1350</v>
      </c>
      <c r="D1907" t="s">
        <v>100</v>
      </c>
      <c r="E1907" t="s">
        <v>660</v>
      </c>
      <c r="F1907" t="s">
        <v>1042</v>
      </c>
      <c r="G1907" t="s">
        <v>1043</v>
      </c>
      <c r="H1907" t="s">
        <v>663</v>
      </c>
      <c r="I1907">
        <v>4243.7</v>
      </c>
      <c r="J1907">
        <v>4243.7</v>
      </c>
      <c r="K1907">
        <v>4243.7</v>
      </c>
      <c r="L1907" t="s">
        <v>25</v>
      </c>
      <c r="M1907" t="s">
        <v>132</v>
      </c>
      <c r="N1907">
        <v>2325</v>
      </c>
      <c r="O1907">
        <v>9866602.5</v>
      </c>
      <c r="P1907" t="str">
        <f>IF(T[[#This Row],[qty_ordered]]&lt;&gt;T[[#This Row],[qty_received]],IF(T[[#This Row],[qty_received]]&gt;0,"Partial Received","Not Receviced"),"FullyReceived")</f>
        <v>FullyReceived</v>
      </c>
      <c r="Q1907" t="str">
        <f>IF(T[[#This Row],[qty_received]]&lt;&gt;T[[#This Row],[qty_invoiced]],IF(T[[#This Row],[qty_invoiced]]&gt;0,"Partial Invoiced","Not Invoiced"),"Fully Invoiced")</f>
        <v>Fully Invoiced</v>
      </c>
      <c r="R1907" t="str">
        <f>IFERROR(VLOOKUP(T[[#This Row],[warehouse]],Table2[],2,FALSE),"--")</f>
        <v>SLAUGHTER HOUSE</v>
      </c>
    </row>
    <row r="1908" spans="1:18" x14ac:dyDescent="0.25">
      <c r="A1908" t="s">
        <v>560</v>
      </c>
      <c r="B1908" s="1">
        <v>44251</v>
      </c>
      <c r="C1908" t="s">
        <v>1237</v>
      </c>
      <c r="D1908" t="s">
        <v>212</v>
      </c>
      <c r="E1908" t="s">
        <v>51</v>
      </c>
      <c r="F1908" t="s">
        <v>164</v>
      </c>
      <c r="G1908" t="s">
        <v>1368</v>
      </c>
      <c r="H1908" t="s">
        <v>54</v>
      </c>
      <c r="I1908">
        <v>9</v>
      </c>
      <c r="J1908">
        <v>0</v>
      </c>
      <c r="K1908">
        <v>1</v>
      </c>
      <c r="L1908" t="s">
        <v>25</v>
      </c>
      <c r="M1908" t="s">
        <v>533</v>
      </c>
      <c r="N1908">
        <v>1530</v>
      </c>
      <c r="O1908">
        <v>0</v>
      </c>
      <c r="P1908" t="str">
        <f>IF(T[[#This Row],[qty_ordered]]&lt;&gt;T[[#This Row],[qty_received]],IF(T[[#This Row],[qty_received]]&gt;0,"Partial Received","Not Receviced"),"FullyReceived")</f>
        <v>Not Receviced</v>
      </c>
      <c r="Q1908" t="str">
        <f>IF(T[[#This Row],[qty_received]]&lt;&gt;T[[#This Row],[qty_invoiced]],IF(T[[#This Row],[qty_invoiced]]&gt;0,"Partial Invoiced","Not Invoiced"),"Fully Invoiced")</f>
        <v>Partial Invoiced</v>
      </c>
      <c r="R1908" t="str">
        <f>IFERROR(VLOOKUP(T[[#This Row],[warehouse]],Table2[],2,FALSE),"--")</f>
        <v>--</v>
      </c>
    </row>
    <row r="1909" spans="1:18" x14ac:dyDescent="0.25">
      <c r="A1909" t="s">
        <v>84</v>
      </c>
      <c r="B1909" s="1">
        <v>44201</v>
      </c>
      <c r="C1909" t="s">
        <v>1251</v>
      </c>
      <c r="D1909" t="s">
        <v>71</v>
      </c>
      <c r="E1909" t="s">
        <v>983</v>
      </c>
      <c r="F1909" t="s">
        <v>108</v>
      </c>
      <c r="G1909" t="s">
        <v>109</v>
      </c>
      <c r="H1909" t="s">
        <v>24</v>
      </c>
      <c r="I1909">
        <v>400</v>
      </c>
      <c r="J1909">
        <v>99.22</v>
      </c>
      <c r="K1909">
        <v>99.221999999999994</v>
      </c>
      <c r="L1909" t="s">
        <v>25</v>
      </c>
      <c r="M1909" t="s">
        <v>707</v>
      </c>
      <c r="N1909">
        <v>250000</v>
      </c>
      <c r="O1909">
        <v>24805000</v>
      </c>
      <c r="P1909" t="str">
        <f>IF(T[[#This Row],[qty_ordered]]&lt;&gt;T[[#This Row],[qty_received]],IF(T[[#This Row],[qty_received]]&gt;0,"Partial Received","Not Receviced"),"FullyReceived")</f>
        <v>Partial Received</v>
      </c>
      <c r="Q1909" t="str">
        <f>IF(T[[#This Row],[qty_received]]&lt;&gt;T[[#This Row],[qty_invoiced]],IF(T[[#This Row],[qty_invoiced]]&gt;0,"Partial Invoiced","Not Invoiced"),"Fully Invoiced")</f>
        <v>Partial Invoiced</v>
      </c>
      <c r="R1909" t="str">
        <f>IFERROR(VLOOKUP(T[[#This Row],[warehouse]],Table2[],2,FALSE),"--")</f>
        <v>SIFTER- ALNOR- OMDUR</v>
      </c>
    </row>
    <row r="1910" spans="1:18" x14ac:dyDescent="0.25">
      <c r="A1910" t="s">
        <v>732</v>
      </c>
      <c r="B1910" s="1">
        <v>44207</v>
      </c>
      <c r="C1910" t="s">
        <v>1148</v>
      </c>
      <c r="D1910" t="s">
        <v>71</v>
      </c>
      <c r="E1910" t="s">
        <v>51</v>
      </c>
      <c r="F1910" t="s">
        <v>164</v>
      </c>
      <c r="G1910" t="s">
        <v>1021</v>
      </c>
      <c r="H1910" t="s">
        <v>54</v>
      </c>
      <c r="I1910">
        <v>3737.71</v>
      </c>
      <c r="J1910">
        <v>0</v>
      </c>
      <c r="K1910">
        <v>0</v>
      </c>
      <c r="L1910" t="s">
        <v>25</v>
      </c>
      <c r="M1910" t="s">
        <v>533</v>
      </c>
      <c r="N1910">
        <v>40</v>
      </c>
      <c r="O1910">
        <v>0</v>
      </c>
      <c r="P1910" t="str">
        <f>IF(T[[#This Row],[qty_ordered]]&lt;&gt;T[[#This Row],[qty_received]],IF(T[[#This Row],[qty_received]]&gt;0,"Partial Received","Not Receviced"),"FullyReceived")</f>
        <v>Not Receviced</v>
      </c>
      <c r="Q1910" t="str">
        <f>IF(T[[#This Row],[qty_received]]&lt;&gt;T[[#This Row],[qty_invoiced]],IF(T[[#This Row],[qty_invoiced]]&gt;0,"Partial Invoiced","Not Invoiced"),"Fully Invoiced")</f>
        <v>Fully Invoiced</v>
      </c>
      <c r="R1910" t="str">
        <f>IFERROR(VLOOKUP(T[[#This Row],[warehouse]],Table2[],2,FALSE),"--")</f>
        <v>--</v>
      </c>
    </row>
    <row r="1911" spans="1:18" x14ac:dyDescent="0.25">
      <c r="A1911" t="s">
        <v>732</v>
      </c>
      <c r="B1911" s="1">
        <v>44207</v>
      </c>
      <c r="C1911" t="s">
        <v>1148</v>
      </c>
      <c r="D1911" t="s">
        <v>100</v>
      </c>
      <c r="E1911" t="s">
        <v>51</v>
      </c>
      <c r="F1911" t="s">
        <v>164</v>
      </c>
      <c r="G1911" t="s">
        <v>1021</v>
      </c>
      <c r="H1911" t="s">
        <v>54</v>
      </c>
      <c r="I1911">
        <v>3030.88</v>
      </c>
      <c r="J1911">
        <v>0</v>
      </c>
      <c r="K1911">
        <v>0</v>
      </c>
      <c r="L1911" t="s">
        <v>25</v>
      </c>
      <c r="M1911" t="s">
        <v>533</v>
      </c>
      <c r="N1911">
        <v>40</v>
      </c>
      <c r="O1911">
        <v>0</v>
      </c>
      <c r="P1911" t="str">
        <f>IF(T[[#This Row],[qty_ordered]]&lt;&gt;T[[#This Row],[qty_received]],IF(T[[#This Row],[qty_received]]&gt;0,"Partial Received","Not Receviced"),"FullyReceived")</f>
        <v>Not Receviced</v>
      </c>
      <c r="Q1911" t="str">
        <f>IF(T[[#This Row],[qty_received]]&lt;&gt;T[[#This Row],[qty_invoiced]],IF(T[[#This Row],[qty_invoiced]]&gt;0,"Partial Invoiced","Not Invoiced"),"Fully Invoiced")</f>
        <v>Fully Invoiced</v>
      </c>
      <c r="R1911" t="str">
        <f>IFERROR(VLOOKUP(T[[#This Row],[warehouse]],Table2[],2,FALSE),"--")</f>
        <v>--</v>
      </c>
    </row>
    <row r="1912" spans="1:18" x14ac:dyDescent="0.25">
      <c r="A1912" t="s">
        <v>732</v>
      </c>
      <c r="B1912" s="1">
        <v>44234</v>
      </c>
      <c r="C1912" t="s">
        <v>1297</v>
      </c>
      <c r="D1912" t="s">
        <v>20</v>
      </c>
      <c r="E1912" t="s">
        <v>51</v>
      </c>
      <c r="F1912" t="s">
        <v>164</v>
      </c>
      <c r="G1912" t="s">
        <v>1021</v>
      </c>
      <c r="H1912" t="s">
        <v>54</v>
      </c>
      <c r="I1912">
        <v>2455.6</v>
      </c>
      <c r="J1912">
        <v>0</v>
      </c>
      <c r="K1912">
        <v>0</v>
      </c>
      <c r="L1912" t="s">
        <v>25</v>
      </c>
      <c r="M1912" t="s">
        <v>533</v>
      </c>
      <c r="N1912">
        <v>40</v>
      </c>
      <c r="O1912">
        <v>0</v>
      </c>
      <c r="P1912" t="str">
        <f>IF(T[[#This Row],[qty_ordered]]&lt;&gt;T[[#This Row],[qty_received]],IF(T[[#This Row],[qty_received]]&gt;0,"Partial Received","Not Receviced"),"FullyReceived")</f>
        <v>Not Receviced</v>
      </c>
      <c r="Q1912" t="str">
        <f>IF(T[[#This Row],[qty_received]]&lt;&gt;T[[#This Row],[qty_invoiced]],IF(T[[#This Row],[qty_invoiced]]&gt;0,"Partial Invoiced","Not Invoiced"),"Fully Invoiced")</f>
        <v>Fully Invoiced</v>
      </c>
      <c r="R1912" t="str">
        <f>IFERROR(VLOOKUP(T[[#This Row],[warehouse]],Table2[],2,FALSE),"--")</f>
        <v>--</v>
      </c>
    </row>
    <row r="1913" spans="1:18" x14ac:dyDescent="0.25">
      <c r="A1913" t="s">
        <v>732</v>
      </c>
      <c r="B1913" s="1">
        <v>44234</v>
      </c>
      <c r="C1913" t="s">
        <v>1297</v>
      </c>
      <c r="D1913" t="s">
        <v>71</v>
      </c>
      <c r="E1913" t="s">
        <v>51</v>
      </c>
      <c r="F1913" t="s">
        <v>164</v>
      </c>
      <c r="G1913" t="s">
        <v>1021</v>
      </c>
      <c r="H1913" t="s">
        <v>54</v>
      </c>
      <c r="I1913">
        <v>2445.41</v>
      </c>
      <c r="J1913">
        <v>0</v>
      </c>
      <c r="K1913">
        <v>0</v>
      </c>
      <c r="L1913" t="s">
        <v>25</v>
      </c>
      <c r="M1913" t="s">
        <v>533</v>
      </c>
      <c r="N1913">
        <v>40</v>
      </c>
      <c r="O1913">
        <v>0</v>
      </c>
      <c r="P1913" t="str">
        <f>IF(T[[#This Row],[qty_ordered]]&lt;&gt;T[[#This Row],[qty_received]],IF(T[[#This Row],[qty_received]]&gt;0,"Partial Received","Not Receviced"),"FullyReceived")</f>
        <v>Not Receviced</v>
      </c>
      <c r="Q1913" t="str">
        <f>IF(T[[#This Row],[qty_received]]&lt;&gt;T[[#This Row],[qty_invoiced]],IF(T[[#This Row],[qty_invoiced]]&gt;0,"Partial Invoiced","Not Invoiced"),"Fully Invoiced")</f>
        <v>Fully Invoiced</v>
      </c>
      <c r="R1913" t="str">
        <f>IFERROR(VLOOKUP(T[[#This Row],[warehouse]],Table2[],2,FALSE),"--")</f>
        <v>--</v>
      </c>
    </row>
    <row r="1914" spans="1:18" x14ac:dyDescent="0.25">
      <c r="A1914" t="s">
        <v>732</v>
      </c>
      <c r="B1914" s="1">
        <v>44234</v>
      </c>
      <c r="C1914" t="s">
        <v>1297</v>
      </c>
      <c r="D1914" t="s">
        <v>100</v>
      </c>
      <c r="E1914" t="s">
        <v>51</v>
      </c>
      <c r="F1914" t="s">
        <v>164</v>
      </c>
      <c r="G1914" t="s">
        <v>1021</v>
      </c>
      <c r="H1914" t="s">
        <v>54</v>
      </c>
      <c r="I1914">
        <v>285.08</v>
      </c>
      <c r="J1914">
        <v>0</v>
      </c>
      <c r="K1914">
        <v>0</v>
      </c>
      <c r="L1914" t="s">
        <v>25</v>
      </c>
      <c r="M1914" t="s">
        <v>533</v>
      </c>
      <c r="N1914">
        <v>40</v>
      </c>
      <c r="O1914">
        <v>0</v>
      </c>
      <c r="P1914" t="str">
        <f>IF(T[[#This Row],[qty_ordered]]&lt;&gt;T[[#This Row],[qty_received]],IF(T[[#This Row],[qty_received]]&gt;0,"Partial Received","Not Receviced"),"FullyReceived")</f>
        <v>Not Receviced</v>
      </c>
      <c r="Q1914" t="str">
        <f>IF(T[[#This Row],[qty_received]]&lt;&gt;T[[#This Row],[qty_invoiced]],IF(T[[#This Row],[qty_invoiced]]&gt;0,"Partial Invoiced","Not Invoiced"),"Fully Invoiced")</f>
        <v>Fully Invoiced</v>
      </c>
      <c r="R1914" t="str">
        <f>IFERROR(VLOOKUP(T[[#This Row],[warehouse]],Table2[],2,FALSE),"--")</f>
        <v>--</v>
      </c>
    </row>
    <row r="1915" spans="1:18" x14ac:dyDescent="0.25">
      <c r="A1915" t="s">
        <v>795</v>
      </c>
      <c r="B1915" s="1">
        <v>44160</v>
      </c>
      <c r="C1915" t="s">
        <v>1008</v>
      </c>
      <c r="D1915" t="s">
        <v>88</v>
      </c>
      <c r="E1915" t="s">
        <v>825</v>
      </c>
      <c r="F1915" t="s">
        <v>287</v>
      </c>
      <c r="G1915" t="s">
        <v>288</v>
      </c>
      <c r="H1915" t="s">
        <v>24</v>
      </c>
      <c r="I1915">
        <v>6284.26</v>
      </c>
      <c r="J1915">
        <v>0</v>
      </c>
      <c r="K1915">
        <v>0</v>
      </c>
      <c r="L1915" t="s">
        <v>25</v>
      </c>
      <c r="M1915" t="s">
        <v>132</v>
      </c>
      <c r="N1915">
        <v>302342.67837400001</v>
      </c>
      <c r="O1915">
        <v>0</v>
      </c>
      <c r="P1915" t="str">
        <f>IF(T[[#This Row],[qty_ordered]]&lt;&gt;T[[#This Row],[qty_received]],IF(T[[#This Row],[qty_received]]&gt;0,"Partial Received","Not Receviced"),"FullyReceived")</f>
        <v>Not Receviced</v>
      </c>
      <c r="Q1915" t="str">
        <f>IF(T[[#This Row],[qty_received]]&lt;&gt;T[[#This Row],[qty_invoiced]],IF(T[[#This Row],[qty_invoiced]]&gt;0,"Partial Invoiced","Not Invoiced"),"Fully Invoiced")</f>
        <v>Fully Invoiced</v>
      </c>
      <c r="R1915" t="str">
        <f>IFERROR(VLOOKUP(T[[#This Row],[warehouse]],Table2[],2,FALSE),"--")</f>
        <v>CRUSHER HASABO</v>
      </c>
    </row>
    <row r="1916" spans="1:18" x14ac:dyDescent="0.25">
      <c r="A1916" t="s">
        <v>727</v>
      </c>
      <c r="B1916" s="1">
        <v>44174</v>
      </c>
      <c r="C1916" t="s">
        <v>1145</v>
      </c>
      <c r="D1916" t="s">
        <v>88</v>
      </c>
      <c r="E1916" t="s">
        <v>723</v>
      </c>
      <c r="F1916" t="s">
        <v>219</v>
      </c>
      <c r="G1916" t="s">
        <v>724</v>
      </c>
      <c r="H1916" t="s">
        <v>221</v>
      </c>
      <c r="I1916">
        <v>50595.360000000001</v>
      </c>
      <c r="J1916">
        <v>50595.360000000001</v>
      </c>
      <c r="K1916">
        <v>50595.360000000001</v>
      </c>
      <c r="L1916" t="s">
        <v>25</v>
      </c>
      <c r="M1916" t="s">
        <v>132</v>
      </c>
      <c r="N1916">
        <v>14303.18</v>
      </c>
      <c r="O1916">
        <v>723674541.24479997</v>
      </c>
      <c r="P1916" t="str">
        <f>IF(T[[#This Row],[qty_ordered]]&lt;&gt;T[[#This Row],[qty_received]],IF(T[[#This Row],[qty_received]]&gt;0,"Partial Received","Not Receviced"),"FullyReceived")</f>
        <v>FullyReceived</v>
      </c>
      <c r="Q1916" t="str">
        <f>IF(T[[#This Row],[qty_received]]&lt;&gt;T[[#This Row],[qty_invoiced]],IF(T[[#This Row],[qty_invoiced]]&gt;0,"Partial Invoiced","Not Invoiced"),"Fully Invoiced")</f>
        <v>Fully Invoiced</v>
      </c>
      <c r="R1916" t="str">
        <f>IFERROR(VLOOKUP(T[[#This Row],[warehouse]],Table2[],2,FALSE),"--")</f>
        <v>YELLOW BEANS</v>
      </c>
    </row>
    <row r="1917" spans="1:18" x14ac:dyDescent="0.25">
      <c r="A1917" t="s">
        <v>727</v>
      </c>
      <c r="B1917" s="1">
        <v>44174</v>
      </c>
      <c r="C1917" t="s">
        <v>1145</v>
      </c>
      <c r="D1917" t="s">
        <v>74</v>
      </c>
      <c r="E1917" t="s">
        <v>723</v>
      </c>
      <c r="F1917" t="s">
        <v>219</v>
      </c>
      <c r="G1917" t="s">
        <v>724</v>
      </c>
      <c r="H1917" t="s">
        <v>221</v>
      </c>
      <c r="I1917">
        <v>19738.21</v>
      </c>
      <c r="J1917">
        <v>19738.21</v>
      </c>
      <c r="K1917">
        <v>19738.21</v>
      </c>
      <c r="L1917" t="s">
        <v>25</v>
      </c>
      <c r="M1917" t="s">
        <v>132</v>
      </c>
      <c r="N1917">
        <v>14303.18</v>
      </c>
      <c r="O1917">
        <v>282319170.50779998</v>
      </c>
      <c r="P1917" t="str">
        <f>IF(T[[#This Row],[qty_ordered]]&lt;&gt;T[[#This Row],[qty_received]],IF(T[[#This Row],[qty_received]]&gt;0,"Partial Received","Not Receviced"),"FullyReceived")</f>
        <v>FullyReceived</v>
      </c>
      <c r="Q1917" t="str">
        <f>IF(T[[#This Row],[qty_received]]&lt;&gt;T[[#This Row],[qty_invoiced]],IF(T[[#This Row],[qty_invoiced]]&gt;0,"Partial Invoiced","Not Invoiced"),"Fully Invoiced")</f>
        <v>Fully Invoiced</v>
      </c>
      <c r="R1917" t="str">
        <f>IFERROR(VLOOKUP(T[[#This Row],[warehouse]],Table2[],2,FALSE),"--")</f>
        <v>YELLOW BEANS</v>
      </c>
    </row>
    <row r="1918" spans="1:18" x14ac:dyDescent="0.25">
      <c r="A1918" t="s">
        <v>1369</v>
      </c>
      <c r="B1918" s="1">
        <v>44249</v>
      </c>
      <c r="C1918" t="s">
        <v>1370</v>
      </c>
      <c r="D1918" t="s">
        <v>20</v>
      </c>
      <c r="E1918" t="s">
        <v>405</v>
      </c>
      <c r="F1918" t="s">
        <v>244</v>
      </c>
      <c r="G1918" t="s">
        <v>245</v>
      </c>
      <c r="H1918" t="s">
        <v>24</v>
      </c>
      <c r="I1918">
        <v>100</v>
      </c>
      <c r="J1918">
        <v>98.77</v>
      </c>
      <c r="K1918">
        <v>98.77</v>
      </c>
      <c r="L1918" t="s">
        <v>25</v>
      </c>
      <c r="M1918" t="s">
        <v>132</v>
      </c>
      <c r="N1918">
        <v>590000</v>
      </c>
      <c r="O1918">
        <v>58274300</v>
      </c>
      <c r="P1918" t="str">
        <f>IF(T[[#This Row],[qty_ordered]]&lt;&gt;T[[#This Row],[qty_received]],IF(T[[#This Row],[qty_received]]&gt;0,"Partial Received","Not Receviced"),"FullyReceived")</f>
        <v>Partial Received</v>
      </c>
      <c r="Q1918" t="str">
        <f>IF(T[[#This Row],[qty_received]]&lt;&gt;T[[#This Row],[qty_invoiced]],IF(T[[#This Row],[qty_invoiced]]&gt;0,"Partial Invoiced","Not Invoiced"),"Fully Invoiced")</f>
        <v>Fully Invoiced</v>
      </c>
      <c r="R1918" t="str">
        <f>IFERROR(VLOOKUP(T[[#This Row],[warehouse]],Table2[],2,FALSE),"--")</f>
        <v>GINNING ISHRAG-MDNI</v>
      </c>
    </row>
    <row r="1919" spans="1:18" x14ac:dyDescent="0.25">
      <c r="A1919" t="s">
        <v>1194</v>
      </c>
      <c r="B1919" s="1">
        <v>44209</v>
      </c>
      <c r="C1919" t="s">
        <v>1195</v>
      </c>
      <c r="D1919" t="s">
        <v>100</v>
      </c>
      <c r="E1919" t="s">
        <v>723</v>
      </c>
      <c r="F1919" t="s">
        <v>219</v>
      </c>
      <c r="G1919" t="s">
        <v>724</v>
      </c>
      <c r="H1919" t="s">
        <v>221</v>
      </c>
      <c r="I1919">
        <v>11598.370999999999</v>
      </c>
      <c r="J1919">
        <v>11368.4</v>
      </c>
      <c r="K1919">
        <v>11368.4</v>
      </c>
      <c r="L1919" t="s">
        <v>25</v>
      </c>
      <c r="M1919" t="s">
        <v>132</v>
      </c>
      <c r="N1919">
        <v>16762.698</v>
      </c>
      <c r="O1919">
        <v>190565055.94319999</v>
      </c>
      <c r="P1919" t="str">
        <f>IF(T[[#This Row],[qty_ordered]]&lt;&gt;T[[#This Row],[qty_received]],IF(T[[#This Row],[qty_received]]&gt;0,"Partial Received","Not Receviced"),"FullyReceived")</f>
        <v>Partial Received</v>
      </c>
      <c r="Q1919" t="str">
        <f>IF(T[[#This Row],[qty_received]]&lt;&gt;T[[#This Row],[qty_invoiced]],IF(T[[#This Row],[qty_invoiced]]&gt;0,"Partial Invoiced","Not Invoiced"),"Fully Invoiced")</f>
        <v>Fully Invoiced</v>
      </c>
      <c r="R1919" t="str">
        <f>IFERROR(VLOOKUP(T[[#This Row],[warehouse]],Table2[],2,FALSE),"--")</f>
        <v>YELLOW BEANS</v>
      </c>
    </row>
    <row r="1920" spans="1:18" x14ac:dyDescent="0.25">
      <c r="A1920" t="s">
        <v>423</v>
      </c>
      <c r="B1920" s="1">
        <v>44174</v>
      </c>
      <c r="C1920" t="s">
        <v>1267</v>
      </c>
      <c r="D1920" t="s">
        <v>100</v>
      </c>
      <c r="E1920" t="s">
        <v>51</v>
      </c>
      <c r="F1920" t="s">
        <v>546</v>
      </c>
      <c r="G1920" t="s">
        <v>1065</v>
      </c>
      <c r="H1920" t="s">
        <v>54</v>
      </c>
      <c r="I1920">
        <v>1500</v>
      </c>
      <c r="J1920">
        <v>0</v>
      </c>
      <c r="K1920">
        <v>1</v>
      </c>
      <c r="L1920" t="s">
        <v>25</v>
      </c>
      <c r="M1920" t="s">
        <v>533</v>
      </c>
      <c r="N1920">
        <v>20</v>
      </c>
      <c r="O1920">
        <v>0</v>
      </c>
      <c r="P1920" t="str">
        <f>IF(T[[#This Row],[qty_ordered]]&lt;&gt;T[[#This Row],[qty_received]],IF(T[[#This Row],[qty_received]]&gt;0,"Partial Received","Not Receviced"),"FullyReceived")</f>
        <v>Not Receviced</v>
      </c>
      <c r="Q1920" t="str">
        <f>IF(T[[#This Row],[qty_received]]&lt;&gt;T[[#This Row],[qty_invoiced]],IF(T[[#This Row],[qty_invoiced]]&gt;0,"Partial Invoiced","Not Invoiced"),"Fully Invoiced")</f>
        <v>Partial Invoiced</v>
      </c>
      <c r="R1920" t="str">
        <f>IFERROR(VLOOKUP(T[[#This Row],[warehouse]],Table2[],2,FALSE),"--")</f>
        <v>--</v>
      </c>
    </row>
    <row r="1921" spans="1:18" x14ac:dyDescent="0.25">
      <c r="A1921" t="s">
        <v>955</v>
      </c>
      <c r="B1921" s="1">
        <v>44168</v>
      </c>
      <c r="C1921" t="s">
        <v>1017</v>
      </c>
      <c r="D1921" t="s">
        <v>100</v>
      </c>
      <c r="E1921" t="s">
        <v>28</v>
      </c>
      <c r="F1921" t="s">
        <v>287</v>
      </c>
      <c r="G1921" t="s">
        <v>288</v>
      </c>
      <c r="H1921" t="s">
        <v>24</v>
      </c>
      <c r="I1921">
        <v>416.66699999999997</v>
      </c>
      <c r="J1921">
        <v>0</v>
      </c>
      <c r="K1921">
        <v>0</v>
      </c>
      <c r="L1921" t="s">
        <v>25</v>
      </c>
      <c r="M1921" t="s">
        <v>132</v>
      </c>
      <c r="N1921">
        <v>300000</v>
      </c>
      <c r="O1921">
        <v>0</v>
      </c>
      <c r="P1921" t="str">
        <f>IF(T[[#This Row],[qty_ordered]]&lt;&gt;T[[#This Row],[qty_received]],IF(T[[#This Row],[qty_received]]&gt;0,"Partial Received","Not Receviced"),"FullyReceived")</f>
        <v>Not Receviced</v>
      </c>
      <c r="Q1921" t="str">
        <f>IF(T[[#This Row],[qty_received]]&lt;&gt;T[[#This Row],[qty_invoiced]],IF(T[[#This Row],[qty_invoiced]]&gt;0,"Partial Invoiced","Not Invoiced"),"Fully Invoiced")</f>
        <v>Fully Invoiced</v>
      </c>
      <c r="R1921" t="str">
        <f>IFERROR(VLOOKUP(T[[#This Row],[warehouse]],Table2[],2,FALSE),"--")</f>
        <v>Crusher KHN -ASVOC</v>
      </c>
    </row>
    <row r="1922" spans="1:18" x14ac:dyDescent="0.25">
      <c r="A1922" t="s">
        <v>985</v>
      </c>
      <c r="B1922" s="1">
        <v>44171</v>
      </c>
      <c r="C1922" t="s">
        <v>1018</v>
      </c>
      <c r="D1922" t="s">
        <v>71</v>
      </c>
      <c r="E1922" t="s">
        <v>51</v>
      </c>
      <c r="F1922" t="s">
        <v>183</v>
      </c>
      <c r="G1922" t="s">
        <v>938</v>
      </c>
      <c r="H1922" t="s">
        <v>54</v>
      </c>
      <c r="I1922">
        <v>3000</v>
      </c>
      <c r="J1922">
        <v>0</v>
      </c>
      <c r="K1922">
        <v>1</v>
      </c>
      <c r="L1922" t="s">
        <v>25</v>
      </c>
      <c r="M1922" t="s">
        <v>533</v>
      </c>
      <c r="N1922">
        <v>2500</v>
      </c>
      <c r="O1922">
        <v>0</v>
      </c>
      <c r="P1922" t="str">
        <f>IF(T[[#This Row],[qty_ordered]]&lt;&gt;T[[#This Row],[qty_received]],IF(T[[#This Row],[qty_received]]&gt;0,"Partial Received","Not Receviced"),"FullyReceived")</f>
        <v>Not Receviced</v>
      </c>
      <c r="Q1922" t="str">
        <f>IF(T[[#This Row],[qty_received]]&lt;&gt;T[[#This Row],[qty_invoiced]],IF(T[[#This Row],[qty_invoiced]]&gt;0,"Partial Invoiced","Not Invoiced"),"Fully Invoiced")</f>
        <v>Partial Invoiced</v>
      </c>
      <c r="R1922" t="str">
        <f>IFERROR(VLOOKUP(T[[#This Row],[warehouse]],Table2[],2,FALSE),"--")</f>
        <v>--</v>
      </c>
    </row>
    <row r="1923" spans="1:18" x14ac:dyDescent="0.25">
      <c r="A1923" t="s">
        <v>959</v>
      </c>
      <c r="B1923" s="1">
        <v>44138</v>
      </c>
      <c r="C1923" t="s">
        <v>960</v>
      </c>
      <c r="D1923" t="s">
        <v>76</v>
      </c>
      <c r="E1923" t="s">
        <v>214</v>
      </c>
      <c r="F1923" t="s">
        <v>167</v>
      </c>
      <c r="G1923" t="s">
        <v>156</v>
      </c>
      <c r="H1923" t="s">
        <v>24</v>
      </c>
      <c r="I1923">
        <v>300</v>
      </c>
      <c r="J1923">
        <v>270.93</v>
      </c>
      <c r="K1923">
        <v>270.93</v>
      </c>
      <c r="L1923" t="s">
        <v>25</v>
      </c>
      <c r="M1923" t="s">
        <v>132</v>
      </c>
      <c r="N1923">
        <v>790000</v>
      </c>
      <c r="O1923">
        <v>214034700</v>
      </c>
      <c r="P1923" t="str">
        <f>IF(T[[#This Row],[qty_ordered]]&lt;&gt;T[[#This Row],[qty_received]],IF(T[[#This Row],[qty_received]]&gt;0,"Partial Received","Not Receviced"),"FullyReceived")</f>
        <v>Partial Received</v>
      </c>
      <c r="Q1923" t="str">
        <f>IF(T[[#This Row],[qty_received]]&lt;&gt;T[[#This Row],[qty_invoiced]],IF(T[[#This Row],[qty_invoiced]]&gt;0,"Partial Invoiced","Not Invoiced"),"Fully Invoiced")</f>
        <v>Fully Invoiced</v>
      </c>
      <c r="R1923" t="str">
        <f>IFERROR(VLOOKUP(T[[#This Row],[warehouse]],Table2[],2,FALSE),"--")</f>
        <v>CRUSHER ELBALOLA</v>
      </c>
    </row>
    <row r="1924" spans="1:18" x14ac:dyDescent="0.25">
      <c r="A1924" t="s">
        <v>493</v>
      </c>
      <c r="B1924" s="1">
        <v>44200</v>
      </c>
      <c r="C1924" t="s">
        <v>1077</v>
      </c>
      <c r="D1924" t="s">
        <v>71</v>
      </c>
      <c r="E1924" t="s">
        <v>51</v>
      </c>
      <c r="F1924" t="s">
        <v>52</v>
      </c>
      <c r="G1924" t="s">
        <v>75</v>
      </c>
      <c r="H1924" t="s">
        <v>54</v>
      </c>
      <c r="I1924">
        <v>1</v>
      </c>
      <c r="J1924">
        <v>0</v>
      </c>
      <c r="K1924">
        <v>0</v>
      </c>
      <c r="L1924" t="s">
        <v>25</v>
      </c>
      <c r="M1924" t="s">
        <v>132</v>
      </c>
      <c r="N1924">
        <v>10447710</v>
      </c>
      <c r="O1924">
        <v>0</v>
      </c>
      <c r="P1924" t="str">
        <f>IF(T[[#This Row],[qty_ordered]]&lt;&gt;T[[#This Row],[qty_received]],IF(T[[#This Row],[qty_received]]&gt;0,"Partial Received","Not Receviced"),"FullyReceived")</f>
        <v>Not Receviced</v>
      </c>
      <c r="Q1924" t="str">
        <f>IF(T[[#This Row],[qty_received]]&lt;&gt;T[[#This Row],[qty_invoiced]],IF(T[[#This Row],[qty_invoiced]]&gt;0,"Partial Invoiced","Not Invoiced"),"Fully Invoiced")</f>
        <v>Fully Invoiced</v>
      </c>
      <c r="R1924" t="str">
        <f>IFERROR(VLOOKUP(T[[#This Row],[warehouse]],Table2[],2,FALSE),"--")</f>
        <v>--</v>
      </c>
    </row>
    <row r="1925" spans="1:18" x14ac:dyDescent="0.25">
      <c r="A1925" t="s">
        <v>985</v>
      </c>
      <c r="B1925" s="1">
        <v>44248</v>
      </c>
      <c r="C1925" t="s">
        <v>1371</v>
      </c>
      <c r="D1925" t="s">
        <v>20</v>
      </c>
      <c r="E1925" t="s">
        <v>51</v>
      </c>
      <c r="F1925" t="s">
        <v>183</v>
      </c>
      <c r="G1925" t="s">
        <v>937</v>
      </c>
      <c r="H1925" t="s">
        <v>54</v>
      </c>
      <c r="I1925">
        <v>3000</v>
      </c>
      <c r="J1925">
        <v>0</v>
      </c>
      <c r="K1925">
        <v>1</v>
      </c>
      <c r="L1925" t="s">
        <v>25</v>
      </c>
      <c r="M1925" t="s">
        <v>533</v>
      </c>
      <c r="N1925">
        <v>2500</v>
      </c>
      <c r="O1925">
        <v>0</v>
      </c>
      <c r="P1925" t="str">
        <f>IF(T[[#This Row],[qty_ordered]]&lt;&gt;T[[#This Row],[qty_received]],IF(T[[#This Row],[qty_received]]&gt;0,"Partial Received","Not Receviced"),"FullyReceived")</f>
        <v>Not Receviced</v>
      </c>
      <c r="Q1925" t="str">
        <f>IF(T[[#This Row],[qty_received]]&lt;&gt;T[[#This Row],[qty_invoiced]],IF(T[[#This Row],[qty_invoiced]]&gt;0,"Partial Invoiced","Not Invoiced"),"Fully Invoiced")</f>
        <v>Partial Invoiced</v>
      </c>
      <c r="R1925" t="str">
        <f>IFERROR(VLOOKUP(T[[#This Row],[warehouse]],Table2[],2,FALSE),"--")</f>
        <v>--</v>
      </c>
    </row>
    <row r="1926" spans="1:18" x14ac:dyDescent="0.25">
      <c r="A1926" t="s">
        <v>1194</v>
      </c>
      <c r="B1926" s="1">
        <v>44209</v>
      </c>
      <c r="C1926" t="s">
        <v>1195</v>
      </c>
      <c r="D1926" t="s">
        <v>88</v>
      </c>
      <c r="E1926" t="s">
        <v>723</v>
      </c>
      <c r="F1926" t="s">
        <v>219</v>
      </c>
      <c r="G1926" t="s">
        <v>724</v>
      </c>
      <c r="H1926" t="s">
        <v>221</v>
      </c>
      <c r="I1926">
        <v>17579.88</v>
      </c>
      <c r="J1926">
        <v>17579.88</v>
      </c>
      <c r="K1926">
        <v>17579.88</v>
      </c>
      <c r="L1926" t="s">
        <v>25</v>
      </c>
      <c r="M1926" t="s">
        <v>132</v>
      </c>
      <c r="N1926">
        <v>20232.352999999999</v>
      </c>
      <c r="O1926">
        <v>355682337.85764003</v>
      </c>
      <c r="P1926" t="str">
        <f>IF(T[[#This Row],[qty_ordered]]&lt;&gt;T[[#This Row],[qty_received]],IF(T[[#This Row],[qty_received]]&gt;0,"Partial Received","Not Receviced"),"FullyReceived")</f>
        <v>FullyReceived</v>
      </c>
      <c r="Q1926" t="str">
        <f>IF(T[[#This Row],[qty_received]]&lt;&gt;T[[#This Row],[qty_invoiced]],IF(T[[#This Row],[qty_invoiced]]&gt;0,"Partial Invoiced","Not Invoiced"),"Fully Invoiced")</f>
        <v>Fully Invoiced</v>
      </c>
      <c r="R1926" t="str">
        <f>IFERROR(VLOOKUP(T[[#This Row],[warehouse]],Table2[],2,FALSE),"--")</f>
        <v>YELLOW BEANS</v>
      </c>
    </row>
    <row r="1927" spans="1:18" x14ac:dyDescent="0.25">
      <c r="A1927" t="s">
        <v>423</v>
      </c>
      <c r="B1927" s="1">
        <v>44256</v>
      </c>
      <c r="C1927" t="s">
        <v>1269</v>
      </c>
      <c r="D1927" t="s">
        <v>20</v>
      </c>
      <c r="E1927" t="s">
        <v>51</v>
      </c>
      <c r="F1927" t="s">
        <v>546</v>
      </c>
      <c r="G1927" t="s">
        <v>1065</v>
      </c>
      <c r="H1927" t="s">
        <v>54</v>
      </c>
      <c r="I1927">
        <v>20000</v>
      </c>
      <c r="J1927">
        <v>0</v>
      </c>
      <c r="K1927">
        <v>1</v>
      </c>
      <c r="L1927" t="s">
        <v>25</v>
      </c>
      <c r="M1927" t="s">
        <v>533</v>
      </c>
      <c r="N1927">
        <v>6.8</v>
      </c>
      <c r="O1927">
        <v>0</v>
      </c>
      <c r="P1927" t="str">
        <f>IF(T[[#This Row],[qty_ordered]]&lt;&gt;T[[#This Row],[qty_received]],IF(T[[#This Row],[qty_received]]&gt;0,"Partial Received","Not Receviced"),"FullyReceived")</f>
        <v>Not Receviced</v>
      </c>
      <c r="Q1927" t="str">
        <f>IF(T[[#This Row],[qty_received]]&lt;&gt;T[[#This Row],[qty_invoiced]],IF(T[[#This Row],[qty_invoiced]]&gt;0,"Partial Invoiced","Not Invoiced"),"Fully Invoiced")</f>
        <v>Partial Invoiced</v>
      </c>
      <c r="R1927" t="str">
        <f>IFERROR(VLOOKUP(T[[#This Row],[warehouse]],Table2[],2,FALSE),"--")</f>
        <v>--</v>
      </c>
    </row>
    <row r="1928" spans="1:18" x14ac:dyDescent="0.25">
      <c r="A1928" t="s">
        <v>423</v>
      </c>
      <c r="B1928" s="1">
        <v>44256</v>
      </c>
      <c r="C1928" t="s">
        <v>1269</v>
      </c>
      <c r="D1928" t="s">
        <v>71</v>
      </c>
      <c r="E1928" t="s">
        <v>51</v>
      </c>
      <c r="F1928" t="s">
        <v>546</v>
      </c>
      <c r="G1928" t="s">
        <v>1065</v>
      </c>
      <c r="H1928" t="s">
        <v>54</v>
      </c>
      <c r="I1928">
        <v>10000</v>
      </c>
      <c r="J1928">
        <v>0</v>
      </c>
      <c r="K1928">
        <v>1</v>
      </c>
      <c r="L1928" t="s">
        <v>25</v>
      </c>
      <c r="M1928" t="s">
        <v>533</v>
      </c>
      <c r="N1928">
        <v>6.8</v>
      </c>
      <c r="O1928">
        <v>0</v>
      </c>
      <c r="P1928" t="str">
        <f>IF(T[[#This Row],[qty_ordered]]&lt;&gt;T[[#This Row],[qty_received]],IF(T[[#This Row],[qty_received]]&gt;0,"Partial Received","Not Receviced"),"FullyReceived")</f>
        <v>Not Receviced</v>
      </c>
      <c r="Q1928" t="str">
        <f>IF(T[[#This Row],[qty_received]]&lt;&gt;T[[#This Row],[qty_invoiced]],IF(T[[#This Row],[qty_invoiced]]&gt;0,"Partial Invoiced","Not Invoiced"),"Fully Invoiced")</f>
        <v>Partial Invoiced</v>
      </c>
      <c r="R1928" t="str">
        <f>IFERROR(VLOOKUP(T[[#This Row],[warehouse]],Table2[],2,FALSE),"--")</f>
        <v>--</v>
      </c>
    </row>
    <row r="1929" spans="1:18" x14ac:dyDescent="0.25">
      <c r="A1929" t="s">
        <v>739</v>
      </c>
      <c r="B1929" s="1">
        <v>44241</v>
      </c>
      <c r="C1929" t="s">
        <v>1225</v>
      </c>
      <c r="D1929" t="s">
        <v>100</v>
      </c>
      <c r="E1929" t="s">
        <v>660</v>
      </c>
      <c r="F1929" t="s">
        <v>705</v>
      </c>
      <c r="G1929" t="s">
        <v>706</v>
      </c>
      <c r="H1929" t="s">
        <v>663</v>
      </c>
      <c r="I1929">
        <v>3797.3</v>
      </c>
      <c r="J1929">
        <v>3797.3</v>
      </c>
      <c r="K1929">
        <v>3797.3</v>
      </c>
      <c r="L1929" t="s">
        <v>25</v>
      </c>
      <c r="M1929" t="s">
        <v>707</v>
      </c>
      <c r="N1929">
        <v>1220</v>
      </c>
      <c r="O1929">
        <v>4632706</v>
      </c>
      <c r="P1929" t="str">
        <f>IF(T[[#This Row],[qty_ordered]]&lt;&gt;T[[#This Row],[qty_received]],IF(T[[#This Row],[qty_received]]&gt;0,"Partial Received","Not Receviced"),"FullyReceived")</f>
        <v>FullyReceived</v>
      </c>
      <c r="Q1929" t="str">
        <f>IF(T[[#This Row],[qty_received]]&lt;&gt;T[[#This Row],[qty_invoiced]],IF(T[[#This Row],[qty_invoiced]]&gt;0,"Partial Invoiced","Not Invoiced"),"Fully Invoiced")</f>
        <v>Fully Invoiced</v>
      </c>
      <c r="R1929" t="str">
        <f>IFERROR(VLOOKUP(T[[#This Row],[warehouse]],Table2[],2,FALSE),"--")</f>
        <v>SLAUGHTER HOUSE</v>
      </c>
    </row>
    <row r="1930" spans="1:18" x14ac:dyDescent="0.25">
      <c r="A1930" t="s">
        <v>1226</v>
      </c>
      <c r="B1930" s="1">
        <v>44238</v>
      </c>
      <c r="C1930" t="s">
        <v>1227</v>
      </c>
      <c r="D1930" t="s">
        <v>88</v>
      </c>
      <c r="E1930" t="s">
        <v>51</v>
      </c>
      <c r="F1930" t="s">
        <v>52</v>
      </c>
      <c r="G1930" t="s">
        <v>53</v>
      </c>
      <c r="H1930" t="s">
        <v>54</v>
      </c>
      <c r="I1930">
        <v>6000</v>
      </c>
      <c r="J1930">
        <v>0</v>
      </c>
      <c r="K1930">
        <v>1</v>
      </c>
      <c r="L1930" t="s">
        <v>25</v>
      </c>
      <c r="M1930" t="s">
        <v>132</v>
      </c>
      <c r="N1930">
        <v>520</v>
      </c>
      <c r="O1930">
        <v>0</v>
      </c>
      <c r="P1930" t="str">
        <f>IF(T[[#This Row],[qty_ordered]]&lt;&gt;T[[#This Row],[qty_received]],IF(T[[#This Row],[qty_received]]&gt;0,"Partial Received","Not Receviced"),"FullyReceived")</f>
        <v>Not Receviced</v>
      </c>
      <c r="Q1930" t="str">
        <f>IF(T[[#This Row],[qty_received]]&lt;&gt;T[[#This Row],[qty_invoiced]],IF(T[[#This Row],[qty_invoiced]]&gt;0,"Partial Invoiced","Not Invoiced"),"Fully Invoiced")</f>
        <v>Partial Invoiced</v>
      </c>
      <c r="R1930" t="str">
        <f>IFERROR(VLOOKUP(T[[#This Row],[warehouse]],Table2[],2,FALSE),"--")</f>
        <v>--</v>
      </c>
    </row>
    <row r="1931" spans="1:18" x14ac:dyDescent="0.25">
      <c r="A1931" t="s">
        <v>1114</v>
      </c>
      <c r="B1931" s="1">
        <v>44217</v>
      </c>
      <c r="C1931" t="s">
        <v>1187</v>
      </c>
      <c r="D1931" t="s">
        <v>71</v>
      </c>
      <c r="E1931" t="s">
        <v>660</v>
      </c>
      <c r="F1931" t="s">
        <v>1188</v>
      </c>
      <c r="G1931" t="s">
        <v>1189</v>
      </c>
      <c r="H1931" t="s">
        <v>1087</v>
      </c>
      <c r="I1931">
        <v>751</v>
      </c>
      <c r="J1931">
        <v>751</v>
      </c>
      <c r="K1931">
        <v>751</v>
      </c>
      <c r="L1931" t="s">
        <v>25</v>
      </c>
      <c r="M1931" t="s">
        <v>132</v>
      </c>
      <c r="N1931">
        <v>90090.090089999998</v>
      </c>
      <c r="O1931">
        <v>67657657.657590002</v>
      </c>
      <c r="P1931" t="str">
        <f>IF(T[[#This Row],[qty_ordered]]&lt;&gt;T[[#This Row],[qty_received]],IF(T[[#This Row],[qty_received]]&gt;0,"Partial Received","Not Receviced"),"FullyReceived")</f>
        <v>FullyReceived</v>
      </c>
      <c r="Q1931" t="str">
        <f>IF(T[[#This Row],[qty_received]]&lt;&gt;T[[#This Row],[qty_invoiced]],IF(T[[#This Row],[qty_invoiced]]&gt;0,"Partial Invoiced","Not Invoiced"),"Fully Invoiced")</f>
        <v>Fully Invoiced</v>
      </c>
      <c r="R1931" t="str">
        <f>IFERROR(VLOOKUP(T[[#This Row],[warehouse]],Table2[],2,FALSE),"--")</f>
        <v>SLAUGHTER HOUSE</v>
      </c>
    </row>
    <row r="1932" spans="1:18" x14ac:dyDescent="0.25">
      <c r="A1932" t="s">
        <v>462</v>
      </c>
      <c r="B1932" s="1">
        <v>44221</v>
      </c>
      <c r="C1932" t="s">
        <v>1200</v>
      </c>
      <c r="D1932" t="s">
        <v>615</v>
      </c>
      <c r="E1932" t="s">
        <v>51</v>
      </c>
      <c r="F1932" t="s">
        <v>373</v>
      </c>
      <c r="G1932" t="s">
        <v>373</v>
      </c>
      <c r="H1932" t="s">
        <v>54</v>
      </c>
      <c r="I1932">
        <v>6931</v>
      </c>
      <c r="J1932">
        <v>0</v>
      </c>
      <c r="K1932">
        <v>1</v>
      </c>
      <c r="L1932" t="s">
        <v>25</v>
      </c>
      <c r="M1932" t="s">
        <v>533</v>
      </c>
      <c r="N1932">
        <v>13</v>
      </c>
      <c r="O1932">
        <v>0</v>
      </c>
      <c r="P1932" t="str">
        <f>IF(T[[#This Row],[qty_ordered]]&lt;&gt;T[[#This Row],[qty_received]],IF(T[[#This Row],[qty_received]]&gt;0,"Partial Received","Not Receviced"),"FullyReceived")</f>
        <v>Not Receviced</v>
      </c>
      <c r="Q1932" t="str">
        <f>IF(T[[#This Row],[qty_received]]&lt;&gt;T[[#This Row],[qty_invoiced]],IF(T[[#This Row],[qty_invoiced]]&gt;0,"Partial Invoiced","Not Invoiced"),"Fully Invoiced")</f>
        <v>Partial Invoiced</v>
      </c>
      <c r="R1932" t="str">
        <f>IFERROR(VLOOKUP(T[[#This Row],[warehouse]],Table2[],2,FALSE),"--")</f>
        <v>--</v>
      </c>
    </row>
    <row r="1933" spans="1:18" x14ac:dyDescent="0.25">
      <c r="A1933" t="s">
        <v>560</v>
      </c>
      <c r="B1933" s="1">
        <v>44251</v>
      </c>
      <c r="C1933" t="s">
        <v>1256</v>
      </c>
      <c r="D1933" t="s">
        <v>71</v>
      </c>
      <c r="E1933" t="s">
        <v>51</v>
      </c>
      <c r="F1933" t="s">
        <v>164</v>
      </c>
      <c r="G1933" t="s">
        <v>164</v>
      </c>
      <c r="H1933" t="s">
        <v>54</v>
      </c>
      <c r="I1933">
        <v>18</v>
      </c>
      <c r="J1933">
        <v>0</v>
      </c>
      <c r="K1933">
        <v>1</v>
      </c>
      <c r="L1933" t="s">
        <v>25</v>
      </c>
      <c r="M1933" t="s">
        <v>533</v>
      </c>
      <c r="N1933">
        <v>900</v>
      </c>
      <c r="O1933">
        <v>0</v>
      </c>
      <c r="P1933" t="str">
        <f>IF(T[[#This Row],[qty_ordered]]&lt;&gt;T[[#This Row],[qty_received]],IF(T[[#This Row],[qty_received]]&gt;0,"Partial Received","Not Receviced"),"FullyReceived")</f>
        <v>Not Receviced</v>
      </c>
      <c r="Q1933" t="str">
        <f>IF(T[[#This Row],[qty_received]]&lt;&gt;T[[#This Row],[qty_invoiced]],IF(T[[#This Row],[qty_invoiced]]&gt;0,"Partial Invoiced","Not Invoiced"),"Fully Invoiced")</f>
        <v>Partial Invoiced</v>
      </c>
      <c r="R1933" t="str">
        <f>IFERROR(VLOOKUP(T[[#This Row],[warehouse]],Table2[],2,FALSE),"--")</f>
        <v>--</v>
      </c>
    </row>
    <row r="1934" spans="1:18" x14ac:dyDescent="0.25">
      <c r="A1934" t="s">
        <v>560</v>
      </c>
      <c r="B1934" s="1">
        <v>44251</v>
      </c>
      <c r="C1934" t="s">
        <v>1256</v>
      </c>
      <c r="D1934" t="s">
        <v>100</v>
      </c>
      <c r="E1934" t="s">
        <v>51</v>
      </c>
      <c r="F1934" t="s">
        <v>164</v>
      </c>
      <c r="G1934" t="s">
        <v>164</v>
      </c>
      <c r="H1934" t="s">
        <v>54</v>
      </c>
      <c r="I1934">
        <v>30</v>
      </c>
      <c r="J1934">
        <v>0</v>
      </c>
      <c r="K1934">
        <v>1</v>
      </c>
      <c r="L1934" t="s">
        <v>25</v>
      </c>
      <c r="M1934" t="s">
        <v>533</v>
      </c>
      <c r="N1934">
        <v>900</v>
      </c>
      <c r="O1934">
        <v>0</v>
      </c>
      <c r="P1934" t="str">
        <f>IF(T[[#This Row],[qty_ordered]]&lt;&gt;T[[#This Row],[qty_received]],IF(T[[#This Row],[qty_received]]&gt;0,"Partial Received","Not Receviced"),"FullyReceived")</f>
        <v>Not Receviced</v>
      </c>
      <c r="Q1934" t="str">
        <f>IF(T[[#This Row],[qty_received]]&lt;&gt;T[[#This Row],[qty_invoiced]],IF(T[[#This Row],[qty_invoiced]]&gt;0,"Partial Invoiced","Not Invoiced"),"Fully Invoiced")</f>
        <v>Partial Invoiced</v>
      </c>
      <c r="R1934" t="str">
        <f>IFERROR(VLOOKUP(T[[#This Row],[warehouse]],Table2[],2,FALSE),"--")</f>
        <v>--</v>
      </c>
    </row>
    <row r="1935" spans="1:18" x14ac:dyDescent="0.25">
      <c r="A1935" t="s">
        <v>560</v>
      </c>
      <c r="B1935" s="1">
        <v>44251</v>
      </c>
      <c r="C1935" t="s">
        <v>1256</v>
      </c>
      <c r="D1935" t="s">
        <v>88</v>
      </c>
      <c r="E1935" t="s">
        <v>51</v>
      </c>
      <c r="F1935" t="s">
        <v>164</v>
      </c>
      <c r="G1935" t="s">
        <v>164</v>
      </c>
      <c r="H1935" t="s">
        <v>54</v>
      </c>
      <c r="I1935">
        <v>30</v>
      </c>
      <c r="J1935">
        <v>0</v>
      </c>
      <c r="K1935">
        <v>1</v>
      </c>
      <c r="L1935" t="s">
        <v>25</v>
      </c>
      <c r="M1935" t="s">
        <v>533</v>
      </c>
      <c r="N1935">
        <v>900</v>
      </c>
      <c r="O1935">
        <v>0</v>
      </c>
      <c r="P1935" t="str">
        <f>IF(T[[#This Row],[qty_ordered]]&lt;&gt;T[[#This Row],[qty_received]],IF(T[[#This Row],[qty_received]]&gt;0,"Partial Received","Not Receviced"),"FullyReceived")</f>
        <v>Not Receviced</v>
      </c>
      <c r="Q1935" t="str">
        <f>IF(T[[#This Row],[qty_received]]&lt;&gt;T[[#This Row],[qty_invoiced]],IF(T[[#This Row],[qty_invoiced]]&gt;0,"Partial Invoiced","Not Invoiced"),"Fully Invoiced")</f>
        <v>Partial Invoiced</v>
      </c>
      <c r="R1935" t="str">
        <f>IFERROR(VLOOKUP(T[[#This Row],[warehouse]],Table2[],2,FALSE),"--")</f>
        <v>--</v>
      </c>
    </row>
    <row r="1936" spans="1:18" x14ac:dyDescent="0.25">
      <c r="A1936" t="s">
        <v>560</v>
      </c>
      <c r="B1936" s="1">
        <v>44251</v>
      </c>
      <c r="C1936" t="s">
        <v>1256</v>
      </c>
      <c r="D1936" t="s">
        <v>74</v>
      </c>
      <c r="E1936" t="s">
        <v>51</v>
      </c>
      <c r="F1936" t="s">
        <v>164</v>
      </c>
      <c r="G1936" t="s">
        <v>164</v>
      </c>
      <c r="H1936" t="s">
        <v>54</v>
      </c>
      <c r="I1936">
        <v>90</v>
      </c>
      <c r="J1936">
        <v>0</v>
      </c>
      <c r="K1936">
        <v>1</v>
      </c>
      <c r="L1936" t="s">
        <v>25</v>
      </c>
      <c r="M1936" t="s">
        <v>533</v>
      </c>
      <c r="N1936">
        <v>1038.1111109999999</v>
      </c>
      <c r="O1936">
        <v>0</v>
      </c>
      <c r="P1936" t="str">
        <f>IF(T[[#This Row],[qty_ordered]]&lt;&gt;T[[#This Row],[qty_received]],IF(T[[#This Row],[qty_received]]&gt;0,"Partial Received","Not Receviced"),"FullyReceived")</f>
        <v>Not Receviced</v>
      </c>
      <c r="Q1936" t="str">
        <f>IF(T[[#This Row],[qty_received]]&lt;&gt;T[[#This Row],[qty_invoiced]],IF(T[[#This Row],[qty_invoiced]]&gt;0,"Partial Invoiced","Not Invoiced"),"Fully Invoiced")</f>
        <v>Partial Invoiced</v>
      </c>
      <c r="R1936" t="str">
        <f>IFERROR(VLOOKUP(T[[#This Row],[warehouse]],Table2[],2,FALSE),"--")</f>
        <v>--</v>
      </c>
    </row>
    <row r="1937" spans="1:18" x14ac:dyDescent="0.25">
      <c r="A1937" t="s">
        <v>560</v>
      </c>
      <c r="B1937" s="1">
        <v>44251</v>
      </c>
      <c r="C1937" t="s">
        <v>1256</v>
      </c>
      <c r="D1937" t="s">
        <v>76</v>
      </c>
      <c r="E1937" t="s">
        <v>51</v>
      </c>
      <c r="F1937" t="s">
        <v>164</v>
      </c>
      <c r="G1937" t="s">
        <v>164</v>
      </c>
      <c r="H1937" t="s">
        <v>54</v>
      </c>
      <c r="I1937">
        <v>30</v>
      </c>
      <c r="J1937">
        <v>0</v>
      </c>
      <c r="K1937">
        <v>1</v>
      </c>
      <c r="L1937" t="s">
        <v>25</v>
      </c>
      <c r="M1937" t="s">
        <v>533</v>
      </c>
      <c r="N1937">
        <v>900</v>
      </c>
      <c r="O1937">
        <v>0</v>
      </c>
      <c r="P1937" t="str">
        <f>IF(T[[#This Row],[qty_ordered]]&lt;&gt;T[[#This Row],[qty_received]],IF(T[[#This Row],[qty_received]]&gt;0,"Partial Received","Not Receviced"),"FullyReceived")</f>
        <v>Not Receviced</v>
      </c>
      <c r="Q1937" t="str">
        <f>IF(T[[#This Row],[qty_received]]&lt;&gt;T[[#This Row],[qty_invoiced]],IF(T[[#This Row],[qty_invoiced]]&gt;0,"Partial Invoiced","Not Invoiced"),"Fully Invoiced")</f>
        <v>Partial Invoiced</v>
      </c>
      <c r="R1937" t="str">
        <f>IFERROR(VLOOKUP(T[[#This Row],[warehouse]],Table2[],2,FALSE),"--")</f>
        <v>--</v>
      </c>
    </row>
    <row r="1938" spans="1:18" x14ac:dyDescent="0.25">
      <c r="A1938" t="s">
        <v>560</v>
      </c>
      <c r="B1938" s="1">
        <v>44251</v>
      </c>
      <c r="C1938" t="s">
        <v>1256</v>
      </c>
      <c r="D1938" t="s">
        <v>212</v>
      </c>
      <c r="E1938" t="s">
        <v>51</v>
      </c>
      <c r="F1938" t="s">
        <v>164</v>
      </c>
      <c r="G1938" t="s">
        <v>164</v>
      </c>
      <c r="H1938" t="s">
        <v>54</v>
      </c>
      <c r="I1938">
        <v>30</v>
      </c>
      <c r="J1938">
        <v>0</v>
      </c>
      <c r="K1938">
        <v>1</v>
      </c>
      <c r="L1938" t="s">
        <v>25</v>
      </c>
      <c r="M1938" t="s">
        <v>533</v>
      </c>
      <c r="N1938">
        <v>1246.5333330000001</v>
      </c>
      <c r="O1938">
        <v>0</v>
      </c>
      <c r="P1938" t="str">
        <f>IF(T[[#This Row],[qty_ordered]]&lt;&gt;T[[#This Row],[qty_received]],IF(T[[#This Row],[qty_received]]&gt;0,"Partial Received","Not Receviced"),"FullyReceived")</f>
        <v>Not Receviced</v>
      </c>
      <c r="Q1938" t="str">
        <f>IF(T[[#This Row],[qty_received]]&lt;&gt;T[[#This Row],[qty_invoiced]],IF(T[[#This Row],[qty_invoiced]]&gt;0,"Partial Invoiced","Not Invoiced"),"Fully Invoiced")</f>
        <v>Partial Invoiced</v>
      </c>
      <c r="R1938" t="str">
        <f>IFERROR(VLOOKUP(T[[#This Row],[warehouse]],Table2[],2,FALSE),"--")</f>
        <v>--</v>
      </c>
    </row>
    <row r="1939" spans="1:18" x14ac:dyDescent="0.25">
      <c r="A1939" t="s">
        <v>560</v>
      </c>
      <c r="B1939" s="1">
        <v>44251</v>
      </c>
      <c r="C1939" t="s">
        <v>1256</v>
      </c>
      <c r="D1939" t="s">
        <v>322</v>
      </c>
      <c r="E1939" t="s">
        <v>51</v>
      </c>
      <c r="F1939" t="s">
        <v>164</v>
      </c>
      <c r="G1939" t="s">
        <v>164</v>
      </c>
      <c r="H1939" t="s">
        <v>54</v>
      </c>
      <c r="I1939">
        <v>24</v>
      </c>
      <c r="J1939">
        <v>0</v>
      </c>
      <c r="K1939">
        <v>1</v>
      </c>
      <c r="L1939" t="s">
        <v>25</v>
      </c>
      <c r="M1939" t="s">
        <v>533</v>
      </c>
      <c r="N1939">
        <v>1050.666667</v>
      </c>
      <c r="O1939">
        <v>0</v>
      </c>
      <c r="P1939" t="str">
        <f>IF(T[[#This Row],[qty_ordered]]&lt;&gt;T[[#This Row],[qty_received]],IF(T[[#This Row],[qty_received]]&gt;0,"Partial Received","Not Receviced"),"FullyReceived")</f>
        <v>Not Receviced</v>
      </c>
      <c r="Q1939" t="str">
        <f>IF(T[[#This Row],[qty_received]]&lt;&gt;T[[#This Row],[qty_invoiced]],IF(T[[#This Row],[qty_invoiced]]&gt;0,"Partial Invoiced","Not Invoiced"),"Fully Invoiced")</f>
        <v>Partial Invoiced</v>
      </c>
      <c r="R1939" t="str">
        <f>IFERROR(VLOOKUP(T[[#This Row],[warehouse]],Table2[],2,FALSE),"--")</f>
        <v>--</v>
      </c>
    </row>
    <row r="1940" spans="1:18" x14ac:dyDescent="0.25">
      <c r="A1940" t="s">
        <v>560</v>
      </c>
      <c r="B1940" s="1">
        <v>44251</v>
      </c>
      <c r="C1940" t="s">
        <v>1256</v>
      </c>
      <c r="D1940" t="s">
        <v>323</v>
      </c>
      <c r="E1940" t="s">
        <v>51</v>
      </c>
      <c r="F1940" t="s">
        <v>164</v>
      </c>
      <c r="G1940" t="s">
        <v>164</v>
      </c>
      <c r="H1940" t="s">
        <v>54</v>
      </c>
      <c r="I1940">
        <v>130</v>
      </c>
      <c r="J1940">
        <v>0</v>
      </c>
      <c r="K1940">
        <v>1</v>
      </c>
      <c r="L1940" t="s">
        <v>25</v>
      </c>
      <c r="M1940" t="s">
        <v>533</v>
      </c>
      <c r="N1940">
        <v>970.43076900000005</v>
      </c>
      <c r="O1940">
        <v>0</v>
      </c>
      <c r="P1940" t="str">
        <f>IF(T[[#This Row],[qty_ordered]]&lt;&gt;T[[#This Row],[qty_received]],IF(T[[#This Row],[qty_received]]&gt;0,"Partial Received","Not Receviced"),"FullyReceived")</f>
        <v>Not Receviced</v>
      </c>
      <c r="Q1940" t="str">
        <f>IF(T[[#This Row],[qty_received]]&lt;&gt;T[[#This Row],[qty_invoiced]],IF(T[[#This Row],[qty_invoiced]]&gt;0,"Partial Invoiced","Not Invoiced"),"Fully Invoiced")</f>
        <v>Partial Invoiced</v>
      </c>
      <c r="R1940" t="str">
        <f>IFERROR(VLOOKUP(T[[#This Row],[warehouse]],Table2[],2,FALSE),"--")</f>
        <v>--</v>
      </c>
    </row>
    <row r="1941" spans="1:18" x14ac:dyDescent="0.25">
      <c r="A1941" t="s">
        <v>560</v>
      </c>
      <c r="B1941" s="1">
        <v>44251</v>
      </c>
      <c r="C1941" t="s">
        <v>1256</v>
      </c>
      <c r="D1941" t="s">
        <v>324</v>
      </c>
      <c r="E1941" t="s">
        <v>51</v>
      </c>
      <c r="F1941" t="s">
        <v>164</v>
      </c>
      <c r="G1941" t="s">
        <v>164</v>
      </c>
      <c r="H1941" t="s">
        <v>54</v>
      </c>
      <c r="I1941">
        <v>35</v>
      </c>
      <c r="J1941">
        <v>0</v>
      </c>
      <c r="K1941">
        <v>1</v>
      </c>
      <c r="L1941" t="s">
        <v>25</v>
      </c>
      <c r="M1941" t="s">
        <v>533</v>
      </c>
      <c r="N1941">
        <v>960</v>
      </c>
      <c r="O1941">
        <v>0</v>
      </c>
      <c r="P1941" t="str">
        <f>IF(T[[#This Row],[qty_ordered]]&lt;&gt;T[[#This Row],[qty_received]],IF(T[[#This Row],[qty_received]]&gt;0,"Partial Received","Not Receviced"),"FullyReceived")</f>
        <v>Not Receviced</v>
      </c>
      <c r="Q1941" t="str">
        <f>IF(T[[#This Row],[qty_received]]&lt;&gt;T[[#This Row],[qty_invoiced]],IF(T[[#This Row],[qty_invoiced]]&gt;0,"Partial Invoiced","Not Invoiced"),"Fully Invoiced")</f>
        <v>Partial Invoiced</v>
      </c>
      <c r="R1941" t="str">
        <f>IFERROR(VLOOKUP(T[[#This Row],[warehouse]],Table2[],2,FALSE),"--")</f>
        <v>--</v>
      </c>
    </row>
    <row r="1942" spans="1:18" x14ac:dyDescent="0.25">
      <c r="A1942" t="s">
        <v>560</v>
      </c>
      <c r="B1942" s="1">
        <v>44251</v>
      </c>
      <c r="C1942" t="s">
        <v>1256</v>
      </c>
      <c r="D1942" t="s">
        <v>325</v>
      </c>
      <c r="E1942" t="s">
        <v>51</v>
      </c>
      <c r="F1942" t="s">
        <v>164</v>
      </c>
      <c r="G1942" t="s">
        <v>164</v>
      </c>
      <c r="H1942" t="s">
        <v>54</v>
      </c>
      <c r="I1942">
        <v>35</v>
      </c>
      <c r="J1942">
        <v>0</v>
      </c>
      <c r="K1942">
        <v>1</v>
      </c>
      <c r="L1942" t="s">
        <v>25</v>
      </c>
      <c r="M1942" t="s">
        <v>533</v>
      </c>
      <c r="N1942">
        <v>966.45714299999997</v>
      </c>
      <c r="O1942">
        <v>0</v>
      </c>
      <c r="P1942" t="str">
        <f>IF(T[[#This Row],[qty_ordered]]&lt;&gt;T[[#This Row],[qty_received]],IF(T[[#This Row],[qty_received]]&gt;0,"Partial Received","Not Receviced"),"FullyReceived")</f>
        <v>Not Receviced</v>
      </c>
      <c r="Q1942" t="str">
        <f>IF(T[[#This Row],[qty_received]]&lt;&gt;T[[#This Row],[qty_invoiced]],IF(T[[#This Row],[qty_invoiced]]&gt;0,"Partial Invoiced","Not Invoiced"),"Fully Invoiced")</f>
        <v>Partial Invoiced</v>
      </c>
      <c r="R1942" t="str">
        <f>IFERROR(VLOOKUP(T[[#This Row],[warehouse]],Table2[],2,FALSE),"--")</f>
        <v>--</v>
      </c>
    </row>
    <row r="1943" spans="1:18" x14ac:dyDescent="0.25">
      <c r="A1943" t="s">
        <v>560</v>
      </c>
      <c r="B1943" s="1">
        <v>44251</v>
      </c>
      <c r="C1943" t="s">
        <v>1256</v>
      </c>
      <c r="D1943" t="s">
        <v>451</v>
      </c>
      <c r="E1943" t="s">
        <v>51</v>
      </c>
      <c r="F1943" t="s">
        <v>164</v>
      </c>
      <c r="G1943" t="s">
        <v>164</v>
      </c>
      <c r="H1943" t="s">
        <v>54</v>
      </c>
      <c r="I1943">
        <v>15</v>
      </c>
      <c r="J1943">
        <v>0</v>
      </c>
      <c r="K1943">
        <v>1</v>
      </c>
      <c r="L1943" t="s">
        <v>25</v>
      </c>
      <c r="M1943" t="s">
        <v>533</v>
      </c>
      <c r="N1943">
        <v>960</v>
      </c>
      <c r="O1943">
        <v>0</v>
      </c>
      <c r="P1943" t="str">
        <f>IF(T[[#This Row],[qty_ordered]]&lt;&gt;T[[#This Row],[qty_received]],IF(T[[#This Row],[qty_received]]&gt;0,"Partial Received","Not Receviced"),"FullyReceived")</f>
        <v>Not Receviced</v>
      </c>
      <c r="Q1943" t="str">
        <f>IF(T[[#This Row],[qty_received]]&lt;&gt;T[[#This Row],[qty_invoiced]],IF(T[[#This Row],[qty_invoiced]]&gt;0,"Partial Invoiced","Not Invoiced"),"Fully Invoiced")</f>
        <v>Partial Invoiced</v>
      </c>
      <c r="R1943" t="str">
        <f>IFERROR(VLOOKUP(T[[#This Row],[warehouse]],Table2[],2,FALSE),"--")</f>
        <v>--</v>
      </c>
    </row>
    <row r="1944" spans="1:18" x14ac:dyDescent="0.25">
      <c r="A1944" t="s">
        <v>560</v>
      </c>
      <c r="B1944" s="1">
        <v>44251</v>
      </c>
      <c r="C1944" t="s">
        <v>1256</v>
      </c>
      <c r="D1944" t="s">
        <v>452</v>
      </c>
      <c r="E1944" t="s">
        <v>51</v>
      </c>
      <c r="F1944" t="s">
        <v>164</v>
      </c>
      <c r="G1944" t="s">
        <v>164</v>
      </c>
      <c r="H1944" t="s">
        <v>54</v>
      </c>
      <c r="I1944">
        <v>61</v>
      </c>
      <c r="J1944">
        <v>0</v>
      </c>
      <c r="K1944">
        <v>1</v>
      </c>
      <c r="L1944" t="s">
        <v>25</v>
      </c>
      <c r="M1944" t="s">
        <v>533</v>
      </c>
      <c r="N1944">
        <v>994.754098</v>
      </c>
      <c r="O1944">
        <v>0</v>
      </c>
      <c r="P1944" t="str">
        <f>IF(T[[#This Row],[qty_ordered]]&lt;&gt;T[[#This Row],[qty_received]],IF(T[[#This Row],[qty_received]]&gt;0,"Partial Received","Not Receviced"),"FullyReceived")</f>
        <v>Not Receviced</v>
      </c>
      <c r="Q1944" t="str">
        <f>IF(T[[#This Row],[qty_received]]&lt;&gt;T[[#This Row],[qty_invoiced]],IF(T[[#This Row],[qty_invoiced]]&gt;0,"Partial Invoiced","Not Invoiced"),"Fully Invoiced")</f>
        <v>Partial Invoiced</v>
      </c>
      <c r="R1944" t="str">
        <f>IFERROR(VLOOKUP(T[[#This Row],[warehouse]],Table2[],2,FALSE),"--")</f>
        <v>--</v>
      </c>
    </row>
    <row r="1945" spans="1:18" x14ac:dyDescent="0.25">
      <c r="A1945" t="s">
        <v>560</v>
      </c>
      <c r="B1945" s="1">
        <v>44251</v>
      </c>
      <c r="C1945" t="s">
        <v>1256</v>
      </c>
      <c r="D1945" t="s">
        <v>614</v>
      </c>
      <c r="E1945" t="s">
        <v>51</v>
      </c>
      <c r="F1945" t="s">
        <v>164</v>
      </c>
      <c r="G1945" t="s">
        <v>164</v>
      </c>
      <c r="H1945" t="s">
        <v>54</v>
      </c>
      <c r="I1945">
        <v>57</v>
      </c>
      <c r="J1945">
        <v>0</v>
      </c>
      <c r="K1945">
        <v>1</v>
      </c>
      <c r="L1945" t="s">
        <v>25</v>
      </c>
      <c r="M1945" t="s">
        <v>533</v>
      </c>
      <c r="N1945">
        <v>971.05263200000002</v>
      </c>
      <c r="O1945">
        <v>0</v>
      </c>
      <c r="P1945" t="str">
        <f>IF(T[[#This Row],[qty_ordered]]&lt;&gt;T[[#This Row],[qty_received]],IF(T[[#This Row],[qty_received]]&gt;0,"Partial Received","Not Receviced"),"FullyReceived")</f>
        <v>Not Receviced</v>
      </c>
      <c r="Q1945" t="str">
        <f>IF(T[[#This Row],[qty_received]]&lt;&gt;T[[#This Row],[qty_invoiced]],IF(T[[#This Row],[qty_invoiced]]&gt;0,"Partial Invoiced","Not Invoiced"),"Fully Invoiced")</f>
        <v>Partial Invoiced</v>
      </c>
      <c r="R1945" t="str">
        <f>IFERROR(VLOOKUP(T[[#This Row],[warehouse]],Table2[],2,FALSE),"--")</f>
        <v>--</v>
      </c>
    </row>
    <row r="1946" spans="1:18" x14ac:dyDescent="0.25">
      <c r="A1946" t="s">
        <v>560</v>
      </c>
      <c r="B1946" s="1">
        <v>44251</v>
      </c>
      <c r="C1946" t="s">
        <v>1276</v>
      </c>
      <c r="D1946" t="s">
        <v>20</v>
      </c>
      <c r="E1946" t="s">
        <v>51</v>
      </c>
      <c r="F1946" t="s">
        <v>164</v>
      </c>
      <c r="G1946" t="s">
        <v>164</v>
      </c>
      <c r="H1946" t="s">
        <v>54</v>
      </c>
      <c r="I1946">
        <v>40</v>
      </c>
      <c r="J1946">
        <v>0</v>
      </c>
      <c r="K1946">
        <v>1</v>
      </c>
      <c r="L1946" t="s">
        <v>25</v>
      </c>
      <c r="M1946" t="s">
        <v>533</v>
      </c>
      <c r="N1946">
        <v>620</v>
      </c>
      <c r="O1946">
        <v>0</v>
      </c>
      <c r="P1946" t="str">
        <f>IF(T[[#This Row],[qty_ordered]]&lt;&gt;T[[#This Row],[qty_received]],IF(T[[#This Row],[qty_received]]&gt;0,"Partial Received","Not Receviced"),"FullyReceived")</f>
        <v>Not Receviced</v>
      </c>
      <c r="Q1946" t="str">
        <f>IF(T[[#This Row],[qty_received]]&lt;&gt;T[[#This Row],[qty_invoiced]],IF(T[[#This Row],[qty_invoiced]]&gt;0,"Partial Invoiced","Not Invoiced"),"Fully Invoiced")</f>
        <v>Partial Invoiced</v>
      </c>
      <c r="R1946" t="str">
        <f>IFERROR(VLOOKUP(T[[#This Row],[warehouse]],Table2[],2,FALSE),"--")</f>
        <v>--</v>
      </c>
    </row>
    <row r="1947" spans="1:18" x14ac:dyDescent="0.25">
      <c r="A1947" t="s">
        <v>560</v>
      </c>
      <c r="B1947" s="1">
        <v>44251</v>
      </c>
      <c r="C1947" t="s">
        <v>1276</v>
      </c>
      <c r="D1947" t="s">
        <v>71</v>
      </c>
      <c r="E1947" t="s">
        <v>51</v>
      </c>
      <c r="F1947" t="s">
        <v>164</v>
      </c>
      <c r="G1947" t="s">
        <v>164</v>
      </c>
      <c r="H1947" t="s">
        <v>54</v>
      </c>
      <c r="I1947">
        <v>13</v>
      </c>
      <c r="J1947">
        <v>0</v>
      </c>
      <c r="K1947">
        <v>1</v>
      </c>
      <c r="L1947" t="s">
        <v>25</v>
      </c>
      <c r="M1947" t="s">
        <v>533</v>
      </c>
      <c r="N1947">
        <v>623.07692299999997</v>
      </c>
      <c r="O1947">
        <v>0</v>
      </c>
      <c r="P1947" t="str">
        <f>IF(T[[#This Row],[qty_ordered]]&lt;&gt;T[[#This Row],[qty_received]],IF(T[[#This Row],[qty_received]]&gt;0,"Partial Received","Not Receviced"),"FullyReceived")</f>
        <v>Not Receviced</v>
      </c>
      <c r="Q1947" t="str">
        <f>IF(T[[#This Row],[qty_received]]&lt;&gt;T[[#This Row],[qty_invoiced]],IF(T[[#This Row],[qty_invoiced]]&gt;0,"Partial Invoiced","Not Invoiced"),"Fully Invoiced")</f>
        <v>Partial Invoiced</v>
      </c>
      <c r="R1947" t="str">
        <f>IFERROR(VLOOKUP(T[[#This Row],[warehouse]],Table2[],2,FALSE),"--")</f>
        <v>--</v>
      </c>
    </row>
    <row r="1948" spans="1:18" x14ac:dyDescent="0.25">
      <c r="A1948" t="s">
        <v>560</v>
      </c>
      <c r="B1948" s="1">
        <v>44251</v>
      </c>
      <c r="C1948" t="s">
        <v>1276</v>
      </c>
      <c r="D1948" t="s">
        <v>100</v>
      </c>
      <c r="E1948" t="s">
        <v>51</v>
      </c>
      <c r="F1948" t="s">
        <v>164</v>
      </c>
      <c r="G1948" t="s">
        <v>164</v>
      </c>
      <c r="H1948" t="s">
        <v>54</v>
      </c>
      <c r="I1948">
        <v>39</v>
      </c>
      <c r="J1948">
        <v>0</v>
      </c>
      <c r="K1948">
        <v>1</v>
      </c>
      <c r="L1948" t="s">
        <v>25</v>
      </c>
      <c r="M1948" t="s">
        <v>533</v>
      </c>
      <c r="N1948">
        <v>1039.0769230000001</v>
      </c>
      <c r="O1948">
        <v>0</v>
      </c>
      <c r="P1948" t="str">
        <f>IF(T[[#This Row],[qty_ordered]]&lt;&gt;T[[#This Row],[qty_received]],IF(T[[#This Row],[qty_received]]&gt;0,"Partial Received","Not Receviced"),"FullyReceived")</f>
        <v>Not Receviced</v>
      </c>
      <c r="Q1948" t="str">
        <f>IF(T[[#This Row],[qty_received]]&lt;&gt;T[[#This Row],[qty_invoiced]],IF(T[[#This Row],[qty_invoiced]]&gt;0,"Partial Invoiced","Not Invoiced"),"Fully Invoiced")</f>
        <v>Partial Invoiced</v>
      </c>
      <c r="R1948" t="str">
        <f>IFERROR(VLOOKUP(T[[#This Row],[warehouse]],Table2[],2,FALSE),"--")</f>
        <v>--</v>
      </c>
    </row>
    <row r="1949" spans="1:18" x14ac:dyDescent="0.25">
      <c r="A1949" t="s">
        <v>1316</v>
      </c>
      <c r="B1949" s="1">
        <v>44251</v>
      </c>
      <c r="C1949" t="s">
        <v>1317</v>
      </c>
      <c r="D1949" t="s">
        <v>20</v>
      </c>
      <c r="E1949" t="s">
        <v>51</v>
      </c>
      <c r="F1949" t="s">
        <v>183</v>
      </c>
      <c r="G1949" t="s">
        <v>1372</v>
      </c>
      <c r="H1949" t="s">
        <v>54</v>
      </c>
      <c r="I1949">
        <v>10000</v>
      </c>
      <c r="J1949">
        <v>0</v>
      </c>
      <c r="K1949">
        <v>1</v>
      </c>
      <c r="L1949" t="s">
        <v>25</v>
      </c>
      <c r="M1949" t="s">
        <v>533</v>
      </c>
      <c r="N1949">
        <v>4000</v>
      </c>
      <c r="O1949">
        <v>0</v>
      </c>
      <c r="P1949" t="str">
        <f>IF(T[[#This Row],[qty_ordered]]&lt;&gt;T[[#This Row],[qty_received]],IF(T[[#This Row],[qty_received]]&gt;0,"Partial Received","Not Receviced"),"FullyReceived")</f>
        <v>Not Receviced</v>
      </c>
      <c r="Q1949" t="str">
        <f>IF(T[[#This Row],[qty_received]]&lt;&gt;T[[#This Row],[qty_invoiced]],IF(T[[#This Row],[qty_invoiced]]&gt;0,"Partial Invoiced","Not Invoiced"),"Fully Invoiced")</f>
        <v>Partial Invoiced</v>
      </c>
      <c r="R1949" t="str">
        <f>IFERROR(VLOOKUP(T[[#This Row],[warehouse]],Table2[],2,FALSE),"--")</f>
        <v>--</v>
      </c>
    </row>
    <row r="1950" spans="1:18" x14ac:dyDescent="0.25">
      <c r="A1950" t="s">
        <v>1312</v>
      </c>
      <c r="B1950" s="1">
        <v>44252</v>
      </c>
      <c r="C1950" t="s">
        <v>1337</v>
      </c>
      <c r="D1950" t="s">
        <v>20</v>
      </c>
      <c r="E1950" t="s">
        <v>146</v>
      </c>
      <c r="F1950" t="s">
        <v>1373</v>
      </c>
      <c r="G1950" t="s">
        <v>1374</v>
      </c>
      <c r="H1950" t="s">
        <v>54</v>
      </c>
      <c r="I1950">
        <v>6500</v>
      </c>
      <c r="J1950">
        <v>6500</v>
      </c>
      <c r="K1950">
        <v>6500</v>
      </c>
      <c r="L1950" t="s">
        <v>25</v>
      </c>
      <c r="M1950" t="s">
        <v>744</v>
      </c>
      <c r="N1950">
        <v>222.14</v>
      </c>
      <c r="O1950">
        <v>1443910</v>
      </c>
      <c r="P1950" t="str">
        <f>IF(T[[#This Row],[qty_ordered]]&lt;&gt;T[[#This Row],[qty_received]],IF(T[[#This Row],[qty_received]]&gt;0,"Partial Received","Not Receviced"),"FullyReceived")</f>
        <v>FullyReceived</v>
      </c>
      <c r="Q1950" t="str">
        <f>IF(T[[#This Row],[qty_received]]&lt;&gt;T[[#This Row],[qty_invoiced]],IF(T[[#This Row],[qty_invoiced]]&gt;0,"Partial Invoiced","Not Invoiced"),"Fully Invoiced")</f>
        <v>Fully Invoiced</v>
      </c>
      <c r="R1950" t="str">
        <f>IFERROR(VLOOKUP(T[[#This Row],[warehouse]],Table2[],2,FALSE),"--")</f>
        <v>Khtoum Main Warehouse</v>
      </c>
    </row>
    <row r="1951" spans="1:18" x14ac:dyDescent="0.25">
      <c r="A1951" t="s">
        <v>1312</v>
      </c>
      <c r="B1951" s="1">
        <v>44252</v>
      </c>
      <c r="C1951" t="s">
        <v>1337</v>
      </c>
      <c r="D1951" t="s">
        <v>71</v>
      </c>
      <c r="E1951" t="s">
        <v>146</v>
      </c>
      <c r="F1951" t="s">
        <v>1375</v>
      </c>
      <c r="G1951" t="s">
        <v>1376</v>
      </c>
      <c r="H1951" t="s">
        <v>54</v>
      </c>
      <c r="I1951">
        <v>2600</v>
      </c>
      <c r="J1951">
        <v>2600</v>
      </c>
      <c r="K1951">
        <v>2600</v>
      </c>
      <c r="L1951" t="s">
        <v>25</v>
      </c>
      <c r="M1951" t="s">
        <v>744</v>
      </c>
      <c r="N1951">
        <v>325.55</v>
      </c>
      <c r="O1951">
        <v>846430</v>
      </c>
      <c r="P1951" t="str">
        <f>IF(T[[#This Row],[qty_ordered]]&lt;&gt;T[[#This Row],[qty_received]],IF(T[[#This Row],[qty_received]]&gt;0,"Partial Received","Not Receviced"),"FullyReceived")</f>
        <v>FullyReceived</v>
      </c>
      <c r="Q1951" t="str">
        <f>IF(T[[#This Row],[qty_received]]&lt;&gt;T[[#This Row],[qty_invoiced]],IF(T[[#This Row],[qty_invoiced]]&gt;0,"Partial Invoiced","Not Invoiced"),"Fully Invoiced")</f>
        <v>Fully Invoiced</v>
      </c>
      <c r="R1951" t="str">
        <f>IFERROR(VLOOKUP(T[[#This Row],[warehouse]],Table2[],2,FALSE),"--")</f>
        <v>Khtoum Main Warehouse</v>
      </c>
    </row>
    <row r="1952" spans="1:18" x14ac:dyDescent="0.25">
      <c r="A1952" t="s">
        <v>1312</v>
      </c>
      <c r="B1952" s="1">
        <v>44252</v>
      </c>
      <c r="C1952" t="s">
        <v>1337</v>
      </c>
      <c r="D1952" t="s">
        <v>100</v>
      </c>
      <c r="E1952" t="s">
        <v>146</v>
      </c>
      <c r="F1952" t="s">
        <v>1377</v>
      </c>
      <c r="G1952" t="s">
        <v>1378</v>
      </c>
      <c r="H1952" t="s">
        <v>54</v>
      </c>
      <c r="I1952">
        <v>2840</v>
      </c>
      <c r="J1952">
        <v>2840</v>
      </c>
      <c r="K1952">
        <v>2840</v>
      </c>
      <c r="L1952" t="s">
        <v>25</v>
      </c>
      <c r="M1952" t="s">
        <v>744</v>
      </c>
      <c r="N1952">
        <v>294.90985000000001</v>
      </c>
      <c r="O1952">
        <v>837543.97400000005</v>
      </c>
      <c r="P1952" t="str">
        <f>IF(T[[#This Row],[qty_ordered]]&lt;&gt;T[[#This Row],[qty_received]],IF(T[[#This Row],[qty_received]]&gt;0,"Partial Received","Not Receviced"),"FullyReceived")</f>
        <v>FullyReceived</v>
      </c>
      <c r="Q1952" t="str">
        <f>IF(T[[#This Row],[qty_received]]&lt;&gt;T[[#This Row],[qty_invoiced]],IF(T[[#This Row],[qty_invoiced]]&gt;0,"Partial Invoiced","Not Invoiced"),"Fully Invoiced")</f>
        <v>Fully Invoiced</v>
      </c>
      <c r="R1952" t="str">
        <f>IFERROR(VLOOKUP(T[[#This Row],[warehouse]],Table2[],2,FALSE),"--")</f>
        <v>Khtoum Main Warehouse</v>
      </c>
    </row>
    <row r="1953" spans="1:18" x14ac:dyDescent="0.25">
      <c r="A1953" t="s">
        <v>1312</v>
      </c>
      <c r="B1953" s="1">
        <v>44252</v>
      </c>
      <c r="C1953" t="s">
        <v>1379</v>
      </c>
      <c r="D1953" t="s">
        <v>20</v>
      </c>
      <c r="E1953" t="s">
        <v>146</v>
      </c>
      <c r="F1953" t="s">
        <v>1373</v>
      </c>
      <c r="G1953" t="s">
        <v>1374</v>
      </c>
      <c r="H1953" t="s">
        <v>54</v>
      </c>
      <c r="I1953">
        <v>750</v>
      </c>
      <c r="J1953">
        <v>750</v>
      </c>
      <c r="K1953">
        <v>750</v>
      </c>
      <c r="L1953" t="s">
        <v>25</v>
      </c>
      <c r="M1953" t="s">
        <v>744</v>
      </c>
      <c r="N1953">
        <v>209</v>
      </c>
      <c r="O1953">
        <v>156750</v>
      </c>
      <c r="P1953" t="str">
        <f>IF(T[[#This Row],[qty_ordered]]&lt;&gt;T[[#This Row],[qty_received]],IF(T[[#This Row],[qty_received]]&gt;0,"Partial Received","Not Receviced"),"FullyReceived")</f>
        <v>FullyReceived</v>
      </c>
      <c r="Q1953" t="str">
        <f>IF(T[[#This Row],[qty_received]]&lt;&gt;T[[#This Row],[qty_invoiced]],IF(T[[#This Row],[qty_invoiced]]&gt;0,"Partial Invoiced","Not Invoiced"),"Fully Invoiced")</f>
        <v>Fully Invoiced</v>
      </c>
      <c r="R1953" t="str">
        <f>IFERROR(VLOOKUP(T[[#This Row],[warehouse]],Table2[],2,FALSE),"--")</f>
        <v>Khtoum Main Warehouse</v>
      </c>
    </row>
    <row r="1954" spans="1:18" x14ac:dyDescent="0.25">
      <c r="A1954" t="s">
        <v>1312</v>
      </c>
      <c r="B1954" s="1">
        <v>44252</v>
      </c>
      <c r="C1954" t="s">
        <v>1379</v>
      </c>
      <c r="D1954" t="s">
        <v>71</v>
      </c>
      <c r="E1954" t="s">
        <v>146</v>
      </c>
      <c r="F1954" t="s">
        <v>1375</v>
      </c>
      <c r="G1954" t="s">
        <v>1376</v>
      </c>
      <c r="H1954" t="s">
        <v>54</v>
      </c>
      <c r="I1954">
        <v>90</v>
      </c>
      <c r="J1954">
        <v>90</v>
      </c>
      <c r="K1954">
        <v>90</v>
      </c>
      <c r="L1954" t="s">
        <v>25</v>
      </c>
      <c r="M1954" t="s">
        <v>744</v>
      </c>
      <c r="N1954">
        <v>247</v>
      </c>
      <c r="O1954">
        <v>22230</v>
      </c>
      <c r="P1954" t="str">
        <f>IF(T[[#This Row],[qty_ordered]]&lt;&gt;T[[#This Row],[qty_received]],IF(T[[#This Row],[qty_received]]&gt;0,"Partial Received","Not Receviced"),"FullyReceived")</f>
        <v>FullyReceived</v>
      </c>
      <c r="Q1954" t="str">
        <f>IF(T[[#This Row],[qty_received]]&lt;&gt;T[[#This Row],[qty_invoiced]],IF(T[[#This Row],[qty_invoiced]]&gt;0,"Partial Invoiced","Not Invoiced"),"Fully Invoiced")</f>
        <v>Fully Invoiced</v>
      </c>
      <c r="R1954" t="str">
        <f>IFERROR(VLOOKUP(T[[#This Row],[warehouse]],Table2[],2,FALSE),"--")</f>
        <v>Khtoum Main Warehouse</v>
      </c>
    </row>
    <row r="1955" spans="1:18" x14ac:dyDescent="0.25">
      <c r="A1955" t="s">
        <v>1312</v>
      </c>
      <c r="B1955" s="1">
        <v>44252</v>
      </c>
      <c r="C1955" t="s">
        <v>1379</v>
      </c>
      <c r="D1955" t="s">
        <v>100</v>
      </c>
      <c r="E1955" t="s">
        <v>146</v>
      </c>
      <c r="F1955" t="s">
        <v>1377</v>
      </c>
      <c r="G1955" t="s">
        <v>1378</v>
      </c>
      <c r="H1955" t="s">
        <v>54</v>
      </c>
      <c r="I1955">
        <v>90</v>
      </c>
      <c r="J1955">
        <v>90</v>
      </c>
      <c r="K1955">
        <v>90</v>
      </c>
      <c r="L1955" t="s">
        <v>25</v>
      </c>
      <c r="M1955" t="s">
        <v>744</v>
      </c>
      <c r="N1955">
        <v>285</v>
      </c>
      <c r="O1955">
        <v>25650</v>
      </c>
      <c r="P1955" t="str">
        <f>IF(T[[#This Row],[qty_ordered]]&lt;&gt;T[[#This Row],[qty_received]],IF(T[[#This Row],[qty_received]]&gt;0,"Partial Received","Not Receviced"),"FullyReceived")</f>
        <v>FullyReceived</v>
      </c>
      <c r="Q1955" t="str">
        <f>IF(T[[#This Row],[qty_received]]&lt;&gt;T[[#This Row],[qty_invoiced]],IF(T[[#This Row],[qty_invoiced]]&gt;0,"Partial Invoiced","Not Invoiced"),"Fully Invoiced")</f>
        <v>Fully Invoiced</v>
      </c>
      <c r="R1955" t="str">
        <f>IFERROR(VLOOKUP(T[[#This Row],[warehouse]],Table2[],2,FALSE),"--")</f>
        <v>Khtoum Main Warehouse</v>
      </c>
    </row>
    <row r="1956" spans="1:18" x14ac:dyDescent="0.25">
      <c r="A1956" t="s">
        <v>658</v>
      </c>
      <c r="B1956" s="1">
        <v>44243</v>
      </c>
      <c r="C1956" t="s">
        <v>1243</v>
      </c>
      <c r="D1956" t="s">
        <v>88</v>
      </c>
      <c r="E1956" t="s">
        <v>660</v>
      </c>
      <c r="F1956" t="s">
        <v>661</v>
      </c>
      <c r="G1956" t="s">
        <v>662</v>
      </c>
      <c r="H1956" t="s">
        <v>663</v>
      </c>
      <c r="I1956">
        <v>2032.9</v>
      </c>
      <c r="J1956">
        <v>2032.9</v>
      </c>
      <c r="K1956">
        <v>2032.9</v>
      </c>
      <c r="L1956" t="s">
        <v>25</v>
      </c>
      <c r="M1956" t="s">
        <v>707</v>
      </c>
      <c r="N1956">
        <v>1100.826</v>
      </c>
      <c r="O1956">
        <v>1524675</v>
      </c>
      <c r="P1956" t="str">
        <f>IF(T[[#This Row],[qty_ordered]]&lt;&gt;T[[#This Row],[qty_received]],IF(T[[#This Row],[qty_received]]&gt;0,"Partial Received","Not Receviced"),"FullyReceived")</f>
        <v>FullyReceived</v>
      </c>
      <c r="Q1956" t="str">
        <f>IF(T[[#This Row],[qty_received]]&lt;&gt;T[[#This Row],[qty_invoiced]],IF(T[[#This Row],[qty_invoiced]]&gt;0,"Partial Invoiced","Not Invoiced"),"Fully Invoiced")</f>
        <v>Fully Invoiced</v>
      </c>
      <c r="R1956" t="str">
        <f>IFERROR(VLOOKUP(T[[#This Row],[warehouse]],Table2[],2,FALSE),"--")</f>
        <v>SLAUGHTER HOUSE</v>
      </c>
    </row>
    <row r="1957" spans="1:18" x14ac:dyDescent="0.25">
      <c r="A1957" t="s">
        <v>790</v>
      </c>
      <c r="B1957" s="1">
        <v>44350</v>
      </c>
      <c r="C1957" t="s">
        <v>1380</v>
      </c>
      <c r="D1957" t="s">
        <v>20</v>
      </c>
      <c r="E1957" t="s">
        <v>51</v>
      </c>
      <c r="F1957" t="s">
        <v>164</v>
      </c>
      <c r="G1957" t="s">
        <v>1381</v>
      </c>
      <c r="H1957" t="s">
        <v>54</v>
      </c>
      <c r="I1957">
        <v>978.87099999999998</v>
      </c>
      <c r="J1957">
        <v>0</v>
      </c>
      <c r="K1957">
        <v>1</v>
      </c>
      <c r="L1957" t="s">
        <v>25</v>
      </c>
      <c r="M1957" t="s">
        <v>533</v>
      </c>
      <c r="N1957">
        <v>40</v>
      </c>
      <c r="O1957">
        <v>0</v>
      </c>
      <c r="P1957" t="str">
        <f>IF(T[[#This Row],[qty_ordered]]&lt;&gt;T[[#This Row],[qty_received]],IF(T[[#This Row],[qty_received]]&gt;0,"Partial Received","Not Receviced"),"FullyReceived")</f>
        <v>Not Receviced</v>
      </c>
      <c r="Q1957" t="str">
        <f>IF(T[[#This Row],[qty_received]]&lt;&gt;T[[#This Row],[qty_invoiced]],IF(T[[#This Row],[qty_invoiced]]&gt;0,"Partial Invoiced","Not Invoiced"),"Fully Invoiced")</f>
        <v>Partial Invoiced</v>
      </c>
      <c r="R1957" t="str">
        <f>IFERROR(VLOOKUP(T[[#This Row],[warehouse]],Table2[],2,FALSE),"--")</f>
        <v>--</v>
      </c>
    </row>
    <row r="1958" spans="1:18" x14ac:dyDescent="0.25">
      <c r="A1958" t="s">
        <v>201</v>
      </c>
      <c r="B1958" s="1">
        <v>44334</v>
      </c>
      <c r="C1958" t="s">
        <v>1382</v>
      </c>
      <c r="D1958" t="s">
        <v>100</v>
      </c>
      <c r="E1958" t="s">
        <v>1220</v>
      </c>
      <c r="F1958" t="s">
        <v>1307</v>
      </c>
      <c r="G1958" t="s">
        <v>1308</v>
      </c>
      <c r="H1958" t="s">
        <v>149</v>
      </c>
      <c r="I1958">
        <v>6400</v>
      </c>
      <c r="J1958">
        <v>2500</v>
      </c>
      <c r="K1958">
        <v>0</v>
      </c>
      <c r="L1958" t="s">
        <v>693</v>
      </c>
      <c r="M1958" t="s">
        <v>744</v>
      </c>
      <c r="N1958">
        <v>0</v>
      </c>
      <c r="O1958">
        <v>0</v>
      </c>
      <c r="P1958" t="str">
        <f>IF(T[[#This Row],[qty_ordered]]&lt;&gt;T[[#This Row],[qty_received]],IF(T[[#This Row],[qty_received]]&gt;0,"Partial Received","Not Receviced"),"FullyReceived")</f>
        <v>Partial Received</v>
      </c>
      <c r="Q1958" t="str">
        <f>IF(T[[#This Row],[qty_received]]&lt;&gt;T[[#This Row],[qty_invoiced]],IF(T[[#This Row],[qty_invoiced]]&gt;0,"Partial Invoiced","Not Invoiced"),"Fully Invoiced")</f>
        <v>Not Invoiced</v>
      </c>
      <c r="R1958" t="str">
        <f>IFERROR(VLOOKUP(T[[#This Row],[warehouse]],Table2[],2,FALSE),"--")</f>
        <v>Import Virtual Warehouse - PZU</v>
      </c>
    </row>
    <row r="1959" spans="1:18" x14ac:dyDescent="0.25">
      <c r="A1959" t="s">
        <v>560</v>
      </c>
      <c r="B1959" s="1">
        <v>44251</v>
      </c>
      <c r="C1959" t="s">
        <v>1237</v>
      </c>
      <c r="D1959" t="s">
        <v>322</v>
      </c>
      <c r="E1959" t="s">
        <v>51</v>
      </c>
      <c r="F1959" t="s">
        <v>164</v>
      </c>
      <c r="G1959" t="s">
        <v>1368</v>
      </c>
      <c r="H1959" t="s">
        <v>54</v>
      </c>
      <c r="I1959">
        <v>30</v>
      </c>
      <c r="J1959">
        <v>0</v>
      </c>
      <c r="K1959">
        <v>1</v>
      </c>
      <c r="L1959" t="s">
        <v>25</v>
      </c>
      <c r="M1959" t="s">
        <v>533</v>
      </c>
      <c r="N1959">
        <v>1530</v>
      </c>
      <c r="O1959">
        <v>0</v>
      </c>
      <c r="P1959" t="str">
        <f>IF(T[[#This Row],[qty_ordered]]&lt;&gt;T[[#This Row],[qty_received]],IF(T[[#This Row],[qty_received]]&gt;0,"Partial Received","Not Receviced"),"FullyReceived")</f>
        <v>Not Receviced</v>
      </c>
      <c r="Q1959" t="str">
        <f>IF(T[[#This Row],[qty_received]]&lt;&gt;T[[#This Row],[qty_invoiced]],IF(T[[#This Row],[qty_invoiced]]&gt;0,"Partial Invoiced","Not Invoiced"),"Fully Invoiced")</f>
        <v>Partial Invoiced</v>
      </c>
      <c r="R1959" t="str">
        <f>IFERROR(VLOOKUP(T[[#This Row],[warehouse]],Table2[],2,FALSE),"--")</f>
        <v>--</v>
      </c>
    </row>
    <row r="1960" spans="1:18" x14ac:dyDescent="0.25">
      <c r="A1960" t="s">
        <v>560</v>
      </c>
      <c r="B1960" s="1">
        <v>44251</v>
      </c>
      <c r="C1960" t="s">
        <v>1237</v>
      </c>
      <c r="D1960" t="s">
        <v>323</v>
      </c>
      <c r="E1960" t="s">
        <v>51</v>
      </c>
      <c r="F1960" t="s">
        <v>164</v>
      </c>
      <c r="G1960" t="s">
        <v>1368</v>
      </c>
      <c r="H1960" t="s">
        <v>54</v>
      </c>
      <c r="I1960">
        <v>18</v>
      </c>
      <c r="J1960">
        <v>0</v>
      </c>
      <c r="K1960">
        <v>1</v>
      </c>
      <c r="L1960" t="s">
        <v>25</v>
      </c>
      <c r="M1960" t="s">
        <v>533</v>
      </c>
      <c r="N1960">
        <v>1530</v>
      </c>
      <c r="O1960">
        <v>0</v>
      </c>
      <c r="P1960" t="str">
        <f>IF(T[[#This Row],[qty_ordered]]&lt;&gt;T[[#This Row],[qty_received]],IF(T[[#This Row],[qty_received]]&gt;0,"Partial Received","Not Receviced"),"FullyReceived")</f>
        <v>Not Receviced</v>
      </c>
      <c r="Q1960" t="str">
        <f>IF(T[[#This Row],[qty_received]]&lt;&gt;T[[#This Row],[qty_invoiced]],IF(T[[#This Row],[qty_invoiced]]&gt;0,"Partial Invoiced","Not Invoiced"),"Fully Invoiced")</f>
        <v>Partial Invoiced</v>
      </c>
      <c r="R1960" t="str">
        <f>IFERROR(VLOOKUP(T[[#This Row],[warehouse]],Table2[],2,FALSE),"--")</f>
        <v>--</v>
      </c>
    </row>
    <row r="1961" spans="1:18" x14ac:dyDescent="0.25">
      <c r="A1961" t="s">
        <v>560</v>
      </c>
      <c r="B1961" s="1">
        <v>44251</v>
      </c>
      <c r="C1961" t="s">
        <v>1244</v>
      </c>
      <c r="D1961" t="s">
        <v>212</v>
      </c>
      <c r="E1961" t="s">
        <v>51</v>
      </c>
      <c r="F1961" t="s">
        <v>164</v>
      </c>
      <c r="G1961" t="s">
        <v>1383</v>
      </c>
      <c r="H1961" t="s">
        <v>54</v>
      </c>
      <c r="I1961">
        <v>30</v>
      </c>
      <c r="J1961">
        <v>0</v>
      </c>
      <c r="K1961">
        <v>1</v>
      </c>
      <c r="L1961" t="s">
        <v>25</v>
      </c>
      <c r="M1961" t="s">
        <v>533</v>
      </c>
      <c r="N1961">
        <v>1530</v>
      </c>
      <c r="O1961">
        <v>0</v>
      </c>
      <c r="P1961" t="str">
        <f>IF(T[[#This Row],[qty_ordered]]&lt;&gt;T[[#This Row],[qty_received]],IF(T[[#This Row],[qty_received]]&gt;0,"Partial Received","Not Receviced"),"FullyReceived")</f>
        <v>Not Receviced</v>
      </c>
      <c r="Q1961" t="str">
        <f>IF(T[[#This Row],[qty_received]]&lt;&gt;T[[#This Row],[qty_invoiced]],IF(T[[#This Row],[qty_invoiced]]&gt;0,"Partial Invoiced","Not Invoiced"),"Fully Invoiced")</f>
        <v>Partial Invoiced</v>
      </c>
      <c r="R1961" t="str">
        <f>IFERROR(VLOOKUP(T[[#This Row],[warehouse]],Table2[],2,FALSE),"--")</f>
        <v>--</v>
      </c>
    </row>
    <row r="1962" spans="1:18" x14ac:dyDescent="0.25">
      <c r="A1962" t="s">
        <v>560</v>
      </c>
      <c r="B1962" s="1">
        <v>44251</v>
      </c>
      <c r="C1962" t="s">
        <v>1245</v>
      </c>
      <c r="D1962" t="s">
        <v>451</v>
      </c>
      <c r="E1962" t="s">
        <v>51</v>
      </c>
      <c r="F1962" t="s">
        <v>164</v>
      </c>
      <c r="G1962" t="s">
        <v>1384</v>
      </c>
      <c r="H1962" t="s">
        <v>54</v>
      </c>
      <c r="I1962">
        <v>80.5</v>
      </c>
      <c r="J1962">
        <v>0</v>
      </c>
      <c r="K1962">
        <v>1</v>
      </c>
      <c r="L1962" t="s">
        <v>25</v>
      </c>
      <c r="M1962" t="s">
        <v>533</v>
      </c>
      <c r="N1962">
        <v>1631.3664590000001</v>
      </c>
      <c r="O1962">
        <v>0</v>
      </c>
      <c r="P1962" t="str">
        <f>IF(T[[#This Row],[qty_ordered]]&lt;&gt;T[[#This Row],[qty_received]],IF(T[[#This Row],[qty_received]]&gt;0,"Partial Received","Not Receviced"),"FullyReceived")</f>
        <v>Not Receviced</v>
      </c>
      <c r="Q1962" t="str">
        <f>IF(T[[#This Row],[qty_received]]&lt;&gt;T[[#This Row],[qty_invoiced]],IF(T[[#This Row],[qty_invoiced]]&gt;0,"Partial Invoiced","Not Invoiced"),"Fully Invoiced")</f>
        <v>Partial Invoiced</v>
      </c>
      <c r="R1962" t="str">
        <f>IFERROR(VLOOKUP(T[[#This Row],[warehouse]],Table2[],2,FALSE),"--")</f>
        <v>--</v>
      </c>
    </row>
    <row r="1963" spans="1:18" x14ac:dyDescent="0.25">
      <c r="A1963" t="s">
        <v>560</v>
      </c>
      <c r="B1963" s="1">
        <v>44251</v>
      </c>
      <c r="C1963" t="s">
        <v>1245</v>
      </c>
      <c r="D1963" t="s">
        <v>452</v>
      </c>
      <c r="E1963" t="s">
        <v>51</v>
      </c>
      <c r="F1963" t="s">
        <v>164</v>
      </c>
      <c r="G1963" t="s">
        <v>1384</v>
      </c>
      <c r="H1963" t="s">
        <v>54</v>
      </c>
      <c r="I1963">
        <v>21</v>
      </c>
      <c r="J1963">
        <v>0</v>
      </c>
      <c r="K1963">
        <v>1</v>
      </c>
      <c r="L1963" t="s">
        <v>25</v>
      </c>
      <c r="M1963" t="s">
        <v>533</v>
      </c>
      <c r="N1963">
        <v>1530</v>
      </c>
      <c r="O1963">
        <v>0</v>
      </c>
      <c r="P1963" t="str">
        <f>IF(T[[#This Row],[qty_ordered]]&lt;&gt;T[[#This Row],[qty_received]],IF(T[[#This Row],[qty_received]]&gt;0,"Partial Received","Not Receviced"),"FullyReceived")</f>
        <v>Not Receviced</v>
      </c>
      <c r="Q1963" t="str">
        <f>IF(T[[#This Row],[qty_received]]&lt;&gt;T[[#This Row],[qty_invoiced]],IF(T[[#This Row],[qty_invoiced]]&gt;0,"Partial Invoiced","Not Invoiced"),"Fully Invoiced")</f>
        <v>Partial Invoiced</v>
      </c>
      <c r="R1963" t="str">
        <f>IFERROR(VLOOKUP(T[[#This Row],[warehouse]],Table2[],2,FALSE),"--")</f>
        <v>--</v>
      </c>
    </row>
    <row r="1964" spans="1:18" x14ac:dyDescent="0.25">
      <c r="A1964" t="s">
        <v>560</v>
      </c>
      <c r="B1964" s="1">
        <v>44251</v>
      </c>
      <c r="C1964" t="s">
        <v>1245</v>
      </c>
      <c r="D1964" t="s">
        <v>614</v>
      </c>
      <c r="E1964" t="s">
        <v>51</v>
      </c>
      <c r="F1964" t="s">
        <v>164</v>
      </c>
      <c r="G1964" t="s">
        <v>1384</v>
      </c>
      <c r="H1964" t="s">
        <v>54</v>
      </c>
      <c r="I1964">
        <v>30</v>
      </c>
      <c r="J1964">
        <v>0</v>
      </c>
      <c r="K1964">
        <v>1</v>
      </c>
      <c r="L1964" t="s">
        <v>25</v>
      </c>
      <c r="M1964" t="s">
        <v>533</v>
      </c>
      <c r="N1964">
        <v>3321.333333</v>
      </c>
      <c r="O1964">
        <v>0</v>
      </c>
      <c r="P1964" t="str">
        <f>IF(T[[#This Row],[qty_ordered]]&lt;&gt;T[[#This Row],[qty_received]],IF(T[[#This Row],[qty_received]]&gt;0,"Partial Received","Not Receviced"),"FullyReceived")</f>
        <v>Not Receviced</v>
      </c>
      <c r="Q1964" t="str">
        <f>IF(T[[#This Row],[qty_received]]&lt;&gt;T[[#This Row],[qty_invoiced]],IF(T[[#This Row],[qty_invoiced]]&gt;0,"Partial Invoiced","Not Invoiced"),"Fully Invoiced")</f>
        <v>Partial Invoiced</v>
      </c>
      <c r="R1964" t="str">
        <f>IFERROR(VLOOKUP(T[[#This Row],[warehouse]],Table2[],2,FALSE),"--")</f>
        <v>--</v>
      </c>
    </row>
    <row r="1965" spans="1:18" x14ac:dyDescent="0.25">
      <c r="A1965" t="s">
        <v>560</v>
      </c>
      <c r="B1965" s="1">
        <v>44362</v>
      </c>
      <c r="C1965" t="s">
        <v>1385</v>
      </c>
      <c r="D1965" t="s">
        <v>20</v>
      </c>
      <c r="E1965" t="s">
        <v>51</v>
      </c>
      <c r="F1965" t="s">
        <v>164</v>
      </c>
      <c r="G1965" t="s">
        <v>1386</v>
      </c>
      <c r="H1965" t="s">
        <v>54</v>
      </c>
      <c r="I1965">
        <v>35</v>
      </c>
      <c r="J1965">
        <v>0</v>
      </c>
      <c r="K1965">
        <v>1</v>
      </c>
      <c r="L1965" t="s">
        <v>25</v>
      </c>
      <c r="M1965" t="s">
        <v>533</v>
      </c>
      <c r="N1965">
        <v>1530</v>
      </c>
      <c r="O1965">
        <v>0</v>
      </c>
      <c r="P1965" t="str">
        <f>IF(T[[#This Row],[qty_ordered]]&lt;&gt;T[[#This Row],[qty_received]],IF(T[[#This Row],[qty_received]]&gt;0,"Partial Received","Not Receviced"),"FullyReceived")</f>
        <v>Not Receviced</v>
      </c>
      <c r="Q1965" t="str">
        <f>IF(T[[#This Row],[qty_received]]&lt;&gt;T[[#This Row],[qty_invoiced]],IF(T[[#This Row],[qty_invoiced]]&gt;0,"Partial Invoiced","Not Invoiced"),"Fully Invoiced")</f>
        <v>Partial Invoiced</v>
      </c>
      <c r="R1965" t="str">
        <f>IFERROR(VLOOKUP(T[[#This Row],[warehouse]],Table2[],2,FALSE),"--")</f>
        <v>--</v>
      </c>
    </row>
    <row r="1966" spans="1:18" x14ac:dyDescent="0.25">
      <c r="A1966" t="s">
        <v>560</v>
      </c>
      <c r="B1966" s="1">
        <v>44362</v>
      </c>
      <c r="C1966" t="s">
        <v>1387</v>
      </c>
      <c r="D1966" t="s">
        <v>20</v>
      </c>
      <c r="E1966" t="s">
        <v>51</v>
      </c>
      <c r="F1966" t="s">
        <v>164</v>
      </c>
      <c r="G1966" t="s">
        <v>1388</v>
      </c>
      <c r="H1966" t="s">
        <v>54</v>
      </c>
      <c r="I1966">
        <v>8</v>
      </c>
      <c r="J1966">
        <v>0</v>
      </c>
      <c r="K1966">
        <v>1</v>
      </c>
      <c r="L1966" t="s">
        <v>25</v>
      </c>
      <c r="M1966" t="s">
        <v>533</v>
      </c>
      <c r="N1966">
        <v>1625.625</v>
      </c>
      <c r="O1966">
        <v>0</v>
      </c>
      <c r="P1966" t="str">
        <f>IF(T[[#This Row],[qty_ordered]]&lt;&gt;T[[#This Row],[qty_received]],IF(T[[#This Row],[qty_received]]&gt;0,"Partial Received","Not Receviced"),"FullyReceived")</f>
        <v>Not Receviced</v>
      </c>
      <c r="Q1966" t="str">
        <f>IF(T[[#This Row],[qty_received]]&lt;&gt;T[[#This Row],[qty_invoiced]],IF(T[[#This Row],[qty_invoiced]]&gt;0,"Partial Invoiced","Not Invoiced"),"Fully Invoiced")</f>
        <v>Partial Invoiced</v>
      </c>
      <c r="R1966" t="str">
        <f>IFERROR(VLOOKUP(T[[#This Row],[warehouse]],Table2[],2,FALSE),"--")</f>
        <v>--</v>
      </c>
    </row>
    <row r="1967" spans="1:18" x14ac:dyDescent="0.25">
      <c r="A1967" t="s">
        <v>560</v>
      </c>
      <c r="B1967" s="1">
        <v>44251</v>
      </c>
      <c r="C1967" t="s">
        <v>1246</v>
      </c>
      <c r="D1967" t="s">
        <v>694</v>
      </c>
      <c r="E1967" t="s">
        <v>51</v>
      </c>
      <c r="F1967" t="s">
        <v>164</v>
      </c>
      <c r="G1967" t="s">
        <v>1389</v>
      </c>
      <c r="H1967" t="s">
        <v>54</v>
      </c>
      <c r="I1967">
        <v>6</v>
      </c>
      <c r="J1967">
        <v>0</v>
      </c>
      <c r="K1967">
        <v>1</v>
      </c>
      <c r="L1967" t="s">
        <v>25</v>
      </c>
      <c r="M1967" t="s">
        <v>533</v>
      </c>
      <c r="N1967">
        <v>2353.333333</v>
      </c>
      <c r="O1967">
        <v>0</v>
      </c>
      <c r="P1967" t="str">
        <f>IF(T[[#This Row],[qty_ordered]]&lt;&gt;T[[#This Row],[qty_received]],IF(T[[#This Row],[qty_received]]&gt;0,"Partial Received","Not Receviced"),"FullyReceived")</f>
        <v>Not Receviced</v>
      </c>
      <c r="Q1967" t="str">
        <f>IF(T[[#This Row],[qty_received]]&lt;&gt;T[[#This Row],[qty_invoiced]],IF(T[[#This Row],[qty_invoiced]]&gt;0,"Partial Invoiced","Not Invoiced"),"Fully Invoiced")</f>
        <v>Partial Invoiced</v>
      </c>
      <c r="R1967" t="str">
        <f>IFERROR(VLOOKUP(T[[#This Row],[warehouse]],Table2[],2,FALSE),"--")</f>
        <v>--</v>
      </c>
    </row>
    <row r="1968" spans="1:18" x14ac:dyDescent="0.25">
      <c r="A1968" t="s">
        <v>560</v>
      </c>
      <c r="B1968" s="1">
        <v>44251</v>
      </c>
      <c r="C1968" t="s">
        <v>1246</v>
      </c>
      <c r="D1968" t="s">
        <v>760</v>
      </c>
      <c r="E1968" t="s">
        <v>51</v>
      </c>
      <c r="F1968" t="s">
        <v>164</v>
      </c>
      <c r="G1968" t="s">
        <v>1389</v>
      </c>
      <c r="H1968" t="s">
        <v>54</v>
      </c>
      <c r="I1968">
        <v>8</v>
      </c>
      <c r="J1968">
        <v>0</v>
      </c>
      <c r="K1968">
        <v>1</v>
      </c>
      <c r="L1968" t="s">
        <v>25</v>
      </c>
      <c r="M1968" t="s">
        <v>533</v>
      </c>
      <c r="N1968">
        <v>1625.625</v>
      </c>
      <c r="O1968">
        <v>0</v>
      </c>
      <c r="P1968" t="str">
        <f>IF(T[[#This Row],[qty_ordered]]&lt;&gt;T[[#This Row],[qty_received]],IF(T[[#This Row],[qty_received]]&gt;0,"Partial Received","Not Receviced"),"FullyReceived")</f>
        <v>Not Receviced</v>
      </c>
      <c r="Q1968" t="str">
        <f>IF(T[[#This Row],[qty_received]]&lt;&gt;T[[#This Row],[qty_invoiced]],IF(T[[#This Row],[qty_invoiced]]&gt;0,"Partial Invoiced","Not Invoiced"),"Fully Invoiced")</f>
        <v>Partial Invoiced</v>
      </c>
      <c r="R1968" t="str">
        <f>IFERROR(VLOOKUP(T[[#This Row],[warehouse]],Table2[],2,FALSE),"--")</f>
        <v>--</v>
      </c>
    </row>
    <row r="1969" spans="1:18" x14ac:dyDescent="0.25">
      <c r="A1969" t="s">
        <v>955</v>
      </c>
      <c r="B1969" s="1">
        <v>44360</v>
      </c>
      <c r="C1969" t="s">
        <v>1390</v>
      </c>
      <c r="D1969" t="s">
        <v>20</v>
      </c>
      <c r="E1969" t="s">
        <v>162</v>
      </c>
      <c r="F1969" t="s">
        <v>300</v>
      </c>
      <c r="G1969" t="s">
        <v>301</v>
      </c>
      <c r="H1969" t="s">
        <v>24</v>
      </c>
      <c r="I1969">
        <v>500</v>
      </c>
      <c r="J1969">
        <v>80.3</v>
      </c>
      <c r="K1969">
        <v>80.3</v>
      </c>
      <c r="L1969" t="s">
        <v>25</v>
      </c>
      <c r="M1969" t="s">
        <v>132</v>
      </c>
      <c r="N1969">
        <v>325000</v>
      </c>
      <c r="O1969">
        <v>26097500</v>
      </c>
      <c r="P1969" t="str">
        <f>IF(T[[#This Row],[qty_ordered]]&lt;&gt;T[[#This Row],[qty_received]],IF(T[[#This Row],[qty_received]]&gt;0,"Partial Received","Not Receviced"),"FullyReceived")</f>
        <v>Partial Received</v>
      </c>
      <c r="Q1969" t="str">
        <f>IF(T[[#This Row],[qty_received]]&lt;&gt;T[[#This Row],[qty_invoiced]],IF(T[[#This Row],[qty_invoiced]]&gt;0,"Partial Invoiced","Not Invoiced"),"Fully Invoiced")</f>
        <v>Fully Invoiced</v>
      </c>
      <c r="R1969" t="str">
        <f>IFERROR(VLOOKUP(T[[#This Row],[warehouse]],Table2[],2,FALSE),"--")</f>
        <v>Sifters Mahasilna</v>
      </c>
    </row>
    <row r="1970" spans="1:18" x14ac:dyDescent="0.25">
      <c r="A1970" t="s">
        <v>1114</v>
      </c>
      <c r="B1970" s="1">
        <v>44350</v>
      </c>
      <c r="C1970" t="s">
        <v>1391</v>
      </c>
      <c r="D1970" t="s">
        <v>71</v>
      </c>
      <c r="E1970" t="s">
        <v>660</v>
      </c>
      <c r="F1970" t="s">
        <v>1188</v>
      </c>
      <c r="G1970" t="s">
        <v>1189</v>
      </c>
      <c r="H1970" t="s">
        <v>1087</v>
      </c>
      <c r="I1970">
        <v>149</v>
      </c>
      <c r="J1970">
        <v>149</v>
      </c>
      <c r="K1970">
        <v>149</v>
      </c>
      <c r="L1970" t="s">
        <v>25</v>
      </c>
      <c r="M1970" t="s">
        <v>132</v>
      </c>
      <c r="N1970">
        <v>137342.20000000001</v>
      </c>
      <c r="O1970">
        <v>30408000.000037</v>
      </c>
      <c r="P1970" t="str">
        <f>IF(T[[#This Row],[qty_ordered]]&lt;&gt;T[[#This Row],[qty_received]],IF(T[[#This Row],[qty_received]]&gt;0,"Partial Received","Not Receviced"),"FullyReceived")</f>
        <v>FullyReceived</v>
      </c>
      <c r="Q1970" t="str">
        <f>IF(T[[#This Row],[qty_received]]&lt;&gt;T[[#This Row],[qty_invoiced]],IF(T[[#This Row],[qty_invoiced]]&gt;0,"Partial Invoiced","Not Invoiced"),"Fully Invoiced")</f>
        <v>Fully Invoiced</v>
      </c>
      <c r="R1970" t="str">
        <f>IFERROR(VLOOKUP(T[[#This Row],[warehouse]],Table2[],2,FALSE),"--")</f>
        <v>SLAUGHTER HOUSE</v>
      </c>
    </row>
    <row r="1971" spans="1:18" x14ac:dyDescent="0.25">
      <c r="A1971" t="s">
        <v>1170</v>
      </c>
      <c r="B1971" s="1">
        <v>44340</v>
      </c>
      <c r="C1971" t="s">
        <v>1340</v>
      </c>
      <c r="D1971" t="s">
        <v>71</v>
      </c>
      <c r="E1971" t="s">
        <v>66</v>
      </c>
      <c r="F1971" t="s">
        <v>244</v>
      </c>
      <c r="G1971" t="s">
        <v>245</v>
      </c>
      <c r="H1971" t="s">
        <v>24</v>
      </c>
      <c r="I1971">
        <v>130540</v>
      </c>
      <c r="J1971">
        <v>0</v>
      </c>
      <c r="K1971">
        <v>0</v>
      </c>
      <c r="L1971" t="s">
        <v>25</v>
      </c>
      <c r="M1971" t="s">
        <v>132</v>
      </c>
      <c r="N1971">
        <v>500000</v>
      </c>
      <c r="O1971">
        <v>0</v>
      </c>
      <c r="P1971" t="str">
        <f>IF(T[[#This Row],[qty_ordered]]&lt;&gt;T[[#This Row],[qty_received]],IF(T[[#This Row],[qty_received]]&gt;0,"Partial Received","Not Receviced"),"FullyReceived")</f>
        <v>Not Receviced</v>
      </c>
      <c r="Q1971" t="str">
        <f>IF(T[[#This Row],[qty_received]]&lt;&gt;T[[#This Row],[qty_invoiced]],IF(T[[#This Row],[qty_invoiced]]&gt;0,"Partial Invoiced","Not Invoiced"),"Fully Invoiced")</f>
        <v>Fully Invoiced</v>
      </c>
      <c r="R1971" t="str">
        <f>IFERROR(VLOOKUP(T[[#This Row],[warehouse]],Table2[],2,FALSE),"--")</f>
        <v>PZU Main Warehouse</v>
      </c>
    </row>
    <row r="1972" spans="1:18" x14ac:dyDescent="0.25">
      <c r="A1972" t="s">
        <v>462</v>
      </c>
      <c r="B1972" s="1">
        <v>44221</v>
      </c>
      <c r="C1972" t="s">
        <v>1200</v>
      </c>
      <c r="D1972" t="s">
        <v>1392</v>
      </c>
      <c r="E1972" t="s">
        <v>51</v>
      </c>
      <c r="F1972" t="s">
        <v>254</v>
      </c>
      <c r="G1972" t="s">
        <v>255</v>
      </c>
      <c r="H1972" t="s">
        <v>54</v>
      </c>
      <c r="I1972">
        <v>21878</v>
      </c>
      <c r="J1972">
        <v>0</v>
      </c>
      <c r="K1972">
        <v>1</v>
      </c>
      <c r="L1972" t="s">
        <v>25</v>
      </c>
      <c r="M1972" t="s">
        <v>533</v>
      </c>
      <c r="N1972">
        <v>13</v>
      </c>
      <c r="O1972">
        <v>0</v>
      </c>
      <c r="P1972" t="str">
        <f>IF(T[[#This Row],[qty_ordered]]&lt;&gt;T[[#This Row],[qty_received]],IF(T[[#This Row],[qty_received]]&gt;0,"Partial Received","Not Receviced"),"FullyReceived")</f>
        <v>Not Receviced</v>
      </c>
      <c r="Q1972" t="str">
        <f>IF(T[[#This Row],[qty_received]]&lt;&gt;T[[#This Row],[qty_invoiced]],IF(T[[#This Row],[qty_invoiced]]&gt;0,"Partial Invoiced","Not Invoiced"),"Fully Invoiced")</f>
        <v>Partial Invoiced</v>
      </c>
      <c r="R1972" t="str">
        <f>IFERROR(VLOOKUP(T[[#This Row],[warehouse]],Table2[],2,FALSE),"--")</f>
        <v>--</v>
      </c>
    </row>
    <row r="1973" spans="1:18" x14ac:dyDescent="0.25">
      <c r="A1973" t="s">
        <v>462</v>
      </c>
      <c r="B1973" s="1">
        <v>44221</v>
      </c>
      <c r="C1973" t="s">
        <v>1200</v>
      </c>
      <c r="D1973" t="s">
        <v>1393</v>
      </c>
      <c r="E1973" t="s">
        <v>51</v>
      </c>
      <c r="F1973" t="s">
        <v>433</v>
      </c>
      <c r="G1973" t="s">
        <v>1169</v>
      </c>
      <c r="H1973" t="s">
        <v>54</v>
      </c>
      <c r="I1973">
        <v>10747</v>
      </c>
      <c r="J1973">
        <v>0</v>
      </c>
      <c r="K1973">
        <v>1</v>
      </c>
      <c r="L1973" t="s">
        <v>25</v>
      </c>
      <c r="M1973" t="s">
        <v>533</v>
      </c>
      <c r="N1973">
        <v>6</v>
      </c>
      <c r="O1973">
        <v>0</v>
      </c>
      <c r="P1973" t="str">
        <f>IF(T[[#This Row],[qty_ordered]]&lt;&gt;T[[#This Row],[qty_received]],IF(T[[#This Row],[qty_received]]&gt;0,"Partial Received","Not Receviced"),"FullyReceived")</f>
        <v>Not Receviced</v>
      </c>
      <c r="Q1973" t="str">
        <f>IF(T[[#This Row],[qty_received]]&lt;&gt;T[[#This Row],[qty_invoiced]],IF(T[[#This Row],[qty_invoiced]]&gt;0,"Partial Invoiced","Not Invoiced"),"Fully Invoiced")</f>
        <v>Partial Invoiced</v>
      </c>
      <c r="R1973" t="str">
        <f>IFERROR(VLOOKUP(T[[#This Row],[warehouse]],Table2[],2,FALSE),"--")</f>
        <v>--</v>
      </c>
    </row>
    <row r="1974" spans="1:18" x14ac:dyDescent="0.25">
      <c r="A1974" t="s">
        <v>462</v>
      </c>
      <c r="B1974" s="1">
        <v>44221</v>
      </c>
      <c r="C1974" t="s">
        <v>1200</v>
      </c>
      <c r="D1974" t="s">
        <v>1394</v>
      </c>
      <c r="E1974" t="s">
        <v>51</v>
      </c>
      <c r="F1974" t="s">
        <v>793</v>
      </c>
      <c r="G1974" t="s">
        <v>1061</v>
      </c>
      <c r="H1974" t="s">
        <v>54</v>
      </c>
      <c r="I1974">
        <v>6</v>
      </c>
      <c r="J1974">
        <v>0</v>
      </c>
      <c r="K1974">
        <v>1</v>
      </c>
      <c r="L1974" t="s">
        <v>25</v>
      </c>
      <c r="M1974" t="s">
        <v>533</v>
      </c>
      <c r="N1974">
        <v>433.33330000000001</v>
      </c>
      <c r="O1974">
        <v>0</v>
      </c>
      <c r="P1974" t="str">
        <f>IF(T[[#This Row],[qty_ordered]]&lt;&gt;T[[#This Row],[qty_received]],IF(T[[#This Row],[qty_received]]&gt;0,"Partial Received","Not Receviced"),"FullyReceived")</f>
        <v>Not Receviced</v>
      </c>
      <c r="Q1974" t="str">
        <f>IF(T[[#This Row],[qty_received]]&lt;&gt;T[[#This Row],[qty_invoiced]],IF(T[[#This Row],[qty_invoiced]]&gt;0,"Partial Invoiced","Not Invoiced"),"Fully Invoiced")</f>
        <v>Partial Invoiced</v>
      </c>
      <c r="R1974" t="str">
        <f>IFERROR(VLOOKUP(T[[#This Row],[warehouse]],Table2[],2,FALSE),"--")</f>
        <v>--</v>
      </c>
    </row>
    <row r="1975" spans="1:18" x14ac:dyDescent="0.25">
      <c r="A1975" t="s">
        <v>462</v>
      </c>
      <c r="B1975" s="1">
        <v>44221</v>
      </c>
      <c r="C1975" t="s">
        <v>1200</v>
      </c>
      <c r="D1975" t="s">
        <v>1395</v>
      </c>
      <c r="E1975" t="s">
        <v>51</v>
      </c>
      <c r="F1975" t="s">
        <v>793</v>
      </c>
      <c r="G1975" t="s">
        <v>1061</v>
      </c>
      <c r="H1975" t="s">
        <v>54</v>
      </c>
      <c r="I1975">
        <v>47</v>
      </c>
      <c r="J1975">
        <v>0</v>
      </c>
      <c r="K1975">
        <v>1</v>
      </c>
      <c r="L1975" t="s">
        <v>25</v>
      </c>
      <c r="M1975" t="s">
        <v>533</v>
      </c>
      <c r="N1975">
        <v>418.08510000000001</v>
      </c>
      <c r="O1975">
        <v>0</v>
      </c>
      <c r="P1975" t="str">
        <f>IF(T[[#This Row],[qty_ordered]]&lt;&gt;T[[#This Row],[qty_received]],IF(T[[#This Row],[qty_received]]&gt;0,"Partial Received","Not Receviced"),"FullyReceived")</f>
        <v>Not Receviced</v>
      </c>
      <c r="Q1975" t="str">
        <f>IF(T[[#This Row],[qty_received]]&lt;&gt;T[[#This Row],[qty_invoiced]],IF(T[[#This Row],[qty_invoiced]]&gt;0,"Partial Invoiced","Not Invoiced"),"Fully Invoiced")</f>
        <v>Partial Invoiced</v>
      </c>
      <c r="R1975" t="str">
        <f>IFERROR(VLOOKUP(T[[#This Row],[warehouse]],Table2[],2,FALSE),"--")</f>
        <v>--</v>
      </c>
    </row>
    <row r="1976" spans="1:18" x14ac:dyDescent="0.25">
      <c r="A1976" t="s">
        <v>462</v>
      </c>
      <c r="B1976" s="1">
        <v>44221</v>
      </c>
      <c r="C1976" t="s">
        <v>1200</v>
      </c>
      <c r="D1976" t="s">
        <v>1396</v>
      </c>
      <c r="E1976" t="s">
        <v>51</v>
      </c>
      <c r="F1976" t="s">
        <v>433</v>
      </c>
      <c r="G1976" t="s">
        <v>1169</v>
      </c>
      <c r="H1976" t="s">
        <v>54</v>
      </c>
      <c r="I1976">
        <v>110</v>
      </c>
      <c r="J1976">
        <v>0</v>
      </c>
      <c r="K1976">
        <v>1</v>
      </c>
      <c r="L1976" t="s">
        <v>25</v>
      </c>
      <c r="M1976" t="s">
        <v>533</v>
      </c>
      <c r="N1976">
        <v>300</v>
      </c>
      <c r="O1976">
        <v>0</v>
      </c>
      <c r="P1976" t="str">
        <f>IF(T[[#This Row],[qty_ordered]]&lt;&gt;T[[#This Row],[qty_received]],IF(T[[#This Row],[qty_received]]&gt;0,"Partial Received","Not Receviced"),"FullyReceived")</f>
        <v>Not Receviced</v>
      </c>
      <c r="Q1976" t="str">
        <f>IF(T[[#This Row],[qty_received]]&lt;&gt;T[[#This Row],[qty_invoiced]],IF(T[[#This Row],[qty_invoiced]]&gt;0,"Partial Invoiced","Not Invoiced"),"Fully Invoiced")</f>
        <v>Partial Invoiced</v>
      </c>
      <c r="R1976" t="str">
        <f>IFERROR(VLOOKUP(T[[#This Row],[warehouse]],Table2[],2,FALSE),"--")</f>
        <v>--</v>
      </c>
    </row>
    <row r="1977" spans="1:18" x14ac:dyDescent="0.25">
      <c r="A1977" t="s">
        <v>1114</v>
      </c>
      <c r="B1977" s="1">
        <v>44350</v>
      </c>
      <c r="C1977" t="s">
        <v>1391</v>
      </c>
      <c r="D1977" t="s">
        <v>100</v>
      </c>
      <c r="E1977" t="s">
        <v>660</v>
      </c>
      <c r="F1977" t="s">
        <v>1188</v>
      </c>
      <c r="G1977" t="s">
        <v>1189</v>
      </c>
      <c r="H1977" t="s">
        <v>1087</v>
      </c>
      <c r="I1977">
        <v>52</v>
      </c>
      <c r="J1977">
        <v>52</v>
      </c>
      <c r="K1977">
        <v>52</v>
      </c>
      <c r="L1977" t="s">
        <v>25</v>
      </c>
      <c r="M1977" t="s">
        <v>132</v>
      </c>
      <c r="N1977">
        <v>137342.20000000001</v>
      </c>
      <c r="O1977">
        <v>10610500.004000001</v>
      </c>
      <c r="P1977" t="str">
        <f>IF(T[[#This Row],[qty_ordered]]&lt;&gt;T[[#This Row],[qty_received]],IF(T[[#This Row],[qty_received]]&gt;0,"Partial Received","Not Receviced"),"FullyReceived")</f>
        <v>FullyReceived</v>
      </c>
      <c r="Q1977" t="str">
        <f>IF(T[[#This Row],[qty_received]]&lt;&gt;T[[#This Row],[qty_invoiced]],IF(T[[#This Row],[qty_invoiced]]&gt;0,"Partial Invoiced","Not Invoiced"),"Fully Invoiced")</f>
        <v>Fully Invoiced</v>
      </c>
      <c r="R1977" t="str">
        <f>IFERROR(VLOOKUP(T[[#This Row],[warehouse]],Table2[],2,FALSE),"--")</f>
        <v>SLAUGHTER HOUSE</v>
      </c>
    </row>
    <row r="1978" spans="1:18" x14ac:dyDescent="0.25">
      <c r="A1978" t="s">
        <v>658</v>
      </c>
      <c r="B1978" s="1">
        <v>44363</v>
      </c>
      <c r="C1978" t="s">
        <v>1397</v>
      </c>
      <c r="D1978" t="s">
        <v>71</v>
      </c>
      <c r="E1978" t="s">
        <v>660</v>
      </c>
      <c r="F1978" t="s">
        <v>661</v>
      </c>
      <c r="G1978" t="s">
        <v>662</v>
      </c>
      <c r="H1978" t="s">
        <v>663</v>
      </c>
      <c r="I1978">
        <v>3063</v>
      </c>
      <c r="J1978">
        <v>3063</v>
      </c>
      <c r="K1978">
        <v>3063</v>
      </c>
      <c r="L1978" t="s">
        <v>25</v>
      </c>
      <c r="M1978" t="s">
        <v>132</v>
      </c>
      <c r="N1978">
        <v>1100.826</v>
      </c>
      <c r="O1978">
        <v>7657500</v>
      </c>
      <c r="P1978" t="str">
        <f>IF(T[[#This Row],[qty_ordered]]&lt;&gt;T[[#This Row],[qty_received]],IF(T[[#This Row],[qty_received]]&gt;0,"Partial Received","Not Receviced"),"FullyReceived")</f>
        <v>FullyReceived</v>
      </c>
      <c r="Q1978" t="str">
        <f>IF(T[[#This Row],[qty_received]]&lt;&gt;T[[#This Row],[qty_invoiced]],IF(T[[#This Row],[qty_invoiced]]&gt;0,"Partial Invoiced","Not Invoiced"),"Fully Invoiced")</f>
        <v>Fully Invoiced</v>
      </c>
      <c r="R1978" t="str">
        <f>IFERROR(VLOOKUP(T[[#This Row],[warehouse]],Table2[],2,FALSE),"--")</f>
        <v>SLAUGHTER HOUSE</v>
      </c>
    </row>
    <row r="1979" spans="1:18" x14ac:dyDescent="0.25">
      <c r="A1979" t="s">
        <v>1235</v>
      </c>
      <c r="B1979" s="1">
        <v>44368</v>
      </c>
      <c r="C1979" t="s">
        <v>1398</v>
      </c>
      <c r="D1979" t="s">
        <v>100</v>
      </c>
      <c r="E1979" t="s">
        <v>660</v>
      </c>
      <c r="F1979" t="s">
        <v>705</v>
      </c>
      <c r="G1979" t="s">
        <v>706</v>
      </c>
      <c r="H1979" t="s">
        <v>663</v>
      </c>
      <c r="I1979">
        <v>5189.3</v>
      </c>
      <c r="J1979">
        <v>5189.3</v>
      </c>
      <c r="K1979">
        <v>5189.3</v>
      </c>
      <c r="L1979" t="s">
        <v>25</v>
      </c>
      <c r="M1979" t="s">
        <v>132</v>
      </c>
      <c r="N1979">
        <v>2500</v>
      </c>
      <c r="O1979">
        <v>12973250</v>
      </c>
      <c r="P1979" t="str">
        <f>IF(T[[#This Row],[qty_ordered]]&lt;&gt;T[[#This Row],[qty_received]],IF(T[[#This Row],[qty_received]]&gt;0,"Partial Received","Not Receviced"),"FullyReceived")</f>
        <v>FullyReceived</v>
      </c>
      <c r="Q1979" t="str">
        <f>IF(T[[#This Row],[qty_received]]&lt;&gt;T[[#This Row],[qty_invoiced]],IF(T[[#This Row],[qty_invoiced]]&gt;0,"Partial Invoiced","Not Invoiced"),"Fully Invoiced")</f>
        <v>Fully Invoiced</v>
      </c>
      <c r="R1979" t="str">
        <f>IFERROR(VLOOKUP(T[[#This Row],[warehouse]],Table2[],2,FALSE),"--")</f>
        <v>SLAUGHTER HOUSE</v>
      </c>
    </row>
    <row r="1980" spans="1:18" x14ac:dyDescent="0.25">
      <c r="A1980" t="s">
        <v>303</v>
      </c>
      <c r="B1980" s="1">
        <v>44368</v>
      </c>
      <c r="C1980" t="s">
        <v>1399</v>
      </c>
      <c r="D1980" t="s">
        <v>71</v>
      </c>
      <c r="E1980" t="s">
        <v>66</v>
      </c>
      <c r="F1980" t="s">
        <v>529</v>
      </c>
      <c r="G1980" t="s">
        <v>530</v>
      </c>
      <c r="H1980" t="s">
        <v>531</v>
      </c>
      <c r="I1980">
        <v>200</v>
      </c>
      <c r="J1980">
        <v>120</v>
      </c>
      <c r="K1980">
        <v>120</v>
      </c>
      <c r="L1980" t="s">
        <v>25</v>
      </c>
      <c r="M1980" t="s">
        <v>132</v>
      </c>
      <c r="N1980">
        <v>70000</v>
      </c>
      <c r="O1980">
        <v>8400000</v>
      </c>
      <c r="P1980" t="str">
        <f>IF(T[[#This Row],[qty_ordered]]&lt;&gt;T[[#This Row],[qty_received]],IF(T[[#This Row],[qty_received]]&gt;0,"Partial Received","Not Receviced"),"FullyReceived")</f>
        <v>Partial Received</v>
      </c>
      <c r="Q1980" t="str">
        <f>IF(T[[#This Row],[qty_received]]&lt;&gt;T[[#This Row],[qty_invoiced]],IF(T[[#This Row],[qty_invoiced]]&gt;0,"Partial Invoiced","Not Invoiced"),"Fully Invoiced")</f>
        <v>Fully Invoiced</v>
      </c>
      <c r="R1980" t="str">
        <f>IFERROR(VLOOKUP(T[[#This Row],[warehouse]],Table2[],2,FALSE),"--")</f>
        <v>PZU Main Warehouse</v>
      </c>
    </row>
    <row r="1981" spans="1:18" x14ac:dyDescent="0.25">
      <c r="A1981" t="s">
        <v>560</v>
      </c>
      <c r="B1981" s="1">
        <v>44251</v>
      </c>
      <c r="C1981" t="s">
        <v>1256</v>
      </c>
      <c r="D1981" t="s">
        <v>568</v>
      </c>
      <c r="E1981" t="s">
        <v>51</v>
      </c>
      <c r="F1981" t="s">
        <v>164</v>
      </c>
      <c r="G1981" t="s">
        <v>1400</v>
      </c>
      <c r="H1981" t="s">
        <v>54</v>
      </c>
      <c r="I1981">
        <v>30</v>
      </c>
      <c r="J1981">
        <v>0</v>
      </c>
      <c r="K1981">
        <v>1</v>
      </c>
      <c r="L1981" t="s">
        <v>25</v>
      </c>
      <c r="M1981" t="s">
        <v>533</v>
      </c>
      <c r="N1981">
        <v>1530</v>
      </c>
      <c r="O1981">
        <v>0</v>
      </c>
      <c r="P1981" t="str">
        <f>IF(T[[#This Row],[qty_ordered]]&lt;&gt;T[[#This Row],[qty_received]],IF(T[[#This Row],[qty_received]]&gt;0,"Partial Received","Not Receviced"),"FullyReceived")</f>
        <v>Not Receviced</v>
      </c>
      <c r="Q1981" t="str">
        <f>IF(T[[#This Row],[qty_received]]&lt;&gt;T[[#This Row],[qty_invoiced]],IF(T[[#This Row],[qty_invoiced]]&gt;0,"Partial Invoiced","Not Invoiced"),"Fully Invoiced")</f>
        <v>Partial Invoiced</v>
      </c>
      <c r="R1981" t="str">
        <f>IFERROR(VLOOKUP(T[[#This Row],[warehouse]],Table2[],2,FALSE),"--")</f>
        <v>--</v>
      </c>
    </row>
    <row r="1982" spans="1:18" x14ac:dyDescent="0.25">
      <c r="A1982" t="s">
        <v>560</v>
      </c>
      <c r="B1982" s="1">
        <v>44251</v>
      </c>
      <c r="C1982" t="s">
        <v>1256</v>
      </c>
      <c r="D1982" t="s">
        <v>569</v>
      </c>
      <c r="E1982" t="s">
        <v>51</v>
      </c>
      <c r="F1982" t="s">
        <v>164</v>
      </c>
      <c r="G1982" t="s">
        <v>1400</v>
      </c>
      <c r="H1982" t="s">
        <v>54</v>
      </c>
      <c r="I1982">
        <v>30</v>
      </c>
      <c r="J1982">
        <v>0</v>
      </c>
      <c r="K1982">
        <v>1</v>
      </c>
      <c r="L1982" t="s">
        <v>25</v>
      </c>
      <c r="M1982" t="s">
        <v>533</v>
      </c>
      <c r="N1982">
        <v>1618.6666660000001</v>
      </c>
      <c r="O1982">
        <v>0</v>
      </c>
      <c r="P1982" t="str">
        <f>IF(T[[#This Row],[qty_ordered]]&lt;&gt;T[[#This Row],[qty_received]],IF(T[[#This Row],[qty_received]]&gt;0,"Partial Received","Not Receviced"),"FullyReceived")</f>
        <v>Not Receviced</v>
      </c>
      <c r="Q1982" t="str">
        <f>IF(T[[#This Row],[qty_received]]&lt;&gt;T[[#This Row],[qty_invoiced]],IF(T[[#This Row],[qty_invoiced]]&gt;0,"Partial Invoiced","Not Invoiced"),"Fully Invoiced")</f>
        <v>Partial Invoiced</v>
      </c>
      <c r="R1982" t="str">
        <f>IFERROR(VLOOKUP(T[[#This Row],[warehouse]],Table2[],2,FALSE),"--")</f>
        <v>--</v>
      </c>
    </row>
    <row r="1983" spans="1:18" x14ac:dyDescent="0.25">
      <c r="A1983" t="s">
        <v>560</v>
      </c>
      <c r="B1983" s="1">
        <v>44251</v>
      </c>
      <c r="C1983" t="s">
        <v>1256</v>
      </c>
      <c r="D1983" t="s">
        <v>570</v>
      </c>
      <c r="E1983" t="s">
        <v>51</v>
      </c>
      <c r="F1983" t="s">
        <v>164</v>
      </c>
      <c r="G1983" t="s">
        <v>1400</v>
      </c>
      <c r="H1983" t="s">
        <v>54</v>
      </c>
      <c r="I1983">
        <v>39</v>
      </c>
      <c r="J1983">
        <v>0</v>
      </c>
      <c r="K1983">
        <v>1</v>
      </c>
      <c r="L1983" t="s">
        <v>25</v>
      </c>
      <c r="M1983" t="s">
        <v>533</v>
      </c>
      <c r="N1983">
        <v>1559.230769</v>
      </c>
      <c r="O1983">
        <v>0</v>
      </c>
      <c r="P1983" t="str">
        <f>IF(T[[#This Row],[qty_ordered]]&lt;&gt;T[[#This Row],[qty_received]],IF(T[[#This Row],[qty_received]]&gt;0,"Partial Received","Not Receviced"),"FullyReceived")</f>
        <v>Not Receviced</v>
      </c>
      <c r="Q1983" t="str">
        <f>IF(T[[#This Row],[qty_received]]&lt;&gt;T[[#This Row],[qty_invoiced]],IF(T[[#This Row],[qty_invoiced]]&gt;0,"Partial Invoiced","Not Invoiced"),"Fully Invoiced")</f>
        <v>Partial Invoiced</v>
      </c>
      <c r="R1983" t="str">
        <f>IFERROR(VLOOKUP(T[[#This Row],[warehouse]],Table2[],2,FALSE),"--")</f>
        <v>--</v>
      </c>
    </row>
    <row r="1984" spans="1:18" x14ac:dyDescent="0.25">
      <c r="A1984" t="s">
        <v>560</v>
      </c>
      <c r="B1984" s="1">
        <v>44251</v>
      </c>
      <c r="C1984" t="s">
        <v>1256</v>
      </c>
      <c r="D1984" t="s">
        <v>571</v>
      </c>
      <c r="E1984" t="s">
        <v>51</v>
      </c>
      <c r="F1984" t="s">
        <v>164</v>
      </c>
      <c r="G1984" t="s">
        <v>1400</v>
      </c>
      <c r="H1984" t="s">
        <v>54</v>
      </c>
      <c r="I1984">
        <v>100</v>
      </c>
      <c r="J1984">
        <v>0</v>
      </c>
      <c r="K1984">
        <v>1</v>
      </c>
      <c r="L1984" t="s">
        <v>25</v>
      </c>
      <c r="M1984" t="s">
        <v>533</v>
      </c>
      <c r="N1984">
        <v>1641.5</v>
      </c>
      <c r="O1984">
        <v>0</v>
      </c>
      <c r="P1984" t="str">
        <f>IF(T[[#This Row],[qty_ordered]]&lt;&gt;T[[#This Row],[qty_received]],IF(T[[#This Row],[qty_received]]&gt;0,"Partial Received","Not Receviced"),"FullyReceived")</f>
        <v>Not Receviced</v>
      </c>
      <c r="Q1984" t="str">
        <f>IF(T[[#This Row],[qty_received]]&lt;&gt;T[[#This Row],[qty_invoiced]],IF(T[[#This Row],[qty_invoiced]]&gt;0,"Partial Invoiced","Not Invoiced"),"Fully Invoiced")</f>
        <v>Partial Invoiced</v>
      </c>
      <c r="R1984" t="str">
        <f>IFERROR(VLOOKUP(T[[#This Row],[warehouse]],Table2[],2,FALSE),"--")</f>
        <v>--</v>
      </c>
    </row>
    <row r="1985" spans="1:18" x14ac:dyDescent="0.25">
      <c r="A1985" t="s">
        <v>560</v>
      </c>
      <c r="B1985" s="1">
        <v>44251</v>
      </c>
      <c r="C1985" t="s">
        <v>1256</v>
      </c>
      <c r="D1985" t="s">
        <v>1210</v>
      </c>
      <c r="E1985" t="s">
        <v>51</v>
      </c>
      <c r="F1985" t="s">
        <v>164</v>
      </c>
      <c r="G1985" t="s">
        <v>1400</v>
      </c>
      <c r="H1985" t="s">
        <v>54</v>
      </c>
      <c r="I1985">
        <v>9</v>
      </c>
      <c r="J1985">
        <v>0</v>
      </c>
      <c r="K1985">
        <v>1</v>
      </c>
      <c r="L1985" t="s">
        <v>25</v>
      </c>
      <c r="M1985" t="s">
        <v>533</v>
      </c>
      <c r="N1985">
        <v>1530</v>
      </c>
      <c r="O1985">
        <v>0</v>
      </c>
      <c r="P1985" t="str">
        <f>IF(T[[#This Row],[qty_ordered]]&lt;&gt;T[[#This Row],[qty_received]],IF(T[[#This Row],[qty_received]]&gt;0,"Partial Received","Not Receviced"),"FullyReceived")</f>
        <v>Not Receviced</v>
      </c>
      <c r="Q1985" t="str">
        <f>IF(T[[#This Row],[qty_received]]&lt;&gt;T[[#This Row],[qty_invoiced]],IF(T[[#This Row],[qty_invoiced]]&gt;0,"Partial Invoiced","Not Invoiced"),"Fully Invoiced")</f>
        <v>Partial Invoiced</v>
      </c>
      <c r="R1985" t="str">
        <f>IFERROR(VLOOKUP(T[[#This Row],[warehouse]],Table2[],2,FALSE),"--")</f>
        <v>--</v>
      </c>
    </row>
    <row r="1986" spans="1:18" x14ac:dyDescent="0.25">
      <c r="A1986" t="s">
        <v>560</v>
      </c>
      <c r="B1986" s="1">
        <v>44251</v>
      </c>
      <c r="C1986" t="s">
        <v>1256</v>
      </c>
      <c r="D1986" t="s">
        <v>702</v>
      </c>
      <c r="E1986" t="s">
        <v>51</v>
      </c>
      <c r="F1986" t="s">
        <v>164</v>
      </c>
      <c r="G1986" t="s">
        <v>1400</v>
      </c>
      <c r="H1986" t="s">
        <v>54</v>
      </c>
      <c r="I1986">
        <v>30</v>
      </c>
      <c r="J1986">
        <v>0</v>
      </c>
      <c r="K1986">
        <v>1</v>
      </c>
      <c r="L1986" t="s">
        <v>25</v>
      </c>
      <c r="M1986" t="s">
        <v>533</v>
      </c>
      <c r="N1986">
        <v>1663.6666660000001</v>
      </c>
      <c r="O1986">
        <v>0</v>
      </c>
      <c r="P1986" t="str">
        <f>IF(T[[#This Row],[qty_ordered]]&lt;&gt;T[[#This Row],[qty_received]],IF(T[[#This Row],[qty_received]]&gt;0,"Partial Received","Not Receviced"),"FullyReceived")</f>
        <v>Not Receviced</v>
      </c>
      <c r="Q1986" t="str">
        <f>IF(T[[#This Row],[qty_received]]&lt;&gt;T[[#This Row],[qty_invoiced]],IF(T[[#This Row],[qty_invoiced]]&gt;0,"Partial Invoiced","Not Invoiced"),"Fully Invoiced")</f>
        <v>Partial Invoiced</v>
      </c>
      <c r="R1986" t="str">
        <f>IFERROR(VLOOKUP(T[[#This Row],[warehouse]],Table2[],2,FALSE),"--")</f>
        <v>--</v>
      </c>
    </row>
    <row r="1987" spans="1:18" x14ac:dyDescent="0.25">
      <c r="A1987" t="s">
        <v>560</v>
      </c>
      <c r="B1987" s="1">
        <v>44251</v>
      </c>
      <c r="C1987" t="s">
        <v>1276</v>
      </c>
      <c r="D1987" t="s">
        <v>212</v>
      </c>
      <c r="E1987" t="s">
        <v>51</v>
      </c>
      <c r="F1987" t="s">
        <v>164</v>
      </c>
      <c r="G1987" t="s">
        <v>1401</v>
      </c>
      <c r="H1987" t="s">
        <v>54</v>
      </c>
      <c r="I1987">
        <v>36</v>
      </c>
      <c r="J1987">
        <v>0</v>
      </c>
      <c r="K1987">
        <v>1</v>
      </c>
      <c r="L1987" t="s">
        <v>25</v>
      </c>
      <c r="M1987" t="s">
        <v>533</v>
      </c>
      <c r="N1987">
        <v>1530</v>
      </c>
      <c r="O1987">
        <v>0</v>
      </c>
      <c r="P1987" t="str">
        <f>IF(T[[#This Row],[qty_ordered]]&lt;&gt;T[[#This Row],[qty_received]],IF(T[[#This Row],[qty_received]]&gt;0,"Partial Received","Not Receviced"),"FullyReceived")</f>
        <v>Not Receviced</v>
      </c>
      <c r="Q1987" t="str">
        <f>IF(T[[#This Row],[qty_received]]&lt;&gt;T[[#This Row],[qty_invoiced]],IF(T[[#This Row],[qty_invoiced]]&gt;0,"Partial Invoiced","Not Invoiced"),"Fully Invoiced")</f>
        <v>Partial Invoiced</v>
      </c>
      <c r="R1987" t="str">
        <f>IFERROR(VLOOKUP(T[[#This Row],[warehouse]],Table2[],2,FALSE),"--")</f>
        <v>--</v>
      </c>
    </row>
    <row r="1988" spans="1:18" x14ac:dyDescent="0.25">
      <c r="A1988" t="s">
        <v>560</v>
      </c>
      <c r="B1988" s="1">
        <v>44251</v>
      </c>
      <c r="C1988" t="s">
        <v>1238</v>
      </c>
      <c r="D1988" t="s">
        <v>323</v>
      </c>
      <c r="E1988" t="s">
        <v>51</v>
      </c>
      <c r="F1988" t="s">
        <v>164</v>
      </c>
      <c r="G1988" t="s">
        <v>1141</v>
      </c>
      <c r="H1988" t="s">
        <v>54</v>
      </c>
      <c r="I1988">
        <v>1.5</v>
      </c>
      <c r="J1988">
        <v>0</v>
      </c>
      <c r="K1988">
        <v>1</v>
      </c>
      <c r="L1988" t="s">
        <v>25</v>
      </c>
      <c r="M1988" t="s">
        <v>533</v>
      </c>
      <c r="N1988">
        <v>1530</v>
      </c>
      <c r="O1988">
        <v>0</v>
      </c>
      <c r="P1988" t="str">
        <f>IF(T[[#This Row],[qty_ordered]]&lt;&gt;T[[#This Row],[qty_received]],IF(T[[#This Row],[qty_received]]&gt;0,"Partial Received","Not Receviced"),"FullyReceived")</f>
        <v>Not Receviced</v>
      </c>
      <c r="Q1988" t="str">
        <f>IF(T[[#This Row],[qty_received]]&lt;&gt;T[[#This Row],[qty_invoiced]],IF(T[[#This Row],[qty_invoiced]]&gt;0,"Partial Invoiced","Not Invoiced"),"Fully Invoiced")</f>
        <v>Partial Invoiced</v>
      </c>
      <c r="R1988" t="str">
        <f>IFERROR(VLOOKUP(T[[#This Row],[warehouse]],Table2[],2,FALSE),"--")</f>
        <v>--</v>
      </c>
    </row>
    <row r="1989" spans="1:18" x14ac:dyDescent="0.25">
      <c r="A1989" t="s">
        <v>560</v>
      </c>
      <c r="B1989" s="1">
        <v>44251</v>
      </c>
      <c r="C1989" t="s">
        <v>1238</v>
      </c>
      <c r="D1989" t="s">
        <v>324</v>
      </c>
      <c r="E1989" t="s">
        <v>51</v>
      </c>
      <c r="F1989" t="s">
        <v>164</v>
      </c>
      <c r="G1989" t="s">
        <v>1141</v>
      </c>
      <c r="H1989" t="s">
        <v>54</v>
      </c>
      <c r="I1989">
        <v>60</v>
      </c>
      <c r="J1989">
        <v>0</v>
      </c>
      <c r="K1989">
        <v>1</v>
      </c>
      <c r="L1989" t="s">
        <v>25</v>
      </c>
      <c r="M1989" t="s">
        <v>533</v>
      </c>
      <c r="N1989">
        <v>1657.5</v>
      </c>
      <c r="O1989">
        <v>0</v>
      </c>
      <c r="P1989" t="str">
        <f>IF(T[[#This Row],[qty_ordered]]&lt;&gt;T[[#This Row],[qty_received]],IF(T[[#This Row],[qty_received]]&gt;0,"Partial Received","Not Receviced"),"FullyReceived")</f>
        <v>Not Receviced</v>
      </c>
      <c r="Q1989" t="str">
        <f>IF(T[[#This Row],[qty_received]]&lt;&gt;T[[#This Row],[qty_invoiced]],IF(T[[#This Row],[qty_invoiced]]&gt;0,"Partial Invoiced","Not Invoiced"),"Fully Invoiced")</f>
        <v>Partial Invoiced</v>
      </c>
      <c r="R1989" t="str">
        <f>IFERROR(VLOOKUP(T[[#This Row],[warehouse]],Table2[],2,FALSE),"--")</f>
        <v>--</v>
      </c>
    </row>
    <row r="1990" spans="1:18" x14ac:dyDescent="0.25">
      <c r="A1990" t="s">
        <v>560</v>
      </c>
      <c r="B1990" s="1">
        <v>44306</v>
      </c>
      <c r="C1990" t="s">
        <v>1341</v>
      </c>
      <c r="D1990" t="s">
        <v>74</v>
      </c>
      <c r="E1990" t="s">
        <v>51</v>
      </c>
      <c r="F1990" t="s">
        <v>164</v>
      </c>
      <c r="G1990" t="s">
        <v>1402</v>
      </c>
      <c r="H1990" t="s">
        <v>54</v>
      </c>
      <c r="I1990">
        <v>32</v>
      </c>
      <c r="J1990">
        <v>0</v>
      </c>
      <c r="K1990">
        <v>1</v>
      </c>
      <c r="L1990" t="s">
        <v>25</v>
      </c>
      <c r="M1990" t="s">
        <v>533</v>
      </c>
      <c r="N1990">
        <v>1672.5</v>
      </c>
      <c r="O1990">
        <v>0</v>
      </c>
      <c r="P1990" t="str">
        <f>IF(T[[#This Row],[qty_ordered]]&lt;&gt;T[[#This Row],[qty_received]],IF(T[[#This Row],[qty_received]]&gt;0,"Partial Received","Not Receviced"),"FullyReceived")</f>
        <v>Not Receviced</v>
      </c>
      <c r="Q1990" t="str">
        <f>IF(T[[#This Row],[qty_received]]&lt;&gt;T[[#This Row],[qty_invoiced]],IF(T[[#This Row],[qty_invoiced]]&gt;0,"Partial Invoiced","Not Invoiced"),"Fully Invoiced")</f>
        <v>Partial Invoiced</v>
      </c>
      <c r="R1990" t="str">
        <f>IFERROR(VLOOKUP(T[[#This Row],[warehouse]],Table2[],2,FALSE),"--")</f>
        <v>--</v>
      </c>
    </row>
    <row r="1991" spans="1:18" x14ac:dyDescent="0.25">
      <c r="A1991" t="s">
        <v>560</v>
      </c>
      <c r="B1991" s="1">
        <v>44306</v>
      </c>
      <c r="C1991" t="s">
        <v>1341</v>
      </c>
      <c r="D1991" t="s">
        <v>76</v>
      </c>
      <c r="E1991" t="s">
        <v>51</v>
      </c>
      <c r="F1991" t="s">
        <v>164</v>
      </c>
      <c r="G1991" t="s">
        <v>1402</v>
      </c>
      <c r="H1991" t="s">
        <v>54</v>
      </c>
      <c r="I1991">
        <v>40</v>
      </c>
      <c r="J1991">
        <v>0</v>
      </c>
      <c r="K1991">
        <v>1</v>
      </c>
      <c r="L1991" t="s">
        <v>25</v>
      </c>
      <c r="M1991" t="s">
        <v>533</v>
      </c>
      <c r="N1991">
        <v>1672.5</v>
      </c>
      <c r="O1991">
        <v>0</v>
      </c>
      <c r="P1991" t="str">
        <f>IF(T[[#This Row],[qty_ordered]]&lt;&gt;T[[#This Row],[qty_received]],IF(T[[#This Row],[qty_received]]&gt;0,"Partial Received","Not Receviced"),"FullyReceived")</f>
        <v>Not Receviced</v>
      </c>
      <c r="Q1991" t="str">
        <f>IF(T[[#This Row],[qty_received]]&lt;&gt;T[[#This Row],[qty_invoiced]],IF(T[[#This Row],[qty_invoiced]]&gt;0,"Partial Invoiced","Not Invoiced"),"Fully Invoiced")</f>
        <v>Partial Invoiced</v>
      </c>
      <c r="R1991" t="str">
        <f>IFERROR(VLOOKUP(T[[#This Row],[warehouse]],Table2[],2,FALSE),"--")</f>
        <v>--</v>
      </c>
    </row>
    <row r="1992" spans="1:18" x14ac:dyDescent="0.25">
      <c r="A1992" t="s">
        <v>560</v>
      </c>
      <c r="B1992" s="1">
        <v>44306</v>
      </c>
      <c r="C1992" t="s">
        <v>1341</v>
      </c>
      <c r="D1992" t="s">
        <v>212</v>
      </c>
      <c r="E1992" t="s">
        <v>51</v>
      </c>
      <c r="F1992" t="s">
        <v>164</v>
      </c>
      <c r="G1992" t="s">
        <v>1402</v>
      </c>
      <c r="H1992" t="s">
        <v>54</v>
      </c>
      <c r="I1992">
        <v>43</v>
      </c>
      <c r="J1992">
        <v>0</v>
      </c>
      <c r="K1992">
        <v>1</v>
      </c>
      <c r="L1992" t="s">
        <v>25</v>
      </c>
      <c r="M1992" t="s">
        <v>533</v>
      </c>
      <c r="N1992">
        <v>1644.88372</v>
      </c>
      <c r="O1992">
        <v>0</v>
      </c>
      <c r="P1992" t="str">
        <f>IF(T[[#This Row],[qty_ordered]]&lt;&gt;T[[#This Row],[qty_received]],IF(T[[#This Row],[qty_received]]&gt;0,"Partial Received","Not Receviced"),"FullyReceived")</f>
        <v>Not Receviced</v>
      </c>
      <c r="Q1992" t="str">
        <f>IF(T[[#This Row],[qty_received]]&lt;&gt;T[[#This Row],[qty_invoiced]],IF(T[[#This Row],[qty_invoiced]]&gt;0,"Partial Invoiced","Not Invoiced"),"Fully Invoiced")</f>
        <v>Partial Invoiced</v>
      </c>
      <c r="R1992" t="str">
        <f>IFERROR(VLOOKUP(T[[#This Row],[warehouse]],Table2[],2,FALSE),"--")</f>
        <v>--</v>
      </c>
    </row>
    <row r="1993" spans="1:18" x14ac:dyDescent="0.25">
      <c r="A1993" t="s">
        <v>1114</v>
      </c>
      <c r="B1993" s="1">
        <v>44250</v>
      </c>
      <c r="C1993" t="s">
        <v>1242</v>
      </c>
      <c r="D1993" t="s">
        <v>76</v>
      </c>
      <c r="E1993" t="s">
        <v>660</v>
      </c>
      <c r="F1993" t="s">
        <v>1042</v>
      </c>
      <c r="G1993" t="s">
        <v>1043</v>
      </c>
      <c r="H1993" t="s">
        <v>663</v>
      </c>
      <c r="I1993">
        <v>20000</v>
      </c>
      <c r="J1993">
        <v>0</v>
      </c>
      <c r="K1993">
        <v>0</v>
      </c>
      <c r="L1993" t="s">
        <v>25</v>
      </c>
      <c r="M1993" t="s">
        <v>132</v>
      </c>
      <c r="N1993">
        <v>2500</v>
      </c>
      <c r="O1993">
        <v>0</v>
      </c>
      <c r="P1993" t="str">
        <f>IF(T[[#This Row],[qty_ordered]]&lt;&gt;T[[#This Row],[qty_received]],IF(T[[#This Row],[qty_received]]&gt;0,"Partial Received","Not Receviced"),"FullyReceived")</f>
        <v>Not Receviced</v>
      </c>
      <c r="Q1993" t="str">
        <f>IF(T[[#This Row],[qty_received]]&lt;&gt;T[[#This Row],[qty_invoiced]],IF(T[[#This Row],[qty_invoiced]]&gt;0,"Partial Invoiced","Not Invoiced"),"Fully Invoiced")</f>
        <v>Fully Invoiced</v>
      </c>
      <c r="R1993" t="str">
        <f>IFERROR(VLOOKUP(T[[#This Row],[warehouse]],Table2[],2,FALSE),"--")</f>
        <v>SLAUGHTER HOUSE</v>
      </c>
    </row>
    <row r="1994" spans="1:18" x14ac:dyDescent="0.25">
      <c r="A1994" t="s">
        <v>852</v>
      </c>
      <c r="B1994" s="1">
        <v>44200</v>
      </c>
      <c r="C1994" t="s">
        <v>1138</v>
      </c>
      <c r="D1994" t="s">
        <v>212</v>
      </c>
      <c r="E1994" t="s">
        <v>51</v>
      </c>
      <c r="F1994" t="s">
        <v>52</v>
      </c>
      <c r="G1994" t="s">
        <v>75</v>
      </c>
      <c r="H1994" t="s">
        <v>54</v>
      </c>
      <c r="I1994">
        <v>1</v>
      </c>
      <c r="J1994">
        <v>0</v>
      </c>
      <c r="K1994">
        <v>0</v>
      </c>
      <c r="L1994" t="s">
        <v>25</v>
      </c>
      <c r="M1994" t="s">
        <v>132</v>
      </c>
      <c r="N1994">
        <v>4000000</v>
      </c>
      <c r="O1994">
        <v>0</v>
      </c>
      <c r="P1994" t="str">
        <f>IF(T[[#This Row],[qty_ordered]]&lt;&gt;T[[#This Row],[qty_received]],IF(T[[#This Row],[qty_received]]&gt;0,"Partial Received","Not Receviced"),"FullyReceived")</f>
        <v>Not Receviced</v>
      </c>
      <c r="Q1994" t="str">
        <f>IF(T[[#This Row],[qty_received]]&lt;&gt;T[[#This Row],[qty_invoiced]],IF(T[[#This Row],[qty_invoiced]]&gt;0,"Partial Invoiced","Not Invoiced"),"Fully Invoiced")</f>
        <v>Fully Invoiced</v>
      </c>
      <c r="R1994" t="str">
        <f>IFERROR(VLOOKUP(T[[#This Row],[warehouse]],Table2[],2,FALSE),"--")</f>
        <v>--</v>
      </c>
    </row>
    <row r="1995" spans="1:18" x14ac:dyDescent="0.25">
      <c r="A1995" t="s">
        <v>852</v>
      </c>
      <c r="B1995" s="1">
        <v>44200</v>
      </c>
      <c r="C1995" t="s">
        <v>1138</v>
      </c>
      <c r="D1995" t="s">
        <v>322</v>
      </c>
      <c r="E1995" t="s">
        <v>51</v>
      </c>
      <c r="F1995" t="s">
        <v>52</v>
      </c>
      <c r="G1995" t="s">
        <v>75</v>
      </c>
      <c r="H1995" t="s">
        <v>54</v>
      </c>
      <c r="I1995">
        <v>1</v>
      </c>
      <c r="J1995">
        <v>0</v>
      </c>
      <c r="K1995">
        <v>1</v>
      </c>
      <c r="L1995" t="s">
        <v>25</v>
      </c>
      <c r="M1995" t="s">
        <v>132</v>
      </c>
      <c r="N1995">
        <v>6000000</v>
      </c>
      <c r="O1995">
        <v>0</v>
      </c>
      <c r="P1995" t="str">
        <f>IF(T[[#This Row],[qty_ordered]]&lt;&gt;T[[#This Row],[qty_received]],IF(T[[#This Row],[qty_received]]&gt;0,"Partial Received","Not Receviced"),"FullyReceived")</f>
        <v>Not Receviced</v>
      </c>
      <c r="Q1995" t="str">
        <f>IF(T[[#This Row],[qty_received]]&lt;&gt;T[[#This Row],[qty_invoiced]],IF(T[[#This Row],[qty_invoiced]]&gt;0,"Partial Invoiced","Not Invoiced"),"Fully Invoiced")</f>
        <v>Partial Invoiced</v>
      </c>
      <c r="R1995" t="str">
        <f>IFERROR(VLOOKUP(T[[#This Row],[warehouse]],Table2[],2,FALSE),"--")</f>
        <v>--</v>
      </c>
    </row>
    <row r="1996" spans="1:18" x14ac:dyDescent="0.25">
      <c r="A1996" t="s">
        <v>423</v>
      </c>
      <c r="B1996" s="1">
        <v>44367</v>
      </c>
      <c r="C1996" t="s">
        <v>1403</v>
      </c>
      <c r="D1996" t="s">
        <v>20</v>
      </c>
      <c r="E1996" t="s">
        <v>146</v>
      </c>
      <c r="F1996" t="s">
        <v>147</v>
      </c>
      <c r="G1996" t="s">
        <v>148</v>
      </c>
      <c r="H1996" t="s">
        <v>149</v>
      </c>
      <c r="I1996">
        <v>1500</v>
      </c>
      <c r="J1996">
        <v>1500</v>
      </c>
      <c r="K1996">
        <v>1500</v>
      </c>
      <c r="L1996" t="s">
        <v>25</v>
      </c>
      <c r="M1996" t="s">
        <v>1404</v>
      </c>
      <c r="N1996">
        <v>180</v>
      </c>
      <c r="O1996">
        <v>270000</v>
      </c>
      <c r="P1996" t="str">
        <f>IF(T[[#This Row],[qty_ordered]]&lt;&gt;T[[#This Row],[qty_received]],IF(T[[#This Row],[qty_received]]&gt;0,"Partial Received","Not Receviced"),"FullyReceived")</f>
        <v>FullyReceived</v>
      </c>
      <c r="Q1996" t="str">
        <f>IF(T[[#This Row],[qty_received]]&lt;&gt;T[[#This Row],[qty_invoiced]],IF(T[[#This Row],[qty_invoiced]]&gt;0,"Partial Invoiced","Not Invoiced"),"Fully Invoiced")</f>
        <v>Fully Invoiced</v>
      </c>
      <c r="R1996" t="str">
        <f>IFERROR(VLOOKUP(T[[#This Row],[warehouse]],Table2[],2,FALSE),"--")</f>
        <v>Khtoum Main Warehouse</v>
      </c>
    </row>
    <row r="1997" spans="1:18" x14ac:dyDescent="0.25">
      <c r="A1997" t="s">
        <v>423</v>
      </c>
      <c r="B1997" s="1">
        <v>44367</v>
      </c>
      <c r="C1997" t="s">
        <v>1403</v>
      </c>
      <c r="D1997" t="s">
        <v>71</v>
      </c>
      <c r="E1997" t="s">
        <v>146</v>
      </c>
      <c r="F1997" t="s">
        <v>483</v>
      </c>
      <c r="G1997" t="s">
        <v>484</v>
      </c>
      <c r="H1997" t="s">
        <v>149</v>
      </c>
      <c r="I1997">
        <v>7000</v>
      </c>
      <c r="J1997">
        <v>7000</v>
      </c>
      <c r="K1997">
        <v>7000</v>
      </c>
      <c r="L1997" t="s">
        <v>25</v>
      </c>
      <c r="M1997" t="s">
        <v>1404</v>
      </c>
      <c r="N1997">
        <v>90</v>
      </c>
      <c r="O1997">
        <v>630000</v>
      </c>
      <c r="P1997" t="str">
        <f>IF(T[[#This Row],[qty_ordered]]&lt;&gt;T[[#This Row],[qty_received]],IF(T[[#This Row],[qty_received]]&gt;0,"Partial Received","Not Receviced"),"FullyReceived")</f>
        <v>FullyReceived</v>
      </c>
      <c r="Q1997" t="str">
        <f>IF(T[[#This Row],[qty_received]]&lt;&gt;T[[#This Row],[qty_invoiced]],IF(T[[#This Row],[qty_invoiced]]&gt;0,"Partial Invoiced","Not Invoiced"),"Fully Invoiced")</f>
        <v>Fully Invoiced</v>
      </c>
      <c r="R1997" t="str">
        <f>IFERROR(VLOOKUP(T[[#This Row],[warehouse]],Table2[],2,FALSE),"--")</f>
        <v>Khtoum Main Warehouse</v>
      </c>
    </row>
    <row r="1998" spans="1:18" x14ac:dyDescent="0.25">
      <c r="A1998" t="s">
        <v>1118</v>
      </c>
      <c r="B1998" s="1">
        <v>44378</v>
      </c>
      <c r="C1998" t="s">
        <v>1405</v>
      </c>
      <c r="D1998" t="s">
        <v>20</v>
      </c>
      <c r="E1998" t="s">
        <v>660</v>
      </c>
      <c r="F1998" t="s">
        <v>1042</v>
      </c>
      <c r="G1998" t="s">
        <v>1043</v>
      </c>
      <c r="H1998" t="s">
        <v>663</v>
      </c>
      <c r="I1998">
        <v>4734.1000000000004</v>
      </c>
      <c r="J1998">
        <v>4734.1000000000004</v>
      </c>
      <c r="K1998">
        <v>4734.1000000000004</v>
      </c>
      <c r="L1998" t="s">
        <v>25</v>
      </c>
      <c r="M1998" t="s">
        <v>132</v>
      </c>
      <c r="N1998">
        <v>2126.6260000000002</v>
      </c>
      <c r="O1998">
        <v>11835250</v>
      </c>
      <c r="P1998" t="str">
        <f>IF(T[[#This Row],[qty_ordered]]&lt;&gt;T[[#This Row],[qty_received]],IF(T[[#This Row],[qty_received]]&gt;0,"Partial Received","Not Receviced"),"FullyReceived")</f>
        <v>FullyReceived</v>
      </c>
      <c r="Q1998" t="str">
        <f>IF(T[[#This Row],[qty_received]]&lt;&gt;T[[#This Row],[qty_invoiced]],IF(T[[#This Row],[qty_invoiced]]&gt;0,"Partial Invoiced","Not Invoiced"),"Fully Invoiced")</f>
        <v>Fully Invoiced</v>
      </c>
      <c r="R1998" t="str">
        <f>IFERROR(VLOOKUP(T[[#This Row],[warehouse]],Table2[],2,FALSE),"--")</f>
        <v>SLAUGHTER HOUSE</v>
      </c>
    </row>
    <row r="1999" spans="1:18" x14ac:dyDescent="0.25">
      <c r="A1999" t="s">
        <v>1312</v>
      </c>
      <c r="B1999" s="1">
        <v>44381</v>
      </c>
      <c r="C1999" t="s">
        <v>1406</v>
      </c>
      <c r="D1999" t="s">
        <v>20</v>
      </c>
      <c r="E1999" t="s">
        <v>146</v>
      </c>
      <c r="F1999" t="s">
        <v>1375</v>
      </c>
      <c r="G1999" t="s">
        <v>1376</v>
      </c>
      <c r="H1999" t="s">
        <v>54</v>
      </c>
      <c r="I1999">
        <v>2000</v>
      </c>
      <c r="J1999">
        <v>2000</v>
      </c>
      <c r="K1999">
        <v>2000</v>
      </c>
      <c r="L1999" t="s">
        <v>25</v>
      </c>
      <c r="M1999" t="s">
        <v>1407</v>
      </c>
      <c r="N1999">
        <v>400</v>
      </c>
      <c r="O1999">
        <v>800000</v>
      </c>
      <c r="P1999" t="str">
        <f>IF(T[[#This Row],[qty_ordered]]&lt;&gt;T[[#This Row],[qty_received]],IF(T[[#This Row],[qty_received]]&gt;0,"Partial Received","Not Receviced"),"FullyReceived")</f>
        <v>FullyReceived</v>
      </c>
      <c r="Q1999" t="str">
        <f>IF(T[[#This Row],[qty_received]]&lt;&gt;T[[#This Row],[qty_invoiced]],IF(T[[#This Row],[qty_invoiced]]&gt;0,"Partial Invoiced","Not Invoiced"),"Fully Invoiced")</f>
        <v>Fully Invoiced</v>
      </c>
      <c r="R1999" t="str">
        <f>IFERROR(VLOOKUP(T[[#This Row],[warehouse]],Table2[],2,FALSE),"--")</f>
        <v>Khtoum Main Warehouse</v>
      </c>
    </row>
    <row r="2000" spans="1:18" x14ac:dyDescent="0.25">
      <c r="A2000" t="s">
        <v>1312</v>
      </c>
      <c r="B2000" s="1">
        <v>44381</v>
      </c>
      <c r="C2000" t="s">
        <v>1406</v>
      </c>
      <c r="D2000" t="s">
        <v>71</v>
      </c>
      <c r="E2000" t="s">
        <v>146</v>
      </c>
      <c r="F2000" t="s">
        <v>1377</v>
      </c>
      <c r="G2000" t="s">
        <v>1378</v>
      </c>
      <c r="H2000" t="s">
        <v>54</v>
      </c>
      <c r="I2000">
        <v>2000</v>
      </c>
      <c r="J2000">
        <v>2000</v>
      </c>
      <c r="K2000">
        <v>2000</v>
      </c>
      <c r="L2000" t="s">
        <v>25</v>
      </c>
      <c r="M2000" t="s">
        <v>1407</v>
      </c>
      <c r="N2000">
        <v>450</v>
      </c>
      <c r="O2000">
        <v>900000</v>
      </c>
      <c r="P2000" t="str">
        <f>IF(T[[#This Row],[qty_ordered]]&lt;&gt;T[[#This Row],[qty_received]],IF(T[[#This Row],[qty_received]]&gt;0,"Partial Received","Not Receviced"),"FullyReceived")</f>
        <v>FullyReceived</v>
      </c>
      <c r="Q2000" t="str">
        <f>IF(T[[#This Row],[qty_received]]&lt;&gt;T[[#This Row],[qty_invoiced]],IF(T[[#This Row],[qty_invoiced]]&gt;0,"Partial Invoiced","Not Invoiced"),"Fully Invoiced")</f>
        <v>Fully Invoiced</v>
      </c>
      <c r="R2000" t="str">
        <f>IFERROR(VLOOKUP(T[[#This Row],[warehouse]],Table2[],2,FALSE),"--")</f>
        <v>Khtoum Main Warehouse</v>
      </c>
    </row>
    <row r="2001" spans="1:18" x14ac:dyDescent="0.25">
      <c r="A2001" t="s">
        <v>1114</v>
      </c>
      <c r="B2001" s="1">
        <v>44389</v>
      </c>
      <c r="C2001" t="s">
        <v>1408</v>
      </c>
      <c r="D2001" t="s">
        <v>20</v>
      </c>
      <c r="E2001" t="s">
        <v>660</v>
      </c>
      <c r="F2001" t="s">
        <v>1042</v>
      </c>
      <c r="G2001" t="s">
        <v>1043</v>
      </c>
      <c r="H2001" t="s">
        <v>663</v>
      </c>
      <c r="I2001">
        <v>4214.12</v>
      </c>
      <c r="J2001">
        <v>0</v>
      </c>
      <c r="K2001">
        <v>0</v>
      </c>
      <c r="L2001" t="s">
        <v>25</v>
      </c>
      <c r="M2001" t="s">
        <v>132</v>
      </c>
      <c r="N2001">
        <v>0</v>
      </c>
      <c r="O2001">
        <v>0</v>
      </c>
      <c r="P2001" t="str">
        <f>IF(T[[#This Row],[qty_ordered]]&lt;&gt;T[[#This Row],[qty_received]],IF(T[[#This Row],[qty_received]]&gt;0,"Partial Received","Not Receviced"),"FullyReceived")</f>
        <v>Not Receviced</v>
      </c>
      <c r="Q2001" t="str">
        <f>IF(T[[#This Row],[qty_received]]&lt;&gt;T[[#This Row],[qty_invoiced]],IF(T[[#This Row],[qty_invoiced]]&gt;0,"Partial Invoiced","Not Invoiced"),"Fully Invoiced")</f>
        <v>Fully Invoiced</v>
      </c>
      <c r="R2001" t="str">
        <f>IFERROR(VLOOKUP(T[[#This Row],[warehouse]],Table2[],2,FALSE),"--")</f>
        <v>SLAUGHTER HOUSE</v>
      </c>
    </row>
    <row r="2002" spans="1:18" x14ac:dyDescent="0.25">
      <c r="A2002" t="s">
        <v>955</v>
      </c>
      <c r="B2002" s="1">
        <v>44390</v>
      </c>
      <c r="C2002" t="s">
        <v>1409</v>
      </c>
      <c r="D2002" t="s">
        <v>20</v>
      </c>
      <c r="E2002" t="s">
        <v>890</v>
      </c>
      <c r="F2002" t="s">
        <v>108</v>
      </c>
      <c r="G2002" t="s">
        <v>109</v>
      </c>
      <c r="H2002" t="s">
        <v>24</v>
      </c>
      <c r="I2002">
        <v>1000</v>
      </c>
      <c r="J2002">
        <v>179.5</v>
      </c>
      <c r="K2002">
        <v>179.5</v>
      </c>
      <c r="L2002" t="s">
        <v>25</v>
      </c>
      <c r="M2002" t="s">
        <v>132</v>
      </c>
      <c r="N2002">
        <v>433875</v>
      </c>
      <c r="O2002">
        <v>77880562.5</v>
      </c>
      <c r="P2002" t="str">
        <f>IF(T[[#This Row],[qty_ordered]]&lt;&gt;T[[#This Row],[qty_received]],IF(T[[#This Row],[qty_received]]&gt;0,"Partial Received","Not Receviced"),"FullyReceived")</f>
        <v>Partial Received</v>
      </c>
      <c r="Q2002" t="str">
        <f>IF(T[[#This Row],[qty_received]]&lt;&gt;T[[#This Row],[qty_invoiced]],IF(T[[#This Row],[qty_invoiced]]&gt;0,"Partial Invoiced","Not Invoiced"),"Fully Invoiced")</f>
        <v>Fully Invoiced</v>
      </c>
      <c r="R2002" t="str">
        <f>IFERROR(VLOOKUP(T[[#This Row],[warehouse]],Table2[],2,FALSE),"--")</f>
        <v>GREEN CROPS SIFTING</v>
      </c>
    </row>
    <row r="2003" spans="1:18" x14ac:dyDescent="0.25">
      <c r="A2003" t="s">
        <v>959</v>
      </c>
      <c r="B2003" s="1">
        <v>44384</v>
      </c>
      <c r="C2003" t="s">
        <v>1410</v>
      </c>
      <c r="D2003" t="s">
        <v>20</v>
      </c>
      <c r="E2003" t="s">
        <v>1285</v>
      </c>
      <c r="F2003" t="s">
        <v>1338</v>
      </c>
      <c r="G2003" t="s">
        <v>1339</v>
      </c>
      <c r="H2003" t="s">
        <v>123</v>
      </c>
      <c r="I2003">
        <v>5500</v>
      </c>
      <c r="J2003">
        <v>5500</v>
      </c>
      <c r="K2003">
        <v>5500</v>
      </c>
      <c r="L2003" t="s">
        <v>25</v>
      </c>
      <c r="M2003" t="s">
        <v>132</v>
      </c>
      <c r="N2003">
        <v>12880</v>
      </c>
      <c r="O2003">
        <v>70840000</v>
      </c>
      <c r="P2003" t="str">
        <f>IF(T[[#This Row],[qty_ordered]]&lt;&gt;T[[#This Row],[qty_received]],IF(T[[#This Row],[qty_received]]&gt;0,"Partial Received","Not Receviced"),"FullyReceived")</f>
        <v>FullyReceived</v>
      </c>
      <c r="Q2003" t="str">
        <f>IF(T[[#This Row],[qty_received]]&lt;&gt;T[[#This Row],[qty_invoiced]],IF(T[[#This Row],[qty_invoiced]]&gt;0,"Partial Invoiced","Not Invoiced"),"Fully Invoiced")</f>
        <v>Fully Invoiced</v>
      </c>
      <c r="R2003" t="str">
        <f>IFERROR(VLOOKUP(T[[#This Row],[warehouse]],Table2[],2,FALSE),"--")</f>
        <v>Khartoum Import Warehouse</v>
      </c>
    </row>
    <row r="2004" spans="1:18" x14ac:dyDescent="0.25">
      <c r="A2004" t="s">
        <v>235</v>
      </c>
      <c r="B2004" s="1">
        <v>44350</v>
      </c>
      <c r="C2004" t="s">
        <v>1342</v>
      </c>
      <c r="D2004" t="s">
        <v>71</v>
      </c>
      <c r="E2004" t="s">
        <v>51</v>
      </c>
      <c r="F2004" t="s">
        <v>546</v>
      </c>
      <c r="G2004" t="s">
        <v>1411</v>
      </c>
      <c r="H2004" t="s">
        <v>54</v>
      </c>
      <c r="I2004">
        <v>8000</v>
      </c>
      <c r="J2004">
        <v>0</v>
      </c>
      <c r="K2004">
        <v>1</v>
      </c>
      <c r="L2004" t="s">
        <v>25</v>
      </c>
      <c r="M2004" t="s">
        <v>533</v>
      </c>
      <c r="N2004">
        <v>13</v>
      </c>
      <c r="O2004">
        <v>0</v>
      </c>
      <c r="P2004" t="str">
        <f>IF(T[[#This Row],[qty_ordered]]&lt;&gt;T[[#This Row],[qty_received]],IF(T[[#This Row],[qty_received]]&gt;0,"Partial Received","Not Receviced"),"FullyReceived")</f>
        <v>Not Receviced</v>
      </c>
      <c r="Q2004" t="str">
        <f>IF(T[[#This Row],[qty_received]]&lt;&gt;T[[#This Row],[qty_invoiced]],IF(T[[#This Row],[qty_invoiced]]&gt;0,"Partial Invoiced","Not Invoiced"),"Fully Invoiced")</f>
        <v>Partial Invoiced</v>
      </c>
      <c r="R2004" t="str">
        <f>IFERROR(VLOOKUP(T[[#This Row],[warehouse]],Table2[],2,FALSE),"--")</f>
        <v>--</v>
      </c>
    </row>
    <row r="2005" spans="1:18" x14ac:dyDescent="0.25">
      <c r="A2005" t="s">
        <v>721</v>
      </c>
      <c r="B2005" s="1">
        <v>44054</v>
      </c>
      <c r="C2005" t="s">
        <v>722</v>
      </c>
      <c r="D2005" t="s">
        <v>212</v>
      </c>
      <c r="E2005" t="s">
        <v>723</v>
      </c>
      <c r="F2005" t="s">
        <v>219</v>
      </c>
      <c r="G2005" t="s">
        <v>724</v>
      </c>
      <c r="H2005" t="s">
        <v>221</v>
      </c>
      <c r="I2005">
        <v>11801.82</v>
      </c>
      <c r="J2005">
        <v>11801.22</v>
      </c>
      <c r="K2005">
        <v>11801.22</v>
      </c>
      <c r="L2005" t="s">
        <v>25</v>
      </c>
      <c r="M2005" t="s">
        <v>132</v>
      </c>
      <c r="N2005">
        <v>10000</v>
      </c>
      <c r="O2005">
        <v>118012200</v>
      </c>
      <c r="P2005" t="str">
        <f>IF(T[[#This Row],[qty_ordered]]&lt;&gt;T[[#This Row],[qty_received]],IF(T[[#This Row],[qty_received]]&gt;0,"Partial Received","Not Receviced"),"FullyReceived")</f>
        <v>Partial Received</v>
      </c>
      <c r="Q2005" t="str">
        <f>IF(T[[#This Row],[qty_received]]&lt;&gt;T[[#This Row],[qty_invoiced]],IF(T[[#This Row],[qty_invoiced]]&gt;0,"Partial Invoiced","Not Invoiced"),"Fully Invoiced")</f>
        <v>Fully Invoiced</v>
      </c>
      <c r="R2005" t="str">
        <f>IFERROR(VLOOKUP(T[[#This Row],[warehouse]],Table2[],2,FALSE),"--")</f>
        <v>YELLOW BEANS</v>
      </c>
    </row>
    <row r="2006" spans="1:18" x14ac:dyDescent="0.25">
      <c r="A2006" t="s">
        <v>721</v>
      </c>
      <c r="B2006" s="1">
        <v>44054</v>
      </c>
      <c r="C2006" t="s">
        <v>722</v>
      </c>
      <c r="D2006" t="s">
        <v>322</v>
      </c>
      <c r="E2006" t="s">
        <v>723</v>
      </c>
      <c r="F2006" t="s">
        <v>219</v>
      </c>
      <c r="G2006" t="s">
        <v>724</v>
      </c>
      <c r="H2006" t="s">
        <v>221</v>
      </c>
      <c r="I2006">
        <v>13457.78</v>
      </c>
      <c r="J2006">
        <v>13457.78</v>
      </c>
      <c r="K2006">
        <v>13457.78</v>
      </c>
      <c r="L2006" t="s">
        <v>25</v>
      </c>
      <c r="M2006" t="s">
        <v>132</v>
      </c>
      <c r="N2006">
        <v>10000</v>
      </c>
      <c r="O2006">
        <v>134577800</v>
      </c>
      <c r="P2006" t="str">
        <f>IF(T[[#This Row],[qty_ordered]]&lt;&gt;T[[#This Row],[qty_received]],IF(T[[#This Row],[qty_received]]&gt;0,"Partial Received","Not Receviced"),"FullyReceived")</f>
        <v>FullyReceived</v>
      </c>
      <c r="Q2006" t="str">
        <f>IF(T[[#This Row],[qty_received]]&lt;&gt;T[[#This Row],[qty_invoiced]],IF(T[[#This Row],[qty_invoiced]]&gt;0,"Partial Invoiced","Not Invoiced"),"Fully Invoiced")</f>
        <v>Fully Invoiced</v>
      </c>
      <c r="R2006" t="str">
        <f>IFERROR(VLOOKUP(T[[#This Row],[warehouse]],Table2[],2,FALSE),"--")</f>
        <v>YELLOW BEANS</v>
      </c>
    </row>
    <row r="2007" spans="1:18" x14ac:dyDescent="0.25">
      <c r="A2007" t="s">
        <v>727</v>
      </c>
      <c r="B2007" s="1">
        <v>44054</v>
      </c>
      <c r="C2007" t="s">
        <v>730</v>
      </c>
      <c r="D2007" t="s">
        <v>71</v>
      </c>
      <c r="E2007" t="s">
        <v>723</v>
      </c>
      <c r="F2007" t="s">
        <v>219</v>
      </c>
      <c r="G2007" t="s">
        <v>724</v>
      </c>
      <c r="H2007" t="s">
        <v>221</v>
      </c>
      <c r="I2007">
        <v>11985.84</v>
      </c>
      <c r="J2007">
        <v>11985.84</v>
      </c>
      <c r="K2007">
        <v>11985.84</v>
      </c>
      <c r="L2007" t="s">
        <v>25</v>
      </c>
      <c r="M2007" t="s">
        <v>132</v>
      </c>
      <c r="N2007">
        <v>14000</v>
      </c>
      <c r="O2007">
        <v>167801760</v>
      </c>
      <c r="P2007" t="str">
        <f>IF(T[[#This Row],[qty_ordered]]&lt;&gt;T[[#This Row],[qty_received]],IF(T[[#This Row],[qty_received]]&gt;0,"Partial Received","Not Receviced"),"FullyReceived")</f>
        <v>FullyReceived</v>
      </c>
      <c r="Q2007" t="str">
        <f>IF(T[[#This Row],[qty_received]]&lt;&gt;T[[#This Row],[qty_invoiced]],IF(T[[#This Row],[qty_invoiced]]&gt;0,"Partial Invoiced","Not Invoiced"),"Fully Invoiced")</f>
        <v>Fully Invoiced</v>
      </c>
      <c r="R2007" t="str">
        <f>IFERROR(VLOOKUP(T[[#This Row],[warehouse]],Table2[],2,FALSE),"--")</f>
        <v>YELLOW BEANS</v>
      </c>
    </row>
    <row r="2008" spans="1:18" x14ac:dyDescent="0.25">
      <c r="A2008" t="s">
        <v>959</v>
      </c>
      <c r="B2008" s="1">
        <v>44138</v>
      </c>
      <c r="C2008" t="s">
        <v>960</v>
      </c>
      <c r="D2008" t="s">
        <v>71</v>
      </c>
      <c r="E2008" t="s">
        <v>214</v>
      </c>
      <c r="F2008" t="s">
        <v>167</v>
      </c>
      <c r="G2008" t="s">
        <v>156</v>
      </c>
      <c r="H2008" t="s">
        <v>24</v>
      </c>
      <c r="I2008">
        <v>600.41</v>
      </c>
      <c r="J2008">
        <v>600.41</v>
      </c>
      <c r="K2008">
        <v>600.41</v>
      </c>
      <c r="L2008" t="s">
        <v>25</v>
      </c>
      <c r="M2008" t="s">
        <v>132</v>
      </c>
      <c r="N2008">
        <v>510000</v>
      </c>
      <c r="O2008">
        <v>306209100</v>
      </c>
      <c r="P2008" t="str">
        <f>IF(T[[#This Row],[qty_ordered]]&lt;&gt;T[[#This Row],[qty_received]],IF(T[[#This Row],[qty_received]]&gt;0,"Partial Received","Not Receviced"),"FullyReceived")</f>
        <v>FullyReceived</v>
      </c>
      <c r="Q2008" t="str">
        <f>IF(T[[#This Row],[qty_received]]&lt;&gt;T[[#This Row],[qty_invoiced]],IF(T[[#This Row],[qty_invoiced]]&gt;0,"Partial Invoiced","Not Invoiced"),"Fully Invoiced")</f>
        <v>Fully Invoiced</v>
      </c>
      <c r="R2008" t="str">
        <f>IFERROR(VLOOKUP(T[[#This Row],[warehouse]],Table2[],2,FALSE),"--")</f>
        <v>CRUSHER ELBALOLA</v>
      </c>
    </row>
    <row r="2009" spans="1:18" x14ac:dyDescent="0.25">
      <c r="A2009" t="s">
        <v>252</v>
      </c>
      <c r="B2009" s="1">
        <v>43849</v>
      </c>
      <c r="C2009" t="s">
        <v>638</v>
      </c>
      <c r="D2009" t="s">
        <v>76</v>
      </c>
      <c r="E2009" t="s">
        <v>51</v>
      </c>
      <c r="F2009" t="s">
        <v>183</v>
      </c>
      <c r="G2009" t="s">
        <v>994</v>
      </c>
      <c r="H2009" t="s">
        <v>54</v>
      </c>
      <c r="I2009">
        <v>500</v>
      </c>
      <c r="J2009">
        <v>0</v>
      </c>
      <c r="K2009">
        <v>1</v>
      </c>
      <c r="L2009" t="s">
        <v>25</v>
      </c>
      <c r="M2009" t="s">
        <v>533</v>
      </c>
      <c r="N2009">
        <v>2450</v>
      </c>
      <c r="O2009">
        <v>0</v>
      </c>
      <c r="P2009" t="str">
        <f>IF(T[[#This Row],[qty_ordered]]&lt;&gt;T[[#This Row],[qty_received]],IF(T[[#This Row],[qty_received]]&gt;0,"Partial Received","Not Receviced"),"FullyReceived")</f>
        <v>Not Receviced</v>
      </c>
      <c r="Q2009" t="str">
        <f>IF(T[[#This Row],[qty_received]]&lt;&gt;T[[#This Row],[qty_invoiced]],IF(T[[#This Row],[qty_invoiced]]&gt;0,"Partial Invoiced","Not Invoiced"),"Fully Invoiced")</f>
        <v>Partial Invoiced</v>
      </c>
      <c r="R2009" t="str">
        <f>IFERROR(VLOOKUP(T[[#This Row],[warehouse]],Table2[],2,FALSE),"--")</f>
        <v>--</v>
      </c>
    </row>
    <row r="2010" spans="1:18" x14ac:dyDescent="0.25">
      <c r="A2010" t="s">
        <v>973</v>
      </c>
      <c r="B2010" s="1">
        <v>44172</v>
      </c>
      <c r="C2010" t="s">
        <v>1412</v>
      </c>
      <c r="D2010" t="s">
        <v>20</v>
      </c>
      <c r="E2010" t="s">
        <v>281</v>
      </c>
      <c r="F2010" t="s">
        <v>526</v>
      </c>
      <c r="G2010" t="s">
        <v>472</v>
      </c>
      <c r="H2010" t="s">
        <v>123</v>
      </c>
      <c r="I2010">
        <v>4000</v>
      </c>
      <c r="J2010">
        <v>4000</v>
      </c>
      <c r="K2010">
        <v>4000</v>
      </c>
      <c r="L2010" t="s">
        <v>25</v>
      </c>
      <c r="M2010" t="s">
        <v>132</v>
      </c>
      <c r="N2010">
        <v>13500</v>
      </c>
      <c r="O2010">
        <v>54000000</v>
      </c>
      <c r="P2010" t="str">
        <f>IF(T[[#This Row],[qty_ordered]]&lt;&gt;T[[#This Row],[qty_received]],IF(T[[#This Row],[qty_received]]&gt;0,"Partial Received","Not Receviced"),"FullyReceived")</f>
        <v>FullyReceived</v>
      </c>
      <c r="Q2010" t="str">
        <f>IF(T[[#This Row],[qty_received]]&lt;&gt;T[[#This Row],[qty_invoiced]],IF(T[[#This Row],[qty_invoiced]]&gt;0,"Partial Invoiced","Not Invoiced"),"Fully Invoiced")</f>
        <v>Fully Invoiced</v>
      </c>
      <c r="R2010" t="str">
        <f>IFERROR(VLOOKUP(T[[#This Row],[warehouse]],Table2[],2,FALSE),"--")</f>
        <v>Crusher Alm Eldin-KH</v>
      </c>
    </row>
    <row r="2011" spans="1:18" x14ac:dyDescent="0.25">
      <c r="A2011" t="s">
        <v>959</v>
      </c>
      <c r="B2011" s="1">
        <v>44172</v>
      </c>
      <c r="C2011" t="s">
        <v>1213</v>
      </c>
      <c r="D2011" t="s">
        <v>20</v>
      </c>
      <c r="E2011" t="s">
        <v>214</v>
      </c>
      <c r="F2011" t="s">
        <v>526</v>
      </c>
      <c r="G2011" t="s">
        <v>472</v>
      </c>
      <c r="H2011" t="s">
        <v>123</v>
      </c>
      <c r="I2011">
        <v>6000</v>
      </c>
      <c r="J2011">
        <v>6000</v>
      </c>
      <c r="K2011">
        <v>6000</v>
      </c>
      <c r="L2011" t="s">
        <v>25</v>
      </c>
      <c r="M2011" t="s">
        <v>132</v>
      </c>
      <c r="N2011">
        <v>22266.056380000002</v>
      </c>
      <c r="O2011">
        <v>81000000</v>
      </c>
      <c r="P2011" t="str">
        <f>IF(T[[#This Row],[qty_ordered]]&lt;&gt;T[[#This Row],[qty_received]],IF(T[[#This Row],[qty_received]]&gt;0,"Partial Received","Not Receviced"),"FullyReceived")</f>
        <v>FullyReceived</v>
      </c>
      <c r="Q2011" t="str">
        <f>IF(T[[#This Row],[qty_received]]&lt;&gt;T[[#This Row],[qty_invoiced]],IF(T[[#This Row],[qty_invoiced]]&gt;0,"Partial Invoiced","Not Invoiced"),"Fully Invoiced")</f>
        <v>Fully Invoiced</v>
      </c>
      <c r="R2011" t="str">
        <f>IFERROR(VLOOKUP(T[[#This Row],[warehouse]],Table2[],2,FALSE),"--")</f>
        <v>CRUSHER ELBALOLA</v>
      </c>
    </row>
    <row r="2012" spans="1:18" x14ac:dyDescent="0.25">
      <c r="A2012" t="s">
        <v>1413</v>
      </c>
      <c r="B2012" s="1">
        <v>44172</v>
      </c>
      <c r="C2012" t="s">
        <v>1414</v>
      </c>
      <c r="D2012" t="s">
        <v>20</v>
      </c>
      <c r="E2012" t="s">
        <v>1149</v>
      </c>
      <c r="F2012" t="s">
        <v>406</v>
      </c>
      <c r="G2012" t="s">
        <v>407</v>
      </c>
      <c r="H2012" t="s">
        <v>24</v>
      </c>
      <c r="I2012">
        <v>2000</v>
      </c>
      <c r="J2012">
        <v>753.47</v>
      </c>
      <c r="K2012">
        <v>753.47</v>
      </c>
      <c r="L2012" t="s">
        <v>25</v>
      </c>
      <c r="M2012" t="s">
        <v>132</v>
      </c>
      <c r="N2012">
        <v>143000</v>
      </c>
      <c r="O2012">
        <v>107746210</v>
      </c>
      <c r="P2012" t="str">
        <f>IF(T[[#This Row],[qty_ordered]]&lt;&gt;T[[#This Row],[qty_received]],IF(T[[#This Row],[qty_received]]&gt;0,"Partial Received","Not Receviced"),"FullyReceived")</f>
        <v>Partial Received</v>
      </c>
      <c r="Q2012" t="str">
        <f>IF(T[[#This Row],[qty_received]]&lt;&gt;T[[#This Row],[qty_invoiced]],IF(T[[#This Row],[qty_invoiced]]&gt;0,"Partial Invoiced","Not Invoiced"),"Fully Invoiced")</f>
        <v>Fully Invoiced</v>
      </c>
      <c r="R2012" t="str">
        <f>IFERROR(VLOOKUP(T[[#This Row],[warehouse]],Table2[],2,FALSE),"--")</f>
        <v>Ginning Nortix</v>
      </c>
    </row>
    <row r="2013" spans="1:18" x14ac:dyDescent="0.25">
      <c r="A2013" t="s">
        <v>658</v>
      </c>
      <c r="B2013" s="1">
        <v>44140</v>
      </c>
      <c r="C2013" t="s">
        <v>967</v>
      </c>
      <c r="D2013" t="s">
        <v>76</v>
      </c>
      <c r="E2013" t="s">
        <v>660</v>
      </c>
      <c r="F2013" t="s">
        <v>661</v>
      </c>
      <c r="G2013" t="s">
        <v>662</v>
      </c>
      <c r="H2013" t="s">
        <v>663</v>
      </c>
      <c r="I2013">
        <v>2007.8</v>
      </c>
      <c r="J2013">
        <v>2007.8</v>
      </c>
      <c r="K2013">
        <v>2007.8</v>
      </c>
      <c r="L2013" t="s">
        <v>25</v>
      </c>
      <c r="M2013" t="s">
        <v>132</v>
      </c>
      <c r="N2013">
        <v>670</v>
      </c>
      <c r="O2013">
        <v>1345226</v>
      </c>
      <c r="P2013" t="str">
        <f>IF(T[[#This Row],[qty_ordered]]&lt;&gt;T[[#This Row],[qty_received]],IF(T[[#This Row],[qty_received]]&gt;0,"Partial Received","Not Receviced"),"FullyReceived")</f>
        <v>FullyReceived</v>
      </c>
      <c r="Q2013" t="str">
        <f>IF(T[[#This Row],[qty_received]]&lt;&gt;T[[#This Row],[qty_invoiced]],IF(T[[#This Row],[qty_invoiced]]&gt;0,"Partial Invoiced","Not Invoiced"),"Fully Invoiced")</f>
        <v>Fully Invoiced</v>
      </c>
      <c r="R2013" t="str">
        <f>IFERROR(VLOOKUP(T[[#This Row],[warehouse]],Table2[],2,FALSE),"--")</f>
        <v>SLAUGHTER HOUSE</v>
      </c>
    </row>
    <row r="2014" spans="1:18" x14ac:dyDescent="0.25">
      <c r="A2014" t="s">
        <v>721</v>
      </c>
      <c r="B2014" s="1">
        <v>44054</v>
      </c>
      <c r="C2014" t="s">
        <v>722</v>
      </c>
      <c r="D2014" t="s">
        <v>323</v>
      </c>
      <c r="E2014" t="s">
        <v>723</v>
      </c>
      <c r="F2014" t="s">
        <v>219</v>
      </c>
      <c r="G2014" t="s">
        <v>724</v>
      </c>
      <c r="H2014" t="s">
        <v>221</v>
      </c>
      <c r="I2014">
        <v>12905.34</v>
      </c>
      <c r="J2014">
        <v>12905.34</v>
      </c>
      <c r="K2014">
        <v>12905.34</v>
      </c>
      <c r="L2014" t="s">
        <v>25</v>
      </c>
      <c r="M2014" t="s">
        <v>132</v>
      </c>
      <c r="N2014">
        <v>13322.407999999999</v>
      </c>
      <c r="O2014">
        <v>171930204.85872</v>
      </c>
      <c r="P2014" t="str">
        <f>IF(T[[#This Row],[qty_ordered]]&lt;&gt;T[[#This Row],[qty_received]],IF(T[[#This Row],[qty_received]]&gt;0,"Partial Received","Not Receviced"),"FullyReceived")</f>
        <v>FullyReceived</v>
      </c>
      <c r="Q2014" t="str">
        <f>IF(T[[#This Row],[qty_received]]&lt;&gt;T[[#This Row],[qty_invoiced]],IF(T[[#This Row],[qty_invoiced]]&gt;0,"Partial Invoiced","Not Invoiced"),"Fully Invoiced")</f>
        <v>Fully Invoiced</v>
      </c>
      <c r="R2014" t="str">
        <f>IFERROR(VLOOKUP(T[[#This Row],[warehouse]],Table2[],2,FALSE),"--")</f>
        <v>YELLOW BEANS</v>
      </c>
    </row>
    <row r="2015" spans="1:18" x14ac:dyDescent="0.25">
      <c r="A2015" t="s">
        <v>423</v>
      </c>
      <c r="B2015" s="1">
        <v>44160</v>
      </c>
      <c r="C2015" t="s">
        <v>1010</v>
      </c>
      <c r="D2015" t="s">
        <v>71</v>
      </c>
      <c r="E2015" t="s">
        <v>51</v>
      </c>
      <c r="F2015" t="s">
        <v>546</v>
      </c>
      <c r="G2015" t="s">
        <v>1065</v>
      </c>
      <c r="H2015" t="s">
        <v>54</v>
      </c>
      <c r="I2015">
        <v>5000</v>
      </c>
      <c r="J2015">
        <v>0</v>
      </c>
      <c r="K2015">
        <v>1</v>
      </c>
      <c r="L2015" t="s">
        <v>25</v>
      </c>
      <c r="M2015" t="s">
        <v>533</v>
      </c>
      <c r="N2015">
        <v>6.8</v>
      </c>
      <c r="O2015">
        <v>0</v>
      </c>
      <c r="P2015" t="str">
        <f>IF(T[[#This Row],[qty_ordered]]&lt;&gt;T[[#This Row],[qty_received]],IF(T[[#This Row],[qty_received]]&gt;0,"Partial Received","Not Receviced"),"FullyReceived")</f>
        <v>Not Receviced</v>
      </c>
      <c r="Q2015" t="str">
        <f>IF(T[[#This Row],[qty_received]]&lt;&gt;T[[#This Row],[qty_invoiced]],IF(T[[#This Row],[qty_invoiced]]&gt;0,"Partial Invoiced","Not Invoiced"),"Fully Invoiced")</f>
        <v>Partial Invoiced</v>
      </c>
      <c r="R2015" t="str">
        <f>IFERROR(VLOOKUP(T[[#This Row],[warehouse]],Table2[],2,FALSE),"--")</f>
        <v>--</v>
      </c>
    </row>
    <row r="2016" spans="1:18" x14ac:dyDescent="0.25">
      <c r="A2016" t="s">
        <v>423</v>
      </c>
      <c r="B2016" s="1">
        <v>44160</v>
      </c>
      <c r="C2016" t="s">
        <v>1010</v>
      </c>
      <c r="D2016" t="s">
        <v>100</v>
      </c>
      <c r="E2016" t="s">
        <v>51</v>
      </c>
      <c r="F2016" t="s">
        <v>546</v>
      </c>
      <c r="G2016" t="s">
        <v>1065</v>
      </c>
      <c r="H2016" t="s">
        <v>54</v>
      </c>
      <c r="I2016">
        <v>5000</v>
      </c>
      <c r="J2016">
        <v>0</v>
      </c>
      <c r="K2016">
        <v>1</v>
      </c>
      <c r="L2016" t="s">
        <v>25</v>
      </c>
      <c r="M2016" t="s">
        <v>533</v>
      </c>
      <c r="N2016">
        <v>6.8</v>
      </c>
      <c r="O2016">
        <v>0</v>
      </c>
      <c r="P2016" t="str">
        <f>IF(T[[#This Row],[qty_ordered]]&lt;&gt;T[[#This Row],[qty_received]],IF(T[[#This Row],[qty_received]]&gt;0,"Partial Received","Not Receviced"),"FullyReceived")</f>
        <v>Not Receviced</v>
      </c>
      <c r="Q2016" t="str">
        <f>IF(T[[#This Row],[qty_received]]&lt;&gt;T[[#This Row],[qty_invoiced]],IF(T[[#This Row],[qty_invoiced]]&gt;0,"Partial Invoiced","Not Invoiced"),"Fully Invoiced")</f>
        <v>Partial Invoiced</v>
      </c>
      <c r="R2016" t="str">
        <f>IFERROR(VLOOKUP(T[[#This Row],[warehouse]],Table2[],2,FALSE),"--")</f>
        <v>--</v>
      </c>
    </row>
    <row r="2017" spans="1:18" x14ac:dyDescent="0.25">
      <c r="A2017" t="s">
        <v>955</v>
      </c>
      <c r="B2017" s="1">
        <v>44136</v>
      </c>
      <c r="C2017" t="s">
        <v>956</v>
      </c>
      <c r="D2017" t="s">
        <v>88</v>
      </c>
      <c r="E2017" t="s">
        <v>192</v>
      </c>
      <c r="F2017" t="s">
        <v>86</v>
      </c>
      <c r="G2017" t="s">
        <v>87</v>
      </c>
      <c r="H2017" t="s">
        <v>24</v>
      </c>
      <c r="I2017">
        <v>1200</v>
      </c>
      <c r="J2017">
        <v>228.96</v>
      </c>
      <c r="K2017">
        <v>228.96</v>
      </c>
      <c r="L2017" t="s">
        <v>25</v>
      </c>
      <c r="M2017" t="s">
        <v>132</v>
      </c>
      <c r="N2017">
        <v>358520.83332999999</v>
      </c>
      <c r="O2017">
        <v>82086929.999236807</v>
      </c>
      <c r="P2017" t="str">
        <f>IF(T[[#This Row],[qty_ordered]]&lt;&gt;T[[#This Row],[qty_received]],IF(T[[#This Row],[qty_received]]&gt;0,"Partial Received","Not Receviced"),"FullyReceived")</f>
        <v>Partial Received</v>
      </c>
      <c r="Q2017" t="str">
        <f>IF(T[[#This Row],[qty_received]]&lt;&gt;T[[#This Row],[qty_invoiced]],IF(T[[#This Row],[qty_invoiced]]&gt;0,"Partial Invoiced","Not Invoiced"),"Fully Invoiced")</f>
        <v>Fully Invoiced</v>
      </c>
      <c r="R2017" t="str">
        <f>IFERROR(VLOOKUP(T[[#This Row],[warehouse]],Table2[],2,FALSE),"--")</f>
        <v>BAYADER SIFTER-OMD</v>
      </c>
    </row>
    <row r="2018" spans="1:18" x14ac:dyDescent="0.25">
      <c r="A2018" t="s">
        <v>658</v>
      </c>
      <c r="B2018" s="1">
        <v>44140</v>
      </c>
      <c r="C2018" t="s">
        <v>967</v>
      </c>
      <c r="D2018" t="s">
        <v>74</v>
      </c>
      <c r="E2018" t="s">
        <v>660</v>
      </c>
      <c r="F2018" t="s">
        <v>661</v>
      </c>
      <c r="G2018" t="s">
        <v>662</v>
      </c>
      <c r="H2018" t="s">
        <v>663</v>
      </c>
      <c r="I2018">
        <v>2006.5</v>
      </c>
      <c r="J2018">
        <v>2006.5</v>
      </c>
      <c r="K2018">
        <v>2006.5</v>
      </c>
      <c r="L2018" t="s">
        <v>25</v>
      </c>
      <c r="M2018" t="s">
        <v>132</v>
      </c>
      <c r="N2018">
        <v>670</v>
      </c>
      <c r="O2018">
        <v>1344355</v>
      </c>
      <c r="P2018" t="str">
        <f>IF(T[[#This Row],[qty_ordered]]&lt;&gt;T[[#This Row],[qty_received]],IF(T[[#This Row],[qty_received]]&gt;0,"Partial Received","Not Receviced"),"FullyReceived")</f>
        <v>FullyReceived</v>
      </c>
      <c r="Q2018" t="str">
        <f>IF(T[[#This Row],[qty_received]]&lt;&gt;T[[#This Row],[qty_invoiced]],IF(T[[#This Row],[qty_invoiced]]&gt;0,"Partial Invoiced","Not Invoiced"),"Fully Invoiced")</f>
        <v>Fully Invoiced</v>
      </c>
      <c r="R2018" t="str">
        <f>IFERROR(VLOOKUP(T[[#This Row],[warehouse]],Table2[],2,FALSE),"--")</f>
        <v>SLAUGHTER HOUSE</v>
      </c>
    </row>
    <row r="2019" spans="1:18" x14ac:dyDescent="0.25">
      <c r="A2019" t="s">
        <v>493</v>
      </c>
      <c r="B2019" s="1">
        <v>44174</v>
      </c>
      <c r="C2019" t="s">
        <v>1415</v>
      </c>
      <c r="D2019" t="s">
        <v>20</v>
      </c>
      <c r="E2019" t="s">
        <v>51</v>
      </c>
      <c r="F2019" t="s">
        <v>52</v>
      </c>
      <c r="G2019" t="s">
        <v>53</v>
      </c>
      <c r="H2019" t="s">
        <v>54</v>
      </c>
      <c r="I2019">
        <v>20</v>
      </c>
      <c r="J2019">
        <v>0</v>
      </c>
      <c r="K2019">
        <v>1</v>
      </c>
      <c r="L2019" t="s">
        <v>25</v>
      </c>
      <c r="M2019" t="s">
        <v>707</v>
      </c>
      <c r="N2019">
        <v>397785</v>
      </c>
      <c r="O2019">
        <v>0</v>
      </c>
      <c r="P2019" t="str">
        <f>IF(T[[#This Row],[qty_ordered]]&lt;&gt;T[[#This Row],[qty_received]],IF(T[[#This Row],[qty_received]]&gt;0,"Partial Received","Not Receviced"),"FullyReceived")</f>
        <v>Not Receviced</v>
      </c>
      <c r="Q2019" t="str">
        <f>IF(T[[#This Row],[qty_received]]&lt;&gt;T[[#This Row],[qty_invoiced]],IF(T[[#This Row],[qty_invoiced]]&gt;0,"Partial Invoiced","Not Invoiced"),"Fully Invoiced")</f>
        <v>Partial Invoiced</v>
      </c>
      <c r="R2019" t="str">
        <f>IFERROR(VLOOKUP(T[[#This Row],[warehouse]],Table2[],2,FALSE),"--")</f>
        <v>--</v>
      </c>
    </row>
    <row r="2020" spans="1:18" x14ac:dyDescent="0.25">
      <c r="A2020" t="s">
        <v>423</v>
      </c>
      <c r="B2020" s="1">
        <v>44174</v>
      </c>
      <c r="C2020" t="s">
        <v>1267</v>
      </c>
      <c r="D2020" t="s">
        <v>20</v>
      </c>
      <c r="E2020" t="s">
        <v>51</v>
      </c>
      <c r="F2020" t="s">
        <v>818</v>
      </c>
      <c r="G2020" t="s">
        <v>1416</v>
      </c>
      <c r="H2020" t="s">
        <v>54</v>
      </c>
      <c r="I2020">
        <v>15</v>
      </c>
      <c r="J2020">
        <v>0</v>
      </c>
      <c r="K2020">
        <v>1</v>
      </c>
      <c r="L2020" t="s">
        <v>25</v>
      </c>
      <c r="M2020" t="s">
        <v>533</v>
      </c>
      <c r="N2020">
        <v>1000</v>
      </c>
      <c r="O2020">
        <v>0</v>
      </c>
      <c r="P2020" t="str">
        <f>IF(T[[#This Row],[qty_ordered]]&lt;&gt;T[[#This Row],[qty_received]],IF(T[[#This Row],[qty_received]]&gt;0,"Partial Received","Not Receviced"),"FullyReceived")</f>
        <v>Not Receviced</v>
      </c>
      <c r="Q2020" t="str">
        <f>IF(T[[#This Row],[qty_received]]&lt;&gt;T[[#This Row],[qty_invoiced]],IF(T[[#This Row],[qty_invoiced]]&gt;0,"Partial Invoiced","Not Invoiced"),"Fully Invoiced")</f>
        <v>Partial Invoiced</v>
      </c>
      <c r="R2020" t="str">
        <f>IFERROR(VLOOKUP(T[[#This Row],[warehouse]],Table2[],2,FALSE),"--")</f>
        <v>--</v>
      </c>
    </row>
    <row r="2021" spans="1:18" x14ac:dyDescent="0.25">
      <c r="A2021" t="s">
        <v>423</v>
      </c>
      <c r="B2021" s="1">
        <v>44174</v>
      </c>
      <c r="C2021" t="s">
        <v>1267</v>
      </c>
      <c r="D2021" t="s">
        <v>71</v>
      </c>
      <c r="E2021" t="s">
        <v>51</v>
      </c>
      <c r="F2021" t="s">
        <v>390</v>
      </c>
      <c r="G2021" t="s">
        <v>390</v>
      </c>
      <c r="H2021" t="s">
        <v>54</v>
      </c>
      <c r="I2021">
        <v>6</v>
      </c>
      <c r="J2021">
        <v>0</v>
      </c>
      <c r="K2021">
        <v>1</v>
      </c>
      <c r="L2021" t="s">
        <v>25</v>
      </c>
      <c r="M2021" t="s">
        <v>533</v>
      </c>
      <c r="N2021">
        <v>800</v>
      </c>
      <c r="O2021">
        <v>0</v>
      </c>
      <c r="P2021" t="str">
        <f>IF(T[[#This Row],[qty_ordered]]&lt;&gt;T[[#This Row],[qty_received]],IF(T[[#This Row],[qty_received]]&gt;0,"Partial Received","Not Receviced"),"FullyReceived")</f>
        <v>Not Receviced</v>
      </c>
      <c r="Q2021" t="str">
        <f>IF(T[[#This Row],[qty_received]]&lt;&gt;T[[#This Row],[qty_invoiced]],IF(T[[#This Row],[qty_invoiced]]&gt;0,"Partial Invoiced","Not Invoiced"),"Fully Invoiced")</f>
        <v>Partial Invoiced</v>
      </c>
      <c r="R2021" t="str">
        <f>IFERROR(VLOOKUP(T[[#This Row],[warehouse]],Table2[],2,FALSE),"--")</f>
        <v>--</v>
      </c>
    </row>
    <row r="2022" spans="1:18" x14ac:dyDescent="0.25">
      <c r="A2022" t="s">
        <v>252</v>
      </c>
      <c r="B2022" s="1">
        <v>43849</v>
      </c>
      <c r="C2022" t="s">
        <v>638</v>
      </c>
      <c r="D2022" t="s">
        <v>212</v>
      </c>
      <c r="E2022" t="s">
        <v>51</v>
      </c>
      <c r="F2022" t="s">
        <v>183</v>
      </c>
      <c r="G2022" t="s">
        <v>1417</v>
      </c>
      <c r="H2022" t="s">
        <v>54</v>
      </c>
      <c r="I2022">
        <v>266.13</v>
      </c>
      <c r="J2022">
        <v>0</v>
      </c>
      <c r="K2022">
        <v>1</v>
      </c>
      <c r="L2022" t="s">
        <v>25</v>
      </c>
      <c r="M2022" t="s">
        <v>533</v>
      </c>
      <c r="N2022">
        <v>2450</v>
      </c>
      <c r="O2022">
        <v>0</v>
      </c>
      <c r="P2022" t="str">
        <f>IF(T[[#This Row],[qty_ordered]]&lt;&gt;T[[#This Row],[qty_received]],IF(T[[#This Row],[qty_received]]&gt;0,"Partial Received","Not Receviced"),"FullyReceived")</f>
        <v>Not Receviced</v>
      </c>
      <c r="Q2022" t="str">
        <f>IF(T[[#This Row],[qty_received]]&lt;&gt;T[[#This Row],[qty_invoiced]],IF(T[[#This Row],[qty_invoiced]]&gt;0,"Partial Invoiced","Not Invoiced"),"Fully Invoiced")</f>
        <v>Partial Invoiced</v>
      </c>
      <c r="R2022" t="str">
        <f>IFERROR(VLOOKUP(T[[#This Row],[warehouse]],Table2[],2,FALSE),"--")</f>
        <v>--</v>
      </c>
    </row>
    <row r="2023" spans="1:18" x14ac:dyDescent="0.25">
      <c r="A2023" t="s">
        <v>618</v>
      </c>
      <c r="B2023" s="1">
        <v>44115</v>
      </c>
      <c r="C2023" t="s">
        <v>965</v>
      </c>
      <c r="D2023" t="s">
        <v>212</v>
      </c>
      <c r="E2023" t="s">
        <v>66</v>
      </c>
      <c r="F2023" t="s">
        <v>86</v>
      </c>
      <c r="G2023" t="s">
        <v>87</v>
      </c>
      <c r="H2023" t="s">
        <v>24</v>
      </c>
      <c r="I2023">
        <v>1052</v>
      </c>
      <c r="J2023">
        <v>0</v>
      </c>
      <c r="K2023">
        <v>0</v>
      </c>
      <c r="L2023" t="s">
        <v>25</v>
      </c>
      <c r="M2023" t="s">
        <v>132</v>
      </c>
      <c r="N2023">
        <v>285171.10265999998</v>
      </c>
      <c r="O2023">
        <v>0</v>
      </c>
      <c r="P2023" t="str">
        <f>IF(T[[#This Row],[qty_ordered]]&lt;&gt;T[[#This Row],[qty_received]],IF(T[[#This Row],[qty_received]]&gt;0,"Partial Received","Not Receviced"),"FullyReceived")</f>
        <v>Not Receviced</v>
      </c>
      <c r="Q2023" t="str">
        <f>IF(T[[#This Row],[qty_received]]&lt;&gt;T[[#This Row],[qty_invoiced]],IF(T[[#This Row],[qty_invoiced]]&gt;0,"Partial Invoiced","Not Invoiced"),"Fully Invoiced")</f>
        <v>Fully Invoiced</v>
      </c>
      <c r="R2023" t="str">
        <f>IFERROR(VLOOKUP(T[[#This Row],[warehouse]],Table2[],2,FALSE),"--")</f>
        <v>PZU Main Warehouse</v>
      </c>
    </row>
    <row r="2024" spans="1:18" x14ac:dyDescent="0.25">
      <c r="A2024" t="s">
        <v>84</v>
      </c>
      <c r="B2024" s="1">
        <v>44136</v>
      </c>
      <c r="C2024" t="s">
        <v>958</v>
      </c>
      <c r="D2024" t="s">
        <v>88</v>
      </c>
      <c r="E2024" t="s">
        <v>66</v>
      </c>
      <c r="F2024" t="s">
        <v>108</v>
      </c>
      <c r="G2024" t="s">
        <v>109</v>
      </c>
      <c r="H2024" t="s">
        <v>24</v>
      </c>
      <c r="I2024">
        <v>780</v>
      </c>
      <c r="J2024">
        <v>0</v>
      </c>
      <c r="K2024">
        <v>0</v>
      </c>
      <c r="L2024" t="s">
        <v>25</v>
      </c>
      <c r="M2024" t="s">
        <v>132</v>
      </c>
      <c r="N2024">
        <v>256410.25641</v>
      </c>
      <c r="O2024">
        <v>0</v>
      </c>
      <c r="P2024" t="str">
        <f>IF(T[[#This Row],[qty_ordered]]&lt;&gt;T[[#This Row],[qty_received]],IF(T[[#This Row],[qty_received]]&gt;0,"Partial Received","Not Receviced"),"FullyReceived")</f>
        <v>Not Receviced</v>
      </c>
      <c r="Q2024" t="str">
        <f>IF(T[[#This Row],[qty_received]]&lt;&gt;T[[#This Row],[qty_invoiced]],IF(T[[#This Row],[qty_invoiced]]&gt;0,"Partial Invoiced","Not Invoiced"),"Fully Invoiced")</f>
        <v>Fully Invoiced</v>
      </c>
      <c r="R2024" t="str">
        <f>IFERROR(VLOOKUP(T[[#This Row],[warehouse]],Table2[],2,FALSE),"--")</f>
        <v>PZU Main Warehouse</v>
      </c>
    </row>
    <row r="2025" spans="1:18" x14ac:dyDescent="0.25">
      <c r="A2025" t="s">
        <v>1170</v>
      </c>
      <c r="B2025" s="1">
        <v>44178</v>
      </c>
      <c r="C2025" t="s">
        <v>1320</v>
      </c>
      <c r="D2025" t="s">
        <v>20</v>
      </c>
      <c r="E2025" t="s">
        <v>1149</v>
      </c>
      <c r="F2025" t="s">
        <v>406</v>
      </c>
      <c r="G2025" t="s">
        <v>407</v>
      </c>
      <c r="H2025" t="s">
        <v>24</v>
      </c>
      <c r="I2025">
        <v>826.22</v>
      </c>
      <c r="J2025">
        <v>826.22</v>
      </c>
      <c r="K2025">
        <v>826.22</v>
      </c>
      <c r="L2025" t="s">
        <v>25</v>
      </c>
      <c r="M2025" t="s">
        <v>707</v>
      </c>
      <c r="N2025">
        <v>261748.571429</v>
      </c>
      <c r="O2025">
        <v>216261904.686068</v>
      </c>
      <c r="P2025" t="str">
        <f>IF(T[[#This Row],[qty_ordered]]&lt;&gt;T[[#This Row],[qty_received]],IF(T[[#This Row],[qty_received]]&gt;0,"Partial Received","Not Receviced"),"FullyReceived")</f>
        <v>FullyReceived</v>
      </c>
      <c r="Q2025" t="str">
        <f>IF(T[[#This Row],[qty_received]]&lt;&gt;T[[#This Row],[qty_invoiced]],IF(T[[#This Row],[qty_invoiced]]&gt;0,"Partial Invoiced","Not Invoiced"),"Fully Invoiced")</f>
        <v>Fully Invoiced</v>
      </c>
      <c r="R2025" t="str">
        <f>IFERROR(VLOOKUP(T[[#This Row],[warehouse]],Table2[],2,FALSE),"--")</f>
        <v>Ginning Nortix</v>
      </c>
    </row>
    <row r="2026" spans="1:18" x14ac:dyDescent="0.25">
      <c r="A2026" t="s">
        <v>534</v>
      </c>
      <c r="B2026" s="1">
        <v>43815</v>
      </c>
      <c r="C2026" t="s">
        <v>827</v>
      </c>
      <c r="D2026" t="s">
        <v>88</v>
      </c>
      <c r="E2026" t="s">
        <v>51</v>
      </c>
      <c r="F2026" t="s">
        <v>52</v>
      </c>
      <c r="G2026" t="s">
        <v>838</v>
      </c>
      <c r="H2026" t="s">
        <v>54</v>
      </c>
      <c r="I2026">
        <v>1</v>
      </c>
      <c r="J2026">
        <v>0</v>
      </c>
      <c r="K2026">
        <v>0</v>
      </c>
      <c r="L2026" t="s">
        <v>25</v>
      </c>
      <c r="M2026" t="s">
        <v>132</v>
      </c>
      <c r="N2026">
        <v>-2198.86</v>
      </c>
      <c r="O2026">
        <v>0</v>
      </c>
      <c r="P2026" t="str">
        <f>IF(T[[#This Row],[qty_ordered]]&lt;&gt;T[[#This Row],[qty_received]],IF(T[[#This Row],[qty_received]]&gt;0,"Partial Received","Not Receviced"),"FullyReceived")</f>
        <v>Not Receviced</v>
      </c>
      <c r="Q2026" t="str">
        <f>IF(T[[#This Row],[qty_received]]&lt;&gt;T[[#This Row],[qty_invoiced]],IF(T[[#This Row],[qty_invoiced]]&gt;0,"Partial Invoiced","Not Invoiced"),"Fully Invoiced")</f>
        <v>Fully Invoiced</v>
      </c>
      <c r="R2026" t="str">
        <f>IFERROR(VLOOKUP(T[[#This Row],[warehouse]],Table2[],2,FALSE),"--")</f>
        <v>--</v>
      </c>
    </row>
    <row r="2027" spans="1:18" x14ac:dyDescent="0.25">
      <c r="A2027" t="s">
        <v>534</v>
      </c>
      <c r="B2027" s="1">
        <v>43818</v>
      </c>
      <c r="C2027" t="s">
        <v>834</v>
      </c>
      <c r="D2027" t="s">
        <v>100</v>
      </c>
      <c r="E2027" t="s">
        <v>51</v>
      </c>
      <c r="F2027" t="s">
        <v>52</v>
      </c>
      <c r="G2027" t="s">
        <v>838</v>
      </c>
      <c r="H2027" t="s">
        <v>54</v>
      </c>
      <c r="I2027">
        <v>1</v>
      </c>
      <c r="J2027">
        <v>0</v>
      </c>
      <c r="K2027">
        <v>0</v>
      </c>
      <c r="L2027" t="s">
        <v>25</v>
      </c>
      <c r="M2027" t="s">
        <v>132</v>
      </c>
      <c r="N2027">
        <v>-80688.850000000006</v>
      </c>
      <c r="O2027">
        <v>0</v>
      </c>
      <c r="P2027" t="str">
        <f>IF(T[[#This Row],[qty_ordered]]&lt;&gt;T[[#This Row],[qty_received]],IF(T[[#This Row],[qty_received]]&gt;0,"Partial Received","Not Receviced"),"FullyReceived")</f>
        <v>Not Receviced</v>
      </c>
      <c r="Q2027" t="str">
        <f>IF(T[[#This Row],[qty_received]]&lt;&gt;T[[#This Row],[qty_invoiced]],IF(T[[#This Row],[qty_invoiced]]&gt;0,"Partial Invoiced","Not Invoiced"),"Fully Invoiced")</f>
        <v>Fully Invoiced</v>
      </c>
      <c r="R2027" t="str">
        <f>IFERROR(VLOOKUP(T[[#This Row],[warehouse]],Table2[],2,FALSE),"--")</f>
        <v>--</v>
      </c>
    </row>
    <row r="2028" spans="1:18" x14ac:dyDescent="0.25">
      <c r="A2028" t="s">
        <v>1059</v>
      </c>
      <c r="B2028" s="1">
        <v>44180</v>
      </c>
      <c r="C2028" t="s">
        <v>1060</v>
      </c>
      <c r="D2028" t="s">
        <v>325</v>
      </c>
      <c r="E2028" t="s">
        <v>51</v>
      </c>
      <c r="F2028" t="s">
        <v>278</v>
      </c>
      <c r="G2028" t="s">
        <v>279</v>
      </c>
      <c r="H2028" t="s">
        <v>54</v>
      </c>
      <c r="I2028">
        <v>1</v>
      </c>
      <c r="J2028">
        <v>0</v>
      </c>
      <c r="K2028">
        <v>1</v>
      </c>
      <c r="L2028" t="s">
        <v>25</v>
      </c>
      <c r="M2028" t="s">
        <v>533</v>
      </c>
      <c r="N2028">
        <v>286955</v>
      </c>
      <c r="O2028">
        <v>0</v>
      </c>
      <c r="P2028" t="str">
        <f>IF(T[[#This Row],[qty_ordered]]&lt;&gt;T[[#This Row],[qty_received]],IF(T[[#This Row],[qty_received]]&gt;0,"Partial Received","Not Receviced"),"FullyReceived")</f>
        <v>Not Receviced</v>
      </c>
      <c r="Q2028" t="str">
        <f>IF(T[[#This Row],[qty_received]]&lt;&gt;T[[#This Row],[qty_invoiced]],IF(T[[#This Row],[qty_invoiced]]&gt;0,"Partial Invoiced","Not Invoiced"),"Fully Invoiced")</f>
        <v>Partial Invoiced</v>
      </c>
      <c r="R2028" t="str">
        <f>IFERROR(VLOOKUP(T[[#This Row],[warehouse]],Table2[],2,FALSE),"--")</f>
        <v>--</v>
      </c>
    </row>
    <row r="2029" spans="1:18" x14ac:dyDescent="0.25">
      <c r="A2029" t="s">
        <v>804</v>
      </c>
      <c r="B2029" s="1">
        <v>44164</v>
      </c>
      <c r="C2029" t="s">
        <v>1012</v>
      </c>
      <c r="D2029" t="s">
        <v>71</v>
      </c>
      <c r="E2029" t="s">
        <v>51</v>
      </c>
      <c r="F2029" t="s">
        <v>806</v>
      </c>
      <c r="G2029" t="s">
        <v>806</v>
      </c>
      <c r="H2029" t="s">
        <v>54</v>
      </c>
      <c r="I2029">
        <v>295</v>
      </c>
      <c r="J2029">
        <v>0</v>
      </c>
      <c r="K2029">
        <v>1</v>
      </c>
      <c r="L2029" t="s">
        <v>25</v>
      </c>
      <c r="M2029" t="s">
        <v>707</v>
      </c>
      <c r="N2029">
        <v>1800</v>
      </c>
      <c r="O2029">
        <v>0</v>
      </c>
      <c r="P2029" t="str">
        <f>IF(T[[#This Row],[qty_ordered]]&lt;&gt;T[[#This Row],[qty_received]],IF(T[[#This Row],[qty_received]]&gt;0,"Partial Received","Not Receviced"),"FullyReceived")</f>
        <v>Not Receviced</v>
      </c>
      <c r="Q2029" t="str">
        <f>IF(T[[#This Row],[qty_received]]&lt;&gt;T[[#This Row],[qty_invoiced]],IF(T[[#This Row],[qty_invoiced]]&gt;0,"Partial Invoiced","Not Invoiced"),"Fully Invoiced")</f>
        <v>Partial Invoiced</v>
      </c>
      <c r="R2029" t="str">
        <f>IFERROR(VLOOKUP(T[[#This Row],[warehouse]],Table2[],2,FALSE),"--")</f>
        <v>--</v>
      </c>
    </row>
    <row r="2030" spans="1:18" x14ac:dyDescent="0.25">
      <c r="A2030" t="s">
        <v>804</v>
      </c>
      <c r="B2030" s="1">
        <v>44164</v>
      </c>
      <c r="C2030" t="s">
        <v>1012</v>
      </c>
      <c r="D2030" t="s">
        <v>100</v>
      </c>
      <c r="E2030" t="s">
        <v>51</v>
      </c>
      <c r="F2030" t="s">
        <v>806</v>
      </c>
      <c r="G2030" t="s">
        <v>806</v>
      </c>
      <c r="H2030" t="s">
        <v>54</v>
      </c>
      <c r="I2030">
        <v>305</v>
      </c>
      <c r="J2030">
        <v>0</v>
      </c>
      <c r="K2030">
        <v>1</v>
      </c>
      <c r="L2030" t="s">
        <v>25</v>
      </c>
      <c r="M2030" t="s">
        <v>707</v>
      </c>
      <c r="N2030">
        <v>1800</v>
      </c>
      <c r="O2030">
        <v>0</v>
      </c>
      <c r="P2030" t="str">
        <f>IF(T[[#This Row],[qty_ordered]]&lt;&gt;T[[#This Row],[qty_received]],IF(T[[#This Row],[qty_received]]&gt;0,"Partial Received","Not Receviced"),"FullyReceived")</f>
        <v>Not Receviced</v>
      </c>
      <c r="Q2030" t="str">
        <f>IF(T[[#This Row],[qty_received]]&lt;&gt;T[[#This Row],[qty_invoiced]],IF(T[[#This Row],[qty_invoiced]]&gt;0,"Partial Invoiced","Not Invoiced"),"Fully Invoiced")</f>
        <v>Partial Invoiced</v>
      </c>
      <c r="R2030" t="str">
        <f>IFERROR(VLOOKUP(T[[#This Row],[warehouse]],Table2[],2,FALSE),"--")</f>
        <v>--</v>
      </c>
    </row>
    <row r="2031" spans="1:18" x14ac:dyDescent="0.25">
      <c r="A2031" t="s">
        <v>618</v>
      </c>
      <c r="B2031" s="1">
        <v>44115</v>
      </c>
      <c r="C2031" t="s">
        <v>965</v>
      </c>
      <c r="D2031" t="s">
        <v>74</v>
      </c>
      <c r="E2031" t="s">
        <v>66</v>
      </c>
      <c r="F2031" t="s">
        <v>86</v>
      </c>
      <c r="G2031" t="s">
        <v>87</v>
      </c>
      <c r="H2031" t="s">
        <v>24</v>
      </c>
      <c r="I2031">
        <v>1122</v>
      </c>
      <c r="J2031">
        <v>0</v>
      </c>
      <c r="K2031">
        <v>0</v>
      </c>
      <c r="L2031" t="s">
        <v>25</v>
      </c>
      <c r="M2031" t="s">
        <v>132</v>
      </c>
      <c r="N2031">
        <v>336898.39572199999</v>
      </c>
      <c r="O2031">
        <v>0</v>
      </c>
      <c r="P2031" t="str">
        <f>IF(T[[#This Row],[qty_ordered]]&lt;&gt;T[[#This Row],[qty_received]],IF(T[[#This Row],[qty_received]]&gt;0,"Partial Received","Not Receviced"),"FullyReceived")</f>
        <v>Not Receviced</v>
      </c>
      <c r="Q2031" t="str">
        <f>IF(T[[#This Row],[qty_received]]&lt;&gt;T[[#This Row],[qty_invoiced]],IF(T[[#This Row],[qty_invoiced]]&gt;0,"Partial Invoiced","Not Invoiced"),"Fully Invoiced")</f>
        <v>Fully Invoiced</v>
      </c>
      <c r="R2031" t="str">
        <f>IFERROR(VLOOKUP(T[[#This Row],[warehouse]],Table2[],2,FALSE),"--")</f>
        <v>PZU Main Warehouse</v>
      </c>
    </row>
    <row r="2032" spans="1:18" x14ac:dyDescent="0.25">
      <c r="A2032" t="s">
        <v>658</v>
      </c>
      <c r="B2032" s="1">
        <v>44140</v>
      </c>
      <c r="C2032" t="s">
        <v>967</v>
      </c>
      <c r="D2032" t="s">
        <v>212</v>
      </c>
      <c r="E2032" t="s">
        <v>660</v>
      </c>
      <c r="F2032" t="s">
        <v>661</v>
      </c>
      <c r="G2032" t="s">
        <v>662</v>
      </c>
      <c r="H2032" t="s">
        <v>663</v>
      </c>
      <c r="I2032">
        <v>2016.6</v>
      </c>
      <c r="J2032">
        <v>2016.6</v>
      </c>
      <c r="K2032">
        <v>2016.6</v>
      </c>
      <c r="L2032" t="s">
        <v>25</v>
      </c>
      <c r="M2032" t="s">
        <v>132</v>
      </c>
      <c r="N2032">
        <v>600</v>
      </c>
      <c r="O2032">
        <v>1209960</v>
      </c>
      <c r="P2032" t="str">
        <f>IF(T[[#This Row],[qty_ordered]]&lt;&gt;T[[#This Row],[qty_received]],IF(T[[#This Row],[qty_received]]&gt;0,"Partial Received","Not Receviced"),"FullyReceived")</f>
        <v>FullyReceived</v>
      </c>
      <c r="Q2032" t="str">
        <f>IF(T[[#This Row],[qty_received]]&lt;&gt;T[[#This Row],[qty_invoiced]],IF(T[[#This Row],[qty_invoiced]]&gt;0,"Partial Invoiced","Not Invoiced"),"Fully Invoiced")</f>
        <v>Fully Invoiced</v>
      </c>
      <c r="R2032" t="str">
        <f>IFERROR(VLOOKUP(T[[#This Row],[warehouse]],Table2[],2,FALSE),"--")</f>
        <v>SLAUGHTER HOUSE</v>
      </c>
    </row>
    <row r="2033" spans="1:18" x14ac:dyDescent="0.25">
      <c r="A2033" t="s">
        <v>1059</v>
      </c>
      <c r="B2033" s="1">
        <v>44180</v>
      </c>
      <c r="C2033" t="s">
        <v>1060</v>
      </c>
      <c r="D2033" t="s">
        <v>451</v>
      </c>
      <c r="E2033" t="s">
        <v>51</v>
      </c>
      <c r="F2033" t="s">
        <v>390</v>
      </c>
      <c r="G2033" t="s">
        <v>390</v>
      </c>
      <c r="H2033" t="s">
        <v>54</v>
      </c>
      <c r="I2033">
        <v>1</v>
      </c>
      <c r="J2033">
        <v>0</v>
      </c>
      <c r="K2033">
        <v>1</v>
      </c>
      <c r="L2033" t="s">
        <v>25</v>
      </c>
      <c r="M2033" t="s">
        <v>533</v>
      </c>
      <c r="N2033">
        <v>2500</v>
      </c>
      <c r="O2033">
        <v>0</v>
      </c>
      <c r="P2033" t="str">
        <f>IF(T[[#This Row],[qty_ordered]]&lt;&gt;T[[#This Row],[qty_received]],IF(T[[#This Row],[qty_received]]&gt;0,"Partial Received","Not Receviced"),"FullyReceived")</f>
        <v>Not Receviced</v>
      </c>
      <c r="Q2033" t="str">
        <f>IF(T[[#This Row],[qty_received]]&lt;&gt;T[[#This Row],[qty_invoiced]],IF(T[[#This Row],[qty_invoiced]]&gt;0,"Partial Invoiced","Not Invoiced"),"Fully Invoiced")</f>
        <v>Partial Invoiced</v>
      </c>
      <c r="R2033" t="str">
        <f>IFERROR(VLOOKUP(T[[#This Row],[warehouse]],Table2[],2,FALSE),"--")</f>
        <v>--</v>
      </c>
    </row>
    <row r="2034" spans="1:18" x14ac:dyDescent="0.25">
      <c r="A2034" t="s">
        <v>1059</v>
      </c>
      <c r="B2034" s="1">
        <v>44180</v>
      </c>
      <c r="C2034" t="s">
        <v>1060</v>
      </c>
      <c r="D2034" t="s">
        <v>452</v>
      </c>
      <c r="E2034" t="s">
        <v>51</v>
      </c>
      <c r="F2034" t="s">
        <v>278</v>
      </c>
      <c r="G2034" t="s">
        <v>279</v>
      </c>
      <c r="H2034" t="s">
        <v>54</v>
      </c>
      <c r="I2034">
        <v>1</v>
      </c>
      <c r="J2034">
        <v>0</v>
      </c>
      <c r="K2034">
        <v>1</v>
      </c>
      <c r="L2034" t="s">
        <v>25</v>
      </c>
      <c r="M2034" t="s">
        <v>533</v>
      </c>
      <c r="N2034">
        <v>300666</v>
      </c>
      <c r="O2034">
        <v>0</v>
      </c>
      <c r="P2034" t="str">
        <f>IF(T[[#This Row],[qty_ordered]]&lt;&gt;T[[#This Row],[qty_received]],IF(T[[#This Row],[qty_received]]&gt;0,"Partial Received","Not Receviced"),"FullyReceived")</f>
        <v>Not Receviced</v>
      </c>
      <c r="Q2034" t="str">
        <f>IF(T[[#This Row],[qty_received]]&lt;&gt;T[[#This Row],[qty_invoiced]],IF(T[[#This Row],[qty_invoiced]]&gt;0,"Partial Invoiced","Not Invoiced"),"Fully Invoiced")</f>
        <v>Partial Invoiced</v>
      </c>
      <c r="R2034" t="str">
        <f>IFERROR(VLOOKUP(T[[#This Row],[warehouse]],Table2[],2,FALSE),"--")</f>
        <v>--</v>
      </c>
    </row>
    <row r="2035" spans="1:18" x14ac:dyDescent="0.25">
      <c r="A2035" t="s">
        <v>1059</v>
      </c>
      <c r="B2035" s="1">
        <v>44180</v>
      </c>
      <c r="C2035" t="s">
        <v>1060</v>
      </c>
      <c r="D2035" t="s">
        <v>614</v>
      </c>
      <c r="E2035" t="s">
        <v>51</v>
      </c>
      <c r="F2035" t="s">
        <v>262</v>
      </c>
      <c r="G2035" t="s">
        <v>1418</v>
      </c>
      <c r="H2035" t="s">
        <v>54</v>
      </c>
      <c r="I2035">
        <v>1</v>
      </c>
      <c r="J2035">
        <v>0</v>
      </c>
      <c r="K2035">
        <v>1</v>
      </c>
      <c r="L2035" t="s">
        <v>25</v>
      </c>
      <c r="M2035" t="s">
        <v>533</v>
      </c>
      <c r="N2035">
        <v>3005</v>
      </c>
      <c r="O2035">
        <v>0</v>
      </c>
      <c r="P2035" t="str">
        <f>IF(T[[#This Row],[qty_ordered]]&lt;&gt;T[[#This Row],[qty_received]],IF(T[[#This Row],[qty_received]]&gt;0,"Partial Received","Not Receviced"),"FullyReceived")</f>
        <v>Not Receviced</v>
      </c>
      <c r="Q2035" t="str">
        <f>IF(T[[#This Row],[qty_received]]&lt;&gt;T[[#This Row],[qty_invoiced]],IF(T[[#This Row],[qty_invoiced]]&gt;0,"Partial Invoiced","Not Invoiced"),"Fully Invoiced")</f>
        <v>Partial Invoiced</v>
      </c>
      <c r="R2035" t="str">
        <f>IFERROR(VLOOKUP(T[[#This Row],[warehouse]],Table2[],2,FALSE),"--")</f>
        <v>--</v>
      </c>
    </row>
    <row r="2036" spans="1:18" x14ac:dyDescent="0.25">
      <c r="A2036" t="s">
        <v>1059</v>
      </c>
      <c r="B2036" s="1">
        <v>44180</v>
      </c>
      <c r="C2036" t="s">
        <v>1060</v>
      </c>
      <c r="D2036" t="s">
        <v>615</v>
      </c>
      <c r="E2036" t="s">
        <v>51</v>
      </c>
      <c r="F2036" t="s">
        <v>262</v>
      </c>
      <c r="G2036" t="s">
        <v>1418</v>
      </c>
      <c r="H2036" t="s">
        <v>54</v>
      </c>
      <c r="I2036">
        <v>1</v>
      </c>
      <c r="J2036">
        <v>0</v>
      </c>
      <c r="K2036">
        <v>1</v>
      </c>
      <c r="L2036" t="s">
        <v>25</v>
      </c>
      <c r="M2036" t="s">
        <v>533</v>
      </c>
      <c r="N2036">
        <v>10965</v>
      </c>
      <c r="O2036">
        <v>0</v>
      </c>
      <c r="P2036" t="str">
        <f>IF(T[[#This Row],[qty_ordered]]&lt;&gt;T[[#This Row],[qty_received]],IF(T[[#This Row],[qty_received]]&gt;0,"Partial Received","Not Receviced"),"FullyReceived")</f>
        <v>Not Receviced</v>
      </c>
      <c r="Q2036" t="str">
        <f>IF(T[[#This Row],[qty_received]]&lt;&gt;T[[#This Row],[qty_invoiced]],IF(T[[#This Row],[qty_invoiced]]&gt;0,"Partial Invoiced","Not Invoiced"),"Fully Invoiced")</f>
        <v>Partial Invoiced</v>
      </c>
      <c r="R2036" t="str">
        <f>IFERROR(VLOOKUP(T[[#This Row],[warehouse]],Table2[],2,FALSE),"--")</f>
        <v>--</v>
      </c>
    </row>
    <row r="2037" spans="1:18" x14ac:dyDescent="0.25">
      <c r="A2037" t="s">
        <v>252</v>
      </c>
      <c r="B2037" s="1">
        <v>44186</v>
      </c>
      <c r="C2037" t="s">
        <v>1419</v>
      </c>
      <c r="D2037" t="s">
        <v>20</v>
      </c>
      <c r="E2037" t="s">
        <v>51</v>
      </c>
      <c r="F2037" t="s">
        <v>183</v>
      </c>
      <c r="G2037" t="s">
        <v>991</v>
      </c>
      <c r="H2037" t="s">
        <v>54</v>
      </c>
      <c r="I2037">
        <v>3000</v>
      </c>
      <c r="J2037">
        <v>0</v>
      </c>
      <c r="K2037">
        <v>1</v>
      </c>
      <c r="L2037" t="s">
        <v>25</v>
      </c>
      <c r="M2037" t="s">
        <v>533</v>
      </c>
      <c r="N2037">
        <v>2450</v>
      </c>
      <c r="O2037">
        <v>0</v>
      </c>
      <c r="P2037" t="str">
        <f>IF(T[[#This Row],[qty_ordered]]&lt;&gt;T[[#This Row],[qty_received]],IF(T[[#This Row],[qty_received]]&gt;0,"Partial Received","Not Receviced"),"FullyReceived")</f>
        <v>Not Receviced</v>
      </c>
      <c r="Q2037" t="str">
        <f>IF(T[[#This Row],[qty_received]]&lt;&gt;T[[#This Row],[qty_invoiced]],IF(T[[#This Row],[qty_invoiced]]&gt;0,"Partial Invoiced","Not Invoiced"),"Fully Invoiced")</f>
        <v>Partial Invoiced</v>
      </c>
      <c r="R2037" t="str">
        <f>IFERROR(VLOOKUP(T[[#This Row],[warehouse]],Table2[],2,FALSE),"--")</f>
        <v>--</v>
      </c>
    </row>
    <row r="2038" spans="1:18" x14ac:dyDescent="0.25">
      <c r="A2038" t="s">
        <v>739</v>
      </c>
      <c r="B2038" s="1">
        <v>44186</v>
      </c>
      <c r="C2038" t="s">
        <v>1069</v>
      </c>
      <c r="D2038" t="s">
        <v>20</v>
      </c>
      <c r="E2038" t="s">
        <v>660</v>
      </c>
      <c r="F2038" t="s">
        <v>705</v>
      </c>
      <c r="G2038" t="s">
        <v>706</v>
      </c>
      <c r="H2038" t="s">
        <v>663</v>
      </c>
      <c r="I2038">
        <v>2996.6</v>
      </c>
      <c r="J2038">
        <v>2996.6</v>
      </c>
      <c r="K2038">
        <v>2996.6</v>
      </c>
      <c r="L2038" t="s">
        <v>25</v>
      </c>
      <c r="M2038" t="s">
        <v>132</v>
      </c>
      <c r="N2038">
        <v>850</v>
      </c>
      <c r="O2038">
        <v>2547110</v>
      </c>
      <c r="P2038" t="str">
        <f>IF(T[[#This Row],[qty_ordered]]&lt;&gt;T[[#This Row],[qty_received]],IF(T[[#This Row],[qty_received]]&gt;0,"Partial Received","Not Receviced"),"FullyReceived")</f>
        <v>FullyReceived</v>
      </c>
      <c r="Q2038" t="str">
        <f>IF(T[[#This Row],[qty_received]]&lt;&gt;T[[#This Row],[qty_invoiced]],IF(T[[#This Row],[qty_invoiced]]&gt;0,"Partial Invoiced","Not Invoiced"),"Fully Invoiced")</f>
        <v>Fully Invoiced</v>
      </c>
      <c r="R2038" t="str">
        <f>IFERROR(VLOOKUP(T[[#This Row],[warehouse]],Table2[],2,FALSE),"--")</f>
        <v>SLAUGHTER HOUSE</v>
      </c>
    </row>
    <row r="2039" spans="1:18" x14ac:dyDescent="0.25">
      <c r="A2039" t="s">
        <v>658</v>
      </c>
      <c r="B2039" s="1">
        <v>44186</v>
      </c>
      <c r="C2039" t="s">
        <v>1070</v>
      </c>
      <c r="D2039" t="s">
        <v>20</v>
      </c>
      <c r="E2039" t="s">
        <v>660</v>
      </c>
      <c r="F2039" t="s">
        <v>661</v>
      </c>
      <c r="G2039" t="s">
        <v>662</v>
      </c>
      <c r="H2039" t="s">
        <v>663</v>
      </c>
      <c r="I2039">
        <v>2005.5</v>
      </c>
      <c r="J2039">
        <v>2005.5</v>
      </c>
      <c r="K2039">
        <v>2005.5</v>
      </c>
      <c r="L2039" t="s">
        <v>25</v>
      </c>
      <c r="M2039" t="s">
        <v>132</v>
      </c>
      <c r="N2039">
        <v>700</v>
      </c>
      <c r="O2039">
        <v>1403850</v>
      </c>
      <c r="P2039" t="str">
        <f>IF(T[[#This Row],[qty_ordered]]&lt;&gt;T[[#This Row],[qty_received]],IF(T[[#This Row],[qty_received]]&gt;0,"Partial Received","Not Receviced"),"FullyReceived")</f>
        <v>FullyReceived</v>
      </c>
      <c r="Q2039" t="str">
        <f>IF(T[[#This Row],[qty_received]]&lt;&gt;T[[#This Row],[qty_invoiced]],IF(T[[#This Row],[qty_invoiced]]&gt;0,"Partial Invoiced","Not Invoiced"),"Fully Invoiced")</f>
        <v>Fully Invoiced</v>
      </c>
      <c r="R2039" t="str">
        <f>IFERROR(VLOOKUP(T[[#This Row],[warehouse]],Table2[],2,FALSE),"--")</f>
        <v>SLAUGHTER HOUSE</v>
      </c>
    </row>
    <row r="2040" spans="1:18" x14ac:dyDescent="0.25">
      <c r="A2040" t="s">
        <v>1249</v>
      </c>
      <c r="B2040" s="1">
        <v>44146</v>
      </c>
      <c r="C2040" t="s">
        <v>1250</v>
      </c>
      <c r="D2040" t="s">
        <v>71</v>
      </c>
      <c r="E2040" t="s">
        <v>66</v>
      </c>
      <c r="F2040" t="s">
        <v>244</v>
      </c>
      <c r="G2040" t="s">
        <v>245</v>
      </c>
      <c r="H2040" t="s">
        <v>24</v>
      </c>
      <c r="I2040">
        <v>500</v>
      </c>
      <c r="J2040">
        <v>0</v>
      </c>
      <c r="K2040">
        <v>0</v>
      </c>
      <c r="L2040" t="s">
        <v>25</v>
      </c>
      <c r="M2040" t="s">
        <v>51</v>
      </c>
      <c r="N2040">
        <v>320000</v>
      </c>
      <c r="O2040">
        <v>0</v>
      </c>
      <c r="P2040" t="str">
        <f>IF(T[[#This Row],[qty_ordered]]&lt;&gt;T[[#This Row],[qty_received]],IF(T[[#This Row],[qty_received]]&gt;0,"Partial Received","Not Receviced"),"FullyReceived")</f>
        <v>Not Receviced</v>
      </c>
      <c r="Q2040" t="str">
        <f>IF(T[[#This Row],[qty_received]]&lt;&gt;T[[#This Row],[qty_invoiced]],IF(T[[#This Row],[qty_invoiced]]&gt;0,"Partial Invoiced","Not Invoiced"),"Fully Invoiced")</f>
        <v>Fully Invoiced</v>
      </c>
      <c r="R2040" t="str">
        <f>IFERROR(VLOOKUP(T[[#This Row],[warehouse]],Table2[],2,FALSE),"--")</f>
        <v>PZU Main Warehouse</v>
      </c>
    </row>
    <row r="2041" spans="1:18" x14ac:dyDescent="0.25">
      <c r="A2041" t="s">
        <v>423</v>
      </c>
      <c r="B2041" s="1">
        <v>44174</v>
      </c>
      <c r="C2041" t="s">
        <v>1267</v>
      </c>
      <c r="D2041" t="s">
        <v>76</v>
      </c>
      <c r="E2041" t="s">
        <v>51</v>
      </c>
      <c r="F2041" t="s">
        <v>546</v>
      </c>
      <c r="G2041" t="s">
        <v>1065</v>
      </c>
      <c r="H2041" t="s">
        <v>54</v>
      </c>
      <c r="I2041">
        <v>1000</v>
      </c>
      <c r="J2041">
        <v>0</v>
      </c>
      <c r="K2041">
        <v>1</v>
      </c>
      <c r="L2041" t="s">
        <v>25</v>
      </c>
      <c r="M2041" t="s">
        <v>533</v>
      </c>
      <c r="N2041">
        <v>29.5</v>
      </c>
      <c r="O2041">
        <v>0</v>
      </c>
      <c r="P2041" t="str">
        <f>IF(T[[#This Row],[qty_ordered]]&lt;&gt;T[[#This Row],[qty_received]],IF(T[[#This Row],[qty_received]]&gt;0,"Partial Received","Not Receviced"),"FullyReceived")</f>
        <v>Not Receviced</v>
      </c>
      <c r="Q2041" t="str">
        <f>IF(T[[#This Row],[qty_received]]&lt;&gt;T[[#This Row],[qty_invoiced]],IF(T[[#This Row],[qty_invoiced]]&gt;0,"Partial Invoiced","Not Invoiced"),"Fully Invoiced")</f>
        <v>Partial Invoiced</v>
      </c>
      <c r="R2041" t="str">
        <f>IFERROR(VLOOKUP(T[[#This Row],[warehouse]],Table2[],2,FALSE),"--")</f>
        <v>--</v>
      </c>
    </row>
    <row r="2042" spans="1:18" x14ac:dyDescent="0.25">
      <c r="A2042" t="s">
        <v>1235</v>
      </c>
      <c r="B2042" s="1">
        <v>44368</v>
      </c>
      <c r="C2042" t="s">
        <v>1398</v>
      </c>
      <c r="D2042" t="s">
        <v>71</v>
      </c>
      <c r="E2042" t="s">
        <v>660</v>
      </c>
      <c r="F2042" t="s">
        <v>1042</v>
      </c>
      <c r="G2042" t="s">
        <v>1043</v>
      </c>
      <c r="H2042" t="s">
        <v>663</v>
      </c>
      <c r="I2042">
        <v>0</v>
      </c>
      <c r="J2042">
        <v>0</v>
      </c>
      <c r="K2042">
        <v>0</v>
      </c>
      <c r="L2042" t="s">
        <v>25</v>
      </c>
      <c r="M2042" t="s">
        <v>132</v>
      </c>
      <c r="N2042">
        <v>1609.2270000000001</v>
      </c>
      <c r="O2042">
        <v>0</v>
      </c>
      <c r="P2042" t="str">
        <f>IF(T[[#This Row],[qty_ordered]]&lt;&gt;T[[#This Row],[qty_received]],IF(T[[#This Row],[qty_received]]&gt;0,"Partial Received","Not Receviced"),"FullyReceived")</f>
        <v>FullyReceived</v>
      </c>
      <c r="Q2042" t="str">
        <f>IF(T[[#This Row],[qty_received]]&lt;&gt;T[[#This Row],[qty_invoiced]],IF(T[[#This Row],[qty_invoiced]]&gt;0,"Partial Invoiced","Not Invoiced"),"Fully Invoiced")</f>
        <v>Fully Invoiced</v>
      </c>
      <c r="R2042" t="str">
        <f>IFERROR(VLOOKUP(T[[#This Row],[warehouse]],Table2[],2,FALSE),"--")</f>
        <v>SLAUGHTER HOUSE</v>
      </c>
    </row>
    <row r="2043" spans="1:18" x14ac:dyDescent="0.25">
      <c r="A2043" t="s">
        <v>1040</v>
      </c>
      <c r="B2043" s="1">
        <v>44369</v>
      </c>
      <c r="C2043" t="s">
        <v>1420</v>
      </c>
      <c r="D2043" t="s">
        <v>71</v>
      </c>
      <c r="E2043" t="s">
        <v>660</v>
      </c>
      <c r="F2043" t="s">
        <v>1042</v>
      </c>
      <c r="G2043" t="s">
        <v>1043</v>
      </c>
      <c r="H2043" t="s">
        <v>663</v>
      </c>
      <c r="I2043">
        <v>4919.8999999999996</v>
      </c>
      <c r="J2043">
        <v>4919.8999999999996</v>
      </c>
      <c r="K2043">
        <v>4919.8999999999996</v>
      </c>
      <c r="L2043" t="s">
        <v>25</v>
      </c>
      <c r="M2043" t="s">
        <v>132</v>
      </c>
      <c r="N2043">
        <v>2200.3440000000001</v>
      </c>
      <c r="O2043">
        <v>11991911.857000001</v>
      </c>
      <c r="P2043" t="str">
        <f>IF(T[[#This Row],[qty_ordered]]&lt;&gt;T[[#This Row],[qty_received]],IF(T[[#This Row],[qty_received]]&gt;0,"Partial Received","Not Receviced"),"FullyReceived")</f>
        <v>FullyReceived</v>
      </c>
      <c r="Q2043" t="str">
        <f>IF(T[[#This Row],[qty_received]]&lt;&gt;T[[#This Row],[qty_invoiced]],IF(T[[#This Row],[qty_invoiced]]&gt;0,"Partial Invoiced","Not Invoiced"),"Fully Invoiced")</f>
        <v>Fully Invoiced</v>
      </c>
      <c r="R2043" t="str">
        <f>IFERROR(VLOOKUP(T[[#This Row],[warehouse]],Table2[],2,FALSE),"--")</f>
        <v>SLAUGHTER HOUSE</v>
      </c>
    </row>
    <row r="2044" spans="1:18" x14ac:dyDescent="0.25">
      <c r="A2044" t="s">
        <v>1114</v>
      </c>
      <c r="B2044" s="1">
        <v>44347</v>
      </c>
      <c r="C2044" t="s">
        <v>1336</v>
      </c>
      <c r="D2044" t="s">
        <v>322</v>
      </c>
      <c r="E2044" t="s">
        <v>660</v>
      </c>
      <c r="F2044" t="s">
        <v>1042</v>
      </c>
      <c r="G2044" t="s">
        <v>1043</v>
      </c>
      <c r="H2044" t="s">
        <v>663</v>
      </c>
      <c r="I2044">
        <v>5888.8</v>
      </c>
      <c r="J2044">
        <v>5888.8</v>
      </c>
      <c r="K2044">
        <v>5888.8</v>
      </c>
      <c r="L2044" t="s">
        <v>25</v>
      </c>
      <c r="M2044" t="s">
        <v>132</v>
      </c>
      <c r="N2044">
        <v>3060.09</v>
      </c>
      <c r="O2044">
        <v>18020257.991999999</v>
      </c>
      <c r="P2044" t="str">
        <f>IF(T[[#This Row],[qty_ordered]]&lt;&gt;T[[#This Row],[qty_received]],IF(T[[#This Row],[qty_received]]&gt;0,"Partial Received","Not Receviced"),"FullyReceived")</f>
        <v>FullyReceived</v>
      </c>
      <c r="Q2044" t="str">
        <f>IF(T[[#This Row],[qty_received]]&lt;&gt;T[[#This Row],[qty_invoiced]],IF(T[[#This Row],[qty_invoiced]]&gt;0,"Partial Invoiced","Not Invoiced"),"Fully Invoiced")</f>
        <v>Fully Invoiced</v>
      </c>
      <c r="R2044" t="str">
        <f>IFERROR(VLOOKUP(T[[#This Row],[warehouse]],Table2[],2,FALSE),"--")</f>
        <v>SLAUGHTER HOUSE</v>
      </c>
    </row>
    <row r="2045" spans="1:18" x14ac:dyDescent="0.25">
      <c r="A2045" t="s">
        <v>1040</v>
      </c>
      <c r="B2045" s="1">
        <v>44369</v>
      </c>
      <c r="C2045" t="s">
        <v>1420</v>
      </c>
      <c r="D2045" t="s">
        <v>100</v>
      </c>
      <c r="E2045" t="s">
        <v>660</v>
      </c>
      <c r="F2045" t="s">
        <v>1042</v>
      </c>
      <c r="G2045" t="s">
        <v>1043</v>
      </c>
      <c r="H2045" t="s">
        <v>663</v>
      </c>
      <c r="I2045">
        <v>9209.7999999999993</v>
      </c>
      <c r="J2045">
        <v>9209.7999999999993</v>
      </c>
      <c r="K2045">
        <v>9209.7999999999993</v>
      </c>
      <c r="L2045" t="s">
        <v>25</v>
      </c>
      <c r="M2045" t="s">
        <v>132</v>
      </c>
      <c r="N2045">
        <v>2200.3440000000001</v>
      </c>
      <c r="O2045">
        <v>22379814</v>
      </c>
      <c r="P2045" t="str">
        <f>IF(T[[#This Row],[qty_ordered]]&lt;&gt;T[[#This Row],[qty_received]],IF(T[[#This Row],[qty_received]]&gt;0,"Partial Received","Not Receviced"),"FullyReceived")</f>
        <v>FullyReceived</v>
      </c>
      <c r="Q2045" t="str">
        <f>IF(T[[#This Row],[qty_received]]&lt;&gt;T[[#This Row],[qty_invoiced]],IF(T[[#This Row],[qty_invoiced]]&gt;0,"Partial Invoiced","Not Invoiced"),"Fully Invoiced")</f>
        <v>Fully Invoiced</v>
      </c>
      <c r="R2045" t="str">
        <f>IFERROR(VLOOKUP(T[[#This Row],[warehouse]],Table2[],2,FALSE),"--")</f>
        <v>SLAUGHTER HOUSE</v>
      </c>
    </row>
    <row r="2046" spans="1:18" x14ac:dyDescent="0.25">
      <c r="A2046" t="s">
        <v>955</v>
      </c>
      <c r="B2046" s="1">
        <v>44360</v>
      </c>
      <c r="C2046" t="s">
        <v>1390</v>
      </c>
      <c r="D2046" t="s">
        <v>71</v>
      </c>
      <c r="E2046" t="s">
        <v>1421</v>
      </c>
      <c r="F2046" t="s">
        <v>300</v>
      </c>
      <c r="G2046" t="s">
        <v>301</v>
      </c>
      <c r="H2046" t="s">
        <v>24</v>
      </c>
      <c r="I2046">
        <v>500</v>
      </c>
      <c r="J2046">
        <v>32.44</v>
      </c>
      <c r="K2046">
        <v>32.44</v>
      </c>
      <c r="L2046" t="s">
        <v>25</v>
      </c>
      <c r="M2046" t="s">
        <v>132</v>
      </c>
      <c r="N2046">
        <v>330000</v>
      </c>
      <c r="O2046">
        <v>10705200</v>
      </c>
      <c r="P2046" t="str">
        <f>IF(T[[#This Row],[qty_ordered]]&lt;&gt;T[[#This Row],[qty_received]],IF(T[[#This Row],[qty_received]]&gt;0,"Partial Received","Not Receviced"),"FullyReceived")</f>
        <v>Partial Received</v>
      </c>
      <c r="Q2046" t="str">
        <f>IF(T[[#This Row],[qty_received]]&lt;&gt;T[[#This Row],[qty_invoiced]],IF(T[[#This Row],[qty_invoiced]]&gt;0,"Partial Invoiced","Not Invoiced"),"Fully Invoiced")</f>
        <v>Fully Invoiced</v>
      </c>
      <c r="R2046" t="str">
        <f>IFERROR(VLOOKUP(T[[#This Row],[warehouse]],Table2[],2,FALSE),"--")</f>
        <v>Sifting ELKBIER PZU</v>
      </c>
    </row>
    <row r="2047" spans="1:18" x14ac:dyDescent="0.25">
      <c r="A2047" t="s">
        <v>1422</v>
      </c>
      <c r="B2047" s="1">
        <v>44406</v>
      </c>
      <c r="C2047" t="s">
        <v>1423</v>
      </c>
      <c r="D2047" t="s">
        <v>20</v>
      </c>
      <c r="E2047" t="s">
        <v>162</v>
      </c>
      <c r="F2047" t="s">
        <v>103</v>
      </c>
      <c r="G2047" t="s">
        <v>104</v>
      </c>
      <c r="H2047" t="s">
        <v>24</v>
      </c>
      <c r="I2047">
        <v>16.34</v>
      </c>
      <c r="J2047">
        <v>16.34</v>
      </c>
      <c r="K2047">
        <v>16.34</v>
      </c>
      <c r="L2047" t="s">
        <v>25</v>
      </c>
      <c r="M2047" t="s">
        <v>707</v>
      </c>
      <c r="N2047">
        <v>245000</v>
      </c>
      <c r="O2047">
        <v>4003300</v>
      </c>
      <c r="P2047" t="str">
        <f>IF(T[[#This Row],[qty_ordered]]&lt;&gt;T[[#This Row],[qty_received]],IF(T[[#This Row],[qty_received]]&gt;0,"Partial Received","Not Receviced"),"FullyReceived")</f>
        <v>FullyReceived</v>
      </c>
      <c r="Q2047" t="str">
        <f>IF(T[[#This Row],[qty_received]]&lt;&gt;T[[#This Row],[qty_invoiced]],IF(T[[#This Row],[qty_invoiced]]&gt;0,"Partial Invoiced","Not Invoiced"),"Fully Invoiced")</f>
        <v>Fully Invoiced</v>
      </c>
      <c r="R2047" t="str">
        <f>IFERROR(VLOOKUP(T[[#This Row],[warehouse]],Table2[],2,FALSE),"--")</f>
        <v>Sifters Mahasilna</v>
      </c>
    </row>
    <row r="2048" spans="1:18" x14ac:dyDescent="0.25">
      <c r="A2048" t="s">
        <v>235</v>
      </c>
      <c r="B2048" s="1">
        <v>44160</v>
      </c>
      <c r="C2048" t="s">
        <v>1000</v>
      </c>
      <c r="D2048" t="s">
        <v>614</v>
      </c>
      <c r="E2048" t="s">
        <v>51</v>
      </c>
      <c r="F2048" t="s">
        <v>546</v>
      </c>
      <c r="G2048" t="s">
        <v>1063</v>
      </c>
      <c r="H2048" t="s">
        <v>54</v>
      </c>
      <c r="I2048">
        <v>2700</v>
      </c>
      <c r="J2048">
        <v>0</v>
      </c>
      <c r="K2048">
        <v>1</v>
      </c>
      <c r="L2048" t="s">
        <v>25</v>
      </c>
      <c r="M2048" t="s">
        <v>533</v>
      </c>
      <c r="N2048">
        <v>13</v>
      </c>
      <c r="O2048">
        <v>0</v>
      </c>
      <c r="P2048" t="str">
        <f>IF(T[[#This Row],[qty_ordered]]&lt;&gt;T[[#This Row],[qty_received]],IF(T[[#This Row],[qty_received]]&gt;0,"Partial Received","Not Receviced"),"FullyReceived")</f>
        <v>Not Receviced</v>
      </c>
      <c r="Q2048" t="str">
        <f>IF(T[[#This Row],[qty_received]]&lt;&gt;T[[#This Row],[qty_invoiced]],IF(T[[#This Row],[qty_invoiced]]&gt;0,"Partial Invoiced","Not Invoiced"),"Fully Invoiced")</f>
        <v>Partial Invoiced</v>
      </c>
      <c r="R2048" t="str">
        <f>IFERROR(VLOOKUP(T[[#This Row],[warehouse]],Table2[],2,FALSE),"--")</f>
        <v>--</v>
      </c>
    </row>
    <row r="2049" spans="1:18" x14ac:dyDescent="0.25">
      <c r="A2049" t="s">
        <v>235</v>
      </c>
      <c r="B2049" s="1">
        <v>44160</v>
      </c>
      <c r="C2049" t="s">
        <v>1000</v>
      </c>
      <c r="D2049" t="s">
        <v>615</v>
      </c>
      <c r="E2049" t="s">
        <v>51</v>
      </c>
      <c r="F2049" t="s">
        <v>546</v>
      </c>
      <c r="G2049" t="s">
        <v>1063</v>
      </c>
      <c r="H2049" t="s">
        <v>54</v>
      </c>
      <c r="I2049">
        <v>10000</v>
      </c>
      <c r="J2049">
        <v>0</v>
      </c>
      <c r="K2049">
        <v>1</v>
      </c>
      <c r="L2049" t="s">
        <v>25</v>
      </c>
      <c r="M2049" t="s">
        <v>533</v>
      </c>
      <c r="N2049">
        <v>13</v>
      </c>
      <c r="O2049">
        <v>0</v>
      </c>
      <c r="P2049" t="str">
        <f>IF(T[[#This Row],[qty_ordered]]&lt;&gt;T[[#This Row],[qty_received]],IF(T[[#This Row],[qty_received]]&gt;0,"Partial Received","Not Receviced"),"FullyReceived")</f>
        <v>Not Receviced</v>
      </c>
      <c r="Q2049" t="str">
        <f>IF(T[[#This Row],[qty_received]]&lt;&gt;T[[#This Row],[qty_invoiced]],IF(T[[#This Row],[qty_invoiced]]&gt;0,"Partial Invoiced","Not Invoiced"),"Fully Invoiced")</f>
        <v>Partial Invoiced</v>
      </c>
      <c r="R2049" t="str">
        <f>IFERROR(VLOOKUP(T[[#This Row],[warehouse]],Table2[],2,FALSE),"--")</f>
        <v>--</v>
      </c>
    </row>
    <row r="2050" spans="1:18" x14ac:dyDescent="0.25">
      <c r="A2050" t="s">
        <v>560</v>
      </c>
      <c r="B2050" s="1">
        <v>44404</v>
      </c>
      <c r="C2050" t="s">
        <v>1424</v>
      </c>
      <c r="D2050" t="s">
        <v>20</v>
      </c>
      <c r="E2050" t="s">
        <v>51</v>
      </c>
      <c r="F2050" t="s">
        <v>52</v>
      </c>
      <c r="G2050" t="s">
        <v>1425</v>
      </c>
      <c r="H2050" t="s">
        <v>54</v>
      </c>
      <c r="I2050">
        <v>35</v>
      </c>
      <c r="J2050">
        <v>0</v>
      </c>
      <c r="K2050">
        <v>1</v>
      </c>
      <c r="L2050" t="s">
        <v>693</v>
      </c>
      <c r="M2050" t="s">
        <v>707</v>
      </c>
      <c r="N2050">
        <v>1530</v>
      </c>
      <c r="O2050">
        <v>0</v>
      </c>
      <c r="P2050" t="str">
        <f>IF(T[[#This Row],[qty_ordered]]&lt;&gt;T[[#This Row],[qty_received]],IF(T[[#This Row],[qty_received]]&gt;0,"Partial Received","Not Receviced"),"FullyReceived")</f>
        <v>Not Receviced</v>
      </c>
      <c r="Q2050" t="str">
        <f>IF(T[[#This Row],[qty_received]]&lt;&gt;T[[#This Row],[qty_invoiced]],IF(T[[#This Row],[qty_invoiced]]&gt;0,"Partial Invoiced","Not Invoiced"),"Fully Invoiced")</f>
        <v>Partial Invoiced</v>
      </c>
      <c r="R2050" t="str">
        <f>IFERROR(VLOOKUP(T[[#This Row],[warehouse]],Table2[],2,FALSE),"--")</f>
        <v>--</v>
      </c>
    </row>
    <row r="2051" spans="1:18" x14ac:dyDescent="0.25">
      <c r="A2051" t="s">
        <v>560</v>
      </c>
      <c r="B2051" s="1">
        <v>44404</v>
      </c>
      <c r="C2051" t="s">
        <v>1424</v>
      </c>
      <c r="D2051" t="s">
        <v>71</v>
      </c>
      <c r="E2051" t="s">
        <v>51</v>
      </c>
      <c r="F2051" t="s">
        <v>52</v>
      </c>
      <c r="G2051" t="s">
        <v>1425</v>
      </c>
      <c r="H2051" t="s">
        <v>54</v>
      </c>
      <c r="I2051">
        <v>39</v>
      </c>
      <c r="J2051">
        <v>0</v>
      </c>
      <c r="K2051">
        <v>1</v>
      </c>
      <c r="L2051" t="s">
        <v>693</v>
      </c>
      <c r="M2051" t="s">
        <v>707</v>
      </c>
      <c r="N2051">
        <v>1530</v>
      </c>
      <c r="O2051">
        <v>0</v>
      </c>
      <c r="P2051" t="str">
        <f>IF(T[[#This Row],[qty_ordered]]&lt;&gt;T[[#This Row],[qty_received]],IF(T[[#This Row],[qty_received]]&gt;0,"Partial Received","Not Receviced"),"FullyReceived")</f>
        <v>Not Receviced</v>
      </c>
      <c r="Q2051" t="str">
        <f>IF(T[[#This Row],[qty_received]]&lt;&gt;T[[#This Row],[qty_invoiced]],IF(T[[#This Row],[qty_invoiced]]&gt;0,"Partial Invoiced","Not Invoiced"),"Fully Invoiced")</f>
        <v>Partial Invoiced</v>
      </c>
      <c r="R2051" t="str">
        <f>IFERROR(VLOOKUP(T[[#This Row],[warehouse]],Table2[],2,FALSE),"--")</f>
        <v>--</v>
      </c>
    </row>
    <row r="2052" spans="1:18" x14ac:dyDescent="0.25">
      <c r="A2052" t="s">
        <v>1044</v>
      </c>
      <c r="B2052" s="1">
        <v>44346</v>
      </c>
      <c r="C2052" t="s">
        <v>1426</v>
      </c>
      <c r="D2052" t="s">
        <v>100</v>
      </c>
      <c r="E2052" t="s">
        <v>51</v>
      </c>
      <c r="F2052" t="s">
        <v>52</v>
      </c>
      <c r="G2052" t="s">
        <v>1427</v>
      </c>
      <c r="H2052" t="s">
        <v>54</v>
      </c>
      <c r="I2052">
        <v>12</v>
      </c>
      <c r="J2052">
        <v>0</v>
      </c>
      <c r="K2052">
        <v>0</v>
      </c>
      <c r="L2052" t="s">
        <v>25</v>
      </c>
      <c r="M2052" t="s">
        <v>132</v>
      </c>
      <c r="N2052">
        <v>12000</v>
      </c>
      <c r="O2052">
        <v>0</v>
      </c>
      <c r="P2052" t="str">
        <f>IF(T[[#This Row],[qty_ordered]]&lt;&gt;T[[#This Row],[qty_received]],IF(T[[#This Row],[qty_received]]&gt;0,"Partial Received","Not Receviced"),"FullyReceived")</f>
        <v>Not Receviced</v>
      </c>
      <c r="Q2052" t="str">
        <f>IF(T[[#This Row],[qty_received]]&lt;&gt;T[[#This Row],[qty_invoiced]],IF(T[[#This Row],[qty_invoiced]]&gt;0,"Partial Invoiced","Not Invoiced"),"Fully Invoiced")</f>
        <v>Fully Invoiced</v>
      </c>
      <c r="R2052" t="str">
        <f>IFERROR(VLOOKUP(T[[#This Row],[warehouse]],Table2[],2,FALSE),"--")</f>
        <v>--</v>
      </c>
    </row>
    <row r="2053" spans="1:18" x14ac:dyDescent="0.25">
      <c r="A2053" t="s">
        <v>228</v>
      </c>
      <c r="B2053" s="1">
        <v>44341</v>
      </c>
      <c r="C2053" t="s">
        <v>1428</v>
      </c>
      <c r="D2053" t="s">
        <v>100</v>
      </c>
      <c r="E2053" t="s">
        <v>621</v>
      </c>
      <c r="F2053" t="s">
        <v>196</v>
      </c>
      <c r="G2053" t="s">
        <v>197</v>
      </c>
      <c r="H2053" t="s">
        <v>24</v>
      </c>
      <c r="I2053">
        <v>2015</v>
      </c>
      <c r="J2053">
        <v>0</v>
      </c>
      <c r="K2053">
        <v>0</v>
      </c>
      <c r="L2053" t="s">
        <v>25</v>
      </c>
      <c r="M2053" t="s">
        <v>132</v>
      </c>
      <c r="N2053">
        <v>98414.859813000003</v>
      </c>
      <c r="O2053">
        <v>0</v>
      </c>
      <c r="P2053" t="str">
        <f>IF(T[[#This Row],[qty_ordered]]&lt;&gt;T[[#This Row],[qty_received]],IF(T[[#This Row],[qty_received]]&gt;0,"Partial Received","Not Receviced"),"FullyReceived")</f>
        <v>Not Receviced</v>
      </c>
      <c r="Q2053" t="str">
        <f>IF(T[[#This Row],[qty_received]]&lt;&gt;T[[#This Row],[qty_invoiced]],IF(T[[#This Row],[qty_invoiced]]&gt;0,"Partial Invoiced","Not Invoiced"),"Fully Invoiced")</f>
        <v>Fully Invoiced</v>
      </c>
      <c r="R2053" t="str">
        <f>IFERROR(VLOOKUP(T[[#This Row],[warehouse]],Table2[],2,FALSE),"--")</f>
        <v>SIFTER CONCRETE SILO</v>
      </c>
    </row>
    <row r="2054" spans="1:18" x14ac:dyDescent="0.25">
      <c r="A2054" t="s">
        <v>955</v>
      </c>
      <c r="B2054" s="1">
        <v>44413</v>
      </c>
      <c r="C2054" t="s">
        <v>1429</v>
      </c>
      <c r="D2054" t="s">
        <v>20</v>
      </c>
      <c r="E2054" t="s">
        <v>1430</v>
      </c>
      <c r="F2054" t="s">
        <v>130</v>
      </c>
      <c r="G2054" t="s">
        <v>131</v>
      </c>
      <c r="H2054" t="s">
        <v>24</v>
      </c>
      <c r="I2054">
        <v>1000</v>
      </c>
      <c r="J2054">
        <v>25.82</v>
      </c>
      <c r="K2054">
        <v>25.82</v>
      </c>
      <c r="L2054" t="s">
        <v>693</v>
      </c>
      <c r="M2054" t="s">
        <v>707</v>
      </c>
      <c r="N2054">
        <v>215307.6</v>
      </c>
      <c r="O2054">
        <v>5559242.2319999998</v>
      </c>
      <c r="P2054" t="str">
        <f>IF(T[[#This Row],[qty_ordered]]&lt;&gt;T[[#This Row],[qty_received]],IF(T[[#This Row],[qty_received]]&gt;0,"Partial Received","Not Receviced"),"FullyReceived")</f>
        <v>Partial Received</v>
      </c>
      <c r="Q2054" t="str">
        <f>IF(T[[#This Row],[qty_received]]&lt;&gt;T[[#This Row],[qty_invoiced]],IF(T[[#This Row],[qty_invoiced]]&gt;0,"Partial Invoiced","Not Invoiced"),"Fully Invoiced")</f>
        <v>Fully Invoiced</v>
      </c>
      <c r="R2054" t="str">
        <f>IFERROR(VLOOKUP(T[[#This Row],[warehouse]],Table2[],2,FALSE),"--")</f>
        <v>Obaid Gum Arabic Centre</v>
      </c>
    </row>
    <row r="2055" spans="1:18" x14ac:dyDescent="0.25">
      <c r="A2055" t="s">
        <v>955</v>
      </c>
      <c r="B2055" s="1">
        <v>44413</v>
      </c>
      <c r="C2055" t="s">
        <v>1431</v>
      </c>
      <c r="D2055" t="s">
        <v>20</v>
      </c>
      <c r="E2055" t="s">
        <v>1430</v>
      </c>
      <c r="F2055" t="s">
        <v>691</v>
      </c>
      <c r="G2055" t="s">
        <v>478</v>
      </c>
      <c r="H2055" t="s">
        <v>24</v>
      </c>
      <c r="I2055">
        <v>1000</v>
      </c>
      <c r="J2055">
        <v>183.4</v>
      </c>
      <c r="K2055">
        <v>183.4</v>
      </c>
      <c r="L2055" t="s">
        <v>693</v>
      </c>
      <c r="M2055" t="s">
        <v>707</v>
      </c>
      <c r="N2055">
        <v>600000</v>
      </c>
      <c r="O2055">
        <v>110040000</v>
      </c>
      <c r="P2055" t="str">
        <f>IF(T[[#This Row],[qty_ordered]]&lt;&gt;T[[#This Row],[qty_received]],IF(T[[#This Row],[qty_received]]&gt;0,"Partial Received","Not Receviced"),"FullyReceived")</f>
        <v>Partial Received</v>
      </c>
      <c r="Q2055" t="str">
        <f>IF(T[[#This Row],[qty_received]]&lt;&gt;T[[#This Row],[qty_invoiced]],IF(T[[#This Row],[qty_invoiced]]&gt;0,"Partial Invoiced","Not Invoiced"),"Fully Invoiced")</f>
        <v>Fully Invoiced</v>
      </c>
      <c r="R2055" t="str">
        <f>IFERROR(VLOOKUP(T[[#This Row],[warehouse]],Table2[],2,FALSE),"--")</f>
        <v>Obaid Gum Arabic Centre</v>
      </c>
    </row>
    <row r="2056" spans="1:18" x14ac:dyDescent="0.25">
      <c r="A2056" t="s">
        <v>618</v>
      </c>
      <c r="B2056" s="1">
        <v>44417</v>
      </c>
      <c r="C2056" t="s">
        <v>1432</v>
      </c>
      <c r="D2056" t="s">
        <v>20</v>
      </c>
      <c r="E2056" t="s">
        <v>162</v>
      </c>
      <c r="F2056" t="s">
        <v>86</v>
      </c>
      <c r="G2056" t="s">
        <v>87</v>
      </c>
      <c r="H2056" t="s">
        <v>24</v>
      </c>
      <c r="I2056">
        <v>559.36</v>
      </c>
      <c r="J2056">
        <v>559.36</v>
      </c>
      <c r="K2056">
        <v>559.36</v>
      </c>
      <c r="L2056" t="s">
        <v>25</v>
      </c>
      <c r="M2056" t="s">
        <v>132</v>
      </c>
      <c r="N2056">
        <v>545454.54545500001</v>
      </c>
      <c r="O2056">
        <v>305105454.54570901</v>
      </c>
      <c r="P2056" t="str">
        <f>IF(T[[#This Row],[qty_ordered]]&lt;&gt;T[[#This Row],[qty_received]],IF(T[[#This Row],[qty_received]]&gt;0,"Partial Received","Not Receviced"),"FullyReceived")</f>
        <v>FullyReceived</v>
      </c>
      <c r="Q2056" t="str">
        <f>IF(T[[#This Row],[qty_received]]&lt;&gt;T[[#This Row],[qty_invoiced]],IF(T[[#This Row],[qty_invoiced]]&gt;0,"Partial Invoiced","Not Invoiced"),"Fully Invoiced")</f>
        <v>Fully Invoiced</v>
      </c>
      <c r="R2056" t="str">
        <f>IFERROR(VLOOKUP(T[[#This Row],[warehouse]],Table2[],2,FALSE),"--")</f>
        <v>Sifters Mahasilna</v>
      </c>
    </row>
    <row r="2057" spans="1:18" x14ac:dyDescent="0.25">
      <c r="A2057" t="s">
        <v>1433</v>
      </c>
      <c r="B2057" s="1">
        <v>44419</v>
      </c>
      <c r="C2057" t="s">
        <v>1434</v>
      </c>
      <c r="D2057" t="s">
        <v>20</v>
      </c>
      <c r="E2057" t="s">
        <v>1285</v>
      </c>
      <c r="F2057" t="s">
        <v>1338</v>
      </c>
      <c r="G2057" t="s">
        <v>1339</v>
      </c>
      <c r="H2057" t="s">
        <v>123</v>
      </c>
      <c r="I2057">
        <v>10000</v>
      </c>
      <c r="J2057">
        <v>3698</v>
      </c>
      <c r="K2057">
        <v>3698</v>
      </c>
      <c r="L2057" t="s">
        <v>25</v>
      </c>
      <c r="M2057" t="s">
        <v>132</v>
      </c>
      <c r="N2057">
        <v>13400</v>
      </c>
      <c r="O2057">
        <v>49553200</v>
      </c>
      <c r="P2057" t="str">
        <f>IF(T[[#This Row],[qty_ordered]]&lt;&gt;T[[#This Row],[qty_received]],IF(T[[#This Row],[qty_received]]&gt;0,"Partial Received","Not Receviced"),"FullyReceived")</f>
        <v>Partial Received</v>
      </c>
      <c r="Q2057" t="str">
        <f>IF(T[[#This Row],[qty_received]]&lt;&gt;T[[#This Row],[qty_invoiced]],IF(T[[#This Row],[qty_invoiced]]&gt;0,"Partial Invoiced","Not Invoiced"),"Fully Invoiced")</f>
        <v>Fully Invoiced</v>
      </c>
      <c r="R2057" t="str">
        <f>IFERROR(VLOOKUP(T[[#This Row],[warehouse]],Table2[],2,FALSE),"--")</f>
        <v>Khartoum Import Warehouse</v>
      </c>
    </row>
    <row r="2058" spans="1:18" x14ac:dyDescent="0.25">
      <c r="A2058" t="s">
        <v>1118</v>
      </c>
      <c r="B2058" s="1">
        <v>44378</v>
      </c>
      <c r="C2058" t="s">
        <v>1405</v>
      </c>
      <c r="D2058" t="s">
        <v>74</v>
      </c>
      <c r="E2058" t="s">
        <v>660</v>
      </c>
      <c r="F2058" t="s">
        <v>1042</v>
      </c>
      <c r="G2058" t="s">
        <v>1043</v>
      </c>
      <c r="H2058" t="s">
        <v>663</v>
      </c>
      <c r="I2058">
        <v>5737.7</v>
      </c>
      <c r="J2058">
        <v>5737.7</v>
      </c>
      <c r="K2058">
        <v>5737.7</v>
      </c>
      <c r="L2058" t="s">
        <v>25</v>
      </c>
      <c r="M2058" t="s">
        <v>132</v>
      </c>
      <c r="N2058">
        <v>2650</v>
      </c>
      <c r="O2058">
        <v>15204905</v>
      </c>
      <c r="P2058" t="str">
        <f>IF(T[[#This Row],[qty_ordered]]&lt;&gt;T[[#This Row],[qty_received]],IF(T[[#This Row],[qty_received]]&gt;0,"Partial Received","Not Receviced"),"FullyReceived")</f>
        <v>FullyReceived</v>
      </c>
      <c r="Q2058" t="str">
        <f>IF(T[[#This Row],[qty_received]]&lt;&gt;T[[#This Row],[qty_invoiced]],IF(T[[#This Row],[qty_invoiced]]&gt;0,"Partial Invoiced","Not Invoiced"),"Fully Invoiced")</f>
        <v>Fully Invoiced</v>
      </c>
      <c r="R2058" t="str">
        <f>IFERROR(VLOOKUP(T[[#This Row],[warehouse]],Table2[],2,FALSE),"--")</f>
        <v>SLAUGHTER HOUSE</v>
      </c>
    </row>
    <row r="2059" spans="1:18" x14ac:dyDescent="0.25">
      <c r="A2059" t="s">
        <v>1118</v>
      </c>
      <c r="B2059" s="1">
        <v>44378</v>
      </c>
      <c r="C2059" t="s">
        <v>1405</v>
      </c>
      <c r="D2059" t="s">
        <v>76</v>
      </c>
      <c r="E2059" t="s">
        <v>660</v>
      </c>
      <c r="F2059" t="s">
        <v>1042</v>
      </c>
      <c r="G2059" t="s">
        <v>1043</v>
      </c>
      <c r="H2059" t="s">
        <v>663</v>
      </c>
      <c r="I2059">
        <v>5082</v>
      </c>
      <c r="J2059">
        <v>5082</v>
      </c>
      <c r="K2059">
        <v>5082</v>
      </c>
      <c r="L2059" t="s">
        <v>25</v>
      </c>
      <c r="M2059" t="s">
        <v>132</v>
      </c>
      <c r="N2059">
        <v>2600</v>
      </c>
      <c r="O2059">
        <v>13213200</v>
      </c>
      <c r="P2059" t="str">
        <f>IF(T[[#This Row],[qty_ordered]]&lt;&gt;T[[#This Row],[qty_received]],IF(T[[#This Row],[qty_received]]&gt;0,"Partial Received","Not Receviced"),"FullyReceived")</f>
        <v>FullyReceived</v>
      </c>
      <c r="Q2059" t="str">
        <f>IF(T[[#This Row],[qty_received]]&lt;&gt;T[[#This Row],[qty_invoiced]],IF(T[[#This Row],[qty_invoiced]]&gt;0,"Partial Invoiced","Not Invoiced"),"Fully Invoiced")</f>
        <v>Fully Invoiced</v>
      </c>
      <c r="R2059" t="str">
        <f>IFERROR(VLOOKUP(T[[#This Row],[warehouse]],Table2[],2,FALSE),"--")</f>
        <v>SLAUGHTER HOUSE</v>
      </c>
    </row>
    <row r="2060" spans="1:18" x14ac:dyDescent="0.25">
      <c r="A2060" t="s">
        <v>413</v>
      </c>
      <c r="B2060" s="1">
        <v>44424</v>
      </c>
      <c r="C2060" t="s">
        <v>1435</v>
      </c>
      <c r="D2060" t="s">
        <v>20</v>
      </c>
      <c r="E2060" t="s">
        <v>146</v>
      </c>
      <c r="F2060" t="s">
        <v>1027</v>
      </c>
      <c r="G2060" t="s">
        <v>1028</v>
      </c>
      <c r="H2060" t="s">
        <v>149</v>
      </c>
      <c r="I2060">
        <v>7000</v>
      </c>
      <c r="J2060">
        <v>7000</v>
      </c>
      <c r="K2060">
        <v>7000</v>
      </c>
      <c r="L2060" t="s">
        <v>25</v>
      </c>
      <c r="M2060" t="s">
        <v>418</v>
      </c>
      <c r="N2060">
        <v>500</v>
      </c>
      <c r="O2060">
        <v>3500000</v>
      </c>
      <c r="P2060" t="str">
        <f>IF(T[[#This Row],[qty_ordered]]&lt;&gt;T[[#This Row],[qty_received]],IF(T[[#This Row],[qty_received]]&gt;0,"Partial Received","Not Receviced"),"FullyReceived")</f>
        <v>FullyReceived</v>
      </c>
      <c r="Q2060" t="str">
        <f>IF(T[[#This Row],[qty_received]]&lt;&gt;T[[#This Row],[qty_invoiced]],IF(T[[#This Row],[qty_invoiced]]&gt;0,"Partial Invoiced","Not Invoiced"),"Fully Invoiced")</f>
        <v>Fully Invoiced</v>
      </c>
      <c r="R2060" t="str">
        <f>IFERROR(VLOOKUP(T[[#This Row],[warehouse]],Table2[],2,FALSE),"--")</f>
        <v>Khtoum Main Warehouse</v>
      </c>
    </row>
    <row r="2061" spans="1:18" x14ac:dyDescent="0.25">
      <c r="A2061" t="s">
        <v>201</v>
      </c>
      <c r="B2061" s="1">
        <v>44424</v>
      </c>
      <c r="C2061" t="s">
        <v>1436</v>
      </c>
      <c r="D2061" t="s">
        <v>20</v>
      </c>
      <c r="E2061" t="s">
        <v>1220</v>
      </c>
      <c r="F2061" t="s">
        <v>1338</v>
      </c>
      <c r="G2061" t="s">
        <v>1339</v>
      </c>
      <c r="H2061" t="s">
        <v>123</v>
      </c>
      <c r="I2061">
        <v>70000</v>
      </c>
      <c r="J2061">
        <v>70000</v>
      </c>
      <c r="K2061">
        <v>70000</v>
      </c>
      <c r="L2061" t="s">
        <v>693</v>
      </c>
      <c r="M2061" t="s">
        <v>744</v>
      </c>
      <c r="N2061">
        <v>11600.800368</v>
      </c>
      <c r="O2061">
        <v>821070391.93803406</v>
      </c>
      <c r="P2061" t="str">
        <f>IF(T[[#This Row],[qty_ordered]]&lt;&gt;T[[#This Row],[qty_received]],IF(T[[#This Row],[qty_received]]&gt;0,"Partial Received","Not Receviced"),"FullyReceived")</f>
        <v>FullyReceived</v>
      </c>
      <c r="Q2061" t="str">
        <f>IF(T[[#This Row],[qty_received]]&lt;&gt;T[[#This Row],[qty_invoiced]],IF(T[[#This Row],[qty_invoiced]]&gt;0,"Partial Invoiced","Not Invoiced"),"Fully Invoiced")</f>
        <v>Fully Invoiced</v>
      </c>
      <c r="R2061" t="str">
        <f>IFERROR(VLOOKUP(T[[#This Row],[warehouse]],Table2[],2,FALSE),"--")</f>
        <v>Import Virtual Warehouse - PZU</v>
      </c>
    </row>
    <row r="2062" spans="1:18" x14ac:dyDescent="0.25">
      <c r="A2062" t="s">
        <v>1114</v>
      </c>
      <c r="B2062" s="1">
        <v>44250</v>
      </c>
      <c r="C2062" t="s">
        <v>1242</v>
      </c>
      <c r="D2062" t="s">
        <v>212</v>
      </c>
      <c r="E2062" t="s">
        <v>660</v>
      </c>
      <c r="F2062" t="s">
        <v>1042</v>
      </c>
      <c r="G2062" t="s">
        <v>1043</v>
      </c>
      <c r="H2062" t="s">
        <v>663</v>
      </c>
      <c r="I2062">
        <v>10384.6</v>
      </c>
      <c r="J2062">
        <v>0</v>
      </c>
      <c r="K2062">
        <v>0</v>
      </c>
      <c r="L2062" t="s">
        <v>25</v>
      </c>
      <c r="M2062" t="s">
        <v>132</v>
      </c>
      <c r="N2062">
        <v>2600</v>
      </c>
      <c r="O2062">
        <v>0</v>
      </c>
      <c r="P2062" t="str">
        <f>IF(T[[#This Row],[qty_ordered]]&lt;&gt;T[[#This Row],[qty_received]],IF(T[[#This Row],[qty_received]]&gt;0,"Partial Received","Not Receviced"),"FullyReceived")</f>
        <v>Not Receviced</v>
      </c>
      <c r="Q2062" t="str">
        <f>IF(T[[#This Row],[qty_received]]&lt;&gt;T[[#This Row],[qty_invoiced]],IF(T[[#This Row],[qty_invoiced]]&gt;0,"Partial Invoiced","Not Invoiced"),"Fully Invoiced")</f>
        <v>Fully Invoiced</v>
      </c>
      <c r="R2062" t="str">
        <f>IFERROR(VLOOKUP(T[[#This Row],[warehouse]],Table2[],2,FALSE),"--")</f>
        <v>SLAUGHTER HOUSE</v>
      </c>
    </row>
    <row r="2063" spans="1:18" x14ac:dyDescent="0.25">
      <c r="A2063" t="s">
        <v>560</v>
      </c>
      <c r="B2063" s="1">
        <v>44251</v>
      </c>
      <c r="C2063" t="s">
        <v>1256</v>
      </c>
      <c r="D2063" t="s">
        <v>1322</v>
      </c>
      <c r="E2063" t="s">
        <v>51</v>
      </c>
      <c r="F2063" t="s">
        <v>164</v>
      </c>
      <c r="G2063" t="s">
        <v>1400</v>
      </c>
      <c r="H2063" t="s">
        <v>54</v>
      </c>
      <c r="I2063">
        <v>13</v>
      </c>
      <c r="J2063">
        <v>0</v>
      </c>
      <c r="K2063">
        <v>1</v>
      </c>
      <c r="L2063" t="s">
        <v>25</v>
      </c>
      <c r="M2063" t="s">
        <v>533</v>
      </c>
      <c r="N2063">
        <v>1628.0769230000001</v>
      </c>
      <c r="O2063">
        <v>0</v>
      </c>
      <c r="P2063" t="str">
        <f>IF(T[[#This Row],[qty_ordered]]&lt;&gt;T[[#This Row],[qty_received]],IF(T[[#This Row],[qty_received]]&gt;0,"Partial Received","Not Receviced"),"FullyReceived")</f>
        <v>Not Receviced</v>
      </c>
      <c r="Q2063" t="str">
        <f>IF(T[[#This Row],[qty_received]]&lt;&gt;T[[#This Row],[qty_invoiced]],IF(T[[#This Row],[qty_invoiced]]&gt;0,"Partial Invoiced","Not Invoiced"),"Fully Invoiced")</f>
        <v>Partial Invoiced</v>
      </c>
      <c r="R2063" t="str">
        <f>IFERROR(VLOOKUP(T[[#This Row],[warehouse]],Table2[],2,FALSE),"--")</f>
        <v>--</v>
      </c>
    </row>
    <row r="2064" spans="1:18" x14ac:dyDescent="0.25">
      <c r="A2064" t="s">
        <v>1114</v>
      </c>
      <c r="B2064" s="1">
        <v>44426</v>
      </c>
      <c r="C2064" t="s">
        <v>1437</v>
      </c>
      <c r="D2064" t="s">
        <v>20</v>
      </c>
      <c r="E2064" t="s">
        <v>1438</v>
      </c>
      <c r="F2064" t="s">
        <v>1439</v>
      </c>
      <c r="G2064" t="s">
        <v>1440</v>
      </c>
      <c r="H2064" t="s">
        <v>1087</v>
      </c>
      <c r="I2064">
        <v>2965</v>
      </c>
      <c r="J2064">
        <v>2965</v>
      </c>
      <c r="K2064">
        <v>2965</v>
      </c>
      <c r="L2064" t="s">
        <v>25</v>
      </c>
      <c r="M2064" t="s">
        <v>132</v>
      </c>
      <c r="N2064">
        <v>33000</v>
      </c>
      <c r="O2064">
        <v>97845000</v>
      </c>
      <c r="P2064" t="str">
        <f>IF(T[[#This Row],[qty_ordered]]&lt;&gt;T[[#This Row],[qty_received]],IF(T[[#This Row],[qty_received]]&gt;0,"Partial Received","Not Receviced"),"FullyReceived")</f>
        <v>FullyReceived</v>
      </c>
      <c r="Q2064" t="str">
        <f>IF(T[[#This Row],[qty_received]]&lt;&gt;T[[#This Row],[qty_invoiced]],IF(T[[#This Row],[qty_invoiced]]&gt;0,"Partial Invoiced","Not Invoiced"),"Fully Invoiced")</f>
        <v>Fully Invoiced</v>
      </c>
      <c r="R2064" t="str">
        <f>IFERROR(VLOOKUP(T[[#This Row],[warehouse]],Table2[],2,FALSE),"--")</f>
        <v>Livestock Barn</v>
      </c>
    </row>
    <row r="2065" spans="1:18" x14ac:dyDescent="0.25">
      <c r="A2065" t="s">
        <v>235</v>
      </c>
      <c r="B2065" s="1">
        <v>44199</v>
      </c>
      <c r="C2065" t="s">
        <v>1134</v>
      </c>
      <c r="D2065" t="s">
        <v>322</v>
      </c>
      <c r="E2065" t="s">
        <v>51</v>
      </c>
      <c r="F2065" t="s">
        <v>546</v>
      </c>
      <c r="G2065" t="s">
        <v>1441</v>
      </c>
      <c r="H2065" t="s">
        <v>54</v>
      </c>
      <c r="I2065">
        <v>1300</v>
      </c>
      <c r="J2065">
        <v>0</v>
      </c>
      <c r="K2065">
        <v>1</v>
      </c>
      <c r="L2065" t="s">
        <v>25</v>
      </c>
      <c r="M2065" t="s">
        <v>2836</v>
      </c>
      <c r="N2065">
        <v>13</v>
      </c>
      <c r="O2065">
        <v>0</v>
      </c>
      <c r="P2065" t="str">
        <f>IF(T[[#This Row],[qty_ordered]]&lt;&gt;T[[#This Row],[qty_received]],IF(T[[#This Row],[qty_received]]&gt;0,"Partial Received","Not Receviced"),"FullyReceived")</f>
        <v>Not Receviced</v>
      </c>
      <c r="Q2065" t="str">
        <f>IF(T[[#This Row],[qty_received]]&lt;&gt;T[[#This Row],[qty_invoiced]],IF(T[[#This Row],[qty_invoiced]]&gt;0,"Partial Invoiced","Not Invoiced"),"Fully Invoiced")</f>
        <v>Partial Invoiced</v>
      </c>
      <c r="R2065" t="str">
        <f>IFERROR(VLOOKUP(T[[#This Row],[warehouse]],Table2[],2,FALSE),"--")</f>
        <v>--</v>
      </c>
    </row>
    <row r="2066" spans="1:18" x14ac:dyDescent="0.25">
      <c r="A2066" t="s">
        <v>235</v>
      </c>
      <c r="B2066" s="1">
        <v>44160</v>
      </c>
      <c r="C2066" t="s">
        <v>998</v>
      </c>
      <c r="D2066" t="s">
        <v>614</v>
      </c>
      <c r="E2066" t="s">
        <v>51</v>
      </c>
      <c r="F2066" t="s">
        <v>546</v>
      </c>
      <c r="G2066" t="s">
        <v>1442</v>
      </c>
      <c r="H2066" t="s">
        <v>54</v>
      </c>
      <c r="I2066">
        <v>10000</v>
      </c>
      <c r="J2066">
        <v>0</v>
      </c>
      <c r="K2066">
        <v>1</v>
      </c>
      <c r="L2066" t="s">
        <v>25</v>
      </c>
      <c r="M2066" t="s">
        <v>2836</v>
      </c>
      <c r="N2066">
        <v>13.6</v>
      </c>
      <c r="O2066">
        <v>0</v>
      </c>
      <c r="P2066" t="str">
        <f>IF(T[[#This Row],[qty_ordered]]&lt;&gt;T[[#This Row],[qty_received]],IF(T[[#This Row],[qty_received]]&gt;0,"Partial Received","Not Receviced"),"FullyReceived")</f>
        <v>Not Receviced</v>
      </c>
      <c r="Q2066" t="str">
        <f>IF(T[[#This Row],[qty_received]]&lt;&gt;T[[#This Row],[qty_invoiced]],IF(T[[#This Row],[qty_invoiced]]&gt;0,"Partial Invoiced","Not Invoiced"),"Fully Invoiced")</f>
        <v>Partial Invoiced</v>
      </c>
      <c r="R2066" t="str">
        <f>IFERROR(VLOOKUP(T[[#This Row],[warehouse]],Table2[],2,FALSE),"--")</f>
        <v>--</v>
      </c>
    </row>
    <row r="2067" spans="1:18" x14ac:dyDescent="0.25">
      <c r="A2067" t="s">
        <v>560</v>
      </c>
      <c r="B2067" s="1">
        <v>44251</v>
      </c>
      <c r="C2067" t="s">
        <v>1276</v>
      </c>
      <c r="D2067" t="s">
        <v>323</v>
      </c>
      <c r="E2067" t="s">
        <v>51</v>
      </c>
      <c r="F2067" t="s">
        <v>164</v>
      </c>
      <c r="G2067" t="s">
        <v>1401</v>
      </c>
      <c r="H2067" t="s">
        <v>54</v>
      </c>
      <c r="I2067">
        <v>36</v>
      </c>
      <c r="J2067">
        <v>0</v>
      </c>
      <c r="K2067">
        <v>1</v>
      </c>
      <c r="L2067" t="s">
        <v>25</v>
      </c>
      <c r="M2067" t="s">
        <v>533</v>
      </c>
      <c r="N2067">
        <v>1593.34</v>
      </c>
      <c r="O2067">
        <v>0</v>
      </c>
      <c r="P2067" t="str">
        <f>IF(T[[#This Row],[qty_ordered]]&lt;&gt;T[[#This Row],[qty_received]],IF(T[[#This Row],[qty_received]]&gt;0,"Partial Received","Not Receviced"),"FullyReceived")</f>
        <v>Not Receviced</v>
      </c>
      <c r="Q2067" t="str">
        <f>IF(T[[#This Row],[qty_received]]&lt;&gt;T[[#This Row],[qty_invoiced]],IF(T[[#This Row],[qty_invoiced]]&gt;0,"Partial Invoiced","Not Invoiced"),"Fully Invoiced")</f>
        <v>Partial Invoiced</v>
      </c>
      <c r="R2067" t="str">
        <f>IFERROR(VLOOKUP(T[[#This Row],[warehouse]],Table2[],2,FALSE),"--")</f>
        <v>--</v>
      </c>
    </row>
    <row r="2068" spans="1:18" x14ac:dyDescent="0.25">
      <c r="A2068" t="s">
        <v>560</v>
      </c>
      <c r="B2068" s="1">
        <v>44402</v>
      </c>
      <c r="C2068" t="s">
        <v>1443</v>
      </c>
      <c r="D2068" t="s">
        <v>71</v>
      </c>
      <c r="E2068" t="s">
        <v>51</v>
      </c>
      <c r="F2068" t="s">
        <v>164</v>
      </c>
      <c r="G2068" t="s">
        <v>1444</v>
      </c>
      <c r="H2068" t="s">
        <v>54</v>
      </c>
      <c r="I2068">
        <v>30</v>
      </c>
      <c r="J2068">
        <v>0</v>
      </c>
      <c r="K2068">
        <v>1</v>
      </c>
      <c r="L2068" t="s">
        <v>25</v>
      </c>
      <c r="M2068" t="s">
        <v>533</v>
      </c>
      <c r="N2068">
        <v>1530</v>
      </c>
      <c r="O2068">
        <v>0</v>
      </c>
      <c r="P2068" t="str">
        <f>IF(T[[#This Row],[qty_ordered]]&lt;&gt;T[[#This Row],[qty_received]],IF(T[[#This Row],[qty_received]]&gt;0,"Partial Received","Not Receviced"),"FullyReceived")</f>
        <v>Not Receviced</v>
      </c>
      <c r="Q2068" t="str">
        <f>IF(T[[#This Row],[qty_received]]&lt;&gt;T[[#This Row],[qty_invoiced]],IF(T[[#This Row],[qty_invoiced]]&gt;0,"Partial Invoiced","Not Invoiced"),"Fully Invoiced")</f>
        <v>Partial Invoiced</v>
      </c>
      <c r="R2068" t="str">
        <f>IFERROR(VLOOKUP(T[[#This Row],[warehouse]],Table2[],2,FALSE),"--")</f>
        <v>--</v>
      </c>
    </row>
    <row r="2069" spans="1:18" x14ac:dyDescent="0.25">
      <c r="A2069" t="s">
        <v>560</v>
      </c>
      <c r="B2069" s="1">
        <v>44251</v>
      </c>
      <c r="C2069" t="s">
        <v>1237</v>
      </c>
      <c r="D2069" t="s">
        <v>451</v>
      </c>
      <c r="E2069" t="s">
        <v>51</v>
      </c>
      <c r="F2069" t="s">
        <v>164</v>
      </c>
      <c r="G2069" t="s">
        <v>1368</v>
      </c>
      <c r="H2069" t="s">
        <v>54</v>
      </c>
      <c r="I2069">
        <v>29</v>
      </c>
      <c r="J2069">
        <v>0</v>
      </c>
      <c r="K2069">
        <v>1</v>
      </c>
      <c r="L2069" t="s">
        <v>25</v>
      </c>
      <c r="M2069" t="s">
        <v>533</v>
      </c>
      <c r="N2069">
        <v>1628.28</v>
      </c>
      <c r="O2069">
        <v>0</v>
      </c>
      <c r="P2069" t="str">
        <f>IF(T[[#This Row],[qty_ordered]]&lt;&gt;T[[#This Row],[qty_received]],IF(T[[#This Row],[qty_received]]&gt;0,"Partial Received","Not Receviced"),"FullyReceived")</f>
        <v>Not Receviced</v>
      </c>
      <c r="Q2069" t="str">
        <f>IF(T[[#This Row],[qty_received]]&lt;&gt;T[[#This Row],[qty_invoiced]],IF(T[[#This Row],[qty_invoiced]]&gt;0,"Partial Invoiced","Not Invoiced"),"Fully Invoiced")</f>
        <v>Partial Invoiced</v>
      </c>
      <c r="R2069" t="str">
        <f>IFERROR(VLOOKUP(T[[#This Row],[warehouse]],Table2[],2,FALSE),"--")</f>
        <v>--</v>
      </c>
    </row>
    <row r="2070" spans="1:18" x14ac:dyDescent="0.25">
      <c r="A2070" t="s">
        <v>560</v>
      </c>
      <c r="B2070" s="1">
        <v>44251</v>
      </c>
      <c r="C2070" t="s">
        <v>1237</v>
      </c>
      <c r="D2070" t="s">
        <v>452</v>
      </c>
      <c r="E2070" t="s">
        <v>51</v>
      </c>
      <c r="F2070" t="s">
        <v>164</v>
      </c>
      <c r="G2070" t="s">
        <v>1368</v>
      </c>
      <c r="H2070" t="s">
        <v>54</v>
      </c>
      <c r="I2070">
        <v>30</v>
      </c>
      <c r="J2070">
        <v>0</v>
      </c>
      <c r="K2070">
        <v>1</v>
      </c>
      <c r="L2070" t="s">
        <v>25</v>
      </c>
      <c r="M2070" t="s">
        <v>533</v>
      </c>
      <c r="N2070">
        <v>1656.67</v>
      </c>
      <c r="O2070">
        <v>0</v>
      </c>
      <c r="P2070" t="str">
        <f>IF(T[[#This Row],[qty_ordered]]&lt;&gt;T[[#This Row],[qty_received]],IF(T[[#This Row],[qty_received]]&gt;0,"Partial Received","Not Receviced"),"FullyReceived")</f>
        <v>Not Receviced</v>
      </c>
      <c r="Q2070" t="str">
        <f>IF(T[[#This Row],[qty_received]]&lt;&gt;T[[#This Row],[qty_invoiced]],IF(T[[#This Row],[qty_invoiced]]&gt;0,"Partial Invoiced","Not Invoiced"),"Fully Invoiced")</f>
        <v>Partial Invoiced</v>
      </c>
      <c r="R2070" t="str">
        <f>IFERROR(VLOOKUP(T[[#This Row],[warehouse]],Table2[],2,FALSE),"--")</f>
        <v>--</v>
      </c>
    </row>
    <row r="2071" spans="1:18" x14ac:dyDescent="0.25">
      <c r="A2071" t="s">
        <v>560</v>
      </c>
      <c r="B2071" s="1">
        <v>44251</v>
      </c>
      <c r="C2071" t="s">
        <v>1244</v>
      </c>
      <c r="D2071" t="s">
        <v>323</v>
      </c>
      <c r="E2071" t="s">
        <v>51</v>
      </c>
      <c r="F2071" t="s">
        <v>164</v>
      </c>
      <c r="G2071" t="s">
        <v>1383</v>
      </c>
      <c r="H2071" t="s">
        <v>54</v>
      </c>
      <c r="I2071">
        <v>30</v>
      </c>
      <c r="J2071">
        <v>0</v>
      </c>
      <c r="K2071">
        <v>1</v>
      </c>
      <c r="L2071" t="s">
        <v>25</v>
      </c>
      <c r="M2071" t="s">
        <v>533</v>
      </c>
      <c r="N2071">
        <v>1530</v>
      </c>
      <c r="O2071">
        <v>0</v>
      </c>
      <c r="P2071" t="str">
        <f>IF(T[[#This Row],[qty_ordered]]&lt;&gt;T[[#This Row],[qty_received]],IF(T[[#This Row],[qty_received]]&gt;0,"Partial Received","Not Receviced"),"FullyReceived")</f>
        <v>Not Receviced</v>
      </c>
      <c r="Q2071" t="str">
        <f>IF(T[[#This Row],[qty_received]]&lt;&gt;T[[#This Row],[qty_invoiced]],IF(T[[#This Row],[qty_invoiced]]&gt;0,"Partial Invoiced","Not Invoiced"),"Fully Invoiced")</f>
        <v>Partial Invoiced</v>
      </c>
      <c r="R2071" t="str">
        <f>IFERROR(VLOOKUP(T[[#This Row],[warehouse]],Table2[],2,FALSE),"--")</f>
        <v>--</v>
      </c>
    </row>
    <row r="2072" spans="1:18" x14ac:dyDescent="0.25">
      <c r="A2072" t="s">
        <v>560</v>
      </c>
      <c r="B2072" s="1">
        <v>44251</v>
      </c>
      <c r="C2072" t="s">
        <v>1248</v>
      </c>
      <c r="D2072" t="s">
        <v>595</v>
      </c>
      <c r="E2072" t="s">
        <v>51</v>
      </c>
      <c r="F2072" t="s">
        <v>164</v>
      </c>
      <c r="G2072" t="s">
        <v>1445</v>
      </c>
      <c r="H2072" t="s">
        <v>54</v>
      </c>
      <c r="I2072">
        <v>25</v>
      </c>
      <c r="J2072">
        <v>0</v>
      </c>
      <c r="K2072">
        <v>1</v>
      </c>
      <c r="L2072" t="s">
        <v>25</v>
      </c>
      <c r="M2072" t="s">
        <v>533</v>
      </c>
      <c r="N2072">
        <v>1530</v>
      </c>
      <c r="O2072">
        <v>0</v>
      </c>
      <c r="P2072" t="str">
        <f>IF(T[[#This Row],[qty_ordered]]&lt;&gt;T[[#This Row],[qty_received]],IF(T[[#This Row],[qty_received]]&gt;0,"Partial Received","Not Receviced"),"FullyReceived")</f>
        <v>Not Receviced</v>
      </c>
      <c r="Q2072" t="str">
        <f>IF(T[[#This Row],[qty_received]]&lt;&gt;T[[#This Row],[qty_invoiced]],IF(T[[#This Row],[qty_invoiced]]&gt;0,"Partial Invoiced","Not Invoiced"),"Fully Invoiced")</f>
        <v>Partial Invoiced</v>
      </c>
      <c r="R2072" t="str">
        <f>IFERROR(VLOOKUP(T[[#This Row],[warehouse]],Table2[],2,FALSE),"--")</f>
        <v>--</v>
      </c>
    </row>
    <row r="2073" spans="1:18" x14ac:dyDescent="0.25">
      <c r="A2073" t="s">
        <v>560</v>
      </c>
      <c r="B2073" s="1">
        <v>44251</v>
      </c>
      <c r="C2073" t="s">
        <v>1245</v>
      </c>
      <c r="D2073" t="s">
        <v>694</v>
      </c>
      <c r="E2073" t="s">
        <v>51</v>
      </c>
      <c r="F2073" t="s">
        <v>164</v>
      </c>
      <c r="G2073" t="s">
        <v>1384</v>
      </c>
      <c r="H2073" t="s">
        <v>54</v>
      </c>
      <c r="I2073">
        <v>60</v>
      </c>
      <c r="J2073">
        <v>0</v>
      </c>
      <c r="K2073">
        <v>1</v>
      </c>
      <c r="L2073" t="s">
        <v>25</v>
      </c>
      <c r="M2073" t="s">
        <v>533</v>
      </c>
      <c r="N2073">
        <v>1727.17</v>
      </c>
      <c r="O2073">
        <v>0</v>
      </c>
      <c r="P2073" t="str">
        <f>IF(T[[#This Row],[qty_ordered]]&lt;&gt;T[[#This Row],[qty_received]],IF(T[[#This Row],[qty_received]]&gt;0,"Partial Received","Not Receviced"),"FullyReceived")</f>
        <v>Not Receviced</v>
      </c>
      <c r="Q2073" t="str">
        <f>IF(T[[#This Row],[qty_received]]&lt;&gt;T[[#This Row],[qty_invoiced]],IF(T[[#This Row],[qty_invoiced]]&gt;0,"Partial Invoiced","Not Invoiced"),"Fully Invoiced")</f>
        <v>Partial Invoiced</v>
      </c>
      <c r="R2073" t="str">
        <f>IFERROR(VLOOKUP(T[[#This Row],[warehouse]],Table2[],2,FALSE),"--")</f>
        <v>--</v>
      </c>
    </row>
    <row r="2074" spans="1:18" x14ac:dyDescent="0.25">
      <c r="A2074" t="s">
        <v>560</v>
      </c>
      <c r="B2074" s="1">
        <v>44251</v>
      </c>
      <c r="C2074" t="s">
        <v>1245</v>
      </c>
      <c r="D2074" t="s">
        <v>760</v>
      </c>
      <c r="E2074" t="s">
        <v>51</v>
      </c>
      <c r="F2074" t="s">
        <v>164</v>
      </c>
      <c r="G2074" t="s">
        <v>1384</v>
      </c>
      <c r="H2074" t="s">
        <v>54</v>
      </c>
      <c r="I2074">
        <v>18</v>
      </c>
      <c r="J2074">
        <v>0</v>
      </c>
      <c r="K2074">
        <v>1</v>
      </c>
      <c r="L2074" t="s">
        <v>25</v>
      </c>
      <c r="M2074" t="s">
        <v>533</v>
      </c>
      <c r="N2074">
        <v>1698.89</v>
      </c>
      <c r="O2074">
        <v>0</v>
      </c>
      <c r="P2074" t="str">
        <f>IF(T[[#This Row],[qty_ordered]]&lt;&gt;T[[#This Row],[qty_received]],IF(T[[#This Row],[qty_received]]&gt;0,"Partial Received","Not Receviced"),"FullyReceived")</f>
        <v>Not Receviced</v>
      </c>
      <c r="Q2074" t="str">
        <f>IF(T[[#This Row],[qty_received]]&lt;&gt;T[[#This Row],[qty_invoiced]],IF(T[[#This Row],[qty_invoiced]]&gt;0,"Partial Invoiced","Not Invoiced"),"Fully Invoiced")</f>
        <v>Partial Invoiced</v>
      </c>
      <c r="R2074" t="str">
        <f>IFERROR(VLOOKUP(T[[#This Row],[warehouse]],Table2[],2,FALSE),"--")</f>
        <v>--</v>
      </c>
    </row>
    <row r="2075" spans="1:18" x14ac:dyDescent="0.25">
      <c r="A2075" t="s">
        <v>560</v>
      </c>
      <c r="B2075" s="1">
        <v>44306</v>
      </c>
      <c r="C2075" t="s">
        <v>1341</v>
      </c>
      <c r="D2075" t="s">
        <v>615</v>
      </c>
      <c r="E2075" t="s">
        <v>51</v>
      </c>
      <c r="F2075" t="s">
        <v>164</v>
      </c>
      <c r="G2075" t="s">
        <v>1402</v>
      </c>
      <c r="H2075" t="s">
        <v>54</v>
      </c>
      <c r="I2075">
        <v>49</v>
      </c>
      <c r="J2075">
        <v>0</v>
      </c>
      <c r="K2075">
        <v>1</v>
      </c>
      <c r="L2075" t="s">
        <v>25</v>
      </c>
      <c r="M2075" t="s">
        <v>533</v>
      </c>
      <c r="N2075">
        <v>1778.17</v>
      </c>
      <c r="O2075">
        <v>0</v>
      </c>
      <c r="P2075" t="str">
        <f>IF(T[[#This Row],[qty_ordered]]&lt;&gt;T[[#This Row],[qty_received]],IF(T[[#This Row],[qty_received]]&gt;0,"Partial Received","Not Receviced"),"FullyReceived")</f>
        <v>Not Receviced</v>
      </c>
      <c r="Q2075" t="str">
        <f>IF(T[[#This Row],[qty_received]]&lt;&gt;T[[#This Row],[qty_invoiced]],IF(T[[#This Row],[qty_invoiced]]&gt;0,"Partial Invoiced","Not Invoiced"),"Fully Invoiced")</f>
        <v>Partial Invoiced</v>
      </c>
      <c r="R2075" t="str">
        <f>IFERROR(VLOOKUP(T[[#This Row],[warehouse]],Table2[],2,FALSE),"--")</f>
        <v>--</v>
      </c>
    </row>
    <row r="2076" spans="1:18" x14ac:dyDescent="0.25">
      <c r="A2076" t="s">
        <v>560</v>
      </c>
      <c r="B2076" s="1">
        <v>44306</v>
      </c>
      <c r="C2076" t="s">
        <v>1341</v>
      </c>
      <c r="D2076" t="s">
        <v>752</v>
      </c>
      <c r="E2076" t="s">
        <v>51</v>
      </c>
      <c r="F2076" t="s">
        <v>164</v>
      </c>
      <c r="G2076" t="s">
        <v>1402</v>
      </c>
      <c r="H2076" t="s">
        <v>54</v>
      </c>
      <c r="I2076">
        <v>12</v>
      </c>
      <c r="J2076">
        <v>0</v>
      </c>
      <c r="K2076">
        <v>1</v>
      </c>
      <c r="L2076" t="s">
        <v>25</v>
      </c>
      <c r="M2076" t="s">
        <v>533</v>
      </c>
      <c r="N2076">
        <v>1815</v>
      </c>
      <c r="O2076">
        <v>0</v>
      </c>
      <c r="P2076" t="str">
        <f>IF(T[[#This Row],[qty_ordered]]&lt;&gt;T[[#This Row],[qty_received]],IF(T[[#This Row],[qty_received]]&gt;0,"Partial Received","Not Receviced"),"FullyReceived")</f>
        <v>Not Receviced</v>
      </c>
      <c r="Q2076" t="str">
        <f>IF(T[[#This Row],[qty_received]]&lt;&gt;T[[#This Row],[qty_invoiced]],IF(T[[#This Row],[qty_invoiced]]&gt;0,"Partial Invoiced","Not Invoiced"),"Fully Invoiced")</f>
        <v>Partial Invoiced</v>
      </c>
      <c r="R2076" t="str">
        <f>IFERROR(VLOOKUP(T[[#This Row],[warehouse]],Table2[],2,FALSE),"--")</f>
        <v>--</v>
      </c>
    </row>
    <row r="2077" spans="1:18" x14ac:dyDescent="0.25">
      <c r="A2077" t="s">
        <v>560</v>
      </c>
      <c r="B2077" s="1">
        <v>44306</v>
      </c>
      <c r="C2077" t="s">
        <v>1341</v>
      </c>
      <c r="D2077" t="s">
        <v>759</v>
      </c>
      <c r="E2077" t="s">
        <v>51</v>
      </c>
      <c r="F2077" t="s">
        <v>164</v>
      </c>
      <c r="G2077" t="s">
        <v>1402</v>
      </c>
      <c r="H2077" t="s">
        <v>54</v>
      </c>
      <c r="I2077">
        <v>54</v>
      </c>
      <c r="J2077">
        <v>0</v>
      </c>
      <c r="K2077">
        <v>1</v>
      </c>
      <c r="L2077" t="s">
        <v>25</v>
      </c>
      <c r="M2077" t="s">
        <v>533</v>
      </c>
      <c r="N2077">
        <v>1551.1120000000001</v>
      </c>
      <c r="O2077">
        <v>0</v>
      </c>
      <c r="P2077" t="str">
        <f>IF(T[[#This Row],[qty_ordered]]&lt;&gt;T[[#This Row],[qty_received]],IF(T[[#This Row],[qty_received]]&gt;0,"Partial Received","Not Receviced"),"FullyReceived")</f>
        <v>Not Receviced</v>
      </c>
      <c r="Q2077" t="str">
        <f>IF(T[[#This Row],[qty_received]]&lt;&gt;T[[#This Row],[qty_invoiced]],IF(T[[#This Row],[qty_invoiced]]&gt;0,"Partial Invoiced","Not Invoiced"),"Fully Invoiced")</f>
        <v>Partial Invoiced</v>
      </c>
      <c r="R2077" t="str">
        <f>IFERROR(VLOOKUP(T[[#This Row],[warehouse]],Table2[],2,FALSE),"--")</f>
        <v>--</v>
      </c>
    </row>
    <row r="2078" spans="1:18" x14ac:dyDescent="0.25">
      <c r="A2078" t="s">
        <v>560</v>
      </c>
      <c r="B2078" s="1">
        <v>44306</v>
      </c>
      <c r="C2078" t="s">
        <v>1341</v>
      </c>
      <c r="D2078" t="s">
        <v>694</v>
      </c>
      <c r="E2078" t="s">
        <v>51</v>
      </c>
      <c r="F2078" t="s">
        <v>164</v>
      </c>
      <c r="G2078" t="s">
        <v>1402</v>
      </c>
      <c r="H2078" t="s">
        <v>54</v>
      </c>
      <c r="I2078">
        <v>30</v>
      </c>
      <c r="J2078">
        <v>0</v>
      </c>
      <c r="K2078">
        <v>1</v>
      </c>
      <c r="L2078" t="s">
        <v>25</v>
      </c>
      <c r="M2078" t="s">
        <v>533</v>
      </c>
      <c r="N2078">
        <v>1783.3340000000001</v>
      </c>
      <c r="O2078">
        <v>0</v>
      </c>
      <c r="P2078" t="str">
        <f>IF(T[[#This Row],[qty_ordered]]&lt;&gt;T[[#This Row],[qty_received]],IF(T[[#This Row],[qty_received]]&gt;0,"Partial Received","Not Receviced"),"FullyReceived")</f>
        <v>Not Receviced</v>
      </c>
      <c r="Q2078" t="str">
        <f>IF(T[[#This Row],[qty_received]]&lt;&gt;T[[#This Row],[qty_invoiced]],IF(T[[#This Row],[qty_invoiced]]&gt;0,"Partial Invoiced","Not Invoiced"),"Fully Invoiced")</f>
        <v>Partial Invoiced</v>
      </c>
      <c r="R2078" t="str">
        <f>IFERROR(VLOOKUP(T[[#This Row],[warehouse]],Table2[],2,FALSE),"--")</f>
        <v>--</v>
      </c>
    </row>
    <row r="2079" spans="1:18" x14ac:dyDescent="0.25">
      <c r="A2079" t="s">
        <v>560</v>
      </c>
      <c r="B2079" s="1">
        <v>44306</v>
      </c>
      <c r="C2079" t="s">
        <v>1341</v>
      </c>
      <c r="D2079" t="s">
        <v>760</v>
      </c>
      <c r="E2079" t="s">
        <v>51</v>
      </c>
      <c r="F2079" t="s">
        <v>164</v>
      </c>
      <c r="G2079" t="s">
        <v>1402</v>
      </c>
      <c r="H2079" t="s">
        <v>54</v>
      </c>
      <c r="I2079">
        <v>60</v>
      </c>
      <c r="J2079">
        <v>0</v>
      </c>
      <c r="K2079">
        <v>1</v>
      </c>
      <c r="L2079" t="s">
        <v>25</v>
      </c>
      <c r="M2079" t="s">
        <v>533</v>
      </c>
      <c r="N2079">
        <v>1657.5</v>
      </c>
      <c r="O2079">
        <v>0</v>
      </c>
      <c r="P2079" t="str">
        <f>IF(T[[#This Row],[qty_ordered]]&lt;&gt;T[[#This Row],[qty_received]],IF(T[[#This Row],[qty_received]]&gt;0,"Partial Received","Not Receviced"),"FullyReceived")</f>
        <v>Not Receviced</v>
      </c>
      <c r="Q2079" t="str">
        <f>IF(T[[#This Row],[qty_received]]&lt;&gt;T[[#This Row],[qty_invoiced]],IF(T[[#This Row],[qty_invoiced]]&gt;0,"Partial Invoiced","Not Invoiced"),"Fully Invoiced")</f>
        <v>Partial Invoiced</v>
      </c>
      <c r="R2079" t="str">
        <f>IFERROR(VLOOKUP(T[[#This Row],[warehouse]],Table2[],2,FALSE),"--")</f>
        <v>--</v>
      </c>
    </row>
    <row r="2080" spans="1:18" x14ac:dyDescent="0.25">
      <c r="A2080" t="s">
        <v>560</v>
      </c>
      <c r="B2080" s="1">
        <v>44306</v>
      </c>
      <c r="C2080" t="s">
        <v>1341</v>
      </c>
      <c r="D2080" t="s">
        <v>591</v>
      </c>
      <c r="E2080" t="s">
        <v>51</v>
      </c>
      <c r="F2080" t="s">
        <v>164</v>
      </c>
      <c r="G2080" t="s">
        <v>1402</v>
      </c>
      <c r="H2080" t="s">
        <v>54</v>
      </c>
      <c r="I2080">
        <v>20</v>
      </c>
      <c r="J2080">
        <v>0</v>
      </c>
      <c r="K2080">
        <v>1</v>
      </c>
      <c r="L2080" t="s">
        <v>25</v>
      </c>
      <c r="M2080" t="s">
        <v>533</v>
      </c>
      <c r="N2080">
        <v>1777</v>
      </c>
      <c r="O2080">
        <v>0</v>
      </c>
      <c r="P2080" t="str">
        <f>IF(T[[#This Row],[qty_ordered]]&lt;&gt;T[[#This Row],[qty_received]],IF(T[[#This Row],[qty_received]]&gt;0,"Partial Received","Not Receviced"),"FullyReceived")</f>
        <v>Not Receviced</v>
      </c>
      <c r="Q2080" t="str">
        <f>IF(T[[#This Row],[qty_received]]&lt;&gt;T[[#This Row],[qty_invoiced]],IF(T[[#This Row],[qty_invoiced]]&gt;0,"Partial Invoiced","Not Invoiced"),"Fully Invoiced")</f>
        <v>Partial Invoiced</v>
      </c>
      <c r="R2080" t="str">
        <f>IFERROR(VLOOKUP(T[[#This Row],[warehouse]],Table2[],2,FALSE),"--")</f>
        <v>--</v>
      </c>
    </row>
    <row r="2081" spans="1:18" x14ac:dyDescent="0.25">
      <c r="A2081" t="s">
        <v>560</v>
      </c>
      <c r="B2081" s="1">
        <v>44306</v>
      </c>
      <c r="C2081" t="s">
        <v>1341</v>
      </c>
      <c r="D2081" t="s">
        <v>592</v>
      </c>
      <c r="E2081" t="s">
        <v>51</v>
      </c>
      <c r="F2081" t="s">
        <v>164</v>
      </c>
      <c r="G2081" t="s">
        <v>1402</v>
      </c>
      <c r="H2081" t="s">
        <v>54</v>
      </c>
      <c r="I2081">
        <v>50</v>
      </c>
      <c r="J2081">
        <v>0</v>
      </c>
      <c r="K2081">
        <v>1</v>
      </c>
      <c r="L2081" t="s">
        <v>25</v>
      </c>
      <c r="M2081" t="s">
        <v>533</v>
      </c>
      <c r="N2081">
        <v>1560.4</v>
      </c>
      <c r="O2081">
        <v>0</v>
      </c>
      <c r="P2081" t="str">
        <f>IF(T[[#This Row],[qty_ordered]]&lt;&gt;T[[#This Row],[qty_received]],IF(T[[#This Row],[qty_received]]&gt;0,"Partial Received","Not Receviced"),"FullyReceived")</f>
        <v>Not Receviced</v>
      </c>
      <c r="Q2081" t="str">
        <f>IF(T[[#This Row],[qty_received]]&lt;&gt;T[[#This Row],[qty_invoiced]],IF(T[[#This Row],[qty_invoiced]]&gt;0,"Partial Invoiced","Not Invoiced"),"Fully Invoiced")</f>
        <v>Partial Invoiced</v>
      </c>
      <c r="R2081" t="str">
        <f>IFERROR(VLOOKUP(T[[#This Row],[warehouse]],Table2[],2,FALSE),"--")</f>
        <v>--</v>
      </c>
    </row>
    <row r="2082" spans="1:18" x14ac:dyDescent="0.25">
      <c r="A2082" t="s">
        <v>560</v>
      </c>
      <c r="B2082" s="1">
        <v>44251</v>
      </c>
      <c r="C2082" t="s">
        <v>1245</v>
      </c>
      <c r="D2082" t="s">
        <v>591</v>
      </c>
      <c r="E2082" t="s">
        <v>51</v>
      </c>
      <c r="F2082" t="s">
        <v>164</v>
      </c>
      <c r="G2082" t="s">
        <v>1384</v>
      </c>
      <c r="H2082" t="s">
        <v>54</v>
      </c>
      <c r="I2082">
        <v>65</v>
      </c>
      <c r="J2082">
        <v>0</v>
      </c>
      <c r="K2082">
        <v>1</v>
      </c>
      <c r="L2082" t="s">
        <v>25</v>
      </c>
      <c r="M2082" t="s">
        <v>533</v>
      </c>
      <c r="N2082">
        <v>1632</v>
      </c>
      <c r="O2082">
        <v>0</v>
      </c>
      <c r="P2082" t="str">
        <f>IF(T[[#This Row],[qty_ordered]]&lt;&gt;T[[#This Row],[qty_received]],IF(T[[#This Row],[qty_received]]&gt;0,"Partial Received","Not Receviced"),"FullyReceived")</f>
        <v>Not Receviced</v>
      </c>
      <c r="Q2082" t="str">
        <f>IF(T[[#This Row],[qty_received]]&lt;&gt;T[[#This Row],[qty_invoiced]],IF(T[[#This Row],[qty_invoiced]]&gt;0,"Partial Invoiced","Not Invoiced"),"Fully Invoiced")</f>
        <v>Partial Invoiced</v>
      </c>
      <c r="R2082" t="str">
        <f>IFERROR(VLOOKUP(T[[#This Row],[warehouse]],Table2[],2,FALSE),"--")</f>
        <v>--</v>
      </c>
    </row>
    <row r="2083" spans="1:18" x14ac:dyDescent="0.25">
      <c r="A2083" t="s">
        <v>201</v>
      </c>
      <c r="B2083" s="1">
        <v>44419</v>
      </c>
      <c r="C2083" t="s">
        <v>1446</v>
      </c>
      <c r="D2083" t="s">
        <v>71</v>
      </c>
      <c r="E2083" t="s">
        <v>1220</v>
      </c>
      <c r="F2083" t="s">
        <v>1307</v>
      </c>
      <c r="G2083" t="s">
        <v>1308</v>
      </c>
      <c r="H2083" t="s">
        <v>149</v>
      </c>
      <c r="I2083">
        <v>10800</v>
      </c>
      <c r="J2083">
        <v>7500</v>
      </c>
      <c r="K2083">
        <v>7500</v>
      </c>
      <c r="L2083" t="s">
        <v>25</v>
      </c>
      <c r="M2083" t="s">
        <v>744</v>
      </c>
      <c r="N2083">
        <v>0</v>
      </c>
      <c r="O2083">
        <v>0</v>
      </c>
      <c r="P2083" t="str">
        <f>IF(T[[#This Row],[qty_ordered]]&lt;&gt;T[[#This Row],[qty_received]],IF(T[[#This Row],[qty_received]]&gt;0,"Partial Received","Not Receviced"),"FullyReceived")</f>
        <v>Partial Received</v>
      </c>
      <c r="Q2083" t="str">
        <f>IF(T[[#This Row],[qty_received]]&lt;&gt;T[[#This Row],[qty_invoiced]],IF(T[[#This Row],[qty_invoiced]]&gt;0,"Partial Invoiced","Not Invoiced"),"Fully Invoiced")</f>
        <v>Fully Invoiced</v>
      </c>
      <c r="R2083" t="str">
        <f>IFERROR(VLOOKUP(T[[#This Row],[warehouse]],Table2[],2,FALSE),"--")</f>
        <v>Import Virtual Warehouse - PZU</v>
      </c>
    </row>
    <row r="2084" spans="1:18" x14ac:dyDescent="0.25">
      <c r="A2084" t="s">
        <v>201</v>
      </c>
      <c r="B2084" s="1">
        <v>44419</v>
      </c>
      <c r="C2084" t="s">
        <v>1447</v>
      </c>
      <c r="D2084" t="s">
        <v>71</v>
      </c>
      <c r="E2084" t="s">
        <v>1220</v>
      </c>
      <c r="F2084" t="s">
        <v>1307</v>
      </c>
      <c r="G2084" t="s">
        <v>1308</v>
      </c>
      <c r="H2084" t="s">
        <v>149</v>
      </c>
      <c r="I2084">
        <v>2400</v>
      </c>
      <c r="J2084">
        <v>1224</v>
      </c>
      <c r="K2084">
        <v>0</v>
      </c>
      <c r="L2084" t="s">
        <v>693</v>
      </c>
      <c r="M2084" t="s">
        <v>744</v>
      </c>
      <c r="N2084">
        <v>0</v>
      </c>
      <c r="O2084">
        <v>0</v>
      </c>
      <c r="P2084" t="str">
        <f>IF(T[[#This Row],[qty_ordered]]&lt;&gt;T[[#This Row],[qty_received]],IF(T[[#This Row],[qty_received]]&gt;0,"Partial Received","Not Receviced"),"FullyReceived")</f>
        <v>Partial Received</v>
      </c>
      <c r="Q2084" t="str">
        <f>IF(T[[#This Row],[qty_received]]&lt;&gt;T[[#This Row],[qty_invoiced]],IF(T[[#This Row],[qty_invoiced]]&gt;0,"Partial Invoiced","Not Invoiced"),"Fully Invoiced")</f>
        <v>Not Invoiced</v>
      </c>
      <c r="R2084" t="str">
        <f>IFERROR(VLOOKUP(T[[#This Row],[warehouse]],Table2[],2,FALSE),"--")</f>
        <v>Import Virtual Warehouse - PZU</v>
      </c>
    </row>
    <row r="2085" spans="1:18" x14ac:dyDescent="0.25">
      <c r="A2085" t="s">
        <v>1218</v>
      </c>
      <c r="B2085" s="1">
        <v>44427</v>
      </c>
      <c r="C2085" t="s">
        <v>1448</v>
      </c>
      <c r="D2085" t="s">
        <v>20</v>
      </c>
      <c r="E2085" t="s">
        <v>1220</v>
      </c>
      <c r="F2085" t="s">
        <v>1338</v>
      </c>
      <c r="G2085" t="s">
        <v>1339</v>
      </c>
      <c r="H2085" t="s">
        <v>123</v>
      </c>
      <c r="I2085">
        <v>60000</v>
      </c>
      <c r="J2085">
        <v>60000</v>
      </c>
      <c r="K2085">
        <v>60000</v>
      </c>
      <c r="L2085" t="s">
        <v>25</v>
      </c>
      <c r="M2085" t="s">
        <v>744</v>
      </c>
      <c r="N2085">
        <v>11099.52</v>
      </c>
      <c r="O2085">
        <v>665971200</v>
      </c>
      <c r="P2085" t="str">
        <f>IF(T[[#This Row],[qty_ordered]]&lt;&gt;T[[#This Row],[qty_received]],IF(T[[#This Row],[qty_received]]&gt;0,"Partial Received","Not Receviced"),"FullyReceived")</f>
        <v>FullyReceived</v>
      </c>
      <c r="Q2085" t="str">
        <f>IF(T[[#This Row],[qty_received]]&lt;&gt;T[[#This Row],[qty_invoiced]],IF(T[[#This Row],[qty_invoiced]]&gt;0,"Partial Invoiced","Not Invoiced"),"Fully Invoiced")</f>
        <v>Fully Invoiced</v>
      </c>
      <c r="R2085" t="str">
        <f>IFERROR(VLOOKUP(T[[#This Row],[warehouse]],Table2[],2,FALSE),"--")</f>
        <v>Import Virtual Warehouse - PZU</v>
      </c>
    </row>
    <row r="2086" spans="1:18" x14ac:dyDescent="0.25">
      <c r="A2086" t="s">
        <v>1218</v>
      </c>
      <c r="B2086" s="1">
        <v>44427</v>
      </c>
      <c r="C2086" t="s">
        <v>1449</v>
      </c>
      <c r="D2086" t="s">
        <v>20</v>
      </c>
      <c r="E2086" t="s">
        <v>1220</v>
      </c>
      <c r="F2086" t="s">
        <v>1338</v>
      </c>
      <c r="G2086" t="s">
        <v>1339</v>
      </c>
      <c r="H2086" t="s">
        <v>123</v>
      </c>
      <c r="I2086">
        <v>70000</v>
      </c>
      <c r="J2086">
        <v>70000</v>
      </c>
      <c r="K2086">
        <v>70000</v>
      </c>
      <c r="L2086" t="s">
        <v>25</v>
      </c>
      <c r="M2086" t="s">
        <v>744</v>
      </c>
      <c r="N2086">
        <v>11730.51</v>
      </c>
      <c r="O2086">
        <v>821135700</v>
      </c>
      <c r="P2086" t="str">
        <f>IF(T[[#This Row],[qty_ordered]]&lt;&gt;T[[#This Row],[qty_received]],IF(T[[#This Row],[qty_received]]&gt;0,"Partial Received","Not Receviced"),"FullyReceived")</f>
        <v>FullyReceived</v>
      </c>
      <c r="Q2086" t="str">
        <f>IF(T[[#This Row],[qty_received]]&lt;&gt;T[[#This Row],[qty_invoiced]],IF(T[[#This Row],[qty_invoiced]]&gt;0,"Partial Invoiced","Not Invoiced"),"Fully Invoiced")</f>
        <v>Fully Invoiced</v>
      </c>
      <c r="R2086" t="str">
        <f>IFERROR(VLOOKUP(T[[#This Row],[warehouse]],Table2[],2,FALSE),"--")</f>
        <v>Import Virtual Warehouse - PZU</v>
      </c>
    </row>
    <row r="2087" spans="1:18" x14ac:dyDescent="0.25">
      <c r="A2087" t="s">
        <v>955</v>
      </c>
      <c r="B2087" s="1">
        <v>44427</v>
      </c>
      <c r="C2087" t="s">
        <v>1450</v>
      </c>
      <c r="D2087" t="s">
        <v>20</v>
      </c>
      <c r="E2087" t="s">
        <v>1430</v>
      </c>
      <c r="F2087" t="s">
        <v>130</v>
      </c>
      <c r="G2087" t="s">
        <v>131</v>
      </c>
      <c r="H2087" t="s">
        <v>24</v>
      </c>
      <c r="I2087">
        <v>1000</v>
      </c>
      <c r="J2087">
        <v>0</v>
      </c>
      <c r="K2087">
        <v>0</v>
      </c>
      <c r="L2087" t="s">
        <v>51</v>
      </c>
      <c r="M2087" t="s">
        <v>132</v>
      </c>
      <c r="N2087">
        <v>215307.6</v>
      </c>
      <c r="O2087">
        <v>0</v>
      </c>
      <c r="P2087" t="str">
        <f>IF(T[[#This Row],[qty_ordered]]&lt;&gt;T[[#This Row],[qty_received]],IF(T[[#This Row],[qty_received]]&gt;0,"Partial Received","Not Receviced"),"FullyReceived")</f>
        <v>Not Receviced</v>
      </c>
      <c r="Q2087" t="str">
        <f>IF(T[[#This Row],[qty_received]]&lt;&gt;T[[#This Row],[qty_invoiced]],IF(T[[#This Row],[qty_invoiced]]&gt;0,"Partial Invoiced","Not Invoiced"),"Fully Invoiced")</f>
        <v>Fully Invoiced</v>
      </c>
      <c r="R2087" t="str">
        <f>IFERROR(VLOOKUP(T[[#This Row],[warehouse]],Table2[],2,FALSE),"--")</f>
        <v>Obaid Gum Arabic Centre</v>
      </c>
    </row>
    <row r="2088" spans="1:18" x14ac:dyDescent="0.25">
      <c r="A2088" t="s">
        <v>1118</v>
      </c>
      <c r="B2088" s="1">
        <v>44430</v>
      </c>
      <c r="C2088" t="s">
        <v>1119</v>
      </c>
      <c r="D2088" t="s">
        <v>20</v>
      </c>
      <c r="E2088" t="s">
        <v>660</v>
      </c>
      <c r="F2088" t="s">
        <v>1451</v>
      </c>
      <c r="G2088" t="s">
        <v>1452</v>
      </c>
      <c r="H2088" t="s">
        <v>1087</v>
      </c>
      <c r="I2088">
        <v>918</v>
      </c>
      <c r="J2088">
        <v>918</v>
      </c>
      <c r="K2088">
        <v>918</v>
      </c>
      <c r="L2088" t="s">
        <v>693</v>
      </c>
      <c r="M2088" t="s">
        <v>132</v>
      </c>
      <c r="N2088">
        <v>29150</v>
      </c>
      <c r="O2088">
        <v>30598913.699999999</v>
      </c>
      <c r="P2088" t="str">
        <f>IF(T[[#This Row],[qty_ordered]]&lt;&gt;T[[#This Row],[qty_received]],IF(T[[#This Row],[qty_received]]&gt;0,"Partial Received","Not Receviced"),"FullyReceived")</f>
        <v>FullyReceived</v>
      </c>
      <c r="Q2088" t="str">
        <f>IF(T[[#This Row],[qty_received]]&lt;&gt;T[[#This Row],[qty_invoiced]],IF(T[[#This Row],[qty_invoiced]]&gt;0,"Partial Invoiced","Not Invoiced"),"Fully Invoiced")</f>
        <v>Fully Invoiced</v>
      </c>
      <c r="R2088" t="str">
        <f>IFERROR(VLOOKUP(T[[#This Row],[warehouse]],Table2[],2,FALSE),"--")</f>
        <v>SLAUGHTER HOUSE</v>
      </c>
    </row>
    <row r="2089" spans="1:18" x14ac:dyDescent="0.25">
      <c r="A2089" t="s">
        <v>959</v>
      </c>
      <c r="B2089" s="1">
        <v>44430</v>
      </c>
      <c r="C2089" t="s">
        <v>1453</v>
      </c>
      <c r="D2089" t="s">
        <v>20</v>
      </c>
      <c r="E2089" t="s">
        <v>1285</v>
      </c>
      <c r="F2089" t="s">
        <v>1338</v>
      </c>
      <c r="G2089" t="s">
        <v>1339</v>
      </c>
      <c r="H2089" t="s">
        <v>123</v>
      </c>
      <c r="I2089">
        <v>6000</v>
      </c>
      <c r="J2089">
        <v>5900</v>
      </c>
      <c r="K2089">
        <v>5900</v>
      </c>
      <c r="L2089" t="s">
        <v>25</v>
      </c>
      <c r="M2089" t="s">
        <v>132</v>
      </c>
      <c r="N2089">
        <v>14350</v>
      </c>
      <c r="O2089">
        <v>84665000</v>
      </c>
      <c r="P2089" t="str">
        <f>IF(T[[#This Row],[qty_ordered]]&lt;&gt;T[[#This Row],[qty_received]],IF(T[[#This Row],[qty_received]]&gt;0,"Partial Received","Not Receviced"),"FullyReceived")</f>
        <v>Partial Received</v>
      </c>
      <c r="Q2089" t="str">
        <f>IF(T[[#This Row],[qty_received]]&lt;&gt;T[[#This Row],[qty_invoiced]],IF(T[[#This Row],[qty_invoiced]]&gt;0,"Partial Invoiced","Not Invoiced"),"Fully Invoiced")</f>
        <v>Fully Invoiced</v>
      </c>
      <c r="R2089" t="str">
        <f>IFERROR(VLOOKUP(T[[#This Row],[warehouse]],Table2[],2,FALSE),"--")</f>
        <v>Khartoum Import Warehouse</v>
      </c>
    </row>
    <row r="2090" spans="1:18" x14ac:dyDescent="0.25">
      <c r="A2090" t="s">
        <v>1454</v>
      </c>
      <c r="B2090" s="1">
        <v>44431</v>
      </c>
      <c r="C2090" t="s">
        <v>1455</v>
      </c>
      <c r="D2090" t="s">
        <v>20</v>
      </c>
      <c r="E2090" t="s">
        <v>146</v>
      </c>
      <c r="F2090" t="s">
        <v>1456</v>
      </c>
      <c r="G2090" t="s">
        <v>1457</v>
      </c>
      <c r="H2090" t="s">
        <v>417</v>
      </c>
      <c r="I2090">
        <v>60</v>
      </c>
      <c r="J2090">
        <v>60</v>
      </c>
      <c r="K2090">
        <v>60</v>
      </c>
      <c r="L2090" t="s">
        <v>25</v>
      </c>
      <c r="M2090" t="s">
        <v>1407</v>
      </c>
      <c r="N2090">
        <v>750</v>
      </c>
      <c r="O2090">
        <v>45000</v>
      </c>
      <c r="P2090" t="str">
        <f>IF(T[[#This Row],[qty_ordered]]&lt;&gt;T[[#This Row],[qty_received]],IF(T[[#This Row],[qty_received]]&gt;0,"Partial Received","Not Receviced"),"FullyReceived")</f>
        <v>FullyReceived</v>
      </c>
      <c r="Q2090" t="str">
        <f>IF(T[[#This Row],[qty_received]]&lt;&gt;T[[#This Row],[qty_invoiced]],IF(T[[#This Row],[qty_invoiced]]&gt;0,"Partial Invoiced","Not Invoiced"),"Fully Invoiced")</f>
        <v>Fully Invoiced</v>
      </c>
      <c r="R2090" t="str">
        <f>IFERROR(VLOOKUP(T[[#This Row],[warehouse]],Table2[],2,FALSE),"--")</f>
        <v>Khtoum Main Warehouse</v>
      </c>
    </row>
    <row r="2091" spans="1:18" x14ac:dyDescent="0.25">
      <c r="A2091" t="s">
        <v>1458</v>
      </c>
      <c r="B2091" s="1">
        <v>44383</v>
      </c>
      <c r="C2091" t="s">
        <v>1459</v>
      </c>
      <c r="D2091" t="s">
        <v>20</v>
      </c>
      <c r="E2091" t="s">
        <v>146</v>
      </c>
      <c r="F2091" t="s">
        <v>1460</v>
      </c>
      <c r="G2091" t="s">
        <v>1461</v>
      </c>
      <c r="H2091" t="s">
        <v>417</v>
      </c>
      <c r="I2091">
        <v>144</v>
      </c>
      <c r="J2091">
        <v>144</v>
      </c>
      <c r="K2091">
        <v>144</v>
      </c>
      <c r="L2091" t="s">
        <v>25</v>
      </c>
      <c r="M2091" t="s">
        <v>1407</v>
      </c>
      <c r="N2091">
        <v>1040</v>
      </c>
      <c r="O2091">
        <v>149760</v>
      </c>
      <c r="P2091" t="str">
        <f>IF(T[[#This Row],[qty_ordered]]&lt;&gt;T[[#This Row],[qty_received]],IF(T[[#This Row],[qty_received]]&gt;0,"Partial Received","Not Receviced"),"FullyReceived")</f>
        <v>FullyReceived</v>
      </c>
      <c r="Q2091" t="str">
        <f>IF(T[[#This Row],[qty_received]]&lt;&gt;T[[#This Row],[qty_invoiced]],IF(T[[#This Row],[qty_invoiced]]&gt;0,"Partial Invoiced","Not Invoiced"),"Fully Invoiced")</f>
        <v>Fully Invoiced</v>
      </c>
      <c r="R2091" t="str">
        <f>IFERROR(VLOOKUP(T[[#This Row],[warehouse]],Table2[],2,FALSE),"--")</f>
        <v>Khtoum Main Warehouse</v>
      </c>
    </row>
    <row r="2092" spans="1:18" x14ac:dyDescent="0.25">
      <c r="A2092" t="s">
        <v>1114</v>
      </c>
      <c r="B2092" s="1">
        <v>44250</v>
      </c>
      <c r="C2092" t="s">
        <v>1242</v>
      </c>
      <c r="D2092" t="s">
        <v>322</v>
      </c>
      <c r="E2092" t="s">
        <v>660</v>
      </c>
      <c r="F2092" t="s">
        <v>1042</v>
      </c>
      <c r="G2092" t="s">
        <v>1043</v>
      </c>
      <c r="H2092" t="s">
        <v>663</v>
      </c>
      <c r="I2092">
        <v>11000</v>
      </c>
      <c r="J2092">
        <v>0</v>
      </c>
      <c r="K2092">
        <v>0</v>
      </c>
      <c r="L2092" t="s">
        <v>25</v>
      </c>
      <c r="M2092" t="s">
        <v>132</v>
      </c>
      <c r="N2092">
        <v>2700</v>
      </c>
      <c r="O2092">
        <v>0</v>
      </c>
      <c r="P2092" t="str">
        <f>IF(T[[#This Row],[qty_ordered]]&lt;&gt;T[[#This Row],[qty_received]],IF(T[[#This Row],[qty_received]]&gt;0,"Partial Received","Not Receviced"),"FullyReceived")</f>
        <v>Not Receviced</v>
      </c>
      <c r="Q2092" t="str">
        <f>IF(T[[#This Row],[qty_received]]&lt;&gt;T[[#This Row],[qty_invoiced]],IF(T[[#This Row],[qty_invoiced]]&gt;0,"Partial Invoiced","Not Invoiced"),"Fully Invoiced")</f>
        <v>Fully Invoiced</v>
      </c>
      <c r="R2092" t="str">
        <f>IFERROR(VLOOKUP(T[[#This Row],[warehouse]],Table2[],2,FALSE),"--")</f>
        <v>SLAUGHTER HOUSE</v>
      </c>
    </row>
    <row r="2093" spans="1:18" x14ac:dyDescent="0.25">
      <c r="A2093" t="s">
        <v>201</v>
      </c>
      <c r="B2093" s="1">
        <v>44437</v>
      </c>
      <c r="C2093" t="s">
        <v>1462</v>
      </c>
      <c r="D2093" t="s">
        <v>20</v>
      </c>
      <c r="E2093" t="s">
        <v>1220</v>
      </c>
      <c r="F2093" t="s">
        <v>1338</v>
      </c>
      <c r="G2093" t="s">
        <v>1339</v>
      </c>
      <c r="H2093" t="s">
        <v>123</v>
      </c>
      <c r="I2093">
        <v>190000</v>
      </c>
      <c r="J2093">
        <v>0</v>
      </c>
      <c r="K2093">
        <v>0</v>
      </c>
      <c r="L2093" t="s">
        <v>59</v>
      </c>
      <c r="M2093" t="s">
        <v>744</v>
      </c>
      <c r="N2093">
        <v>11512.398545</v>
      </c>
      <c r="O2093">
        <v>0</v>
      </c>
      <c r="P2093" t="str">
        <f>IF(T[[#This Row],[qty_ordered]]&lt;&gt;T[[#This Row],[qty_received]],IF(T[[#This Row],[qty_received]]&gt;0,"Partial Received","Not Receviced"),"FullyReceived")</f>
        <v>Not Receviced</v>
      </c>
      <c r="Q2093" t="str">
        <f>IF(T[[#This Row],[qty_received]]&lt;&gt;T[[#This Row],[qty_invoiced]],IF(T[[#This Row],[qty_invoiced]]&gt;0,"Partial Invoiced","Not Invoiced"),"Fully Invoiced")</f>
        <v>Fully Invoiced</v>
      </c>
      <c r="R2093" t="str">
        <f>IFERROR(VLOOKUP(T[[#This Row],[warehouse]],Table2[],2,FALSE),"--")</f>
        <v>Import Virtual Warehouse - PZU</v>
      </c>
    </row>
    <row r="2094" spans="1:18" x14ac:dyDescent="0.25">
      <c r="A2094" t="s">
        <v>144</v>
      </c>
      <c r="B2094" s="1">
        <v>44438</v>
      </c>
      <c r="C2094" t="s">
        <v>1463</v>
      </c>
      <c r="D2094" t="s">
        <v>20</v>
      </c>
      <c r="E2094" t="s">
        <v>146</v>
      </c>
      <c r="F2094" t="s">
        <v>1464</v>
      </c>
      <c r="G2094" t="s">
        <v>1465</v>
      </c>
      <c r="H2094" t="s">
        <v>149</v>
      </c>
      <c r="I2094">
        <v>3200</v>
      </c>
      <c r="J2094">
        <v>3000</v>
      </c>
      <c r="K2094">
        <v>3000</v>
      </c>
      <c r="L2094" t="s">
        <v>25</v>
      </c>
      <c r="M2094" t="s">
        <v>1404</v>
      </c>
      <c r="N2094">
        <v>36.527970000000003</v>
      </c>
      <c r="O2094">
        <v>109583.91</v>
      </c>
      <c r="P2094" t="str">
        <f>IF(T[[#This Row],[qty_ordered]]&lt;&gt;T[[#This Row],[qty_received]],IF(T[[#This Row],[qty_received]]&gt;0,"Partial Received","Not Receviced"),"FullyReceived")</f>
        <v>Partial Received</v>
      </c>
      <c r="Q2094" t="str">
        <f>IF(T[[#This Row],[qty_received]]&lt;&gt;T[[#This Row],[qty_invoiced]],IF(T[[#This Row],[qty_invoiced]]&gt;0,"Partial Invoiced","Not Invoiced"),"Fully Invoiced")</f>
        <v>Fully Invoiced</v>
      </c>
      <c r="R2094" t="str">
        <f>IFERROR(VLOOKUP(T[[#This Row],[warehouse]],Table2[],2,FALSE),"--")</f>
        <v>Khtoum Main Warehouse</v>
      </c>
    </row>
    <row r="2095" spans="1:18" x14ac:dyDescent="0.25">
      <c r="A2095" t="s">
        <v>973</v>
      </c>
      <c r="B2095" s="1">
        <v>44221</v>
      </c>
      <c r="C2095" t="s">
        <v>1198</v>
      </c>
      <c r="D2095" t="s">
        <v>100</v>
      </c>
      <c r="E2095" t="s">
        <v>281</v>
      </c>
      <c r="F2095" t="s">
        <v>167</v>
      </c>
      <c r="G2095" t="s">
        <v>156</v>
      </c>
      <c r="H2095" t="s">
        <v>24</v>
      </c>
      <c r="I2095">
        <v>12.62</v>
      </c>
      <c r="J2095">
        <v>12.62</v>
      </c>
      <c r="K2095">
        <v>12.62</v>
      </c>
      <c r="L2095" t="s">
        <v>25</v>
      </c>
      <c r="M2095" t="s">
        <v>132</v>
      </c>
      <c r="N2095">
        <v>584682.20458899997</v>
      </c>
      <c r="O2095">
        <v>7378689.4219131796</v>
      </c>
      <c r="P2095" t="str">
        <f>IF(T[[#This Row],[qty_ordered]]&lt;&gt;T[[#This Row],[qty_received]],IF(T[[#This Row],[qty_received]]&gt;0,"Partial Received","Not Receviced"),"FullyReceived")</f>
        <v>FullyReceived</v>
      </c>
      <c r="Q2095" t="str">
        <f>IF(T[[#This Row],[qty_received]]&lt;&gt;T[[#This Row],[qty_invoiced]],IF(T[[#This Row],[qty_invoiced]]&gt;0,"Partial Invoiced","Not Invoiced"),"Fully Invoiced")</f>
        <v>Fully Invoiced</v>
      </c>
      <c r="R2095" t="str">
        <f>IFERROR(VLOOKUP(T[[#This Row],[warehouse]],Table2[],2,FALSE),"--")</f>
        <v>Crusher Alm Eldin-KH</v>
      </c>
    </row>
    <row r="2096" spans="1:18" x14ac:dyDescent="0.25">
      <c r="A2096" t="s">
        <v>400</v>
      </c>
      <c r="B2096" s="1">
        <v>44201</v>
      </c>
      <c r="C2096" t="s">
        <v>1152</v>
      </c>
      <c r="D2096" t="s">
        <v>323</v>
      </c>
      <c r="E2096" t="s">
        <v>51</v>
      </c>
      <c r="F2096" t="s">
        <v>278</v>
      </c>
      <c r="G2096" t="s">
        <v>279</v>
      </c>
      <c r="H2096" t="s">
        <v>54</v>
      </c>
      <c r="I2096">
        <v>1</v>
      </c>
      <c r="J2096">
        <v>0</v>
      </c>
      <c r="K2096">
        <v>1</v>
      </c>
      <c r="L2096" t="s">
        <v>25</v>
      </c>
      <c r="M2096" t="s">
        <v>533</v>
      </c>
      <c r="N2096">
        <v>74556</v>
      </c>
      <c r="O2096">
        <v>0</v>
      </c>
      <c r="P2096" t="str">
        <f>IF(T[[#This Row],[qty_ordered]]&lt;&gt;T[[#This Row],[qty_received]],IF(T[[#This Row],[qty_received]]&gt;0,"Partial Received","Not Receviced"),"FullyReceived")</f>
        <v>Not Receviced</v>
      </c>
      <c r="Q2096" t="str">
        <f>IF(T[[#This Row],[qty_received]]&lt;&gt;T[[#This Row],[qty_invoiced]],IF(T[[#This Row],[qty_invoiced]]&gt;0,"Partial Invoiced","Not Invoiced"),"Fully Invoiced")</f>
        <v>Partial Invoiced</v>
      </c>
      <c r="R2096" t="str">
        <f>IFERROR(VLOOKUP(T[[#This Row],[warehouse]],Table2[],2,FALSE),"--")</f>
        <v>--</v>
      </c>
    </row>
    <row r="2097" spans="1:18" x14ac:dyDescent="0.25">
      <c r="A2097" t="s">
        <v>1114</v>
      </c>
      <c r="B2097" s="1">
        <v>44250</v>
      </c>
      <c r="C2097" t="s">
        <v>1242</v>
      </c>
      <c r="D2097" t="s">
        <v>324</v>
      </c>
      <c r="E2097" t="s">
        <v>660</v>
      </c>
      <c r="F2097" t="s">
        <v>1042</v>
      </c>
      <c r="G2097" t="s">
        <v>1043</v>
      </c>
      <c r="H2097" t="s">
        <v>663</v>
      </c>
      <c r="I2097">
        <v>18333</v>
      </c>
      <c r="J2097">
        <v>0</v>
      </c>
      <c r="K2097">
        <v>0</v>
      </c>
      <c r="L2097" t="s">
        <v>25</v>
      </c>
      <c r="M2097" t="s">
        <v>132</v>
      </c>
      <c r="N2097">
        <v>2700.0490920000002</v>
      </c>
      <c r="O2097">
        <v>0</v>
      </c>
      <c r="P2097" t="str">
        <f>IF(T[[#This Row],[qty_ordered]]&lt;&gt;T[[#This Row],[qty_received]],IF(T[[#This Row],[qty_received]]&gt;0,"Partial Received","Not Receviced"),"FullyReceived")</f>
        <v>Not Receviced</v>
      </c>
      <c r="Q2097" t="str">
        <f>IF(T[[#This Row],[qty_received]]&lt;&gt;T[[#This Row],[qty_invoiced]],IF(T[[#This Row],[qty_invoiced]]&gt;0,"Partial Invoiced","Not Invoiced"),"Fully Invoiced")</f>
        <v>Fully Invoiced</v>
      </c>
      <c r="R2097" t="str">
        <f>IFERROR(VLOOKUP(T[[#This Row],[warehouse]],Table2[],2,FALSE),"--")</f>
        <v>SLAUGHTER HOUSE</v>
      </c>
    </row>
    <row r="2098" spans="1:18" x14ac:dyDescent="0.25">
      <c r="A2098" t="s">
        <v>618</v>
      </c>
      <c r="B2098" s="1">
        <v>44417</v>
      </c>
      <c r="C2098" t="s">
        <v>1432</v>
      </c>
      <c r="D2098" t="s">
        <v>74</v>
      </c>
      <c r="E2098" t="s">
        <v>553</v>
      </c>
      <c r="F2098" t="s">
        <v>86</v>
      </c>
      <c r="G2098" t="s">
        <v>87</v>
      </c>
      <c r="H2098" t="s">
        <v>24</v>
      </c>
      <c r="I2098">
        <v>90</v>
      </c>
      <c r="J2098">
        <v>0</v>
      </c>
      <c r="K2098">
        <v>0</v>
      </c>
      <c r="L2098" t="s">
        <v>25</v>
      </c>
      <c r="M2098" t="s">
        <v>132</v>
      </c>
      <c r="N2098">
        <v>544444.44444400002</v>
      </c>
      <c r="O2098">
        <v>0</v>
      </c>
      <c r="P2098" t="str">
        <f>IF(T[[#This Row],[qty_ordered]]&lt;&gt;T[[#This Row],[qty_received]],IF(T[[#This Row],[qty_received]]&gt;0,"Partial Received","Not Receviced"),"FullyReceived")</f>
        <v>Not Receviced</v>
      </c>
      <c r="Q2098" t="str">
        <f>IF(T[[#This Row],[qty_received]]&lt;&gt;T[[#This Row],[qty_invoiced]],IF(T[[#This Row],[qty_invoiced]]&gt;0,"Partial Invoiced","Not Invoiced"),"Fully Invoiced")</f>
        <v>Fully Invoiced</v>
      </c>
      <c r="R2098" t="str">
        <f>IFERROR(VLOOKUP(T[[#This Row],[warehouse]],Table2[],2,FALSE),"--")</f>
        <v>SIFTING HMA-SOBA</v>
      </c>
    </row>
    <row r="2099" spans="1:18" x14ac:dyDescent="0.25">
      <c r="A2099" t="s">
        <v>235</v>
      </c>
      <c r="B2099" s="1">
        <v>44199</v>
      </c>
      <c r="C2099" t="s">
        <v>1136</v>
      </c>
      <c r="D2099" t="s">
        <v>88</v>
      </c>
      <c r="E2099" t="s">
        <v>51</v>
      </c>
      <c r="F2099" t="s">
        <v>546</v>
      </c>
      <c r="G2099" t="s">
        <v>1466</v>
      </c>
      <c r="H2099" t="s">
        <v>54</v>
      </c>
      <c r="I2099">
        <v>2500</v>
      </c>
      <c r="J2099">
        <v>0</v>
      </c>
      <c r="K2099">
        <v>1</v>
      </c>
      <c r="L2099" t="s">
        <v>25</v>
      </c>
      <c r="M2099" t="s">
        <v>533</v>
      </c>
      <c r="N2099">
        <v>15.4</v>
      </c>
      <c r="O2099">
        <v>0</v>
      </c>
      <c r="P2099" t="str">
        <f>IF(T[[#This Row],[qty_ordered]]&lt;&gt;T[[#This Row],[qty_received]],IF(T[[#This Row],[qty_received]]&gt;0,"Partial Received","Not Receviced"),"FullyReceived")</f>
        <v>Not Receviced</v>
      </c>
      <c r="Q2099" t="str">
        <f>IF(T[[#This Row],[qty_received]]&lt;&gt;T[[#This Row],[qty_invoiced]],IF(T[[#This Row],[qty_invoiced]]&gt;0,"Partial Invoiced","Not Invoiced"),"Fully Invoiced")</f>
        <v>Partial Invoiced</v>
      </c>
      <c r="R2099" t="str">
        <f>IFERROR(VLOOKUP(T[[#This Row],[warehouse]],Table2[],2,FALSE),"--")</f>
        <v>--</v>
      </c>
    </row>
    <row r="2100" spans="1:18" x14ac:dyDescent="0.25">
      <c r="A2100" t="s">
        <v>1467</v>
      </c>
      <c r="B2100" s="1">
        <v>44451</v>
      </c>
      <c r="C2100" t="s">
        <v>1468</v>
      </c>
      <c r="D2100" t="s">
        <v>20</v>
      </c>
      <c r="E2100" t="s">
        <v>410</v>
      </c>
      <c r="F2100" t="s">
        <v>1031</v>
      </c>
      <c r="G2100" t="s">
        <v>478</v>
      </c>
      <c r="H2100" t="s">
        <v>24</v>
      </c>
      <c r="I2100">
        <v>200</v>
      </c>
      <c r="J2100">
        <v>151.1</v>
      </c>
      <c r="K2100">
        <v>151.1</v>
      </c>
      <c r="L2100" t="s">
        <v>25</v>
      </c>
      <c r="M2100" t="s">
        <v>132</v>
      </c>
      <c r="N2100">
        <v>710000</v>
      </c>
      <c r="O2100">
        <v>107281000</v>
      </c>
      <c r="P2100" t="str">
        <f>IF(T[[#This Row],[qty_ordered]]&lt;&gt;T[[#This Row],[qty_received]],IF(T[[#This Row],[qty_received]]&gt;0,"Partial Received","Not Receviced"),"FullyReceived")</f>
        <v>Partial Received</v>
      </c>
      <c r="Q2100" t="str">
        <f>IF(T[[#This Row],[qty_received]]&lt;&gt;T[[#This Row],[qty_invoiced]],IF(T[[#This Row],[qty_invoiced]]&gt;0,"Partial Invoiced","Not Invoiced"),"Fully Invoiced")</f>
        <v>Fully Invoiced</v>
      </c>
      <c r="R2100" t="str">
        <f>IFERROR(VLOOKUP(T[[#This Row],[warehouse]],Table2[],2,FALSE),"--")</f>
        <v>SFITER GUM Masaaie</v>
      </c>
    </row>
    <row r="2101" spans="1:18" x14ac:dyDescent="0.25">
      <c r="A2101" t="s">
        <v>423</v>
      </c>
      <c r="B2101" s="1">
        <v>44160</v>
      </c>
      <c r="C2101" t="s">
        <v>1010</v>
      </c>
      <c r="D2101" t="s">
        <v>212</v>
      </c>
      <c r="E2101" t="s">
        <v>51</v>
      </c>
      <c r="F2101" t="s">
        <v>546</v>
      </c>
      <c r="G2101" t="s">
        <v>1063</v>
      </c>
      <c r="H2101" t="s">
        <v>54</v>
      </c>
      <c r="I2101">
        <v>15000</v>
      </c>
      <c r="J2101">
        <v>0</v>
      </c>
      <c r="K2101">
        <v>1</v>
      </c>
      <c r="L2101" t="s">
        <v>25</v>
      </c>
      <c r="M2101" t="s">
        <v>533</v>
      </c>
      <c r="N2101">
        <v>5.6333330000000004</v>
      </c>
      <c r="O2101">
        <v>0</v>
      </c>
      <c r="P2101" t="str">
        <f>IF(T[[#This Row],[qty_ordered]]&lt;&gt;T[[#This Row],[qty_received]],IF(T[[#This Row],[qty_received]]&gt;0,"Partial Received","Not Receviced"),"FullyReceived")</f>
        <v>Not Receviced</v>
      </c>
      <c r="Q2101" t="str">
        <f>IF(T[[#This Row],[qty_received]]&lt;&gt;T[[#This Row],[qty_invoiced]],IF(T[[#This Row],[qty_invoiced]]&gt;0,"Partial Invoiced","Not Invoiced"),"Fully Invoiced")</f>
        <v>Partial Invoiced</v>
      </c>
      <c r="R2101" t="str">
        <f>IFERROR(VLOOKUP(T[[#This Row],[warehouse]],Table2[],2,FALSE),"--")</f>
        <v>--</v>
      </c>
    </row>
    <row r="2102" spans="1:18" x14ac:dyDescent="0.25">
      <c r="A2102" t="s">
        <v>1191</v>
      </c>
      <c r="B2102" s="1">
        <v>44220</v>
      </c>
      <c r="C2102" t="s">
        <v>1192</v>
      </c>
      <c r="D2102" t="s">
        <v>71</v>
      </c>
      <c r="E2102" t="s">
        <v>908</v>
      </c>
      <c r="F2102" t="s">
        <v>47</v>
      </c>
      <c r="G2102" t="s">
        <v>48</v>
      </c>
      <c r="H2102" t="s">
        <v>24</v>
      </c>
      <c r="I2102">
        <v>1000</v>
      </c>
      <c r="J2102">
        <v>796.51</v>
      </c>
      <c r="K2102">
        <v>796.51</v>
      </c>
      <c r="L2102" t="s">
        <v>25</v>
      </c>
      <c r="M2102" t="s">
        <v>132</v>
      </c>
      <c r="N2102">
        <v>330000</v>
      </c>
      <c r="O2102">
        <v>262848300</v>
      </c>
      <c r="P2102" t="str">
        <f>IF(T[[#This Row],[qty_ordered]]&lt;&gt;T[[#This Row],[qty_received]],IF(T[[#This Row],[qty_received]]&gt;0,"Partial Received","Not Receviced"),"FullyReceived")</f>
        <v>Partial Received</v>
      </c>
      <c r="Q2102" t="str">
        <f>IF(T[[#This Row],[qty_received]]&lt;&gt;T[[#This Row],[qty_invoiced]],IF(T[[#This Row],[qty_invoiced]]&gt;0,"Partial Invoiced","Not Invoiced"),"Fully Invoiced")</f>
        <v>Fully Invoiced</v>
      </c>
      <c r="R2102" t="str">
        <f>IFERROR(VLOOKUP(T[[#This Row],[warehouse]],Table2[],2,FALSE),"--")</f>
        <v>SIFTER- ALNAZER-OMDU</v>
      </c>
    </row>
    <row r="2103" spans="1:18" x14ac:dyDescent="0.25">
      <c r="A2103" t="s">
        <v>84</v>
      </c>
      <c r="B2103" s="1">
        <v>44201</v>
      </c>
      <c r="C2103" t="s">
        <v>1251</v>
      </c>
      <c r="D2103" t="s">
        <v>100</v>
      </c>
      <c r="E2103" t="s">
        <v>1142</v>
      </c>
      <c r="F2103" t="s">
        <v>108</v>
      </c>
      <c r="G2103" t="s">
        <v>109</v>
      </c>
      <c r="H2103" t="s">
        <v>24</v>
      </c>
      <c r="I2103">
        <v>600</v>
      </c>
      <c r="J2103">
        <v>124.4</v>
      </c>
      <c r="K2103">
        <v>124.4</v>
      </c>
      <c r="L2103" t="s">
        <v>25</v>
      </c>
      <c r="M2103" t="s">
        <v>707</v>
      </c>
      <c r="N2103">
        <v>400000</v>
      </c>
      <c r="O2103">
        <v>49760000</v>
      </c>
      <c r="P2103" t="str">
        <f>IF(T[[#This Row],[qty_ordered]]&lt;&gt;T[[#This Row],[qty_received]],IF(T[[#This Row],[qty_received]]&gt;0,"Partial Received","Not Receviced"),"FullyReceived")</f>
        <v>Partial Received</v>
      </c>
      <c r="Q2103" t="str">
        <f>IF(T[[#This Row],[qty_received]]&lt;&gt;T[[#This Row],[qty_invoiced]],IF(T[[#This Row],[qty_invoiced]]&gt;0,"Partial Invoiced","Not Invoiced"),"Fully Invoiced")</f>
        <v>Fully Invoiced</v>
      </c>
      <c r="R2103" t="str">
        <f>IFERROR(VLOOKUP(T[[#This Row],[warehouse]],Table2[],2,FALSE),"--")</f>
        <v>SAVOLA W/H FOR EXPOR</v>
      </c>
    </row>
    <row r="2104" spans="1:18" x14ac:dyDescent="0.25">
      <c r="A2104" t="s">
        <v>462</v>
      </c>
      <c r="B2104" s="1">
        <v>44221</v>
      </c>
      <c r="C2104" t="s">
        <v>1200</v>
      </c>
      <c r="D2104" t="s">
        <v>322</v>
      </c>
      <c r="E2104" t="s">
        <v>51</v>
      </c>
      <c r="F2104" t="s">
        <v>373</v>
      </c>
      <c r="G2104" t="s">
        <v>373</v>
      </c>
      <c r="H2104" t="s">
        <v>54</v>
      </c>
      <c r="I2104">
        <v>5461</v>
      </c>
      <c r="J2104">
        <v>0</v>
      </c>
      <c r="K2104">
        <v>1</v>
      </c>
      <c r="L2104" t="s">
        <v>25</v>
      </c>
      <c r="M2104" t="s">
        <v>533</v>
      </c>
      <c r="N2104">
        <v>13</v>
      </c>
      <c r="O2104">
        <v>0</v>
      </c>
      <c r="P2104" t="str">
        <f>IF(T[[#This Row],[qty_ordered]]&lt;&gt;T[[#This Row],[qty_received]],IF(T[[#This Row],[qty_received]]&gt;0,"Partial Received","Not Receviced"),"FullyReceived")</f>
        <v>Not Receviced</v>
      </c>
      <c r="Q2104" t="str">
        <f>IF(T[[#This Row],[qty_received]]&lt;&gt;T[[#This Row],[qty_invoiced]],IF(T[[#This Row],[qty_invoiced]]&gt;0,"Partial Invoiced","Not Invoiced"),"Fully Invoiced")</f>
        <v>Partial Invoiced</v>
      </c>
      <c r="R2104" t="str">
        <f>IFERROR(VLOOKUP(T[[#This Row],[warehouse]],Table2[],2,FALSE),"--")</f>
        <v>--</v>
      </c>
    </row>
    <row r="2105" spans="1:18" x14ac:dyDescent="0.25">
      <c r="A2105" t="s">
        <v>462</v>
      </c>
      <c r="B2105" s="1">
        <v>44221</v>
      </c>
      <c r="C2105" t="s">
        <v>1200</v>
      </c>
      <c r="D2105" t="s">
        <v>323</v>
      </c>
      <c r="E2105" t="s">
        <v>51</v>
      </c>
      <c r="F2105" t="s">
        <v>254</v>
      </c>
      <c r="G2105" t="s">
        <v>255</v>
      </c>
      <c r="H2105" t="s">
        <v>54</v>
      </c>
      <c r="I2105">
        <v>4439</v>
      </c>
      <c r="J2105">
        <v>0</v>
      </c>
      <c r="K2105">
        <v>1</v>
      </c>
      <c r="L2105" t="s">
        <v>25</v>
      </c>
      <c r="M2105" t="s">
        <v>533</v>
      </c>
      <c r="N2105">
        <v>13</v>
      </c>
      <c r="O2105">
        <v>0</v>
      </c>
      <c r="P2105" t="str">
        <f>IF(T[[#This Row],[qty_ordered]]&lt;&gt;T[[#This Row],[qty_received]],IF(T[[#This Row],[qty_received]]&gt;0,"Partial Received","Not Receviced"),"FullyReceived")</f>
        <v>Not Receviced</v>
      </c>
      <c r="Q2105" t="str">
        <f>IF(T[[#This Row],[qty_received]]&lt;&gt;T[[#This Row],[qty_invoiced]],IF(T[[#This Row],[qty_invoiced]]&gt;0,"Partial Invoiced","Not Invoiced"),"Fully Invoiced")</f>
        <v>Partial Invoiced</v>
      </c>
      <c r="R2105" t="str">
        <f>IFERROR(VLOOKUP(T[[#This Row],[warehouse]],Table2[],2,FALSE),"--")</f>
        <v>--</v>
      </c>
    </row>
    <row r="2106" spans="1:18" x14ac:dyDescent="0.25">
      <c r="A2106" t="s">
        <v>462</v>
      </c>
      <c r="B2106" s="1">
        <v>44221</v>
      </c>
      <c r="C2106" t="s">
        <v>1200</v>
      </c>
      <c r="D2106" t="s">
        <v>324</v>
      </c>
      <c r="E2106" t="s">
        <v>51</v>
      </c>
      <c r="F2106" t="s">
        <v>278</v>
      </c>
      <c r="G2106" t="s">
        <v>279</v>
      </c>
      <c r="H2106" t="s">
        <v>54</v>
      </c>
      <c r="I2106">
        <v>10884</v>
      </c>
      <c r="J2106">
        <v>0</v>
      </c>
      <c r="K2106">
        <v>1</v>
      </c>
      <c r="L2106" t="s">
        <v>25</v>
      </c>
      <c r="M2106" t="s">
        <v>533</v>
      </c>
      <c r="N2106">
        <v>15</v>
      </c>
      <c r="O2106">
        <v>0</v>
      </c>
      <c r="P2106" t="str">
        <f>IF(T[[#This Row],[qty_ordered]]&lt;&gt;T[[#This Row],[qty_received]],IF(T[[#This Row],[qty_received]]&gt;0,"Partial Received","Not Receviced"),"FullyReceived")</f>
        <v>Not Receviced</v>
      </c>
      <c r="Q2106" t="str">
        <f>IF(T[[#This Row],[qty_received]]&lt;&gt;T[[#This Row],[qty_invoiced]],IF(T[[#This Row],[qty_invoiced]]&gt;0,"Partial Invoiced","Not Invoiced"),"Fully Invoiced")</f>
        <v>Partial Invoiced</v>
      </c>
      <c r="R2106" t="str">
        <f>IFERROR(VLOOKUP(T[[#This Row],[warehouse]],Table2[],2,FALSE),"--")</f>
        <v>--</v>
      </c>
    </row>
    <row r="2107" spans="1:18" x14ac:dyDescent="0.25">
      <c r="A2107" t="s">
        <v>462</v>
      </c>
      <c r="B2107" s="1">
        <v>44221</v>
      </c>
      <c r="C2107" t="s">
        <v>1200</v>
      </c>
      <c r="D2107" t="s">
        <v>325</v>
      </c>
      <c r="E2107" t="s">
        <v>51</v>
      </c>
      <c r="F2107" t="s">
        <v>278</v>
      </c>
      <c r="G2107" t="s">
        <v>279</v>
      </c>
      <c r="H2107" t="s">
        <v>54</v>
      </c>
      <c r="I2107">
        <v>800</v>
      </c>
      <c r="J2107">
        <v>0</v>
      </c>
      <c r="K2107">
        <v>1</v>
      </c>
      <c r="L2107" t="s">
        <v>25</v>
      </c>
      <c r="M2107" t="s">
        <v>533</v>
      </c>
      <c r="N2107">
        <v>10</v>
      </c>
      <c r="O2107">
        <v>0</v>
      </c>
      <c r="P2107" t="str">
        <f>IF(T[[#This Row],[qty_ordered]]&lt;&gt;T[[#This Row],[qty_received]],IF(T[[#This Row],[qty_received]]&gt;0,"Partial Received","Not Receviced"),"FullyReceived")</f>
        <v>Not Receviced</v>
      </c>
      <c r="Q2107" t="str">
        <f>IF(T[[#This Row],[qty_received]]&lt;&gt;T[[#This Row],[qty_invoiced]],IF(T[[#This Row],[qty_invoiced]]&gt;0,"Partial Invoiced","Not Invoiced"),"Fully Invoiced")</f>
        <v>Partial Invoiced</v>
      </c>
      <c r="R2107" t="str">
        <f>IFERROR(VLOOKUP(T[[#This Row],[warehouse]],Table2[],2,FALSE),"--")</f>
        <v>--</v>
      </c>
    </row>
    <row r="2108" spans="1:18" x14ac:dyDescent="0.25">
      <c r="A2108" t="s">
        <v>462</v>
      </c>
      <c r="B2108" s="1">
        <v>44221</v>
      </c>
      <c r="C2108" t="s">
        <v>1200</v>
      </c>
      <c r="D2108" t="s">
        <v>451</v>
      </c>
      <c r="E2108" t="s">
        <v>51</v>
      </c>
      <c r="F2108" t="s">
        <v>433</v>
      </c>
      <c r="G2108" t="s">
        <v>433</v>
      </c>
      <c r="H2108" t="s">
        <v>54</v>
      </c>
      <c r="I2108">
        <v>5781</v>
      </c>
      <c r="J2108">
        <v>0</v>
      </c>
      <c r="K2108">
        <v>1</v>
      </c>
      <c r="L2108" t="s">
        <v>25</v>
      </c>
      <c r="M2108" t="s">
        <v>533</v>
      </c>
      <c r="N2108">
        <v>5</v>
      </c>
      <c r="O2108">
        <v>0</v>
      </c>
      <c r="P2108" t="str">
        <f>IF(T[[#This Row],[qty_ordered]]&lt;&gt;T[[#This Row],[qty_received]],IF(T[[#This Row],[qty_received]]&gt;0,"Partial Received","Not Receviced"),"FullyReceived")</f>
        <v>Not Receviced</v>
      </c>
      <c r="Q2108" t="str">
        <f>IF(T[[#This Row],[qty_received]]&lt;&gt;T[[#This Row],[qty_invoiced]],IF(T[[#This Row],[qty_invoiced]]&gt;0,"Partial Invoiced","Not Invoiced"),"Fully Invoiced")</f>
        <v>Partial Invoiced</v>
      </c>
      <c r="R2108" t="str">
        <f>IFERROR(VLOOKUP(T[[#This Row],[warehouse]],Table2[],2,FALSE),"--")</f>
        <v>--</v>
      </c>
    </row>
    <row r="2109" spans="1:18" x14ac:dyDescent="0.25">
      <c r="A2109" t="s">
        <v>462</v>
      </c>
      <c r="B2109" s="1">
        <v>44221</v>
      </c>
      <c r="C2109" t="s">
        <v>1200</v>
      </c>
      <c r="D2109" t="s">
        <v>452</v>
      </c>
      <c r="E2109" t="s">
        <v>51</v>
      </c>
      <c r="F2109" t="s">
        <v>433</v>
      </c>
      <c r="G2109" t="s">
        <v>1169</v>
      </c>
      <c r="H2109" t="s">
        <v>54</v>
      </c>
      <c r="I2109">
        <v>60</v>
      </c>
      <c r="J2109">
        <v>0</v>
      </c>
      <c r="K2109">
        <v>1</v>
      </c>
      <c r="L2109" t="s">
        <v>25</v>
      </c>
      <c r="M2109" t="s">
        <v>533</v>
      </c>
      <c r="N2109">
        <v>250</v>
      </c>
      <c r="O2109">
        <v>0</v>
      </c>
      <c r="P2109" t="str">
        <f>IF(T[[#This Row],[qty_ordered]]&lt;&gt;T[[#This Row],[qty_received]],IF(T[[#This Row],[qty_received]]&gt;0,"Partial Received","Not Receviced"),"FullyReceived")</f>
        <v>Not Receviced</v>
      </c>
      <c r="Q2109" t="str">
        <f>IF(T[[#This Row],[qty_received]]&lt;&gt;T[[#This Row],[qty_invoiced]],IF(T[[#This Row],[qty_invoiced]]&gt;0,"Partial Invoiced","Not Invoiced"),"Fully Invoiced")</f>
        <v>Partial Invoiced</v>
      </c>
      <c r="R2109" t="str">
        <f>IFERROR(VLOOKUP(T[[#This Row],[warehouse]],Table2[],2,FALSE),"--")</f>
        <v>--</v>
      </c>
    </row>
    <row r="2110" spans="1:18" x14ac:dyDescent="0.25">
      <c r="A2110" t="s">
        <v>462</v>
      </c>
      <c r="B2110" s="1">
        <v>44221</v>
      </c>
      <c r="C2110" t="s">
        <v>1200</v>
      </c>
      <c r="D2110" t="s">
        <v>614</v>
      </c>
      <c r="E2110" t="s">
        <v>51</v>
      </c>
      <c r="F2110" t="s">
        <v>433</v>
      </c>
      <c r="G2110" t="s">
        <v>1169</v>
      </c>
      <c r="H2110" t="s">
        <v>54</v>
      </c>
      <c r="I2110">
        <v>60</v>
      </c>
      <c r="J2110">
        <v>0</v>
      </c>
      <c r="K2110">
        <v>1</v>
      </c>
      <c r="L2110" t="s">
        <v>25</v>
      </c>
      <c r="M2110" t="s">
        <v>533</v>
      </c>
      <c r="N2110">
        <v>300</v>
      </c>
      <c r="O2110">
        <v>0</v>
      </c>
      <c r="P2110" t="str">
        <f>IF(T[[#This Row],[qty_ordered]]&lt;&gt;T[[#This Row],[qty_received]],IF(T[[#This Row],[qty_received]]&gt;0,"Partial Received","Not Receviced"),"FullyReceived")</f>
        <v>Not Receviced</v>
      </c>
      <c r="Q2110" t="str">
        <f>IF(T[[#This Row],[qty_received]]&lt;&gt;T[[#This Row],[qty_invoiced]],IF(T[[#This Row],[qty_invoiced]]&gt;0,"Partial Invoiced","Not Invoiced"),"Fully Invoiced")</f>
        <v>Partial Invoiced</v>
      </c>
      <c r="R2110" t="str">
        <f>IFERROR(VLOOKUP(T[[#This Row],[warehouse]],Table2[],2,FALSE),"--")</f>
        <v>--</v>
      </c>
    </row>
    <row r="2111" spans="1:18" x14ac:dyDescent="0.25">
      <c r="A2111" t="s">
        <v>1469</v>
      </c>
      <c r="B2111" s="1">
        <v>44251</v>
      </c>
      <c r="C2111" t="s">
        <v>1470</v>
      </c>
      <c r="D2111" t="s">
        <v>20</v>
      </c>
      <c r="E2111" t="s">
        <v>823</v>
      </c>
      <c r="F2111" t="s">
        <v>167</v>
      </c>
      <c r="G2111" t="s">
        <v>156</v>
      </c>
      <c r="H2111" t="s">
        <v>24</v>
      </c>
      <c r="I2111">
        <v>223.76</v>
      </c>
      <c r="J2111">
        <v>223.76</v>
      </c>
      <c r="K2111">
        <v>223.76</v>
      </c>
      <c r="L2111" t="s">
        <v>25</v>
      </c>
      <c r="M2111" t="s">
        <v>132</v>
      </c>
      <c r="N2111">
        <v>750000</v>
      </c>
      <c r="O2111">
        <v>167820000</v>
      </c>
      <c r="P2111" t="str">
        <f>IF(T[[#This Row],[qty_ordered]]&lt;&gt;T[[#This Row],[qty_received]],IF(T[[#This Row],[qty_received]]&gt;0,"Partial Received","Not Receviced"),"FullyReceived")</f>
        <v>FullyReceived</v>
      </c>
      <c r="Q2111" t="str">
        <f>IF(T[[#This Row],[qty_received]]&lt;&gt;T[[#This Row],[qty_invoiced]],IF(T[[#This Row],[qty_invoiced]]&gt;0,"Partial Invoiced","Not Invoiced"),"Fully Invoiced")</f>
        <v>Fully Invoiced</v>
      </c>
      <c r="R2111" t="str">
        <f>IFERROR(VLOOKUP(T[[#This Row],[warehouse]],Table2[],2,FALSE),"--")</f>
        <v>Crusher - Al haramain</v>
      </c>
    </row>
    <row r="2112" spans="1:18" x14ac:dyDescent="0.25">
      <c r="A2112" t="s">
        <v>560</v>
      </c>
      <c r="B2112" s="1">
        <v>44251</v>
      </c>
      <c r="C2112" t="s">
        <v>1247</v>
      </c>
      <c r="D2112" t="s">
        <v>20</v>
      </c>
      <c r="E2112" t="s">
        <v>51</v>
      </c>
      <c r="F2112" t="s">
        <v>164</v>
      </c>
      <c r="G2112" t="s">
        <v>164</v>
      </c>
      <c r="H2112" t="s">
        <v>54</v>
      </c>
      <c r="I2112">
        <v>26</v>
      </c>
      <c r="J2112">
        <v>0</v>
      </c>
      <c r="K2112">
        <v>1</v>
      </c>
      <c r="L2112" t="s">
        <v>25</v>
      </c>
      <c r="M2112" t="s">
        <v>533</v>
      </c>
      <c r="N2112">
        <v>600</v>
      </c>
      <c r="O2112">
        <v>0</v>
      </c>
      <c r="P2112" t="str">
        <f>IF(T[[#This Row],[qty_ordered]]&lt;&gt;T[[#This Row],[qty_received]],IF(T[[#This Row],[qty_received]]&gt;0,"Partial Received","Not Receviced"),"FullyReceived")</f>
        <v>Not Receviced</v>
      </c>
      <c r="Q2112" t="str">
        <f>IF(T[[#This Row],[qty_received]]&lt;&gt;T[[#This Row],[qty_invoiced]],IF(T[[#This Row],[qty_invoiced]]&gt;0,"Partial Invoiced","Not Invoiced"),"Fully Invoiced")</f>
        <v>Partial Invoiced</v>
      </c>
      <c r="R2112" t="str">
        <f>IFERROR(VLOOKUP(T[[#This Row],[warehouse]],Table2[],2,FALSE),"--")</f>
        <v>--</v>
      </c>
    </row>
    <row r="2113" spans="1:18" x14ac:dyDescent="0.25">
      <c r="A2113" t="s">
        <v>560</v>
      </c>
      <c r="B2113" s="1">
        <v>44251</v>
      </c>
      <c r="C2113" t="s">
        <v>1246</v>
      </c>
      <c r="D2113" t="s">
        <v>451</v>
      </c>
      <c r="E2113" t="s">
        <v>51</v>
      </c>
      <c r="F2113" t="s">
        <v>164</v>
      </c>
      <c r="G2113" t="s">
        <v>1334</v>
      </c>
      <c r="H2113" t="s">
        <v>54</v>
      </c>
      <c r="I2113">
        <v>14</v>
      </c>
      <c r="J2113">
        <v>0</v>
      </c>
      <c r="K2113">
        <v>1</v>
      </c>
      <c r="L2113" t="s">
        <v>25</v>
      </c>
      <c r="M2113" t="s">
        <v>533</v>
      </c>
      <c r="N2113">
        <v>964.57142899999997</v>
      </c>
      <c r="O2113">
        <v>0</v>
      </c>
      <c r="P2113" t="str">
        <f>IF(T[[#This Row],[qty_ordered]]&lt;&gt;T[[#This Row],[qty_received]],IF(T[[#This Row],[qty_received]]&gt;0,"Partial Received","Not Receviced"),"FullyReceived")</f>
        <v>Not Receviced</v>
      </c>
      <c r="Q2113" t="str">
        <f>IF(T[[#This Row],[qty_received]]&lt;&gt;T[[#This Row],[qty_invoiced]],IF(T[[#This Row],[qty_invoiced]]&gt;0,"Partial Invoiced","Not Invoiced"),"Fully Invoiced")</f>
        <v>Partial Invoiced</v>
      </c>
      <c r="R2113" t="str">
        <f>IFERROR(VLOOKUP(T[[#This Row],[warehouse]],Table2[],2,FALSE),"--")</f>
        <v>--</v>
      </c>
    </row>
    <row r="2114" spans="1:18" x14ac:dyDescent="0.25">
      <c r="A2114" t="s">
        <v>560</v>
      </c>
      <c r="B2114" s="1">
        <v>44251</v>
      </c>
      <c r="C2114" t="s">
        <v>1246</v>
      </c>
      <c r="D2114" t="s">
        <v>452</v>
      </c>
      <c r="E2114" t="s">
        <v>51</v>
      </c>
      <c r="F2114" t="s">
        <v>164</v>
      </c>
      <c r="G2114" t="s">
        <v>1334</v>
      </c>
      <c r="H2114" t="s">
        <v>54</v>
      </c>
      <c r="I2114">
        <v>12</v>
      </c>
      <c r="J2114">
        <v>0</v>
      </c>
      <c r="K2114">
        <v>1</v>
      </c>
      <c r="L2114" t="s">
        <v>25</v>
      </c>
      <c r="M2114" t="s">
        <v>533</v>
      </c>
      <c r="N2114">
        <v>900</v>
      </c>
      <c r="O2114">
        <v>0</v>
      </c>
      <c r="P2114" t="str">
        <f>IF(T[[#This Row],[qty_ordered]]&lt;&gt;T[[#This Row],[qty_received]],IF(T[[#This Row],[qty_received]]&gt;0,"Partial Received","Not Receviced"),"FullyReceived")</f>
        <v>Not Receviced</v>
      </c>
      <c r="Q2114" t="str">
        <f>IF(T[[#This Row],[qty_received]]&lt;&gt;T[[#This Row],[qty_invoiced]],IF(T[[#This Row],[qty_invoiced]]&gt;0,"Partial Invoiced","Not Invoiced"),"Fully Invoiced")</f>
        <v>Partial Invoiced</v>
      </c>
      <c r="R2114" t="str">
        <f>IFERROR(VLOOKUP(T[[#This Row],[warehouse]],Table2[],2,FALSE),"--")</f>
        <v>--</v>
      </c>
    </row>
    <row r="2115" spans="1:18" x14ac:dyDescent="0.25">
      <c r="A2115" t="s">
        <v>560</v>
      </c>
      <c r="B2115" s="1">
        <v>44251</v>
      </c>
      <c r="C2115" t="s">
        <v>1246</v>
      </c>
      <c r="D2115" t="s">
        <v>614</v>
      </c>
      <c r="E2115" t="s">
        <v>51</v>
      </c>
      <c r="F2115" t="s">
        <v>164</v>
      </c>
      <c r="G2115" t="s">
        <v>1334</v>
      </c>
      <c r="H2115" t="s">
        <v>54</v>
      </c>
      <c r="I2115">
        <v>68</v>
      </c>
      <c r="J2115">
        <v>0</v>
      </c>
      <c r="K2115">
        <v>1</v>
      </c>
      <c r="L2115" t="s">
        <v>25</v>
      </c>
      <c r="M2115" t="s">
        <v>533</v>
      </c>
      <c r="N2115">
        <v>984.48529399999995</v>
      </c>
      <c r="O2115">
        <v>0</v>
      </c>
      <c r="P2115" t="str">
        <f>IF(T[[#This Row],[qty_ordered]]&lt;&gt;T[[#This Row],[qty_received]],IF(T[[#This Row],[qty_received]]&gt;0,"Partial Received","Not Receviced"),"FullyReceived")</f>
        <v>Not Receviced</v>
      </c>
      <c r="Q2115" t="str">
        <f>IF(T[[#This Row],[qty_received]]&lt;&gt;T[[#This Row],[qty_invoiced]],IF(T[[#This Row],[qty_invoiced]]&gt;0,"Partial Invoiced","Not Invoiced"),"Fully Invoiced")</f>
        <v>Partial Invoiced</v>
      </c>
      <c r="R2115" t="str">
        <f>IFERROR(VLOOKUP(T[[#This Row],[warehouse]],Table2[],2,FALSE),"--")</f>
        <v>--</v>
      </c>
    </row>
    <row r="2116" spans="1:18" x14ac:dyDescent="0.25">
      <c r="A2116" t="s">
        <v>560</v>
      </c>
      <c r="B2116" s="1">
        <v>44251</v>
      </c>
      <c r="C2116" t="s">
        <v>1256</v>
      </c>
      <c r="D2116" t="s">
        <v>595</v>
      </c>
      <c r="E2116" t="s">
        <v>51</v>
      </c>
      <c r="F2116" t="s">
        <v>164</v>
      </c>
      <c r="G2116" t="s">
        <v>1079</v>
      </c>
      <c r="H2116" t="s">
        <v>54</v>
      </c>
      <c r="I2116">
        <v>30</v>
      </c>
      <c r="J2116">
        <v>0</v>
      </c>
      <c r="K2116">
        <v>1</v>
      </c>
      <c r="L2116" t="s">
        <v>25</v>
      </c>
      <c r="M2116" t="s">
        <v>533</v>
      </c>
      <c r="N2116">
        <v>900</v>
      </c>
      <c r="O2116">
        <v>0</v>
      </c>
      <c r="P2116" t="str">
        <f>IF(T[[#This Row],[qty_ordered]]&lt;&gt;T[[#This Row],[qty_received]],IF(T[[#This Row],[qty_received]]&gt;0,"Partial Received","Not Receviced"),"FullyReceived")</f>
        <v>Not Receviced</v>
      </c>
      <c r="Q2116" t="str">
        <f>IF(T[[#This Row],[qty_received]]&lt;&gt;T[[#This Row],[qty_invoiced]],IF(T[[#This Row],[qty_invoiced]]&gt;0,"Partial Invoiced","Not Invoiced"),"Fully Invoiced")</f>
        <v>Partial Invoiced</v>
      </c>
      <c r="R2116" t="str">
        <f>IFERROR(VLOOKUP(T[[#This Row],[warehouse]],Table2[],2,FALSE),"--")</f>
        <v>--</v>
      </c>
    </row>
    <row r="2117" spans="1:18" x14ac:dyDescent="0.25">
      <c r="A2117" t="s">
        <v>560</v>
      </c>
      <c r="B2117" s="1">
        <v>44251</v>
      </c>
      <c r="C2117" t="s">
        <v>1256</v>
      </c>
      <c r="D2117" t="s">
        <v>596</v>
      </c>
      <c r="E2117" t="s">
        <v>51</v>
      </c>
      <c r="F2117" t="s">
        <v>164</v>
      </c>
      <c r="G2117" t="s">
        <v>1079</v>
      </c>
      <c r="H2117" t="s">
        <v>54</v>
      </c>
      <c r="I2117">
        <v>82</v>
      </c>
      <c r="J2117">
        <v>0</v>
      </c>
      <c r="K2117">
        <v>1</v>
      </c>
      <c r="L2117" t="s">
        <v>25</v>
      </c>
      <c r="M2117" t="s">
        <v>533</v>
      </c>
      <c r="N2117">
        <v>1063.987805</v>
      </c>
      <c r="O2117">
        <v>0</v>
      </c>
      <c r="P2117" t="str">
        <f>IF(T[[#This Row],[qty_ordered]]&lt;&gt;T[[#This Row],[qty_received]],IF(T[[#This Row],[qty_received]]&gt;0,"Partial Received","Not Receviced"),"FullyReceived")</f>
        <v>Not Receviced</v>
      </c>
      <c r="Q2117" t="str">
        <f>IF(T[[#This Row],[qty_received]]&lt;&gt;T[[#This Row],[qty_invoiced]],IF(T[[#This Row],[qty_invoiced]]&gt;0,"Partial Invoiced","Not Invoiced"),"Fully Invoiced")</f>
        <v>Partial Invoiced</v>
      </c>
      <c r="R2117" t="str">
        <f>IFERROR(VLOOKUP(T[[#This Row],[warehouse]],Table2[],2,FALSE),"--")</f>
        <v>--</v>
      </c>
    </row>
    <row r="2118" spans="1:18" x14ac:dyDescent="0.25">
      <c r="A2118" t="s">
        <v>560</v>
      </c>
      <c r="B2118" s="1">
        <v>44251</v>
      </c>
      <c r="C2118" t="s">
        <v>1256</v>
      </c>
      <c r="D2118" t="s">
        <v>507</v>
      </c>
      <c r="E2118" t="s">
        <v>51</v>
      </c>
      <c r="F2118" t="s">
        <v>164</v>
      </c>
      <c r="G2118" t="s">
        <v>1079</v>
      </c>
      <c r="H2118" t="s">
        <v>54</v>
      </c>
      <c r="I2118">
        <v>30</v>
      </c>
      <c r="J2118">
        <v>0</v>
      </c>
      <c r="K2118">
        <v>1</v>
      </c>
      <c r="L2118" t="s">
        <v>25</v>
      </c>
      <c r="M2118" t="s">
        <v>533</v>
      </c>
      <c r="N2118">
        <v>1103.4000000000001</v>
      </c>
      <c r="O2118">
        <v>0</v>
      </c>
      <c r="P2118" t="str">
        <f>IF(T[[#This Row],[qty_ordered]]&lt;&gt;T[[#This Row],[qty_received]],IF(T[[#This Row],[qty_received]]&gt;0,"Partial Received","Not Receviced"),"FullyReceived")</f>
        <v>Not Receviced</v>
      </c>
      <c r="Q2118" t="str">
        <f>IF(T[[#This Row],[qty_received]]&lt;&gt;T[[#This Row],[qty_invoiced]],IF(T[[#This Row],[qty_invoiced]]&gt;0,"Partial Invoiced","Not Invoiced"),"Fully Invoiced")</f>
        <v>Partial Invoiced</v>
      </c>
      <c r="R2118" t="str">
        <f>IFERROR(VLOOKUP(T[[#This Row],[warehouse]],Table2[],2,FALSE),"--")</f>
        <v>--</v>
      </c>
    </row>
    <row r="2119" spans="1:18" x14ac:dyDescent="0.25">
      <c r="A2119" t="s">
        <v>560</v>
      </c>
      <c r="B2119" s="1">
        <v>44251</v>
      </c>
      <c r="C2119" t="s">
        <v>1256</v>
      </c>
      <c r="D2119" t="s">
        <v>508</v>
      </c>
      <c r="E2119" t="s">
        <v>51</v>
      </c>
      <c r="F2119" t="s">
        <v>164</v>
      </c>
      <c r="G2119" t="s">
        <v>1079</v>
      </c>
      <c r="H2119" t="s">
        <v>54</v>
      </c>
      <c r="I2119">
        <v>60</v>
      </c>
      <c r="J2119">
        <v>0</v>
      </c>
      <c r="K2119">
        <v>1</v>
      </c>
      <c r="L2119" t="s">
        <v>25</v>
      </c>
      <c r="M2119" t="s">
        <v>533</v>
      </c>
      <c r="N2119">
        <v>975</v>
      </c>
      <c r="O2119">
        <v>0</v>
      </c>
      <c r="P2119" t="str">
        <f>IF(T[[#This Row],[qty_ordered]]&lt;&gt;T[[#This Row],[qty_received]],IF(T[[#This Row],[qty_received]]&gt;0,"Partial Received","Not Receviced"),"FullyReceived")</f>
        <v>Not Receviced</v>
      </c>
      <c r="Q2119" t="str">
        <f>IF(T[[#This Row],[qty_received]]&lt;&gt;T[[#This Row],[qty_invoiced]],IF(T[[#This Row],[qty_invoiced]]&gt;0,"Partial Invoiced","Not Invoiced"),"Fully Invoiced")</f>
        <v>Partial Invoiced</v>
      </c>
      <c r="R2119" t="str">
        <f>IFERROR(VLOOKUP(T[[#This Row],[warehouse]],Table2[],2,FALSE),"--")</f>
        <v>--</v>
      </c>
    </row>
    <row r="2120" spans="1:18" x14ac:dyDescent="0.25">
      <c r="A2120" t="s">
        <v>560</v>
      </c>
      <c r="B2120" s="1">
        <v>44251</v>
      </c>
      <c r="C2120" t="s">
        <v>1256</v>
      </c>
      <c r="D2120" t="s">
        <v>509</v>
      </c>
      <c r="E2120" t="s">
        <v>51</v>
      </c>
      <c r="F2120" t="s">
        <v>164</v>
      </c>
      <c r="G2120" t="s">
        <v>1079</v>
      </c>
      <c r="H2120" t="s">
        <v>54</v>
      </c>
      <c r="I2120">
        <v>65</v>
      </c>
      <c r="J2120">
        <v>0</v>
      </c>
      <c r="K2120">
        <v>1</v>
      </c>
      <c r="L2120" t="s">
        <v>25</v>
      </c>
      <c r="M2120" t="s">
        <v>533</v>
      </c>
      <c r="N2120">
        <v>960</v>
      </c>
      <c r="O2120">
        <v>0</v>
      </c>
      <c r="P2120" t="str">
        <f>IF(T[[#This Row],[qty_ordered]]&lt;&gt;T[[#This Row],[qty_received]],IF(T[[#This Row],[qty_received]]&gt;0,"Partial Received","Not Receviced"),"FullyReceived")</f>
        <v>Not Receviced</v>
      </c>
      <c r="Q2120" t="str">
        <f>IF(T[[#This Row],[qty_received]]&lt;&gt;T[[#This Row],[qty_invoiced]],IF(T[[#This Row],[qty_invoiced]]&gt;0,"Partial Invoiced","Not Invoiced"),"Fully Invoiced")</f>
        <v>Partial Invoiced</v>
      </c>
      <c r="R2120" t="str">
        <f>IFERROR(VLOOKUP(T[[#This Row],[warehouse]],Table2[],2,FALSE),"--")</f>
        <v>--</v>
      </c>
    </row>
    <row r="2121" spans="1:18" x14ac:dyDescent="0.25">
      <c r="A2121" t="s">
        <v>560</v>
      </c>
      <c r="B2121" s="1">
        <v>44251</v>
      </c>
      <c r="C2121" t="s">
        <v>1256</v>
      </c>
      <c r="D2121" t="s">
        <v>510</v>
      </c>
      <c r="E2121" t="s">
        <v>51</v>
      </c>
      <c r="F2121" t="s">
        <v>164</v>
      </c>
      <c r="G2121" t="s">
        <v>1079</v>
      </c>
      <c r="H2121" t="s">
        <v>54</v>
      </c>
      <c r="I2121">
        <v>5</v>
      </c>
      <c r="J2121">
        <v>0</v>
      </c>
      <c r="K2121">
        <v>1</v>
      </c>
      <c r="L2121" t="s">
        <v>25</v>
      </c>
      <c r="M2121" t="s">
        <v>533</v>
      </c>
      <c r="N2121">
        <v>900</v>
      </c>
      <c r="O2121">
        <v>0</v>
      </c>
      <c r="P2121" t="str">
        <f>IF(T[[#This Row],[qty_ordered]]&lt;&gt;T[[#This Row],[qty_received]],IF(T[[#This Row],[qty_received]]&gt;0,"Partial Received","Not Receviced"),"FullyReceived")</f>
        <v>Not Receviced</v>
      </c>
      <c r="Q2121" t="str">
        <f>IF(T[[#This Row],[qty_received]]&lt;&gt;T[[#This Row],[qty_invoiced]],IF(T[[#This Row],[qty_invoiced]]&gt;0,"Partial Invoiced","Not Invoiced"),"Fully Invoiced")</f>
        <v>Partial Invoiced</v>
      </c>
      <c r="R2121" t="str">
        <f>IFERROR(VLOOKUP(T[[#This Row],[warehouse]],Table2[],2,FALSE),"--")</f>
        <v>--</v>
      </c>
    </row>
    <row r="2122" spans="1:18" x14ac:dyDescent="0.25">
      <c r="A2122" t="s">
        <v>560</v>
      </c>
      <c r="B2122" s="1">
        <v>44251</v>
      </c>
      <c r="C2122" t="s">
        <v>1256</v>
      </c>
      <c r="D2122" t="s">
        <v>511</v>
      </c>
      <c r="E2122" t="s">
        <v>51</v>
      </c>
      <c r="F2122" t="s">
        <v>164</v>
      </c>
      <c r="G2122" t="s">
        <v>1079</v>
      </c>
      <c r="H2122" t="s">
        <v>54</v>
      </c>
      <c r="I2122">
        <v>76</v>
      </c>
      <c r="J2122">
        <v>0</v>
      </c>
      <c r="K2122">
        <v>1</v>
      </c>
      <c r="L2122" t="s">
        <v>25</v>
      </c>
      <c r="M2122" t="s">
        <v>533</v>
      </c>
      <c r="N2122">
        <v>971.36842100000001</v>
      </c>
      <c r="O2122">
        <v>0</v>
      </c>
      <c r="P2122" t="str">
        <f>IF(T[[#This Row],[qty_ordered]]&lt;&gt;T[[#This Row],[qty_received]],IF(T[[#This Row],[qty_received]]&gt;0,"Partial Received","Not Receviced"),"FullyReceived")</f>
        <v>Not Receviced</v>
      </c>
      <c r="Q2122" t="str">
        <f>IF(T[[#This Row],[qty_received]]&lt;&gt;T[[#This Row],[qty_invoiced]],IF(T[[#This Row],[qty_invoiced]]&gt;0,"Partial Invoiced","Not Invoiced"),"Fully Invoiced")</f>
        <v>Partial Invoiced</v>
      </c>
      <c r="R2122" t="str">
        <f>IFERROR(VLOOKUP(T[[#This Row],[warehouse]],Table2[],2,FALSE),"--")</f>
        <v>--</v>
      </c>
    </row>
    <row r="2123" spans="1:18" x14ac:dyDescent="0.25">
      <c r="A2123" t="s">
        <v>560</v>
      </c>
      <c r="B2123" s="1">
        <v>44251</v>
      </c>
      <c r="C2123" t="s">
        <v>1256</v>
      </c>
      <c r="D2123" t="s">
        <v>512</v>
      </c>
      <c r="E2123" t="s">
        <v>51</v>
      </c>
      <c r="F2123" t="s">
        <v>164</v>
      </c>
      <c r="G2123" t="s">
        <v>1079</v>
      </c>
      <c r="H2123" t="s">
        <v>54</v>
      </c>
      <c r="I2123">
        <v>179</v>
      </c>
      <c r="J2123">
        <v>0</v>
      </c>
      <c r="K2123">
        <v>1</v>
      </c>
      <c r="L2123" t="s">
        <v>25</v>
      </c>
      <c r="M2123" t="s">
        <v>533</v>
      </c>
      <c r="N2123">
        <v>980.96089400000005</v>
      </c>
      <c r="O2123">
        <v>0</v>
      </c>
      <c r="P2123" t="str">
        <f>IF(T[[#This Row],[qty_ordered]]&lt;&gt;T[[#This Row],[qty_received]],IF(T[[#This Row],[qty_received]]&gt;0,"Partial Received","Not Receviced"),"FullyReceived")</f>
        <v>Not Receviced</v>
      </c>
      <c r="Q2123" t="str">
        <f>IF(T[[#This Row],[qty_received]]&lt;&gt;T[[#This Row],[qty_invoiced]],IF(T[[#This Row],[qty_invoiced]]&gt;0,"Partial Invoiced","Not Invoiced"),"Fully Invoiced")</f>
        <v>Partial Invoiced</v>
      </c>
      <c r="R2123" t="str">
        <f>IFERROR(VLOOKUP(T[[#This Row],[warehouse]],Table2[],2,FALSE),"--")</f>
        <v>--</v>
      </c>
    </row>
    <row r="2124" spans="1:18" x14ac:dyDescent="0.25">
      <c r="A2124" t="s">
        <v>560</v>
      </c>
      <c r="B2124" s="1">
        <v>44306</v>
      </c>
      <c r="C2124" t="s">
        <v>1341</v>
      </c>
      <c r="D2124" t="s">
        <v>20</v>
      </c>
      <c r="E2124" t="s">
        <v>51</v>
      </c>
      <c r="F2124" t="s">
        <v>164</v>
      </c>
      <c r="G2124" t="s">
        <v>1144</v>
      </c>
      <c r="H2124" t="s">
        <v>54</v>
      </c>
      <c r="I2124">
        <v>50</v>
      </c>
      <c r="J2124">
        <v>0</v>
      </c>
      <c r="K2124">
        <v>1</v>
      </c>
      <c r="L2124" t="s">
        <v>25</v>
      </c>
      <c r="M2124" t="s">
        <v>533</v>
      </c>
      <c r="N2124">
        <v>900</v>
      </c>
      <c r="O2124">
        <v>0</v>
      </c>
      <c r="P2124" t="str">
        <f>IF(T[[#This Row],[qty_ordered]]&lt;&gt;T[[#This Row],[qty_received]],IF(T[[#This Row],[qty_received]]&gt;0,"Partial Received","Not Receviced"),"FullyReceived")</f>
        <v>Not Receviced</v>
      </c>
      <c r="Q2124" t="str">
        <f>IF(T[[#This Row],[qty_received]]&lt;&gt;T[[#This Row],[qty_invoiced]],IF(T[[#This Row],[qty_invoiced]]&gt;0,"Partial Invoiced","Not Invoiced"),"Fully Invoiced")</f>
        <v>Partial Invoiced</v>
      </c>
      <c r="R2124" t="str">
        <f>IFERROR(VLOOKUP(T[[#This Row],[warehouse]],Table2[],2,FALSE),"--")</f>
        <v>--</v>
      </c>
    </row>
    <row r="2125" spans="1:18" x14ac:dyDescent="0.25">
      <c r="A2125" t="s">
        <v>560</v>
      </c>
      <c r="B2125" s="1">
        <v>44306</v>
      </c>
      <c r="C2125" t="s">
        <v>1341</v>
      </c>
      <c r="D2125" t="s">
        <v>71</v>
      </c>
      <c r="E2125" t="s">
        <v>51</v>
      </c>
      <c r="F2125" t="s">
        <v>164</v>
      </c>
      <c r="G2125" t="s">
        <v>1144</v>
      </c>
      <c r="H2125" t="s">
        <v>54</v>
      </c>
      <c r="I2125">
        <v>61</v>
      </c>
      <c r="J2125">
        <v>0</v>
      </c>
      <c r="K2125">
        <v>1</v>
      </c>
      <c r="L2125" t="s">
        <v>25</v>
      </c>
      <c r="M2125" t="s">
        <v>533</v>
      </c>
      <c r="N2125">
        <v>976.22950800000001</v>
      </c>
      <c r="O2125">
        <v>0</v>
      </c>
      <c r="P2125" t="str">
        <f>IF(T[[#This Row],[qty_ordered]]&lt;&gt;T[[#This Row],[qty_received]],IF(T[[#This Row],[qty_received]]&gt;0,"Partial Received","Not Receviced"),"FullyReceived")</f>
        <v>Not Receviced</v>
      </c>
      <c r="Q2125" t="str">
        <f>IF(T[[#This Row],[qty_received]]&lt;&gt;T[[#This Row],[qty_invoiced]],IF(T[[#This Row],[qty_invoiced]]&gt;0,"Partial Invoiced","Not Invoiced"),"Fully Invoiced")</f>
        <v>Partial Invoiced</v>
      </c>
      <c r="R2125" t="str">
        <f>IFERROR(VLOOKUP(T[[#This Row],[warehouse]],Table2[],2,FALSE),"--")</f>
        <v>--</v>
      </c>
    </row>
    <row r="2126" spans="1:18" x14ac:dyDescent="0.25">
      <c r="A2126" t="s">
        <v>560</v>
      </c>
      <c r="B2126" s="1">
        <v>44251</v>
      </c>
      <c r="C2126" t="s">
        <v>1256</v>
      </c>
      <c r="D2126" t="s">
        <v>513</v>
      </c>
      <c r="E2126" t="s">
        <v>51</v>
      </c>
      <c r="F2126" t="s">
        <v>164</v>
      </c>
      <c r="G2126" t="s">
        <v>1079</v>
      </c>
      <c r="H2126" t="s">
        <v>54</v>
      </c>
      <c r="I2126">
        <v>30</v>
      </c>
      <c r="J2126">
        <v>0</v>
      </c>
      <c r="K2126">
        <v>1</v>
      </c>
      <c r="L2126" t="s">
        <v>25</v>
      </c>
      <c r="M2126" t="s">
        <v>533</v>
      </c>
      <c r="N2126">
        <v>930.13333299999999</v>
      </c>
      <c r="O2126">
        <v>0</v>
      </c>
      <c r="P2126" t="str">
        <f>IF(T[[#This Row],[qty_ordered]]&lt;&gt;T[[#This Row],[qty_received]],IF(T[[#This Row],[qty_received]]&gt;0,"Partial Received","Not Receviced"),"FullyReceived")</f>
        <v>Not Receviced</v>
      </c>
      <c r="Q2126" t="str">
        <f>IF(T[[#This Row],[qty_received]]&lt;&gt;T[[#This Row],[qty_invoiced]],IF(T[[#This Row],[qty_invoiced]]&gt;0,"Partial Invoiced","Not Invoiced"),"Fully Invoiced")</f>
        <v>Partial Invoiced</v>
      </c>
      <c r="R2126" t="str">
        <f>IFERROR(VLOOKUP(T[[#This Row],[warehouse]],Table2[],2,FALSE),"--")</f>
        <v>--</v>
      </c>
    </row>
    <row r="2127" spans="1:18" x14ac:dyDescent="0.25">
      <c r="A2127" t="s">
        <v>1083</v>
      </c>
      <c r="B2127" s="1">
        <v>44266</v>
      </c>
      <c r="C2127" t="s">
        <v>1084</v>
      </c>
      <c r="D2127" t="s">
        <v>88</v>
      </c>
      <c r="E2127" t="s">
        <v>660</v>
      </c>
      <c r="F2127" t="s">
        <v>705</v>
      </c>
      <c r="G2127" t="s">
        <v>706</v>
      </c>
      <c r="H2127" t="s">
        <v>663</v>
      </c>
      <c r="I2127">
        <v>5457.47</v>
      </c>
      <c r="J2127">
        <v>0</v>
      </c>
      <c r="K2127">
        <v>0</v>
      </c>
      <c r="L2127" t="s">
        <v>25</v>
      </c>
      <c r="M2127" t="s">
        <v>132</v>
      </c>
      <c r="N2127">
        <v>17000.0085</v>
      </c>
      <c r="O2127">
        <v>0</v>
      </c>
      <c r="P2127" t="str">
        <f>IF(T[[#This Row],[qty_ordered]]&lt;&gt;T[[#This Row],[qty_received]],IF(T[[#This Row],[qty_received]]&gt;0,"Partial Received","Not Receviced"),"FullyReceived")</f>
        <v>Not Receviced</v>
      </c>
      <c r="Q2127" t="str">
        <f>IF(T[[#This Row],[qty_received]]&lt;&gt;T[[#This Row],[qty_invoiced]],IF(T[[#This Row],[qty_invoiced]]&gt;0,"Partial Invoiced","Not Invoiced"),"Fully Invoiced")</f>
        <v>Fully Invoiced</v>
      </c>
      <c r="R2127" t="str">
        <f>IFERROR(VLOOKUP(T[[#This Row],[warehouse]],Table2[],2,FALSE),"--")</f>
        <v>SLAUGHTER HOUSE</v>
      </c>
    </row>
    <row r="2128" spans="1:18" x14ac:dyDescent="0.25">
      <c r="A2128" t="s">
        <v>462</v>
      </c>
      <c r="B2128" s="1">
        <v>44221</v>
      </c>
      <c r="C2128" t="s">
        <v>1200</v>
      </c>
      <c r="D2128" t="s">
        <v>1471</v>
      </c>
      <c r="E2128" t="s">
        <v>51</v>
      </c>
      <c r="F2128" t="s">
        <v>793</v>
      </c>
      <c r="G2128" t="s">
        <v>1283</v>
      </c>
      <c r="H2128" t="s">
        <v>54</v>
      </c>
      <c r="I2128">
        <v>11</v>
      </c>
      <c r="J2128">
        <v>0</v>
      </c>
      <c r="K2128">
        <v>1</v>
      </c>
      <c r="L2128" t="s">
        <v>25</v>
      </c>
      <c r="M2128" t="s">
        <v>533</v>
      </c>
      <c r="N2128">
        <v>150</v>
      </c>
      <c r="O2128">
        <v>0</v>
      </c>
      <c r="P2128" t="str">
        <f>IF(T[[#This Row],[qty_ordered]]&lt;&gt;T[[#This Row],[qty_received]],IF(T[[#This Row],[qty_received]]&gt;0,"Partial Received","Not Receviced"),"FullyReceived")</f>
        <v>Not Receviced</v>
      </c>
      <c r="Q2128" t="str">
        <f>IF(T[[#This Row],[qty_received]]&lt;&gt;T[[#This Row],[qty_invoiced]],IF(T[[#This Row],[qty_invoiced]]&gt;0,"Partial Invoiced","Not Invoiced"),"Fully Invoiced")</f>
        <v>Partial Invoiced</v>
      </c>
      <c r="R2128" t="str">
        <f>IFERROR(VLOOKUP(T[[#This Row],[warehouse]],Table2[],2,FALSE),"--")</f>
        <v>--</v>
      </c>
    </row>
    <row r="2129" spans="1:18" x14ac:dyDescent="0.25">
      <c r="A2129" t="s">
        <v>493</v>
      </c>
      <c r="B2129" s="1">
        <v>44311</v>
      </c>
      <c r="C2129" t="s">
        <v>1472</v>
      </c>
      <c r="D2129" t="s">
        <v>20</v>
      </c>
      <c r="E2129" t="s">
        <v>51</v>
      </c>
      <c r="F2129" t="s">
        <v>52</v>
      </c>
      <c r="G2129" t="s">
        <v>75</v>
      </c>
      <c r="H2129" t="s">
        <v>54</v>
      </c>
      <c r="I2129">
        <v>1</v>
      </c>
      <c r="J2129">
        <v>0</v>
      </c>
      <c r="K2129">
        <v>0</v>
      </c>
      <c r="L2129" t="s">
        <v>25</v>
      </c>
      <c r="M2129" t="s">
        <v>132</v>
      </c>
      <c r="N2129">
        <v>19328650</v>
      </c>
      <c r="O2129">
        <v>0</v>
      </c>
      <c r="P2129" t="str">
        <f>IF(T[[#This Row],[qty_ordered]]&lt;&gt;T[[#This Row],[qty_received]],IF(T[[#This Row],[qty_received]]&gt;0,"Partial Received","Not Receviced"),"FullyReceived")</f>
        <v>Not Receviced</v>
      </c>
      <c r="Q2129" t="str">
        <f>IF(T[[#This Row],[qty_received]]&lt;&gt;T[[#This Row],[qty_invoiced]],IF(T[[#This Row],[qty_invoiced]]&gt;0,"Partial Invoiced","Not Invoiced"),"Fully Invoiced")</f>
        <v>Fully Invoiced</v>
      </c>
      <c r="R2129" t="str">
        <f>IFERROR(VLOOKUP(T[[#This Row],[warehouse]],Table2[],2,FALSE),"--")</f>
        <v>--</v>
      </c>
    </row>
    <row r="2130" spans="1:18" x14ac:dyDescent="0.25">
      <c r="A2130" t="s">
        <v>1312</v>
      </c>
      <c r="B2130" s="1">
        <v>44252</v>
      </c>
      <c r="C2130" t="s">
        <v>1337</v>
      </c>
      <c r="D2130" t="s">
        <v>88</v>
      </c>
      <c r="E2130" t="s">
        <v>146</v>
      </c>
      <c r="F2130" t="s">
        <v>1473</v>
      </c>
      <c r="G2130" t="s">
        <v>1474</v>
      </c>
      <c r="H2130" t="s">
        <v>54</v>
      </c>
      <c r="I2130">
        <v>3500</v>
      </c>
      <c r="J2130">
        <v>3500</v>
      </c>
      <c r="K2130">
        <v>3500</v>
      </c>
      <c r="L2130" t="s">
        <v>25</v>
      </c>
      <c r="M2130" t="s">
        <v>744</v>
      </c>
      <c r="N2130">
        <v>287.25</v>
      </c>
      <c r="O2130">
        <v>1005375</v>
      </c>
      <c r="P2130" t="str">
        <f>IF(T[[#This Row],[qty_ordered]]&lt;&gt;T[[#This Row],[qty_received]],IF(T[[#This Row],[qty_received]]&gt;0,"Partial Received","Not Receviced"),"FullyReceived")</f>
        <v>FullyReceived</v>
      </c>
      <c r="Q2130" t="str">
        <f>IF(T[[#This Row],[qty_received]]&lt;&gt;T[[#This Row],[qty_invoiced]],IF(T[[#This Row],[qty_invoiced]]&gt;0,"Partial Invoiced","Not Invoiced"),"Fully Invoiced")</f>
        <v>Fully Invoiced</v>
      </c>
      <c r="R2130" t="str">
        <f>IFERROR(VLOOKUP(T[[#This Row],[warehouse]],Table2[],2,FALSE),"--")</f>
        <v>Khtoum Main Warehouse</v>
      </c>
    </row>
    <row r="2131" spans="1:18" x14ac:dyDescent="0.25">
      <c r="A2131" t="s">
        <v>1312</v>
      </c>
      <c r="B2131" s="1">
        <v>44252</v>
      </c>
      <c r="C2131" t="s">
        <v>1337</v>
      </c>
      <c r="D2131" t="s">
        <v>74</v>
      </c>
      <c r="E2131" t="s">
        <v>51</v>
      </c>
      <c r="F2131" t="s">
        <v>369</v>
      </c>
      <c r="G2131" t="s">
        <v>369</v>
      </c>
      <c r="H2131" t="s">
        <v>54</v>
      </c>
      <c r="I2131">
        <v>1</v>
      </c>
      <c r="J2131">
        <v>0</v>
      </c>
      <c r="K2131">
        <v>1</v>
      </c>
      <c r="L2131" t="s">
        <v>25</v>
      </c>
      <c r="M2131" t="s">
        <v>744</v>
      </c>
      <c r="N2131">
        <v>15000</v>
      </c>
      <c r="O2131">
        <v>0</v>
      </c>
      <c r="P2131" t="str">
        <f>IF(T[[#This Row],[qty_ordered]]&lt;&gt;T[[#This Row],[qty_received]],IF(T[[#This Row],[qty_received]]&gt;0,"Partial Received","Not Receviced"),"FullyReceived")</f>
        <v>Not Receviced</v>
      </c>
      <c r="Q2131" t="str">
        <f>IF(T[[#This Row],[qty_received]]&lt;&gt;T[[#This Row],[qty_invoiced]],IF(T[[#This Row],[qty_invoiced]]&gt;0,"Partial Invoiced","Not Invoiced"),"Fully Invoiced")</f>
        <v>Partial Invoiced</v>
      </c>
      <c r="R2131" t="str">
        <f>IFERROR(VLOOKUP(T[[#This Row],[warehouse]],Table2[],2,FALSE),"--")</f>
        <v>--</v>
      </c>
    </row>
    <row r="2132" spans="1:18" x14ac:dyDescent="0.25">
      <c r="A2132" t="s">
        <v>1475</v>
      </c>
      <c r="B2132" s="1">
        <v>44313</v>
      </c>
      <c r="C2132" t="s">
        <v>1476</v>
      </c>
      <c r="D2132" t="s">
        <v>20</v>
      </c>
      <c r="E2132" t="s">
        <v>51</v>
      </c>
      <c r="F2132" t="s">
        <v>674</v>
      </c>
      <c r="G2132" t="s">
        <v>1477</v>
      </c>
      <c r="H2132" t="s">
        <v>54</v>
      </c>
      <c r="I2132">
        <v>10000</v>
      </c>
      <c r="J2132">
        <v>0</v>
      </c>
      <c r="K2132">
        <v>1</v>
      </c>
      <c r="L2132" t="s">
        <v>25</v>
      </c>
      <c r="M2132" t="s">
        <v>533</v>
      </c>
      <c r="N2132">
        <v>3150</v>
      </c>
      <c r="O2132">
        <v>0</v>
      </c>
      <c r="P2132" t="str">
        <f>IF(T[[#This Row],[qty_ordered]]&lt;&gt;T[[#This Row],[qty_received]],IF(T[[#This Row],[qty_received]]&gt;0,"Partial Received","Not Receviced"),"FullyReceived")</f>
        <v>Not Receviced</v>
      </c>
      <c r="Q2132" t="str">
        <f>IF(T[[#This Row],[qty_received]]&lt;&gt;T[[#This Row],[qty_invoiced]],IF(T[[#This Row],[qty_invoiced]]&gt;0,"Partial Invoiced","Not Invoiced"),"Fully Invoiced")</f>
        <v>Partial Invoiced</v>
      </c>
      <c r="R2132" t="str">
        <f>IFERROR(VLOOKUP(T[[#This Row],[warehouse]],Table2[],2,FALSE),"--")</f>
        <v>--</v>
      </c>
    </row>
    <row r="2133" spans="1:18" x14ac:dyDescent="0.25">
      <c r="A2133" t="s">
        <v>1475</v>
      </c>
      <c r="B2133" s="1">
        <v>44313</v>
      </c>
      <c r="C2133" t="s">
        <v>1476</v>
      </c>
      <c r="D2133" t="s">
        <v>71</v>
      </c>
      <c r="E2133" t="s">
        <v>51</v>
      </c>
      <c r="F2133" t="s">
        <v>674</v>
      </c>
      <c r="G2133" t="s">
        <v>1478</v>
      </c>
      <c r="H2133" t="s">
        <v>54</v>
      </c>
      <c r="I2133">
        <v>10000</v>
      </c>
      <c r="J2133">
        <v>0</v>
      </c>
      <c r="K2133">
        <v>1</v>
      </c>
      <c r="L2133" t="s">
        <v>25</v>
      </c>
      <c r="M2133" t="s">
        <v>533</v>
      </c>
      <c r="N2133">
        <v>3150</v>
      </c>
      <c r="O2133">
        <v>0</v>
      </c>
      <c r="P2133" t="str">
        <f>IF(T[[#This Row],[qty_ordered]]&lt;&gt;T[[#This Row],[qty_received]],IF(T[[#This Row],[qty_received]]&gt;0,"Partial Received","Not Receviced"),"FullyReceived")</f>
        <v>Not Receviced</v>
      </c>
      <c r="Q2133" t="str">
        <f>IF(T[[#This Row],[qty_received]]&lt;&gt;T[[#This Row],[qty_invoiced]],IF(T[[#This Row],[qty_invoiced]]&gt;0,"Partial Invoiced","Not Invoiced"),"Fully Invoiced")</f>
        <v>Partial Invoiced</v>
      </c>
      <c r="R2133" t="str">
        <f>IFERROR(VLOOKUP(T[[#This Row],[warehouse]],Table2[],2,FALSE),"--")</f>
        <v>--</v>
      </c>
    </row>
    <row r="2134" spans="1:18" x14ac:dyDescent="0.25">
      <c r="A2134" t="s">
        <v>1316</v>
      </c>
      <c r="B2134" s="1">
        <v>44251</v>
      </c>
      <c r="C2134" t="s">
        <v>1317</v>
      </c>
      <c r="D2134" t="s">
        <v>74</v>
      </c>
      <c r="E2134" t="s">
        <v>51</v>
      </c>
      <c r="F2134" t="s">
        <v>278</v>
      </c>
      <c r="G2134" t="s">
        <v>279</v>
      </c>
      <c r="H2134" t="s">
        <v>54</v>
      </c>
      <c r="I2134">
        <v>439</v>
      </c>
      <c r="J2134">
        <v>0</v>
      </c>
      <c r="K2134">
        <v>1</v>
      </c>
      <c r="L2134" t="s">
        <v>25</v>
      </c>
      <c r="M2134" t="s">
        <v>533</v>
      </c>
      <c r="N2134">
        <v>50</v>
      </c>
      <c r="O2134">
        <v>0</v>
      </c>
      <c r="P2134" t="str">
        <f>IF(T[[#This Row],[qty_ordered]]&lt;&gt;T[[#This Row],[qty_received]],IF(T[[#This Row],[qty_received]]&gt;0,"Partial Received","Not Receviced"),"FullyReceived")</f>
        <v>Not Receviced</v>
      </c>
      <c r="Q2134" t="str">
        <f>IF(T[[#This Row],[qty_received]]&lt;&gt;T[[#This Row],[qty_invoiced]],IF(T[[#This Row],[qty_invoiced]]&gt;0,"Partial Invoiced","Not Invoiced"),"Fully Invoiced")</f>
        <v>Partial Invoiced</v>
      </c>
      <c r="R2134" t="str">
        <f>IFERROR(VLOOKUP(T[[#This Row],[warehouse]],Table2[],2,FALSE),"--")</f>
        <v>--</v>
      </c>
    </row>
    <row r="2135" spans="1:18" x14ac:dyDescent="0.25">
      <c r="A2135" t="s">
        <v>1316</v>
      </c>
      <c r="B2135" s="1">
        <v>44251</v>
      </c>
      <c r="C2135" t="s">
        <v>1317</v>
      </c>
      <c r="D2135" t="s">
        <v>76</v>
      </c>
      <c r="E2135" t="s">
        <v>51</v>
      </c>
      <c r="F2135" t="s">
        <v>433</v>
      </c>
      <c r="G2135" t="s">
        <v>1358</v>
      </c>
      <c r="H2135" t="s">
        <v>54</v>
      </c>
      <c r="I2135">
        <v>25455</v>
      </c>
      <c r="J2135">
        <v>0</v>
      </c>
      <c r="K2135">
        <v>1</v>
      </c>
      <c r="L2135" t="s">
        <v>25</v>
      </c>
      <c r="M2135" t="s">
        <v>533</v>
      </c>
      <c r="N2135">
        <v>3</v>
      </c>
      <c r="O2135">
        <v>0</v>
      </c>
      <c r="P2135" t="str">
        <f>IF(T[[#This Row],[qty_ordered]]&lt;&gt;T[[#This Row],[qty_received]],IF(T[[#This Row],[qty_received]]&gt;0,"Partial Received","Not Receviced"),"FullyReceived")</f>
        <v>Not Receviced</v>
      </c>
      <c r="Q2135" t="str">
        <f>IF(T[[#This Row],[qty_received]]&lt;&gt;T[[#This Row],[qty_invoiced]],IF(T[[#This Row],[qty_invoiced]]&gt;0,"Partial Invoiced","Not Invoiced"),"Fully Invoiced")</f>
        <v>Partial Invoiced</v>
      </c>
      <c r="R2135" t="str">
        <f>IFERROR(VLOOKUP(T[[#This Row],[warehouse]],Table2[],2,FALSE),"--")</f>
        <v>--</v>
      </c>
    </row>
    <row r="2136" spans="1:18" x14ac:dyDescent="0.25">
      <c r="A2136" t="s">
        <v>1316</v>
      </c>
      <c r="B2136" s="1">
        <v>44251</v>
      </c>
      <c r="C2136" t="s">
        <v>1317</v>
      </c>
      <c r="D2136" t="s">
        <v>212</v>
      </c>
      <c r="E2136" t="s">
        <v>51</v>
      </c>
      <c r="F2136" t="s">
        <v>254</v>
      </c>
      <c r="G2136" t="s">
        <v>255</v>
      </c>
      <c r="H2136" t="s">
        <v>54</v>
      </c>
      <c r="I2136">
        <v>34</v>
      </c>
      <c r="J2136">
        <v>0</v>
      </c>
      <c r="K2136">
        <v>1</v>
      </c>
      <c r="L2136" t="s">
        <v>25</v>
      </c>
      <c r="M2136" t="s">
        <v>533</v>
      </c>
      <c r="N2136">
        <v>76.470588000000006</v>
      </c>
      <c r="O2136">
        <v>0</v>
      </c>
      <c r="P2136" t="str">
        <f>IF(T[[#This Row],[qty_ordered]]&lt;&gt;T[[#This Row],[qty_received]],IF(T[[#This Row],[qty_received]]&gt;0,"Partial Received","Not Receviced"),"FullyReceived")</f>
        <v>Not Receviced</v>
      </c>
      <c r="Q2136" t="str">
        <f>IF(T[[#This Row],[qty_received]]&lt;&gt;T[[#This Row],[qty_invoiced]],IF(T[[#This Row],[qty_invoiced]]&gt;0,"Partial Invoiced","Not Invoiced"),"Fully Invoiced")</f>
        <v>Partial Invoiced</v>
      </c>
      <c r="R2136" t="str">
        <f>IFERROR(VLOOKUP(T[[#This Row],[warehouse]],Table2[],2,FALSE),"--")</f>
        <v>--</v>
      </c>
    </row>
    <row r="2137" spans="1:18" x14ac:dyDescent="0.25">
      <c r="A2137" t="s">
        <v>658</v>
      </c>
      <c r="B2137" s="1">
        <v>44363</v>
      </c>
      <c r="C2137" t="s">
        <v>1397</v>
      </c>
      <c r="D2137" t="s">
        <v>212</v>
      </c>
      <c r="E2137" t="s">
        <v>660</v>
      </c>
      <c r="F2137" t="s">
        <v>661</v>
      </c>
      <c r="G2137" t="s">
        <v>662</v>
      </c>
      <c r="H2137" t="s">
        <v>663</v>
      </c>
      <c r="I2137">
        <v>2032.4</v>
      </c>
      <c r="J2137">
        <v>2032.4</v>
      </c>
      <c r="K2137">
        <v>2032.4</v>
      </c>
      <c r="L2137" t="s">
        <v>25</v>
      </c>
      <c r="M2137" t="s">
        <v>132</v>
      </c>
      <c r="N2137">
        <v>1100.826</v>
      </c>
      <c r="O2137">
        <v>2686223.08</v>
      </c>
      <c r="P2137" t="str">
        <f>IF(T[[#This Row],[qty_ordered]]&lt;&gt;T[[#This Row],[qty_received]],IF(T[[#This Row],[qty_received]]&gt;0,"Partial Received","Not Receviced"),"FullyReceived")</f>
        <v>FullyReceived</v>
      </c>
      <c r="Q2137" t="str">
        <f>IF(T[[#This Row],[qty_received]]&lt;&gt;T[[#This Row],[qty_invoiced]],IF(T[[#This Row],[qty_invoiced]]&gt;0,"Partial Invoiced","Not Invoiced"),"Fully Invoiced")</f>
        <v>Fully Invoiced</v>
      </c>
      <c r="R2137" t="str">
        <f>IFERROR(VLOOKUP(T[[#This Row],[warehouse]],Table2[],2,FALSE),"--")</f>
        <v>SLAUGHTER HOUSE</v>
      </c>
    </row>
    <row r="2138" spans="1:18" x14ac:dyDescent="0.25">
      <c r="A2138" t="s">
        <v>658</v>
      </c>
      <c r="B2138" s="1">
        <v>44363</v>
      </c>
      <c r="C2138" t="s">
        <v>1397</v>
      </c>
      <c r="D2138" t="s">
        <v>322</v>
      </c>
      <c r="E2138" t="s">
        <v>660</v>
      </c>
      <c r="F2138" t="s">
        <v>661</v>
      </c>
      <c r="G2138" t="s">
        <v>662</v>
      </c>
      <c r="H2138" t="s">
        <v>663</v>
      </c>
      <c r="I2138">
        <v>2016.3</v>
      </c>
      <c r="J2138">
        <v>2016.3</v>
      </c>
      <c r="K2138">
        <v>2016.3</v>
      </c>
      <c r="L2138" t="s">
        <v>25</v>
      </c>
      <c r="M2138" t="s">
        <v>132</v>
      </c>
      <c r="N2138">
        <v>1100.826</v>
      </c>
      <c r="O2138">
        <v>2823424.89</v>
      </c>
      <c r="P2138" t="str">
        <f>IF(T[[#This Row],[qty_ordered]]&lt;&gt;T[[#This Row],[qty_received]],IF(T[[#This Row],[qty_received]]&gt;0,"Partial Received","Not Receviced"),"FullyReceived")</f>
        <v>FullyReceived</v>
      </c>
      <c r="Q2138" t="str">
        <f>IF(T[[#This Row],[qty_received]]&lt;&gt;T[[#This Row],[qty_invoiced]],IF(T[[#This Row],[qty_invoiced]]&gt;0,"Partial Invoiced","Not Invoiced"),"Fully Invoiced")</f>
        <v>Fully Invoiced</v>
      </c>
      <c r="R2138" t="str">
        <f>IFERROR(VLOOKUP(T[[#This Row],[warehouse]],Table2[],2,FALSE),"--")</f>
        <v>SLAUGHTER HOUSE</v>
      </c>
    </row>
    <row r="2139" spans="1:18" x14ac:dyDescent="0.25">
      <c r="A2139" t="s">
        <v>732</v>
      </c>
      <c r="B2139" s="1">
        <v>44447</v>
      </c>
      <c r="C2139" t="s">
        <v>1479</v>
      </c>
      <c r="D2139" t="s">
        <v>20</v>
      </c>
      <c r="E2139" t="s">
        <v>51</v>
      </c>
      <c r="F2139" t="s">
        <v>164</v>
      </c>
      <c r="G2139" t="s">
        <v>1386</v>
      </c>
      <c r="H2139" t="s">
        <v>54</v>
      </c>
      <c r="I2139">
        <v>219.31</v>
      </c>
      <c r="J2139">
        <v>0</v>
      </c>
      <c r="K2139">
        <v>1</v>
      </c>
      <c r="L2139" t="s">
        <v>25</v>
      </c>
      <c r="M2139" t="s">
        <v>533</v>
      </c>
      <c r="N2139">
        <v>80</v>
      </c>
      <c r="O2139">
        <v>0</v>
      </c>
      <c r="P2139" t="str">
        <f>IF(T[[#This Row],[qty_ordered]]&lt;&gt;T[[#This Row],[qty_received]],IF(T[[#This Row],[qty_received]]&gt;0,"Partial Received","Not Receviced"),"FullyReceived")</f>
        <v>Not Receviced</v>
      </c>
      <c r="Q2139" t="str">
        <f>IF(T[[#This Row],[qty_received]]&lt;&gt;T[[#This Row],[qty_invoiced]],IF(T[[#This Row],[qty_invoiced]]&gt;0,"Partial Invoiced","Not Invoiced"),"Fully Invoiced")</f>
        <v>Partial Invoiced</v>
      </c>
      <c r="R2139" t="str">
        <f>IFERROR(VLOOKUP(T[[#This Row],[warehouse]],Table2[],2,FALSE),"--")</f>
        <v>--</v>
      </c>
    </row>
    <row r="2140" spans="1:18" x14ac:dyDescent="0.25">
      <c r="A2140" t="s">
        <v>732</v>
      </c>
      <c r="B2140" s="1">
        <v>44447</v>
      </c>
      <c r="C2140" t="s">
        <v>1479</v>
      </c>
      <c r="D2140" t="s">
        <v>71</v>
      </c>
      <c r="E2140" t="s">
        <v>51</v>
      </c>
      <c r="F2140" t="s">
        <v>164</v>
      </c>
      <c r="G2140" t="s">
        <v>1386</v>
      </c>
      <c r="H2140" t="s">
        <v>54</v>
      </c>
      <c r="I2140">
        <v>305</v>
      </c>
      <c r="J2140">
        <v>0</v>
      </c>
      <c r="K2140">
        <v>1</v>
      </c>
      <c r="L2140" t="s">
        <v>25</v>
      </c>
      <c r="M2140" t="s">
        <v>533</v>
      </c>
      <c r="N2140">
        <v>80</v>
      </c>
      <c r="O2140">
        <v>0</v>
      </c>
      <c r="P2140" t="str">
        <f>IF(T[[#This Row],[qty_ordered]]&lt;&gt;T[[#This Row],[qty_received]],IF(T[[#This Row],[qty_received]]&gt;0,"Partial Received","Not Receviced"),"FullyReceived")</f>
        <v>Not Receviced</v>
      </c>
      <c r="Q2140" t="str">
        <f>IF(T[[#This Row],[qty_received]]&lt;&gt;T[[#This Row],[qty_invoiced]],IF(T[[#This Row],[qty_invoiced]]&gt;0,"Partial Invoiced","Not Invoiced"),"Fully Invoiced")</f>
        <v>Partial Invoiced</v>
      </c>
      <c r="R2140" t="str">
        <f>IFERROR(VLOOKUP(T[[#This Row],[warehouse]],Table2[],2,FALSE),"--")</f>
        <v>--</v>
      </c>
    </row>
    <row r="2141" spans="1:18" x14ac:dyDescent="0.25">
      <c r="A2141" t="s">
        <v>732</v>
      </c>
      <c r="B2141" s="1">
        <v>44447</v>
      </c>
      <c r="C2141" t="s">
        <v>1479</v>
      </c>
      <c r="D2141" t="s">
        <v>100</v>
      </c>
      <c r="E2141" t="s">
        <v>51</v>
      </c>
      <c r="F2141" t="s">
        <v>164</v>
      </c>
      <c r="G2141" t="s">
        <v>1386</v>
      </c>
      <c r="H2141" t="s">
        <v>54</v>
      </c>
      <c r="I2141">
        <v>16.34</v>
      </c>
      <c r="J2141">
        <v>0</v>
      </c>
      <c r="K2141">
        <v>1</v>
      </c>
      <c r="L2141" t="s">
        <v>25</v>
      </c>
      <c r="M2141" t="s">
        <v>533</v>
      </c>
      <c r="N2141">
        <v>80</v>
      </c>
      <c r="O2141">
        <v>0</v>
      </c>
      <c r="P2141" t="str">
        <f>IF(T[[#This Row],[qty_ordered]]&lt;&gt;T[[#This Row],[qty_received]],IF(T[[#This Row],[qty_received]]&gt;0,"Partial Received","Not Receviced"),"FullyReceived")</f>
        <v>Not Receviced</v>
      </c>
      <c r="Q2141" t="str">
        <f>IF(T[[#This Row],[qty_received]]&lt;&gt;T[[#This Row],[qty_invoiced]],IF(T[[#This Row],[qty_invoiced]]&gt;0,"Partial Invoiced","Not Invoiced"),"Fully Invoiced")</f>
        <v>Partial Invoiced</v>
      </c>
      <c r="R2141" t="str">
        <f>IFERROR(VLOOKUP(T[[#This Row],[warehouse]],Table2[],2,FALSE),"--")</f>
        <v>--</v>
      </c>
    </row>
    <row r="2142" spans="1:18" x14ac:dyDescent="0.25">
      <c r="A2142" t="s">
        <v>732</v>
      </c>
      <c r="B2142" s="1">
        <v>44447</v>
      </c>
      <c r="C2142" t="s">
        <v>1479</v>
      </c>
      <c r="D2142" t="s">
        <v>88</v>
      </c>
      <c r="E2142" t="s">
        <v>51</v>
      </c>
      <c r="F2142" t="s">
        <v>164</v>
      </c>
      <c r="G2142" t="s">
        <v>1386</v>
      </c>
      <c r="H2142" t="s">
        <v>54</v>
      </c>
      <c r="I2142">
        <v>499.4</v>
      </c>
      <c r="J2142">
        <v>0</v>
      </c>
      <c r="K2142">
        <v>1</v>
      </c>
      <c r="L2142" t="s">
        <v>25</v>
      </c>
      <c r="M2142" t="s">
        <v>533</v>
      </c>
      <c r="N2142">
        <v>80</v>
      </c>
      <c r="O2142">
        <v>0</v>
      </c>
      <c r="P2142" t="str">
        <f>IF(T[[#This Row],[qty_ordered]]&lt;&gt;T[[#This Row],[qty_received]],IF(T[[#This Row],[qty_received]]&gt;0,"Partial Received","Not Receviced"),"FullyReceived")</f>
        <v>Not Receviced</v>
      </c>
      <c r="Q2142" t="str">
        <f>IF(T[[#This Row],[qty_received]]&lt;&gt;T[[#This Row],[qty_invoiced]],IF(T[[#This Row],[qty_invoiced]]&gt;0,"Partial Invoiced","Not Invoiced"),"Fully Invoiced")</f>
        <v>Partial Invoiced</v>
      </c>
      <c r="R2142" t="str">
        <f>IFERROR(VLOOKUP(T[[#This Row],[warehouse]],Table2[],2,FALSE),"--")</f>
        <v>--</v>
      </c>
    </row>
    <row r="2143" spans="1:18" x14ac:dyDescent="0.25">
      <c r="A2143" t="s">
        <v>757</v>
      </c>
      <c r="B2143" s="1">
        <v>44451</v>
      </c>
      <c r="C2143" t="s">
        <v>1480</v>
      </c>
      <c r="D2143" t="s">
        <v>71</v>
      </c>
      <c r="E2143" t="s">
        <v>51</v>
      </c>
      <c r="F2143" t="s">
        <v>183</v>
      </c>
      <c r="G2143" t="s">
        <v>937</v>
      </c>
      <c r="H2143" t="s">
        <v>54</v>
      </c>
      <c r="I2143">
        <v>179.56</v>
      </c>
      <c r="J2143">
        <v>0</v>
      </c>
      <c r="K2143">
        <v>1</v>
      </c>
      <c r="L2143" t="s">
        <v>25</v>
      </c>
      <c r="M2143" t="s">
        <v>533</v>
      </c>
      <c r="N2143">
        <v>5000</v>
      </c>
      <c r="O2143">
        <v>0</v>
      </c>
      <c r="P2143" t="str">
        <f>IF(T[[#This Row],[qty_ordered]]&lt;&gt;T[[#This Row],[qty_received]],IF(T[[#This Row],[qty_received]]&gt;0,"Partial Received","Not Receviced"),"FullyReceived")</f>
        <v>Not Receviced</v>
      </c>
      <c r="Q2143" t="str">
        <f>IF(T[[#This Row],[qty_received]]&lt;&gt;T[[#This Row],[qty_invoiced]],IF(T[[#This Row],[qty_invoiced]]&gt;0,"Partial Invoiced","Not Invoiced"),"Fully Invoiced")</f>
        <v>Partial Invoiced</v>
      </c>
      <c r="R2143" t="str">
        <f>IFERROR(VLOOKUP(T[[#This Row],[warehouse]],Table2[],2,FALSE),"--")</f>
        <v>--</v>
      </c>
    </row>
    <row r="2144" spans="1:18" x14ac:dyDescent="0.25">
      <c r="A2144" t="s">
        <v>235</v>
      </c>
      <c r="B2144" s="1">
        <v>44160</v>
      </c>
      <c r="C2144" t="s">
        <v>998</v>
      </c>
      <c r="D2144" t="s">
        <v>760</v>
      </c>
      <c r="E2144" t="s">
        <v>51</v>
      </c>
      <c r="F2144" t="s">
        <v>546</v>
      </c>
      <c r="G2144" t="s">
        <v>1481</v>
      </c>
      <c r="H2144" t="s">
        <v>54</v>
      </c>
      <c r="I2144">
        <v>4000</v>
      </c>
      <c r="J2144">
        <v>0</v>
      </c>
      <c r="K2144">
        <v>1</v>
      </c>
      <c r="L2144" t="s">
        <v>25</v>
      </c>
      <c r="M2144" t="s">
        <v>2836</v>
      </c>
      <c r="N2144">
        <v>13</v>
      </c>
      <c r="O2144">
        <v>0</v>
      </c>
      <c r="P2144" t="str">
        <f>IF(T[[#This Row],[qty_ordered]]&lt;&gt;T[[#This Row],[qty_received]],IF(T[[#This Row],[qty_received]]&gt;0,"Partial Received","Not Receviced"),"FullyReceived")</f>
        <v>Not Receviced</v>
      </c>
      <c r="Q2144" t="str">
        <f>IF(T[[#This Row],[qty_received]]&lt;&gt;T[[#This Row],[qty_invoiced]],IF(T[[#This Row],[qty_invoiced]]&gt;0,"Partial Invoiced","Not Invoiced"),"Fully Invoiced")</f>
        <v>Partial Invoiced</v>
      </c>
      <c r="R2144" t="str">
        <f>IFERROR(VLOOKUP(T[[#This Row],[warehouse]],Table2[],2,FALSE),"--")</f>
        <v>--</v>
      </c>
    </row>
    <row r="2145" spans="1:18" x14ac:dyDescent="0.25">
      <c r="A2145" t="s">
        <v>235</v>
      </c>
      <c r="B2145" s="1">
        <v>44160</v>
      </c>
      <c r="C2145" t="s">
        <v>998</v>
      </c>
      <c r="D2145" t="s">
        <v>591</v>
      </c>
      <c r="E2145" t="s">
        <v>51</v>
      </c>
      <c r="F2145" t="s">
        <v>546</v>
      </c>
      <c r="G2145" t="s">
        <v>1481</v>
      </c>
      <c r="H2145" t="s">
        <v>54</v>
      </c>
      <c r="I2145">
        <v>6000</v>
      </c>
      <c r="J2145">
        <v>0</v>
      </c>
      <c r="K2145">
        <v>1</v>
      </c>
      <c r="L2145" t="s">
        <v>25</v>
      </c>
      <c r="M2145" t="s">
        <v>2836</v>
      </c>
      <c r="N2145">
        <v>14</v>
      </c>
      <c r="O2145">
        <v>0</v>
      </c>
      <c r="P2145" t="str">
        <f>IF(T[[#This Row],[qty_ordered]]&lt;&gt;T[[#This Row],[qty_received]],IF(T[[#This Row],[qty_received]]&gt;0,"Partial Received","Not Receviced"),"FullyReceived")</f>
        <v>Not Receviced</v>
      </c>
      <c r="Q2145" t="str">
        <f>IF(T[[#This Row],[qty_received]]&lt;&gt;T[[#This Row],[qty_invoiced]],IF(T[[#This Row],[qty_invoiced]]&gt;0,"Partial Invoiced","Not Invoiced"),"Fully Invoiced")</f>
        <v>Partial Invoiced</v>
      </c>
      <c r="R2145" t="str">
        <f>IFERROR(VLOOKUP(T[[#This Row],[warehouse]],Table2[],2,FALSE),"--")</f>
        <v>--</v>
      </c>
    </row>
    <row r="2146" spans="1:18" x14ac:dyDescent="0.25">
      <c r="A2146" t="s">
        <v>560</v>
      </c>
      <c r="B2146" s="1">
        <v>44251</v>
      </c>
      <c r="C2146" t="s">
        <v>1276</v>
      </c>
      <c r="D2146" t="s">
        <v>324</v>
      </c>
      <c r="E2146" t="s">
        <v>51</v>
      </c>
      <c r="F2146" t="s">
        <v>164</v>
      </c>
      <c r="G2146" t="s">
        <v>1401</v>
      </c>
      <c r="H2146" t="s">
        <v>54</v>
      </c>
      <c r="I2146">
        <v>28.125</v>
      </c>
      <c r="J2146">
        <v>0</v>
      </c>
      <c r="K2146">
        <v>1</v>
      </c>
      <c r="L2146" t="s">
        <v>25</v>
      </c>
      <c r="M2146" t="s">
        <v>533</v>
      </c>
      <c r="N2146">
        <v>4130.1333329999998</v>
      </c>
      <c r="O2146">
        <v>0</v>
      </c>
      <c r="P2146" t="str">
        <f>IF(T[[#This Row],[qty_ordered]]&lt;&gt;T[[#This Row],[qty_received]],IF(T[[#This Row],[qty_received]]&gt;0,"Partial Received","Not Receviced"),"FullyReceived")</f>
        <v>Not Receviced</v>
      </c>
      <c r="Q2146" t="str">
        <f>IF(T[[#This Row],[qty_received]]&lt;&gt;T[[#This Row],[qty_invoiced]],IF(T[[#This Row],[qty_invoiced]]&gt;0,"Partial Invoiced","Not Invoiced"),"Fully Invoiced")</f>
        <v>Partial Invoiced</v>
      </c>
      <c r="R2146" t="str">
        <f>IFERROR(VLOOKUP(T[[#This Row],[warehouse]],Table2[],2,FALSE),"--")</f>
        <v>--</v>
      </c>
    </row>
    <row r="2147" spans="1:18" x14ac:dyDescent="0.25">
      <c r="A2147" t="s">
        <v>560</v>
      </c>
      <c r="B2147" s="1">
        <v>44251</v>
      </c>
      <c r="C2147" t="s">
        <v>1276</v>
      </c>
      <c r="D2147" t="s">
        <v>325</v>
      </c>
      <c r="E2147" t="s">
        <v>51</v>
      </c>
      <c r="F2147" t="s">
        <v>164</v>
      </c>
      <c r="G2147" t="s">
        <v>1401</v>
      </c>
      <c r="H2147" t="s">
        <v>54</v>
      </c>
      <c r="I2147">
        <v>27</v>
      </c>
      <c r="J2147">
        <v>0</v>
      </c>
      <c r="K2147">
        <v>1</v>
      </c>
      <c r="L2147" t="s">
        <v>25</v>
      </c>
      <c r="M2147" t="s">
        <v>533</v>
      </c>
      <c r="N2147">
        <v>4130.1481480000002</v>
      </c>
      <c r="O2147">
        <v>0</v>
      </c>
      <c r="P2147" t="str">
        <f>IF(T[[#This Row],[qty_ordered]]&lt;&gt;T[[#This Row],[qty_received]],IF(T[[#This Row],[qty_received]]&gt;0,"Partial Received","Not Receviced"),"FullyReceived")</f>
        <v>Not Receviced</v>
      </c>
      <c r="Q2147" t="str">
        <f>IF(T[[#This Row],[qty_received]]&lt;&gt;T[[#This Row],[qty_invoiced]],IF(T[[#This Row],[qty_invoiced]]&gt;0,"Partial Invoiced","Not Invoiced"),"Fully Invoiced")</f>
        <v>Partial Invoiced</v>
      </c>
      <c r="R2147" t="str">
        <f>IFERROR(VLOOKUP(T[[#This Row],[warehouse]],Table2[],2,FALSE),"--")</f>
        <v>--</v>
      </c>
    </row>
    <row r="2148" spans="1:18" x14ac:dyDescent="0.25">
      <c r="A2148" t="s">
        <v>560</v>
      </c>
      <c r="B2148" s="1">
        <v>44251</v>
      </c>
      <c r="C2148" t="s">
        <v>1244</v>
      </c>
      <c r="D2148" t="s">
        <v>324</v>
      </c>
      <c r="E2148" t="s">
        <v>51</v>
      </c>
      <c r="F2148" t="s">
        <v>164</v>
      </c>
      <c r="G2148" t="s">
        <v>1383</v>
      </c>
      <c r="H2148" t="s">
        <v>54</v>
      </c>
      <c r="I2148">
        <v>27</v>
      </c>
      <c r="J2148">
        <v>0</v>
      </c>
      <c r="K2148">
        <v>1</v>
      </c>
      <c r="L2148" t="s">
        <v>25</v>
      </c>
      <c r="M2148" t="s">
        <v>533</v>
      </c>
      <c r="N2148">
        <v>4130.1481480000002</v>
      </c>
      <c r="O2148">
        <v>0</v>
      </c>
      <c r="P2148" t="str">
        <f>IF(T[[#This Row],[qty_ordered]]&lt;&gt;T[[#This Row],[qty_received]],IF(T[[#This Row],[qty_received]]&gt;0,"Partial Received","Not Receviced"),"FullyReceived")</f>
        <v>Not Receviced</v>
      </c>
      <c r="Q2148" t="str">
        <f>IF(T[[#This Row],[qty_received]]&lt;&gt;T[[#This Row],[qty_invoiced]],IF(T[[#This Row],[qty_invoiced]]&gt;0,"Partial Invoiced","Not Invoiced"),"Fully Invoiced")</f>
        <v>Partial Invoiced</v>
      </c>
      <c r="R2148" t="str">
        <f>IFERROR(VLOOKUP(T[[#This Row],[warehouse]],Table2[],2,FALSE),"--")</f>
        <v>--</v>
      </c>
    </row>
    <row r="2149" spans="1:18" x14ac:dyDescent="0.25">
      <c r="A2149" t="s">
        <v>201</v>
      </c>
      <c r="B2149" s="1">
        <v>44550</v>
      </c>
      <c r="C2149" t="s">
        <v>1482</v>
      </c>
      <c r="D2149" t="s">
        <v>20</v>
      </c>
      <c r="E2149" t="s">
        <v>1220</v>
      </c>
      <c r="F2149" t="s">
        <v>1338</v>
      </c>
      <c r="G2149" t="s">
        <v>1339</v>
      </c>
      <c r="H2149" t="s">
        <v>123</v>
      </c>
      <c r="I2149">
        <v>140000</v>
      </c>
      <c r="J2149">
        <v>140000</v>
      </c>
      <c r="K2149">
        <v>140000</v>
      </c>
      <c r="L2149" t="s">
        <v>693</v>
      </c>
      <c r="M2149" t="s">
        <v>1483</v>
      </c>
      <c r="N2149">
        <v>13086.495386250001</v>
      </c>
      <c r="O2149">
        <v>1786425473.7493701</v>
      </c>
      <c r="P2149" t="str">
        <f>IF(T[[#This Row],[qty_ordered]]&lt;&gt;T[[#This Row],[qty_received]],IF(T[[#This Row],[qty_received]]&gt;0,"Partial Received","Not Receviced"),"FullyReceived")</f>
        <v>FullyReceived</v>
      </c>
      <c r="Q2149" t="str">
        <f>IF(T[[#This Row],[qty_received]]&lt;&gt;T[[#This Row],[qty_invoiced]],IF(T[[#This Row],[qty_invoiced]]&gt;0,"Partial Invoiced","Not Invoiced"),"Fully Invoiced")</f>
        <v>Fully Invoiced</v>
      </c>
      <c r="R2149" t="str">
        <f>IFERROR(VLOOKUP(T[[#This Row],[warehouse]],Table2[],2,FALSE),"--")</f>
        <v>Import Virtual Warehouse - PZU</v>
      </c>
    </row>
    <row r="2150" spans="1:18" x14ac:dyDescent="0.25">
      <c r="A2150" t="s">
        <v>955</v>
      </c>
      <c r="B2150" s="1">
        <v>44550</v>
      </c>
      <c r="C2150" t="s">
        <v>1484</v>
      </c>
      <c r="D2150" t="s">
        <v>20</v>
      </c>
      <c r="E2150" t="s">
        <v>629</v>
      </c>
      <c r="F2150" t="s">
        <v>287</v>
      </c>
      <c r="G2150" t="s">
        <v>288</v>
      </c>
      <c r="H2150" t="s">
        <v>24</v>
      </c>
      <c r="I2150">
        <v>1319.71</v>
      </c>
      <c r="J2150">
        <v>1319.71</v>
      </c>
      <c r="K2150">
        <v>1319.71</v>
      </c>
      <c r="L2150" t="s">
        <v>25</v>
      </c>
      <c r="M2150" t="s">
        <v>1485</v>
      </c>
      <c r="N2150">
        <v>305000.09531200002</v>
      </c>
      <c r="O2150">
        <v>402511675.78420001</v>
      </c>
      <c r="P2150" t="str">
        <f>IF(T[[#This Row],[qty_ordered]]&lt;&gt;T[[#This Row],[qty_received]],IF(T[[#This Row],[qty_received]]&gt;0,"Partial Received","Not Receviced"),"FullyReceived")</f>
        <v>FullyReceived</v>
      </c>
      <c r="Q2150" t="str">
        <f>IF(T[[#This Row],[qty_received]]&lt;&gt;T[[#This Row],[qty_invoiced]],IF(T[[#This Row],[qty_invoiced]]&gt;0,"Partial Invoiced","Not Invoiced"),"Fully Invoiced")</f>
        <v>Fully Invoiced</v>
      </c>
      <c r="R2150" t="str">
        <f>IFERROR(VLOOKUP(T[[#This Row],[warehouse]],Table2[],2,FALSE),"--")</f>
        <v>SOPC Sifting &amp; Sorting</v>
      </c>
    </row>
    <row r="2151" spans="1:18" x14ac:dyDescent="0.25">
      <c r="A2151" t="s">
        <v>560</v>
      </c>
      <c r="B2151" s="1">
        <v>44251</v>
      </c>
      <c r="C2151" t="s">
        <v>1247</v>
      </c>
      <c r="D2151" t="s">
        <v>507</v>
      </c>
      <c r="E2151" t="s">
        <v>51</v>
      </c>
      <c r="F2151" t="s">
        <v>164</v>
      </c>
      <c r="G2151" t="s">
        <v>1486</v>
      </c>
      <c r="H2151" t="s">
        <v>54</v>
      </c>
      <c r="I2151">
        <v>21</v>
      </c>
      <c r="J2151">
        <v>0</v>
      </c>
      <c r="K2151">
        <v>1</v>
      </c>
      <c r="L2151" t="s">
        <v>25</v>
      </c>
      <c r="M2151" t="s">
        <v>533</v>
      </c>
      <c r="N2151">
        <v>4130.1428569999998</v>
      </c>
      <c r="O2151">
        <v>0</v>
      </c>
      <c r="P2151" t="str">
        <f>IF(T[[#This Row],[qty_ordered]]&lt;&gt;T[[#This Row],[qty_received]],IF(T[[#This Row],[qty_received]]&gt;0,"Partial Received","Not Receviced"),"FullyReceived")</f>
        <v>Not Receviced</v>
      </c>
      <c r="Q2151" t="str">
        <f>IF(T[[#This Row],[qty_received]]&lt;&gt;T[[#This Row],[qty_invoiced]],IF(T[[#This Row],[qty_invoiced]]&gt;0,"Partial Invoiced","Not Invoiced"),"Fully Invoiced")</f>
        <v>Partial Invoiced</v>
      </c>
      <c r="R2151" t="str">
        <f>IFERROR(VLOOKUP(T[[#This Row],[warehouse]],Table2[],2,FALSE),"--")</f>
        <v>--</v>
      </c>
    </row>
    <row r="2152" spans="1:18" x14ac:dyDescent="0.25">
      <c r="A2152" t="s">
        <v>735</v>
      </c>
      <c r="B2152" s="1">
        <v>44535</v>
      </c>
      <c r="C2152" t="s">
        <v>1487</v>
      </c>
      <c r="D2152" t="s">
        <v>71</v>
      </c>
      <c r="E2152" t="s">
        <v>51</v>
      </c>
      <c r="F2152" t="s">
        <v>183</v>
      </c>
      <c r="G2152" t="s">
        <v>1488</v>
      </c>
      <c r="H2152" t="s">
        <v>54</v>
      </c>
      <c r="I2152">
        <v>300</v>
      </c>
      <c r="J2152">
        <v>0</v>
      </c>
      <c r="K2152">
        <v>1</v>
      </c>
      <c r="L2152" t="s">
        <v>693</v>
      </c>
      <c r="M2152" t="s">
        <v>533</v>
      </c>
      <c r="N2152">
        <v>5500</v>
      </c>
      <c r="O2152">
        <v>0</v>
      </c>
      <c r="P2152" t="str">
        <f>IF(T[[#This Row],[qty_ordered]]&lt;&gt;T[[#This Row],[qty_received]],IF(T[[#This Row],[qty_received]]&gt;0,"Partial Received","Not Receviced"),"FullyReceived")</f>
        <v>Not Receviced</v>
      </c>
      <c r="Q2152" t="str">
        <f>IF(T[[#This Row],[qty_received]]&lt;&gt;T[[#This Row],[qty_invoiced]],IF(T[[#This Row],[qty_invoiced]]&gt;0,"Partial Invoiced","Not Invoiced"),"Fully Invoiced")</f>
        <v>Partial Invoiced</v>
      </c>
      <c r="R2152" t="str">
        <f>IFERROR(VLOOKUP(T[[#This Row],[warehouse]],Table2[],2,FALSE),"--")</f>
        <v>--</v>
      </c>
    </row>
    <row r="2153" spans="1:18" x14ac:dyDescent="0.25">
      <c r="A2153" t="s">
        <v>985</v>
      </c>
      <c r="B2153" s="1">
        <v>44531</v>
      </c>
      <c r="C2153" t="s">
        <v>1489</v>
      </c>
      <c r="D2153" t="s">
        <v>88</v>
      </c>
      <c r="E2153" t="s">
        <v>51</v>
      </c>
      <c r="F2153" t="s">
        <v>183</v>
      </c>
      <c r="G2153" t="s">
        <v>1490</v>
      </c>
      <c r="H2153" t="s">
        <v>54</v>
      </c>
      <c r="I2153">
        <v>550</v>
      </c>
      <c r="J2153">
        <v>0</v>
      </c>
      <c r="K2153">
        <v>1</v>
      </c>
      <c r="L2153" t="s">
        <v>693</v>
      </c>
      <c r="M2153" t="s">
        <v>533</v>
      </c>
      <c r="N2153">
        <v>6000</v>
      </c>
      <c r="O2153">
        <v>0</v>
      </c>
      <c r="P2153" t="str">
        <f>IF(T[[#This Row],[qty_ordered]]&lt;&gt;T[[#This Row],[qty_received]],IF(T[[#This Row],[qty_received]]&gt;0,"Partial Received","Not Receviced"),"FullyReceived")</f>
        <v>Not Receviced</v>
      </c>
      <c r="Q2153" t="str">
        <f>IF(T[[#This Row],[qty_received]]&lt;&gt;T[[#This Row],[qty_invoiced]],IF(T[[#This Row],[qty_invoiced]]&gt;0,"Partial Invoiced","Not Invoiced"),"Fully Invoiced")</f>
        <v>Partial Invoiced</v>
      </c>
      <c r="R2153" t="str">
        <f>IFERROR(VLOOKUP(T[[#This Row],[warehouse]],Table2[],2,FALSE),"--")</f>
        <v>--</v>
      </c>
    </row>
    <row r="2154" spans="1:18" x14ac:dyDescent="0.25">
      <c r="A2154" t="s">
        <v>252</v>
      </c>
      <c r="B2154" s="1">
        <v>44531</v>
      </c>
      <c r="C2154" t="s">
        <v>1491</v>
      </c>
      <c r="D2154" t="s">
        <v>71</v>
      </c>
      <c r="E2154" t="s">
        <v>51</v>
      </c>
      <c r="F2154" t="s">
        <v>183</v>
      </c>
      <c r="G2154" t="s">
        <v>1488</v>
      </c>
      <c r="H2154" t="s">
        <v>54</v>
      </c>
      <c r="I2154">
        <v>500</v>
      </c>
      <c r="J2154">
        <v>0</v>
      </c>
      <c r="K2154">
        <v>1</v>
      </c>
      <c r="L2154" t="s">
        <v>693</v>
      </c>
      <c r="M2154" t="s">
        <v>533</v>
      </c>
      <c r="N2154">
        <v>6250</v>
      </c>
      <c r="O2154">
        <v>0</v>
      </c>
      <c r="P2154" t="str">
        <f>IF(T[[#This Row],[qty_ordered]]&lt;&gt;T[[#This Row],[qty_received]],IF(T[[#This Row],[qty_received]]&gt;0,"Partial Received","Not Receviced"),"FullyReceived")</f>
        <v>Not Receviced</v>
      </c>
      <c r="Q2154" t="str">
        <f>IF(T[[#This Row],[qty_received]]&lt;&gt;T[[#This Row],[qty_invoiced]],IF(T[[#This Row],[qty_invoiced]]&gt;0,"Partial Invoiced","Not Invoiced"),"Fully Invoiced")</f>
        <v>Partial Invoiced</v>
      </c>
      <c r="R2154" t="str">
        <f>IFERROR(VLOOKUP(T[[#This Row],[warehouse]],Table2[],2,FALSE),"--")</f>
        <v>--</v>
      </c>
    </row>
    <row r="2155" spans="1:18" x14ac:dyDescent="0.25">
      <c r="A2155" t="s">
        <v>228</v>
      </c>
      <c r="B2155" s="1">
        <v>44537</v>
      </c>
      <c r="C2155" t="s">
        <v>1492</v>
      </c>
      <c r="D2155" t="s">
        <v>71</v>
      </c>
      <c r="E2155" t="s">
        <v>621</v>
      </c>
      <c r="F2155" t="s">
        <v>196</v>
      </c>
      <c r="G2155" t="s">
        <v>197</v>
      </c>
      <c r="H2155" t="s">
        <v>24</v>
      </c>
      <c r="I2155">
        <v>7598.7839999999997</v>
      </c>
      <c r="J2155">
        <v>7037.4610000000002</v>
      </c>
      <c r="K2155">
        <v>7037.46</v>
      </c>
      <c r="L2155" t="s">
        <v>25</v>
      </c>
      <c r="M2155" t="s">
        <v>1485</v>
      </c>
      <c r="N2155">
        <v>90432</v>
      </c>
      <c r="O2155">
        <v>636411673.15199995</v>
      </c>
      <c r="P2155" t="str">
        <f>IF(T[[#This Row],[qty_ordered]]&lt;&gt;T[[#This Row],[qty_received]],IF(T[[#This Row],[qty_received]]&gt;0,"Partial Received","Not Receviced"),"FullyReceived")</f>
        <v>Partial Received</v>
      </c>
      <c r="Q2155" t="str">
        <f>IF(T[[#This Row],[qty_received]]&lt;&gt;T[[#This Row],[qty_invoiced]],IF(T[[#This Row],[qty_invoiced]]&gt;0,"Partial Invoiced","Not Invoiced"),"Fully Invoiced")</f>
        <v>Partial Invoiced</v>
      </c>
      <c r="R2155" t="str">
        <f>IFERROR(VLOOKUP(T[[#This Row],[warehouse]],Table2[],2,FALSE),"--")</f>
        <v>SIFTER CONCRETE SILO</v>
      </c>
    </row>
    <row r="2156" spans="1:18" x14ac:dyDescent="0.25">
      <c r="A2156" t="s">
        <v>1170</v>
      </c>
      <c r="B2156" s="1">
        <v>44530</v>
      </c>
      <c r="C2156" t="s">
        <v>1493</v>
      </c>
      <c r="D2156" t="s">
        <v>71</v>
      </c>
      <c r="E2156" t="s">
        <v>1289</v>
      </c>
      <c r="F2156" t="s">
        <v>406</v>
      </c>
      <c r="G2156" t="s">
        <v>407</v>
      </c>
      <c r="H2156" t="s">
        <v>24</v>
      </c>
      <c r="I2156">
        <v>622.22299999999996</v>
      </c>
      <c r="J2156">
        <v>0</v>
      </c>
      <c r="K2156">
        <v>0</v>
      </c>
      <c r="L2156" t="s">
        <v>25</v>
      </c>
      <c r="M2156" t="s">
        <v>1485</v>
      </c>
      <c r="N2156">
        <v>321428.169643</v>
      </c>
      <c r="O2156">
        <v>0</v>
      </c>
      <c r="P2156" t="str">
        <f>IF(T[[#This Row],[qty_ordered]]&lt;&gt;T[[#This Row],[qty_received]],IF(T[[#This Row],[qty_received]]&gt;0,"Partial Received","Not Receviced"),"FullyReceived")</f>
        <v>Not Receviced</v>
      </c>
      <c r="Q2156" t="str">
        <f>IF(T[[#This Row],[qty_received]]&lt;&gt;T[[#This Row],[qty_invoiced]],IF(T[[#This Row],[qty_invoiced]]&gt;0,"Partial Invoiced","Not Invoiced"),"Fully Invoiced")</f>
        <v>Fully Invoiced</v>
      </c>
      <c r="R2156" t="str">
        <f>IFERROR(VLOOKUP(T[[#This Row],[warehouse]],Table2[],2,FALSE),"--")</f>
        <v>MSG GINNING GDARIF</v>
      </c>
    </row>
    <row r="2157" spans="1:18" x14ac:dyDescent="0.25">
      <c r="A2157" t="s">
        <v>795</v>
      </c>
      <c r="B2157" s="1">
        <v>44550</v>
      </c>
      <c r="C2157" t="s">
        <v>1494</v>
      </c>
      <c r="D2157" t="s">
        <v>20</v>
      </c>
      <c r="E2157" t="s">
        <v>629</v>
      </c>
      <c r="F2157" t="s">
        <v>287</v>
      </c>
      <c r="G2157" t="s">
        <v>288</v>
      </c>
      <c r="H2157" t="s">
        <v>24</v>
      </c>
      <c r="I2157">
        <v>4767.51</v>
      </c>
      <c r="J2157">
        <v>4767.51</v>
      </c>
      <c r="K2157">
        <v>4767.51</v>
      </c>
      <c r="L2157" t="s">
        <v>25</v>
      </c>
      <c r="M2157" t="s">
        <v>1485</v>
      </c>
      <c r="N2157">
        <v>364182</v>
      </c>
      <c r="O2157">
        <v>1454091373.9830599</v>
      </c>
      <c r="P2157" t="str">
        <f>IF(T[[#This Row],[qty_ordered]]&lt;&gt;T[[#This Row],[qty_received]],IF(T[[#This Row],[qty_received]]&gt;0,"Partial Received","Not Receviced"),"FullyReceived")</f>
        <v>FullyReceived</v>
      </c>
      <c r="Q2157" t="str">
        <f>IF(T[[#This Row],[qty_received]]&lt;&gt;T[[#This Row],[qty_invoiced]],IF(T[[#This Row],[qty_invoiced]]&gt;0,"Partial Invoiced","Not Invoiced"),"Fully Invoiced")</f>
        <v>Fully Invoiced</v>
      </c>
      <c r="R2157" t="str">
        <f>IFERROR(VLOOKUP(T[[#This Row],[warehouse]],Table2[],2,FALSE),"--")</f>
        <v>SOPC Sifting &amp; Sorting</v>
      </c>
    </row>
    <row r="2158" spans="1:18" x14ac:dyDescent="0.25">
      <c r="A2158" t="s">
        <v>973</v>
      </c>
      <c r="B2158" s="1">
        <v>44533</v>
      </c>
      <c r="C2158" t="s">
        <v>1495</v>
      </c>
      <c r="D2158" t="s">
        <v>71</v>
      </c>
      <c r="E2158" t="s">
        <v>281</v>
      </c>
      <c r="F2158" t="s">
        <v>526</v>
      </c>
      <c r="G2158" t="s">
        <v>472</v>
      </c>
      <c r="H2158" t="s">
        <v>123</v>
      </c>
      <c r="I2158">
        <v>10000</v>
      </c>
      <c r="J2158">
        <v>10000</v>
      </c>
      <c r="K2158">
        <v>10000</v>
      </c>
      <c r="L2158" t="s">
        <v>25</v>
      </c>
      <c r="M2158" t="s">
        <v>132</v>
      </c>
      <c r="N2158">
        <v>18500</v>
      </c>
      <c r="O2158">
        <v>185000000</v>
      </c>
      <c r="P2158" t="str">
        <f>IF(T[[#This Row],[qty_ordered]]&lt;&gt;T[[#This Row],[qty_received]],IF(T[[#This Row],[qty_received]]&gt;0,"Partial Received","Not Receviced"),"FullyReceived")</f>
        <v>FullyReceived</v>
      </c>
      <c r="Q2158" t="str">
        <f>IF(T[[#This Row],[qty_received]]&lt;&gt;T[[#This Row],[qty_invoiced]],IF(T[[#This Row],[qty_invoiced]]&gt;0,"Partial Invoiced","Not Invoiced"),"Fully Invoiced")</f>
        <v>Fully Invoiced</v>
      </c>
      <c r="R2158" t="str">
        <f>IFERROR(VLOOKUP(T[[#This Row],[warehouse]],Table2[],2,FALSE),"--")</f>
        <v>Crusher Alm Eldin-KH</v>
      </c>
    </row>
    <row r="2159" spans="1:18" x14ac:dyDescent="0.25">
      <c r="A2159" t="s">
        <v>1496</v>
      </c>
      <c r="B2159" s="1">
        <v>44553</v>
      </c>
      <c r="C2159" t="s">
        <v>1497</v>
      </c>
      <c r="D2159" t="s">
        <v>20</v>
      </c>
      <c r="E2159" t="s">
        <v>321</v>
      </c>
      <c r="F2159" t="s">
        <v>526</v>
      </c>
      <c r="G2159" t="s">
        <v>472</v>
      </c>
      <c r="H2159" t="s">
        <v>123</v>
      </c>
      <c r="I2159">
        <v>2000</v>
      </c>
      <c r="J2159">
        <v>2000</v>
      </c>
      <c r="K2159">
        <v>2000</v>
      </c>
      <c r="L2159" t="s">
        <v>25</v>
      </c>
      <c r="M2159" t="s">
        <v>1485</v>
      </c>
      <c r="N2159">
        <v>17322.45</v>
      </c>
      <c r="O2159">
        <v>34644900</v>
      </c>
      <c r="P2159" t="str">
        <f>IF(T[[#This Row],[qty_ordered]]&lt;&gt;T[[#This Row],[qty_received]],IF(T[[#This Row],[qty_received]]&gt;0,"Partial Received","Not Receviced"),"FullyReceived")</f>
        <v>FullyReceived</v>
      </c>
      <c r="Q2159" t="str">
        <f>IF(T[[#This Row],[qty_received]]&lt;&gt;T[[#This Row],[qty_invoiced]],IF(T[[#This Row],[qty_invoiced]]&gt;0,"Partial Invoiced","Not Invoiced"),"Fully Invoiced")</f>
        <v>Fully Invoiced</v>
      </c>
      <c r="R2159" t="str">
        <f>IFERROR(VLOOKUP(T[[#This Row],[warehouse]],Table2[],2,FALSE),"--")</f>
        <v>Crusher KHA- Other</v>
      </c>
    </row>
    <row r="2160" spans="1:18" x14ac:dyDescent="0.25">
      <c r="A2160" t="s">
        <v>560</v>
      </c>
      <c r="B2160" s="1">
        <v>44404</v>
      </c>
      <c r="C2160" t="s">
        <v>1424</v>
      </c>
      <c r="D2160" t="s">
        <v>212</v>
      </c>
      <c r="E2160" t="s">
        <v>51</v>
      </c>
      <c r="F2160" t="s">
        <v>52</v>
      </c>
      <c r="G2160" t="s">
        <v>53</v>
      </c>
      <c r="H2160" t="s">
        <v>54</v>
      </c>
      <c r="I2160">
        <v>26</v>
      </c>
      <c r="J2160">
        <v>0</v>
      </c>
      <c r="K2160">
        <v>1</v>
      </c>
      <c r="L2160" t="s">
        <v>693</v>
      </c>
      <c r="M2160" t="s">
        <v>707</v>
      </c>
      <c r="N2160">
        <v>4130.1538460000002</v>
      </c>
      <c r="O2160">
        <v>0</v>
      </c>
      <c r="P2160" t="str">
        <f>IF(T[[#This Row],[qty_ordered]]&lt;&gt;T[[#This Row],[qty_received]],IF(T[[#This Row],[qty_received]]&gt;0,"Partial Received","Not Receviced"),"FullyReceived")</f>
        <v>Not Receviced</v>
      </c>
      <c r="Q2160" t="str">
        <f>IF(T[[#This Row],[qty_received]]&lt;&gt;T[[#This Row],[qty_invoiced]],IF(T[[#This Row],[qty_invoiced]]&gt;0,"Partial Invoiced","Not Invoiced"),"Fully Invoiced")</f>
        <v>Partial Invoiced</v>
      </c>
      <c r="R2160" t="str">
        <f>IFERROR(VLOOKUP(T[[#This Row],[warehouse]],Table2[],2,FALSE),"--")</f>
        <v>--</v>
      </c>
    </row>
    <row r="2161" spans="1:18" x14ac:dyDescent="0.25">
      <c r="A2161" t="s">
        <v>423</v>
      </c>
      <c r="B2161" s="1">
        <v>44546</v>
      </c>
      <c r="C2161" t="s">
        <v>1498</v>
      </c>
      <c r="D2161" t="s">
        <v>20</v>
      </c>
      <c r="E2161" t="s">
        <v>51</v>
      </c>
      <c r="F2161" t="s">
        <v>546</v>
      </c>
      <c r="G2161" t="s">
        <v>1499</v>
      </c>
      <c r="H2161" t="s">
        <v>54</v>
      </c>
      <c r="I2161">
        <v>10000</v>
      </c>
      <c r="J2161">
        <v>0</v>
      </c>
      <c r="K2161">
        <v>1</v>
      </c>
      <c r="L2161" t="s">
        <v>693</v>
      </c>
      <c r="M2161" t="s">
        <v>2836</v>
      </c>
      <c r="N2161">
        <v>16.5</v>
      </c>
      <c r="O2161">
        <v>0</v>
      </c>
      <c r="P2161" t="str">
        <f>IF(T[[#This Row],[qty_ordered]]&lt;&gt;T[[#This Row],[qty_received]],IF(T[[#This Row],[qty_received]]&gt;0,"Partial Received","Not Receviced"),"FullyReceived")</f>
        <v>Not Receviced</v>
      </c>
      <c r="Q2161" t="str">
        <f>IF(T[[#This Row],[qty_received]]&lt;&gt;T[[#This Row],[qty_invoiced]],IF(T[[#This Row],[qty_invoiced]]&gt;0,"Partial Invoiced","Not Invoiced"),"Fully Invoiced")</f>
        <v>Partial Invoiced</v>
      </c>
      <c r="R2161" t="str">
        <f>IFERROR(VLOOKUP(T[[#This Row],[warehouse]],Table2[],2,FALSE),"--")</f>
        <v>--</v>
      </c>
    </row>
    <row r="2162" spans="1:18" x14ac:dyDescent="0.25">
      <c r="A2162" t="s">
        <v>423</v>
      </c>
      <c r="B2162" s="1">
        <v>44546</v>
      </c>
      <c r="C2162" t="s">
        <v>1500</v>
      </c>
      <c r="D2162" t="s">
        <v>20</v>
      </c>
      <c r="E2162" t="s">
        <v>51</v>
      </c>
      <c r="F2162" t="s">
        <v>546</v>
      </c>
      <c r="G2162" t="s">
        <v>1501</v>
      </c>
      <c r="H2162" t="s">
        <v>54</v>
      </c>
      <c r="I2162">
        <v>2000</v>
      </c>
      <c r="J2162">
        <v>0</v>
      </c>
      <c r="K2162">
        <v>1</v>
      </c>
      <c r="L2162" t="s">
        <v>693</v>
      </c>
      <c r="M2162" t="s">
        <v>533</v>
      </c>
      <c r="N2162">
        <v>40</v>
      </c>
      <c r="O2162">
        <v>0</v>
      </c>
      <c r="P2162" t="str">
        <f>IF(T[[#This Row],[qty_ordered]]&lt;&gt;T[[#This Row],[qty_received]],IF(T[[#This Row],[qty_received]]&gt;0,"Partial Received","Not Receviced"),"FullyReceived")</f>
        <v>Not Receviced</v>
      </c>
      <c r="Q2162" t="str">
        <f>IF(T[[#This Row],[qty_received]]&lt;&gt;T[[#This Row],[qty_invoiced]],IF(T[[#This Row],[qty_invoiced]]&gt;0,"Partial Invoiced","Not Invoiced"),"Fully Invoiced")</f>
        <v>Partial Invoiced</v>
      </c>
      <c r="R2162" t="str">
        <f>IFERROR(VLOOKUP(T[[#This Row],[warehouse]],Table2[],2,FALSE),"--")</f>
        <v>--</v>
      </c>
    </row>
    <row r="2163" spans="1:18" x14ac:dyDescent="0.25">
      <c r="A2163" t="s">
        <v>423</v>
      </c>
      <c r="B2163" s="1">
        <v>44546</v>
      </c>
      <c r="C2163" t="s">
        <v>1502</v>
      </c>
      <c r="D2163" t="s">
        <v>20</v>
      </c>
      <c r="E2163" t="s">
        <v>51</v>
      </c>
      <c r="F2163" t="s">
        <v>546</v>
      </c>
      <c r="G2163" t="s">
        <v>1499</v>
      </c>
      <c r="H2163" t="s">
        <v>54</v>
      </c>
      <c r="I2163">
        <v>10000</v>
      </c>
      <c r="J2163">
        <v>0</v>
      </c>
      <c r="K2163">
        <v>1</v>
      </c>
      <c r="L2163" t="s">
        <v>693</v>
      </c>
      <c r="M2163" t="s">
        <v>2836</v>
      </c>
      <c r="N2163">
        <v>16.5</v>
      </c>
      <c r="O2163">
        <v>0</v>
      </c>
      <c r="P2163" t="str">
        <f>IF(T[[#This Row],[qty_ordered]]&lt;&gt;T[[#This Row],[qty_received]],IF(T[[#This Row],[qty_received]]&gt;0,"Partial Received","Not Receviced"),"FullyReceived")</f>
        <v>Not Receviced</v>
      </c>
      <c r="Q2163" t="str">
        <f>IF(T[[#This Row],[qty_received]]&lt;&gt;T[[#This Row],[qty_invoiced]],IF(T[[#This Row],[qty_invoiced]]&gt;0,"Partial Invoiced","Not Invoiced"),"Fully Invoiced")</f>
        <v>Partial Invoiced</v>
      </c>
      <c r="R2163" t="str">
        <f>IFERROR(VLOOKUP(T[[#This Row],[warehouse]],Table2[],2,FALSE),"--")</f>
        <v>--</v>
      </c>
    </row>
    <row r="2164" spans="1:18" x14ac:dyDescent="0.25">
      <c r="A2164" t="s">
        <v>423</v>
      </c>
      <c r="B2164" s="1">
        <v>44546</v>
      </c>
      <c r="C2164" t="s">
        <v>1502</v>
      </c>
      <c r="D2164" t="s">
        <v>71</v>
      </c>
      <c r="E2164" t="s">
        <v>51</v>
      </c>
      <c r="F2164" t="s">
        <v>546</v>
      </c>
      <c r="G2164" t="s">
        <v>1503</v>
      </c>
      <c r="H2164" t="s">
        <v>54</v>
      </c>
      <c r="I2164">
        <v>10000</v>
      </c>
      <c r="J2164">
        <v>0</v>
      </c>
      <c r="K2164">
        <v>1</v>
      </c>
      <c r="L2164" t="s">
        <v>693</v>
      </c>
      <c r="M2164" t="s">
        <v>2836</v>
      </c>
      <c r="N2164">
        <v>16.5</v>
      </c>
      <c r="O2164">
        <v>0</v>
      </c>
      <c r="P2164" t="str">
        <f>IF(T[[#This Row],[qty_ordered]]&lt;&gt;T[[#This Row],[qty_received]],IF(T[[#This Row],[qty_received]]&gt;0,"Partial Received","Not Receviced"),"FullyReceived")</f>
        <v>Not Receviced</v>
      </c>
      <c r="Q2164" t="str">
        <f>IF(T[[#This Row],[qty_received]]&lt;&gt;T[[#This Row],[qty_invoiced]],IF(T[[#This Row],[qty_invoiced]]&gt;0,"Partial Invoiced","Not Invoiced"),"Fully Invoiced")</f>
        <v>Partial Invoiced</v>
      </c>
      <c r="R2164" t="str">
        <f>IFERROR(VLOOKUP(T[[#This Row],[warehouse]],Table2[],2,FALSE),"--")</f>
        <v>--</v>
      </c>
    </row>
    <row r="2165" spans="1:18" x14ac:dyDescent="0.25">
      <c r="A2165" t="s">
        <v>423</v>
      </c>
      <c r="B2165" s="1">
        <v>44546</v>
      </c>
      <c r="C2165" t="s">
        <v>1502</v>
      </c>
      <c r="D2165" t="s">
        <v>100</v>
      </c>
      <c r="E2165" t="s">
        <v>51</v>
      </c>
      <c r="F2165" t="s">
        <v>546</v>
      </c>
      <c r="G2165" t="s">
        <v>1504</v>
      </c>
      <c r="H2165" t="s">
        <v>54</v>
      </c>
      <c r="I2165">
        <v>10000</v>
      </c>
      <c r="J2165">
        <v>0</v>
      </c>
      <c r="K2165">
        <v>1</v>
      </c>
      <c r="L2165" t="s">
        <v>693</v>
      </c>
      <c r="M2165" t="s">
        <v>2836</v>
      </c>
      <c r="N2165">
        <v>16.5</v>
      </c>
      <c r="O2165">
        <v>0</v>
      </c>
      <c r="P2165" t="str">
        <f>IF(T[[#This Row],[qty_ordered]]&lt;&gt;T[[#This Row],[qty_received]],IF(T[[#This Row],[qty_received]]&gt;0,"Partial Received","Not Receviced"),"FullyReceived")</f>
        <v>Not Receviced</v>
      </c>
      <c r="Q2165" t="str">
        <f>IF(T[[#This Row],[qty_received]]&lt;&gt;T[[#This Row],[qty_invoiced]],IF(T[[#This Row],[qty_invoiced]]&gt;0,"Partial Invoiced","Not Invoiced"),"Fully Invoiced")</f>
        <v>Partial Invoiced</v>
      </c>
      <c r="R2165" t="str">
        <f>IFERROR(VLOOKUP(T[[#This Row],[warehouse]],Table2[],2,FALSE),"--")</f>
        <v>--</v>
      </c>
    </row>
    <row r="2166" spans="1:18" x14ac:dyDescent="0.25">
      <c r="A2166" t="s">
        <v>423</v>
      </c>
      <c r="B2166" s="1">
        <v>44546</v>
      </c>
      <c r="C2166" t="s">
        <v>1502</v>
      </c>
      <c r="D2166" t="s">
        <v>88</v>
      </c>
      <c r="E2166" t="s">
        <v>51</v>
      </c>
      <c r="F2166" t="s">
        <v>546</v>
      </c>
      <c r="G2166" t="s">
        <v>1505</v>
      </c>
      <c r="H2166" t="s">
        <v>54</v>
      </c>
      <c r="I2166">
        <v>10000</v>
      </c>
      <c r="J2166">
        <v>0</v>
      </c>
      <c r="K2166">
        <v>1</v>
      </c>
      <c r="L2166" t="s">
        <v>693</v>
      </c>
      <c r="M2166" t="s">
        <v>2836</v>
      </c>
      <c r="N2166">
        <v>16.5</v>
      </c>
      <c r="O2166">
        <v>0</v>
      </c>
      <c r="P2166" t="str">
        <f>IF(T[[#This Row],[qty_ordered]]&lt;&gt;T[[#This Row],[qty_received]],IF(T[[#This Row],[qty_received]]&gt;0,"Partial Received","Not Receviced"),"FullyReceived")</f>
        <v>Not Receviced</v>
      </c>
      <c r="Q2166" t="str">
        <f>IF(T[[#This Row],[qty_received]]&lt;&gt;T[[#This Row],[qty_invoiced]],IF(T[[#This Row],[qty_invoiced]]&gt;0,"Partial Invoiced","Not Invoiced"),"Fully Invoiced")</f>
        <v>Partial Invoiced</v>
      </c>
      <c r="R2166" t="str">
        <f>IFERROR(VLOOKUP(T[[#This Row],[warehouse]],Table2[],2,FALSE),"--")</f>
        <v>--</v>
      </c>
    </row>
    <row r="2167" spans="1:18" x14ac:dyDescent="0.25">
      <c r="A2167" t="s">
        <v>423</v>
      </c>
      <c r="B2167" s="1">
        <v>44546</v>
      </c>
      <c r="C2167" t="s">
        <v>1502</v>
      </c>
      <c r="D2167" t="s">
        <v>74</v>
      </c>
      <c r="E2167" t="s">
        <v>51</v>
      </c>
      <c r="F2167" t="s">
        <v>546</v>
      </c>
      <c r="G2167" t="s">
        <v>1506</v>
      </c>
      <c r="H2167" t="s">
        <v>54</v>
      </c>
      <c r="I2167">
        <v>10000</v>
      </c>
      <c r="J2167">
        <v>0</v>
      </c>
      <c r="K2167">
        <v>1</v>
      </c>
      <c r="L2167" t="s">
        <v>693</v>
      </c>
      <c r="M2167" t="s">
        <v>2836</v>
      </c>
      <c r="N2167">
        <v>16.5</v>
      </c>
      <c r="O2167">
        <v>0</v>
      </c>
      <c r="P2167" t="str">
        <f>IF(T[[#This Row],[qty_ordered]]&lt;&gt;T[[#This Row],[qty_received]],IF(T[[#This Row],[qty_received]]&gt;0,"Partial Received","Not Receviced"),"FullyReceived")</f>
        <v>Not Receviced</v>
      </c>
      <c r="Q2167" t="str">
        <f>IF(T[[#This Row],[qty_received]]&lt;&gt;T[[#This Row],[qty_invoiced]],IF(T[[#This Row],[qty_invoiced]]&gt;0,"Partial Invoiced","Not Invoiced"),"Fully Invoiced")</f>
        <v>Partial Invoiced</v>
      </c>
      <c r="R2167" t="str">
        <f>IFERROR(VLOOKUP(T[[#This Row],[warehouse]],Table2[],2,FALSE),"--")</f>
        <v>--</v>
      </c>
    </row>
    <row r="2168" spans="1:18" x14ac:dyDescent="0.25">
      <c r="A2168" t="s">
        <v>423</v>
      </c>
      <c r="B2168" s="1">
        <v>44546</v>
      </c>
      <c r="C2168" t="s">
        <v>1502</v>
      </c>
      <c r="D2168" t="s">
        <v>76</v>
      </c>
      <c r="E2168" t="s">
        <v>51</v>
      </c>
      <c r="F2168" t="s">
        <v>546</v>
      </c>
      <c r="G2168" t="s">
        <v>1507</v>
      </c>
      <c r="H2168" t="s">
        <v>54</v>
      </c>
      <c r="I2168">
        <v>10000</v>
      </c>
      <c r="J2168">
        <v>0</v>
      </c>
      <c r="K2168">
        <v>1</v>
      </c>
      <c r="L2168" t="s">
        <v>693</v>
      </c>
      <c r="M2168" t="s">
        <v>2836</v>
      </c>
      <c r="N2168">
        <v>16.5</v>
      </c>
      <c r="O2168">
        <v>0</v>
      </c>
      <c r="P2168" t="str">
        <f>IF(T[[#This Row],[qty_ordered]]&lt;&gt;T[[#This Row],[qty_received]],IF(T[[#This Row],[qty_received]]&gt;0,"Partial Received","Not Receviced"),"FullyReceived")</f>
        <v>Not Receviced</v>
      </c>
      <c r="Q2168" t="str">
        <f>IF(T[[#This Row],[qty_received]]&lt;&gt;T[[#This Row],[qty_invoiced]],IF(T[[#This Row],[qty_invoiced]]&gt;0,"Partial Invoiced","Not Invoiced"),"Fully Invoiced")</f>
        <v>Partial Invoiced</v>
      </c>
      <c r="R2168" t="str">
        <f>IFERROR(VLOOKUP(T[[#This Row],[warehouse]],Table2[],2,FALSE),"--")</f>
        <v>--</v>
      </c>
    </row>
    <row r="2169" spans="1:18" x14ac:dyDescent="0.25">
      <c r="A2169" t="s">
        <v>423</v>
      </c>
      <c r="B2169" s="1">
        <v>44546</v>
      </c>
      <c r="C2169" t="s">
        <v>1502</v>
      </c>
      <c r="D2169" t="s">
        <v>212</v>
      </c>
      <c r="E2169" t="s">
        <v>51</v>
      </c>
      <c r="F2169" t="s">
        <v>546</v>
      </c>
      <c r="G2169" t="s">
        <v>1508</v>
      </c>
      <c r="H2169" t="s">
        <v>54</v>
      </c>
      <c r="I2169">
        <v>5000</v>
      </c>
      <c r="J2169">
        <v>0</v>
      </c>
      <c r="K2169">
        <v>1</v>
      </c>
      <c r="L2169" t="s">
        <v>693</v>
      </c>
      <c r="M2169" t="s">
        <v>2836</v>
      </c>
      <c r="N2169">
        <v>16.5</v>
      </c>
      <c r="O2169">
        <v>0</v>
      </c>
      <c r="P2169" t="str">
        <f>IF(T[[#This Row],[qty_ordered]]&lt;&gt;T[[#This Row],[qty_received]],IF(T[[#This Row],[qty_received]]&gt;0,"Partial Received","Not Receviced"),"FullyReceived")</f>
        <v>Not Receviced</v>
      </c>
      <c r="Q2169" t="str">
        <f>IF(T[[#This Row],[qty_received]]&lt;&gt;T[[#This Row],[qty_invoiced]],IF(T[[#This Row],[qty_invoiced]]&gt;0,"Partial Invoiced","Not Invoiced"),"Fully Invoiced")</f>
        <v>Partial Invoiced</v>
      </c>
      <c r="R2169" t="str">
        <f>IFERROR(VLOOKUP(T[[#This Row],[warehouse]],Table2[],2,FALSE),"--")</f>
        <v>--</v>
      </c>
    </row>
    <row r="2170" spans="1:18" x14ac:dyDescent="0.25">
      <c r="A2170" t="s">
        <v>423</v>
      </c>
      <c r="B2170" s="1">
        <v>44546</v>
      </c>
      <c r="C2170" t="s">
        <v>1502</v>
      </c>
      <c r="D2170" t="s">
        <v>322</v>
      </c>
      <c r="E2170" t="s">
        <v>51</v>
      </c>
      <c r="F2170" t="s">
        <v>818</v>
      </c>
      <c r="G2170" t="s">
        <v>1509</v>
      </c>
      <c r="H2170" t="s">
        <v>54</v>
      </c>
      <c r="I2170">
        <v>30</v>
      </c>
      <c r="J2170">
        <v>0</v>
      </c>
      <c r="K2170">
        <v>1</v>
      </c>
      <c r="L2170" t="s">
        <v>693</v>
      </c>
      <c r="M2170" t="s">
        <v>2836</v>
      </c>
      <c r="N2170">
        <v>4000</v>
      </c>
      <c r="O2170">
        <v>0</v>
      </c>
      <c r="P2170" t="str">
        <f>IF(T[[#This Row],[qty_ordered]]&lt;&gt;T[[#This Row],[qty_received]],IF(T[[#This Row],[qty_received]]&gt;0,"Partial Received","Not Receviced"),"FullyReceived")</f>
        <v>Not Receviced</v>
      </c>
      <c r="Q2170" t="str">
        <f>IF(T[[#This Row],[qty_received]]&lt;&gt;T[[#This Row],[qty_invoiced]],IF(T[[#This Row],[qty_invoiced]]&gt;0,"Partial Invoiced","Not Invoiced"),"Fully Invoiced")</f>
        <v>Partial Invoiced</v>
      </c>
      <c r="R2170" t="str">
        <f>IFERROR(VLOOKUP(T[[#This Row],[warehouse]],Table2[],2,FALSE),"--")</f>
        <v>--</v>
      </c>
    </row>
    <row r="2171" spans="1:18" x14ac:dyDescent="0.25">
      <c r="A2171" t="s">
        <v>560</v>
      </c>
      <c r="B2171" s="1">
        <v>44251</v>
      </c>
      <c r="C2171" t="s">
        <v>1276</v>
      </c>
      <c r="D2171" t="s">
        <v>760</v>
      </c>
      <c r="E2171" t="s">
        <v>51</v>
      </c>
      <c r="F2171" t="s">
        <v>164</v>
      </c>
      <c r="G2171" t="s">
        <v>1510</v>
      </c>
      <c r="H2171" t="s">
        <v>54</v>
      </c>
      <c r="I2171">
        <v>30</v>
      </c>
      <c r="J2171">
        <v>0</v>
      </c>
      <c r="K2171">
        <v>1</v>
      </c>
      <c r="L2171" t="s">
        <v>25</v>
      </c>
      <c r="M2171" t="s">
        <v>533</v>
      </c>
      <c r="N2171">
        <v>4130.1666660000001</v>
      </c>
      <c r="O2171">
        <v>0</v>
      </c>
      <c r="P2171" t="str">
        <f>IF(T[[#This Row],[qty_ordered]]&lt;&gt;T[[#This Row],[qty_received]],IF(T[[#This Row],[qty_received]]&gt;0,"Partial Received","Not Receviced"),"FullyReceived")</f>
        <v>Not Receviced</v>
      </c>
      <c r="Q2171" t="str">
        <f>IF(T[[#This Row],[qty_received]]&lt;&gt;T[[#This Row],[qty_invoiced]],IF(T[[#This Row],[qty_invoiced]]&gt;0,"Partial Invoiced","Not Invoiced"),"Fully Invoiced")</f>
        <v>Partial Invoiced</v>
      </c>
      <c r="R2171" t="str">
        <f>IFERROR(VLOOKUP(T[[#This Row],[warehouse]],Table2[],2,FALSE),"--")</f>
        <v>--</v>
      </c>
    </row>
    <row r="2172" spans="1:18" x14ac:dyDescent="0.25">
      <c r="A2172" t="s">
        <v>985</v>
      </c>
      <c r="B2172" s="1">
        <v>44531</v>
      </c>
      <c r="C2172" t="s">
        <v>1489</v>
      </c>
      <c r="D2172" t="s">
        <v>74</v>
      </c>
      <c r="E2172" t="s">
        <v>51</v>
      </c>
      <c r="F2172" t="s">
        <v>183</v>
      </c>
      <c r="G2172" t="s">
        <v>1511</v>
      </c>
      <c r="H2172" t="s">
        <v>54</v>
      </c>
      <c r="I2172">
        <v>163</v>
      </c>
      <c r="J2172">
        <v>0</v>
      </c>
      <c r="K2172">
        <v>1</v>
      </c>
      <c r="L2172" t="s">
        <v>693</v>
      </c>
      <c r="M2172" t="s">
        <v>533</v>
      </c>
      <c r="N2172">
        <v>6000</v>
      </c>
      <c r="O2172">
        <v>0</v>
      </c>
      <c r="P2172" t="str">
        <f>IF(T[[#This Row],[qty_ordered]]&lt;&gt;T[[#This Row],[qty_received]],IF(T[[#This Row],[qty_received]]&gt;0,"Partial Received","Not Receviced"),"FullyReceived")</f>
        <v>Not Receviced</v>
      </c>
      <c r="Q2172" t="str">
        <f>IF(T[[#This Row],[qty_received]]&lt;&gt;T[[#This Row],[qty_invoiced]],IF(T[[#This Row],[qty_invoiced]]&gt;0,"Partial Invoiced","Not Invoiced"),"Fully Invoiced")</f>
        <v>Partial Invoiced</v>
      </c>
      <c r="R2172" t="str">
        <f>IFERROR(VLOOKUP(T[[#This Row],[warehouse]],Table2[],2,FALSE),"--")</f>
        <v>--</v>
      </c>
    </row>
    <row r="2173" spans="1:18" x14ac:dyDescent="0.25">
      <c r="A2173" t="s">
        <v>1512</v>
      </c>
      <c r="B2173" s="1">
        <v>44524</v>
      </c>
      <c r="C2173" t="s">
        <v>1513</v>
      </c>
      <c r="D2173" t="s">
        <v>71</v>
      </c>
      <c r="E2173" t="s">
        <v>51</v>
      </c>
      <c r="F2173" t="s">
        <v>183</v>
      </c>
      <c r="G2173" t="s">
        <v>1514</v>
      </c>
      <c r="H2173" t="s">
        <v>54</v>
      </c>
      <c r="I2173">
        <v>391.59</v>
      </c>
      <c r="J2173">
        <v>0</v>
      </c>
      <c r="K2173">
        <v>1</v>
      </c>
      <c r="L2173" t="s">
        <v>693</v>
      </c>
      <c r="M2173" t="s">
        <v>533</v>
      </c>
      <c r="N2173">
        <v>6000</v>
      </c>
      <c r="O2173">
        <v>0</v>
      </c>
      <c r="P2173" t="str">
        <f>IF(T[[#This Row],[qty_ordered]]&lt;&gt;T[[#This Row],[qty_received]],IF(T[[#This Row],[qty_received]]&gt;0,"Partial Received","Not Receviced"),"FullyReceived")</f>
        <v>Not Receviced</v>
      </c>
      <c r="Q2173" t="str">
        <f>IF(T[[#This Row],[qty_received]]&lt;&gt;T[[#This Row],[qty_invoiced]],IF(T[[#This Row],[qty_invoiced]]&gt;0,"Partial Invoiced","Not Invoiced"),"Fully Invoiced")</f>
        <v>Partial Invoiced</v>
      </c>
      <c r="R2173" t="str">
        <f>IFERROR(VLOOKUP(T[[#This Row],[warehouse]],Table2[],2,FALSE),"--")</f>
        <v>--</v>
      </c>
    </row>
    <row r="2174" spans="1:18" x14ac:dyDescent="0.25">
      <c r="A2174" t="s">
        <v>84</v>
      </c>
      <c r="B2174" s="1">
        <v>44559</v>
      </c>
      <c r="C2174" t="s">
        <v>1515</v>
      </c>
      <c r="D2174" t="s">
        <v>20</v>
      </c>
      <c r="E2174" t="s">
        <v>908</v>
      </c>
      <c r="F2174" t="s">
        <v>108</v>
      </c>
      <c r="G2174" t="s">
        <v>109</v>
      </c>
      <c r="H2174" t="s">
        <v>24</v>
      </c>
      <c r="I2174">
        <v>2000</v>
      </c>
      <c r="J2174">
        <v>1994.62</v>
      </c>
      <c r="K2174">
        <v>1994.62</v>
      </c>
      <c r="L2174" t="s">
        <v>25</v>
      </c>
      <c r="M2174" t="s">
        <v>1485</v>
      </c>
      <c r="N2174">
        <v>467250</v>
      </c>
      <c r="O2174">
        <v>931986195</v>
      </c>
      <c r="P2174" t="str">
        <f>IF(T[[#This Row],[qty_ordered]]&lt;&gt;T[[#This Row],[qty_received]],IF(T[[#This Row],[qty_received]]&gt;0,"Partial Received","Not Receviced"),"FullyReceived")</f>
        <v>Partial Received</v>
      </c>
      <c r="Q2174" t="str">
        <f>IF(T[[#This Row],[qty_received]]&lt;&gt;T[[#This Row],[qty_invoiced]],IF(T[[#This Row],[qty_invoiced]]&gt;0,"Partial Invoiced","Not Invoiced"),"Fully Invoiced")</f>
        <v>Fully Invoiced</v>
      </c>
      <c r="R2174" t="str">
        <f>IFERROR(VLOOKUP(T[[#This Row],[warehouse]],Table2[],2,FALSE),"--")</f>
        <v>SIFTER- ALNAZER-OMDU</v>
      </c>
    </row>
    <row r="2175" spans="1:18" x14ac:dyDescent="0.25">
      <c r="A2175" t="s">
        <v>985</v>
      </c>
      <c r="B2175" s="1">
        <v>44531</v>
      </c>
      <c r="C2175" t="s">
        <v>1489</v>
      </c>
      <c r="D2175" t="s">
        <v>76</v>
      </c>
      <c r="E2175" t="s">
        <v>51</v>
      </c>
      <c r="F2175" t="s">
        <v>183</v>
      </c>
      <c r="G2175" t="s">
        <v>1516</v>
      </c>
      <c r="H2175" t="s">
        <v>54</v>
      </c>
      <c r="I2175">
        <v>69.36</v>
      </c>
      <c r="J2175">
        <v>0</v>
      </c>
      <c r="K2175">
        <v>1</v>
      </c>
      <c r="L2175" t="s">
        <v>693</v>
      </c>
      <c r="M2175" t="s">
        <v>533</v>
      </c>
      <c r="N2175">
        <v>6000</v>
      </c>
      <c r="O2175">
        <v>0</v>
      </c>
      <c r="P2175" t="str">
        <f>IF(T[[#This Row],[qty_ordered]]&lt;&gt;T[[#This Row],[qty_received]],IF(T[[#This Row],[qty_received]]&gt;0,"Partial Received","Not Receviced"),"FullyReceived")</f>
        <v>Not Receviced</v>
      </c>
      <c r="Q2175" t="str">
        <f>IF(T[[#This Row],[qty_received]]&lt;&gt;T[[#This Row],[qty_invoiced]],IF(T[[#This Row],[qty_invoiced]]&gt;0,"Partial Invoiced","Not Invoiced"),"Fully Invoiced")</f>
        <v>Partial Invoiced</v>
      </c>
      <c r="R2175" t="str">
        <f>IFERROR(VLOOKUP(T[[#This Row],[warehouse]],Table2[],2,FALSE),"--")</f>
        <v>--</v>
      </c>
    </row>
    <row r="2176" spans="1:18" x14ac:dyDescent="0.25">
      <c r="A2176" t="s">
        <v>1512</v>
      </c>
      <c r="B2176" s="1">
        <v>44524</v>
      </c>
      <c r="C2176" t="s">
        <v>1513</v>
      </c>
      <c r="D2176" t="s">
        <v>100</v>
      </c>
      <c r="E2176" t="s">
        <v>51</v>
      </c>
      <c r="F2176" t="s">
        <v>278</v>
      </c>
      <c r="G2176" t="s">
        <v>1517</v>
      </c>
      <c r="H2176" t="s">
        <v>54</v>
      </c>
      <c r="I2176">
        <v>6340</v>
      </c>
      <c r="J2176">
        <v>0</v>
      </c>
      <c r="K2176">
        <v>1</v>
      </c>
      <c r="L2176" t="s">
        <v>693</v>
      </c>
      <c r="M2176" t="s">
        <v>533</v>
      </c>
      <c r="N2176">
        <v>50</v>
      </c>
      <c r="O2176">
        <v>0</v>
      </c>
      <c r="P2176" t="str">
        <f>IF(T[[#This Row],[qty_ordered]]&lt;&gt;T[[#This Row],[qty_received]],IF(T[[#This Row],[qty_received]]&gt;0,"Partial Received","Not Receviced"),"FullyReceived")</f>
        <v>Not Receviced</v>
      </c>
      <c r="Q2176" t="str">
        <f>IF(T[[#This Row],[qty_received]]&lt;&gt;T[[#This Row],[qty_invoiced]],IF(T[[#This Row],[qty_invoiced]]&gt;0,"Partial Invoiced","Not Invoiced"),"Fully Invoiced")</f>
        <v>Partial Invoiced</v>
      </c>
      <c r="R2176" t="str">
        <f>IFERROR(VLOOKUP(T[[#This Row],[warehouse]],Table2[],2,FALSE),"--")</f>
        <v>--</v>
      </c>
    </row>
    <row r="2177" spans="1:18" x14ac:dyDescent="0.25">
      <c r="A2177" t="s">
        <v>1114</v>
      </c>
      <c r="B2177" s="1">
        <v>44535</v>
      </c>
      <c r="C2177" t="s">
        <v>1518</v>
      </c>
      <c r="D2177" t="s">
        <v>100</v>
      </c>
      <c r="E2177" t="s">
        <v>660</v>
      </c>
      <c r="F2177" t="s">
        <v>1188</v>
      </c>
      <c r="G2177" t="s">
        <v>1189</v>
      </c>
      <c r="H2177" t="s">
        <v>1087</v>
      </c>
      <c r="I2177">
        <v>599</v>
      </c>
      <c r="J2177">
        <v>599</v>
      </c>
      <c r="K2177">
        <v>599</v>
      </c>
      <c r="L2177" t="s">
        <v>25</v>
      </c>
      <c r="M2177" t="s">
        <v>1485</v>
      </c>
      <c r="N2177">
        <v>149882.14000000001</v>
      </c>
      <c r="O2177">
        <v>228818000</v>
      </c>
      <c r="P2177" t="str">
        <f>IF(T[[#This Row],[qty_ordered]]&lt;&gt;T[[#This Row],[qty_received]],IF(T[[#This Row],[qty_received]]&gt;0,"Partial Received","Not Receviced"),"FullyReceived")</f>
        <v>FullyReceived</v>
      </c>
      <c r="Q2177" t="str">
        <f>IF(T[[#This Row],[qty_received]]&lt;&gt;T[[#This Row],[qty_invoiced]],IF(T[[#This Row],[qty_invoiced]]&gt;0,"Partial Invoiced","Not Invoiced"),"Fully Invoiced")</f>
        <v>Fully Invoiced</v>
      </c>
      <c r="R2177" t="str">
        <f>IFERROR(VLOOKUP(T[[#This Row],[warehouse]],Table2[],2,FALSE),"--")</f>
        <v>SLAUGHTER HOUSE</v>
      </c>
    </row>
    <row r="2178" spans="1:18" x14ac:dyDescent="0.25">
      <c r="A2178" t="s">
        <v>423</v>
      </c>
      <c r="B2178" s="1">
        <v>44546</v>
      </c>
      <c r="C2178" t="s">
        <v>1502</v>
      </c>
      <c r="D2178" t="s">
        <v>323</v>
      </c>
      <c r="E2178" t="s">
        <v>51</v>
      </c>
      <c r="F2178" t="s">
        <v>546</v>
      </c>
      <c r="G2178" t="s">
        <v>1519</v>
      </c>
      <c r="H2178" t="s">
        <v>54</v>
      </c>
      <c r="I2178">
        <v>10000</v>
      </c>
      <c r="J2178">
        <v>0</v>
      </c>
      <c r="K2178">
        <v>1</v>
      </c>
      <c r="L2178" t="s">
        <v>693</v>
      </c>
      <c r="M2178" t="s">
        <v>2836</v>
      </c>
      <c r="N2178">
        <v>15.5</v>
      </c>
      <c r="O2178">
        <v>0</v>
      </c>
      <c r="P2178" t="str">
        <f>IF(T[[#This Row],[qty_ordered]]&lt;&gt;T[[#This Row],[qty_received]],IF(T[[#This Row],[qty_received]]&gt;0,"Partial Received","Not Receviced"),"FullyReceived")</f>
        <v>Not Receviced</v>
      </c>
      <c r="Q2178" t="str">
        <f>IF(T[[#This Row],[qty_received]]&lt;&gt;T[[#This Row],[qty_invoiced]],IF(T[[#This Row],[qty_invoiced]]&gt;0,"Partial Invoiced","Not Invoiced"),"Fully Invoiced")</f>
        <v>Partial Invoiced</v>
      </c>
      <c r="R2178" t="str">
        <f>IFERROR(VLOOKUP(T[[#This Row],[warehouse]],Table2[],2,FALSE),"--")</f>
        <v>--</v>
      </c>
    </row>
    <row r="2179" spans="1:18" x14ac:dyDescent="0.25">
      <c r="A2179" t="s">
        <v>423</v>
      </c>
      <c r="B2179" s="1">
        <v>44546</v>
      </c>
      <c r="C2179" t="s">
        <v>1500</v>
      </c>
      <c r="D2179" t="s">
        <v>71</v>
      </c>
      <c r="E2179" t="s">
        <v>51</v>
      </c>
      <c r="F2179" t="s">
        <v>546</v>
      </c>
      <c r="G2179" t="s">
        <v>1520</v>
      </c>
      <c r="H2179" t="s">
        <v>54</v>
      </c>
      <c r="I2179">
        <v>10000</v>
      </c>
      <c r="J2179">
        <v>0</v>
      </c>
      <c r="K2179">
        <v>1</v>
      </c>
      <c r="L2179" t="s">
        <v>693</v>
      </c>
      <c r="M2179" t="s">
        <v>533</v>
      </c>
      <c r="N2179">
        <v>40</v>
      </c>
      <c r="O2179">
        <v>0</v>
      </c>
      <c r="P2179" t="str">
        <f>IF(T[[#This Row],[qty_ordered]]&lt;&gt;T[[#This Row],[qty_received]],IF(T[[#This Row],[qty_received]]&gt;0,"Partial Received","Not Receviced"),"FullyReceived")</f>
        <v>Not Receviced</v>
      </c>
      <c r="Q2179" t="str">
        <f>IF(T[[#This Row],[qty_received]]&lt;&gt;T[[#This Row],[qty_invoiced]],IF(T[[#This Row],[qty_invoiced]]&gt;0,"Partial Invoiced","Not Invoiced"),"Fully Invoiced")</f>
        <v>Partial Invoiced</v>
      </c>
      <c r="R2179" t="str">
        <f>IFERROR(VLOOKUP(T[[#This Row],[warehouse]],Table2[],2,FALSE),"--")</f>
        <v>--</v>
      </c>
    </row>
    <row r="2180" spans="1:18" x14ac:dyDescent="0.25">
      <c r="A2180" t="s">
        <v>144</v>
      </c>
      <c r="B2180" s="1">
        <v>44557</v>
      </c>
      <c r="C2180" t="s">
        <v>1521</v>
      </c>
      <c r="D2180" t="s">
        <v>71</v>
      </c>
      <c r="E2180" t="s">
        <v>1142</v>
      </c>
      <c r="F2180" t="s">
        <v>147</v>
      </c>
      <c r="G2180" t="s">
        <v>148</v>
      </c>
      <c r="H2180" t="s">
        <v>149</v>
      </c>
      <c r="I2180">
        <v>168000</v>
      </c>
      <c r="J2180">
        <v>158100</v>
      </c>
      <c r="K2180">
        <v>0</v>
      </c>
      <c r="L2180" t="s">
        <v>693</v>
      </c>
      <c r="M2180" t="s">
        <v>1404</v>
      </c>
      <c r="N2180">
        <v>35.905169999999998</v>
      </c>
      <c r="O2180">
        <v>5676607.3770000003</v>
      </c>
      <c r="P2180" t="str">
        <f>IF(T[[#This Row],[qty_ordered]]&lt;&gt;T[[#This Row],[qty_received]],IF(T[[#This Row],[qty_received]]&gt;0,"Partial Received","Not Receviced"),"FullyReceived")</f>
        <v>Partial Received</v>
      </c>
      <c r="Q2180" t="str">
        <f>IF(T[[#This Row],[qty_received]]&lt;&gt;T[[#This Row],[qty_invoiced]],IF(T[[#This Row],[qty_invoiced]]&gt;0,"Partial Invoiced","Not Invoiced"),"Fully Invoiced")</f>
        <v>Not Invoiced</v>
      </c>
      <c r="R2180" t="str">
        <f>IFERROR(VLOOKUP(T[[#This Row],[warehouse]],Table2[],2,FALSE),"--")</f>
        <v>SAVOLA W/H FOR EXPOR</v>
      </c>
    </row>
    <row r="2181" spans="1:18" x14ac:dyDescent="0.25">
      <c r="A2181" t="s">
        <v>560</v>
      </c>
      <c r="B2181" s="1">
        <v>44544</v>
      </c>
      <c r="C2181" t="s">
        <v>1522</v>
      </c>
      <c r="D2181" t="s">
        <v>71</v>
      </c>
      <c r="E2181" t="s">
        <v>51</v>
      </c>
      <c r="F2181" t="s">
        <v>164</v>
      </c>
      <c r="G2181" t="s">
        <v>1523</v>
      </c>
      <c r="H2181" t="s">
        <v>54</v>
      </c>
      <c r="I2181">
        <v>50.13</v>
      </c>
      <c r="J2181">
        <v>0</v>
      </c>
      <c r="K2181">
        <v>1</v>
      </c>
      <c r="L2181" t="s">
        <v>693</v>
      </c>
      <c r="M2181" t="s">
        <v>2836</v>
      </c>
      <c r="N2181">
        <v>4130.1615789999996</v>
      </c>
      <c r="O2181">
        <v>0</v>
      </c>
      <c r="P2181" t="str">
        <f>IF(T[[#This Row],[qty_ordered]]&lt;&gt;T[[#This Row],[qty_received]],IF(T[[#This Row],[qty_received]]&gt;0,"Partial Received","Not Receviced"),"FullyReceived")</f>
        <v>Not Receviced</v>
      </c>
      <c r="Q2181" t="str">
        <f>IF(T[[#This Row],[qty_received]]&lt;&gt;T[[#This Row],[qty_invoiced]],IF(T[[#This Row],[qty_invoiced]]&gt;0,"Partial Invoiced","Not Invoiced"),"Fully Invoiced")</f>
        <v>Partial Invoiced</v>
      </c>
      <c r="R2181" t="str">
        <f>IFERROR(VLOOKUP(T[[#This Row],[warehouse]],Table2[],2,FALSE),"--")</f>
        <v>--</v>
      </c>
    </row>
    <row r="2182" spans="1:18" x14ac:dyDescent="0.25">
      <c r="A2182" t="s">
        <v>560</v>
      </c>
      <c r="B2182" s="1">
        <v>44544</v>
      </c>
      <c r="C2182" t="s">
        <v>1522</v>
      </c>
      <c r="D2182" t="s">
        <v>100</v>
      </c>
      <c r="E2182" t="s">
        <v>51</v>
      </c>
      <c r="F2182" t="s">
        <v>164</v>
      </c>
      <c r="G2182" t="s">
        <v>1523</v>
      </c>
      <c r="H2182" t="s">
        <v>54</v>
      </c>
      <c r="I2182">
        <v>26</v>
      </c>
      <c r="J2182">
        <v>0</v>
      </c>
      <c r="K2182">
        <v>1</v>
      </c>
      <c r="L2182" t="s">
        <v>693</v>
      </c>
      <c r="M2182" t="s">
        <v>2836</v>
      </c>
      <c r="N2182">
        <v>4130.1538460000002</v>
      </c>
      <c r="O2182">
        <v>0</v>
      </c>
      <c r="P2182" t="str">
        <f>IF(T[[#This Row],[qty_ordered]]&lt;&gt;T[[#This Row],[qty_received]],IF(T[[#This Row],[qty_received]]&gt;0,"Partial Received","Not Receviced"),"FullyReceived")</f>
        <v>Not Receviced</v>
      </c>
      <c r="Q2182" t="str">
        <f>IF(T[[#This Row],[qty_received]]&lt;&gt;T[[#This Row],[qty_invoiced]],IF(T[[#This Row],[qty_invoiced]]&gt;0,"Partial Invoiced","Not Invoiced"),"Fully Invoiced")</f>
        <v>Partial Invoiced</v>
      </c>
      <c r="R2182" t="str">
        <f>IFERROR(VLOOKUP(T[[#This Row],[warehouse]],Table2[],2,FALSE),"--")</f>
        <v>--</v>
      </c>
    </row>
    <row r="2183" spans="1:18" x14ac:dyDescent="0.25">
      <c r="A2183" t="s">
        <v>560</v>
      </c>
      <c r="B2183" s="1">
        <v>44544</v>
      </c>
      <c r="C2183" t="s">
        <v>1522</v>
      </c>
      <c r="D2183" t="s">
        <v>88</v>
      </c>
      <c r="E2183" t="s">
        <v>51</v>
      </c>
      <c r="F2183" t="s">
        <v>164</v>
      </c>
      <c r="G2183" t="s">
        <v>1523</v>
      </c>
      <c r="H2183" t="s">
        <v>54</v>
      </c>
      <c r="I2183">
        <v>25</v>
      </c>
      <c r="J2183">
        <v>0</v>
      </c>
      <c r="K2183">
        <v>1</v>
      </c>
      <c r="L2183" t="s">
        <v>693</v>
      </c>
      <c r="M2183" t="s">
        <v>2836</v>
      </c>
      <c r="N2183">
        <v>4130.16</v>
      </c>
      <c r="O2183">
        <v>0</v>
      </c>
      <c r="P2183" t="str">
        <f>IF(T[[#This Row],[qty_ordered]]&lt;&gt;T[[#This Row],[qty_received]],IF(T[[#This Row],[qty_received]]&gt;0,"Partial Received","Not Receviced"),"FullyReceived")</f>
        <v>Not Receviced</v>
      </c>
      <c r="Q2183" t="str">
        <f>IF(T[[#This Row],[qty_received]]&lt;&gt;T[[#This Row],[qty_invoiced]],IF(T[[#This Row],[qty_invoiced]]&gt;0,"Partial Invoiced","Not Invoiced"),"Fully Invoiced")</f>
        <v>Partial Invoiced</v>
      </c>
      <c r="R2183" t="str">
        <f>IFERROR(VLOOKUP(T[[#This Row],[warehouse]],Table2[],2,FALSE),"--")</f>
        <v>--</v>
      </c>
    </row>
    <row r="2184" spans="1:18" x14ac:dyDescent="0.25">
      <c r="A2184" t="s">
        <v>560</v>
      </c>
      <c r="B2184" s="1">
        <v>44544</v>
      </c>
      <c r="C2184" t="s">
        <v>1524</v>
      </c>
      <c r="D2184" t="s">
        <v>76</v>
      </c>
      <c r="E2184" t="s">
        <v>51</v>
      </c>
      <c r="F2184" t="s">
        <v>164</v>
      </c>
      <c r="G2184" t="s">
        <v>1525</v>
      </c>
      <c r="H2184" t="s">
        <v>54</v>
      </c>
      <c r="I2184">
        <v>30.63</v>
      </c>
      <c r="J2184">
        <v>0</v>
      </c>
      <c r="K2184">
        <v>1</v>
      </c>
      <c r="L2184" t="s">
        <v>693</v>
      </c>
      <c r="M2184" t="s">
        <v>2836</v>
      </c>
      <c r="N2184">
        <v>4130.133855</v>
      </c>
      <c r="O2184">
        <v>0</v>
      </c>
      <c r="P2184" t="str">
        <f>IF(T[[#This Row],[qty_ordered]]&lt;&gt;T[[#This Row],[qty_received]],IF(T[[#This Row],[qty_received]]&gt;0,"Partial Received","Not Receviced"),"FullyReceived")</f>
        <v>Not Receviced</v>
      </c>
      <c r="Q2184" t="str">
        <f>IF(T[[#This Row],[qty_received]]&lt;&gt;T[[#This Row],[qty_invoiced]],IF(T[[#This Row],[qty_invoiced]]&gt;0,"Partial Invoiced","Not Invoiced"),"Fully Invoiced")</f>
        <v>Partial Invoiced</v>
      </c>
      <c r="R2184" t="str">
        <f>IFERROR(VLOOKUP(T[[#This Row],[warehouse]],Table2[],2,FALSE),"--")</f>
        <v>--</v>
      </c>
    </row>
    <row r="2185" spans="1:18" x14ac:dyDescent="0.25">
      <c r="A2185" t="s">
        <v>1475</v>
      </c>
      <c r="B2185" s="1">
        <v>44535</v>
      </c>
      <c r="C2185" t="s">
        <v>1526</v>
      </c>
      <c r="D2185" t="s">
        <v>71</v>
      </c>
      <c r="E2185" t="s">
        <v>51</v>
      </c>
      <c r="F2185" t="s">
        <v>674</v>
      </c>
      <c r="G2185" t="s">
        <v>1527</v>
      </c>
      <c r="H2185" t="s">
        <v>54</v>
      </c>
      <c r="I2185">
        <v>20389.419999999998</v>
      </c>
      <c r="J2185">
        <v>0</v>
      </c>
      <c r="K2185">
        <v>0</v>
      </c>
      <c r="L2185" t="s">
        <v>693</v>
      </c>
      <c r="M2185" t="s">
        <v>533</v>
      </c>
      <c r="N2185">
        <v>7500</v>
      </c>
      <c r="O2185">
        <v>0</v>
      </c>
      <c r="P2185" t="str">
        <f>IF(T[[#This Row],[qty_ordered]]&lt;&gt;T[[#This Row],[qty_received]],IF(T[[#This Row],[qty_received]]&gt;0,"Partial Received","Not Receviced"),"FullyReceived")</f>
        <v>Not Receviced</v>
      </c>
      <c r="Q2185" t="str">
        <f>IF(T[[#This Row],[qty_received]]&lt;&gt;T[[#This Row],[qty_invoiced]],IF(T[[#This Row],[qty_invoiced]]&gt;0,"Partial Invoiced","Not Invoiced"),"Fully Invoiced")</f>
        <v>Fully Invoiced</v>
      </c>
      <c r="R2185" t="str">
        <f>IFERROR(VLOOKUP(T[[#This Row],[warehouse]],Table2[],2,FALSE),"--")</f>
        <v>--</v>
      </c>
    </row>
    <row r="2186" spans="1:18" x14ac:dyDescent="0.25">
      <c r="A2186" t="s">
        <v>1475</v>
      </c>
      <c r="B2186" s="1">
        <v>44535</v>
      </c>
      <c r="C2186" t="s">
        <v>1526</v>
      </c>
      <c r="D2186" t="s">
        <v>100</v>
      </c>
      <c r="E2186" t="s">
        <v>51</v>
      </c>
      <c r="F2186" t="s">
        <v>278</v>
      </c>
      <c r="G2186" t="s">
        <v>1528</v>
      </c>
      <c r="H2186" t="s">
        <v>54</v>
      </c>
      <c r="I2186">
        <v>24540</v>
      </c>
      <c r="J2186">
        <v>0</v>
      </c>
      <c r="K2186">
        <v>0</v>
      </c>
      <c r="L2186" t="s">
        <v>693</v>
      </c>
      <c r="M2186" t="s">
        <v>533</v>
      </c>
      <c r="N2186">
        <v>100</v>
      </c>
      <c r="O2186">
        <v>0</v>
      </c>
      <c r="P2186" t="str">
        <f>IF(T[[#This Row],[qty_ordered]]&lt;&gt;T[[#This Row],[qty_received]],IF(T[[#This Row],[qty_received]]&gt;0,"Partial Received","Not Receviced"),"FullyReceived")</f>
        <v>Not Receviced</v>
      </c>
      <c r="Q2186" t="str">
        <f>IF(T[[#This Row],[qty_received]]&lt;&gt;T[[#This Row],[qty_invoiced]],IF(T[[#This Row],[qty_invoiced]]&gt;0,"Partial Invoiced","Not Invoiced"),"Fully Invoiced")</f>
        <v>Fully Invoiced</v>
      </c>
      <c r="R2186" t="str">
        <f>IFERROR(VLOOKUP(T[[#This Row],[warehouse]],Table2[],2,FALSE),"--")</f>
        <v>--</v>
      </c>
    </row>
    <row r="2187" spans="1:18" x14ac:dyDescent="0.25">
      <c r="A2187" t="s">
        <v>1475</v>
      </c>
      <c r="B2187" s="1">
        <v>44535</v>
      </c>
      <c r="C2187" t="s">
        <v>1526</v>
      </c>
      <c r="D2187" t="s">
        <v>88</v>
      </c>
      <c r="E2187" t="s">
        <v>51</v>
      </c>
      <c r="F2187" t="s">
        <v>278</v>
      </c>
      <c r="G2187" t="s">
        <v>1528</v>
      </c>
      <c r="H2187" t="s">
        <v>54</v>
      </c>
      <c r="I2187">
        <v>24540</v>
      </c>
      <c r="J2187">
        <v>0</v>
      </c>
      <c r="K2187">
        <v>0</v>
      </c>
      <c r="L2187" t="s">
        <v>693</v>
      </c>
      <c r="M2187" t="s">
        <v>533</v>
      </c>
      <c r="N2187">
        <v>300</v>
      </c>
      <c r="O2187">
        <v>0</v>
      </c>
      <c r="P2187" t="str">
        <f>IF(T[[#This Row],[qty_ordered]]&lt;&gt;T[[#This Row],[qty_received]],IF(T[[#This Row],[qty_received]]&gt;0,"Partial Received","Not Receviced"),"FullyReceived")</f>
        <v>Not Receviced</v>
      </c>
      <c r="Q2187" t="str">
        <f>IF(T[[#This Row],[qty_received]]&lt;&gt;T[[#This Row],[qty_invoiced]],IF(T[[#This Row],[qty_invoiced]]&gt;0,"Partial Invoiced","Not Invoiced"),"Fully Invoiced")</f>
        <v>Fully Invoiced</v>
      </c>
      <c r="R2187" t="str">
        <f>IFERROR(VLOOKUP(T[[#This Row],[warehouse]],Table2[],2,FALSE),"--")</f>
        <v>--</v>
      </c>
    </row>
    <row r="2188" spans="1:18" x14ac:dyDescent="0.25">
      <c r="A2188" t="s">
        <v>1475</v>
      </c>
      <c r="B2188" s="1">
        <v>44535</v>
      </c>
      <c r="C2188" t="s">
        <v>1526</v>
      </c>
      <c r="D2188" t="s">
        <v>74</v>
      </c>
      <c r="E2188" t="s">
        <v>51</v>
      </c>
      <c r="F2188" t="s">
        <v>384</v>
      </c>
      <c r="G2188" t="s">
        <v>1529</v>
      </c>
      <c r="H2188" t="s">
        <v>54</v>
      </c>
      <c r="I2188">
        <v>3446</v>
      </c>
      <c r="J2188">
        <v>0</v>
      </c>
      <c r="K2188">
        <v>0</v>
      </c>
      <c r="L2188" t="s">
        <v>693</v>
      </c>
      <c r="M2188" t="s">
        <v>533</v>
      </c>
      <c r="N2188">
        <v>99.245502000000002</v>
      </c>
      <c r="O2188">
        <v>0</v>
      </c>
      <c r="P2188" t="str">
        <f>IF(T[[#This Row],[qty_ordered]]&lt;&gt;T[[#This Row],[qty_received]],IF(T[[#This Row],[qty_received]]&gt;0,"Partial Received","Not Receviced"),"FullyReceived")</f>
        <v>Not Receviced</v>
      </c>
      <c r="Q2188" t="str">
        <f>IF(T[[#This Row],[qty_received]]&lt;&gt;T[[#This Row],[qty_invoiced]],IF(T[[#This Row],[qty_invoiced]]&gt;0,"Partial Invoiced","Not Invoiced"),"Fully Invoiced")</f>
        <v>Fully Invoiced</v>
      </c>
      <c r="R2188" t="str">
        <f>IFERROR(VLOOKUP(T[[#This Row],[warehouse]],Table2[],2,FALSE),"--")</f>
        <v>--</v>
      </c>
    </row>
    <row r="2189" spans="1:18" x14ac:dyDescent="0.25">
      <c r="A2189" t="s">
        <v>1475</v>
      </c>
      <c r="B2189" s="1">
        <v>44535</v>
      </c>
      <c r="C2189" t="s">
        <v>1526</v>
      </c>
      <c r="D2189" t="s">
        <v>76</v>
      </c>
      <c r="E2189" t="s">
        <v>51</v>
      </c>
      <c r="F2189" t="s">
        <v>793</v>
      </c>
      <c r="G2189" t="s">
        <v>1530</v>
      </c>
      <c r="H2189" t="s">
        <v>54</v>
      </c>
      <c r="I2189">
        <v>77</v>
      </c>
      <c r="J2189">
        <v>0</v>
      </c>
      <c r="K2189">
        <v>0</v>
      </c>
      <c r="L2189" t="s">
        <v>693</v>
      </c>
      <c r="M2189" t="s">
        <v>533</v>
      </c>
      <c r="N2189">
        <v>600</v>
      </c>
      <c r="O2189">
        <v>0</v>
      </c>
      <c r="P2189" t="str">
        <f>IF(T[[#This Row],[qty_ordered]]&lt;&gt;T[[#This Row],[qty_received]],IF(T[[#This Row],[qty_received]]&gt;0,"Partial Received","Not Receviced"),"FullyReceived")</f>
        <v>Not Receviced</v>
      </c>
      <c r="Q2189" t="str">
        <f>IF(T[[#This Row],[qty_received]]&lt;&gt;T[[#This Row],[qty_invoiced]],IF(T[[#This Row],[qty_invoiced]]&gt;0,"Partial Invoiced","Not Invoiced"),"Fully Invoiced")</f>
        <v>Fully Invoiced</v>
      </c>
      <c r="R2189" t="str">
        <f>IFERROR(VLOOKUP(T[[#This Row],[warehouse]],Table2[],2,FALSE),"--")</f>
        <v>--</v>
      </c>
    </row>
    <row r="2190" spans="1:18" x14ac:dyDescent="0.25">
      <c r="A2190" t="s">
        <v>1475</v>
      </c>
      <c r="B2190" s="1">
        <v>44535</v>
      </c>
      <c r="C2190" t="s">
        <v>1526</v>
      </c>
      <c r="D2190" t="s">
        <v>212</v>
      </c>
      <c r="E2190" t="s">
        <v>51</v>
      </c>
      <c r="F2190" t="s">
        <v>793</v>
      </c>
      <c r="G2190" t="s">
        <v>1530</v>
      </c>
      <c r="H2190" t="s">
        <v>54</v>
      </c>
      <c r="I2190">
        <v>668</v>
      </c>
      <c r="J2190">
        <v>0</v>
      </c>
      <c r="K2190">
        <v>0</v>
      </c>
      <c r="L2190" t="s">
        <v>693</v>
      </c>
      <c r="M2190" t="s">
        <v>533</v>
      </c>
      <c r="N2190">
        <v>400</v>
      </c>
      <c r="O2190">
        <v>0</v>
      </c>
      <c r="P2190" t="str">
        <f>IF(T[[#This Row],[qty_ordered]]&lt;&gt;T[[#This Row],[qty_received]],IF(T[[#This Row],[qty_received]]&gt;0,"Partial Received","Not Receviced"),"FullyReceived")</f>
        <v>Not Receviced</v>
      </c>
      <c r="Q2190" t="str">
        <f>IF(T[[#This Row],[qty_received]]&lt;&gt;T[[#This Row],[qty_invoiced]],IF(T[[#This Row],[qty_invoiced]]&gt;0,"Partial Invoiced","Not Invoiced"),"Fully Invoiced")</f>
        <v>Fully Invoiced</v>
      </c>
      <c r="R2190" t="str">
        <f>IFERROR(VLOOKUP(T[[#This Row],[warehouse]],Table2[],2,FALSE),"--")</f>
        <v>--</v>
      </c>
    </row>
    <row r="2191" spans="1:18" x14ac:dyDescent="0.25">
      <c r="A2191" t="s">
        <v>144</v>
      </c>
      <c r="B2191" s="1">
        <v>44557</v>
      </c>
      <c r="C2191" t="s">
        <v>1521</v>
      </c>
      <c r="D2191" t="s">
        <v>20</v>
      </c>
      <c r="E2191" t="s">
        <v>1142</v>
      </c>
      <c r="F2191" t="s">
        <v>151</v>
      </c>
      <c r="G2191" t="s">
        <v>152</v>
      </c>
      <c r="H2191" t="s">
        <v>149</v>
      </c>
      <c r="I2191">
        <v>60000</v>
      </c>
      <c r="J2191">
        <v>48000</v>
      </c>
      <c r="K2191">
        <v>0</v>
      </c>
      <c r="L2191" t="s">
        <v>693</v>
      </c>
      <c r="M2191" t="s">
        <v>1404</v>
      </c>
      <c r="N2191">
        <v>35.905169999999998</v>
      </c>
      <c r="O2191">
        <v>1723448.16</v>
      </c>
      <c r="P2191" t="str">
        <f>IF(T[[#This Row],[qty_ordered]]&lt;&gt;T[[#This Row],[qty_received]],IF(T[[#This Row],[qty_received]]&gt;0,"Partial Received","Not Receviced"),"FullyReceived")</f>
        <v>Partial Received</v>
      </c>
      <c r="Q2191" t="str">
        <f>IF(T[[#This Row],[qty_received]]&lt;&gt;T[[#This Row],[qty_invoiced]],IF(T[[#This Row],[qty_invoiced]]&gt;0,"Partial Invoiced","Not Invoiced"),"Fully Invoiced")</f>
        <v>Not Invoiced</v>
      </c>
      <c r="R2191" t="str">
        <f>IFERROR(VLOOKUP(T[[#This Row],[warehouse]],Table2[],2,FALSE),"--")</f>
        <v>SAVOLA W/H FOR EXPOR</v>
      </c>
    </row>
    <row r="2192" spans="1:18" x14ac:dyDescent="0.25">
      <c r="A2192" t="s">
        <v>560</v>
      </c>
      <c r="B2192" s="1">
        <v>44544</v>
      </c>
      <c r="C2192" t="s">
        <v>1524</v>
      </c>
      <c r="D2192" t="s">
        <v>212</v>
      </c>
      <c r="E2192" t="s">
        <v>51</v>
      </c>
      <c r="F2192" t="s">
        <v>164</v>
      </c>
      <c r="G2192" t="s">
        <v>1525</v>
      </c>
      <c r="H2192" t="s">
        <v>54</v>
      </c>
      <c r="I2192">
        <v>33.130000000000003</v>
      </c>
      <c r="J2192">
        <v>0</v>
      </c>
      <c r="K2192">
        <v>1</v>
      </c>
      <c r="L2192" t="s">
        <v>693</v>
      </c>
      <c r="M2192" t="s">
        <v>2836</v>
      </c>
      <c r="N2192">
        <v>4130.1539389999998</v>
      </c>
      <c r="O2192">
        <v>0</v>
      </c>
      <c r="P2192" t="str">
        <f>IF(T[[#This Row],[qty_ordered]]&lt;&gt;T[[#This Row],[qty_received]],IF(T[[#This Row],[qty_received]]&gt;0,"Partial Received","Not Receviced"),"FullyReceived")</f>
        <v>Not Receviced</v>
      </c>
      <c r="Q2192" t="str">
        <f>IF(T[[#This Row],[qty_received]]&lt;&gt;T[[#This Row],[qty_invoiced]],IF(T[[#This Row],[qty_invoiced]]&gt;0,"Partial Invoiced","Not Invoiced"),"Fully Invoiced")</f>
        <v>Partial Invoiced</v>
      </c>
      <c r="R2192" t="str">
        <f>IFERROR(VLOOKUP(T[[#This Row],[warehouse]],Table2[],2,FALSE),"--")</f>
        <v>--</v>
      </c>
    </row>
    <row r="2193" spans="1:18" x14ac:dyDescent="0.25">
      <c r="A2193" t="s">
        <v>560</v>
      </c>
      <c r="B2193" s="1">
        <v>44544</v>
      </c>
      <c r="C2193" t="s">
        <v>1524</v>
      </c>
      <c r="D2193" t="s">
        <v>322</v>
      </c>
      <c r="E2193" t="s">
        <v>51</v>
      </c>
      <c r="F2193" t="s">
        <v>164</v>
      </c>
      <c r="G2193" t="s">
        <v>1525</v>
      </c>
      <c r="H2193" t="s">
        <v>54</v>
      </c>
      <c r="I2193">
        <v>40.51</v>
      </c>
      <c r="J2193">
        <v>0</v>
      </c>
      <c r="K2193">
        <v>1</v>
      </c>
      <c r="L2193" t="s">
        <v>693</v>
      </c>
      <c r="M2193" t="s">
        <v>2836</v>
      </c>
      <c r="N2193">
        <v>4130.1407049999998</v>
      </c>
      <c r="O2193">
        <v>0</v>
      </c>
      <c r="P2193" t="str">
        <f>IF(T[[#This Row],[qty_ordered]]&lt;&gt;T[[#This Row],[qty_received]],IF(T[[#This Row],[qty_received]]&gt;0,"Partial Received","Not Receviced"),"FullyReceived")</f>
        <v>Not Receviced</v>
      </c>
      <c r="Q2193" t="str">
        <f>IF(T[[#This Row],[qty_received]]&lt;&gt;T[[#This Row],[qty_invoiced]],IF(T[[#This Row],[qty_invoiced]]&gt;0,"Partial Invoiced","Not Invoiced"),"Fully Invoiced")</f>
        <v>Partial Invoiced</v>
      </c>
      <c r="R2193" t="str">
        <f>IFERROR(VLOOKUP(T[[#This Row],[warehouse]],Table2[],2,FALSE),"--")</f>
        <v>--</v>
      </c>
    </row>
    <row r="2194" spans="1:18" x14ac:dyDescent="0.25">
      <c r="A2194" t="s">
        <v>560</v>
      </c>
      <c r="B2194" s="1">
        <v>44544</v>
      </c>
      <c r="C2194" t="s">
        <v>1524</v>
      </c>
      <c r="D2194" t="s">
        <v>323</v>
      </c>
      <c r="E2194" t="s">
        <v>51</v>
      </c>
      <c r="F2194" t="s">
        <v>164</v>
      </c>
      <c r="G2194" t="s">
        <v>1525</v>
      </c>
      <c r="H2194" t="s">
        <v>54</v>
      </c>
      <c r="I2194">
        <v>26.25</v>
      </c>
      <c r="J2194">
        <v>0</v>
      </c>
      <c r="K2194">
        <v>1</v>
      </c>
      <c r="L2194" t="s">
        <v>693</v>
      </c>
      <c r="M2194" t="s">
        <v>2836</v>
      </c>
      <c r="N2194">
        <v>4130.171429</v>
      </c>
      <c r="O2194">
        <v>0</v>
      </c>
      <c r="P2194" t="str">
        <f>IF(T[[#This Row],[qty_ordered]]&lt;&gt;T[[#This Row],[qty_received]],IF(T[[#This Row],[qty_received]]&gt;0,"Partial Received","Not Receviced"),"FullyReceived")</f>
        <v>Not Receviced</v>
      </c>
      <c r="Q2194" t="str">
        <f>IF(T[[#This Row],[qty_received]]&lt;&gt;T[[#This Row],[qty_invoiced]],IF(T[[#This Row],[qty_invoiced]]&gt;0,"Partial Invoiced","Not Invoiced"),"Fully Invoiced")</f>
        <v>Partial Invoiced</v>
      </c>
      <c r="R2194" t="str">
        <f>IFERROR(VLOOKUP(T[[#This Row],[warehouse]],Table2[],2,FALSE),"--")</f>
        <v>--</v>
      </c>
    </row>
    <row r="2195" spans="1:18" x14ac:dyDescent="0.25">
      <c r="A2195" t="s">
        <v>560</v>
      </c>
      <c r="B2195" s="1">
        <v>44544</v>
      </c>
      <c r="C2195" t="s">
        <v>1524</v>
      </c>
      <c r="D2195" t="s">
        <v>324</v>
      </c>
      <c r="E2195" t="s">
        <v>51</v>
      </c>
      <c r="F2195" t="s">
        <v>164</v>
      </c>
      <c r="G2195" t="s">
        <v>1525</v>
      </c>
      <c r="H2195" t="s">
        <v>54</v>
      </c>
      <c r="I2195">
        <v>26</v>
      </c>
      <c r="J2195">
        <v>0</v>
      </c>
      <c r="K2195">
        <v>1</v>
      </c>
      <c r="L2195" t="s">
        <v>693</v>
      </c>
      <c r="M2195" t="s">
        <v>2836</v>
      </c>
      <c r="N2195">
        <v>4130.1538460000002</v>
      </c>
      <c r="O2195">
        <v>0</v>
      </c>
      <c r="P2195" t="str">
        <f>IF(T[[#This Row],[qty_ordered]]&lt;&gt;T[[#This Row],[qty_received]],IF(T[[#This Row],[qty_received]]&gt;0,"Partial Received","Not Receviced"),"FullyReceived")</f>
        <v>Not Receviced</v>
      </c>
      <c r="Q2195" t="str">
        <f>IF(T[[#This Row],[qty_received]]&lt;&gt;T[[#This Row],[qty_invoiced]],IF(T[[#This Row],[qty_invoiced]]&gt;0,"Partial Invoiced","Not Invoiced"),"Fully Invoiced")</f>
        <v>Partial Invoiced</v>
      </c>
      <c r="R2195" t="str">
        <f>IFERROR(VLOOKUP(T[[#This Row],[warehouse]],Table2[],2,FALSE),"--")</f>
        <v>--</v>
      </c>
    </row>
    <row r="2196" spans="1:18" x14ac:dyDescent="0.25">
      <c r="A2196" t="s">
        <v>560</v>
      </c>
      <c r="B2196" s="1">
        <v>44572</v>
      </c>
      <c r="C2196" t="s">
        <v>1531</v>
      </c>
      <c r="D2196" t="s">
        <v>20</v>
      </c>
      <c r="E2196" t="s">
        <v>51</v>
      </c>
      <c r="F2196" t="s">
        <v>164</v>
      </c>
      <c r="G2196" t="s">
        <v>1532</v>
      </c>
      <c r="H2196" t="s">
        <v>54</v>
      </c>
      <c r="I2196">
        <v>4</v>
      </c>
      <c r="J2196">
        <v>0</v>
      </c>
      <c r="K2196">
        <v>1</v>
      </c>
      <c r="L2196" t="s">
        <v>693</v>
      </c>
      <c r="M2196" t="s">
        <v>533</v>
      </c>
      <c r="N2196">
        <v>4130.25</v>
      </c>
      <c r="O2196">
        <v>0</v>
      </c>
      <c r="P2196" t="str">
        <f>IF(T[[#This Row],[qty_ordered]]&lt;&gt;T[[#This Row],[qty_received]],IF(T[[#This Row],[qty_received]]&gt;0,"Partial Received","Not Receviced"),"FullyReceived")</f>
        <v>Not Receviced</v>
      </c>
      <c r="Q2196" t="str">
        <f>IF(T[[#This Row],[qty_received]]&lt;&gt;T[[#This Row],[qty_invoiced]],IF(T[[#This Row],[qty_invoiced]]&gt;0,"Partial Invoiced","Not Invoiced"),"Fully Invoiced")</f>
        <v>Partial Invoiced</v>
      </c>
      <c r="R2196" t="str">
        <f>IFERROR(VLOOKUP(T[[#This Row],[warehouse]],Table2[],2,FALSE),"--")</f>
        <v>--</v>
      </c>
    </row>
    <row r="2197" spans="1:18" x14ac:dyDescent="0.25">
      <c r="A2197" t="s">
        <v>235</v>
      </c>
      <c r="B2197" s="1">
        <v>44160</v>
      </c>
      <c r="C2197" t="s">
        <v>998</v>
      </c>
      <c r="D2197" t="s">
        <v>322</v>
      </c>
      <c r="E2197" t="s">
        <v>51</v>
      </c>
      <c r="F2197" t="s">
        <v>546</v>
      </c>
      <c r="G2197" t="s">
        <v>1151</v>
      </c>
      <c r="H2197" t="s">
        <v>54</v>
      </c>
      <c r="I2197">
        <v>10000</v>
      </c>
      <c r="J2197">
        <v>0</v>
      </c>
      <c r="K2197">
        <v>1</v>
      </c>
      <c r="L2197" t="s">
        <v>25</v>
      </c>
      <c r="M2197" t="s">
        <v>2836</v>
      </c>
      <c r="N2197">
        <v>7.25</v>
      </c>
      <c r="O2197">
        <v>0</v>
      </c>
      <c r="P2197" t="str">
        <f>IF(T[[#This Row],[qty_ordered]]&lt;&gt;T[[#This Row],[qty_received]],IF(T[[#This Row],[qty_received]]&gt;0,"Partial Received","Not Receviced"),"FullyReceived")</f>
        <v>Not Receviced</v>
      </c>
      <c r="Q2197" t="str">
        <f>IF(T[[#This Row],[qty_received]]&lt;&gt;T[[#This Row],[qty_invoiced]],IF(T[[#This Row],[qty_invoiced]]&gt;0,"Partial Invoiced","Not Invoiced"),"Fully Invoiced")</f>
        <v>Partial Invoiced</v>
      </c>
      <c r="R2197" t="str">
        <f>IFERROR(VLOOKUP(T[[#This Row],[warehouse]],Table2[],2,FALSE),"--")</f>
        <v>--</v>
      </c>
    </row>
    <row r="2198" spans="1:18" x14ac:dyDescent="0.25">
      <c r="A2198" t="s">
        <v>144</v>
      </c>
      <c r="B2198" s="1">
        <v>44234</v>
      </c>
      <c r="C2198" t="s">
        <v>1533</v>
      </c>
      <c r="D2198" t="s">
        <v>20</v>
      </c>
      <c r="E2198" t="s">
        <v>1142</v>
      </c>
      <c r="F2198" t="s">
        <v>147</v>
      </c>
      <c r="G2198" t="s">
        <v>148</v>
      </c>
      <c r="H2198" t="s">
        <v>149</v>
      </c>
      <c r="I2198">
        <v>66000</v>
      </c>
      <c r="J2198">
        <v>58200</v>
      </c>
      <c r="K2198">
        <v>58200</v>
      </c>
      <c r="L2198" t="s">
        <v>25</v>
      </c>
      <c r="M2198" t="s">
        <v>744</v>
      </c>
      <c r="N2198">
        <v>28.44</v>
      </c>
      <c r="O2198">
        <v>1655208</v>
      </c>
      <c r="P2198" t="str">
        <f>IF(T[[#This Row],[qty_ordered]]&lt;&gt;T[[#This Row],[qty_received]],IF(T[[#This Row],[qty_received]]&gt;0,"Partial Received","Not Receviced"),"FullyReceived")</f>
        <v>Partial Received</v>
      </c>
      <c r="Q2198" t="str">
        <f>IF(T[[#This Row],[qty_received]]&lt;&gt;T[[#This Row],[qty_invoiced]],IF(T[[#This Row],[qty_invoiced]]&gt;0,"Partial Invoiced","Not Invoiced"),"Fully Invoiced")</f>
        <v>Fully Invoiced</v>
      </c>
      <c r="R2198" t="str">
        <f>IFERROR(VLOOKUP(T[[#This Row],[warehouse]],Table2[],2,FALSE),"--")</f>
        <v>SAVOLA W/H FOR EXPOR</v>
      </c>
    </row>
    <row r="2199" spans="1:18" x14ac:dyDescent="0.25">
      <c r="A2199" t="s">
        <v>144</v>
      </c>
      <c r="B2199" s="1">
        <v>44234</v>
      </c>
      <c r="C2199" t="s">
        <v>1533</v>
      </c>
      <c r="D2199" t="s">
        <v>71</v>
      </c>
      <c r="E2199" t="s">
        <v>1142</v>
      </c>
      <c r="F2199" t="s">
        <v>151</v>
      </c>
      <c r="G2199" t="s">
        <v>152</v>
      </c>
      <c r="H2199" t="s">
        <v>149</v>
      </c>
      <c r="I2199">
        <v>54000</v>
      </c>
      <c r="J2199">
        <v>54000</v>
      </c>
      <c r="K2199">
        <v>54000</v>
      </c>
      <c r="L2199" t="s">
        <v>25</v>
      </c>
      <c r="M2199" t="s">
        <v>744</v>
      </c>
      <c r="N2199">
        <v>36.124560000000002</v>
      </c>
      <c r="O2199">
        <v>1581867.36</v>
      </c>
      <c r="P2199" t="str">
        <f>IF(T[[#This Row],[qty_ordered]]&lt;&gt;T[[#This Row],[qty_received]],IF(T[[#This Row],[qty_received]]&gt;0,"Partial Received","Not Receviced"),"FullyReceived")</f>
        <v>FullyReceived</v>
      </c>
      <c r="Q2199" t="str">
        <f>IF(T[[#This Row],[qty_received]]&lt;&gt;T[[#This Row],[qty_invoiced]],IF(T[[#This Row],[qty_invoiced]]&gt;0,"Partial Invoiced","Not Invoiced"),"Fully Invoiced")</f>
        <v>Fully Invoiced</v>
      </c>
      <c r="R2199" t="str">
        <f>IFERROR(VLOOKUP(T[[#This Row],[warehouse]],Table2[],2,FALSE),"--")</f>
        <v>SAVOLA W/H FOR EXPOR</v>
      </c>
    </row>
    <row r="2200" spans="1:18" x14ac:dyDescent="0.25">
      <c r="A2200" t="s">
        <v>1146</v>
      </c>
      <c r="B2200" s="1">
        <v>44202</v>
      </c>
      <c r="C2200" t="s">
        <v>1147</v>
      </c>
      <c r="D2200" t="s">
        <v>100</v>
      </c>
      <c r="E2200" t="s">
        <v>629</v>
      </c>
      <c r="F2200" t="s">
        <v>287</v>
      </c>
      <c r="G2200" t="s">
        <v>288</v>
      </c>
      <c r="H2200" t="s">
        <v>24</v>
      </c>
      <c r="I2200">
        <v>634</v>
      </c>
      <c r="J2200">
        <v>0</v>
      </c>
      <c r="K2200">
        <v>0</v>
      </c>
      <c r="L2200" t="s">
        <v>25</v>
      </c>
      <c r="M2200" t="s">
        <v>132</v>
      </c>
      <c r="N2200">
        <v>347003.15457399999</v>
      </c>
      <c r="O2200">
        <v>0</v>
      </c>
      <c r="P2200" t="str">
        <f>IF(T[[#This Row],[qty_ordered]]&lt;&gt;T[[#This Row],[qty_received]],IF(T[[#This Row],[qty_received]]&gt;0,"Partial Received","Not Receviced"),"FullyReceived")</f>
        <v>Not Receviced</v>
      </c>
      <c r="Q2200" t="str">
        <f>IF(T[[#This Row],[qty_received]]&lt;&gt;T[[#This Row],[qty_invoiced]],IF(T[[#This Row],[qty_invoiced]]&gt;0,"Partial Invoiced","Not Invoiced"),"Fully Invoiced")</f>
        <v>Fully Invoiced</v>
      </c>
      <c r="R2200" t="str">
        <f>IFERROR(VLOOKUP(T[[#This Row],[warehouse]],Table2[],2,FALSE),"--")</f>
        <v>SOPC Sifting &amp; Sorting</v>
      </c>
    </row>
    <row r="2201" spans="1:18" x14ac:dyDescent="0.25">
      <c r="A2201" t="s">
        <v>1114</v>
      </c>
      <c r="B2201" s="1">
        <v>44557</v>
      </c>
      <c r="C2201" t="s">
        <v>1534</v>
      </c>
      <c r="D2201" t="s">
        <v>20</v>
      </c>
      <c r="E2201" t="s">
        <v>660</v>
      </c>
      <c r="F2201" t="s">
        <v>1451</v>
      </c>
      <c r="G2201" t="s">
        <v>1452</v>
      </c>
      <c r="H2201" t="s">
        <v>1087</v>
      </c>
      <c r="I2201">
        <v>123</v>
      </c>
      <c r="J2201">
        <v>123</v>
      </c>
      <c r="K2201">
        <v>123</v>
      </c>
      <c r="L2201" t="s">
        <v>25</v>
      </c>
      <c r="M2201" t="s">
        <v>1485</v>
      </c>
      <c r="N2201">
        <v>29756.097559999998</v>
      </c>
      <c r="O2201">
        <v>3659999.99988</v>
      </c>
      <c r="P2201" t="str">
        <f>IF(T[[#This Row],[qty_ordered]]&lt;&gt;T[[#This Row],[qty_received]],IF(T[[#This Row],[qty_received]]&gt;0,"Partial Received","Not Receviced"),"FullyReceived")</f>
        <v>FullyReceived</v>
      </c>
      <c r="Q2201" t="str">
        <f>IF(T[[#This Row],[qty_received]]&lt;&gt;T[[#This Row],[qty_invoiced]],IF(T[[#This Row],[qty_invoiced]]&gt;0,"Partial Invoiced","Not Invoiced"),"Fully Invoiced")</f>
        <v>Fully Invoiced</v>
      </c>
      <c r="R2201" t="str">
        <f>IFERROR(VLOOKUP(T[[#This Row],[warehouse]],Table2[],2,FALSE),"--")</f>
        <v>SLAUGHTER HOUSE</v>
      </c>
    </row>
    <row r="2202" spans="1:18" x14ac:dyDescent="0.25">
      <c r="A2202" t="s">
        <v>1114</v>
      </c>
      <c r="B2202" s="1">
        <v>44557</v>
      </c>
      <c r="C2202" t="s">
        <v>1534</v>
      </c>
      <c r="D2202" t="s">
        <v>71</v>
      </c>
      <c r="E2202" t="s">
        <v>660</v>
      </c>
      <c r="F2202" t="s">
        <v>1451</v>
      </c>
      <c r="G2202" t="s">
        <v>1452</v>
      </c>
      <c r="H2202" t="s">
        <v>1087</v>
      </c>
      <c r="I2202">
        <v>139</v>
      </c>
      <c r="J2202">
        <v>139</v>
      </c>
      <c r="K2202">
        <v>139</v>
      </c>
      <c r="L2202" t="s">
        <v>25</v>
      </c>
      <c r="M2202" t="s">
        <v>1485</v>
      </c>
      <c r="N2202">
        <v>32764.748200000002</v>
      </c>
      <c r="O2202">
        <v>4554299.9998000003</v>
      </c>
      <c r="P2202" t="str">
        <f>IF(T[[#This Row],[qty_ordered]]&lt;&gt;T[[#This Row],[qty_received]],IF(T[[#This Row],[qty_received]]&gt;0,"Partial Received","Not Receviced"),"FullyReceived")</f>
        <v>FullyReceived</v>
      </c>
      <c r="Q2202" t="str">
        <f>IF(T[[#This Row],[qty_received]]&lt;&gt;T[[#This Row],[qty_invoiced]],IF(T[[#This Row],[qty_invoiced]]&gt;0,"Partial Invoiced","Not Invoiced"),"Fully Invoiced")</f>
        <v>Fully Invoiced</v>
      </c>
      <c r="R2202" t="str">
        <f>IFERROR(VLOOKUP(T[[#This Row],[warehouse]],Table2[],2,FALSE),"--")</f>
        <v>SLAUGHTER HOUSE</v>
      </c>
    </row>
    <row r="2203" spans="1:18" x14ac:dyDescent="0.25">
      <c r="A2203" t="s">
        <v>242</v>
      </c>
      <c r="B2203" s="1">
        <v>44546</v>
      </c>
      <c r="C2203" t="s">
        <v>1535</v>
      </c>
      <c r="D2203" t="s">
        <v>20</v>
      </c>
      <c r="E2203" t="s">
        <v>405</v>
      </c>
      <c r="F2203" t="s">
        <v>244</v>
      </c>
      <c r="G2203" t="s">
        <v>245</v>
      </c>
      <c r="H2203" t="s">
        <v>24</v>
      </c>
      <c r="I2203">
        <v>200</v>
      </c>
      <c r="J2203">
        <v>196.87</v>
      </c>
      <c r="K2203">
        <v>196.87</v>
      </c>
      <c r="L2203" t="s">
        <v>25</v>
      </c>
      <c r="M2203" t="s">
        <v>1485</v>
      </c>
      <c r="N2203">
        <v>830000</v>
      </c>
      <c r="O2203">
        <v>163402100</v>
      </c>
      <c r="P2203" t="str">
        <f>IF(T[[#This Row],[qty_ordered]]&lt;&gt;T[[#This Row],[qty_received]],IF(T[[#This Row],[qty_received]]&gt;0,"Partial Received","Not Receviced"),"FullyReceived")</f>
        <v>Partial Received</v>
      </c>
      <c r="Q2203" t="str">
        <f>IF(T[[#This Row],[qty_received]]&lt;&gt;T[[#This Row],[qty_invoiced]],IF(T[[#This Row],[qty_invoiced]]&gt;0,"Partial Invoiced","Not Invoiced"),"Fully Invoiced")</f>
        <v>Fully Invoiced</v>
      </c>
      <c r="R2203" t="str">
        <f>IFERROR(VLOOKUP(T[[#This Row],[warehouse]],Table2[],2,FALSE),"--")</f>
        <v>GINNING ISHRAG-MDNI</v>
      </c>
    </row>
    <row r="2204" spans="1:18" x14ac:dyDescent="0.25">
      <c r="A2204" t="s">
        <v>560</v>
      </c>
      <c r="B2204" s="1">
        <v>44544</v>
      </c>
      <c r="C2204" t="s">
        <v>1522</v>
      </c>
      <c r="D2204" t="s">
        <v>324</v>
      </c>
      <c r="E2204" t="s">
        <v>51</v>
      </c>
      <c r="F2204" t="s">
        <v>164</v>
      </c>
      <c r="G2204" t="s">
        <v>1536</v>
      </c>
      <c r="H2204" t="s">
        <v>54</v>
      </c>
      <c r="I2204">
        <v>21.38</v>
      </c>
      <c r="J2204">
        <v>0</v>
      </c>
      <c r="K2204">
        <v>1</v>
      </c>
      <c r="L2204" t="s">
        <v>693</v>
      </c>
      <c r="M2204" t="s">
        <v>2836</v>
      </c>
      <c r="N2204">
        <v>5250</v>
      </c>
      <c r="O2204">
        <v>0</v>
      </c>
      <c r="P2204" t="str">
        <f>IF(T[[#This Row],[qty_ordered]]&lt;&gt;T[[#This Row],[qty_received]],IF(T[[#This Row],[qty_received]]&gt;0,"Partial Received","Not Receviced"),"FullyReceived")</f>
        <v>Not Receviced</v>
      </c>
      <c r="Q2204" t="str">
        <f>IF(T[[#This Row],[qty_received]]&lt;&gt;T[[#This Row],[qty_invoiced]],IF(T[[#This Row],[qty_invoiced]]&gt;0,"Partial Invoiced","Not Invoiced"),"Fully Invoiced")</f>
        <v>Partial Invoiced</v>
      </c>
      <c r="R2204" t="str">
        <f>IFERROR(VLOOKUP(T[[#This Row],[warehouse]],Table2[],2,FALSE),"--")</f>
        <v>--</v>
      </c>
    </row>
    <row r="2205" spans="1:18" x14ac:dyDescent="0.25">
      <c r="A2205" t="s">
        <v>560</v>
      </c>
      <c r="B2205" s="1">
        <v>44544</v>
      </c>
      <c r="C2205" t="s">
        <v>1522</v>
      </c>
      <c r="D2205" t="s">
        <v>325</v>
      </c>
      <c r="E2205" t="s">
        <v>51</v>
      </c>
      <c r="F2205" t="s">
        <v>164</v>
      </c>
      <c r="G2205" t="s">
        <v>1536</v>
      </c>
      <c r="H2205" t="s">
        <v>54</v>
      </c>
      <c r="I2205">
        <v>44.76</v>
      </c>
      <c r="J2205">
        <v>0</v>
      </c>
      <c r="K2205">
        <v>1</v>
      </c>
      <c r="L2205" t="s">
        <v>693</v>
      </c>
      <c r="M2205" t="s">
        <v>2836</v>
      </c>
      <c r="N2205">
        <v>5250</v>
      </c>
      <c r="O2205">
        <v>0</v>
      </c>
      <c r="P2205" t="str">
        <f>IF(T[[#This Row],[qty_ordered]]&lt;&gt;T[[#This Row],[qty_received]],IF(T[[#This Row],[qty_received]]&gt;0,"Partial Received","Not Receviced"),"FullyReceived")</f>
        <v>Not Receviced</v>
      </c>
      <c r="Q2205" t="str">
        <f>IF(T[[#This Row],[qty_received]]&lt;&gt;T[[#This Row],[qty_invoiced]],IF(T[[#This Row],[qty_invoiced]]&gt;0,"Partial Invoiced","Not Invoiced"),"Fully Invoiced")</f>
        <v>Partial Invoiced</v>
      </c>
      <c r="R2205" t="str">
        <f>IFERROR(VLOOKUP(T[[#This Row],[warehouse]],Table2[],2,FALSE),"--")</f>
        <v>--</v>
      </c>
    </row>
    <row r="2206" spans="1:18" x14ac:dyDescent="0.25">
      <c r="A2206" t="s">
        <v>560</v>
      </c>
      <c r="B2206" s="1">
        <v>44606</v>
      </c>
      <c r="C2206" t="s">
        <v>1537</v>
      </c>
      <c r="D2206" t="s">
        <v>88</v>
      </c>
      <c r="E2206" t="s">
        <v>51</v>
      </c>
      <c r="F2206" t="s">
        <v>164</v>
      </c>
      <c r="G2206" t="s">
        <v>1538</v>
      </c>
      <c r="H2206" t="s">
        <v>54</v>
      </c>
      <c r="I2206">
        <v>25.38</v>
      </c>
      <c r="J2206">
        <v>0</v>
      </c>
      <c r="K2206">
        <v>1</v>
      </c>
      <c r="L2206" t="s">
        <v>693</v>
      </c>
      <c r="M2206" t="s">
        <v>533</v>
      </c>
      <c r="N2206">
        <v>5250</v>
      </c>
      <c r="O2206">
        <v>0</v>
      </c>
      <c r="P2206" t="str">
        <f>IF(T[[#This Row],[qty_ordered]]&lt;&gt;T[[#This Row],[qty_received]],IF(T[[#This Row],[qty_received]]&gt;0,"Partial Received","Not Receviced"),"FullyReceived")</f>
        <v>Not Receviced</v>
      </c>
      <c r="Q2206" t="str">
        <f>IF(T[[#This Row],[qty_received]]&lt;&gt;T[[#This Row],[qty_invoiced]],IF(T[[#This Row],[qty_invoiced]]&gt;0,"Partial Invoiced","Not Invoiced"),"Fully Invoiced")</f>
        <v>Partial Invoiced</v>
      </c>
      <c r="R2206" t="str">
        <f>IFERROR(VLOOKUP(T[[#This Row],[warehouse]],Table2[],2,FALSE),"--")</f>
        <v>--</v>
      </c>
    </row>
    <row r="2207" spans="1:18" x14ac:dyDescent="0.25">
      <c r="A2207" t="s">
        <v>560</v>
      </c>
      <c r="B2207" s="1">
        <v>44634</v>
      </c>
      <c r="C2207" t="s">
        <v>1539</v>
      </c>
      <c r="D2207" t="s">
        <v>20</v>
      </c>
      <c r="E2207" t="s">
        <v>51</v>
      </c>
      <c r="F2207" t="s">
        <v>164</v>
      </c>
      <c r="G2207" t="s">
        <v>1540</v>
      </c>
      <c r="H2207" t="s">
        <v>54</v>
      </c>
      <c r="I2207">
        <v>12</v>
      </c>
      <c r="J2207">
        <v>0</v>
      </c>
      <c r="K2207">
        <v>1</v>
      </c>
      <c r="L2207" t="s">
        <v>693</v>
      </c>
      <c r="M2207" t="s">
        <v>2836</v>
      </c>
      <c r="N2207">
        <v>5250</v>
      </c>
      <c r="O2207">
        <v>0</v>
      </c>
      <c r="P2207" t="str">
        <f>IF(T[[#This Row],[qty_ordered]]&lt;&gt;T[[#This Row],[qty_received]],IF(T[[#This Row],[qty_received]]&gt;0,"Partial Received","Not Receviced"),"FullyReceived")</f>
        <v>Not Receviced</v>
      </c>
      <c r="Q2207" t="str">
        <f>IF(T[[#This Row],[qty_received]]&lt;&gt;T[[#This Row],[qty_invoiced]],IF(T[[#This Row],[qty_invoiced]]&gt;0,"Partial Invoiced","Not Invoiced"),"Fully Invoiced")</f>
        <v>Partial Invoiced</v>
      </c>
      <c r="R2207" t="str">
        <f>IFERROR(VLOOKUP(T[[#This Row],[warehouse]],Table2[],2,FALSE),"--")</f>
        <v>--</v>
      </c>
    </row>
    <row r="2208" spans="1:18" x14ac:dyDescent="0.25">
      <c r="A2208" t="s">
        <v>560</v>
      </c>
      <c r="B2208" s="1">
        <v>44572</v>
      </c>
      <c r="C2208" t="s">
        <v>1531</v>
      </c>
      <c r="D2208" t="s">
        <v>212</v>
      </c>
      <c r="E2208" t="s">
        <v>51</v>
      </c>
      <c r="F2208" t="s">
        <v>164</v>
      </c>
      <c r="G2208" t="s">
        <v>1541</v>
      </c>
      <c r="H2208" t="s">
        <v>54</v>
      </c>
      <c r="I2208">
        <v>27.13</v>
      </c>
      <c r="J2208">
        <v>0</v>
      </c>
      <c r="K2208">
        <v>1</v>
      </c>
      <c r="L2208" t="s">
        <v>693</v>
      </c>
      <c r="M2208" t="s">
        <v>533</v>
      </c>
      <c r="N2208">
        <v>5250</v>
      </c>
      <c r="O2208">
        <v>0</v>
      </c>
      <c r="P2208" t="str">
        <f>IF(T[[#This Row],[qty_ordered]]&lt;&gt;T[[#This Row],[qty_received]],IF(T[[#This Row],[qty_received]]&gt;0,"Partial Received","Not Receviced"),"FullyReceived")</f>
        <v>Not Receviced</v>
      </c>
      <c r="Q2208" t="str">
        <f>IF(T[[#This Row],[qty_received]]&lt;&gt;T[[#This Row],[qty_invoiced]],IF(T[[#This Row],[qty_invoiced]]&gt;0,"Partial Invoiced","Not Invoiced"),"Fully Invoiced")</f>
        <v>Partial Invoiced</v>
      </c>
      <c r="R2208" t="str">
        <f>IFERROR(VLOOKUP(T[[#This Row],[warehouse]],Table2[],2,FALSE),"--")</f>
        <v>--</v>
      </c>
    </row>
    <row r="2209" spans="1:18" x14ac:dyDescent="0.25">
      <c r="A2209" t="s">
        <v>560</v>
      </c>
      <c r="B2209" s="1">
        <v>44572</v>
      </c>
      <c r="C2209" t="s">
        <v>1531</v>
      </c>
      <c r="D2209" t="s">
        <v>322</v>
      </c>
      <c r="E2209" t="s">
        <v>51</v>
      </c>
      <c r="F2209" t="s">
        <v>164</v>
      </c>
      <c r="G2209" t="s">
        <v>1541</v>
      </c>
      <c r="H2209" t="s">
        <v>54</v>
      </c>
      <c r="I2209">
        <v>28.38</v>
      </c>
      <c r="J2209">
        <v>0</v>
      </c>
      <c r="K2209">
        <v>1</v>
      </c>
      <c r="L2209" t="s">
        <v>693</v>
      </c>
      <c r="M2209" t="s">
        <v>533</v>
      </c>
      <c r="N2209">
        <v>5250</v>
      </c>
      <c r="O2209">
        <v>0</v>
      </c>
      <c r="P2209" t="str">
        <f>IF(T[[#This Row],[qty_ordered]]&lt;&gt;T[[#This Row],[qty_received]],IF(T[[#This Row],[qty_received]]&gt;0,"Partial Received","Not Receviced"),"FullyReceived")</f>
        <v>Not Receviced</v>
      </c>
      <c r="Q2209" t="str">
        <f>IF(T[[#This Row],[qty_received]]&lt;&gt;T[[#This Row],[qty_invoiced]],IF(T[[#This Row],[qty_invoiced]]&gt;0,"Partial Invoiced","Not Invoiced"),"Fully Invoiced")</f>
        <v>Partial Invoiced</v>
      </c>
      <c r="R2209" t="str">
        <f>IFERROR(VLOOKUP(T[[#This Row],[warehouse]],Table2[],2,FALSE),"--")</f>
        <v>--</v>
      </c>
    </row>
    <row r="2210" spans="1:18" x14ac:dyDescent="0.25">
      <c r="A2210" t="s">
        <v>560</v>
      </c>
      <c r="B2210" s="1">
        <v>44572</v>
      </c>
      <c r="C2210" t="s">
        <v>1531</v>
      </c>
      <c r="D2210" t="s">
        <v>323</v>
      </c>
      <c r="E2210" t="s">
        <v>51</v>
      </c>
      <c r="F2210" t="s">
        <v>164</v>
      </c>
      <c r="G2210" t="s">
        <v>1541</v>
      </c>
      <c r="H2210" t="s">
        <v>54</v>
      </c>
      <c r="I2210">
        <v>25.13</v>
      </c>
      <c r="J2210">
        <v>0</v>
      </c>
      <c r="K2210">
        <v>1</v>
      </c>
      <c r="L2210" t="s">
        <v>693</v>
      </c>
      <c r="M2210" t="s">
        <v>533</v>
      </c>
      <c r="N2210">
        <v>5250</v>
      </c>
      <c r="O2210">
        <v>0</v>
      </c>
      <c r="P2210" t="str">
        <f>IF(T[[#This Row],[qty_ordered]]&lt;&gt;T[[#This Row],[qty_received]],IF(T[[#This Row],[qty_received]]&gt;0,"Partial Received","Not Receviced"),"FullyReceived")</f>
        <v>Not Receviced</v>
      </c>
      <c r="Q2210" t="str">
        <f>IF(T[[#This Row],[qty_received]]&lt;&gt;T[[#This Row],[qty_invoiced]],IF(T[[#This Row],[qty_invoiced]]&gt;0,"Partial Invoiced","Not Invoiced"),"Fully Invoiced")</f>
        <v>Partial Invoiced</v>
      </c>
      <c r="R2210" t="str">
        <f>IFERROR(VLOOKUP(T[[#This Row],[warehouse]],Table2[],2,FALSE),"--")</f>
        <v>--</v>
      </c>
    </row>
    <row r="2211" spans="1:18" x14ac:dyDescent="0.25">
      <c r="A2211" t="s">
        <v>560</v>
      </c>
      <c r="B2211" s="1">
        <v>44572</v>
      </c>
      <c r="C2211" t="s">
        <v>1531</v>
      </c>
      <c r="D2211" t="s">
        <v>324</v>
      </c>
      <c r="E2211" t="s">
        <v>51</v>
      </c>
      <c r="F2211" t="s">
        <v>164</v>
      </c>
      <c r="G2211" t="s">
        <v>1541</v>
      </c>
      <c r="H2211" t="s">
        <v>54</v>
      </c>
      <c r="I2211">
        <v>22.88</v>
      </c>
      <c r="J2211">
        <v>0</v>
      </c>
      <c r="K2211">
        <v>1</v>
      </c>
      <c r="L2211" t="s">
        <v>693</v>
      </c>
      <c r="M2211" t="s">
        <v>533</v>
      </c>
      <c r="N2211">
        <v>5250</v>
      </c>
      <c r="O2211">
        <v>0</v>
      </c>
      <c r="P2211" t="str">
        <f>IF(T[[#This Row],[qty_ordered]]&lt;&gt;T[[#This Row],[qty_received]],IF(T[[#This Row],[qty_received]]&gt;0,"Partial Received","Not Receviced"),"FullyReceived")</f>
        <v>Not Receviced</v>
      </c>
      <c r="Q2211" t="str">
        <f>IF(T[[#This Row],[qty_received]]&lt;&gt;T[[#This Row],[qty_invoiced]],IF(T[[#This Row],[qty_invoiced]]&gt;0,"Partial Invoiced","Not Invoiced"),"Fully Invoiced")</f>
        <v>Partial Invoiced</v>
      </c>
      <c r="R2211" t="str">
        <f>IFERROR(VLOOKUP(T[[#This Row],[warehouse]],Table2[],2,FALSE),"--")</f>
        <v>--</v>
      </c>
    </row>
    <row r="2212" spans="1:18" x14ac:dyDescent="0.25">
      <c r="A2212" t="s">
        <v>560</v>
      </c>
      <c r="B2212" s="1">
        <v>44606</v>
      </c>
      <c r="C2212" t="s">
        <v>1537</v>
      </c>
      <c r="D2212" t="s">
        <v>74</v>
      </c>
      <c r="E2212" t="s">
        <v>51</v>
      </c>
      <c r="F2212" t="s">
        <v>164</v>
      </c>
      <c r="G2212" t="s">
        <v>1538</v>
      </c>
      <c r="H2212" t="s">
        <v>54</v>
      </c>
      <c r="I2212">
        <v>15.63</v>
      </c>
      <c r="J2212">
        <v>0</v>
      </c>
      <c r="K2212">
        <v>1</v>
      </c>
      <c r="L2212" t="s">
        <v>693</v>
      </c>
      <c r="M2212" t="s">
        <v>533</v>
      </c>
      <c r="N2212">
        <v>5250</v>
      </c>
      <c r="O2212">
        <v>0</v>
      </c>
      <c r="P2212" t="str">
        <f>IF(T[[#This Row],[qty_ordered]]&lt;&gt;T[[#This Row],[qty_received]],IF(T[[#This Row],[qty_received]]&gt;0,"Partial Received","Not Receviced"),"FullyReceived")</f>
        <v>Not Receviced</v>
      </c>
      <c r="Q2212" t="str">
        <f>IF(T[[#This Row],[qty_received]]&lt;&gt;T[[#This Row],[qty_invoiced]],IF(T[[#This Row],[qty_invoiced]]&gt;0,"Partial Invoiced","Not Invoiced"),"Fully Invoiced")</f>
        <v>Partial Invoiced</v>
      </c>
      <c r="R2212" t="str">
        <f>IFERROR(VLOOKUP(T[[#This Row],[warehouse]],Table2[],2,FALSE),"--")</f>
        <v>--</v>
      </c>
    </row>
    <row r="2213" spans="1:18" x14ac:dyDescent="0.25">
      <c r="A2213" t="s">
        <v>560</v>
      </c>
      <c r="B2213" s="1">
        <v>44544</v>
      </c>
      <c r="C2213" t="s">
        <v>1542</v>
      </c>
      <c r="D2213" t="s">
        <v>324</v>
      </c>
      <c r="E2213" t="s">
        <v>51</v>
      </c>
      <c r="F2213" t="s">
        <v>164</v>
      </c>
      <c r="G2213" t="s">
        <v>1543</v>
      </c>
      <c r="H2213" t="s">
        <v>54</v>
      </c>
      <c r="I2213">
        <v>27.88</v>
      </c>
      <c r="J2213">
        <v>0</v>
      </c>
      <c r="K2213">
        <v>1</v>
      </c>
      <c r="L2213" t="s">
        <v>693</v>
      </c>
      <c r="M2213" t="s">
        <v>533</v>
      </c>
      <c r="N2213">
        <v>5250</v>
      </c>
      <c r="O2213">
        <v>0</v>
      </c>
      <c r="P2213" t="str">
        <f>IF(T[[#This Row],[qty_ordered]]&lt;&gt;T[[#This Row],[qty_received]],IF(T[[#This Row],[qty_received]]&gt;0,"Partial Received","Not Receviced"),"FullyReceived")</f>
        <v>Not Receviced</v>
      </c>
      <c r="Q2213" t="str">
        <f>IF(T[[#This Row],[qty_received]]&lt;&gt;T[[#This Row],[qty_invoiced]],IF(T[[#This Row],[qty_invoiced]]&gt;0,"Partial Invoiced","Not Invoiced"),"Fully Invoiced")</f>
        <v>Partial Invoiced</v>
      </c>
      <c r="R2213" t="str">
        <f>IFERROR(VLOOKUP(T[[#This Row],[warehouse]],Table2[],2,FALSE),"--")</f>
        <v>--</v>
      </c>
    </row>
    <row r="2214" spans="1:18" x14ac:dyDescent="0.25">
      <c r="A2214" t="s">
        <v>560</v>
      </c>
      <c r="B2214" s="1">
        <v>44544</v>
      </c>
      <c r="C2214" t="s">
        <v>1542</v>
      </c>
      <c r="D2214" t="s">
        <v>325</v>
      </c>
      <c r="E2214" t="s">
        <v>51</v>
      </c>
      <c r="F2214" t="s">
        <v>164</v>
      </c>
      <c r="G2214" t="s">
        <v>1543</v>
      </c>
      <c r="H2214" t="s">
        <v>54</v>
      </c>
      <c r="I2214">
        <v>27.5</v>
      </c>
      <c r="J2214">
        <v>0</v>
      </c>
      <c r="K2214">
        <v>1</v>
      </c>
      <c r="L2214" t="s">
        <v>693</v>
      </c>
      <c r="M2214" t="s">
        <v>533</v>
      </c>
      <c r="N2214">
        <v>5250</v>
      </c>
      <c r="O2214">
        <v>0</v>
      </c>
      <c r="P2214" t="str">
        <f>IF(T[[#This Row],[qty_ordered]]&lt;&gt;T[[#This Row],[qty_received]],IF(T[[#This Row],[qty_received]]&gt;0,"Partial Received","Not Receviced"),"FullyReceived")</f>
        <v>Not Receviced</v>
      </c>
      <c r="Q2214" t="str">
        <f>IF(T[[#This Row],[qty_received]]&lt;&gt;T[[#This Row],[qty_invoiced]],IF(T[[#This Row],[qty_invoiced]]&gt;0,"Partial Invoiced","Not Invoiced"),"Fully Invoiced")</f>
        <v>Partial Invoiced</v>
      </c>
      <c r="R2214" t="str">
        <f>IFERROR(VLOOKUP(T[[#This Row],[warehouse]],Table2[],2,FALSE),"--")</f>
        <v>--</v>
      </c>
    </row>
    <row r="2215" spans="1:18" x14ac:dyDescent="0.25">
      <c r="A2215" t="s">
        <v>560</v>
      </c>
      <c r="B2215" s="1">
        <v>44544</v>
      </c>
      <c r="C2215" t="s">
        <v>1542</v>
      </c>
      <c r="D2215" t="s">
        <v>451</v>
      </c>
      <c r="E2215" t="s">
        <v>51</v>
      </c>
      <c r="F2215" t="s">
        <v>164</v>
      </c>
      <c r="G2215" t="s">
        <v>1543</v>
      </c>
      <c r="H2215" t="s">
        <v>54</v>
      </c>
      <c r="I2215">
        <v>29.26</v>
      </c>
      <c r="J2215">
        <v>0</v>
      </c>
      <c r="K2215">
        <v>1</v>
      </c>
      <c r="L2215" t="s">
        <v>693</v>
      </c>
      <c r="M2215" t="s">
        <v>533</v>
      </c>
      <c r="N2215">
        <v>5250</v>
      </c>
      <c r="O2215">
        <v>0</v>
      </c>
      <c r="P2215" t="str">
        <f>IF(T[[#This Row],[qty_ordered]]&lt;&gt;T[[#This Row],[qty_received]],IF(T[[#This Row],[qty_received]]&gt;0,"Partial Received","Not Receviced"),"FullyReceived")</f>
        <v>Not Receviced</v>
      </c>
      <c r="Q2215" t="str">
        <f>IF(T[[#This Row],[qty_received]]&lt;&gt;T[[#This Row],[qty_invoiced]],IF(T[[#This Row],[qty_invoiced]]&gt;0,"Partial Invoiced","Not Invoiced"),"Fully Invoiced")</f>
        <v>Partial Invoiced</v>
      </c>
      <c r="R2215" t="str">
        <f>IFERROR(VLOOKUP(T[[#This Row],[warehouse]],Table2[],2,FALSE),"--")</f>
        <v>--</v>
      </c>
    </row>
    <row r="2216" spans="1:18" x14ac:dyDescent="0.25">
      <c r="A2216" t="s">
        <v>560</v>
      </c>
      <c r="B2216" s="1">
        <v>44606</v>
      </c>
      <c r="C2216" t="s">
        <v>1544</v>
      </c>
      <c r="D2216" t="s">
        <v>100</v>
      </c>
      <c r="E2216" t="s">
        <v>51</v>
      </c>
      <c r="F2216" t="s">
        <v>164</v>
      </c>
      <c r="G2216" t="s">
        <v>1545</v>
      </c>
      <c r="H2216" t="s">
        <v>54</v>
      </c>
      <c r="I2216">
        <v>60.88</v>
      </c>
      <c r="J2216">
        <v>0</v>
      </c>
      <c r="K2216">
        <v>1</v>
      </c>
      <c r="L2216" t="s">
        <v>693</v>
      </c>
      <c r="M2216" t="s">
        <v>2836</v>
      </c>
      <c r="N2216">
        <v>5250</v>
      </c>
      <c r="O2216">
        <v>0</v>
      </c>
      <c r="P2216" t="str">
        <f>IF(T[[#This Row],[qty_ordered]]&lt;&gt;T[[#This Row],[qty_received]],IF(T[[#This Row],[qty_received]]&gt;0,"Partial Received","Not Receviced"),"FullyReceived")</f>
        <v>Not Receviced</v>
      </c>
      <c r="Q2216" t="str">
        <f>IF(T[[#This Row],[qty_received]]&lt;&gt;T[[#This Row],[qty_invoiced]],IF(T[[#This Row],[qty_invoiced]]&gt;0,"Partial Invoiced","Not Invoiced"),"Fully Invoiced")</f>
        <v>Partial Invoiced</v>
      </c>
      <c r="R2216" t="str">
        <f>IFERROR(VLOOKUP(T[[#This Row],[warehouse]],Table2[],2,FALSE),"--")</f>
        <v>--</v>
      </c>
    </row>
    <row r="2217" spans="1:18" x14ac:dyDescent="0.25">
      <c r="A2217" t="s">
        <v>560</v>
      </c>
      <c r="B2217" s="1">
        <v>44606</v>
      </c>
      <c r="C2217" t="s">
        <v>1544</v>
      </c>
      <c r="D2217" t="s">
        <v>88</v>
      </c>
      <c r="E2217" t="s">
        <v>51</v>
      </c>
      <c r="F2217" t="s">
        <v>164</v>
      </c>
      <c r="G2217" t="s">
        <v>1545</v>
      </c>
      <c r="H2217" t="s">
        <v>54</v>
      </c>
      <c r="I2217">
        <v>23.5</v>
      </c>
      <c r="J2217">
        <v>0</v>
      </c>
      <c r="K2217">
        <v>1</v>
      </c>
      <c r="L2217" t="s">
        <v>693</v>
      </c>
      <c r="M2217" t="s">
        <v>2836</v>
      </c>
      <c r="N2217">
        <v>5250</v>
      </c>
      <c r="O2217">
        <v>0</v>
      </c>
      <c r="P2217" t="str">
        <f>IF(T[[#This Row],[qty_ordered]]&lt;&gt;T[[#This Row],[qty_received]],IF(T[[#This Row],[qty_received]]&gt;0,"Partial Received","Not Receviced"),"FullyReceived")</f>
        <v>Not Receviced</v>
      </c>
      <c r="Q2217" t="str">
        <f>IF(T[[#This Row],[qty_received]]&lt;&gt;T[[#This Row],[qty_invoiced]],IF(T[[#This Row],[qty_invoiced]]&gt;0,"Partial Invoiced","Not Invoiced"),"Fully Invoiced")</f>
        <v>Partial Invoiced</v>
      </c>
      <c r="R2217" t="str">
        <f>IFERROR(VLOOKUP(T[[#This Row],[warehouse]],Table2[],2,FALSE),"--")</f>
        <v>--</v>
      </c>
    </row>
    <row r="2218" spans="1:18" x14ac:dyDescent="0.25">
      <c r="A2218" t="s">
        <v>560</v>
      </c>
      <c r="B2218" s="1">
        <v>44606</v>
      </c>
      <c r="C2218" t="s">
        <v>1544</v>
      </c>
      <c r="D2218" t="s">
        <v>74</v>
      </c>
      <c r="E2218" t="s">
        <v>51</v>
      </c>
      <c r="F2218" t="s">
        <v>164</v>
      </c>
      <c r="G2218" t="s">
        <v>1545</v>
      </c>
      <c r="H2218" t="s">
        <v>54</v>
      </c>
      <c r="I2218">
        <v>31.5</v>
      </c>
      <c r="J2218">
        <v>0</v>
      </c>
      <c r="K2218">
        <v>1</v>
      </c>
      <c r="L2218" t="s">
        <v>693</v>
      </c>
      <c r="M2218" t="s">
        <v>2836</v>
      </c>
      <c r="N2218">
        <v>5250</v>
      </c>
      <c r="O2218">
        <v>0</v>
      </c>
      <c r="P2218" t="str">
        <f>IF(T[[#This Row],[qty_ordered]]&lt;&gt;T[[#This Row],[qty_received]],IF(T[[#This Row],[qty_received]]&gt;0,"Partial Received","Not Receviced"),"FullyReceived")</f>
        <v>Not Receviced</v>
      </c>
      <c r="Q2218" t="str">
        <f>IF(T[[#This Row],[qty_received]]&lt;&gt;T[[#This Row],[qty_invoiced]],IF(T[[#This Row],[qty_invoiced]]&gt;0,"Partial Invoiced","Not Invoiced"),"Fully Invoiced")</f>
        <v>Partial Invoiced</v>
      </c>
      <c r="R2218" t="str">
        <f>IFERROR(VLOOKUP(T[[#This Row],[warehouse]],Table2[],2,FALSE),"--")</f>
        <v>--</v>
      </c>
    </row>
    <row r="2219" spans="1:18" x14ac:dyDescent="0.25">
      <c r="A2219" t="s">
        <v>560</v>
      </c>
      <c r="B2219" s="1">
        <v>44606</v>
      </c>
      <c r="C2219" t="s">
        <v>1546</v>
      </c>
      <c r="D2219" t="s">
        <v>100</v>
      </c>
      <c r="E2219" t="s">
        <v>51</v>
      </c>
      <c r="F2219" t="s">
        <v>164</v>
      </c>
      <c r="G2219" t="s">
        <v>1547</v>
      </c>
      <c r="H2219" t="s">
        <v>54</v>
      </c>
      <c r="I2219">
        <v>38.799999999999997</v>
      </c>
      <c r="J2219">
        <v>0</v>
      </c>
      <c r="K2219">
        <v>1</v>
      </c>
      <c r="L2219" t="s">
        <v>693</v>
      </c>
      <c r="M2219" t="s">
        <v>2836</v>
      </c>
      <c r="N2219">
        <v>5250</v>
      </c>
      <c r="O2219">
        <v>0</v>
      </c>
      <c r="P2219" t="str">
        <f>IF(T[[#This Row],[qty_ordered]]&lt;&gt;T[[#This Row],[qty_received]],IF(T[[#This Row],[qty_received]]&gt;0,"Partial Received","Not Receviced"),"FullyReceived")</f>
        <v>Not Receviced</v>
      </c>
      <c r="Q2219" t="str">
        <f>IF(T[[#This Row],[qty_received]]&lt;&gt;T[[#This Row],[qty_invoiced]],IF(T[[#This Row],[qty_invoiced]]&gt;0,"Partial Invoiced","Not Invoiced"),"Fully Invoiced")</f>
        <v>Partial Invoiced</v>
      </c>
      <c r="R2219" t="str">
        <f>IFERROR(VLOOKUP(T[[#This Row],[warehouse]],Table2[],2,FALSE),"--")</f>
        <v>--</v>
      </c>
    </row>
    <row r="2220" spans="1:18" x14ac:dyDescent="0.25">
      <c r="A2220" t="s">
        <v>560</v>
      </c>
      <c r="B2220" s="1">
        <v>44606</v>
      </c>
      <c r="C2220" t="s">
        <v>1546</v>
      </c>
      <c r="D2220" t="s">
        <v>88</v>
      </c>
      <c r="E2220" t="s">
        <v>51</v>
      </c>
      <c r="F2220" t="s">
        <v>164</v>
      </c>
      <c r="G2220" t="s">
        <v>1547</v>
      </c>
      <c r="H2220" t="s">
        <v>54</v>
      </c>
      <c r="I2220">
        <v>27.5</v>
      </c>
      <c r="J2220">
        <v>0</v>
      </c>
      <c r="K2220">
        <v>1</v>
      </c>
      <c r="L2220" t="s">
        <v>693</v>
      </c>
      <c r="M2220" t="s">
        <v>2836</v>
      </c>
      <c r="N2220">
        <v>5250</v>
      </c>
      <c r="O2220">
        <v>0</v>
      </c>
      <c r="P2220" t="str">
        <f>IF(T[[#This Row],[qty_ordered]]&lt;&gt;T[[#This Row],[qty_received]],IF(T[[#This Row],[qty_received]]&gt;0,"Partial Received","Not Receviced"),"FullyReceived")</f>
        <v>Not Receviced</v>
      </c>
      <c r="Q2220" t="str">
        <f>IF(T[[#This Row],[qty_received]]&lt;&gt;T[[#This Row],[qty_invoiced]],IF(T[[#This Row],[qty_invoiced]]&gt;0,"Partial Invoiced","Not Invoiced"),"Fully Invoiced")</f>
        <v>Partial Invoiced</v>
      </c>
      <c r="R2220" t="str">
        <f>IFERROR(VLOOKUP(T[[#This Row],[warehouse]],Table2[],2,FALSE),"--")</f>
        <v>--</v>
      </c>
    </row>
    <row r="2221" spans="1:18" x14ac:dyDescent="0.25">
      <c r="A2221" t="s">
        <v>560</v>
      </c>
      <c r="B2221" s="1">
        <v>44606</v>
      </c>
      <c r="C2221" t="s">
        <v>1546</v>
      </c>
      <c r="D2221" t="s">
        <v>74</v>
      </c>
      <c r="E2221" t="s">
        <v>51</v>
      </c>
      <c r="F2221" t="s">
        <v>164</v>
      </c>
      <c r="G2221" t="s">
        <v>1547</v>
      </c>
      <c r="H2221" t="s">
        <v>54</v>
      </c>
      <c r="I2221">
        <v>33.130000000000003</v>
      </c>
      <c r="J2221">
        <v>0</v>
      </c>
      <c r="K2221">
        <v>1</v>
      </c>
      <c r="L2221" t="s">
        <v>693</v>
      </c>
      <c r="M2221" t="s">
        <v>2836</v>
      </c>
      <c r="N2221">
        <v>5250</v>
      </c>
      <c r="O2221">
        <v>0</v>
      </c>
      <c r="P2221" t="str">
        <f>IF(T[[#This Row],[qty_ordered]]&lt;&gt;T[[#This Row],[qty_received]],IF(T[[#This Row],[qty_received]]&gt;0,"Partial Received","Not Receviced"),"FullyReceived")</f>
        <v>Not Receviced</v>
      </c>
      <c r="Q2221" t="str">
        <f>IF(T[[#This Row],[qty_received]]&lt;&gt;T[[#This Row],[qty_invoiced]],IF(T[[#This Row],[qty_invoiced]]&gt;0,"Partial Invoiced","Not Invoiced"),"Fully Invoiced")</f>
        <v>Partial Invoiced</v>
      </c>
      <c r="R2221" t="str">
        <f>IFERROR(VLOOKUP(T[[#This Row],[warehouse]],Table2[],2,FALSE),"--")</f>
        <v>--</v>
      </c>
    </row>
    <row r="2222" spans="1:18" x14ac:dyDescent="0.25">
      <c r="A2222" t="s">
        <v>560</v>
      </c>
      <c r="B2222" s="1">
        <v>44606</v>
      </c>
      <c r="C2222" t="s">
        <v>1546</v>
      </c>
      <c r="D2222" t="s">
        <v>76</v>
      </c>
      <c r="E2222" t="s">
        <v>51</v>
      </c>
      <c r="F2222" t="s">
        <v>164</v>
      </c>
      <c r="G2222" t="s">
        <v>1547</v>
      </c>
      <c r="H2222" t="s">
        <v>54</v>
      </c>
      <c r="I2222">
        <v>32</v>
      </c>
      <c r="J2222">
        <v>0</v>
      </c>
      <c r="K2222">
        <v>1</v>
      </c>
      <c r="L2222" t="s">
        <v>693</v>
      </c>
      <c r="M2222" t="s">
        <v>2836</v>
      </c>
      <c r="N2222">
        <v>5250</v>
      </c>
      <c r="O2222">
        <v>0</v>
      </c>
      <c r="P2222" t="str">
        <f>IF(T[[#This Row],[qty_ordered]]&lt;&gt;T[[#This Row],[qty_received]],IF(T[[#This Row],[qty_received]]&gt;0,"Partial Received","Not Receviced"),"FullyReceived")</f>
        <v>Not Receviced</v>
      </c>
      <c r="Q2222" t="str">
        <f>IF(T[[#This Row],[qty_received]]&lt;&gt;T[[#This Row],[qty_invoiced]],IF(T[[#This Row],[qty_invoiced]]&gt;0,"Partial Invoiced","Not Invoiced"),"Fully Invoiced")</f>
        <v>Partial Invoiced</v>
      </c>
      <c r="R2222" t="str">
        <f>IFERROR(VLOOKUP(T[[#This Row],[warehouse]],Table2[],2,FALSE),"--")</f>
        <v>--</v>
      </c>
    </row>
    <row r="2223" spans="1:18" x14ac:dyDescent="0.25">
      <c r="A2223" t="s">
        <v>560</v>
      </c>
      <c r="B2223" s="1">
        <v>44544</v>
      </c>
      <c r="C2223" t="s">
        <v>1524</v>
      </c>
      <c r="D2223" t="s">
        <v>752</v>
      </c>
      <c r="E2223" t="s">
        <v>51</v>
      </c>
      <c r="F2223" t="s">
        <v>164</v>
      </c>
      <c r="G2223" t="s">
        <v>1548</v>
      </c>
      <c r="H2223" t="s">
        <v>54</v>
      </c>
      <c r="I2223">
        <v>19.38</v>
      </c>
      <c r="J2223">
        <v>0</v>
      </c>
      <c r="K2223">
        <v>1</v>
      </c>
      <c r="L2223" t="s">
        <v>693</v>
      </c>
      <c r="M2223" t="s">
        <v>2836</v>
      </c>
      <c r="N2223">
        <v>5250</v>
      </c>
      <c r="O2223">
        <v>0</v>
      </c>
      <c r="P2223" t="str">
        <f>IF(T[[#This Row],[qty_ordered]]&lt;&gt;T[[#This Row],[qty_received]],IF(T[[#This Row],[qty_received]]&gt;0,"Partial Received","Not Receviced"),"FullyReceived")</f>
        <v>Not Receviced</v>
      </c>
      <c r="Q2223" t="str">
        <f>IF(T[[#This Row],[qty_received]]&lt;&gt;T[[#This Row],[qty_invoiced]],IF(T[[#This Row],[qty_invoiced]]&gt;0,"Partial Invoiced","Not Invoiced"),"Fully Invoiced")</f>
        <v>Partial Invoiced</v>
      </c>
      <c r="R2223" t="str">
        <f>IFERROR(VLOOKUP(T[[#This Row],[warehouse]],Table2[],2,FALSE),"--")</f>
        <v>--</v>
      </c>
    </row>
    <row r="2224" spans="1:18" x14ac:dyDescent="0.25">
      <c r="A2224" t="s">
        <v>560</v>
      </c>
      <c r="B2224" s="1">
        <v>44544</v>
      </c>
      <c r="C2224" t="s">
        <v>1524</v>
      </c>
      <c r="D2224" t="s">
        <v>759</v>
      </c>
      <c r="E2224" t="s">
        <v>51</v>
      </c>
      <c r="F2224" t="s">
        <v>164</v>
      </c>
      <c r="G2224" t="s">
        <v>1548</v>
      </c>
      <c r="H2224" t="s">
        <v>54</v>
      </c>
      <c r="I2224">
        <v>30.88</v>
      </c>
      <c r="J2224">
        <v>0</v>
      </c>
      <c r="K2224">
        <v>1</v>
      </c>
      <c r="L2224" t="s">
        <v>693</v>
      </c>
      <c r="M2224" t="s">
        <v>2836</v>
      </c>
      <c r="N2224">
        <v>5250</v>
      </c>
      <c r="O2224">
        <v>0</v>
      </c>
      <c r="P2224" t="str">
        <f>IF(T[[#This Row],[qty_ordered]]&lt;&gt;T[[#This Row],[qty_received]],IF(T[[#This Row],[qty_received]]&gt;0,"Partial Received","Not Receviced"),"FullyReceived")</f>
        <v>Not Receviced</v>
      </c>
      <c r="Q2224" t="str">
        <f>IF(T[[#This Row],[qty_received]]&lt;&gt;T[[#This Row],[qty_invoiced]],IF(T[[#This Row],[qty_invoiced]]&gt;0,"Partial Invoiced","Not Invoiced"),"Fully Invoiced")</f>
        <v>Partial Invoiced</v>
      </c>
      <c r="R2224" t="str">
        <f>IFERROR(VLOOKUP(T[[#This Row],[warehouse]],Table2[],2,FALSE),"--")</f>
        <v>--</v>
      </c>
    </row>
    <row r="2225" spans="1:18" x14ac:dyDescent="0.25">
      <c r="A2225" t="s">
        <v>560</v>
      </c>
      <c r="B2225" s="1">
        <v>44544</v>
      </c>
      <c r="C2225" t="s">
        <v>1524</v>
      </c>
      <c r="D2225" t="s">
        <v>694</v>
      </c>
      <c r="E2225" t="s">
        <v>51</v>
      </c>
      <c r="F2225" t="s">
        <v>164</v>
      </c>
      <c r="G2225" t="s">
        <v>1548</v>
      </c>
      <c r="H2225" t="s">
        <v>54</v>
      </c>
      <c r="I2225">
        <v>32.880000000000003</v>
      </c>
      <c r="J2225">
        <v>0</v>
      </c>
      <c r="K2225">
        <v>1</v>
      </c>
      <c r="L2225" t="s">
        <v>693</v>
      </c>
      <c r="M2225" t="s">
        <v>2836</v>
      </c>
      <c r="N2225">
        <v>5250</v>
      </c>
      <c r="O2225">
        <v>0</v>
      </c>
      <c r="P2225" t="str">
        <f>IF(T[[#This Row],[qty_ordered]]&lt;&gt;T[[#This Row],[qty_received]],IF(T[[#This Row],[qty_received]]&gt;0,"Partial Received","Not Receviced"),"FullyReceived")</f>
        <v>Not Receviced</v>
      </c>
      <c r="Q2225" t="str">
        <f>IF(T[[#This Row],[qty_received]]&lt;&gt;T[[#This Row],[qty_invoiced]],IF(T[[#This Row],[qty_invoiced]]&gt;0,"Partial Invoiced","Not Invoiced"),"Fully Invoiced")</f>
        <v>Partial Invoiced</v>
      </c>
      <c r="R2225" t="str">
        <f>IFERROR(VLOOKUP(T[[#This Row],[warehouse]],Table2[],2,FALSE),"--")</f>
        <v>--</v>
      </c>
    </row>
    <row r="2226" spans="1:18" x14ac:dyDescent="0.25">
      <c r="A2226" t="s">
        <v>560</v>
      </c>
      <c r="B2226" s="1">
        <v>44544</v>
      </c>
      <c r="C2226" t="s">
        <v>1524</v>
      </c>
      <c r="D2226" t="s">
        <v>760</v>
      </c>
      <c r="E2226" t="s">
        <v>51</v>
      </c>
      <c r="F2226" t="s">
        <v>164</v>
      </c>
      <c r="G2226" t="s">
        <v>1548</v>
      </c>
      <c r="H2226" t="s">
        <v>54</v>
      </c>
      <c r="I2226">
        <v>28.5</v>
      </c>
      <c r="J2226">
        <v>0</v>
      </c>
      <c r="K2226">
        <v>1</v>
      </c>
      <c r="L2226" t="s">
        <v>693</v>
      </c>
      <c r="M2226" t="s">
        <v>2836</v>
      </c>
      <c r="N2226">
        <v>5250</v>
      </c>
      <c r="O2226">
        <v>0</v>
      </c>
      <c r="P2226" t="str">
        <f>IF(T[[#This Row],[qty_ordered]]&lt;&gt;T[[#This Row],[qty_received]],IF(T[[#This Row],[qty_received]]&gt;0,"Partial Received","Not Receviced"),"FullyReceived")</f>
        <v>Not Receviced</v>
      </c>
      <c r="Q2226" t="str">
        <f>IF(T[[#This Row],[qty_received]]&lt;&gt;T[[#This Row],[qty_invoiced]],IF(T[[#This Row],[qty_invoiced]]&gt;0,"Partial Invoiced","Not Invoiced"),"Fully Invoiced")</f>
        <v>Partial Invoiced</v>
      </c>
      <c r="R2226" t="str">
        <f>IFERROR(VLOOKUP(T[[#This Row],[warehouse]],Table2[],2,FALSE),"--")</f>
        <v>--</v>
      </c>
    </row>
    <row r="2227" spans="1:18" x14ac:dyDescent="0.25">
      <c r="A2227" t="s">
        <v>560</v>
      </c>
      <c r="B2227" s="1">
        <v>44544</v>
      </c>
      <c r="C2227" t="s">
        <v>1524</v>
      </c>
      <c r="D2227" t="s">
        <v>591</v>
      </c>
      <c r="E2227" t="s">
        <v>51</v>
      </c>
      <c r="F2227" t="s">
        <v>164</v>
      </c>
      <c r="G2227" t="s">
        <v>1548</v>
      </c>
      <c r="H2227" t="s">
        <v>54</v>
      </c>
      <c r="I2227">
        <v>29.75</v>
      </c>
      <c r="J2227">
        <v>0</v>
      </c>
      <c r="K2227">
        <v>1</v>
      </c>
      <c r="L2227" t="s">
        <v>693</v>
      </c>
      <c r="M2227" t="s">
        <v>2836</v>
      </c>
      <c r="N2227">
        <v>5250</v>
      </c>
      <c r="O2227">
        <v>0</v>
      </c>
      <c r="P2227" t="str">
        <f>IF(T[[#This Row],[qty_ordered]]&lt;&gt;T[[#This Row],[qty_received]],IF(T[[#This Row],[qty_received]]&gt;0,"Partial Received","Not Receviced"),"FullyReceived")</f>
        <v>Not Receviced</v>
      </c>
      <c r="Q2227" t="str">
        <f>IF(T[[#This Row],[qty_received]]&lt;&gt;T[[#This Row],[qty_invoiced]],IF(T[[#This Row],[qty_invoiced]]&gt;0,"Partial Invoiced","Not Invoiced"),"Fully Invoiced")</f>
        <v>Partial Invoiced</v>
      </c>
      <c r="R2227" t="str">
        <f>IFERROR(VLOOKUP(T[[#This Row],[warehouse]],Table2[],2,FALSE),"--")</f>
        <v>--</v>
      </c>
    </row>
    <row r="2228" spans="1:18" x14ac:dyDescent="0.25">
      <c r="A2228" t="s">
        <v>795</v>
      </c>
      <c r="B2228" s="1">
        <v>44627</v>
      </c>
      <c r="C2228" t="s">
        <v>1549</v>
      </c>
      <c r="D2228" t="s">
        <v>100</v>
      </c>
      <c r="E2228" t="s">
        <v>629</v>
      </c>
      <c r="F2228" t="s">
        <v>287</v>
      </c>
      <c r="G2228" t="s">
        <v>288</v>
      </c>
      <c r="H2228" t="s">
        <v>24</v>
      </c>
      <c r="I2228">
        <v>1647.06</v>
      </c>
      <c r="J2228">
        <v>876.44</v>
      </c>
      <c r="K2228">
        <v>876.44</v>
      </c>
      <c r="L2228" t="s">
        <v>25</v>
      </c>
      <c r="M2228" t="s">
        <v>707</v>
      </c>
      <c r="N2228">
        <v>424999.696429</v>
      </c>
      <c r="O2228">
        <v>372486733.93823302</v>
      </c>
      <c r="P2228" t="str">
        <f>IF(T[[#This Row],[qty_ordered]]&lt;&gt;T[[#This Row],[qty_received]],IF(T[[#This Row],[qty_received]]&gt;0,"Partial Received","Not Receviced"),"FullyReceived")</f>
        <v>Partial Received</v>
      </c>
      <c r="Q2228" t="str">
        <f>IF(T[[#This Row],[qty_received]]&lt;&gt;T[[#This Row],[qty_invoiced]],IF(T[[#This Row],[qty_invoiced]]&gt;0,"Partial Invoiced","Not Invoiced"),"Fully Invoiced")</f>
        <v>Fully Invoiced</v>
      </c>
      <c r="R2228" t="str">
        <f>IFERROR(VLOOKUP(T[[#This Row],[warehouse]],Table2[],2,FALSE),"--")</f>
        <v>SOPC Sifting &amp; Sorting</v>
      </c>
    </row>
    <row r="2229" spans="1:18" x14ac:dyDescent="0.25">
      <c r="A2229" t="s">
        <v>955</v>
      </c>
      <c r="B2229" s="1">
        <v>44550</v>
      </c>
      <c r="C2229" t="s">
        <v>1484</v>
      </c>
      <c r="D2229" t="s">
        <v>100</v>
      </c>
      <c r="E2229" t="s">
        <v>1139</v>
      </c>
      <c r="F2229" t="s">
        <v>287</v>
      </c>
      <c r="G2229" t="s">
        <v>288</v>
      </c>
      <c r="H2229" t="s">
        <v>24</v>
      </c>
      <c r="I2229">
        <v>1390.5</v>
      </c>
      <c r="J2229">
        <v>398.09</v>
      </c>
      <c r="K2229">
        <v>398.09</v>
      </c>
      <c r="L2229" t="s">
        <v>25</v>
      </c>
      <c r="M2229" t="s">
        <v>1485</v>
      </c>
      <c r="N2229">
        <v>431499.46062600001</v>
      </c>
      <c r="O2229">
        <v>171775620.280604</v>
      </c>
      <c r="P2229" t="str">
        <f>IF(T[[#This Row],[qty_ordered]]&lt;&gt;T[[#This Row],[qty_received]],IF(T[[#This Row],[qty_received]]&gt;0,"Partial Received","Not Receviced"),"FullyReceived")</f>
        <v>Partial Received</v>
      </c>
      <c r="Q2229" t="str">
        <f>IF(T[[#This Row],[qty_received]]&lt;&gt;T[[#This Row],[qty_invoiced]],IF(T[[#This Row],[qty_invoiced]]&gt;0,"Partial Invoiced","Not Invoiced"),"Fully Invoiced")</f>
        <v>Fully Invoiced</v>
      </c>
      <c r="R2229" t="str">
        <f>IFERROR(VLOOKUP(T[[#This Row],[warehouse]],Table2[],2,FALSE),"--")</f>
        <v>Magzoub Sorting - OMD</v>
      </c>
    </row>
    <row r="2230" spans="1:18" x14ac:dyDescent="0.25">
      <c r="A2230" t="s">
        <v>618</v>
      </c>
      <c r="B2230" s="1">
        <v>44530</v>
      </c>
      <c r="C2230" t="s">
        <v>1550</v>
      </c>
      <c r="D2230" t="s">
        <v>212</v>
      </c>
      <c r="E2230" t="s">
        <v>1551</v>
      </c>
      <c r="F2230" t="s">
        <v>86</v>
      </c>
      <c r="G2230" t="s">
        <v>87</v>
      </c>
      <c r="H2230" t="s">
        <v>24</v>
      </c>
      <c r="I2230">
        <v>1600.73</v>
      </c>
      <c r="J2230">
        <v>523.64</v>
      </c>
      <c r="K2230">
        <v>523.64</v>
      </c>
      <c r="L2230" t="s">
        <v>25</v>
      </c>
      <c r="M2230" t="s">
        <v>1485</v>
      </c>
      <c r="N2230">
        <v>812129.46593099996</v>
      </c>
      <c r="O2230">
        <v>425263473.54010898</v>
      </c>
      <c r="P2230" t="str">
        <f>IF(T[[#This Row],[qty_ordered]]&lt;&gt;T[[#This Row],[qty_received]],IF(T[[#This Row],[qty_received]]&gt;0,"Partial Received","Not Receviced"),"FullyReceived")</f>
        <v>Partial Received</v>
      </c>
      <c r="Q2230" t="str">
        <f>IF(T[[#This Row],[qty_received]]&lt;&gt;T[[#This Row],[qty_invoiced]],IF(T[[#This Row],[qty_invoiced]]&gt;0,"Partial Invoiced","Not Invoiced"),"Fully Invoiced")</f>
        <v>Fully Invoiced</v>
      </c>
      <c r="R2230" t="str">
        <f>IFERROR(VLOOKUP(T[[#This Row],[warehouse]],Table2[],2,FALSE),"--")</f>
        <v xml:space="preserve">TEITAL SIFTING </v>
      </c>
    </row>
    <row r="2231" spans="1:18" x14ac:dyDescent="0.25">
      <c r="A2231" t="s">
        <v>242</v>
      </c>
      <c r="B2231" s="1">
        <v>44581</v>
      </c>
      <c r="C2231" t="s">
        <v>1552</v>
      </c>
      <c r="D2231" t="s">
        <v>322</v>
      </c>
      <c r="E2231" t="s">
        <v>405</v>
      </c>
      <c r="F2231" t="s">
        <v>244</v>
      </c>
      <c r="G2231" t="s">
        <v>245</v>
      </c>
      <c r="H2231" t="s">
        <v>24</v>
      </c>
      <c r="I2231">
        <v>421.05</v>
      </c>
      <c r="J2231">
        <v>0</v>
      </c>
      <c r="K2231">
        <v>0</v>
      </c>
      <c r="L2231" t="s">
        <v>25</v>
      </c>
      <c r="M2231" t="s">
        <v>1485</v>
      </c>
      <c r="N2231">
        <v>950005.93753700005</v>
      </c>
      <c r="O2231">
        <v>0</v>
      </c>
      <c r="P2231" t="str">
        <f>IF(T[[#This Row],[qty_ordered]]&lt;&gt;T[[#This Row],[qty_received]],IF(T[[#This Row],[qty_received]]&gt;0,"Partial Received","Not Receviced"),"FullyReceived")</f>
        <v>Not Receviced</v>
      </c>
      <c r="Q2231" t="str">
        <f>IF(T[[#This Row],[qty_received]]&lt;&gt;T[[#This Row],[qty_invoiced]],IF(T[[#This Row],[qty_invoiced]]&gt;0,"Partial Invoiced","Not Invoiced"),"Fully Invoiced")</f>
        <v>Fully Invoiced</v>
      </c>
      <c r="R2231" t="str">
        <f>IFERROR(VLOOKUP(T[[#This Row],[warehouse]],Table2[],2,FALSE),"--")</f>
        <v>GINNING ISHRAG-MDNI</v>
      </c>
    </row>
    <row r="2232" spans="1:18" x14ac:dyDescent="0.25">
      <c r="A2232" t="s">
        <v>1553</v>
      </c>
      <c r="B2232" s="1">
        <v>44620</v>
      </c>
      <c r="C2232" t="s">
        <v>1554</v>
      </c>
      <c r="D2232" t="s">
        <v>88</v>
      </c>
      <c r="E2232" t="s">
        <v>51</v>
      </c>
      <c r="F2232" t="s">
        <v>1555</v>
      </c>
      <c r="G2232" t="s">
        <v>1556</v>
      </c>
      <c r="H2232" t="s">
        <v>54</v>
      </c>
      <c r="I2232">
        <v>160</v>
      </c>
      <c r="J2232">
        <v>0</v>
      </c>
      <c r="K2232">
        <v>1</v>
      </c>
      <c r="L2232" t="s">
        <v>693</v>
      </c>
      <c r="M2232" t="s">
        <v>533</v>
      </c>
      <c r="N2232">
        <v>13000</v>
      </c>
      <c r="O2232">
        <v>0</v>
      </c>
      <c r="P2232" t="str">
        <f>IF(T[[#This Row],[qty_ordered]]&lt;&gt;T[[#This Row],[qty_received]],IF(T[[#This Row],[qty_received]]&gt;0,"Partial Received","Not Receviced"),"FullyReceived")</f>
        <v>Not Receviced</v>
      </c>
      <c r="Q2232" t="str">
        <f>IF(T[[#This Row],[qty_received]]&lt;&gt;T[[#This Row],[qty_invoiced]],IF(T[[#This Row],[qty_invoiced]]&gt;0,"Partial Invoiced","Not Invoiced"),"Fully Invoiced")</f>
        <v>Partial Invoiced</v>
      </c>
      <c r="R2232" t="str">
        <f>IFERROR(VLOOKUP(T[[#This Row],[warehouse]],Table2[],2,FALSE),"--")</f>
        <v>--</v>
      </c>
    </row>
    <row r="2233" spans="1:18" x14ac:dyDescent="0.25">
      <c r="A2233" t="s">
        <v>1553</v>
      </c>
      <c r="B2233" s="1">
        <v>44620</v>
      </c>
      <c r="C2233" t="s">
        <v>1554</v>
      </c>
      <c r="D2233" t="s">
        <v>74</v>
      </c>
      <c r="E2233" t="s">
        <v>51</v>
      </c>
      <c r="F2233" t="s">
        <v>278</v>
      </c>
      <c r="G2233" t="s">
        <v>1557</v>
      </c>
      <c r="H2233" t="s">
        <v>54</v>
      </c>
      <c r="I2233">
        <v>1</v>
      </c>
      <c r="J2233">
        <v>0</v>
      </c>
      <c r="K2233">
        <v>1</v>
      </c>
      <c r="L2233" t="s">
        <v>693</v>
      </c>
      <c r="M2233" t="s">
        <v>533</v>
      </c>
      <c r="N2233">
        <v>413210</v>
      </c>
      <c r="O2233">
        <v>0</v>
      </c>
      <c r="P2233" t="str">
        <f>IF(T[[#This Row],[qty_ordered]]&lt;&gt;T[[#This Row],[qty_received]],IF(T[[#This Row],[qty_received]]&gt;0,"Partial Received","Not Receviced"),"FullyReceived")</f>
        <v>Not Receviced</v>
      </c>
      <c r="Q2233" t="str">
        <f>IF(T[[#This Row],[qty_received]]&lt;&gt;T[[#This Row],[qty_invoiced]],IF(T[[#This Row],[qty_invoiced]]&gt;0,"Partial Invoiced","Not Invoiced"),"Fully Invoiced")</f>
        <v>Partial Invoiced</v>
      </c>
      <c r="R2233" t="str">
        <f>IFERROR(VLOOKUP(T[[#This Row],[warehouse]],Table2[],2,FALSE),"--")</f>
        <v>--</v>
      </c>
    </row>
    <row r="2234" spans="1:18" x14ac:dyDescent="0.25">
      <c r="A2234" t="s">
        <v>1553</v>
      </c>
      <c r="B2234" s="1">
        <v>44620</v>
      </c>
      <c r="C2234" t="s">
        <v>1554</v>
      </c>
      <c r="D2234" t="s">
        <v>76</v>
      </c>
      <c r="E2234" t="s">
        <v>51</v>
      </c>
      <c r="F2234" t="s">
        <v>1555</v>
      </c>
      <c r="G2234" t="s">
        <v>1558</v>
      </c>
      <c r="H2234" t="s">
        <v>54</v>
      </c>
      <c r="I2234">
        <v>185</v>
      </c>
      <c r="J2234">
        <v>0</v>
      </c>
      <c r="K2234">
        <v>1</v>
      </c>
      <c r="L2234" t="s">
        <v>693</v>
      </c>
      <c r="M2234" t="s">
        <v>533</v>
      </c>
      <c r="N2234">
        <v>13000</v>
      </c>
      <c r="O2234">
        <v>0</v>
      </c>
      <c r="P2234" t="str">
        <f>IF(T[[#This Row],[qty_ordered]]&lt;&gt;T[[#This Row],[qty_received]],IF(T[[#This Row],[qty_received]]&gt;0,"Partial Received","Not Receviced"),"FullyReceived")</f>
        <v>Not Receviced</v>
      </c>
      <c r="Q2234" t="str">
        <f>IF(T[[#This Row],[qty_received]]&lt;&gt;T[[#This Row],[qty_invoiced]],IF(T[[#This Row],[qty_invoiced]]&gt;0,"Partial Invoiced","Not Invoiced"),"Fully Invoiced")</f>
        <v>Partial Invoiced</v>
      </c>
      <c r="R2234" t="str">
        <f>IFERROR(VLOOKUP(T[[#This Row],[warehouse]],Table2[],2,FALSE),"--")</f>
        <v>--</v>
      </c>
    </row>
    <row r="2235" spans="1:18" x14ac:dyDescent="0.25">
      <c r="A2235" t="s">
        <v>1553</v>
      </c>
      <c r="B2235" s="1">
        <v>44620</v>
      </c>
      <c r="C2235" t="s">
        <v>1554</v>
      </c>
      <c r="D2235" t="s">
        <v>212</v>
      </c>
      <c r="E2235" t="s">
        <v>51</v>
      </c>
      <c r="F2235" t="s">
        <v>1555</v>
      </c>
      <c r="G2235" t="s">
        <v>1559</v>
      </c>
      <c r="H2235" t="s">
        <v>54</v>
      </c>
      <c r="I2235">
        <v>155</v>
      </c>
      <c r="J2235">
        <v>0</v>
      </c>
      <c r="K2235">
        <v>1</v>
      </c>
      <c r="L2235" t="s">
        <v>693</v>
      </c>
      <c r="M2235" t="s">
        <v>533</v>
      </c>
      <c r="N2235">
        <v>13000</v>
      </c>
      <c r="O2235">
        <v>0</v>
      </c>
      <c r="P2235" t="str">
        <f>IF(T[[#This Row],[qty_ordered]]&lt;&gt;T[[#This Row],[qty_received]],IF(T[[#This Row],[qty_received]]&gt;0,"Partial Received","Not Receviced"),"FullyReceived")</f>
        <v>Not Receviced</v>
      </c>
      <c r="Q2235" t="str">
        <f>IF(T[[#This Row],[qty_received]]&lt;&gt;T[[#This Row],[qty_invoiced]],IF(T[[#This Row],[qty_invoiced]]&gt;0,"Partial Invoiced","Not Invoiced"),"Fully Invoiced")</f>
        <v>Partial Invoiced</v>
      </c>
      <c r="R2235" t="str">
        <f>IFERROR(VLOOKUP(T[[#This Row],[warehouse]],Table2[],2,FALSE),"--")</f>
        <v>--</v>
      </c>
    </row>
    <row r="2236" spans="1:18" x14ac:dyDescent="0.25">
      <c r="A2236" t="s">
        <v>1059</v>
      </c>
      <c r="B2236" s="1">
        <v>44594</v>
      </c>
      <c r="C2236" t="s">
        <v>1560</v>
      </c>
      <c r="D2236" t="s">
        <v>511</v>
      </c>
      <c r="E2236" t="s">
        <v>51</v>
      </c>
      <c r="F2236" t="s">
        <v>254</v>
      </c>
      <c r="G2236" t="s">
        <v>1561</v>
      </c>
      <c r="H2236" t="s">
        <v>54</v>
      </c>
      <c r="I2236">
        <v>56</v>
      </c>
      <c r="J2236">
        <v>0</v>
      </c>
      <c r="K2236">
        <v>1</v>
      </c>
      <c r="L2236" t="s">
        <v>693</v>
      </c>
      <c r="M2236" t="s">
        <v>533</v>
      </c>
      <c r="N2236">
        <v>200</v>
      </c>
      <c r="O2236">
        <v>0</v>
      </c>
      <c r="P2236" t="str">
        <f>IF(T[[#This Row],[qty_ordered]]&lt;&gt;T[[#This Row],[qty_received]],IF(T[[#This Row],[qty_received]]&gt;0,"Partial Received","Not Receviced"),"FullyReceived")</f>
        <v>Not Receviced</v>
      </c>
      <c r="Q2236" t="str">
        <f>IF(T[[#This Row],[qty_received]]&lt;&gt;T[[#This Row],[qty_invoiced]],IF(T[[#This Row],[qty_invoiced]]&gt;0,"Partial Invoiced","Not Invoiced"),"Fully Invoiced")</f>
        <v>Partial Invoiced</v>
      </c>
      <c r="R2236" t="str">
        <f>IFERROR(VLOOKUP(T[[#This Row],[warehouse]],Table2[],2,FALSE),"--")</f>
        <v>--</v>
      </c>
    </row>
    <row r="2237" spans="1:18" x14ac:dyDescent="0.25">
      <c r="A2237" t="s">
        <v>1059</v>
      </c>
      <c r="B2237" s="1">
        <v>44594</v>
      </c>
      <c r="C2237" t="s">
        <v>1560</v>
      </c>
      <c r="D2237" t="s">
        <v>512</v>
      </c>
      <c r="E2237" t="s">
        <v>51</v>
      </c>
      <c r="F2237" t="s">
        <v>369</v>
      </c>
      <c r="G2237" t="s">
        <v>1562</v>
      </c>
      <c r="H2237" t="s">
        <v>54</v>
      </c>
      <c r="I2237">
        <v>14980</v>
      </c>
      <c r="J2237">
        <v>0</v>
      </c>
      <c r="K2237">
        <v>1</v>
      </c>
      <c r="L2237" t="s">
        <v>693</v>
      </c>
      <c r="M2237" t="s">
        <v>533</v>
      </c>
      <c r="N2237">
        <v>1.5353810000000001</v>
      </c>
      <c r="O2237">
        <v>0</v>
      </c>
      <c r="P2237" t="str">
        <f>IF(T[[#This Row],[qty_ordered]]&lt;&gt;T[[#This Row],[qty_received]],IF(T[[#This Row],[qty_received]]&gt;0,"Partial Received","Not Receviced"),"FullyReceived")</f>
        <v>Not Receviced</v>
      </c>
      <c r="Q2237" t="str">
        <f>IF(T[[#This Row],[qty_received]]&lt;&gt;T[[#This Row],[qty_invoiced]],IF(T[[#This Row],[qty_invoiced]]&gt;0,"Partial Invoiced","Not Invoiced"),"Fully Invoiced")</f>
        <v>Partial Invoiced</v>
      </c>
      <c r="R2237" t="str">
        <f>IFERROR(VLOOKUP(T[[#This Row],[warehouse]],Table2[],2,FALSE),"--")</f>
        <v>--</v>
      </c>
    </row>
    <row r="2238" spans="1:18" x14ac:dyDescent="0.25">
      <c r="A2238" t="s">
        <v>1059</v>
      </c>
      <c r="B2238" s="1">
        <v>44594</v>
      </c>
      <c r="C2238" t="s">
        <v>1560</v>
      </c>
      <c r="D2238" t="s">
        <v>513</v>
      </c>
      <c r="E2238" t="s">
        <v>51</v>
      </c>
      <c r="F2238" t="s">
        <v>433</v>
      </c>
      <c r="G2238" t="s">
        <v>1563</v>
      </c>
      <c r="H2238" t="s">
        <v>54</v>
      </c>
      <c r="I2238">
        <v>5</v>
      </c>
      <c r="J2238">
        <v>0</v>
      </c>
      <c r="K2238">
        <v>1</v>
      </c>
      <c r="L2238" t="s">
        <v>693</v>
      </c>
      <c r="M2238" t="s">
        <v>533</v>
      </c>
      <c r="N2238">
        <v>3500</v>
      </c>
      <c r="O2238">
        <v>0</v>
      </c>
      <c r="P2238" t="str">
        <f>IF(T[[#This Row],[qty_ordered]]&lt;&gt;T[[#This Row],[qty_received]],IF(T[[#This Row],[qty_received]]&gt;0,"Partial Received","Not Receviced"),"FullyReceived")</f>
        <v>Not Receviced</v>
      </c>
      <c r="Q2238" t="str">
        <f>IF(T[[#This Row],[qty_received]]&lt;&gt;T[[#This Row],[qty_invoiced]],IF(T[[#This Row],[qty_invoiced]]&gt;0,"Partial Invoiced","Not Invoiced"),"Fully Invoiced")</f>
        <v>Partial Invoiced</v>
      </c>
      <c r="R2238" t="str">
        <f>IFERROR(VLOOKUP(T[[#This Row],[warehouse]],Table2[],2,FALSE),"--")</f>
        <v>--</v>
      </c>
    </row>
    <row r="2239" spans="1:18" x14ac:dyDescent="0.25">
      <c r="A2239" t="s">
        <v>423</v>
      </c>
      <c r="B2239" s="1">
        <v>44546</v>
      </c>
      <c r="C2239" t="s">
        <v>1500</v>
      </c>
      <c r="D2239" t="s">
        <v>323</v>
      </c>
      <c r="E2239" t="s">
        <v>51</v>
      </c>
      <c r="F2239" t="s">
        <v>546</v>
      </c>
      <c r="G2239" t="s">
        <v>1564</v>
      </c>
      <c r="H2239" t="s">
        <v>54</v>
      </c>
      <c r="I2239">
        <v>4000</v>
      </c>
      <c r="J2239">
        <v>0</v>
      </c>
      <c r="K2239">
        <v>1</v>
      </c>
      <c r="L2239" t="s">
        <v>693</v>
      </c>
      <c r="M2239" t="s">
        <v>533</v>
      </c>
      <c r="N2239">
        <v>44</v>
      </c>
      <c r="O2239">
        <v>0</v>
      </c>
      <c r="P2239" t="str">
        <f>IF(T[[#This Row],[qty_ordered]]&lt;&gt;T[[#This Row],[qty_received]],IF(T[[#This Row],[qty_received]]&gt;0,"Partial Received","Not Receviced"),"FullyReceived")</f>
        <v>Not Receviced</v>
      </c>
      <c r="Q2239" t="str">
        <f>IF(T[[#This Row],[qty_received]]&lt;&gt;T[[#This Row],[qty_invoiced]],IF(T[[#This Row],[qty_invoiced]]&gt;0,"Partial Invoiced","Not Invoiced"),"Fully Invoiced")</f>
        <v>Partial Invoiced</v>
      </c>
      <c r="R2239" t="str">
        <f>IFERROR(VLOOKUP(T[[#This Row],[warehouse]],Table2[],2,FALSE),"--")</f>
        <v>--</v>
      </c>
    </row>
    <row r="2240" spans="1:18" x14ac:dyDescent="0.25">
      <c r="A2240" t="s">
        <v>423</v>
      </c>
      <c r="B2240" s="1">
        <v>44546</v>
      </c>
      <c r="C2240" t="s">
        <v>1500</v>
      </c>
      <c r="D2240" t="s">
        <v>324</v>
      </c>
      <c r="E2240" t="s">
        <v>51</v>
      </c>
      <c r="F2240" t="s">
        <v>546</v>
      </c>
      <c r="G2240" t="s">
        <v>1565</v>
      </c>
      <c r="H2240" t="s">
        <v>54</v>
      </c>
      <c r="I2240">
        <v>5000</v>
      </c>
      <c r="J2240">
        <v>0</v>
      </c>
      <c r="K2240">
        <v>1</v>
      </c>
      <c r="L2240" t="s">
        <v>693</v>
      </c>
      <c r="M2240" t="s">
        <v>533</v>
      </c>
      <c r="N2240">
        <v>44</v>
      </c>
      <c r="O2240">
        <v>0</v>
      </c>
      <c r="P2240" t="str">
        <f>IF(T[[#This Row],[qty_ordered]]&lt;&gt;T[[#This Row],[qty_received]],IF(T[[#This Row],[qty_received]]&gt;0,"Partial Received","Not Receviced"),"FullyReceived")</f>
        <v>Not Receviced</v>
      </c>
      <c r="Q2240" t="str">
        <f>IF(T[[#This Row],[qty_received]]&lt;&gt;T[[#This Row],[qty_invoiced]],IF(T[[#This Row],[qty_invoiced]]&gt;0,"Partial Invoiced","Not Invoiced"),"Fully Invoiced")</f>
        <v>Partial Invoiced</v>
      </c>
      <c r="R2240" t="str">
        <f>IFERROR(VLOOKUP(T[[#This Row],[warehouse]],Table2[],2,FALSE),"--")</f>
        <v>--</v>
      </c>
    </row>
    <row r="2241" spans="1:18" x14ac:dyDescent="0.25">
      <c r="A2241" t="s">
        <v>423</v>
      </c>
      <c r="B2241" s="1">
        <v>44546</v>
      </c>
      <c r="C2241" t="s">
        <v>1502</v>
      </c>
      <c r="D2241" t="s">
        <v>752</v>
      </c>
      <c r="E2241" t="s">
        <v>51</v>
      </c>
      <c r="F2241" t="s">
        <v>546</v>
      </c>
      <c r="G2241" t="s">
        <v>1566</v>
      </c>
      <c r="H2241" t="s">
        <v>54</v>
      </c>
      <c r="I2241">
        <v>10000</v>
      </c>
      <c r="J2241">
        <v>0</v>
      </c>
      <c r="K2241">
        <v>1</v>
      </c>
      <c r="L2241" t="s">
        <v>693</v>
      </c>
      <c r="M2241" t="s">
        <v>2836</v>
      </c>
      <c r="N2241">
        <v>16.5</v>
      </c>
      <c r="O2241">
        <v>0</v>
      </c>
      <c r="P2241" t="str">
        <f>IF(T[[#This Row],[qty_ordered]]&lt;&gt;T[[#This Row],[qty_received]],IF(T[[#This Row],[qty_received]]&gt;0,"Partial Received","Not Receviced"),"FullyReceived")</f>
        <v>Not Receviced</v>
      </c>
      <c r="Q2241" t="str">
        <f>IF(T[[#This Row],[qty_received]]&lt;&gt;T[[#This Row],[qty_invoiced]],IF(T[[#This Row],[qty_invoiced]]&gt;0,"Partial Invoiced","Not Invoiced"),"Fully Invoiced")</f>
        <v>Partial Invoiced</v>
      </c>
      <c r="R2241" t="str">
        <f>IFERROR(VLOOKUP(T[[#This Row],[warehouse]],Table2[],2,FALSE),"--")</f>
        <v>--</v>
      </c>
    </row>
    <row r="2242" spans="1:18" x14ac:dyDescent="0.25">
      <c r="A2242" t="s">
        <v>423</v>
      </c>
      <c r="B2242" s="1">
        <v>44599</v>
      </c>
      <c r="C2242" t="s">
        <v>1567</v>
      </c>
      <c r="D2242" t="s">
        <v>71</v>
      </c>
      <c r="E2242" t="s">
        <v>51</v>
      </c>
      <c r="F2242" t="s">
        <v>546</v>
      </c>
      <c r="G2242" t="s">
        <v>1568</v>
      </c>
      <c r="H2242" t="s">
        <v>54</v>
      </c>
      <c r="I2242">
        <v>20000</v>
      </c>
      <c r="J2242">
        <v>0</v>
      </c>
      <c r="K2242">
        <v>1</v>
      </c>
      <c r="L2242" t="s">
        <v>693</v>
      </c>
      <c r="M2242" t="s">
        <v>533</v>
      </c>
      <c r="N2242">
        <v>24</v>
      </c>
      <c r="O2242">
        <v>0</v>
      </c>
      <c r="P2242" t="str">
        <f>IF(T[[#This Row],[qty_ordered]]&lt;&gt;T[[#This Row],[qty_received]],IF(T[[#This Row],[qty_received]]&gt;0,"Partial Received","Not Receviced"),"FullyReceived")</f>
        <v>Not Receviced</v>
      </c>
      <c r="Q2242" t="str">
        <f>IF(T[[#This Row],[qty_received]]&lt;&gt;T[[#This Row],[qty_invoiced]],IF(T[[#This Row],[qty_invoiced]]&gt;0,"Partial Invoiced","Not Invoiced"),"Fully Invoiced")</f>
        <v>Partial Invoiced</v>
      </c>
      <c r="R2242" t="str">
        <f>IFERROR(VLOOKUP(T[[#This Row],[warehouse]],Table2[],2,FALSE),"--")</f>
        <v>--</v>
      </c>
    </row>
    <row r="2243" spans="1:18" x14ac:dyDescent="0.25">
      <c r="A2243" t="s">
        <v>423</v>
      </c>
      <c r="B2243" s="1">
        <v>44599</v>
      </c>
      <c r="C2243" t="s">
        <v>1567</v>
      </c>
      <c r="D2243" t="s">
        <v>100</v>
      </c>
      <c r="E2243" t="s">
        <v>51</v>
      </c>
      <c r="F2243" t="s">
        <v>546</v>
      </c>
      <c r="G2243" t="s">
        <v>1569</v>
      </c>
      <c r="H2243" t="s">
        <v>54</v>
      </c>
      <c r="I2243">
        <v>15000</v>
      </c>
      <c r="J2243">
        <v>0</v>
      </c>
      <c r="K2243">
        <v>1</v>
      </c>
      <c r="L2243" t="s">
        <v>693</v>
      </c>
      <c r="M2243" t="s">
        <v>533</v>
      </c>
      <c r="N2243">
        <v>16.5</v>
      </c>
      <c r="O2243">
        <v>0</v>
      </c>
      <c r="P2243" t="str">
        <f>IF(T[[#This Row],[qty_ordered]]&lt;&gt;T[[#This Row],[qty_received]],IF(T[[#This Row],[qty_received]]&gt;0,"Partial Received","Not Receviced"),"FullyReceived")</f>
        <v>Not Receviced</v>
      </c>
      <c r="Q2243" t="str">
        <f>IF(T[[#This Row],[qty_received]]&lt;&gt;T[[#This Row],[qty_invoiced]],IF(T[[#This Row],[qty_invoiced]]&gt;0,"Partial Invoiced","Not Invoiced"),"Fully Invoiced")</f>
        <v>Partial Invoiced</v>
      </c>
      <c r="R2243" t="str">
        <f>IFERROR(VLOOKUP(T[[#This Row],[warehouse]],Table2[],2,FALSE),"--")</f>
        <v>--</v>
      </c>
    </row>
    <row r="2244" spans="1:18" x14ac:dyDescent="0.25">
      <c r="A2244" t="s">
        <v>423</v>
      </c>
      <c r="B2244" s="1">
        <v>44546</v>
      </c>
      <c r="C2244" t="s">
        <v>1498</v>
      </c>
      <c r="D2244" t="s">
        <v>100</v>
      </c>
      <c r="E2244" t="s">
        <v>51</v>
      </c>
      <c r="F2244" t="s">
        <v>546</v>
      </c>
      <c r="G2244" t="s">
        <v>1570</v>
      </c>
      <c r="H2244" t="s">
        <v>54</v>
      </c>
      <c r="I2244">
        <v>34400</v>
      </c>
      <c r="J2244">
        <v>0</v>
      </c>
      <c r="K2244">
        <v>1</v>
      </c>
      <c r="L2244" t="s">
        <v>693</v>
      </c>
      <c r="M2244" t="s">
        <v>2836</v>
      </c>
      <c r="N2244">
        <v>20</v>
      </c>
      <c r="O2244">
        <v>0</v>
      </c>
      <c r="P2244" t="str">
        <f>IF(T[[#This Row],[qty_ordered]]&lt;&gt;T[[#This Row],[qty_received]],IF(T[[#This Row],[qty_received]]&gt;0,"Partial Received","Not Receviced"),"FullyReceived")</f>
        <v>Not Receviced</v>
      </c>
      <c r="Q2244" t="str">
        <f>IF(T[[#This Row],[qty_received]]&lt;&gt;T[[#This Row],[qty_invoiced]],IF(T[[#This Row],[qty_invoiced]]&gt;0,"Partial Invoiced","Not Invoiced"),"Fully Invoiced")</f>
        <v>Partial Invoiced</v>
      </c>
      <c r="R2244" t="str">
        <f>IFERROR(VLOOKUP(T[[#This Row],[warehouse]],Table2[],2,FALSE),"--")</f>
        <v>--</v>
      </c>
    </row>
    <row r="2245" spans="1:18" x14ac:dyDescent="0.25">
      <c r="A2245" t="s">
        <v>423</v>
      </c>
      <c r="B2245" s="1">
        <v>44649</v>
      </c>
      <c r="C2245" t="s">
        <v>1571</v>
      </c>
      <c r="D2245" t="s">
        <v>20</v>
      </c>
      <c r="E2245" t="s">
        <v>51</v>
      </c>
      <c r="F2245" t="s">
        <v>546</v>
      </c>
      <c r="G2245" t="s">
        <v>1572</v>
      </c>
      <c r="H2245" t="s">
        <v>54</v>
      </c>
      <c r="I2245">
        <v>23000</v>
      </c>
      <c r="J2245">
        <v>0</v>
      </c>
      <c r="K2245">
        <v>1</v>
      </c>
      <c r="L2245" t="s">
        <v>693</v>
      </c>
      <c r="M2245" t="s">
        <v>2836</v>
      </c>
      <c r="N2245">
        <v>16.5</v>
      </c>
      <c r="O2245">
        <v>0</v>
      </c>
      <c r="P2245" t="str">
        <f>IF(T[[#This Row],[qty_ordered]]&lt;&gt;T[[#This Row],[qty_received]],IF(T[[#This Row],[qty_received]]&gt;0,"Partial Received","Not Receviced"),"FullyReceived")</f>
        <v>Not Receviced</v>
      </c>
      <c r="Q2245" t="str">
        <f>IF(T[[#This Row],[qty_received]]&lt;&gt;T[[#This Row],[qty_invoiced]],IF(T[[#This Row],[qty_invoiced]]&gt;0,"Partial Invoiced","Not Invoiced"),"Fully Invoiced")</f>
        <v>Partial Invoiced</v>
      </c>
      <c r="R2245" t="str">
        <f>IFERROR(VLOOKUP(T[[#This Row],[warehouse]],Table2[],2,FALSE),"--")</f>
        <v>--</v>
      </c>
    </row>
    <row r="2246" spans="1:18" x14ac:dyDescent="0.25">
      <c r="A2246" t="s">
        <v>423</v>
      </c>
      <c r="B2246" s="1">
        <v>44649</v>
      </c>
      <c r="C2246" t="s">
        <v>1571</v>
      </c>
      <c r="D2246" t="s">
        <v>71</v>
      </c>
      <c r="E2246" t="s">
        <v>51</v>
      </c>
      <c r="F2246" t="s">
        <v>546</v>
      </c>
      <c r="G2246" t="s">
        <v>1573</v>
      </c>
      <c r="H2246" t="s">
        <v>54</v>
      </c>
      <c r="I2246">
        <v>23000</v>
      </c>
      <c r="J2246">
        <v>0</v>
      </c>
      <c r="K2246">
        <v>1</v>
      </c>
      <c r="L2246" t="s">
        <v>693</v>
      </c>
      <c r="M2246" t="s">
        <v>2836</v>
      </c>
      <c r="N2246">
        <v>16.5</v>
      </c>
      <c r="O2246">
        <v>0</v>
      </c>
      <c r="P2246" t="str">
        <f>IF(T[[#This Row],[qty_ordered]]&lt;&gt;T[[#This Row],[qty_received]],IF(T[[#This Row],[qty_received]]&gt;0,"Partial Received","Not Receviced"),"FullyReceived")</f>
        <v>Not Receviced</v>
      </c>
      <c r="Q2246" t="str">
        <f>IF(T[[#This Row],[qty_received]]&lt;&gt;T[[#This Row],[qty_invoiced]],IF(T[[#This Row],[qty_invoiced]]&gt;0,"Partial Invoiced","Not Invoiced"),"Fully Invoiced")</f>
        <v>Partial Invoiced</v>
      </c>
      <c r="R2246" t="str">
        <f>IFERROR(VLOOKUP(T[[#This Row],[warehouse]],Table2[],2,FALSE),"--")</f>
        <v>--</v>
      </c>
    </row>
    <row r="2247" spans="1:18" x14ac:dyDescent="0.25">
      <c r="A2247" t="s">
        <v>597</v>
      </c>
      <c r="B2247" s="1">
        <v>44650</v>
      </c>
      <c r="C2247" t="s">
        <v>1574</v>
      </c>
      <c r="D2247" t="s">
        <v>20</v>
      </c>
      <c r="E2247" t="s">
        <v>51</v>
      </c>
      <c r="F2247" t="s">
        <v>183</v>
      </c>
      <c r="G2247" t="s">
        <v>1575</v>
      </c>
      <c r="H2247" t="s">
        <v>54</v>
      </c>
      <c r="I2247">
        <v>215</v>
      </c>
      <c r="J2247">
        <v>0</v>
      </c>
      <c r="K2247">
        <v>1</v>
      </c>
      <c r="L2247" t="s">
        <v>693</v>
      </c>
      <c r="M2247" t="s">
        <v>533</v>
      </c>
      <c r="N2247">
        <v>12000</v>
      </c>
      <c r="O2247">
        <v>0</v>
      </c>
      <c r="P2247" t="str">
        <f>IF(T[[#This Row],[qty_ordered]]&lt;&gt;T[[#This Row],[qty_received]],IF(T[[#This Row],[qty_received]]&gt;0,"Partial Received","Not Receviced"),"FullyReceived")</f>
        <v>Not Receviced</v>
      </c>
      <c r="Q2247" t="str">
        <f>IF(T[[#This Row],[qty_received]]&lt;&gt;T[[#This Row],[qty_invoiced]],IF(T[[#This Row],[qty_invoiced]]&gt;0,"Partial Invoiced","Not Invoiced"),"Fully Invoiced")</f>
        <v>Partial Invoiced</v>
      </c>
      <c r="R2247" t="str">
        <f>IFERROR(VLOOKUP(T[[#This Row],[warehouse]],Table2[],2,FALSE),"--")</f>
        <v>--</v>
      </c>
    </row>
    <row r="2248" spans="1:18" x14ac:dyDescent="0.25">
      <c r="A2248" t="s">
        <v>1059</v>
      </c>
      <c r="B2248" s="1">
        <v>44594</v>
      </c>
      <c r="C2248" t="s">
        <v>1560</v>
      </c>
      <c r="D2248" t="s">
        <v>595</v>
      </c>
      <c r="E2248" t="s">
        <v>51</v>
      </c>
      <c r="F2248" t="s">
        <v>262</v>
      </c>
      <c r="G2248" t="s">
        <v>1576</v>
      </c>
      <c r="H2248" t="s">
        <v>54</v>
      </c>
      <c r="I2248">
        <v>5300</v>
      </c>
      <c r="J2248">
        <v>0</v>
      </c>
      <c r="K2248">
        <v>1</v>
      </c>
      <c r="L2248" t="s">
        <v>693</v>
      </c>
      <c r="M2248" t="s">
        <v>533</v>
      </c>
      <c r="N2248">
        <v>40</v>
      </c>
      <c r="O2248">
        <v>0</v>
      </c>
      <c r="P2248" t="str">
        <f>IF(T[[#This Row],[qty_ordered]]&lt;&gt;T[[#This Row],[qty_received]],IF(T[[#This Row],[qty_received]]&gt;0,"Partial Received","Not Receviced"),"FullyReceived")</f>
        <v>Not Receviced</v>
      </c>
      <c r="Q2248" t="str">
        <f>IF(T[[#This Row],[qty_received]]&lt;&gt;T[[#This Row],[qty_invoiced]],IF(T[[#This Row],[qty_invoiced]]&gt;0,"Partial Invoiced","Not Invoiced"),"Fully Invoiced")</f>
        <v>Partial Invoiced</v>
      </c>
      <c r="R2248" t="str">
        <f>IFERROR(VLOOKUP(T[[#This Row],[warehouse]],Table2[],2,FALSE),"--")</f>
        <v>--</v>
      </c>
    </row>
    <row r="2249" spans="1:18" x14ac:dyDescent="0.25">
      <c r="A2249" t="s">
        <v>1059</v>
      </c>
      <c r="B2249" s="1">
        <v>44594</v>
      </c>
      <c r="C2249" t="s">
        <v>1560</v>
      </c>
      <c r="D2249" t="s">
        <v>596</v>
      </c>
      <c r="E2249" t="s">
        <v>51</v>
      </c>
      <c r="F2249" t="s">
        <v>266</v>
      </c>
      <c r="G2249" t="s">
        <v>1577</v>
      </c>
      <c r="H2249" t="s">
        <v>54</v>
      </c>
      <c r="I2249">
        <v>5300</v>
      </c>
      <c r="J2249">
        <v>0</v>
      </c>
      <c r="K2249">
        <v>1</v>
      </c>
      <c r="L2249" t="s">
        <v>693</v>
      </c>
      <c r="M2249" t="s">
        <v>533</v>
      </c>
      <c r="N2249">
        <v>111.5</v>
      </c>
      <c r="O2249">
        <v>0</v>
      </c>
      <c r="P2249" t="str">
        <f>IF(T[[#This Row],[qty_ordered]]&lt;&gt;T[[#This Row],[qty_received]],IF(T[[#This Row],[qty_received]]&gt;0,"Partial Received","Not Receviced"),"FullyReceived")</f>
        <v>Not Receviced</v>
      </c>
      <c r="Q2249" t="str">
        <f>IF(T[[#This Row],[qty_received]]&lt;&gt;T[[#This Row],[qty_invoiced]],IF(T[[#This Row],[qty_invoiced]]&gt;0,"Partial Invoiced","Not Invoiced"),"Fully Invoiced")</f>
        <v>Partial Invoiced</v>
      </c>
      <c r="R2249" t="str">
        <f>IFERROR(VLOOKUP(T[[#This Row],[warehouse]],Table2[],2,FALSE),"--")</f>
        <v>--</v>
      </c>
    </row>
    <row r="2250" spans="1:18" x14ac:dyDescent="0.25">
      <c r="A2250" t="s">
        <v>1059</v>
      </c>
      <c r="B2250" s="1">
        <v>44594</v>
      </c>
      <c r="C2250" t="s">
        <v>1560</v>
      </c>
      <c r="D2250" t="s">
        <v>507</v>
      </c>
      <c r="E2250" t="s">
        <v>51</v>
      </c>
      <c r="F2250" t="s">
        <v>254</v>
      </c>
      <c r="G2250" t="s">
        <v>1561</v>
      </c>
      <c r="H2250" t="s">
        <v>54</v>
      </c>
      <c r="I2250">
        <v>145000</v>
      </c>
      <c r="J2250">
        <v>0</v>
      </c>
      <c r="K2250">
        <v>1</v>
      </c>
      <c r="L2250" t="s">
        <v>693</v>
      </c>
      <c r="M2250" t="s">
        <v>533</v>
      </c>
      <c r="N2250">
        <v>0.5</v>
      </c>
      <c r="O2250">
        <v>0</v>
      </c>
      <c r="P2250" t="str">
        <f>IF(T[[#This Row],[qty_ordered]]&lt;&gt;T[[#This Row],[qty_received]],IF(T[[#This Row],[qty_received]]&gt;0,"Partial Received","Not Receviced"),"FullyReceived")</f>
        <v>Not Receviced</v>
      </c>
      <c r="Q2250" t="str">
        <f>IF(T[[#This Row],[qty_received]]&lt;&gt;T[[#This Row],[qty_invoiced]],IF(T[[#This Row],[qty_invoiced]]&gt;0,"Partial Invoiced","Not Invoiced"),"Fully Invoiced")</f>
        <v>Partial Invoiced</v>
      </c>
      <c r="R2250" t="str">
        <f>IFERROR(VLOOKUP(T[[#This Row],[warehouse]],Table2[],2,FALSE),"--")</f>
        <v>--</v>
      </c>
    </row>
    <row r="2251" spans="1:18" x14ac:dyDescent="0.25">
      <c r="A2251" t="s">
        <v>1059</v>
      </c>
      <c r="B2251" s="1">
        <v>44651</v>
      </c>
      <c r="C2251" t="s">
        <v>1578</v>
      </c>
      <c r="D2251" t="s">
        <v>20</v>
      </c>
      <c r="E2251" t="s">
        <v>51</v>
      </c>
      <c r="F2251" t="s">
        <v>262</v>
      </c>
      <c r="G2251" t="s">
        <v>1579</v>
      </c>
      <c r="H2251" t="s">
        <v>54</v>
      </c>
      <c r="I2251">
        <v>300</v>
      </c>
      <c r="J2251">
        <v>0</v>
      </c>
      <c r="K2251">
        <v>1</v>
      </c>
      <c r="L2251" t="s">
        <v>693</v>
      </c>
      <c r="M2251" t="s">
        <v>2836</v>
      </c>
      <c r="N2251">
        <v>594.18666700000006</v>
      </c>
      <c r="O2251">
        <v>0</v>
      </c>
      <c r="P2251" t="str">
        <f>IF(T[[#This Row],[qty_ordered]]&lt;&gt;T[[#This Row],[qty_received]],IF(T[[#This Row],[qty_received]]&gt;0,"Partial Received","Not Receviced"),"FullyReceived")</f>
        <v>Not Receviced</v>
      </c>
      <c r="Q2251" t="str">
        <f>IF(T[[#This Row],[qty_received]]&lt;&gt;T[[#This Row],[qty_invoiced]],IF(T[[#This Row],[qty_invoiced]]&gt;0,"Partial Invoiced","Not Invoiced"),"Fully Invoiced")</f>
        <v>Partial Invoiced</v>
      </c>
      <c r="R2251" t="str">
        <f>IFERROR(VLOOKUP(T[[#This Row],[warehouse]],Table2[],2,FALSE),"--")</f>
        <v>--</v>
      </c>
    </row>
    <row r="2252" spans="1:18" x14ac:dyDescent="0.25">
      <c r="A2252" t="s">
        <v>1059</v>
      </c>
      <c r="B2252" s="1">
        <v>44651</v>
      </c>
      <c r="C2252" t="s">
        <v>1578</v>
      </c>
      <c r="D2252" t="s">
        <v>71</v>
      </c>
      <c r="E2252" t="s">
        <v>51</v>
      </c>
      <c r="F2252" t="s">
        <v>933</v>
      </c>
      <c r="G2252" t="s">
        <v>1580</v>
      </c>
      <c r="H2252" t="s">
        <v>54</v>
      </c>
      <c r="I2252">
        <v>300</v>
      </c>
      <c r="J2252">
        <v>0</v>
      </c>
      <c r="K2252">
        <v>1</v>
      </c>
      <c r="L2252" t="s">
        <v>693</v>
      </c>
      <c r="M2252" t="s">
        <v>2836</v>
      </c>
      <c r="N2252">
        <v>170</v>
      </c>
      <c r="O2252">
        <v>0</v>
      </c>
      <c r="P2252" t="str">
        <f>IF(T[[#This Row],[qty_ordered]]&lt;&gt;T[[#This Row],[qty_received]],IF(T[[#This Row],[qty_received]]&gt;0,"Partial Received","Not Receviced"),"FullyReceived")</f>
        <v>Not Receviced</v>
      </c>
      <c r="Q2252" t="str">
        <f>IF(T[[#This Row],[qty_received]]&lt;&gt;T[[#This Row],[qty_invoiced]],IF(T[[#This Row],[qty_invoiced]]&gt;0,"Partial Invoiced","Not Invoiced"),"Fully Invoiced")</f>
        <v>Partial Invoiced</v>
      </c>
      <c r="R2252" t="str">
        <f>IFERROR(VLOOKUP(T[[#This Row],[warehouse]],Table2[],2,FALSE),"--")</f>
        <v>--</v>
      </c>
    </row>
    <row r="2253" spans="1:18" x14ac:dyDescent="0.25">
      <c r="A2253" t="s">
        <v>1059</v>
      </c>
      <c r="B2253" s="1">
        <v>44651</v>
      </c>
      <c r="C2253" t="s">
        <v>1578</v>
      </c>
      <c r="D2253" t="s">
        <v>100</v>
      </c>
      <c r="E2253" t="s">
        <v>51</v>
      </c>
      <c r="F2253" t="s">
        <v>262</v>
      </c>
      <c r="G2253" t="s">
        <v>1579</v>
      </c>
      <c r="H2253" t="s">
        <v>54</v>
      </c>
      <c r="I2253">
        <v>270</v>
      </c>
      <c r="J2253">
        <v>0</v>
      </c>
      <c r="K2253">
        <v>1</v>
      </c>
      <c r="L2253" t="s">
        <v>693</v>
      </c>
      <c r="M2253" t="s">
        <v>2836</v>
      </c>
      <c r="N2253">
        <v>188.88888900000001</v>
      </c>
      <c r="O2253">
        <v>0</v>
      </c>
      <c r="P2253" t="str">
        <f>IF(T[[#This Row],[qty_ordered]]&lt;&gt;T[[#This Row],[qty_received]],IF(T[[#This Row],[qty_received]]&gt;0,"Partial Received","Not Receviced"),"FullyReceived")</f>
        <v>Not Receviced</v>
      </c>
      <c r="Q2253" t="str">
        <f>IF(T[[#This Row],[qty_received]]&lt;&gt;T[[#This Row],[qty_invoiced]],IF(T[[#This Row],[qty_invoiced]]&gt;0,"Partial Invoiced","Not Invoiced"),"Fully Invoiced")</f>
        <v>Partial Invoiced</v>
      </c>
      <c r="R2253" t="str">
        <f>IFERROR(VLOOKUP(T[[#This Row],[warehouse]],Table2[],2,FALSE),"--")</f>
        <v>--</v>
      </c>
    </row>
    <row r="2254" spans="1:18" x14ac:dyDescent="0.25">
      <c r="A2254" t="s">
        <v>1059</v>
      </c>
      <c r="B2254" s="1">
        <v>44651</v>
      </c>
      <c r="C2254" t="s">
        <v>1578</v>
      </c>
      <c r="D2254" t="s">
        <v>88</v>
      </c>
      <c r="E2254" t="s">
        <v>51</v>
      </c>
      <c r="F2254" t="s">
        <v>933</v>
      </c>
      <c r="G2254" t="s">
        <v>1581</v>
      </c>
      <c r="H2254" t="s">
        <v>54</v>
      </c>
      <c r="I2254">
        <v>270</v>
      </c>
      <c r="J2254">
        <v>0</v>
      </c>
      <c r="K2254">
        <v>1</v>
      </c>
      <c r="L2254" t="s">
        <v>693</v>
      </c>
      <c r="M2254" t="s">
        <v>2836</v>
      </c>
      <c r="N2254">
        <v>604.09629600000005</v>
      </c>
      <c r="O2254">
        <v>0</v>
      </c>
      <c r="P2254" t="str">
        <f>IF(T[[#This Row],[qty_ordered]]&lt;&gt;T[[#This Row],[qty_received]],IF(T[[#This Row],[qty_received]]&gt;0,"Partial Received","Not Receviced"),"FullyReceived")</f>
        <v>Not Receviced</v>
      </c>
      <c r="Q2254" t="str">
        <f>IF(T[[#This Row],[qty_received]]&lt;&gt;T[[#This Row],[qty_invoiced]],IF(T[[#This Row],[qty_invoiced]]&gt;0,"Partial Invoiced","Not Invoiced"),"Fully Invoiced")</f>
        <v>Partial Invoiced</v>
      </c>
      <c r="R2254" t="str">
        <f>IFERROR(VLOOKUP(T[[#This Row],[warehouse]],Table2[],2,FALSE),"--")</f>
        <v>--</v>
      </c>
    </row>
    <row r="2255" spans="1:18" x14ac:dyDescent="0.25">
      <c r="A2255" t="s">
        <v>1059</v>
      </c>
      <c r="B2255" s="1">
        <v>44651</v>
      </c>
      <c r="C2255" t="s">
        <v>1578</v>
      </c>
      <c r="D2255" t="s">
        <v>74</v>
      </c>
      <c r="E2255" t="s">
        <v>51</v>
      </c>
      <c r="F2255" t="s">
        <v>369</v>
      </c>
      <c r="G2255" t="s">
        <v>1582</v>
      </c>
      <c r="H2255" t="s">
        <v>54</v>
      </c>
      <c r="I2255">
        <v>1</v>
      </c>
      <c r="J2255">
        <v>0</v>
      </c>
      <c r="K2255">
        <v>1</v>
      </c>
      <c r="L2255" t="s">
        <v>693</v>
      </c>
      <c r="M2255" t="s">
        <v>2836</v>
      </c>
      <c r="N2255">
        <v>6000</v>
      </c>
      <c r="O2255">
        <v>0</v>
      </c>
      <c r="P2255" t="str">
        <f>IF(T[[#This Row],[qty_ordered]]&lt;&gt;T[[#This Row],[qty_received]],IF(T[[#This Row],[qty_received]]&gt;0,"Partial Received","Not Receviced"),"FullyReceived")</f>
        <v>Not Receviced</v>
      </c>
      <c r="Q2255" t="str">
        <f>IF(T[[#This Row],[qty_received]]&lt;&gt;T[[#This Row],[qty_invoiced]],IF(T[[#This Row],[qty_invoiced]]&gt;0,"Partial Invoiced","Not Invoiced"),"Fully Invoiced")</f>
        <v>Partial Invoiced</v>
      </c>
      <c r="R2255" t="str">
        <f>IFERROR(VLOOKUP(T[[#This Row],[warehouse]],Table2[],2,FALSE),"--")</f>
        <v>--</v>
      </c>
    </row>
    <row r="2256" spans="1:18" x14ac:dyDescent="0.25">
      <c r="A2256" t="s">
        <v>821</v>
      </c>
      <c r="B2256" s="1">
        <v>44651</v>
      </c>
      <c r="C2256" t="s">
        <v>1583</v>
      </c>
      <c r="D2256" t="s">
        <v>20</v>
      </c>
      <c r="E2256" t="s">
        <v>1289</v>
      </c>
      <c r="F2256" t="s">
        <v>406</v>
      </c>
      <c r="G2256" t="s">
        <v>407</v>
      </c>
      <c r="H2256" t="s">
        <v>24</v>
      </c>
      <c r="I2256">
        <v>5000</v>
      </c>
      <c r="J2256">
        <v>0</v>
      </c>
      <c r="K2256">
        <v>0</v>
      </c>
      <c r="L2256" t="s">
        <v>25</v>
      </c>
      <c r="M2256" t="s">
        <v>1485</v>
      </c>
      <c r="N2256">
        <v>170938198.77599999</v>
      </c>
      <c r="O2256">
        <v>0</v>
      </c>
      <c r="P2256" t="str">
        <f>IF(T[[#This Row],[qty_ordered]]&lt;&gt;T[[#This Row],[qty_received]],IF(T[[#This Row],[qty_received]]&gt;0,"Partial Received","Not Receviced"),"FullyReceived")</f>
        <v>Not Receviced</v>
      </c>
      <c r="Q2256" t="str">
        <f>IF(T[[#This Row],[qty_received]]&lt;&gt;T[[#This Row],[qty_invoiced]],IF(T[[#This Row],[qty_invoiced]]&gt;0,"Partial Invoiced","Not Invoiced"),"Fully Invoiced")</f>
        <v>Fully Invoiced</v>
      </c>
      <c r="R2256" t="str">
        <f>IFERROR(VLOOKUP(T[[#This Row],[warehouse]],Table2[],2,FALSE),"--")</f>
        <v>MSG GINNING GDARIF</v>
      </c>
    </row>
    <row r="2257" spans="1:18" x14ac:dyDescent="0.25">
      <c r="A2257" t="s">
        <v>1059</v>
      </c>
      <c r="B2257" s="1">
        <v>44594</v>
      </c>
      <c r="C2257" t="s">
        <v>1560</v>
      </c>
      <c r="D2257" t="s">
        <v>508</v>
      </c>
      <c r="E2257" t="s">
        <v>51</v>
      </c>
      <c r="F2257" t="s">
        <v>369</v>
      </c>
      <c r="G2257" t="s">
        <v>1562</v>
      </c>
      <c r="H2257" t="s">
        <v>54</v>
      </c>
      <c r="I2257">
        <v>27</v>
      </c>
      <c r="J2257">
        <v>0</v>
      </c>
      <c r="K2257">
        <v>1</v>
      </c>
      <c r="L2257" t="s">
        <v>693</v>
      </c>
      <c r="M2257" t="s">
        <v>533</v>
      </c>
      <c r="N2257">
        <v>1185.185185</v>
      </c>
      <c r="O2257">
        <v>0</v>
      </c>
      <c r="P2257" t="str">
        <f>IF(T[[#This Row],[qty_ordered]]&lt;&gt;T[[#This Row],[qty_received]],IF(T[[#This Row],[qty_received]]&gt;0,"Partial Received","Not Receviced"),"FullyReceived")</f>
        <v>Not Receviced</v>
      </c>
      <c r="Q2257" t="str">
        <f>IF(T[[#This Row],[qty_received]]&lt;&gt;T[[#This Row],[qty_invoiced]],IF(T[[#This Row],[qty_invoiced]]&gt;0,"Partial Invoiced","Not Invoiced"),"Fully Invoiced")</f>
        <v>Partial Invoiced</v>
      </c>
      <c r="R2257" t="str">
        <f>IFERROR(VLOOKUP(T[[#This Row],[warehouse]],Table2[],2,FALSE),"--")</f>
        <v>--</v>
      </c>
    </row>
    <row r="2258" spans="1:18" x14ac:dyDescent="0.25">
      <c r="A2258" t="s">
        <v>1059</v>
      </c>
      <c r="B2258" s="1">
        <v>44594</v>
      </c>
      <c r="C2258" t="s">
        <v>1560</v>
      </c>
      <c r="D2258" t="s">
        <v>509</v>
      </c>
      <c r="E2258" t="s">
        <v>51</v>
      </c>
      <c r="F2258" t="s">
        <v>793</v>
      </c>
      <c r="G2258" t="s">
        <v>1584</v>
      </c>
      <c r="H2258" t="s">
        <v>54</v>
      </c>
      <c r="I2258">
        <v>230</v>
      </c>
      <c r="J2258">
        <v>0</v>
      </c>
      <c r="K2258">
        <v>1</v>
      </c>
      <c r="L2258" t="s">
        <v>693</v>
      </c>
      <c r="M2258" t="s">
        <v>533</v>
      </c>
      <c r="N2258">
        <v>1947.826086</v>
      </c>
      <c r="O2258">
        <v>0</v>
      </c>
      <c r="P2258" t="str">
        <f>IF(T[[#This Row],[qty_ordered]]&lt;&gt;T[[#This Row],[qty_received]],IF(T[[#This Row],[qty_received]]&gt;0,"Partial Received","Not Receviced"),"FullyReceived")</f>
        <v>Not Receviced</v>
      </c>
      <c r="Q2258" t="str">
        <f>IF(T[[#This Row],[qty_received]]&lt;&gt;T[[#This Row],[qty_invoiced]],IF(T[[#This Row],[qty_invoiced]]&gt;0,"Partial Invoiced","Not Invoiced"),"Fully Invoiced")</f>
        <v>Partial Invoiced</v>
      </c>
      <c r="R2258" t="str">
        <f>IFERROR(VLOOKUP(T[[#This Row],[warehouse]],Table2[],2,FALSE),"--")</f>
        <v>--</v>
      </c>
    </row>
    <row r="2259" spans="1:18" x14ac:dyDescent="0.25">
      <c r="A2259" t="s">
        <v>1059</v>
      </c>
      <c r="B2259" s="1">
        <v>44594</v>
      </c>
      <c r="C2259" t="s">
        <v>1560</v>
      </c>
      <c r="D2259" t="s">
        <v>510</v>
      </c>
      <c r="E2259" t="s">
        <v>51</v>
      </c>
      <c r="F2259" t="s">
        <v>818</v>
      </c>
      <c r="G2259" t="s">
        <v>1585</v>
      </c>
      <c r="H2259" t="s">
        <v>54</v>
      </c>
      <c r="I2259">
        <v>1</v>
      </c>
      <c r="J2259">
        <v>0</v>
      </c>
      <c r="K2259">
        <v>1</v>
      </c>
      <c r="L2259" t="s">
        <v>693</v>
      </c>
      <c r="M2259" t="s">
        <v>533</v>
      </c>
      <c r="N2259">
        <v>3000</v>
      </c>
      <c r="O2259">
        <v>0</v>
      </c>
      <c r="P2259" t="str">
        <f>IF(T[[#This Row],[qty_ordered]]&lt;&gt;T[[#This Row],[qty_received]],IF(T[[#This Row],[qty_received]]&gt;0,"Partial Received","Not Receviced"),"FullyReceived")</f>
        <v>Not Receviced</v>
      </c>
      <c r="Q2259" t="str">
        <f>IF(T[[#This Row],[qty_received]]&lt;&gt;T[[#This Row],[qty_invoiced]],IF(T[[#This Row],[qty_invoiced]]&gt;0,"Partial Invoiced","Not Invoiced"),"Fully Invoiced")</f>
        <v>Partial Invoiced</v>
      </c>
      <c r="R2259" t="str">
        <f>IFERROR(VLOOKUP(T[[#This Row],[warehouse]],Table2[],2,FALSE),"--")</f>
        <v>--</v>
      </c>
    </row>
    <row r="2260" spans="1:18" x14ac:dyDescent="0.25">
      <c r="A2260" t="s">
        <v>955</v>
      </c>
      <c r="B2260" s="1">
        <v>44136</v>
      </c>
      <c r="C2260" t="s">
        <v>956</v>
      </c>
      <c r="D2260" t="s">
        <v>74</v>
      </c>
      <c r="E2260" t="s">
        <v>66</v>
      </c>
      <c r="F2260" t="s">
        <v>86</v>
      </c>
      <c r="G2260" t="s">
        <v>87</v>
      </c>
      <c r="H2260" t="s">
        <v>24</v>
      </c>
      <c r="I2260">
        <v>1400</v>
      </c>
      <c r="J2260">
        <v>0</v>
      </c>
      <c r="K2260">
        <v>0</v>
      </c>
      <c r="L2260" t="s">
        <v>25</v>
      </c>
      <c r="M2260" t="s">
        <v>132</v>
      </c>
      <c r="N2260">
        <v>410000</v>
      </c>
      <c r="O2260">
        <v>0</v>
      </c>
      <c r="P2260" t="str">
        <f>IF(T[[#This Row],[qty_ordered]]&lt;&gt;T[[#This Row],[qty_received]],IF(T[[#This Row],[qty_received]]&gt;0,"Partial Received","Not Receviced"),"FullyReceived")</f>
        <v>Not Receviced</v>
      </c>
      <c r="Q2260" t="str">
        <f>IF(T[[#This Row],[qty_received]]&lt;&gt;T[[#This Row],[qty_invoiced]],IF(T[[#This Row],[qty_invoiced]]&gt;0,"Partial Invoiced","Not Invoiced"),"Fully Invoiced")</f>
        <v>Fully Invoiced</v>
      </c>
      <c r="R2260" t="str">
        <f>IFERROR(VLOOKUP(T[[#This Row],[warehouse]],Table2[],2,FALSE),"--")</f>
        <v>PZU Main Warehouse</v>
      </c>
    </row>
    <row r="2261" spans="1:18" x14ac:dyDescent="0.25">
      <c r="A2261" t="s">
        <v>242</v>
      </c>
      <c r="B2261" s="1">
        <v>44241</v>
      </c>
      <c r="C2261" t="s">
        <v>1224</v>
      </c>
      <c r="D2261" t="s">
        <v>76</v>
      </c>
      <c r="E2261" t="s">
        <v>405</v>
      </c>
      <c r="F2261" t="s">
        <v>244</v>
      </c>
      <c r="G2261" t="s">
        <v>245</v>
      </c>
      <c r="H2261" t="s">
        <v>24</v>
      </c>
      <c r="I2261">
        <v>106.24</v>
      </c>
      <c r="J2261">
        <v>106.24</v>
      </c>
      <c r="K2261">
        <v>106.24</v>
      </c>
      <c r="L2261" t="s">
        <v>25</v>
      </c>
      <c r="M2261" t="s">
        <v>707</v>
      </c>
      <c r="N2261">
        <v>578000</v>
      </c>
      <c r="O2261">
        <v>61406720</v>
      </c>
      <c r="P2261" t="str">
        <f>IF(T[[#This Row],[qty_ordered]]&lt;&gt;T[[#This Row],[qty_received]],IF(T[[#This Row],[qty_received]]&gt;0,"Partial Received","Not Receviced"),"FullyReceived")</f>
        <v>FullyReceived</v>
      </c>
      <c r="Q2261" t="str">
        <f>IF(T[[#This Row],[qty_received]]&lt;&gt;T[[#This Row],[qty_invoiced]],IF(T[[#This Row],[qty_invoiced]]&gt;0,"Partial Invoiced","Not Invoiced"),"Fully Invoiced")</f>
        <v>Fully Invoiced</v>
      </c>
      <c r="R2261" t="str">
        <f>IFERROR(VLOOKUP(T[[#This Row],[warehouse]],Table2[],2,FALSE),"--")</f>
        <v>GINNING ISHRAG-MDNI</v>
      </c>
    </row>
    <row r="2262" spans="1:18" x14ac:dyDescent="0.25">
      <c r="A2262" t="s">
        <v>242</v>
      </c>
      <c r="B2262" s="1">
        <v>44241</v>
      </c>
      <c r="C2262" t="s">
        <v>1224</v>
      </c>
      <c r="D2262" t="s">
        <v>212</v>
      </c>
      <c r="E2262" t="s">
        <v>405</v>
      </c>
      <c r="F2262" t="s">
        <v>244</v>
      </c>
      <c r="G2262" t="s">
        <v>245</v>
      </c>
      <c r="H2262" t="s">
        <v>24</v>
      </c>
      <c r="I2262">
        <v>209.08</v>
      </c>
      <c r="J2262">
        <v>209.08</v>
      </c>
      <c r="K2262">
        <v>209.08</v>
      </c>
      <c r="L2262" t="s">
        <v>25</v>
      </c>
      <c r="M2262" t="s">
        <v>707</v>
      </c>
      <c r="N2262">
        <v>578000</v>
      </c>
      <c r="O2262">
        <v>120848240</v>
      </c>
      <c r="P2262" t="str">
        <f>IF(T[[#This Row],[qty_ordered]]&lt;&gt;T[[#This Row],[qty_received]],IF(T[[#This Row],[qty_received]]&gt;0,"Partial Received","Not Receviced"),"FullyReceived")</f>
        <v>FullyReceived</v>
      </c>
      <c r="Q2262" t="str">
        <f>IF(T[[#This Row],[qty_received]]&lt;&gt;T[[#This Row],[qty_invoiced]],IF(T[[#This Row],[qty_invoiced]]&gt;0,"Partial Invoiced","Not Invoiced"),"Fully Invoiced")</f>
        <v>Fully Invoiced</v>
      </c>
      <c r="R2262" t="str">
        <f>IFERROR(VLOOKUP(T[[#This Row],[warehouse]],Table2[],2,FALSE),"--")</f>
        <v>GINNING ISHRAG-MDNI</v>
      </c>
    </row>
    <row r="2263" spans="1:18" x14ac:dyDescent="0.25">
      <c r="A2263" t="s">
        <v>242</v>
      </c>
      <c r="B2263" s="1">
        <v>44241</v>
      </c>
      <c r="C2263" t="s">
        <v>1224</v>
      </c>
      <c r="D2263" t="s">
        <v>322</v>
      </c>
      <c r="E2263" t="s">
        <v>405</v>
      </c>
      <c r="F2263" t="s">
        <v>244</v>
      </c>
      <c r="G2263" t="s">
        <v>245</v>
      </c>
      <c r="H2263" t="s">
        <v>24</v>
      </c>
      <c r="I2263">
        <v>209.84</v>
      </c>
      <c r="J2263">
        <v>209.84</v>
      </c>
      <c r="K2263">
        <v>209.84</v>
      </c>
      <c r="L2263" t="s">
        <v>25</v>
      </c>
      <c r="M2263" t="s">
        <v>707</v>
      </c>
      <c r="N2263">
        <v>541738.55000000005</v>
      </c>
      <c r="O2263">
        <v>121287520</v>
      </c>
      <c r="P2263" t="str">
        <f>IF(T[[#This Row],[qty_ordered]]&lt;&gt;T[[#This Row],[qty_received]],IF(T[[#This Row],[qty_received]]&gt;0,"Partial Received","Not Receviced"),"FullyReceived")</f>
        <v>FullyReceived</v>
      </c>
      <c r="Q2263" t="str">
        <f>IF(T[[#This Row],[qty_received]]&lt;&gt;T[[#This Row],[qty_invoiced]],IF(T[[#This Row],[qty_invoiced]]&gt;0,"Partial Invoiced","Not Invoiced"),"Fully Invoiced")</f>
        <v>Fully Invoiced</v>
      </c>
      <c r="R2263" t="str">
        <f>IFERROR(VLOOKUP(T[[#This Row],[warehouse]],Table2[],2,FALSE),"--")</f>
        <v>GINNING ISHRAG-MDNI</v>
      </c>
    </row>
    <row r="2264" spans="1:18" x14ac:dyDescent="0.25">
      <c r="A2264" t="s">
        <v>973</v>
      </c>
      <c r="B2264" s="1">
        <v>44221</v>
      </c>
      <c r="C2264" t="s">
        <v>1198</v>
      </c>
      <c r="D2264" t="s">
        <v>71</v>
      </c>
      <c r="E2264" t="s">
        <v>281</v>
      </c>
      <c r="F2264" t="s">
        <v>167</v>
      </c>
      <c r="G2264" t="s">
        <v>156</v>
      </c>
      <c r="H2264" t="s">
        <v>24</v>
      </c>
      <c r="I2264">
        <v>298</v>
      </c>
      <c r="J2264">
        <v>296.38</v>
      </c>
      <c r="K2264">
        <v>296.38</v>
      </c>
      <c r="L2264" t="s">
        <v>25</v>
      </c>
      <c r="M2264" t="s">
        <v>132</v>
      </c>
      <c r="N2264">
        <v>751677.85234900005</v>
      </c>
      <c r="O2264">
        <v>222782281.879197</v>
      </c>
      <c r="P2264" t="str">
        <f>IF(T[[#This Row],[qty_ordered]]&lt;&gt;T[[#This Row],[qty_received]],IF(T[[#This Row],[qty_received]]&gt;0,"Partial Received","Not Receviced"),"FullyReceived")</f>
        <v>Partial Received</v>
      </c>
      <c r="Q2264" t="str">
        <f>IF(T[[#This Row],[qty_received]]&lt;&gt;T[[#This Row],[qty_invoiced]],IF(T[[#This Row],[qty_invoiced]]&gt;0,"Partial Invoiced","Not Invoiced"),"Fully Invoiced")</f>
        <v>Fully Invoiced</v>
      </c>
      <c r="R2264" t="str">
        <f>IFERROR(VLOOKUP(T[[#This Row],[warehouse]],Table2[],2,FALSE),"--")</f>
        <v>Crusher Alm Eldin-KH</v>
      </c>
    </row>
    <row r="2265" spans="1:18" x14ac:dyDescent="0.25">
      <c r="A2265" t="s">
        <v>1226</v>
      </c>
      <c r="B2265" s="1">
        <v>44272</v>
      </c>
      <c r="C2265" t="s">
        <v>1586</v>
      </c>
      <c r="D2265" t="s">
        <v>20</v>
      </c>
      <c r="E2265" t="s">
        <v>51</v>
      </c>
      <c r="F2265" t="s">
        <v>52</v>
      </c>
      <c r="G2265" t="s">
        <v>75</v>
      </c>
      <c r="H2265" t="s">
        <v>54</v>
      </c>
      <c r="I2265">
        <v>3000</v>
      </c>
      <c r="J2265">
        <v>0</v>
      </c>
      <c r="K2265">
        <v>1</v>
      </c>
      <c r="L2265" t="s">
        <v>25</v>
      </c>
      <c r="M2265" t="s">
        <v>132</v>
      </c>
      <c r="N2265">
        <v>520</v>
      </c>
      <c r="O2265">
        <v>0</v>
      </c>
      <c r="P2265" t="str">
        <f>IF(T[[#This Row],[qty_ordered]]&lt;&gt;T[[#This Row],[qty_received]],IF(T[[#This Row],[qty_received]]&gt;0,"Partial Received","Not Receviced"),"FullyReceived")</f>
        <v>Not Receviced</v>
      </c>
      <c r="Q2265" t="str">
        <f>IF(T[[#This Row],[qty_received]]&lt;&gt;T[[#This Row],[qty_invoiced]],IF(T[[#This Row],[qty_invoiced]]&gt;0,"Partial Invoiced","Not Invoiced"),"Fully Invoiced")</f>
        <v>Partial Invoiced</v>
      </c>
      <c r="R2265" t="str">
        <f>IFERROR(VLOOKUP(T[[#This Row],[warehouse]],Table2[],2,FALSE),"--")</f>
        <v>--</v>
      </c>
    </row>
    <row r="2266" spans="1:18" x14ac:dyDescent="0.25">
      <c r="A2266" t="s">
        <v>739</v>
      </c>
      <c r="B2266" s="1">
        <v>44241</v>
      </c>
      <c r="C2266" t="s">
        <v>1225</v>
      </c>
      <c r="D2266" t="s">
        <v>76</v>
      </c>
      <c r="E2266" t="s">
        <v>660</v>
      </c>
      <c r="F2266" t="s">
        <v>705</v>
      </c>
      <c r="G2266" t="s">
        <v>706</v>
      </c>
      <c r="H2266" t="s">
        <v>663</v>
      </c>
      <c r="I2266">
        <v>3775.6</v>
      </c>
      <c r="J2266">
        <v>3775.6</v>
      </c>
      <c r="K2266">
        <v>3775.6</v>
      </c>
      <c r="L2266" t="s">
        <v>25</v>
      </c>
      <c r="M2266" t="s">
        <v>707</v>
      </c>
      <c r="N2266">
        <v>1400</v>
      </c>
      <c r="O2266">
        <v>5285840</v>
      </c>
      <c r="P2266" t="str">
        <f>IF(T[[#This Row],[qty_ordered]]&lt;&gt;T[[#This Row],[qty_received]],IF(T[[#This Row],[qty_received]]&gt;0,"Partial Received","Not Receviced"),"FullyReceived")</f>
        <v>FullyReceived</v>
      </c>
      <c r="Q2266" t="str">
        <f>IF(T[[#This Row],[qty_received]]&lt;&gt;T[[#This Row],[qty_invoiced]],IF(T[[#This Row],[qty_invoiced]]&gt;0,"Partial Invoiced","Not Invoiced"),"Fully Invoiced")</f>
        <v>Fully Invoiced</v>
      </c>
      <c r="R2266" t="str">
        <f>IFERROR(VLOOKUP(T[[#This Row],[warehouse]],Table2[],2,FALSE),"--")</f>
        <v>SLAUGHTER HOUSE</v>
      </c>
    </row>
    <row r="2267" spans="1:18" x14ac:dyDescent="0.25">
      <c r="A2267" t="s">
        <v>242</v>
      </c>
      <c r="B2267" s="1">
        <v>44273</v>
      </c>
      <c r="C2267" t="s">
        <v>1587</v>
      </c>
      <c r="D2267" t="s">
        <v>20</v>
      </c>
      <c r="E2267" t="s">
        <v>405</v>
      </c>
      <c r="F2267" t="s">
        <v>244</v>
      </c>
      <c r="G2267" t="s">
        <v>245</v>
      </c>
      <c r="H2267" t="s">
        <v>24</v>
      </c>
      <c r="I2267">
        <v>300</v>
      </c>
      <c r="J2267">
        <v>299.57</v>
      </c>
      <c r="K2267">
        <v>299.57</v>
      </c>
      <c r="L2267" t="s">
        <v>25</v>
      </c>
      <c r="M2267" t="s">
        <v>132</v>
      </c>
      <c r="N2267">
        <v>560000</v>
      </c>
      <c r="O2267">
        <v>167759200</v>
      </c>
      <c r="P2267" t="str">
        <f>IF(T[[#This Row],[qty_ordered]]&lt;&gt;T[[#This Row],[qty_received]],IF(T[[#This Row],[qty_received]]&gt;0,"Partial Received","Not Receviced"),"FullyReceived")</f>
        <v>Partial Received</v>
      </c>
      <c r="Q2267" t="str">
        <f>IF(T[[#This Row],[qty_received]]&lt;&gt;T[[#This Row],[qty_invoiced]],IF(T[[#This Row],[qty_invoiced]]&gt;0,"Partial Invoiced","Not Invoiced"),"Fully Invoiced")</f>
        <v>Fully Invoiced</v>
      </c>
      <c r="R2267" t="str">
        <f>IFERROR(VLOOKUP(T[[#This Row],[warehouse]],Table2[],2,FALSE),"--")</f>
        <v>GINNING ISHRAG-MDNI</v>
      </c>
    </row>
    <row r="2268" spans="1:18" x14ac:dyDescent="0.25">
      <c r="A2268" t="s">
        <v>560</v>
      </c>
      <c r="B2268" s="1">
        <v>44277</v>
      </c>
      <c r="C2268" t="s">
        <v>1331</v>
      </c>
      <c r="D2268" t="s">
        <v>20</v>
      </c>
      <c r="E2268" t="s">
        <v>51</v>
      </c>
      <c r="F2268" t="s">
        <v>164</v>
      </c>
      <c r="G2268" t="s">
        <v>792</v>
      </c>
      <c r="H2268" t="s">
        <v>54</v>
      </c>
      <c r="I2268">
        <v>24</v>
      </c>
      <c r="J2268">
        <v>0</v>
      </c>
      <c r="K2268">
        <v>1</v>
      </c>
      <c r="L2268" t="s">
        <v>25</v>
      </c>
      <c r="M2268" t="s">
        <v>533</v>
      </c>
      <c r="N2268">
        <v>1078.916667</v>
      </c>
      <c r="O2268">
        <v>0</v>
      </c>
      <c r="P2268" t="str">
        <f>IF(T[[#This Row],[qty_ordered]]&lt;&gt;T[[#This Row],[qty_received]],IF(T[[#This Row],[qty_received]]&gt;0,"Partial Received","Not Receviced"),"FullyReceived")</f>
        <v>Not Receviced</v>
      </c>
      <c r="Q2268" t="str">
        <f>IF(T[[#This Row],[qty_received]]&lt;&gt;T[[#This Row],[qty_invoiced]],IF(T[[#This Row],[qty_invoiced]]&gt;0,"Partial Invoiced","Not Invoiced"),"Fully Invoiced")</f>
        <v>Partial Invoiced</v>
      </c>
      <c r="R2268" t="str">
        <f>IFERROR(VLOOKUP(T[[#This Row],[warehouse]],Table2[],2,FALSE),"--")</f>
        <v>--</v>
      </c>
    </row>
    <row r="2269" spans="1:18" x14ac:dyDescent="0.25">
      <c r="A2269" t="s">
        <v>560</v>
      </c>
      <c r="B2269" s="1">
        <v>44277</v>
      </c>
      <c r="C2269" t="s">
        <v>1331</v>
      </c>
      <c r="D2269" t="s">
        <v>71</v>
      </c>
      <c r="E2269" t="s">
        <v>51</v>
      </c>
      <c r="F2269" t="s">
        <v>164</v>
      </c>
      <c r="G2269" t="s">
        <v>792</v>
      </c>
      <c r="H2269" t="s">
        <v>54</v>
      </c>
      <c r="I2269">
        <v>36</v>
      </c>
      <c r="J2269">
        <v>0</v>
      </c>
      <c r="K2269">
        <v>1</v>
      </c>
      <c r="L2269" t="s">
        <v>25</v>
      </c>
      <c r="M2269" t="s">
        <v>533</v>
      </c>
      <c r="N2269">
        <v>1006.722222</v>
      </c>
      <c r="O2269">
        <v>0</v>
      </c>
      <c r="P2269" t="str">
        <f>IF(T[[#This Row],[qty_ordered]]&lt;&gt;T[[#This Row],[qty_received]],IF(T[[#This Row],[qty_received]]&gt;0,"Partial Received","Not Receviced"),"FullyReceived")</f>
        <v>Not Receviced</v>
      </c>
      <c r="Q2269" t="str">
        <f>IF(T[[#This Row],[qty_received]]&lt;&gt;T[[#This Row],[qty_invoiced]],IF(T[[#This Row],[qty_invoiced]]&gt;0,"Partial Invoiced","Not Invoiced"),"Fully Invoiced")</f>
        <v>Partial Invoiced</v>
      </c>
      <c r="R2269" t="str">
        <f>IFERROR(VLOOKUP(T[[#This Row],[warehouse]],Table2[],2,FALSE),"--")</f>
        <v>--</v>
      </c>
    </row>
    <row r="2270" spans="1:18" x14ac:dyDescent="0.25">
      <c r="A2270" t="s">
        <v>959</v>
      </c>
      <c r="B2270" s="1">
        <v>44277</v>
      </c>
      <c r="C2270" t="s">
        <v>1311</v>
      </c>
      <c r="D2270" t="s">
        <v>20</v>
      </c>
      <c r="E2270" t="s">
        <v>214</v>
      </c>
      <c r="F2270" t="s">
        <v>526</v>
      </c>
      <c r="G2270" t="s">
        <v>472</v>
      </c>
      <c r="H2270" t="s">
        <v>123</v>
      </c>
      <c r="I2270">
        <v>20000</v>
      </c>
      <c r="J2270">
        <v>20000</v>
      </c>
      <c r="K2270">
        <v>20000</v>
      </c>
      <c r="L2270" t="s">
        <v>25</v>
      </c>
      <c r="M2270" t="s">
        <v>132</v>
      </c>
      <c r="N2270">
        <v>21000</v>
      </c>
      <c r="O2270">
        <v>420000000</v>
      </c>
      <c r="P2270" t="str">
        <f>IF(T[[#This Row],[qty_ordered]]&lt;&gt;T[[#This Row],[qty_received]],IF(T[[#This Row],[qty_received]]&gt;0,"Partial Received","Not Receviced"),"FullyReceived")</f>
        <v>FullyReceived</v>
      </c>
      <c r="Q2270" t="str">
        <f>IF(T[[#This Row],[qty_received]]&lt;&gt;T[[#This Row],[qty_invoiced]],IF(T[[#This Row],[qty_invoiced]]&gt;0,"Partial Invoiced","Not Invoiced"),"Fully Invoiced")</f>
        <v>Fully Invoiced</v>
      </c>
      <c r="R2270" t="str">
        <f>IFERROR(VLOOKUP(T[[#This Row],[warehouse]],Table2[],2,FALSE),"--")</f>
        <v>CRUSHER ELBALOLA</v>
      </c>
    </row>
    <row r="2271" spans="1:18" x14ac:dyDescent="0.25">
      <c r="A2271" t="s">
        <v>560</v>
      </c>
      <c r="B2271" s="1">
        <v>44251</v>
      </c>
      <c r="C2271" t="s">
        <v>1244</v>
      </c>
      <c r="D2271" t="s">
        <v>88</v>
      </c>
      <c r="E2271" t="s">
        <v>51</v>
      </c>
      <c r="F2271" t="s">
        <v>164</v>
      </c>
      <c r="G2271" t="s">
        <v>1333</v>
      </c>
      <c r="H2271" t="s">
        <v>54</v>
      </c>
      <c r="I2271">
        <v>30</v>
      </c>
      <c r="J2271">
        <v>0</v>
      </c>
      <c r="K2271">
        <v>1</v>
      </c>
      <c r="L2271" t="s">
        <v>25</v>
      </c>
      <c r="M2271" t="s">
        <v>533</v>
      </c>
      <c r="N2271">
        <v>900</v>
      </c>
      <c r="O2271">
        <v>0</v>
      </c>
      <c r="P2271" t="str">
        <f>IF(T[[#This Row],[qty_ordered]]&lt;&gt;T[[#This Row],[qty_received]],IF(T[[#This Row],[qty_received]]&gt;0,"Partial Received","Not Receviced"),"FullyReceived")</f>
        <v>Not Receviced</v>
      </c>
      <c r="Q2271" t="str">
        <f>IF(T[[#This Row],[qty_received]]&lt;&gt;T[[#This Row],[qty_invoiced]],IF(T[[#This Row],[qty_invoiced]]&gt;0,"Partial Invoiced","Not Invoiced"),"Fully Invoiced")</f>
        <v>Partial Invoiced</v>
      </c>
      <c r="R2271" t="str">
        <f>IFERROR(VLOOKUP(T[[#This Row],[warehouse]],Table2[],2,FALSE),"--")</f>
        <v>--</v>
      </c>
    </row>
    <row r="2272" spans="1:18" x14ac:dyDescent="0.25">
      <c r="A2272" t="s">
        <v>1114</v>
      </c>
      <c r="B2272" s="1">
        <v>44350</v>
      </c>
      <c r="C2272" t="s">
        <v>1391</v>
      </c>
      <c r="D2272" t="s">
        <v>88</v>
      </c>
      <c r="E2272" t="s">
        <v>660</v>
      </c>
      <c r="F2272" t="s">
        <v>1188</v>
      </c>
      <c r="G2272" t="s">
        <v>1189</v>
      </c>
      <c r="H2272" t="s">
        <v>1087</v>
      </c>
      <c r="I2272">
        <v>87</v>
      </c>
      <c r="J2272">
        <v>87</v>
      </c>
      <c r="K2272">
        <v>87</v>
      </c>
      <c r="L2272" t="s">
        <v>25</v>
      </c>
      <c r="M2272" t="s">
        <v>132</v>
      </c>
      <c r="N2272">
        <v>234597.70115000001</v>
      </c>
      <c r="O2272">
        <v>20410000.000050001</v>
      </c>
      <c r="P2272" t="str">
        <f>IF(T[[#This Row],[qty_ordered]]&lt;&gt;T[[#This Row],[qty_received]],IF(T[[#This Row],[qty_received]]&gt;0,"Partial Received","Not Receviced"),"FullyReceived")</f>
        <v>FullyReceived</v>
      </c>
      <c r="Q2272" t="str">
        <f>IF(T[[#This Row],[qty_received]]&lt;&gt;T[[#This Row],[qty_invoiced]],IF(T[[#This Row],[qty_invoiced]]&gt;0,"Partial Invoiced","Not Invoiced"),"Fully Invoiced")</f>
        <v>Fully Invoiced</v>
      </c>
      <c r="R2272" t="str">
        <f>IFERROR(VLOOKUP(T[[#This Row],[warehouse]],Table2[],2,FALSE),"--")</f>
        <v>SLAUGHTER HOUSE</v>
      </c>
    </row>
    <row r="2273" spans="1:18" x14ac:dyDescent="0.25">
      <c r="A2273" t="s">
        <v>228</v>
      </c>
      <c r="B2273" s="1">
        <v>44341</v>
      </c>
      <c r="C2273" t="s">
        <v>1428</v>
      </c>
      <c r="D2273" t="s">
        <v>71</v>
      </c>
      <c r="E2273" t="s">
        <v>621</v>
      </c>
      <c r="F2273" t="s">
        <v>196</v>
      </c>
      <c r="G2273" t="s">
        <v>197</v>
      </c>
      <c r="H2273" t="s">
        <v>24</v>
      </c>
      <c r="I2273">
        <v>2568</v>
      </c>
      <c r="J2273">
        <v>1498.7470000000001</v>
      </c>
      <c r="K2273">
        <v>1498.7470000000001</v>
      </c>
      <c r="L2273" t="s">
        <v>25</v>
      </c>
      <c r="M2273" t="s">
        <v>132</v>
      </c>
      <c r="N2273">
        <v>97352.024921999997</v>
      </c>
      <c r="O2273">
        <v>145906055.295773</v>
      </c>
      <c r="P2273" t="str">
        <f>IF(T[[#This Row],[qty_ordered]]&lt;&gt;T[[#This Row],[qty_received]],IF(T[[#This Row],[qty_received]]&gt;0,"Partial Received","Not Receviced"),"FullyReceived")</f>
        <v>Partial Received</v>
      </c>
      <c r="Q2273" t="str">
        <f>IF(T[[#This Row],[qty_received]]&lt;&gt;T[[#This Row],[qty_invoiced]],IF(T[[#This Row],[qty_invoiced]]&gt;0,"Partial Invoiced","Not Invoiced"),"Fully Invoiced")</f>
        <v>Fully Invoiced</v>
      </c>
      <c r="R2273" t="str">
        <f>IFERROR(VLOOKUP(T[[#This Row],[warehouse]],Table2[],2,FALSE),"--")</f>
        <v>SIFTER CONCRETE SILO</v>
      </c>
    </row>
    <row r="2274" spans="1:18" x14ac:dyDescent="0.25">
      <c r="A2274" t="s">
        <v>658</v>
      </c>
      <c r="B2274" s="1">
        <v>44363</v>
      </c>
      <c r="C2274" t="s">
        <v>1397</v>
      </c>
      <c r="D2274" t="s">
        <v>100</v>
      </c>
      <c r="E2274" t="s">
        <v>660</v>
      </c>
      <c r="F2274" t="s">
        <v>661</v>
      </c>
      <c r="G2274" t="s">
        <v>662</v>
      </c>
      <c r="H2274" t="s">
        <v>663</v>
      </c>
      <c r="I2274">
        <v>3025.7</v>
      </c>
      <c r="J2274">
        <v>3025.7</v>
      </c>
      <c r="K2274">
        <v>3025.7</v>
      </c>
      <c r="L2274" t="s">
        <v>25</v>
      </c>
      <c r="M2274" t="s">
        <v>132</v>
      </c>
      <c r="N2274">
        <v>1100.826</v>
      </c>
      <c r="O2274">
        <v>4538550</v>
      </c>
      <c r="P2274" t="str">
        <f>IF(T[[#This Row],[qty_ordered]]&lt;&gt;T[[#This Row],[qty_received]],IF(T[[#This Row],[qty_received]]&gt;0,"Partial Received","Not Receviced"),"FullyReceived")</f>
        <v>FullyReceived</v>
      </c>
      <c r="Q2274" t="str">
        <f>IF(T[[#This Row],[qty_received]]&lt;&gt;T[[#This Row],[qty_invoiced]],IF(T[[#This Row],[qty_invoiced]]&gt;0,"Partial Invoiced","Not Invoiced"),"Fully Invoiced")</f>
        <v>Fully Invoiced</v>
      </c>
      <c r="R2274" t="str">
        <f>IFERROR(VLOOKUP(T[[#This Row],[warehouse]],Table2[],2,FALSE),"--")</f>
        <v>SLAUGHTER HOUSE</v>
      </c>
    </row>
    <row r="2275" spans="1:18" x14ac:dyDescent="0.25">
      <c r="A2275" t="s">
        <v>1040</v>
      </c>
      <c r="B2275" s="1">
        <v>44369</v>
      </c>
      <c r="C2275" t="s">
        <v>1420</v>
      </c>
      <c r="D2275" t="s">
        <v>88</v>
      </c>
      <c r="E2275" t="s">
        <v>660</v>
      </c>
      <c r="F2275" t="s">
        <v>1042</v>
      </c>
      <c r="G2275" t="s">
        <v>1043</v>
      </c>
      <c r="H2275" t="s">
        <v>663</v>
      </c>
      <c r="I2275">
        <v>9387.7999999999993</v>
      </c>
      <c r="J2275">
        <v>9387.7999999999993</v>
      </c>
      <c r="K2275">
        <v>9387.7999999999993</v>
      </c>
      <c r="L2275" t="s">
        <v>25</v>
      </c>
      <c r="M2275" t="s">
        <v>132</v>
      </c>
      <c r="N2275">
        <v>2200.3440000000001</v>
      </c>
      <c r="O2275">
        <v>22342964</v>
      </c>
      <c r="P2275" t="str">
        <f>IF(T[[#This Row],[qty_ordered]]&lt;&gt;T[[#This Row],[qty_received]],IF(T[[#This Row],[qty_received]]&gt;0,"Partial Received","Not Receviced"),"FullyReceived")</f>
        <v>FullyReceived</v>
      </c>
      <c r="Q2275" t="str">
        <f>IF(T[[#This Row],[qty_received]]&lt;&gt;T[[#This Row],[qty_invoiced]],IF(T[[#This Row],[qty_invoiced]]&gt;0,"Partial Invoiced","Not Invoiced"),"Fully Invoiced")</f>
        <v>Fully Invoiced</v>
      </c>
      <c r="R2275" t="str">
        <f>IFERROR(VLOOKUP(T[[#This Row],[warehouse]],Table2[],2,FALSE),"--")</f>
        <v>SLAUGHTER HOUSE</v>
      </c>
    </row>
    <row r="2276" spans="1:18" x14ac:dyDescent="0.25">
      <c r="A2276" t="s">
        <v>1118</v>
      </c>
      <c r="B2276" s="1">
        <v>44378</v>
      </c>
      <c r="C2276" t="s">
        <v>1405</v>
      </c>
      <c r="D2276" t="s">
        <v>71</v>
      </c>
      <c r="E2276" t="s">
        <v>660</v>
      </c>
      <c r="F2276" t="s">
        <v>1042</v>
      </c>
      <c r="G2276" t="s">
        <v>1043</v>
      </c>
      <c r="H2276" t="s">
        <v>663</v>
      </c>
      <c r="I2276">
        <v>5068.2</v>
      </c>
      <c r="J2276">
        <v>5068.2</v>
      </c>
      <c r="K2276">
        <v>5068.2</v>
      </c>
      <c r="L2276" t="s">
        <v>25</v>
      </c>
      <c r="M2276" t="s">
        <v>132</v>
      </c>
      <c r="N2276">
        <v>2126.6260000000002</v>
      </c>
      <c r="O2276">
        <v>12670500</v>
      </c>
      <c r="P2276" t="str">
        <f>IF(T[[#This Row],[qty_ordered]]&lt;&gt;T[[#This Row],[qty_received]],IF(T[[#This Row],[qty_received]]&gt;0,"Partial Received","Not Receviced"),"FullyReceived")</f>
        <v>FullyReceived</v>
      </c>
      <c r="Q2276" t="str">
        <f>IF(T[[#This Row],[qty_received]]&lt;&gt;T[[#This Row],[qty_invoiced]],IF(T[[#This Row],[qty_invoiced]]&gt;0,"Partial Invoiced","Not Invoiced"),"Fully Invoiced")</f>
        <v>Fully Invoiced</v>
      </c>
      <c r="R2276" t="str">
        <f>IFERROR(VLOOKUP(T[[#This Row],[warehouse]],Table2[],2,FALSE),"--")</f>
        <v>SLAUGHTER HOUSE</v>
      </c>
    </row>
    <row r="2277" spans="1:18" x14ac:dyDescent="0.25">
      <c r="A2277" t="s">
        <v>423</v>
      </c>
      <c r="B2277" s="1">
        <v>44385</v>
      </c>
      <c r="C2277" t="s">
        <v>1588</v>
      </c>
      <c r="D2277" t="s">
        <v>20</v>
      </c>
      <c r="E2277" t="s">
        <v>146</v>
      </c>
      <c r="F2277" t="s">
        <v>943</v>
      </c>
      <c r="G2277" t="s">
        <v>944</v>
      </c>
      <c r="H2277" t="s">
        <v>149</v>
      </c>
      <c r="I2277">
        <v>50000</v>
      </c>
      <c r="J2277">
        <v>50000</v>
      </c>
      <c r="K2277">
        <v>50000</v>
      </c>
      <c r="L2277" t="s">
        <v>25</v>
      </c>
      <c r="M2277" t="s">
        <v>1404</v>
      </c>
      <c r="N2277">
        <v>138</v>
      </c>
      <c r="O2277">
        <v>6900000</v>
      </c>
      <c r="P2277" t="str">
        <f>IF(T[[#This Row],[qty_ordered]]&lt;&gt;T[[#This Row],[qty_received]],IF(T[[#This Row],[qty_received]]&gt;0,"Partial Received","Not Receviced"),"FullyReceived")</f>
        <v>FullyReceived</v>
      </c>
      <c r="Q2277" t="str">
        <f>IF(T[[#This Row],[qty_received]]&lt;&gt;T[[#This Row],[qty_invoiced]],IF(T[[#This Row],[qty_invoiced]]&gt;0,"Partial Invoiced","Not Invoiced"),"Fully Invoiced")</f>
        <v>Fully Invoiced</v>
      </c>
      <c r="R2277" t="str">
        <f>IFERROR(VLOOKUP(T[[#This Row],[warehouse]],Table2[],2,FALSE),"--")</f>
        <v>Khtoum Main Warehouse</v>
      </c>
    </row>
    <row r="2278" spans="1:18" x14ac:dyDescent="0.25">
      <c r="A2278" t="s">
        <v>658</v>
      </c>
      <c r="B2278" s="1">
        <v>44363</v>
      </c>
      <c r="C2278" t="s">
        <v>1397</v>
      </c>
      <c r="D2278" t="s">
        <v>88</v>
      </c>
      <c r="E2278" t="s">
        <v>660</v>
      </c>
      <c r="F2278" t="s">
        <v>661</v>
      </c>
      <c r="G2278" t="s">
        <v>662</v>
      </c>
      <c r="H2278" t="s">
        <v>663</v>
      </c>
      <c r="I2278">
        <v>2992.6</v>
      </c>
      <c r="J2278">
        <v>2992.6</v>
      </c>
      <c r="K2278">
        <v>2992.6</v>
      </c>
      <c r="L2278" t="s">
        <v>25</v>
      </c>
      <c r="M2278" t="s">
        <v>132</v>
      </c>
      <c r="N2278">
        <v>1100.826</v>
      </c>
      <c r="O2278">
        <v>3513954.0134399999</v>
      </c>
      <c r="P2278" t="str">
        <f>IF(T[[#This Row],[qty_ordered]]&lt;&gt;T[[#This Row],[qty_received]],IF(T[[#This Row],[qty_received]]&gt;0,"Partial Received","Not Receviced"),"FullyReceived")</f>
        <v>FullyReceived</v>
      </c>
      <c r="Q2278" t="str">
        <f>IF(T[[#This Row],[qty_received]]&lt;&gt;T[[#This Row],[qty_invoiced]],IF(T[[#This Row],[qty_invoiced]]&gt;0,"Partial Invoiced","Not Invoiced"),"Fully Invoiced")</f>
        <v>Fully Invoiced</v>
      </c>
      <c r="R2278" t="str">
        <f>IFERROR(VLOOKUP(T[[#This Row],[warehouse]],Table2[],2,FALSE),"--")</f>
        <v>SLAUGHTER HOUSE</v>
      </c>
    </row>
    <row r="2279" spans="1:18" x14ac:dyDescent="0.25">
      <c r="A2279" t="s">
        <v>1475</v>
      </c>
      <c r="B2279" s="1">
        <v>44313</v>
      </c>
      <c r="C2279" t="s">
        <v>1476</v>
      </c>
      <c r="D2279" t="s">
        <v>323</v>
      </c>
      <c r="E2279" t="s">
        <v>51</v>
      </c>
      <c r="F2279" t="s">
        <v>278</v>
      </c>
      <c r="G2279" t="s">
        <v>279</v>
      </c>
      <c r="H2279" t="s">
        <v>54</v>
      </c>
      <c r="I2279">
        <v>34000</v>
      </c>
      <c r="J2279">
        <v>0</v>
      </c>
      <c r="K2279">
        <v>1</v>
      </c>
      <c r="L2279" t="s">
        <v>25</v>
      </c>
      <c r="M2279" t="s">
        <v>533</v>
      </c>
      <c r="N2279">
        <v>37.794119999999999</v>
      </c>
      <c r="O2279">
        <v>0</v>
      </c>
      <c r="P2279" t="str">
        <f>IF(T[[#This Row],[qty_ordered]]&lt;&gt;T[[#This Row],[qty_received]],IF(T[[#This Row],[qty_received]]&gt;0,"Partial Received","Not Receviced"),"FullyReceived")</f>
        <v>Not Receviced</v>
      </c>
      <c r="Q2279" t="str">
        <f>IF(T[[#This Row],[qty_received]]&lt;&gt;T[[#This Row],[qty_invoiced]],IF(T[[#This Row],[qty_invoiced]]&gt;0,"Partial Invoiced","Not Invoiced"),"Fully Invoiced")</f>
        <v>Partial Invoiced</v>
      </c>
      <c r="R2279" t="str">
        <f>IFERROR(VLOOKUP(T[[#This Row],[warehouse]],Table2[],2,FALSE),"--")</f>
        <v>--</v>
      </c>
    </row>
    <row r="2280" spans="1:18" x14ac:dyDescent="0.25">
      <c r="A2280" t="s">
        <v>201</v>
      </c>
      <c r="B2280" s="1">
        <v>44300</v>
      </c>
      <c r="C2280" t="s">
        <v>1298</v>
      </c>
      <c r="D2280" t="s">
        <v>71</v>
      </c>
      <c r="E2280" t="s">
        <v>51</v>
      </c>
      <c r="F2280" t="s">
        <v>933</v>
      </c>
      <c r="G2280" t="s">
        <v>933</v>
      </c>
      <c r="H2280" t="s">
        <v>54</v>
      </c>
      <c r="I2280">
        <v>1</v>
      </c>
      <c r="J2280">
        <v>0</v>
      </c>
      <c r="K2280">
        <v>1</v>
      </c>
      <c r="L2280" t="s">
        <v>25</v>
      </c>
      <c r="M2280" t="s">
        <v>575</v>
      </c>
      <c r="N2280">
        <v>9031145.9869619999</v>
      </c>
      <c r="O2280">
        <v>0</v>
      </c>
      <c r="P2280" t="str">
        <f>IF(T[[#This Row],[qty_ordered]]&lt;&gt;T[[#This Row],[qty_received]],IF(T[[#This Row],[qty_received]]&gt;0,"Partial Received","Not Receviced"),"FullyReceived")</f>
        <v>Not Receviced</v>
      </c>
      <c r="Q2280" t="str">
        <f>IF(T[[#This Row],[qty_received]]&lt;&gt;T[[#This Row],[qty_invoiced]],IF(T[[#This Row],[qty_invoiced]]&gt;0,"Partial Invoiced","Not Invoiced"),"Fully Invoiced")</f>
        <v>Partial Invoiced</v>
      </c>
      <c r="R2280" t="str">
        <f>IFERROR(VLOOKUP(T[[#This Row],[warehouse]],Table2[],2,FALSE),"--")</f>
        <v>--</v>
      </c>
    </row>
    <row r="2281" spans="1:18" x14ac:dyDescent="0.25">
      <c r="A2281" t="s">
        <v>1118</v>
      </c>
      <c r="B2281" s="1">
        <v>44378</v>
      </c>
      <c r="C2281" t="s">
        <v>1405</v>
      </c>
      <c r="D2281" t="s">
        <v>100</v>
      </c>
      <c r="E2281" t="s">
        <v>660</v>
      </c>
      <c r="F2281" t="s">
        <v>1042</v>
      </c>
      <c r="G2281" t="s">
        <v>1043</v>
      </c>
      <c r="H2281" t="s">
        <v>663</v>
      </c>
      <c r="I2281">
        <v>4850</v>
      </c>
      <c r="J2281">
        <v>4850</v>
      </c>
      <c r="K2281">
        <v>4850</v>
      </c>
      <c r="L2281" t="s">
        <v>25</v>
      </c>
      <c r="M2281" t="s">
        <v>132</v>
      </c>
      <c r="N2281">
        <v>2126.6260000000002</v>
      </c>
      <c r="O2281">
        <v>11785500</v>
      </c>
      <c r="P2281" t="str">
        <f>IF(T[[#This Row],[qty_ordered]]&lt;&gt;T[[#This Row],[qty_received]],IF(T[[#This Row],[qty_received]]&gt;0,"Partial Received","Not Receviced"),"FullyReceived")</f>
        <v>FullyReceived</v>
      </c>
      <c r="Q2281" t="str">
        <f>IF(T[[#This Row],[qty_received]]&lt;&gt;T[[#This Row],[qty_invoiced]],IF(T[[#This Row],[qty_invoiced]]&gt;0,"Partial Invoiced","Not Invoiced"),"Fully Invoiced")</f>
        <v>Fully Invoiced</v>
      </c>
      <c r="R2281" t="str">
        <f>IFERROR(VLOOKUP(T[[#This Row],[warehouse]],Table2[],2,FALSE),"--")</f>
        <v>SLAUGHTER HOUSE</v>
      </c>
    </row>
    <row r="2282" spans="1:18" x14ac:dyDescent="0.25">
      <c r="A2282" t="s">
        <v>1040</v>
      </c>
      <c r="B2282" s="1">
        <v>44369</v>
      </c>
      <c r="C2282" t="s">
        <v>1420</v>
      </c>
      <c r="D2282" t="s">
        <v>74</v>
      </c>
      <c r="E2282" t="s">
        <v>660</v>
      </c>
      <c r="F2282" t="s">
        <v>1042</v>
      </c>
      <c r="G2282" t="s">
        <v>1043</v>
      </c>
      <c r="H2282" t="s">
        <v>663</v>
      </c>
      <c r="I2282">
        <v>3804.9</v>
      </c>
      <c r="J2282">
        <v>3804.9</v>
      </c>
      <c r="K2282">
        <v>3804.9</v>
      </c>
      <c r="L2282" t="s">
        <v>25</v>
      </c>
      <c r="M2282" t="s">
        <v>132</v>
      </c>
      <c r="N2282">
        <v>2380</v>
      </c>
      <c r="O2282">
        <v>9055662</v>
      </c>
      <c r="P2282" t="str">
        <f>IF(T[[#This Row],[qty_ordered]]&lt;&gt;T[[#This Row],[qty_received]],IF(T[[#This Row],[qty_received]]&gt;0,"Partial Received","Not Receviced"),"FullyReceived")</f>
        <v>FullyReceived</v>
      </c>
      <c r="Q2282" t="str">
        <f>IF(T[[#This Row],[qty_received]]&lt;&gt;T[[#This Row],[qty_invoiced]],IF(T[[#This Row],[qty_invoiced]]&gt;0,"Partial Invoiced","Not Invoiced"),"Fully Invoiced")</f>
        <v>Fully Invoiced</v>
      </c>
      <c r="R2282" t="str">
        <f>IFERROR(VLOOKUP(T[[#This Row],[warehouse]],Table2[],2,FALSE),"--")</f>
        <v>SLAUGHTER HOUSE</v>
      </c>
    </row>
    <row r="2283" spans="1:18" x14ac:dyDescent="0.25">
      <c r="A2283" t="s">
        <v>1118</v>
      </c>
      <c r="B2283" s="1">
        <v>44378</v>
      </c>
      <c r="C2283" t="s">
        <v>1405</v>
      </c>
      <c r="D2283" t="s">
        <v>88</v>
      </c>
      <c r="E2283" t="s">
        <v>660</v>
      </c>
      <c r="F2283" t="s">
        <v>1042</v>
      </c>
      <c r="G2283" t="s">
        <v>1043</v>
      </c>
      <c r="H2283" t="s">
        <v>663</v>
      </c>
      <c r="I2283">
        <v>2833.3</v>
      </c>
      <c r="J2283">
        <v>2833.3</v>
      </c>
      <c r="K2283">
        <v>2833.3</v>
      </c>
      <c r="L2283" t="s">
        <v>25</v>
      </c>
      <c r="M2283" t="s">
        <v>132</v>
      </c>
      <c r="N2283">
        <v>2126.6260000000002</v>
      </c>
      <c r="O2283">
        <v>7083250</v>
      </c>
      <c r="P2283" t="str">
        <f>IF(T[[#This Row],[qty_ordered]]&lt;&gt;T[[#This Row],[qty_received]],IF(T[[#This Row],[qty_received]]&gt;0,"Partial Received","Not Receviced"),"FullyReceived")</f>
        <v>FullyReceived</v>
      </c>
      <c r="Q2283" t="str">
        <f>IF(T[[#This Row],[qty_received]]&lt;&gt;T[[#This Row],[qty_invoiced]],IF(T[[#This Row],[qty_invoiced]]&gt;0,"Partial Invoiced","Not Invoiced"),"Fully Invoiced")</f>
        <v>Fully Invoiced</v>
      </c>
      <c r="R2283" t="str">
        <f>IFERROR(VLOOKUP(T[[#This Row],[warehouse]],Table2[],2,FALSE),"--")</f>
        <v>SLAUGHTER HOUSE</v>
      </c>
    </row>
    <row r="2284" spans="1:18" x14ac:dyDescent="0.25">
      <c r="A2284" t="s">
        <v>252</v>
      </c>
      <c r="B2284" s="1">
        <v>44531</v>
      </c>
      <c r="C2284" t="s">
        <v>1491</v>
      </c>
      <c r="D2284" t="s">
        <v>325</v>
      </c>
      <c r="E2284" t="s">
        <v>51</v>
      </c>
      <c r="F2284" t="s">
        <v>183</v>
      </c>
      <c r="G2284" t="s">
        <v>1589</v>
      </c>
      <c r="H2284" t="s">
        <v>54</v>
      </c>
      <c r="I2284">
        <v>141.80000000000001</v>
      </c>
      <c r="J2284">
        <v>0</v>
      </c>
      <c r="K2284">
        <v>1</v>
      </c>
      <c r="L2284" t="s">
        <v>693</v>
      </c>
      <c r="M2284" t="s">
        <v>533</v>
      </c>
      <c r="N2284">
        <v>7000</v>
      </c>
      <c r="O2284">
        <v>0</v>
      </c>
      <c r="P2284" t="str">
        <f>IF(T[[#This Row],[qty_ordered]]&lt;&gt;T[[#This Row],[qty_received]],IF(T[[#This Row],[qty_received]]&gt;0,"Partial Received","Not Receviced"),"FullyReceived")</f>
        <v>Not Receviced</v>
      </c>
      <c r="Q2284" t="str">
        <f>IF(T[[#This Row],[qty_received]]&lt;&gt;T[[#This Row],[qty_invoiced]],IF(T[[#This Row],[qty_invoiced]]&gt;0,"Partial Invoiced","Not Invoiced"),"Fully Invoiced")</f>
        <v>Partial Invoiced</v>
      </c>
      <c r="R2284" t="str">
        <f>IFERROR(VLOOKUP(T[[#This Row],[warehouse]],Table2[],2,FALSE),"--")</f>
        <v>--</v>
      </c>
    </row>
    <row r="2285" spans="1:18" x14ac:dyDescent="0.25">
      <c r="A2285" t="s">
        <v>252</v>
      </c>
      <c r="B2285" s="1">
        <v>44634</v>
      </c>
      <c r="C2285" t="s">
        <v>1590</v>
      </c>
      <c r="D2285" t="s">
        <v>71</v>
      </c>
      <c r="E2285" t="s">
        <v>51</v>
      </c>
      <c r="F2285" t="s">
        <v>183</v>
      </c>
      <c r="G2285" t="s">
        <v>1514</v>
      </c>
      <c r="H2285" t="s">
        <v>54</v>
      </c>
      <c r="I2285">
        <v>134.1</v>
      </c>
      <c r="J2285">
        <v>0</v>
      </c>
      <c r="K2285">
        <v>1</v>
      </c>
      <c r="L2285" t="s">
        <v>693</v>
      </c>
      <c r="M2285" t="s">
        <v>533</v>
      </c>
      <c r="N2285">
        <v>7000</v>
      </c>
      <c r="O2285">
        <v>0</v>
      </c>
      <c r="P2285" t="str">
        <f>IF(T[[#This Row],[qty_ordered]]&lt;&gt;T[[#This Row],[qty_received]],IF(T[[#This Row],[qty_received]]&gt;0,"Partial Received","Not Receviced"),"FullyReceived")</f>
        <v>Not Receviced</v>
      </c>
      <c r="Q2285" t="str">
        <f>IF(T[[#This Row],[qty_received]]&lt;&gt;T[[#This Row],[qty_invoiced]],IF(T[[#This Row],[qty_invoiced]]&gt;0,"Partial Invoiced","Not Invoiced"),"Fully Invoiced")</f>
        <v>Partial Invoiced</v>
      </c>
      <c r="R2285" t="str">
        <f>IFERROR(VLOOKUP(T[[#This Row],[warehouse]],Table2[],2,FALSE),"--")</f>
        <v>--</v>
      </c>
    </row>
    <row r="2286" spans="1:18" x14ac:dyDescent="0.25">
      <c r="A2286" t="s">
        <v>1591</v>
      </c>
      <c r="B2286" s="1">
        <v>44594</v>
      </c>
      <c r="C2286" t="s">
        <v>1592</v>
      </c>
      <c r="D2286" t="s">
        <v>322</v>
      </c>
      <c r="E2286" t="s">
        <v>51</v>
      </c>
      <c r="F2286" t="s">
        <v>52</v>
      </c>
      <c r="G2286" t="s">
        <v>1593</v>
      </c>
      <c r="H2286" t="s">
        <v>54</v>
      </c>
      <c r="I2286">
        <v>458.29</v>
      </c>
      <c r="J2286">
        <v>0</v>
      </c>
      <c r="K2286">
        <v>1</v>
      </c>
      <c r="L2286" t="s">
        <v>693</v>
      </c>
      <c r="M2286" t="s">
        <v>132</v>
      </c>
      <c r="N2286">
        <v>34002</v>
      </c>
      <c r="O2286">
        <v>0</v>
      </c>
      <c r="P2286" t="str">
        <f>IF(T[[#This Row],[qty_ordered]]&lt;&gt;T[[#This Row],[qty_received]],IF(T[[#This Row],[qty_received]]&gt;0,"Partial Received","Not Receviced"),"FullyReceived")</f>
        <v>Not Receviced</v>
      </c>
      <c r="Q2286" t="str">
        <f>IF(T[[#This Row],[qty_received]]&lt;&gt;T[[#This Row],[qty_invoiced]],IF(T[[#This Row],[qty_invoiced]]&gt;0,"Partial Invoiced","Not Invoiced"),"Fully Invoiced")</f>
        <v>Partial Invoiced</v>
      </c>
      <c r="R2286" t="str">
        <f>IFERROR(VLOOKUP(T[[#This Row],[warehouse]],Table2[],2,FALSE),"--")</f>
        <v>--</v>
      </c>
    </row>
    <row r="2287" spans="1:18" x14ac:dyDescent="0.25">
      <c r="A2287" t="s">
        <v>852</v>
      </c>
      <c r="B2287" s="1">
        <v>44200</v>
      </c>
      <c r="C2287" t="s">
        <v>1138</v>
      </c>
      <c r="D2287" t="s">
        <v>323</v>
      </c>
      <c r="E2287" t="s">
        <v>51</v>
      </c>
      <c r="F2287" t="s">
        <v>52</v>
      </c>
      <c r="G2287" t="s">
        <v>53</v>
      </c>
      <c r="H2287" t="s">
        <v>54</v>
      </c>
      <c r="I2287">
        <v>1</v>
      </c>
      <c r="J2287">
        <v>0</v>
      </c>
      <c r="K2287">
        <v>0</v>
      </c>
      <c r="L2287" t="s">
        <v>25</v>
      </c>
      <c r="M2287" t="s">
        <v>132</v>
      </c>
      <c r="N2287">
        <v>2640000</v>
      </c>
      <c r="O2287">
        <v>0</v>
      </c>
      <c r="P2287" t="str">
        <f>IF(T[[#This Row],[qty_ordered]]&lt;&gt;T[[#This Row],[qty_received]],IF(T[[#This Row],[qty_received]]&gt;0,"Partial Received","Not Receviced"),"FullyReceived")</f>
        <v>Not Receviced</v>
      </c>
      <c r="Q2287" t="str">
        <f>IF(T[[#This Row],[qty_received]]&lt;&gt;T[[#This Row],[qty_invoiced]],IF(T[[#This Row],[qty_invoiced]]&gt;0,"Partial Invoiced","Not Invoiced"),"Fully Invoiced")</f>
        <v>Fully Invoiced</v>
      </c>
      <c r="R2287" t="str">
        <f>IFERROR(VLOOKUP(T[[#This Row],[warehouse]],Table2[],2,FALSE),"--")</f>
        <v>--</v>
      </c>
    </row>
    <row r="2288" spans="1:18" x14ac:dyDescent="0.25">
      <c r="A2288" t="s">
        <v>852</v>
      </c>
      <c r="B2288" s="1">
        <v>44200</v>
      </c>
      <c r="C2288" t="s">
        <v>1138</v>
      </c>
      <c r="D2288" t="s">
        <v>324</v>
      </c>
      <c r="E2288" t="s">
        <v>51</v>
      </c>
      <c r="F2288" t="s">
        <v>52</v>
      </c>
      <c r="G2288" t="s">
        <v>53</v>
      </c>
      <c r="H2288" t="s">
        <v>54</v>
      </c>
      <c r="I2288">
        <v>1</v>
      </c>
      <c r="J2288">
        <v>0</v>
      </c>
      <c r="K2288">
        <v>0</v>
      </c>
      <c r="L2288" t="s">
        <v>25</v>
      </c>
      <c r="M2288" t="s">
        <v>132</v>
      </c>
      <c r="N2288">
        <v>840000</v>
      </c>
      <c r="O2288">
        <v>0</v>
      </c>
      <c r="P2288" t="str">
        <f>IF(T[[#This Row],[qty_ordered]]&lt;&gt;T[[#This Row],[qty_received]],IF(T[[#This Row],[qty_received]]&gt;0,"Partial Received","Not Receviced"),"FullyReceived")</f>
        <v>Not Receviced</v>
      </c>
      <c r="Q2288" t="str">
        <f>IF(T[[#This Row],[qty_received]]&lt;&gt;T[[#This Row],[qty_invoiced]],IF(T[[#This Row],[qty_invoiced]]&gt;0,"Partial Invoiced","Not Invoiced"),"Fully Invoiced")</f>
        <v>Fully Invoiced</v>
      </c>
      <c r="R2288" t="str">
        <f>IFERROR(VLOOKUP(T[[#This Row],[warehouse]],Table2[],2,FALSE),"--")</f>
        <v>--</v>
      </c>
    </row>
    <row r="2289" spans="1:18" x14ac:dyDescent="0.25">
      <c r="A2289" t="s">
        <v>423</v>
      </c>
      <c r="B2289" s="1">
        <v>44599</v>
      </c>
      <c r="C2289" t="s">
        <v>1567</v>
      </c>
      <c r="D2289" t="s">
        <v>88</v>
      </c>
      <c r="E2289" t="s">
        <v>51</v>
      </c>
      <c r="F2289" t="s">
        <v>546</v>
      </c>
      <c r="G2289" t="s">
        <v>1594</v>
      </c>
      <c r="H2289" t="s">
        <v>54</v>
      </c>
      <c r="I2289">
        <v>15000</v>
      </c>
      <c r="J2289">
        <v>0</v>
      </c>
      <c r="K2289">
        <v>1</v>
      </c>
      <c r="L2289" t="s">
        <v>693</v>
      </c>
      <c r="M2289" t="s">
        <v>533</v>
      </c>
      <c r="N2289">
        <v>24</v>
      </c>
      <c r="O2289">
        <v>0</v>
      </c>
      <c r="P2289" t="str">
        <f>IF(T[[#This Row],[qty_ordered]]&lt;&gt;T[[#This Row],[qty_received]],IF(T[[#This Row],[qty_received]]&gt;0,"Partial Received","Not Receviced"),"FullyReceived")</f>
        <v>Not Receviced</v>
      </c>
      <c r="Q2289" t="str">
        <f>IF(T[[#This Row],[qty_received]]&lt;&gt;T[[#This Row],[qty_invoiced]],IF(T[[#This Row],[qty_invoiced]]&gt;0,"Partial Invoiced","Not Invoiced"),"Fully Invoiced")</f>
        <v>Partial Invoiced</v>
      </c>
      <c r="R2289" t="str">
        <f>IFERROR(VLOOKUP(T[[#This Row],[warehouse]],Table2[],2,FALSE),"--")</f>
        <v>--</v>
      </c>
    </row>
    <row r="2290" spans="1:18" x14ac:dyDescent="0.25">
      <c r="A2290" t="s">
        <v>1312</v>
      </c>
      <c r="B2290" s="1">
        <v>44623</v>
      </c>
      <c r="C2290" t="s">
        <v>1595</v>
      </c>
      <c r="D2290" t="s">
        <v>71</v>
      </c>
      <c r="E2290" t="s">
        <v>51</v>
      </c>
      <c r="F2290" t="s">
        <v>933</v>
      </c>
      <c r="G2290" t="s">
        <v>1596</v>
      </c>
      <c r="H2290" t="s">
        <v>54</v>
      </c>
      <c r="I2290">
        <v>1</v>
      </c>
      <c r="J2290">
        <v>0</v>
      </c>
      <c r="K2290">
        <v>0</v>
      </c>
      <c r="L2290" t="s">
        <v>25</v>
      </c>
      <c r="M2290" t="s">
        <v>1223</v>
      </c>
      <c r="N2290">
        <v>1683300</v>
      </c>
      <c r="O2290">
        <v>0</v>
      </c>
      <c r="P2290" t="str">
        <f>IF(T[[#This Row],[qty_ordered]]&lt;&gt;T[[#This Row],[qty_received]],IF(T[[#This Row],[qty_received]]&gt;0,"Partial Received","Not Receviced"),"FullyReceived")</f>
        <v>Not Receviced</v>
      </c>
      <c r="Q2290" t="str">
        <f>IF(T[[#This Row],[qty_received]]&lt;&gt;T[[#This Row],[qty_invoiced]],IF(T[[#This Row],[qty_invoiced]]&gt;0,"Partial Invoiced","Not Invoiced"),"Fully Invoiced")</f>
        <v>Fully Invoiced</v>
      </c>
      <c r="R2290" t="str">
        <f>IFERROR(VLOOKUP(T[[#This Row],[warehouse]],Table2[],2,FALSE),"--")</f>
        <v>--</v>
      </c>
    </row>
    <row r="2291" spans="1:18" x14ac:dyDescent="0.25">
      <c r="A2291" t="s">
        <v>1597</v>
      </c>
      <c r="B2291" s="1">
        <v>44663</v>
      </c>
      <c r="C2291" t="s">
        <v>1598</v>
      </c>
      <c r="D2291" t="s">
        <v>20</v>
      </c>
      <c r="E2291" t="s">
        <v>660</v>
      </c>
      <c r="F2291" t="s">
        <v>1451</v>
      </c>
      <c r="G2291" t="s">
        <v>1452</v>
      </c>
      <c r="H2291" t="s">
        <v>1087</v>
      </c>
      <c r="I2291">
        <v>473</v>
      </c>
      <c r="J2291">
        <v>0</v>
      </c>
      <c r="K2291">
        <v>0</v>
      </c>
      <c r="L2291" t="s">
        <v>693</v>
      </c>
      <c r="M2291" t="s">
        <v>1485</v>
      </c>
      <c r="N2291">
        <v>33938.372092999998</v>
      </c>
      <c r="O2291">
        <v>0</v>
      </c>
      <c r="P2291" t="str">
        <f>IF(T[[#This Row],[qty_ordered]]&lt;&gt;T[[#This Row],[qty_received]],IF(T[[#This Row],[qty_received]]&gt;0,"Partial Received","Not Receviced"),"FullyReceived")</f>
        <v>Not Receviced</v>
      </c>
      <c r="Q2291" t="str">
        <f>IF(T[[#This Row],[qty_received]]&lt;&gt;T[[#This Row],[qty_invoiced]],IF(T[[#This Row],[qty_invoiced]]&gt;0,"Partial Invoiced","Not Invoiced"),"Fully Invoiced")</f>
        <v>Fully Invoiced</v>
      </c>
      <c r="R2291" t="str">
        <f>IFERROR(VLOOKUP(T[[#This Row],[warehouse]],Table2[],2,FALSE),"--")</f>
        <v>SLAUGHTER HOUSE</v>
      </c>
    </row>
    <row r="2292" spans="1:18" x14ac:dyDescent="0.25">
      <c r="A2292" t="s">
        <v>1194</v>
      </c>
      <c r="B2292" s="1">
        <v>44586</v>
      </c>
      <c r="C2292" t="s">
        <v>1599</v>
      </c>
      <c r="D2292" t="s">
        <v>212</v>
      </c>
      <c r="E2292" t="s">
        <v>723</v>
      </c>
      <c r="F2292" t="s">
        <v>219</v>
      </c>
      <c r="G2292" t="s">
        <v>724</v>
      </c>
      <c r="H2292" t="s">
        <v>221</v>
      </c>
      <c r="I2292">
        <v>11681.412</v>
      </c>
      <c r="J2292">
        <v>0</v>
      </c>
      <c r="K2292">
        <v>0</v>
      </c>
      <c r="L2292" t="s">
        <v>693</v>
      </c>
      <c r="M2292" t="s">
        <v>132</v>
      </c>
      <c r="N2292">
        <v>28250.009502000001</v>
      </c>
      <c r="O2292">
        <v>0</v>
      </c>
      <c r="P2292" t="str">
        <f>IF(T[[#This Row],[qty_ordered]]&lt;&gt;T[[#This Row],[qty_received]],IF(T[[#This Row],[qty_received]]&gt;0,"Partial Received","Not Receviced"),"FullyReceived")</f>
        <v>Not Receviced</v>
      </c>
      <c r="Q2292" t="str">
        <f>IF(T[[#This Row],[qty_received]]&lt;&gt;T[[#This Row],[qty_invoiced]],IF(T[[#This Row],[qty_invoiced]]&gt;0,"Partial Invoiced","Not Invoiced"),"Fully Invoiced")</f>
        <v>Fully Invoiced</v>
      </c>
      <c r="R2292" t="str">
        <f>IFERROR(VLOOKUP(T[[#This Row],[warehouse]],Table2[],2,FALSE),"--")</f>
        <v>YELLOW BEANS</v>
      </c>
    </row>
    <row r="2293" spans="1:18" x14ac:dyDescent="0.25">
      <c r="A2293" t="s">
        <v>1194</v>
      </c>
      <c r="B2293" s="1">
        <v>44586</v>
      </c>
      <c r="C2293" t="s">
        <v>1599</v>
      </c>
      <c r="D2293" t="s">
        <v>322</v>
      </c>
      <c r="E2293" t="s">
        <v>723</v>
      </c>
      <c r="F2293" t="s">
        <v>219</v>
      </c>
      <c r="G2293" t="s">
        <v>724</v>
      </c>
      <c r="H2293" t="s">
        <v>221</v>
      </c>
      <c r="I2293">
        <v>7079.6459999999997</v>
      </c>
      <c r="J2293">
        <v>0</v>
      </c>
      <c r="K2293">
        <v>0</v>
      </c>
      <c r="L2293" t="s">
        <v>693</v>
      </c>
      <c r="M2293" t="s">
        <v>132</v>
      </c>
      <c r="N2293">
        <v>28250.000069999998</v>
      </c>
      <c r="O2293">
        <v>0</v>
      </c>
      <c r="P2293" t="str">
        <f>IF(T[[#This Row],[qty_ordered]]&lt;&gt;T[[#This Row],[qty_received]],IF(T[[#This Row],[qty_received]]&gt;0,"Partial Received","Not Receviced"),"FullyReceived")</f>
        <v>Not Receviced</v>
      </c>
      <c r="Q2293" t="str">
        <f>IF(T[[#This Row],[qty_received]]&lt;&gt;T[[#This Row],[qty_invoiced]],IF(T[[#This Row],[qty_invoiced]]&gt;0,"Partial Invoiced","Not Invoiced"),"Fully Invoiced")</f>
        <v>Fully Invoiced</v>
      </c>
      <c r="R2293" t="str">
        <f>IFERROR(VLOOKUP(T[[#This Row],[warehouse]],Table2[],2,FALSE),"--")</f>
        <v>YELLOW BEANS</v>
      </c>
    </row>
    <row r="2294" spans="1:18" x14ac:dyDescent="0.25">
      <c r="A2294" t="s">
        <v>1600</v>
      </c>
      <c r="B2294" s="1">
        <v>44668</v>
      </c>
      <c r="C2294" t="s">
        <v>1601</v>
      </c>
      <c r="D2294" t="s">
        <v>100</v>
      </c>
      <c r="E2294" t="s">
        <v>51</v>
      </c>
      <c r="F2294" t="s">
        <v>52</v>
      </c>
      <c r="G2294" t="s">
        <v>1602</v>
      </c>
      <c r="H2294" t="s">
        <v>54</v>
      </c>
      <c r="I2294">
        <v>4</v>
      </c>
      <c r="J2294">
        <v>0</v>
      </c>
      <c r="K2294">
        <v>1</v>
      </c>
      <c r="L2294" t="s">
        <v>693</v>
      </c>
      <c r="M2294" t="s">
        <v>132</v>
      </c>
      <c r="N2294">
        <v>200000</v>
      </c>
      <c r="O2294">
        <v>0</v>
      </c>
      <c r="P2294" t="str">
        <f>IF(T[[#This Row],[qty_ordered]]&lt;&gt;T[[#This Row],[qty_received]],IF(T[[#This Row],[qty_received]]&gt;0,"Partial Received","Not Receviced"),"FullyReceived")</f>
        <v>Not Receviced</v>
      </c>
      <c r="Q2294" t="str">
        <f>IF(T[[#This Row],[qty_received]]&lt;&gt;T[[#This Row],[qty_invoiced]],IF(T[[#This Row],[qty_invoiced]]&gt;0,"Partial Invoiced","Not Invoiced"),"Fully Invoiced")</f>
        <v>Partial Invoiced</v>
      </c>
      <c r="R2294" t="str">
        <f>IFERROR(VLOOKUP(T[[#This Row],[warehouse]],Table2[],2,FALSE),"--")</f>
        <v>--</v>
      </c>
    </row>
    <row r="2295" spans="1:18" x14ac:dyDescent="0.25">
      <c r="A2295" t="s">
        <v>1603</v>
      </c>
      <c r="B2295" s="1">
        <v>44665</v>
      </c>
      <c r="C2295" t="s">
        <v>1604</v>
      </c>
      <c r="D2295" t="s">
        <v>20</v>
      </c>
      <c r="E2295" t="s">
        <v>51</v>
      </c>
      <c r="F2295" t="s">
        <v>164</v>
      </c>
      <c r="G2295" t="s">
        <v>1605</v>
      </c>
      <c r="H2295" t="s">
        <v>54</v>
      </c>
      <c r="I2295">
        <v>5250</v>
      </c>
      <c r="J2295">
        <v>0</v>
      </c>
      <c r="K2295">
        <v>1</v>
      </c>
      <c r="L2295" t="s">
        <v>693</v>
      </c>
      <c r="M2295" t="s">
        <v>2836</v>
      </c>
      <c r="N2295">
        <v>145</v>
      </c>
      <c r="O2295">
        <v>0</v>
      </c>
      <c r="P2295" t="str">
        <f>IF(T[[#This Row],[qty_ordered]]&lt;&gt;T[[#This Row],[qty_received]],IF(T[[#This Row],[qty_received]]&gt;0,"Partial Received","Not Receviced"),"FullyReceived")</f>
        <v>Not Receviced</v>
      </c>
      <c r="Q2295" t="str">
        <f>IF(T[[#This Row],[qty_received]]&lt;&gt;T[[#This Row],[qty_invoiced]],IF(T[[#This Row],[qty_invoiced]]&gt;0,"Partial Invoiced","Not Invoiced"),"Fully Invoiced")</f>
        <v>Partial Invoiced</v>
      </c>
      <c r="R2295" t="str">
        <f>IFERROR(VLOOKUP(T[[#This Row],[warehouse]],Table2[],2,FALSE),"--")</f>
        <v>--</v>
      </c>
    </row>
    <row r="2296" spans="1:18" x14ac:dyDescent="0.25">
      <c r="A2296" t="s">
        <v>423</v>
      </c>
      <c r="B2296" s="1">
        <v>44546</v>
      </c>
      <c r="C2296" t="s">
        <v>1498</v>
      </c>
      <c r="D2296" t="s">
        <v>88</v>
      </c>
      <c r="E2296" t="s">
        <v>51</v>
      </c>
      <c r="F2296" t="s">
        <v>546</v>
      </c>
      <c r="G2296" t="s">
        <v>1606</v>
      </c>
      <c r="H2296" t="s">
        <v>54</v>
      </c>
      <c r="I2296">
        <v>10000</v>
      </c>
      <c r="J2296">
        <v>0</v>
      </c>
      <c r="K2296">
        <v>1</v>
      </c>
      <c r="L2296" t="s">
        <v>693</v>
      </c>
      <c r="M2296" t="s">
        <v>2836</v>
      </c>
      <c r="N2296">
        <v>16.5</v>
      </c>
      <c r="O2296">
        <v>0</v>
      </c>
      <c r="P2296" t="str">
        <f>IF(T[[#This Row],[qty_ordered]]&lt;&gt;T[[#This Row],[qty_received]],IF(T[[#This Row],[qty_received]]&gt;0,"Partial Received","Not Receviced"),"FullyReceived")</f>
        <v>Not Receviced</v>
      </c>
      <c r="Q2296" t="str">
        <f>IF(T[[#This Row],[qty_received]]&lt;&gt;T[[#This Row],[qty_invoiced]],IF(T[[#This Row],[qty_invoiced]]&gt;0,"Partial Invoiced","Not Invoiced"),"Fully Invoiced")</f>
        <v>Partial Invoiced</v>
      </c>
      <c r="R2296" t="str">
        <f>IFERROR(VLOOKUP(T[[#This Row],[warehouse]],Table2[],2,FALSE),"--")</f>
        <v>--</v>
      </c>
    </row>
    <row r="2297" spans="1:18" x14ac:dyDescent="0.25">
      <c r="A2297" t="s">
        <v>1607</v>
      </c>
      <c r="B2297" s="1">
        <v>44662</v>
      </c>
      <c r="C2297" t="s">
        <v>1608</v>
      </c>
      <c r="D2297" t="s">
        <v>20</v>
      </c>
      <c r="E2297" t="s">
        <v>66</v>
      </c>
      <c r="F2297" t="s">
        <v>1609</v>
      </c>
      <c r="G2297" t="s">
        <v>1610</v>
      </c>
      <c r="H2297" t="s">
        <v>531</v>
      </c>
      <c r="I2297">
        <v>15000</v>
      </c>
      <c r="J2297">
        <v>14900</v>
      </c>
      <c r="K2297">
        <v>14900</v>
      </c>
      <c r="L2297" t="s">
        <v>25</v>
      </c>
      <c r="M2297" t="s">
        <v>707</v>
      </c>
      <c r="N2297">
        <v>3300</v>
      </c>
      <c r="O2297">
        <v>49170000</v>
      </c>
      <c r="P2297" t="str">
        <f>IF(T[[#This Row],[qty_ordered]]&lt;&gt;T[[#This Row],[qty_received]],IF(T[[#This Row],[qty_received]]&gt;0,"Partial Received","Not Receviced"),"FullyReceived")</f>
        <v>Partial Received</v>
      </c>
      <c r="Q2297" t="str">
        <f>IF(T[[#This Row],[qty_received]]&lt;&gt;T[[#This Row],[qty_invoiced]],IF(T[[#This Row],[qty_invoiced]]&gt;0,"Partial Invoiced","Not Invoiced"),"Fully Invoiced")</f>
        <v>Fully Invoiced</v>
      </c>
      <c r="R2297" t="str">
        <f>IFERROR(VLOOKUP(T[[#This Row],[warehouse]],Table2[],2,FALSE),"--")</f>
        <v>PZU Main Warehouse</v>
      </c>
    </row>
    <row r="2298" spans="1:18" x14ac:dyDescent="0.25">
      <c r="A2298" t="s">
        <v>1600</v>
      </c>
      <c r="B2298" s="1">
        <v>44668</v>
      </c>
      <c r="C2298" t="s">
        <v>1601</v>
      </c>
      <c r="D2298" t="s">
        <v>88</v>
      </c>
      <c r="E2298" t="s">
        <v>51</v>
      </c>
      <c r="F2298" t="s">
        <v>52</v>
      </c>
      <c r="G2298" t="s">
        <v>753</v>
      </c>
      <c r="H2298" t="s">
        <v>54</v>
      </c>
      <c r="I2298">
        <v>1</v>
      </c>
      <c r="J2298">
        <v>0</v>
      </c>
      <c r="K2298">
        <v>1</v>
      </c>
      <c r="L2298" t="s">
        <v>693</v>
      </c>
      <c r="M2298" t="s">
        <v>132</v>
      </c>
      <c r="N2298">
        <v>136000</v>
      </c>
      <c r="O2298">
        <v>0</v>
      </c>
      <c r="P2298" t="str">
        <f>IF(T[[#This Row],[qty_ordered]]&lt;&gt;T[[#This Row],[qty_received]],IF(T[[#This Row],[qty_received]]&gt;0,"Partial Received","Not Receviced"),"FullyReceived")</f>
        <v>Not Receviced</v>
      </c>
      <c r="Q2298" t="str">
        <f>IF(T[[#This Row],[qty_received]]&lt;&gt;T[[#This Row],[qty_invoiced]],IF(T[[#This Row],[qty_invoiced]]&gt;0,"Partial Invoiced","Not Invoiced"),"Fully Invoiced")</f>
        <v>Partial Invoiced</v>
      </c>
      <c r="R2298" t="str">
        <f>IFERROR(VLOOKUP(T[[#This Row],[warehouse]],Table2[],2,FALSE),"--")</f>
        <v>--</v>
      </c>
    </row>
    <row r="2299" spans="1:18" x14ac:dyDescent="0.25">
      <c r="A2299" t="s">
        <v>560</v>
      </c>
      <c r="B2299" s="1">
        <v>44404</v>
      </c>
      <c r="C2299" t="s">
        <v>1424</v>
      </c>
      <c r="D2299" t="s">
        <v>324</v>
      </c>
      <c r="E2299" t="s">
        <v>51</v>
      </c>
      <c r="F2299" t="s">
        <v>52</v>
      </c>
      <c r="G2299" t="s">
        <v>53</v>
      </c>
      <c r="H2299" t="s">
        <v>54</v>
      </c>
      <c r="I2299">
        <v>22</v>
      </c>
      <c r="J2299">
        <v>0</v>
      </c>
      <c r="K2299">
        <v>1</v>
      </c>
      <c r="L2299" t="s">
        <v>693</v>
      </c>
      <c r="M2299" t="s">
        <v>707</v>
      </c>
      <c r="N2299">
        <v>5250</v>
      </c>
      <c r="O2299">
        <v>0</v>
      </c>
      <c r="P2299" t="str">
        <f>IF(T[[#This Row],[qty_ordered]]&lt;&gt;T[[#This Row],[qty_received]],IF(T[[#This Row],[qty_received]]&gt;0,"Partial Received","Not Receviced"),"FullyReceived")</f>
        <v>Not Receviced</v>
      </c>
      <c r="Q2299" t="str">
        <f>IF(T[[#This Row],[qty_received]]&lt;&gt;T[[#This Row],[qty_invoiced]],IF(T[[#This Row],[qty_invoiced]]&gt;0,"Partial Invoiced","Not Invoiced"),"Fully Invoiced")</f>
        <v>Partial Invoiced</v>
      </c>
      <c r="R2299" t="str">
        <f>IFERROR(VLOOKUP(T[[#This Row],[warehouse]],Table2[],2,FALSE),"--")</f>
        <v>--</v>
      </c>
    </row>
    <row r="2300" spans="1:18" x14ac:dyDescent="0.25">
      <c r="A2300" t="s">
        <v>1603</v>
      </c>
      <c r="B2300" s="1">
        <v>44665</v>
      </c>
      <c r="C2300" t="s">
        <v>1604</v>
      </c>
      <c r="D2300" t="s">
        <v>71</v>
      </c>
      <c r="E2300" t="s">
        <v>51</v>
      </c>
      <c r="F2300" t="s">
        <v>164</v>
      </c>
      <c r="G2300" t="s">
        <v>1611</v>
      </c>
      <c r="H2300" t="s">
        <v>54</v>
      </c>
      <c r="I2300">
        <v>6250</v>
      </c>
      <c r="J2300">
        <v>0</v>
      </c>
      <c r="K2300">
        <v>1</v>
      </c>
      <c r="L2300" t="s">
        <v>693</v>
      </c>
      <c r="M2300" t="s">
        <v>2836</v>
      </c>
      <c r="N2300">
        <v>145</v>
      </c>
      <c r="O2300">
        <v>0</v>
      </c>
      <c r="P2300" t="str">
        <f>IF(T[[#This Row],[qty_ordered]]&lt;&gt;T[[#This Row],[qty_received]],IF(T[[#This Row],[qty_received]]&gt;0,"Partial Received","Not Receviced"),"FullyReceived")</f>
        <v>Not Receviced</v>
      </c>
      <c r="Q2300" t="str">
        <f>IF(T[[#This Row],[qty_received]]&lt;&gt;T[[#This Row],[qty_invoiced]],IF(T[[#This Row],[qty_invoiced]]&gt;0,"Partial Invoiced","Not Invoiced"),"Fully Invoiced")</f>
        <v>Partial Invoiced</v>
      </c>
      <c r="R2300" t="str">
        <f>IFERROR(VLOOKUP(T[[#This Row],[warehouse]],Table2[],2,FALSE),"--")</f>
        <v>--</v>
      </c>
    </row>
    <row r="2301" spans="1:18" x14ac:dyDescent="0.25">
      <c r="A2301" t="s">
        <v>1603</v>
      </c>
      <c r="B2301" s="1">
        <v>44665</v>
      </c>
      <c r="C2301" t="s">
        <v>1604</v>
      </c>
      <c r="D2301" t="s">
        <v>100</v>
      </c>
      <c r="E2301" t="s">
        <v>51</v>
      </c>
      <c r="F2301" t="s">
        <v>164</v>
      </c>
      <c r="G2301" t="s">
        <v>1612</v>
      </c>
      <c r="H2301" t="s">
        <v>54</v>
      </c>
      <c r="I2301">
        <v>1000</v>
      </c>
      <c r="J2301">
        <v>0</v>
      </c>
      <c r="K2301">
        <v>1</v>
      </c>
      <c r="L2301" t="s">
        <v>693</v>
      </c>
      <c r="M2301" t="s">
        <v>2836</v>
      </c>
      <c r="N2301">
        <v>145</v>
      </c>
      <c r="O2301">
        <v>0</v>
      </c>
      <c r="P2301" t="str">
        <f>IF(T[[#This Row],[qty_ordered]]&lt;&gt;T[[#This Row],[qty_received]],IF(T[[#This Row],[qty_received]]&gt;0,"Partial Received","Not Receviced"),"FullyReceived")</f>
        <v>Not Receviced</v>
      </c>
      <c r="Q2301" t="str">
        <f>IF(T[[#This Row],[qty_received]]&lt;&gt;T[[#This Row],[qty_invoiced]],IF(T[[#This Row],[qty_invoiced]]&gt;0,"Partial Invoiced","Not Invoiced"),"Fully Invoiced")</f>
        <v>Partial Invoiced</v>
      </c>
      <c r="R2301" t="str">
        <f>IFERROR(VLOOKUP(T[[#This Row],[warehouse]],Table2[],2,FALSE),"--")</f>
        <v>--</v>
      </c>
    </row>
    <row r="2302" spans="1:18" x14ac:dyDescent="0.25">
      <c r="A2302" t="s">
        <v>1603</v>
      </c>
      <c r="B2302" s="1">
        <v>44665</v>
      </c>
      <c r="C2302" t="s">
        <v>1604</v>
      </c>
      <c r="D2302" t="s">
        <v>88</v>
      </c>
      <c r="E2302" t="s">
        <v>51</v>
      </c>
      <c r="F2302" t="s">
        <v>164</v>
      </c>
      <c r="G2302" t="s">
        <v>1613</v>
      </c>
      <c r="H2302" t="s">
        <v>54</v>
      </c>
      <c r="I2302">
        <v>2750</v>
      </c>
      <c r="J2302">
        <v>0</v>
      </c>
      <c r="K2302">
        <v>1</v>
      </c>
      <c r="L2302" t="s">
        <v>693</v>
      </c>
      <c r="M2302" t="s">
        <v>2836</v>
      </c>
      <c r="N2302">
        <v>145</v>
      </c>
      <c r="O2302">
        <v>0</v>
      </c>
      <c r="P2302" t="str">
        <f>IF(T[[#This Row],[qty_ordered]]&lt;&gt;T[[#This Row],[qty_received]],IF(T[[#This Row],[qty_received]]&gt;0,"Partial Received","Not Receviced"),"FullyReceived")</f>
        <v>Not Receviced</v>
      </c>
      <c r="Q2302" t="str">
        <f>IF(T[[#This Row],[qty_received]]&lt;&gt;T[[#This Row],[qty_invoiced]],IF(T[[#This Row],[qty_invoiced]]&gt;0,"Partial Invoiced","Not Invoiced"),"Fully Invoiced")</f>
        <v>Partial Invoiced</v>
      </c>
      <c r="R2302" t="str">
        <f>IFERROR(VLOOKUP(T[[#This Row],[warehouse]],Table2[],2,FALSE),"--")</f>
        <v>--</v>
      </c>
    </row>
    <row r="2303" spans="1:18" x14ac:dyDescent="0.25">
      <c r="A2303" t="s">
        <v>1603</v>
      </c>
      <c r="B2303" s="1">
        <v>44665</v>
      </c>
      <c r="C2303" t="s">
        <v>1604</v>
      </c>
      <c r="D2303" t="s">
        <v>74</v>
      </c>
      <c r="E2303" t="s">
        <v>51</v>
      </c>
      <c r="F2303" t="s">
        <v>164</v>
      </c>
      <c r="G2303" t="s">
        <v>1614</v>
      </c>
      <c r="H2303" t="s">
        <v>54</v>
      </c>
      <c r="I2303">
        <v>1000</v>
      </c>
      <c r="J2303">
        <v>0</v>
      </c>
      <c r="K2303">
        <v>1</v>
      </c>
      <c r="L2303" t="s">
        <v>693</v>
      </c>
      <c r="M2303" t="s">
        <v>2836</v>
      </c>
      <c r="N2303">
        <v>145</v>
      </c>
      <c r="O2303">
        <v>0</v>
      </c>
      <c r="P2303" t="str">
        <f>IF(T[[#This Row],[qty_ordered]]&lt;&gt;T[[#This Row],[qty_received]],IF(T[[#This Row],[qty_received]]&gt;0,"Partial Received","Not Receviced"),"FullyReceived")</f>
        <v>Not Receviced</v>
      </c>
      <c r="Q2303" t="str">
        <f>IF(T[[#This Row],[qty_received]]&lt;&gt;T[[#This Row],[qty_invoiced]],IF(T[[#This Row],[qty_invoiced]]&gt;0,"Partial Invoiced","Not Invoiced"),"Fully Invoiced")</f>
        <v>Partial Invoiced</v>
      </c>
      <c r="R2303" t="str">
        <f>IFERROR(VLOOKUP(T[[#This Row],[warehouse]],Table2[],2,FALSE),"--")</f>
        <v>--</v>
      </c>
    </row>
    <row r="2304" spans="1:18" x14ac:dyDescent="0.25">
      <c r="A2304" t="s">
        <v>1603</v>
      </c>
      <c r="B2304" s="1">
        <v>44665</v>
      </c>
      <c r="C2304" t="s">
        <v>1604</v>
      </c>
      <c r="D2304" t="s">
        <v>76</v>
      </c>
      <c r="E2304" t="s">
        <v>51</v>
      </c>
      <c r="F2304" t="s">
        <v>164</v>
      </c>
      <c r="G2304" t="s">
        <v>1615</v>
      </c>
      <c r="H2304" t="s">
        <v>54</v>
      </c>
      <c r="I2304">
        <v>2125</v>
      </c>
      <c r="J2304">
        <v>0</v>
      </c>
      <c r="K2304">
        <v>1</v>
      </c>
      <c r="L2304" t="s">
        <v>693</v>
      </c>
      <c r="M2304" t="s">
        <v>2836</v>
      </c>
      <c r="N2304">
        <v>145</v>
      </c>
      <c r="O2304">
        <v>0</v>
      </c>
      <c r="P2304" t="str">
        <f>IF(T[[#This Row],[qty_ordered]]&lt;&gt;T[[#This Row],[qty_received]],IF(T[[#This Row],[qty_received]]&gt;0,"Partial Received","Not Receviced"),"FullyReceived")</f>
        <v>Not Receviced</v>
      </c>
      <c r="Q2304" t="str">
        <f>IF(T[[#This Row],[qty_received]]&lt;&gt;T[[#This Row],[qty_invoiced]],IF(T[[#This Row],[qty_invoiced]]&gt;0,"Partial Invoiced","Not Invoiced"),"Fully Invoiced")</f>
        <v>Partial Invoiced</v>
      </c>
      <c r="R2304" t="str">
        <f>IFERROR(VLOOKUP(T[[#This Row],[warehouse]],Table2[],2,FALSE),"--")</f>
        <v>--</v>
      </c>
    </row>
    <row r="2305" spans="1:18" x14ac:dyDescent="0.25">
      <c r="A2305" t="s">
        <v>1603</v>
      </c>
      <c r="B2305" s="1">
        <v>44665</v>
      </c>
      <c r="C2305" t="s">
        <v>1604</v>
      </c>
      <c r="D2305" t="s">
        <v>212</v>
      </c>
      <c r="E2305" t="s">
        <v>51</v>
      </c>
      <c r="F2305" t="s">
        <v>164</v>
      </c>
      <c r="G2305" t="s">
        <v>1616</v>
      </c>
      <c r="H2305" t="s">
        <v>54</v>
      </c>
      <c r="I2305">
        <v>750</v>
      </c>
      <c r="J2305">
        <v>0</v>
      </c>
      <c r="K2305">
        <v>1</v>
      </c>
      <c r="L2305" t="s">
        <v>693</v>
      </c>
      <c r="M2305" t="s">
        <v>2836</v>
      </c>
      <c r="N2305">
        <v>145</v>
      </c>
      <c r="O2305">
        <v>0</v>
      </c>
      <c r="P2305" t="str">
        <f>IF(T[[#This Row],[qty_ordered]]&lt;&gt;T[[#This Row],[qty_received]],IF(T[[#This Row],[qty_received]]&gt;0,"Partial Received","Not Receviced"),"FullyReceived")</f>
        <v>Not Receviced</v>
      </c>
      <c r="Q2305" t="str">
        <f>IF(T[[#This Row],[qty_received]]&lt;&gt;T[[#This Row],[qty_invoiced]],IF(T[[#This Row],[qty_invoiced]]&gt;0,"Partial Invoiced","Not Invoiced"),"Fully Invoiced")</f>
        <v>Partial Invoiced</v>
      </c>
      <c r="R2305" t="str">
        <f>IFERROR(VLOOKUP(T[[#This Row],[warehouse]],Table2[],2,FALSE),"--")</f>
        <v>--</v>
      </c>
    </row>
    <row r="2306" spans="1:18" x14ac:dyDescent="0.25">
      <c r="A2306" t="s">
        <v>1603</v>
      </c>
      <c r="B2306" s="1">
        <v>44665</v>
      </c>
      <c r="C2306" t="s">
        <v>1604</v>
      </c>
      <c r="D2306" t="s">
        <v>322</v>
      </c>
      <c r="E2306" t="s">
        <v>51</v>
      </c>
      <c r="F2306" t="s">
        <v>164</v>
      </c>
      <c r="G2306" t="s">
        <v>1617</v>
      </c>
      <c r="H2306" t="s">
        <v>54</v>
      </c>
      <c r="I2306">
        <v>1000</v>
      </c>
      <c r="J2306">
        <v>0</v>
      </c>
      <c r="K2306">
        <v>1</v>
      </c>
      <c r="L2306" t="s">
        <v>693</v>
      </c>
      <c r="M2306" t="s">
        <v>2836</v>
      </c>
      <c r="N2306">
        <v>145</v>
      </c>
      <c r="O2306">
        <v>0</v>
      </c>
      <c r="P2306" t="str">
        <f>IF(T[[#This Row],[qty_ordered]]&lt;&gt;T[[#This Row],[qty_received]],IF(T[[#This Row],[qty_received]]&gt;0,"Partial Received","Not Receviced"),"FullyReceived")</f>
        <v>Not Receviced</v>
      </c>
      <c r="Q2306" t="str">
        <f>IF(T[[#This Row],[qty_received]]&lt;&gt;T[[#This Row],[qty_invoiced]],IF(T[[#This Row],[qty_invoiced]]&gt;0,"Partial Invoiced","Not Invoiced"),"Fully Invoiced")</f>
        <v>Partial Invoiced</v>
      </c>
      <c r="R2306" t="str">
        <f>IFERROR(VLOOKUP(T[[#This Row],[warehouse]],Table2[],2,FALSE),"--")</f>
        <v>--</v>
      </c>
    </row>
    <row r="2307" spans="1:18" x14ac:dyDescent="0.25">
      <c r="A2307" t="s">
        <v>1603</v>
      </c>
      <c r="B2307" s="1">
        <v>44665</v>
      </c>
      <c r="C2307" t="s">
        <v>1604</v>
      </c>
      <c r="D2307" t="s">
        <v>323</v>
      </c>
      <c r="E2307" t="s">
        <v>51</v>
      </c>
      <c r="F2307" t="s">
        <v>164</v>
      </c>
      <c r="G2307" t="s">
        <v>1618</v>
      </c>
      <c r="H2307" t="s">
        <v>54</v>
      </c>
      <c r="I2307">
        <v>250</v>
      </c>
      <c r="J2307">
        <v>0</v>
      </c>
      <c r="K2307">
        <v>1</v>
      </c>
      <c r="L2307" t="s">
        <v>693</v>
      </c>
      <c r="M2307" t="s">
        <v>2836</v>
      </c>
      <c r="N2307">
        <v>145</v>
      </c>
      <c r="O2307">
        <v>0</v>
      </c>
      <c r="P2307" t="str">
        <f>IF(T[[#This Row],[qty_ordered]]&lt;&gt;T[[#This Row],[qty_received]],IF(T[[#This Row],[qty_received]]&gt;0,"Partial Received","Not Receviced"),"FullyReceived")</f>
        <v>Not Receviced</v>
      </c>
      <c r="Q2307" t="str">
        <f>IF(T[[#This Row],[qty_received]]&lt;&gt;T[[#This Row],[qty_invoiced]],IF(T[[#This Row],[qty_invoiced]]&gt;0,"Partial Invoiced","Not Invoiced"),"Fully Invoiced")</f>
        <v>Partial Invoiced</v>
      </c>
      <c r="R2307" t="str">
        <f>IFERROR(VLOOKUP(T[[#This Row],[warehouse]],Table2[],2,FALSE),"--")</f>
        <v>--</v>
      </c>
    </row>
    <row r="2308" spans="1:18" x14ac:dyDescent="0.25">
      <c r="A2308" t="s">
        <v>1619</v>
      </c>
      <c r="B2308" s="1">
        <v>44661</v>
      </c>
      <c r="C2308" t="s">
        <v>1620</v>
      </c>
      <c r="D2308" t="s">
        <v>20</v>
      </c>
      <c r="E2308" t="s">
        <v>723</v>
      </c>
      <c r="F2308" t="s">
        <v>219</v>
      </c>
      <c r="G2308" t="s">
        <v>724</v>
      </c>
      <c r="H2308" t="s">
        <v>221</v>
      </c>
      <c r="I2308">
        <v>34433</v>
      </c>
      <c r="J2308">
        <v>34433</v>
      </c>
      <c r="K2308">
        <v>34433</v>
      </c>
      <c r="L2308" t="s">
        <v>693</v>
      </c>
      <c r="M2308" t="s">
        <v>707</v>
      </c>
      <c r="N2308">
        <v>31200</v>
      </c>
      <c r="O2308">
        <v>1074304608</v>
      </c>
      <c r="P2308" t="str">
        <f>IF(T[[#This Row],[qty_ordered]]&lt;&gt;T[[#This Row],[qty_received]],IF(T[[#This Row],[qty_received]]&gt;0,"Partial Received","Not Receviced"),"FullyReceived")</f>
        <v>FullyReceived</v>
      </c>
      <c r="Q2308" t="str">
        <f>IF(T[[#This Row],[qty_received]]&lt;&gt;T[[#This Row],[qty_invoiced]],IF(T[[#This Row],[qty_invoiced]]&gt;0,"Partial Invoiced","Not Invoiced"),"Fully Invoiced")</f>
        <v>Fully Invoiced</v>
      </c>
      <c r="R2308" t="str">
        <f>IFERROR(VLOOKUP(T[[#This Row],[warehouse]],Table2[],2,FALSE),"--")</f>
        <v>YELLOW BEANS</v>
      </c>
    </row>
    <row r="2309" spans="1:18" x14ac:dyDescent="0.25">
      <c r="A2309" t="s">
        <v>1603</v>
      </c>
      <c r="B2309" s="1">
        <v>44665</v>
      </c>
      <c r="C2309" t="s">
        <v>1621</v>
      </c>
      <c r="D2309" t="s">
        <v>20</v>
      </c>
      <c r="E2309" t="s">
        <v>51</v>
      </c>
      <c r="F2309" t="s">
        <v>164</v>
      </c>
      <c r="G2309" t="s">
        <v>1605</v>
      </c>
      <c r="H2309" t="s">
        <v>54</v>
      </c>
      <c r="I2309">
        <v>520</v>
      </c>
      <c r="J2309">
        <v>0</v>
      </c>
      <c r="K2309">
        <v>1</v>
      </c>
      <c r="L2309" t="s">
        <v>693</v>
      </c>
      <c r="M2309" t="s">
        <v>533</v>
      </c>
      <c r="N2309">
        <v>45</v>
      </c>
      <c r="O2309">
        <v>0</v>
      </c>
      <c r="P2309" t="str">
        <f>IF(T[[#This Row],[qty_ordered]]&lt;&gt;T[[#This Row],[qty_received]],IF(T[[#This Row],[qty_received]]&gt;0,"Partial Received","Not Receviced"),"FullyReceived")</f>
        <v>Not Receviced</v>
      </c>
      <c r="Q2309" t="str">
        <f>IF(T[[#This Row],[qty_received]]&lt;&gt;T[[#This Row],[qty_invoiced]],IF(T[[#This Row],[qty_invoiced]]&gt;0,"Partial Invoiced","Not Invoiced"),"Fully Invoiced")</f>
        <v>Partial Invoiced</v>
      </c>
      <c r="R2309" t="str">
        <f>IFERROR(VLOOKUP(T[[#This Row],[warehouse]],Table2[],2,FALSE),"--")</f>
        <v>--</v>
      </c>
    </row>
    <row r="2310" spans="1:18" x14ac:dyDescent="0.25">
      <c r="A2310" t="s">
        <v>1603</v>
      </c>
      <c r="B2310" s="1">
        <v>44665</v>
      </c>
      <c r="C2310" t="s">
        <v>1621</v>
      </c>
      <c r="D2310" t="s">
        <v>71</v>
      </c>
      <c r="E2310" t="s">
        <v>51</v>
      </c>
      <c r="F2310" t="s">
        <v>164</v>
      </c>
      <c r="G2310" t="s">
        <v>1611</v>
      </c>
      <c r="H2310" t="s">
        <v>54</v>
      </c>
      <c r="I2310">
        <v>1375</v>
      </c>
      <c r="J2310">
        <v>0</v>
      </c>
      <c r="K2310">
        <v>1</v>
      </c>
      <c r="L2310" t="s">
        <v>693</v>
      </c>
      <c r="M2310" t="s">
        <v>533</v>
      </c>
      <c r="N2310">
        <v>45</v>
      </c>
      <c r="O2310">
        <v>0</v>
      </c>
      <c r="P2310" t="str">
        <f>IF(T[[#This Row],[qty_ordered]]&lt;&gt;T[[#This Row],[qty_received]],IF(T[[#This Row],[qty_received]]&gt;0,"Partial Received","Not Receviced"),"FullyReceived")</f>
        <v>Not Receviced</v>
      </c>
      <c r="Q2310" t="str">
        <f>IF(T[[#This Row],[qty_received]]&lt;&gt;T[[#This Row],[qty_invoiced]],IF(T[[#This Row],[qty_invoiced]]&gt;0,"Partial Invoiced","Not Invoiced"),"Fully Invoiced")</f>
        <v>Partial Invoiced</v>
      </c>
      <c r="R2310" t="str">
        <f>IFERROR(VLOOKUP(T[[#This Row],[warehouse]],Table2[],2,FALSE),"--")</f>
        <v>--</v>
      </c>
    </row>
    <row r="2311" spans="1:18" x14ac:dyDescent="0.25">
      <c r="A2311" t="s">
        <v>1603</v>
      </c>
      <c r="B2311" s="1">
        <v>44665</v>
      </c>
      <c r="C2311" t="s">
        <v>1621</v>
      </c>
      <c r="D2311" t="s">
        <v>100</v>
      </c>
      <c r="E2311" t="s">
        <v>51</v>
      </c>
      <c r="F2311" t="s">
        <v>164</v>
      </c>
      <c r="G2311" t="s">
        <v>1612</v>
      </c>
      <c r="H2311" t="s">
        <v>54</v>
      </c>
      <c r="I2311">
        <v>250</v>
      </c>
      <c r="J2311">
        <v>0</v>
      </c>
      <c r="K2311">
        <v>1</v>
      </c>
      <c r="L2311" t="s">
        <v>693</v>
      </c>
      <c r="M2311" t="s">
        <v>533</v>
      </c>
      <c r="N2311">
        <v>45</v>
      </c>
      <c r="O2311">
        <v>0</v>
      </c>
      <c r="P2311" t="str">
        <f>IF(T[[#This Row],[qty_ordered]]&lt;&gt;T[[#This Row],[qty_received]],IF(T[[#This Row],[qty_received]]&gt;0,"Partial Received","Not Receviced"),"FullyReceived")</f>
        <v>Not Receviced</v>
      </c>
      <c r="Q2311" t="str">
        <f>IF(T[[#This Row],[qty_received]]&lt;&gt;T[[#This Row],[qty_invoiced]],IF(T[[#This Row],[qty_invoiced]]&gt;0,"Partial Invoiced","Not Invoiced"),"Fully Invoiced")</f>
        <v>Partial Invoiced</v>
      </c>
      <c r="R2311" t="str">
        <f>IFERROR(VLOOKUP(T[[#This Row],[warehouse]],Table2[],2,FALSE),"--")</f>
        <v>--</v>
      </c>
    </row>
    <row r="2312" spans="1:18" x14ac:dyDescent="0.25">
      <c r="A2312" t="s">
        <v>1603</v>
      </c>
      <c r="B2312" s="1">
        <v>44665</v>
      </c>
      <c r="C2312" t="s">
        <v>1621</v>
      </c>
      <c r="D2312" t="s">
        <v>88</v>
      </c>
      <c r="E2312" t="s">
        <v>51</v>
      </c>
      <c r="F2312" t="s">
        <v>164</v>
      </c>
      <c r="G2312" t="s">
        <v>1613</v>
      </c>
      <c r="H2312" t="s">
        <v>54</v>
      </c>
      <c r="I2312">
        <v>500</v>
      </c>
      <c r="J2312">
        <v>0</v>
      </c>
      <c r="K2312">
        <v>1</v>
      </c>
      <c r="L2312" t="s">
        <v>693</v>
      </c>
      <c r="M2312" t="s">
        <v>533</v>
      </c>
      <c r="N2312">
        <v>45</v>
      </c>
      <c r="O2312">
        <v>0</v>
      </c>
      <c r="P2312" t="str">
        <f>IF(T[[#This Row],[qty_ordered]]&lt;&gt;T[[#This Row],[qty_received]],IF(T[[#This Row],[qty_received]]&gt;0,"Partial Received","Not Receviced"),"FullyReceived")</f>
        <v>Not Receviced</v>
      </c>
      <c r="Q2312" t="str">
        <f>IF(T[[#This Row],[qty_received]]&lt;&gt;T[[#This Row],[qty_invoiced]],IF(T[[#This Row],[qty_invoiced]]&gt;0,"Partial Invoiced","Not Invoiced"),"Fully Invoiced")</f>
        <v>Partial Invoiced</v>
      </c>
      <c r="R2312" t="str">
        <f>IFERROR(VLOOKUP(T[[#This Row],[warehouse]],Table2[],2,FALSE),"--")</f>
        <v>--</v>
      </c>
    </row>
    <row r="2313" spans="1:18" x14ac:dyDescent="0.25">
      <c r="A2313" t="s">
        <v>1603</v>
      </c>
      <c r="B2313" s="1">
        <v>44665</v>
      </c>
      <c r="C2313" t="s">
        <v>1621</v>
      </c>
      <c r="D2313" t="s">
        <v>74</v>
      </c>
      <c r="E2313" t="s">
        <v>51</v>
      </c>
      <c r="F2313" t="s">
        <v>164</v>
      </c>
      <c r="G2313" t="s">
        <v>1614</v>
      </c>
      <c r="H2313" t="s">
        <v>54</v>
      </c>
      <c r="I2313">
        <v>1500</v>
      </c>
      <c r="J2313">
        <v>0</v>
      </c>
      <c r="K2313">
        <v>1</v>
      </c>
      <c r="L2313" t="s">
        <v>693</v>
      </c>
      <c r="M2313" t="s">
        <v>533</v>
      </c>
      <c r="N2313">
        <v>45</v>
      </c>
      <c r="O2313">
        <v>0</v>
      </c>
      <c r="P2313" t="str">
        <f>IF(T[[#This Row],[qty_ordered]]&lt;&gt;T[[#This Row],[qty_received]],IF(T[[#This Row],[qty_received]]&gt;0,"Partial Received","Not Receviced"),"FullyReceived")</f>
        <v>Not Receviced</v>
      </c>
      <c r="Q2313" t="str">
        <f>IF(T[[#This Row],[qty_received]]&lt;&gt;T[[#This Row],[qty_invoiced]],IF(T[[#This Row],[qty_invoiced]]&gt;0,"Partial Invoiced","Not Invoiced"),"Fully Invoiced")</f>
        <v>Partial Invoiced</v>
      </c>
      <c r="R2313" t="str">
        <f>IFERROR(VLOOKUP(T[[#This Row],[warehouse]],Table2[],2,FALSE),"--")</f>
        <v>--</v>
      </c>
    </row>
    <row r="2314" spans="1:18" x14ac:dyDescent="0.25">
      <c r="A2314" t="s">
        <v>1553</v>
      </c>
      <c r="B2314" s="1">
        <v>44620</v>
      </c>
      <c r="C2314" t="s">
        <v>1554</v>
      </c>
      <c r="D2314" t="s">
        <v>324</v>
      </c>
      <c r="E2314" t="s">
        <v>51</v>
      </c>
      <c r="F2314" t="s">
        <v>1555</v>
      </c>
      <c r="G2314" t="s">
        <v>1622</v>
      </c>
      <c r="H2314" t="s">
        <v>54</v>
      </c>
      <c r="I2314">
        <v>357</v>
      </c>
      <c r="J2314">
        <v>0</v>
      </c>
      <c r="K2314">
        <v>1</v>
      </c>
      <c r="L2314" t="s">
        <v>693</v>
      </c>
      <c r="M2314" t="s">
        <v>533</v>
      </c>
      <c r="N2314">
        <v>13000</v>
      </c>
      <c r="O2314">
        <v>0</v>
      </c>
      <c r="P2314" t="str">
        <f>IF(T[[#This Row],[qty_ordered]]&lt;&gt;T[[#This Row],[qty_received]],IF(T[[#This Row],[qty_received]]&gt;0,"Partial Received","Not Receviced"),"FullyReceived")</f>
        <v>Not Receviced</v>
      </c>
      <c r="Q2314" t="str">
        <f>IF(T[[#This Row],[qty_received]]&lt;&gt;T[[#This Row],[qty_invoiced]],IF(T[[#This Row],[qty_invoiced]]&gt;0,"Partial Invoiced","Not Invoiced"),"Fully Invoiced")</f>
        <v>Partial Invoiced</v>
      </c>
      <c r="R2314" t="str">
        <f>IFERROR(VLOOKUP(T[[#This Row],[warehouse]],Table2[],2,FALSE),"--")</f>
        <v>--</v>
      </c>
    </row>
    <row r="2315" spans="1:18" x14ac:dyDescent="0.25">
      <c r="A2315" t="s">
        <v>1623</v>
      </c>
      <c r="B2315" s="1">
        <v>44588</v>
      </c>
      <c r="C2315" t="s">
        <v>1624</v>
      </c>
      <c r="D2315" t="s">
        <v>212</v>
      </c>
      <c r="E2315" t="s">
        <v>51</v>
      </c>
      <c r="F2315" t="s">
        <v>933</v>
      </c>
      <c r="G2315" t="s">
        <v>1625</v>
      </c>
      <c r="H2315" t="s">
        <v>54</v>
      </c>
      <c r="I2315">
        <v>243032</v>
      </c>
      <c r="J2315">
        <v>0</v>
      </c>
      <c r="K2315">
        <v>1</v>
      </c>
      <c r="L2315" t="s">
        <v>693</v>
      </c>
      <c r="M2315" t="s">
        <v>533</v>
      </c>
      <c r="N2315">
        <v>12.2</v>
      </c>
      <c r="O2315">
        <v>0</v>
      </c>
      <c r="P2315" t="str">
        <f>IF(T[[#This Row],[qty_ordered]]&lt;&gt;T[[#This Row],[qty_received]],IF(T[[#This Row],[qty_received]]&gt;0,"Partial Received","Not Receviced"),"FullyReceived")</f>
        <v>Not Receviced</v>
      </c>
      <c r="Q2315" t="str">
        <f>IF(T[[#This Row],[qty_received]]&lt;&gt;T[[#This Row],[qty_invoiced]],IF(T[[#This Row],[qty_invoiced]]&gt;0,"Partial Invoiced","Not Invoiced"),"Fully Invoiced")</f>
        <v>Partial Invoiced</v>
      </c>
      <c r="R2315" t="str">
        <f>IFERROR(VLOOKUP(T[[#This Row],[warehouse]],Table2[],2,FALSE),"--")</f>
        <v>--</v>
      </c>
    </row>
    <row r="2316" spans="1:18" x14ac:dyDescent="0.25">
      <c r="A2316" t="s">
        <v>1553</v>
      </c>
      <c r="B2316" s="1">
        <v>44620</v>
      </c>
      <c r="C2316" t="s">
        <v>1554</v>
      </c>
      <c r="D2316" t="s">
        <v>322</v>
      </c>
      <c r="E2316" t="s">
        <v>51</v>
      </c>
      <c r="F2316" t="s">
        <v>1555</v>
      </c>
      <c r="G2316" t="s">
        <v>1626</v>
      </c>
      <c r="H2316" t="s">
        <v>54</v>
      </c>
      <c r="I2316">
        <v>247</v>
      </c>
      <c r="J2316">
        <v>0</v>
      </c>
      <c r="K2316">
        <v>1</v>
      </c>
      <c r="L2316" t="s">
        <v>693</v>
      </c>
      <c r="M2316" t="s">
        <v>533</v>
      </c>
      <c r="N2316">
        <v>13000</v>
      </c>
      <c r="O2316">
        <v>0</v>
      </c>
      <c r="P2316" t="str">
        <f>IF(T[[#This Row],[qty_ordered]]&lt;&gt;T[[#This Row],[qty_received]],IF(T[[#This Row],[qty_received]]&gt;0,"Partial Received","Not Receviced"),"FullyReceived")</f>
        <v>Not Receviced</v>
      </c>
      <c r="Q2316" t="str">
        <f>IF(T[[#This Row],[qty_received]]&lt;&gt;T[[#This Row],[qty_invoiced]],IF(T[[#This Row],[qty_invoiced]]&gt;0,"Partial Invoiced","Not Invoiced"),"Fully Invoiced")</f>
        <v>Partial Invoiced</v>
      </c>
      <c r="R2316" t="str">
        <f>IFERROR(VLOOKUP(T[[#This Row],[warehouse]],Table2[],2,FALSE),"--")</f>
        <v>--</v>
      </c>
    </row>
    <row r="2317" spans="1:18" x14ac:dyDescent="0.25">
      <c r="A2317" t="s">
        <v>1553</v>
      </c>
      <c r="B2317" s="1">
        <v>44620</v>
      </c>
      <c r="C2317" t="s">
        <v>1554</v>
      </c>
      <c r="D2317" t="s">
        <v>323</v>
      </c>
      <c r="E2317" t="s">
        <v>51</v>
      </c>
      <c r="F2317" t="s">
        <v>1555</v>
      </c>
      <c r="G2317" t="s">
        <v>1627</v>
      </c>
      <c r="H2317" t="s">
        <v>54</v>
      </c>
      <c r="I2317">
        <v>146</v>
      </c>
      <c r="J2317">
        <v>0</v>
      </c>
      <c r="K2317">
        <v>1</v>
      </c>
      <c r="L2317" t="s">
        <v>693</v>
      </c>
      <c r="M2317" t="s">
        <v>533</v>
      </c>
      <c r="N2317">
        <v>13000</v>
      </c>
      <c r="O2317">
        <v>0</v>
      </c>
      <c r="P2317" t="str">
        <f>IF(T[[#This Row],[qty_ordered]]&lt;&gt;T[[#This Row],[qty_received]],IF(T[[#This Row],[qty_received]]&gt;0,"Partial Received","Not Receviced"),"FullyReceived")</f>
        <v>Not Receviced</v>
      </c>
      <c r="Q2317" t="str">
        <f>IF(T[[#This Row],[qty_received]]&lt;&gt;T[[#This Row],[qty_invoiced]],IF(T[[#This Row],[qty_invoiced]]&gt;0,"Partial Invoiced","Not Invoiced"),"Fully Invoiced")</f>
        <v>Partial Invoiced</v>
      </c>
      <c r="R2317" t="str">
        <f>IFERROR(VLOOKUP(T[[#This Row],[warehouse]],Table2[],2,FALSE),"--")</f>
        <v>--</v>
      </c>
    </row>
    <row r="2318" spans="1:18" x14ac:dyDescent="0.25">
      <c r="A2318" t="s">
        <v>597</v>
      </c>
      <c r="B2318" s="1">
        <v>44650</v>
      </c>
      <c r="C2318" t="s">
        <v>1574</v>
      </c>
      <c r="D2318" t="s">
        <v>71</v>
      </c>
      <c r="E2318" t="s">
        <v>51</v>
      </c>
      <c r="F2318" t="s">
        <v>183</v>
      </c>
      <c r="G2318" t="s">
        <v>1628</v>
      </c>
      <c r="H2318" t="s">
        <v>54</v>
      </c>
      <c r="I2318">
        <v>233.21</v>
      </c>
      <c r="J2318">
        <v>0</v>
      </c>
      <c r="K2318">
        <v>1</v>
      </c>
      <c r="L2318" t="s">
        <v>693</v>
      </c>
      <c r="M2318" t="s">
        <v>533</v>
      </c>
      <c r="N2318">
        <v>12000</v>
      </c>
      <c r="O2318">
        <v>0</v>
      </c>
      <c r="P2318" t="str">
        <f>IF(T[[#This Row],[qty_ordered]]&lt;&gt;T[[#This Row],[qty_received]],IF(T[[#This Row],[qty_received]]&gt;0,"Partial Received","Not Receviced"),"FullyReceived")</f>
        <v>Not Receviced</v>
      </c>
      <c r="Q2318" t="str">
        <f>IF(T[[#This Row],[qty_received]]&lt;&gt;T[[#This Row],[qty_invoiced]],IF(T[[#This Row],[qty_invoiced]]&gt;0,"Partial Invoiced","Not Invoiced"),"Fully Invoiced")</f>
        <v>Partial Invoiced</v>
      </c>
      <c r="R2318" t="str">
        <f>IFERROR(VLOOKUP(T[[#This Row],[warehouse]],Table2[],2,FALSE),"--")</f>
        <v>--</v>
      </c>
    </row>
    <row r="2319" spans="1:18" x14ac:dyDescent="0.25">
      <c r="A2319" t="s">
        <v>597</v>
      </c>
      <c r="B2319" s="1">
        <v>44650</v>
      </c>
      <c r="C2319" t="s">
        <v>1574</v>
      </c>
      <c r="D2319" t="s">
        <v>100</v>
      </c>
      <c r="E2319" t="s">
        <v>51</v>
      </c>
      <c r="F2319" t="s">
        <v>278</v>
      </c>
      <c r="G2319" t="s">
        <v>1629</v>
      </c>
      <c r="H2319" t="s">
        <v>54</v>
      </c>
      <c r="I2319">
        <v>1</v>
      </c>
      <c r="J2319">
        <v>0</v>
      </c>
      <c r="K2319">
        <v>1</v>
      </c>
      <c r="L2319" t="s">
        <v>693</v>
      </c>
      <c r="M2319" t="s">
        <v>533</v>
      </c>
      <c r="N2319">
        <v>162350</v>
      </c>
      <c r="O2319">
        <v>0</v>
      </c>
      <c r="P2319" t="str">
        <f>IF(T[[#This Row],[qty_ordered]]&lt;&gt;T[[#This Row],[qty_received]],IF(T[[#This Row],[qty_received]]&gt;0,"Partial Received","Not Receviced"),"FullyReceived")</f>
        <v>Not Receviced</v>
      </c>
      <c r="Q2319" t="str">
        <f>IF(T[[#This Row],[qty_received]]&lt;&gt;T[[#This Row],[qty_invoiced]],IF(T[[#This Row],[qty_invoiced]]&gt;0,"Partial Invoiced","Not Invoiced"),"Fully Invoiced")</f>
        <v>Partial Invoiced</v>
      </c>
      <c r="R2319" t="str">
        <f>IFERROR(VLOOKUP(T[[#This Row],[warehouse]],Table2[],2,FALSE),"--")</f>
        <v>--</v>
      </c>
    </row>
    <row r="2320" spans="1:18" x14ac:dyDescent="0.25">
      <c r="A2320" t="s">
        <v>1630</v>
      </c>
      <c r="B2320" s="1">
        <v>44661</v>
      </c>
      <c r="C2320" t="s">
        <v>1631</v>
      </c>
      <c r="D2320" t="s">
        <v>20</v>
      </c>
      <c r="E2320" t="s">
        <v>51</v>
      </c>
      <c r="F2320" t="s">
        <v>183</v>
      </c>
      <c r="G2320" t="s">
        <v>1632</v>
      </c>
      <c r="H2320" t="s">
        <v>54</v>
      </c>
      <c r="I2320">
        <v>250</v>
      </c>
      <c r="J2320">
        <v>0</v>
      </c>
      <c r="K2320">
        <v>1</v>
      </c>
      <c r="L2320" t="s">
        <v>693</v>
      </c>
      <c r="M2320" t="s">
        <v>533</v>
      </c>
      <c r="N2320">
        <v>7000</v>
      </c>
      <c r="O2320">
        <v>0</v>
      </c>
      <c r="P2320" t="str">
        <f>IF(T[[#This Row],[qty_ordered]]&lt;&gt;T[[#This Row],[qty_received]],IF(T[[#This Row],[qty_received]]&gt;0,"Partial Received","Not Receviced"),"FullyReceived")</f>
        <v>Not Receviced</v>
      </c>
      <c r="Q2320" t="str">
        <f>IF(T[[#This Row],[qty_received]]&lt;&gt;T[[#This Row],[qty_invoiced]],IF(T[[#This Row],[qty_invoiced]]&gt;0,"Partial Invoiced","Not Invoiced"),"Fully Invoiced")</f>
        <v>Partial Invoiced</v>
      </c>
      <c r="R2320" t="str">
        <f>IFERROR(VLOOKUP(T[[#This Row],[warehouse]],Table2[],2,FALSE),"--")</f>
        <v>--</v>
      </c>
    </row>
    <row r="2321" spans="1:18" x14ac:dyDescent="0.25">
      <c r="A2321" t="s">
        <v>201</v>
      </c>
      <c r="B2321" s="1">
        <v>44662</v>
      </c>
      <c r="C2321" t="s">
        <v>1633</v>
      </c>
      <c r="D2321" t="s">
        <v>20</v>
      </c>
      <c r="E2321" t="s">
        <v>1220</v>
      </c>
      <c r="F2321" t="s">
        <v>1221</v>
      </c>
      <c r="G2321" t="s">
        <v>1634</v>
      </c>
      <c r="H2321" t="s">
        <v>123</v>
      </c>
      <c r="I2321">
        <v>600000</v>
      </c>
      <c r="J2321">
        <v>600000</v>
      </c>
      <c r="K2321">
        <v>600000</v>
      </c>
      <c r="L2321" t="s">
        <v>693</v>
      </c>
      <c r="M2321" t="s">
        <v>132</v>
      </c>
      <c r="N2321">
        <v>21502.201125</v>
      </c>
      <c r="O2321">
        <v>12901320675</v>
      </c>
      <c r="P2321" t="str">
        <f>IF(T[[#This Row],[qty_ordered]]&lt;&gt;T[[#This Row],[qty_received]],IF(T[[#This Row],[qty_received]]&gt;0,"Partial Received","Not Receviced"),"FullyReceived")</f>
        <v>FullyReceived</v>
      </c>
      <c r="Q2321" t="str">
        <f>IF(T[[#This Row],[qty_received]]&lt;&gt;T[[#This Row],[qty_invoiced]],IF(T[[#This Row],[qty_invoiced]]&gt;0,"Partial Invoiced","Not Invoiced"),"Fully Invoiced")</f>
        <v>Fully Invoiced</v>
      </c>
      <c r="R2321" t="str">
        <f>IFERROR(VLOOKUP(T[[#This Row],[warehouse]],Table2[],2,FALSE),"--")</f>
        <v>Import Virtual Warehouse - PZU</v>
      </c>
    </row>
    <row r="2322" spans="1:18" x14ac:dyDescent="0.25">
      <c r="A2322" t="s">
        <v>1635</v>
      </c>
      <c r="B2322" s="1">
        <v>44663</v>
      </c>
      <c r="C2322" t="s">
        <v>1636</v>
      </c>
      <c r="D2322" t="s">
        <v>20</v>
      </c>
      <c r="E2322" t="s">
        <v>51</v>
      </c>
      <c r="F2322" t="s">
        <v>674</v>
      </c>
      <c r="G2322" t="s">
        <v>1637</v>
      </c>
      <c r="H2322" t="s">
        <v>54</v>
      </c>
      <c r="I2322">
        <v>4500</v>
      </c>
      <c r="J2322">
        <v>0</v>
      </c>
      <c r="K2322">
        <v>1</v>
      </c>
      <c r="L2322" t="s">
        <v>693</v>
      </c>
      <c r="M2322" t="s">
        <v>533</v>
      </c>
      <c r="N2322">
        <v>8000</v>
      </c>
      <c r="O2322">
        <v>0</v>
      </c>
      <c r="P2322" t="str">
        <f>IF(T[[#This Row],[qty_ordered]]&lt;&gt;T[[#This Row],[qty_received]],IF(T[[#This Row],[qty_received]]&gt;0,"Partial Received","Not Receviced"),"FullyReceived")</f>
        <v>Not Receviced</v>
      </c>
      <c r="Q2322" t="str">
        <f>IF(T[[#This Row],[qty_received]]&lt;&gt;T[[#This Row],[qty_invoiced]],IF(T[[#This Row],[qty_invoiced]]&gt;0,"Partial Invoiced","Not Invoiced"),"Fully Invoiced")</f>
        <v>Partial Invoiced</v>
      </c>
      <c r="R2322" t="str">
        <f>IFERROR(VLOOKUP(T[[#This Row],[warehouse]],Table2[],2,FALSE),"--")</f>
        <v>--</v>
      </c>
    </row>
    <row r="2323" spans="1:18" x14ac:dyDescent="0.25">
      <c r="A2323" t="s">
        <v>1114</v>
      </c>
      <c r="B2323" s="1">
        <v>44426</v>
      </c>
      <c r="C2323" t="s">
        <v>1437</v>
      </c>
      <c r="D2323" t="s">
        <v>100</v>
      </c>
      <c r="E2323" t="s">
        <v>660</v>
      </c>
      <c r="F2323" t="s">
        <v>1439</v>
      </c>
      <c r="G2323" t="s">
        <v>1440</v>
      </c>
      <c r="H2323" t="s">
        <v>1087</v>
      </c>
      <c r="I2323">
        <v>0</v>
      </c>
      <c r="J2323">
        <v>0</v>
      </c>
      <c r="K2323">
        <v>0</v>
      </c>
      <c r="L2323" t="s">
        <v>25</v>
      </c>
      <c r="M2323" t="s">
        <v>132</v>
      </c>
      <c r="N2323">
        <v>23462.94</v>
      </c>
      <c r="O2323">
        <v>0</v>
      </c>
      <c r="P2323" t="str">
        <f>IF(T[[#This Row],[qty_ordered]]&lt;&gt;T[[#This Row],[qty_received]],IF(T[[#This Row],[qty_received]]&gt;0,"Partial Received","Not Receviced"),"FullyReceived")</f>
        <v>FullyReceived</v>
      </c>
      <c r="Q2323" t="str">
        <f>IF(T[[#This Row],[qty_received]]&lt;&gt;T[[#This Row],[qty_invoiced]],IF(T[[#This Row],[qty_invoiced]]&gt;0,"Partial Invoiced","Not Invoiced"),"Fully Invoiced")</f>
        <v>Fully Invoiced</v>
      </c>
      <c r="R2323" t="str">
        <f>IFERROR(VLOOKUP(T[[#This Row],[warehouse]],Table2[],2,FALSE),"--")</f>
        <v>SLAUGHTER HOUSE</v>
      </c>
    </row>
    <row r="2324" spans="1:18" x14ac:dyDescent="0.25">
      <c r="A2324" t="s">
        <v>1600</v>
      </c>
      <c r="B2324" s="1">
        <v>44668</v>
      </c>
      <c r="C2324" t="s">
        <v>1601</v>
      </c>
      <c r="D2324" t="s">
        <v>20</v>
      </c>
      <c r="E2324" t="s">
        <v>51</v>
      </c>
      <c r="F2324" t="s">
        <v>52</v>
      </c>
      <c r="G2324" t="s">
        <v>1602</v>
      </c>
      <c r="H2324" t="s">
        <v>54</v>
      </c>
      <c r="I2324">
        <v>4</v>
      </c>
      <c r="J2324">
        <v>0</v>
      </c>
      <c r="K2324">
        <v>1</v>
      </c>
      <c r="L2324" t="s">
        <v>693</v>
      </c>
      <c r="M2324" t="s">
        <v>132</v>
      </c>
      <c r="N2324">
        <v>200000</v>
      </c>
      <c r="O2324">
        <v>0</v>
      </c>
      <c r="P2324" t="str">
        <f>IF(T[[#This Row],[qty_ordered]]&lt;&gt;T[[#This Row],[qty_received]],IF(T[[#This Row],[qty_received]]&gt;0,"Partial Received","Not Receviced"),"FullyReceived")</f>
        <v>Not Receviced</v>
      </c>
      <c r="Q2324" t="str">
        <f>IF(T[[#This Row],[qty_received]]&lt;&gt;T[[#This Row],[qty_invoiced]],IF(T[[#This Row],[qty_invoiced]]&gt;0,"Partial Invoiced","Not Invoiced"),"Fully Invoiced")</f>
        <v>Partial Invoiced</v>
      </c>
      <c r="R2324" t="str">
        <f>IFERROR(VLOOKUP(T[[#This Row],[warehouse]],Table2[],2,FALSE),"--")</f>
        <v>--</v>
      </c>
    </row>
    <row r="2325" spans="1:18" x14ac:dyDescent="0.25">
      <c r="A2325" t="s">
        <v>1600</v>
      </c>
      <c r="B2325" s="1">
        <v>44668</v>
      </c>
      <c r="C2325" t="s">
        <v>1601</v>
      </c>
      <c r="D2325" t="s">
        <v>71</v>
      </c>
      <c r="E2325" t="s">
        <v>51</v>
      </c>
      <c r="F2325" t="s">
        <v>52</v>
      </c>
      <c r="G2325" t="s">
        <v>753</v>
      </c>
      <c r="H2325" t="s">
        <v>54</v>
      </c>
      <c r="I2325">
        <v>1</v>
      </c>
      <c r="J2325">
        <v>0</v>
      </c>
      <c r="K2325">
        <v>1</v>
      </c>
      <c r="L2325" t="s">
        <v>693</v>
      </c>
      <c r="M2325" t="s">
        <v>132</v>
      </c>
      <c r="N2325">
        <v>136000</v>
      </c>
      <c r="O2325">
        <v>0</v>
      </c>
      <c r="P2325" t="str">
        <f>IF(T[[#This Row],[qty_ordered]]&lt;&gt;T[[#This Row],[qty_received]],IF(T[[#This Row],[qty_received]]&gt;0,"Partial Received","Not Receviced"),"FullyReceived")</f>
        <v>Not Receviced</v>
      </c>
      <c r="Q2325" t="str">
        <f>IF(T[[#This Row],[qty_received]]&lt;&gt;T[[#This Row],[qty_invoiced]],IF(T[[#This Row],[qty_invoiced]]&gt;0,"Partial Invoiced","Not Invoiced"),"Fully Invoiced")</f>
        <v>Partial Invoiced</v>
      </c>
      <c r="R2325" t="str">
        <f>IFERROR(VLOOKUP(T[[#This Row],[warehouse]],Table2[],2,FALSE),"--")</f>
        <v>--</v>
      </c>
    </row>
    <row r="2326" spans="1:18" x14ac:dyDescent="0.25">
      <c r="A2326" t="s">
        <v>1114</v>
      </c>
      <c r="B2326" s="1">
        <v>44635</v>
      </c>
      <c r="C2326" t="s">
        <v>1638</v>
      </c>
      <c r="D2326" t="s">
        <v>100</v>
      </c>
      <c r="E2326" t="s">
        <v>1438</v>
      </c>
      <c r="F2326" t="s">
        <v>1439</v>
      </c>
      <c r="G2326" t="s">
        <v>1440</v>
      </c>
      <c r="H2326" t="s">
        <v>1087</v>
      </c>
      <c r="I2326">
        <v>8540</v>
      </c>
      <c r="J2326">
        <v>8540</v>
      </c>
      <c r="K2326">
        <v>8540</v>
      </c>
      <c r="L2326" t="s">
        <v>25</v>
      </c>
      <c r="M2326" t="s">
        <v>1485</v>
      </c>
      <c r="N2326">
        <v>29150</v>
      </c>
      <c r="O2326">
        <v>331780750</v>
      </c>
      <c r="P2326" t="str">
        <f>IF(T[[#This Row],[qty_ordered]]&lt;&gt;T[[#This Row],[qty_received]],IF(T[[#This Row],[qty_received]]&gt;0,"Partial Received","Not Receviced"),"FullyReceived")</f>
        <v>FullyReceived</v>
      </c>
      <c r="Q2326" t="str">
        <f>IF(T[[#This Row],[qty_received]]&lt;&gt;T[[#This Row],[qty_invoiced]],IF(T[[#This Row],[qty_invoiced]]&gt;0,"Partial Invoiced","Not Invoiced"),"Fully Invoiced")</f>
        <v>Fully Invoiced</v>
      </c>
      <c r="R2326" t="str">
        <f>IFERROR(VLOOKUP(T[[#This Row],[warehouse]],Table2[],2,FALSE),"--")</f>
        <v>Livestock Barn</v>
      </c>
    </row>
    <row r="2327" spans="1:18" x14ac:dyDescent="0.25">
      <c r="A2327" t="s">
        <v>1639</v>
      </c>
      <c r="B2327" s="1">
        <v>44670</v>
      </c>
      <c r="C2327" t="s">
        <v>1640</v>
      </c>
      <c r="D2327" t="s">
        <v>20</v>
      </c>
      <c r="E2327" t="s">
        <v>1142</v>
      </c>
      <c r="F2327" t="s">
        <v>130</v>
      </c>
      <c r="G2327" t="s">
        <v>131</v>
      </c>
      <c r="H2327" t="s">
        <v>24</v>
      </c>
      <c r="I2327">
        <v>90</v>
      </c>
      <c r="J2327">
        <v>69.56</v>
      </c>
      <c r="K2327">
        <v>69.56</v>
      </c>
      <c r="L2327" t="s">
        <v>25</v>
      </c>
      <c r="M2327" t="s">
        <v>707</v>
      </c>
      <c r="N2327">
        <v>255875</v>
      </c>
      <c r="O2327">
        <v>17798665</v>
      </c>
      <c r="P2327" t="str">
        <f>IF(T[[#This Row],[qty_ordered]]&lt;&gt;T[[#This Row],[qty_received]],IF(T[[#This Row],[qty_received]]&gt;0,"Partial Received","Not Receviced"),"FullyReceived")</f>
        <v>Partial Received</v>
      </c>
      <c r="Q2327" t="str">
        <f>IF(T[[#This Row],[qty_received]]&lt;&gt;T[[#This Row],[qty_invoiced]],IF(T[[#This Row],[qty_invoiced]]&gt;0,"Partial Invoiced","Not Invoiced"),"Fully Invoiced")</f>
        <v>Fully Invoiced</v>
      </c>
      <c r="R2327" t="str">
        <f>IFERROR(VLOOKUP(T[[#This Row],[warehouse]],Table2[],2,FALSE),"--")</f>
        <v>SAVOLA W/H FOR EXPOR</v>
      </c>
    </row>
    <row r="2328" spans="1:18" x14ac:dyDescent="0.25">
      <c r="A2328" t="s">
        <v>1597</v>
      </c>
      <c r="B2328" s="1">
        <v>44663</v>
      </c>
      <c r="C2328" t="s">
        <v>1598</v>
      </c>
      <c r="D2328" t="s">
        <v>71</v>
      </c>
      <c r="E2328" t="s">
        <v>660</v>
      </c>
      <c r="F2328" t="s">
        <v>1439</v>
      </c>
      <c r="G2328" t="s">
        <v>1440</v>
      </c>
      <c r="H2328" t="s">
        <v>1087</v>
      </c>
      <c r="I2328">
        <v>473</v>
      </c>
      <c r="J2328">
        <v>465</v>
      </c>
      <c r="K2328">
        <v>465</v>
      </c>
      <c r="L2328" t="s">
        <v>693</v>
      </c>
      <c r="M2328" t="s">
        <v>1485</v>
      </c>
      <c r="N2328">
        <v>33938.372092999998</v>
      </c>
      <c r="O2328">
        <v>15781343.023244999</v>
      </c>
      <c r="P2328" t="str">
        <f>IF(T[[#This Row],[qty_ordered]]&lt;&gt;T[[#This Row],[qty_received]],IF(T[[#This Row],[qty_received]]&gt;0,"Partial Received","Not Receviced"),"FullyReceived")</f>
        <v>Partial Received</v>
      </c>
      <c r="Q2328" t="str">
        <f>IF(T[[#This Row],[qty_received]]&lt;&gt;T[[#This Row],[qty_invoiced]],IF(T[[#This Row],[qty_invoiced]]&gt;0,"Partial Invoiced","Not Invoiced"),"Fully Invoiced")</f>
        <v>Fully Invoiced</v>
      </c>
      <c r="R2328" t="str">
        <f>IFERROR(VLOOKUP(T[[#This Row],[warehouse]],Table2[],2,FALSE),"--")</f>
        <v>SLAUGHTER HOUSE</v>
      </c>
    </row>
    <row r="2329" spans="1:18" x14ac:dyDescent="0.25">
      <c r="A2329" t="s">
        <v>1623</v>
      </c>
      <c r="B2329" s="1">
        <v>44588</v>
      </c>
      <c r="C2329" t="s">
        <v>1624</v>
      </c>
      <c r="D2329" t="s">
        <v>322</v>
      </c>
      <c r="E2329" t="s">
        <v>51</v>
      </c>
      <c r="F2329" t="s">
        <v>1641</v>
      </c>
      <c r="G2329" t="s">
        <v>1642</v>
      </c>
      <c r="H2329" t="s">
        <v>54</v>
      </c>
      <c r="I2329">
        <v>2250</v>
      </c>
      <c r="J2329">
        <v>0</v>
      </c>
      <c r="K2329">
        <v>1</v>
      </c>
      <c r="L2329" t="s">
        <v>693</v>
      </c>
      <c r="M2329" t="s">
        <v>533</v>
      </c>
      <c r="N2329">
        <v>11000</v>
      </c>
      <c r="O2329">
        <v>0</v>
      </c>
      <c r="P2329" t="str">
        <f>IF(T[[#This Row],[qty_ordered]]&lt;&gt;T[[#This Row],[qty_received]],IF(T[[#This Row],[qty_received]]&gt;0,"Partial Received","Not Receviced"),"FullyReceived")</f>
        <v>Not Receviced</v>
      </c>
      <c r="Q2329" t="str">
        <f>IF(T[[#This Row],[qty_received]]&lt;&gt;T[[#This Row],[qty_invoiced]],IF(T[[#This Row],[qty_invoiced]]&gt;0,"Partial Invoiced","Not Invoiced"),"Fully Invoiced")</f>
        <v>Partial Invoiced</v>
      </c>
      <c r="R2329" t="str">
        <f>IFERROR(VLOOKUP(T[[#This Row],[warehouse]],Table2[],2,FALSE),"--")</f>
        <v>--</v>
      </c>
    </row>
    <row r="2330" spans="1:18" x14ac:dyDescent="0.25">
      <c r="A2330" t="s">
        <v>1623</v>
      </c>
      <c r="B2330" s="1">
        <v>44588</v>
      </c>
      <c r="C2330" t="s">
        <v>1624</v>
      </c>
      <c r="D2330" t="s">
        <v>323</v>
      </c>
      <c r="E2330" t="s">
        <v>51</v>
      </c>
      <c r="F2330" t="s">
        <v>753</v>
      </c>
      <c r="G2330" t="s">
        <v>1643</v>
      </c>
      <c r="H2330" t="s">
        <v>54</v>
      </c>
      <c r="I2330">
        <v>0.17</v>
      </c>
      <c r="J2330">
        <v>0</v>
      </c>
      <c r="K2330">
        <v>1</v>
      </c>
      <c r="L2330" t="s">
        <v>693</v>
      </c>
      <c r="M2330" t="s">
        <v>533</v>
      </c>
      <c r="N2330">
        <v>24750000</v>
      </c>
      <c r="O2330">
        <v>0</v>
      </c>
      <c r="P2330" t="str">
        <f>IF(T[[#This Row],[qty_ordered]]&lt;&gt;T[[#This Row],[qty_received]],IF(T[[#This Row],[qty_received]]&gt;0,"Partial Received","Not Receviced"),"FullyReceived")</f>
        <v>Not Receviced</v>
      </c>
      <c r="Q2330" t="str">
        <f>IF(T[[#This Row],[qty_received]]&lt;&gt;T[[#This Row],[qty_invoiced]],IF(T[[#This Row],[qty_invoiced]]&gt;0,"Partial Invoiced","Not Invoiced"),"Fully Invoiced")</f>
        <v>Partial Invoiced</v>
      </c>
      <c r="R2330" t="str">
        <f>IFERROR(VLOOKUP(T[[#This Row],[warehouse]],Table2[],2,FALSE),"--")</f>
        <v>--</v>
      </c>
    </row>
    <row r="2331" spans="1:18" x14ac:dyDescent="0.25">
      <c r="A2331" t="s">
        <v>332</v>
      </c>
      <c r="B2331" s="1">
        <v>44671</v>
      </c>
      <c r="C2331" t="s">
        <v>1644</v>
      </c>
      <c r="D2331" t="s">
        <v>20</v>
      </c>
      <c r="E2331" t="s">
        <v>51</v>
      </c>
      <c r="F2331" t="s">
        <v>164</v>
      </c>
      <c r="G2331" t="s">
        <v>1645</v>
      </c>
      <c r="H2331" t="s">
        <v>54</v>
      </c>
      <c r="I2331">
        <v>10561.52</v>
      </c>
      <c r="J2331">
        <v>0</v>
      </c>
      <c r="K2331">
        <v>1</v>
      </c>
      <c r="L2331" t="s">
        <v>693</v>
      </c>
      <c r="M2331" t="s">
        <v>533</v>
      </c>
      <c r="N2331">
        <v>250</v>
      </c>
      <c r="O2331">
        <v>0</v>
      </c>
      <c r="P2331" t="str">
        <f>IF(T[[#This Row],[qty_ordered]]&lt;&gt;T[[#This Row],[qty_received]],IF(T[[#This Row],[qty_received]]&gt;0,"Partial Received","Not Receviced"),"FullyReceived")</f>
        <v>Not Receviced</v>
      </c>
      <c r="Q2331" t="str">
        <f>IF(T[[#This Row],[qty_received]]&lt;&gt;T[[#This Row],[qty_invoiced]],IF(T[[#This Row],[qty_invoiced]]&gt;0,"Partial Invoiced","Not Invoiced"),"Fully Invoiced")</f>
        <v>Partial Invoiced</v>
      </c>
      <c r="R2331" t="str">
        <f>IFERROR(VLOOKUP(T[[#This Row],[warehouse]],Table2[],2,FALSE),"--")</f>
        <v>--</v>
      </c>
    </row>
    <row r="2332" spans="1:18" x14ac:dyDescent="0.25">
      <c r="A2332" t="s">
        <v>1603</v>
      </c>
      <c r="B2332" s="1">
        <v>44665</v>
      </c>
      <c r="C2332" t="s">
        <v>1604</v>
      </c>
      <c r="D2332" t="s">
        <v>324</v>
      </c>
      <c r="E2332" t="s">
        <v>51</v>
      </c>
      <c r="F2332" t="s">
        <v>164</v>
      </c>
      <c r="G2332" t="s">
        <v>1646</v>
      </c>
      <c r="H2332" t="s">
        <v>54</v>
      </c>
      <c r="I2332">
        <v>1000</v>
      </c>
      <c r="J2332">
        <v>0</v>
      </c>
      <c r="K2332">
        <v>1</v>
      </c>
      <c r="L2332" t="s">
        <v>693</v>
      </c>
      <c r="M2332" t="s">
        <v>2836</v>
      </c>
      <c r="N2332">
        <v>145</v>
      </c>
      <c r="O2332">
        <v>0</v>
      </c>
      <c r="P2332" t="str">
        <f>IF(T[[#This Row],[qty_ordered]]&lt;&gt;T[[#This Row],[qty_received]],IF(T[[#This Row],[qty_received]]&gt;0,"Partial Received","Not Receviced"),"FullyReceived")</f>
        <v>Not Receviced</v>
      </c>
      <c r="Q2332" t="str">
        <f>IF(T[[#This Row],[qty_received]]&lt;&gt;T[[#This Row],[qty_invoiced]],IF(T[[#This Row],[qty_invoiced]]&gt;0,"Partial Invoiced","Not Invoiced"),"Fully Invoiced")</f>
        <v>Partial Invoiced</v>
      </c>
      <c r="R2332" t="str">
        <f>IFERROR(VLOOKUP(T[[#This Row],[warehouse]],Table2[],2,FALSE),"--")</f>
        <v>--</v>
      </c>
    </row>
    <row r="2333" spans="1:18" x14ac:dyDescent="0.25">
      <c r="A2333" t="s">
        <v>1603</v>
      </c>
      <c r="B2333" s="1">
        <v>44665</v>
      </c>
      <c r="C2333" t="s">
        <v>1604</v>
      </c>
      <c r="D2333" t="s">
        <v>325</v>
      </c>
      <c r="E2333" t="s">
        <v>51</v>
      </c>
      <c r="F2333" t="s">
        <v>164</v>
      </c>
      <c r="G2333" t="s">
        <v>1647</v>
      </c>
      <c r="H2333" t="s">
        <v>54</v>
      </c>
      <c r="I2333">
        <v>750</v>
      </c>
      <c r="J2333">
        <v>0</v>
      </c>
      <c r="K2333">
        <v>1</v>
      </c>
      <c r="L2333" t="s">
        <v>693</v>
      </c>
      <c r="M2333" t="s">
        <v>2836</v>
      </c>
      <c r="N2333">
        <v>145</v>
      </c>
      <c r="O2333">
        <v>0</v>
      </c>
      <c r="P2333" t="str">
        <f>IF(T[[#This Row],[qty_ordered]]&lt;&gt;T[[#This Row],[qty_received]],IF(T[[#This Row],[qty_received]]&gt;0,"Partial Received","Not Receviced"),"FullyReceived")</f>
        <v>Not Receviced</v>
      </c>
      <c r="Q2333" t="str">
        <f>IF(T[[#This Row],[qty_received]]&lt;&gt;T[[#This Row],[qty_invoiced]],IF(T[[#This Row],[qty_invoiced]]&gt;0,"Partial Invoiced","Not Invoiced"),"Fully Invoiced")</f>
        <v>Partial Invoiced</v>
      </c>
      <c r="R2333" t="str">
        <f>IFERROR(VLOOKUP(T[[#This Row],[warehouse]],Table2[],2,FALSE),"--")</f>
        <v>--</v>
      </c>
    </row>
    <row r="2334" spans="1:18" x14ac:dyDescent="0.25">
      <c r="A2334" t="s">
        <v>1603</v>
      </c>
      <c r="B2334" s="1">
        <v>44665</v>
      </c>
      <c r="C2334" t="s">
        <v>1604</v>
      </c>
      <c r="D2334" t="s">
        <v>451</v>
      </c>
      <c r="E2334" t="s">
        <v>51</v>
      </c>
      <c r="F2334" t="s">
        <v>164</v>
      </c>
      <c r="G2334" t="s">
        <v>1648</v>
      </c>
      <c r="H2334" t="s">
        <v>54</v>
      </c>
      <c r="I2334">
        <v>16509</v>
      </c>
      <c r="J2334">
        <v>0</v>
      </c>
      <c r="K2334">
        <v>1</v>
      </c>
      <c r="L2334" t="s">
        <v>693</v>
      </c>
      <c r="M2334" t="s">
        <v>2836</v>
      </c>
      <c r="N2334">
        <v>145</v>
      </c>
      <c r="O2334">
        <v>0</v>
      </c>
      <c r="P2334" t="str">
        <f>IF(T[[#This Row],[qty_ordered]]&lt;&gt;T[[#This Row],[qty_received]],IF(T[[#This Row],[qty_received]]&gt;0,"Partial Received","Not Receviced"),"FullyReceived")</f>
        <v>Not Receviced</v>
      </c>
      <c r="Q2334" t="str">
        <f>IF(T[[#This Row],[qty_received]]&lt;&gt;T[[#This Row],[qty_invoiced]],IF(T[[#This Row],[qty_invoiced]]&gt;0,"Partial Invoiced","Not Invoiced"),"Fully Invoiced")</f>
        <v>Partial Invoiced</v>
      </c>
      <c r="R2334" t="str">
        <f>IFERROR(VLOOKUP(T[[#This Row],[warehouse]],Table2[],2,FALSE),"--")</f>
        <v>--</v>
      </c>
    </row>
    <row r="2335" spans="1:18" x14ac:dyDescent="0.25">
      <c r="A2335" t="s">
        <v>1649</v>
      </c>
      <c r="B2335" s="1">
        <v>44665</v>
      </c>
      <c r="C2335" t="s">
        <v>1650</v>
      </c>
      <c r="D2335" t="s">
        <v>20</v>
      </c>
      <c r="E2335" t="s">
        <v>146</v>
      </c>
      <c r="F2335" t="s">
        <v>415</v>
      </c>
      <c r="G2335" t="s">
        <v>416</v>
      </c>
      <c r="H2335" t="s">
        <v>417</v>
      </c>
      <c r="I2335">
        <v>2000</v>
      </c>
      <c r="J2335">
        <v>1843</v>
      </c>
      <c r="K2335">
        <v>1843</v>
      </c>
      <c r="L2335" t="s">
        <v>693</v>
      </c>
      <c r="M2335" t="s">
        <v>418</v>
      </c>
      <c r="N2335">
        <v>7000</v>
      </c>
      <c r="O2335">
        <v>12901000</v>
      </c>
      <c r="P2335" t="str">
        <f>IF(T[[#This Row],[qty_ordered]]&lt;&gt;T[[#This Row],[qty_received]],IF(T[[#This Row],[qty_received]]&gt;0,"Partial Received","Not Receviced"),"FullyReceived")</f>
        <v>Partial Received</v>
      </c>
      <c r="Q2335" t="str">
        <f>IF(T[[#This Row],[qty_received]]&lt;&gt;T[[#This Row],[qty_invoiced]],IF(T[[#This Row],[qty_invoiced]]&gt;0,"Partial Invoiced","Not Invoiced"),"Fully Invoiced")</f>
        <v>Fully Invoiced</v>
      </c>
      <c r="R2335" t="str">
        <f>IFERROR(VLOOKUP(T[[#This Row],[warehouse]],Table2[],2,FALSE),"--")</f>
        <v>Khtoum Main Warehouse</v>
      </c>
    </row>
    <row r="2336" spans="1:18" x14ac:dyDescent="0.25">
      <c r="A2336" t="s">
        <v>560</v>
      </c>
      <c r="B2336" s="1">
        <v>44572</v>
      </c>
      <c r="C2336" t="s">
        <v>1651</v>
      </c>
      <c r="D2336" t="s">
        <v>100</v>
      </c>
      <c r="E2336" t="s">
        <v>51</v>
      </c>
      <c r="F2336" t="s">
        <v>164</v>
      </c>
      <c r="G2336" t="s">
        <v>1652</v>
      </c>
      <c r="H2336" t="s">
        <v>54</v>
      </c>
      <c r="I2336">
        <v>6</v>
      </c>
      <c r="J2336">
        <v>0</v>
      </c>
      <c r="K2336">
        <v>1</v>
      </c>
      <c r="L2336" t="s">
        <v>693</v>
      </c>
      <c r="M2336" t="s">
        <v>2836</v>
      </c>
      <c r="N2336">
        <v>5250</v>
      </c>
      <c r="O2336">
        <v>0</v>
      </c>
      <c r="P2336" t="str">
        <f>IF(T[[#This Row],[qty_ordered]]&lt;&gt;T[[#This Row],[qty_received]],IF(T[[#This Row],[qty_received]]&gt;0,"Partial Received","Not Receviced"),"FullyReceived")</f>
        <v>Not Receviced</v>
      </c>
      <c r="Q2336" t="str">
        <f>IF(T[[#This Row],[qty_received]]&lt;&gt;T[[#This Row],[qty_invoiced]],IF(T[[#This Row],[qty_invoiced]]&gt;0,"Partial Invoiced","Not Invoiced"),"Fully Invoiced")</f>
        <v>Partial Invoiced</v>
      </c>
      <c r="R2336" t="str">
        <f>IFERROR(VLOOKUP(T[[#This Row],[warehouse]],Table2[],2,FALSE),"--")</f>
        <v>--</v>
      </c>
    </row>
    <row r="2337" spans="1:18" x14ac:dyDescent="0.25">
      <c r="A2337" t="s">
        <v>560</v>
      </c>
      <c r="B2337" s="1">
        <v>44572</v>
      </c>
      <c r="C2337" t="s">
        <v>1651</v>
      </c>
      <c r="D2337" t="s">
        <v>88</v>
      </c>
      <c r="E2337" t="s">
        <v>51</v>
      </c>
      <c r="F2337" t="s">
        <v>164</v>
      </c>
      <c r="G2337" t="s">
        <v>1652</v>
      </c>
      <c r="H2337" t="s">
        <v>54</v>
      </c>
      <c r="I2337">
        <v>31.63</v>
      </c>
      <c r="J2337">
        <v>0</v>
      </c>
      <c r="K2337">
        <v>1</v>
      </c>
      <c r="L2337" t="s">
        <v>693</v>
      </c>
      <c r="M2337" t="s">
        <v>2836</v>
      </c>
      <c r="N2337">
        <v>5250</v>
      </c>
      <c r="O2337">
        <v>0</v>
      </c>
      <c r="P2337" t="str">
        <f>IF(T[[#This Row],[qty_ordered]]&lt;&gt;T[[#This Row],[qty_received]],IF(T[[#This Row],[qty_received]]&gt;0,"Partial Received","Not Receviced"),"FullyReceived")</f>
        <v>Not Receviced</v>
      </c>
      <c r="Q2337" t="str">
        <f>IF(T[[#This Row],[qty_received]]&lt;&gt;T[[#This Row],[qty_invoiced]],IF(T[[#This Row],[qty_invoiced]]&gt;0,"Partial Invoiced","Not Invoiced"),"Fully Invoiced")</f>
        <v>Partial Invoiced</v>
      </c>
      <c r="R2337" t="str">
        <f>IFERROR(VLOOKUP(T[[#This Row],[warehouse]],Table2[],2,FALSE),"--")</f>
        <v>--</v>
      </c>
    </row>
    <row r="2338" spans="1:18" x14ac:dyDescent="0.25">
      <c r="A2338" t="s">
        <v>560</v>
      </c>
      <c r="B2338" s="1">
        <v>44572</v>
      </c>
      <c r="C2338" t="s">
        <v>1651</v>
      </c>
      <c r="D2338" t="s">
        <v>74</v>
      </c>
      <c r="E2338" t="s">
        <v>51</v>
      </c>
      <c r="F2338" t="s">
        <v>164</v>
      </c>
      <c r="G2338" t="s">
        <v>1652</v>
      </c>
      <c r="H2338" t="s">
        <v>54</v>
      </c>
      <c r="I2338">
        <v>25.88</v>
      </c>
      <c r="J2338">
        <v>0</v>
      </c>
      <c r="K2338">
        <v>1</v>
      </c>
      <c r="L2338" t="s">
        <v>693</v>
      </c>
      <c r="M2338" t="s">
        <v>2836</v>
      </c>
      <c r="N2338">
        <v>5250</v>
      </c>
      <c r="O2338">
        <v>0</v>
      </c>
      <c r="P2338" t="str">
        <f>IF(T[[#This Row],[qty_ordered]]&lt;&gt;T[[#This Row],[qty_received]],IF(T[[#This Row],[qty_received]]&gt;0,"Partial Received","Not Receviced"),"FullyReceived")</f>
        <v>Not Receviced</v>
      </c>
      <c r="Q2338" t="str">
        <f>IF(T[[#This Row],[qty_received]]&lt;&gt;T[[#This Row],[qty_invoiced]],IF(T[[#This Row],[qty_invoiced]]&gt;0,"Partial Invoiced","Not Invoiced"),"Fully Invoiced")</f>
        <v>Partial Invoiced</v>
      </c>
      <c r="R2338" t="str">
        <f>IFERROR(VLOOKUP(T[[#This Row],[warehouse]],Table2[],2,FALSE),"--")</f>
        <v>--</v>
      </c>
    </row>
    <row r="2339" spans="1:18" x14ac:dyDescent="0.25">
      <c r="A2339" t="s">
        <v>560</v>
      </c>
      <c r="B2339" s="1">
        <v>44634</v>
      </c>
      <c r="C2339" t="s">
        <v>1539</v>
      </c>
      <c r="D2339" t="s">
        <v>71</v>
      </c>
      <c r="E2339" t="s">
        <v>51</v>
      </c>
      <c r="F2339" t="s">
        <v>164</v>
      </c>
      <c r="G2339" t="s">
        <v>1653</v>
      </c>
      <c r="H2339" t="s">
        <v>54</v>
      </c>
      <c r="I2339">
        <v>29</v>
      </c>
      <c r="J2339">
        <v>0</v>
      </c>
      <c r="K2339">
        <v>1</v>
      </c>
      <c r="L2339" t="s">
        <v>693</v>
      </c>
      <c r="M2339" t="s">
        <v>2836</v>
      </c>
      <c r="N2339">
        <v>5250</v>
      </c>
      <c r="O2339">
        <v>0</v>
      </c>
      <c r="P2339" t="str">
        <f>IF(T[[#This Row],[qty_ordered]]&lt;&gt;T[[#This Row],[qty_received]],IF(T[[#This Row],[qty_received]]&gt;0,"Partial Received","Not Receviced"),"FullyReceived")</f>
        <v>Not Receviced</v>
      </c>
      <c r="Q2339" t="str">
        <f>IF(T[[#This Row],[qty_received]]&lt;&gt;T[[#This Row],[qty_invoiced]],IF(T[[#This Row],[qty_invoiced]]&gt;0,"Partial Invoiced","Not Invoiced"),"Fully Invoiced")</f>
        <v>Partial Invoiced</v>
      </c>
      <c r="R2339" t="str">
        <f>IFERROR(VLOOKUP(T[[#This Row],[warehouse]],Table2[],2,FALSE),"--")</f>
        <v>--</v>
      </c>
    </row>
    <row r="2340" spans="1:18" x14ac:dyDescent="0.25">
      <c r="A2340" t="s">
        <v>560</v>
      </c>
      <c r="B2340" s="1">
        <v>44606</v>
      </c>
      <c r="C2340" t="s">
        <v>1544</v>
      </c>
      <c r="D2340" t="s">
        <v>76</v>
      </c>
      <c r="E2340" t="s">
        <v>51</v>
      </c>
      <c r="F2340" t="s">
        <v>164</v>
      </c>
      <c r="G2340" t="s">
        <v>1654</v>
      </c>
      <c r="H2340" t="s">
        <v>54</v>
      </c>
      <c r="I2340">
        <v>3</v>
      </c>
      <c r="J2340">
        <v>0</v>
      </c>
      <c r="K2340">
        <v>1</v>
      </c>
      <c r="L2340" t="s">
        <v>693</v>
      </c>
      <c r="M2340" t="s">
        <v>2836</v>
      </c>
      <c r="N2340">
        <v>5250</v>
      </c>
      <c r="O2340">
        <v>0</v>
      </c>
      <c r="P2340" t="str">
        <f>IF(T[[#This Row],[qty_ordered]]&lt;&gt;T[[#This Row],[qty_received]],IF(T[[#This Row],[qty_received]]&gt;0,"Partial Received","Not Receviced"),"FullyReceived")</f>
        <v>Not Receviced</v>
      </c>
      <c r="Q2340" t="str">
        <f>IF(T[[#This Row],[qty_received]]&lt;&gt;T[[#This Row],[qty_invoiced]],IF(T[[#This Row],[qty_invoiced]]&gt;0,"Partial Invoiced","Not Invoiced"),"Fully Invoiced")</f>
        <v>Partial Invoiced</v>
      </c>
      <c r="R2340" t="str">
        <f>IFERROR(VLOOKUP(T[[#This Row],[warehouse]],Table2[],2,FALSE),"--")</f>
        <v>--</v>
      </c>
    </row>
    <row r="2341" spans="1:18" x14ac:dyDescent="0.25">
      <c r="A2341" t="s">
        <v>560</v>
      </c>
      <c r="B2341" s="1">
        <v>44606</v>
      </c>
      <c r="C2341" t="s">
        <v>1544</v>
      </c>
      <c r="D2341" t="s">
        <v>212</v>
      </c>
      <c r="E2341" t="s">
        <v>51</v>
      </c>
      <c r="F2341" t="s">
        <v>164</v>
      </c>
      <c r="G2341" t="s">
        <v>1654</v>
      </c>
      <c r="H2341" t="s">
        <v>54</v>
      </c>
      <c r="I2341">
        <v>2</v>
      </c>
      <c r="J2341">
        <v>0</v>
      </c>
      <c r="K2341">
        <v>1</v>
      </c>
      <c r="L2341" t="s">
        <v>693</v>
      </c>
      <c r="M2341" t="s">
        <v>2836</v>
      </c>
      <c r="N2341">
        <v>5250</v>
      </c>
      <c r="O2341">
        <v>0</v>
      </c>
      <c r="P2341" t="str">
        <f>IF(T[[#This Row],[qty_ordered]]&lt;&gt;T[[#This Row],[qty_received]],IF(T[[#This Row],[qty_received]]&gt;0,"Partial Received","Not Receviced"),"FullyReceived")</f>
        <v>Not Receviced</v>
      </c>
      <c r="Q2341" t="str">
        <f>IF(T[[#This Row],[qty_received]]&lt;&gt;T[[#This Row],[qty_invoiced]],IF(T[[#This Row],[qty_invoiced]]&gt;0,"Partial Invoiced","Not Invoiced"),"Fully Invoiced")</f>
        <v>Partial Invoiced</v>
      </c>
      <c r="R2341" t="str">
        <f>IFERROR(VLOOKUP(T[[#This Row],[warehouse]],Table2[],2,FALSE),"--")</f>
        <v>--</v>
      </c>
    </row>
    <row r="2342" spans="1:18" x14ac:dyDescent="0.25">
      <c r="A2342" t="s">
        <v>560</v>
      </c>
      <c r="B2342" s="1">
        <v>44606</v>
      </c>
      <c r="C2342" t="s">
        <v>1546</v>
      </c>
      <c r="D2342" t="s">
        <v>212</v>
      </c>
      <c r="E2342" t="s">
        <v>51</v>
      </c>
      <c r="F2342" t="s">
        <v>164</v>
      </c>
      <c r="G2342" t="s">
        <v>1655</v>
      </c>
      <c r="H2342" t="s">
        <v>54</v>
      </c>
      <c r="I2342">
        <v>31.38</v>
      </c>
      <c r="J2342">
        <v>0</v>
      </c>
      <c r="K2342">
        <v>1</v>
      </c>
      <c r="L2342" t="s">
        <v>693</v>
      </c>
      <c r="M2342" t="s">
        <v>2836</v>
      </c>
      <c r="N2342">
        <v>5250</v>
      </c>
      <c r="O2342">
        <v>0</v>
      </c>
      <c r="P2342" t="str">
        <f>IF(T[[#This Row],[qty_ordered]]&lt;&gt;T[[#This Row],[qty_received]],IF(T[[#This Row],[qty_received]]&gt;0,"Partial Received","Not Receviced"),"FullyReceived")</f>
        <v>Not Receviced</v>
      </c>
      <c r="Q2342" t="str">
        <f>IF(T[[#This Row],[qty_received]]&lt;&gt;T[[#This Row],[qty_invoiced]],IF(T[[#This Row],[qty_invoiced]]&gt;0,"Partial Invoiced","Not Invoiced"),"Fully Invoiced")</f>
        <v>Partial Invoiced</v>
      </c>
      <c r="R2342" t="str">
        <f>IFERROR(VLOOKUP(T[[#This Row],[warehouse]],Table2[],2,FALSE),"--")</f>
        <v>--</v>
      </c>
    </row>
    <row r="2343" spans="1:18" x14ac:dyDescent="0.25">
      <c r="A2343" t="s">
        <v>560</v>
      </c>
      <c r="B2343" s="1">
        <v>44606</v>
      </c>
      <c r="C2343" t="s">
        <v>1546</v>
      </c>
      <c r="D2343" t="s">
        <v>322</v>
      </c>
      <c r="E2343" t="s">
        <v>51</v>
      </c>
      <c r="F2343" t="s">
        <v>164</v>
      </c>
      <c r="G2343" t="s">
        <v>1655</v>
      </c>
      <c r="H2343" t="s">
        <v>54</v>
      </c>
      <c r="I2343">
        <v>31.38</v>
      </c>
      <c r="J2343">
        <v>0</v>
      </c>
      <c r="K2343">
        <v>1</v>
      </c>
      <c r="L2343" t="s">
        <v>693</v>
      </c>
      <c r="M2343" t="s">
        <v>2836</v>
      </c>
      <c r="N2343">
        <v>5250</v>
      </c>
      <c r="O2343">
        <v>0</v>
      </c>
      <c r="P2343" t="str">
        <f>IF(T[[#This Row],[qty_ordered]]&lt;&gt;T[[#This Row],[qty_received]],IF(T[[#This Row],[qty_received]]&gt;0,"Partial Received","Not Receviced"),"FullyReceived")</f>
        <v>Not Receviced</v>
      </c>
      <c r="Q2343" t="str">
        <f>IF(T[[#This Row],[qty_received]]&lt;&gt;T[[#This Row],[qty_invoiced]],IF(T[[#This Row],[qty_invoiced]]&gt;0,"Partial Invoiced","Not Invoiced"),"Fully Invoiced")</f>
        <v>Partial Invoiced</v>
      </c>
      <c r="R2343" t="str">
        <f>IFERROR(VLOOKUP(T[[#This Row],[warehouse]],Table2[],2,FALSE),"--")</f>
        <v>--</v>
      </c>
    </row>
    <row r="2344" spans="1:18" x14ac:dyDescent="0.25">
      <c r="A2344" t="s">
        <v>560</v>
      </c>
      <c r="B2344" s="1">
        <v>44606</v>
      </c>
      <c r="C2344" t="s">
        <v>1546</v>
      </c>
      <c r="D2344" t="s">
        <v>323</v>
      </c>
      <c r="E2344" t="s">
        <v>51</v>
      </c>
      <c r="F2344" t="s">
        <v>164</v>
      </c>
      <c r="G2344" t="s">
        <v>1655</v>
      </c>
      <c r="H2344" t="s">
        <v>54</v>
      </c>
      <c r="I2344">
        <v>30.38</v>
      </c>
      <c r="J2344">
        <v>0</v>
      </c>
      <c r="K2344">
        <v>1</v>
      </c>
      <c r="L2344" t="s">
        <v>693</v>
      </c>
      <c r="M2344" t="s">
        <v>2836</v>
      </c>
      <c r="N2344">
        <v>5250</v>
      </c>
      <c r="O2344">
        <v>0</v>
      </c>
      <c r="P2344" t="str">
        <f>IF(T[[#This Row],[qty_ordered]]&lt;&gt;T[[#This Row],[qty_received]],IF(T[[#This Row],[qty_received]]&gt;0,"Partial Received","Not Receviced"),"FullyReceived")</f>
        <v>Not Receviced</v>
      </c>
      <c r="Q2344" t="str">
        <f>IF(T[[#This Row],[qty_received]]&lt;&gt;T[[#This Row],[qty_invoiced]],IF(T[[#This Row],[qty_invoiced]]&gt;0,"Partial Invoiced","Not Invoiced"),"Fully Invoiced")</f>
        <v>Partial Invoiced</v>
      </c>
      <c r="R2344" t="str">
        <f>IFERROR(VLOOKUP(T[[#This Row],[warehouse]],Table2[],2,FALSE),"--")</f>
        <v>--</v>
      </c>
    </row>
    <row r="2345" spans="1:18" x14ac:dyDescent="0.25">
      <c r="A2345" t="s">
        <v>560</v>
      </c>
      <c r="B2345" s="1">
        <v>44606</v>
      </c>
      <c r="C2345" t="s">
        <v>1546</v>
      </c>
      <c r="D2345" t="s">
        <v>324</v>
      </c>
      <c r="E2345" t="s">
        <v>51</v>
      </c>
      <c r="F2345" t="s">
        <v>164</v>
      </c>
      <c r="G2345" t="s">
        <v>1655</v>
      </c>
      <c r="H2345" t="s">
        <v>54</v>
      </c>
      <c r="I2345">
        <v>3</v>
      </c>
      <c r="J2345">
        <v>0</v>
      </c>
      <c r="K2345">
        <v>1</v>
      </c>
      <c r="L2345" t="s">
        <v>693</v>
      </c>
      <c r="M2345" t="s">
        <v>2836</v>
      </c>
      <c r="N2345">
        <v>5250</v>
      </c>
      <c r="O2345">
        <v>0</v>
      </c>
      <c r="P2345" t="str">
        <f>IF(T[[#This Row],[qty_ordered]]&lt;&gt;T[[#This Row],[qty_received]],IF(T[[#This Row],[qty_received]]&gt;0,"Partial Received","Not Receviced"),"FullyReceived")</f>
        <v>Not Receviced</v>
      </c>
      <c r="Q2345" t="str">
        <f>IF(T[[#This Row],[qty_received]]&lt;&gt;T[[#This Row],[qty_invoiced]],IF(T[[#This Row],[qty_invoiced]]&gt;0,"Partial Invoiced","Not Invoiced"),"Fully Invoiced")</f>
        <v>Partial Invoiced</v>
      </c>
      <c r="R2345" t="str">
        <f>IFERROR(VLOOKUP(T[[#This Row],[warehouse]],Table2[],2,FALSE),"--")</f>
        <v>--</v>
      </c>
    </row>
    <row r="2346" spans="1:18" x14ac:dyDescent="0.25">
      <c r="A2346" t="s">
        <v>560</v>
      </c>
      <c r="B2346" s="1">
        <v>44606</v>
      </c>
      <c r="C2346" t="s">
        <v>1546</v>
      </c>
      <c r="D2346" t="s">
        <v>325</v>
      </c>
      <c r="E2346" t="s">
        <v>51</v>
      </c>
      <c r="F2346" t="s">
        <v>164</v>
      </c>
      <c r="G2346" t="s">
        <v>1655</v>
      </c>
      <c r="H2346" t="s">
        <v>54</v>
      </c>
      <c r="I2346">
        <v>3</v>
      </c>
      <c r="J2346">
        <v>0</v>
      </c>
      <c r="K2346">
        <v>1</v>
      </c>
      <c r="L2346" t="s">
        <v>693</v>
      </c>
      <c r="M2346" t="s">
        <v>2836</v>
      </c>
      <c r="N2346">
        <v>5250</v>
      </c>
      <c r="O2346">
        <v>0</v>
      </c>
      <c r="P2346" t="str">
        <f>IF(T[[#This Row],[qty_ordered]]&lt;&gt;T[[#This Row],[qty_received]],IF(T[[#This Row],[qty_received]]&gt;0,"Partial Received","Not Receviced"),"FullyReceived")</f>
        <v>Not Receviced</v>
      </c>
      <c r="Q2346" t="str">
        <f>IF(T[[#This Row],[qty_received]]&lt;&gt;T[[#This Row],[qty_invoiced]],IF(T[[#This Row],[qty_invoiced]]&gt;0,"Partial Invoiced","Not Invoiced"),"Fully Invoiced")</f>
        <v>Partial Invoiced</v>
      </c>
      <c r="R2346" t="str">
        <f>IFERROR(VLOOKUP(T[[#This Row],[warehouse]],Table2[],2,FALSE),"--")</f>
        <v>--</v>
      </c>
    </row>
    <row r="2347" spans="1:18" x14ac:dyDescent="0.25">
      <c r="A2347" t="s">
        <v>560</v>
      </c>
      <c r="B2347" s="1">
        <v>44606</v>
      </c>
      <c r="C2347" t="s">
        <v>1546</v>
      </c>
      <c r="D2347" t="s">
        <v>451</v>
      </c>
      <c r="E2347" t="s">
        <v>51</v>
      </c>
      <c r="F2347" t="s">
        <v>164</v>
      </c>
      <c r="G2347" t="s">
        <v>1655</v>
      </c>
      <c r="H2347" t="s">
        <v>54</v>
      </c>
      <c r="I2347">
        <v>37.380000000000003</v>
      </c>
      <c r="J2347">
        <v>0</v>
      </c>
      <c r="K2347">
        <v>1</v>
      </c>
      <c r="L2347" t="s">
        <v>693</v>
      </c>
      <c r="M2347" t="s">
        <v>2836</v>
      </c>
      <c r="N2347">
        <v>5250</v>
      </c>
      <c r="O2347">
        <v>0</v>
      </c>
      <c r="P2347" t="str">
        <f>IF(T[[#This Row],[qty_ordered]]&lt;&gt;T[[#This Row],[qty_received]],IF(T[[#This Row],[qty_received]]&gt;0,"Partial Received","Not Receviced"),"FullyReceived")</f>
        <v>Not Receviced</v>
      </c>
      <c r="Q2347" t="str">
        <f>IF(T[[#This Row],[qty_received]]&lt;&gt;T[[#This Row],[qty_invoiced]],IF(T[[#This Row],[qty_invoiced]]&gt;0,"Partial Invoiced","Not Invoiced"),"Fully Invoiced")</f>
        <v>Partial Invoiced</v>
      </c>
      <c r="R2347" t="str">
        <f>IFERROR(VLOOKUP(T[[#This Row],[warehouse]],Table2[],2,FALSE),"--")</f>
        <v>--</v>
      </c>
    </row>
    <row r="2348" spans="1:18" x14ac:dyDescent="0.25">
      <c r="A2348" t="s">
        <v>560</v>
      </c>
      <c r="B2348" s="1">
        <v>44606</v>
      </c>
      <c r="C2348" t="s">
        <v>1546</v>
      </c>
      <c r="D2348" t="s">
        <v>452</v>
      </c>
      <c r="E2348" t="s">
        <v>51</v>
      </c>
      <c r="F2348" t="s">
        <v>164</v>
      </c>
      <c r="G2348" t="s">
        <v>1655</v>
      </c>
      <c r="H2348" t="s">
        <v>54</v>
      </c>
      <c r="I2348">
        <v>36.880000000000003</v>
      </c>
      <c r="J2348">
        <v>0</v>
      </c>
      <c r="K2348">
        <v>1</v>
      </c>
      <c r="L2348" t="s">
        <v>693</v>
      </c>
      <c r="M2348" t="s">
        <v>2836</v>
      </c>
      <c r="N2348">
        <v>5250</v>
      </c>
      <c r="O2348">
        <v>0</v>
      </c>
      <c r="P2348" t="str">
        <f>IF(T[[#This Row],[qty_ordered]]&lt;&gt;T[[#This Row],[qty_received]],IF(T[[#This Row],[qty_received]]&gt;0,"Partial Received","Not Receviced"),"FullyReceived")</f>
        <v>Not Receviced</v>
      </c>
      <c r="Q2348" t="str">
        <f>IF(T[[#This Row],[qty_received]]&lt;&gt;T[[#This Row],[qty_invoiced]],IF(T[[#This Row],[qty_invoiced]]&gt;0,"Partial Invoiced","Not Invoiced"),"Fully Invoiced")</f>
        <v>Partial Invoiced</v>
      </c>
      <c r="R2348" t="str">
        <f>IFERROR(VLOOKUP(T[[#This Row],[warehouse]],Table2[],2,FALSE),"--")</f>
        <v>--</v>
      </c>
    </row>
    <row r="2349" spans="1:18" x14ac:dyDescent="0.25">
      <c r="A2349" t="s">
        <v>560</v>
      </c>
      <c r="B2349" s="1">
        <v>44544</v>
      </c>
      <c r="C2349" t="s">
        <v>1542</v>
      </c>
      <c r="D2349" t="s">
        <v>452</v>
      </c>
      <c r="E2349" t="s">
        <v>51</v>
      </c>
      <c r="F2349" t="s">
        <v>164</v>
      </c>
      <c r="G2349" t="s">
        <v>1656</v>
      </c>
      <c r="H2349" t="s">
        <v>54</v>
      </c>
      <c r="I2349">
        <v>29.63</v>
      </c>
      <c r="J2349">
        <v>0</v>
      </c>
      <c r="K2349">
        <v>1</v>
      </c>
      <c r="L2349" t="s">
        <v>693</v>
      </c>
      <c r="M2349" t="s">
        <v>533</v>
      </c>
      <c r="N2349">
        <v>5250</v>
      </c>
      <c r="O2349">
        <v>0</v>
      </c>
      <c r="P2349" t="str">
        <f>IF(T[[#This Row],[qty_ordered]]&lt;&gt;T[[#This Row],[qty_received]],IF(T[[#This Row],[qty_received]]&gt;0,"Partial Received","Not Receviced"),"FullyReceived")</f>
        <v>Not Receviced</v>
      </c>
      <c r="Q2349" t="str">
        <f>IF(T[[#This Row],[qty_received]]&lt;&gt;T[[#This Row],[qty_invoiced]],IF(T[[#This Row],[qty_invoiced]]&gt;0,"Partial Invoiced","Not Invoiced"),"Fully Invoiced")</f>
        <v>Partial Invoiced</v>
      </c>
      <c r="R2349" t="str">
        <f>IFERROR(VLOOKUP(T[[#This Row],[warehouse]],Table2[],2,FALSE),"--")</f>
        <v>--</v>
      </c>
    </row>
    <row r="2350" spans="1:18" x14ac:dyDescent="0.25">
      <c r="A2350" t="s">
        <v>560</v>
      </c>
      <c r="B2350" s="1">
        <v>44544</v>
      </c>
      <c r="C2350" t="s">
        <v>1542</v>
      </c>
      <c r="D2350" t="s">
        <v>614</v>
      </c>
      <c r="E2350" t="s">
        <v>51</v>
      </c>
      <c r="F2350" t="s">
        <v>164</v>
      </c>
      <c r="G2350" t="s">
        <v>1656</v>
      </c>
      <c r="H2350" t="s">
        <v>54</v>
      </c>
      <c r="I2350">
        <v>17</v>
      </c>
      <c r="J2350">
        <v>0</v>
      </c>
      <c r="K2350">
        <v>1</v>
      </c>
      <c r="L2350" t="s">
        <v>693</v>
      </c>
      <c r="M2350" t="s">
        <v>533</v>
      </c>
      <c r="N2350">
        <v>5250</v>
      </c>
      <c r="O2350">
        <v>0</v>
      </c>
      <c r="P2350" t="str">
        <f>IF(T[[#This Row],[qty_ordered]]&lt;&gt;T[[#This Row],[qty_received]],IF(T[[#This Row],[qty_received]]&gt;0,"Partial Received","Not Receviced"),"FullyReceived")</f>
        <v>Not Receviced</v>
      </c>
      <c r="Q2350" t="str">
        <f>IF(T[[#This Row],[qty_received]]&lt;&gt;T[[#This Row],[qty_invoiced]],IF(T[[#This Row],[qty_invoiced]]&gt;0,"Partial Invoiced","Not Invoiced"),"Fully Invoiced")</f>
        <v>Partial Invoiced</v>
      </c>
      <c r="R2350" t="str">
        <f>IFERROR(VLOOKUP(T[[#This Row],[warehouse]],Table2[],2,FALSE),"--")</f>
        <v>--</v>
      </c>
    </row>
    <row r="2351" spans="1:18" x14ac:dyDescent="0.25">
      <c r="A2351" t="s">
        <v>560</v>
      </c>
      <c r="B2351" s="1">
        <v>44544</v>
      </c>
      <c r="C2351" t="s">
        <v>1542</v>
      </c>
      <c r="D2351" t="s">
        <v>615</v>
      </c>
      <c r="E2351" t="s">
        <v>51</v>
      </c>
      <c r="F2351" t="s">
        <v>164</v>
      </c>
      <c r="G2351" t="s">
        <v>1656</v>
      </c>
      <c r="H2351" t="s">
        <v>54</v>
      </c>
      <c r="I2351">
        <v>29.75</v>
      </c>
      <c r="J2351">
        <v>0</v>
      </c>
      <c r="K2351">
        <v>1</v>
      </c>
      <c r="L2351" t="s">
        <v>693</v>
      </c>
      <c r="M2351" t="s">
        <v>533</v>
      </c>
      <c r="N2351">
        <v>5250</v>
      </c>
      <c r="O2351">
        <v>0</v>
      </c>
      <c r="P2351" t="str">
        <f>IF(T[[#This Row],[qty_ordered]]&lt;&gt;T[[#This Row],[qty_received]],IF(T[[#This Row],[qty_received]]&gt;0,"Partial Received","Not Receviced"),"FullyReceived")</f>
        <v>Not Receviced</v>
      </c>
      <c r="Q2351" t="str">
        <f>IF(T[[#This Row],[qty_received]]&lt;&gt;T[[#This Row],[qty_invoiced]],IF(T[[#This Row],[qty_invoiced]]&gt;0,"Partial Invoiced","Not Invoiced"),"Fully Invoiced")</f>
        <v>Partial Invoiced</v>
      </c>
      <c r="R2351" t="str">
        <f>IFERROR(VLOOKUP(T[[#This Row],[warehouse]],Table2[],2,FALSE),"--")</f>
        <v>--</v>
      </c>
    </row>
    <row r="2352" spans="1:18" x14ac:dyDescent="0.25">
      <c r="A2352" t="s">
        <v>560</v>
      </c>
      <c r="B2352" s="1">
        <v>44544</v>
      </c>
      <c r="C2352" t="s">
        <v>1542</v>
      </c>
      <c r="D2352" t="s">
        <v>752</v>
      </c>
      <c r="E2352" t="s">
        <v>51</v>
      </c>
      <c r="F2352" t="s">
        <v>164</v>
      </c>
      <c r="G2352" t="s">
        <v>1656</v>
      </c>
      <c r="H2352" t="s">
        <v>54</v>
      </c>
      <c r="I2352">
        <v>29.88</v>
      </c>
      <c r="J2352">
        <v>0</v>
      </c>
      <c r="K2352">
        <v>1</v>
      </c>
      <c r="L2352" t="s">
        <v>693</v>
      </c>
      <c r="M2352" t="s">
        <v>533</v>
      </c>
      <c r="N2352">
        <v>5250</v>
      </c>
      <c r="O2352">
        <v>0</v>
      </c>
      <c r="P2352" t="str">
        <f>IF(T[[#This Row],[qty_ordered]]&lt;&gt;T[[#This Row],[qty_received]],IF(T[[#This Row],[qty_received]]&gt;0,"Partial Received","Not Receviced"),"FullyReceived")</f>
        <v>Not Receviced</v>
      </c>
      <c r="Q2352" t="str">
        <f>IF(T[[#This Row],[qty_received]]&lt;&gt;T[[#This Row],[qty_invoiced]],IF(T[[#This Row],[qty_invoiced]]&gt;0,"Partial Invoiced","Not Invoiced"),"Fully Invoiced")</f>
        <v>Partial Invoiced</v>
      </c>
      <c r="R2352" t="str">
        <f>IFERROR(VLOOKUP(T[[#This Row],[warehouse]],Table2[],2,FALSE),"--")</f>
        <v>--</v>
      </c>
    </row>
    <row r="2353" spans="1:18" x14ac:dyDescent="0.25">
      <c r="A2353" t="s">
        <v>560</v>
      </c>
      <c r="B2353" s="1">
        <v>44544</v>
      </c>
      <c r="C2353" t="s">
        <v>1542</v>
      </c>
      <c r="D2353" t="s">
        <v>759</v>
      </c>
      <c r="E2353" t="s">
        <v>51</v>
      </c>
      <c r="F2353" t="s">
        <v>164</v>
      </c>
      <c r="G2353" t="s">
        <v>1656</v>
      </c>
      <c r="H2353" t="s">
        <v>54</v>
      </c>
      <c r="I2353">
        <v>28</v>
      </c>
      <c r="J2353">
        <v>0</v>
      </c>
      <c r="K2353">
        <v>1</v>
      </c>
      <c r="L2353" t="s">
        <v>693</v>
      </c>
      <c r="M2353" t="s">
        <v>533</v>
      </c>
      <c r="N2353">
        <v>5250</v>
      </c>
      <c r="O2353">
        <v>0</v>
      </c>
      <c r="P2353" t="str">
        <f>IF(T[[#This Row],[qty_ordered]]&lt;&gt;T[[#This Row],[qty_received]],IF(T[[#This Row],[qty_received]]&gt;0,"Partial Received","Not Receviced"),"FullyReceived")</f>
        <v>Not Receviced</v>
      </c>
      <c r="Q2353" t="str">
        <f>IF(T[[#This Row],[qty_received]]&lt;&gt;T[[#This Row],[qty_invoiced]],IF(T[[#This Row],[qty_invoiced]]&gt;0,"Partial Invoiced","Not Invoiced"),"Fully Invoiced")</f>
        <v>Partial Invoiced</v>
      </c>
      <c r="R2353" t="str">
        <f>IFERROR(VLOOKUP(T[[#This Row],[warehouse]],Table2[],2,FALSE),"--")</f>
        <v>--</v>
      </c>
    </row>
    <row r="2354" spans="1:18" x14ac:dyDescent="0.25">
      <c r="A2354" t="s">
        <v>560</v>
      </c>
      <c r="B2354" s="1">
        <v>44572</v>
      </c>
      <c r="C2354" t="s">
        <v>1531</v>
      </c>
      <c r="D2354" t="s">
        <v>325</v>
      </c>
      <c r="E2354" t="s">
        <v>51</v>
      </c>
      <c r="F2354" t="s">
        <v>164</v>
      </c>
      <c r="G2354" t="s">
        <v>1657</v>
      </c>
      <c r="H2354" t="s">
        <v>54</v>
      </c>
      <c r="I2354">
        <v>11.38</v>
      </c>
      <c r="J2354">
        <v>0</v>
      </c>
      <c r="K2354">
        <v>1</v>
      </c>
      <c r="L2354" t="s">
        <v>693</v>
      </c>
      <c r="M2354" t="s">
        <v>533</v>
      </c>
      <c r="N2354">
        <v>5250</v>
      </c>
      <c r="O2354">
        <v>0</v>
      </c>
      <c r="P2354" t="str">
        <f>IF(T[[#This Row],[qty_ordered]]&lt;&gt;T[[#This Row],[qty_received]],IF(T[[#This Row],[qty_received]]&gt;0,"Partial Received","Not Receviced"),"FullyReceived")</f>
        <v>Not Receviced</v>
      </c>
      <c r="Q2354" t="str">
        <f>IF(T[[#This Row],[qty_received]]&lt;&gt;T[[#This Row],[qty_invoiced]],IF(T[[#This Row],[qty_invoiced]]&gt;0,"Partial Invoiced","Not Invoiced"),"Fully Invoiced")</f>
        <v>Partial Invoiced</v>
      </c>
      <c r="R2354" t="str">
        <f>IFERROR(VLOOKUP(T[[#This Row],[warehouse]],Table2[],2,FALSE),"--")</f>
        <v>--</v>
      </c>
    </row>
    <row r="2355" spans="1:18" x14ac:dyDescent="0.25">
      <c r="A2355" t="s">
        <v>560</v>
      </c>
      <c r="B2355" s="1">
        <v>44572</v>
      </c>
      <c r="C2355" t="s">
        <v>1531</v>
      </c>
      <c r="D2355" t="s">
        <v>451</v>
      </c>
      <c r="E2355" t="s">
        <v>51</v>
      </c>
      <c r="F2355" t="s">
        <v>164</v>
      </c>
      <c r="G2355" t="s">
        <v>1657</v>
      </c>
      <c r="H2355" t="s">
        <v>54</v>
      </c>
      <c r="I2355">
        <v>27</v>
      </c>
      <c r="J2355">
        <v>0</v>
      </c>
      <c r="K2355">
        <v>1</v>
      </c>
      <c r="L2355" t="s">
        <v>693</v>
      </c>
      <c r="M2355" t="s">
        <v>533</v>
      </c>
      <c r="N2355">
        <v>5250</v>
      </c>
      <c r="O2355">
        <v>0</v>
      </c>
      <c r="P2355" t="str">
        <f>IF(T[[#This Row],[qty_ordered]]&lt;&gt;T[[#This Row],[qty_received]],IF(T[[#This Row],[qty_received]]&gt;0,"Partial Received","Not Receviced"),"FullyReceived")</f>
        <v>Not Receviced</v>
      </c>
      <c r="Q2355" t="str">
        <f>IF(T[[#This Row],[qty_received]]&lt;&gt;T[[#This Row],[qty_invoiced]],IF(T[[#This Row],[qty_invoiced]]&gt;0,"Partial Invoiced","Not Invoiced"),"Fully Invoiced")</f>
        <v>Partial Invoiced</v>
      </c>
      <c r="R2355" t="str">
        <f>IFERROR(VLOOKUP(T[[#This Row],[warehouse]],Table2[],2,FALSE),"--")</f>
        <v>--</v>
      </c>
    </row>
    <row r="2356" spans="1:18" x14ac:dyDescent="0.25">
      <c r="A2356" t="s">
        <v>959</v>
      </c>
      <c r="B2356" s="1">
        <v>44172</v>
      </c>
      <c r="C2356" t="s">
        <v>1213</v>
      </c>
      <c r="D2356" t="s">
        <v>71</v>
      </c>
      <c r="E2356" t="s">
        <v>214</v>
      </c>
      <c r="F2356" t="s">
        <v>526</v>
      </c>
      <c r="G2356" t="s">
        <v>472</v>
      </c>
      <c r="H2356" t="s">
        <v>123</v>
      </c>
      <c r="I2356">
        <v>10400</v>
      </c>
      <c r="J2356">
        <v>10400</v>
      </c>
      <c r="K2356">
        <v>10400</v>
      </c>
      <c r="L2356" t="s">
        <v>25</v>
      </c>
      <c r="M2356" t="s">
        <v>132</v>
      </c>
      <c r="N2356">
        <v>22266.056380000002</v>
      </c>
      <c r="O2356">
        <v>140400000</v>
      </c>
      <c r="P2356" t="str">
        <f>IF(T[[#This Row],[qty_ordered]]&lt;&gt;T[[#This Row],[qty_received]],IF(T[[#This Row],[qty_received]]&gt;0,"Partial Received","Not Receviced"),"FullyReceived")</f>
        <v>FullyReceived</v>
      </c>
      <c r="Q2356" t="str">
        <f>IF(T[[#This Row],[qty_received]]&lt;&gt;T[[#This Row],[qty_invoiced]],IF(T[[#This Row],[qty_invoiced]]&gt;0,"Partial Invoiced","Not Invoiced"),"Fully Invoiced")</f>
        <v>Fully Invoiced</v>
      </c>
      <c r="R2356" t="str">
        <f>IFERROR(VLOOKUP(T[[#This Row],[warehouse]],Table2[],2,FALSE),"--")</f>
        <v>CRUSHER ELBALOLA</v>
      </c>
    </row>
    <row r="2357" spans="1:18" x14ac:dyDescent="0.25">
      <c r="A2357" t="s">
        <v>242</v>
      </c>
      <c r="B2357" s="1">
        <v>44143</v>
      </c>
      <c r="C2357" t="s">
        <v>969</v>
      </c>
      <c r="D2357" t="s">
        <v>88</v>
      </c>
      <c r="E2357" t="s">
        <v>405</v>
      </c>
      <c r="F2357" t="s">
        <v>244</v>
      </c>
      <c r="G2357" t="s">
        <v>245</v>
      </c>
      <c r="H2357" t="s">
        <v>24</v>
      </c>
      <c r="I2357">
        <v>800</v>
      </c>
      <c r="J2357">
        <v>393.74</v>
      </c>
      <c r="K2357">
        <v>393.74</v>
      </c>
      <c r="L2357" t="s">
        <v>25</v>
      </c>
      <c r="M2357" t="s">
        <v>132</v>
      </c>
      <c r="N2357">
        <v>370000</v>
      </c>
      <c r="O2357">
        <v>145683800</v>
      </c>
      <c r="P2357" t="str">
        <f>IF(T[[#This Row],[qty_ordered]]&lt;&gt;T[[#This Row],[qty_received]],IF(T[[#This Row],[qty_received]]&gt;0,"Partial Received","Not Receviced"),"FullyReceived")</f>
        <v>Partial Received</v>
      </c>
      <c r="Q2357" t="str">
        <f>IF(T[[#This Row],[qty_received]]&lt;&gt;T[[#This Row],[qty_invoiced]],IF(T[[#This Row],[qty_invoiced]]&gt;0,"Partial Invoiced","Not Invoiced"),"Fully Invoiced")</f>
        <v>Fully Invoiced</v>
      </c>
      <c r="R2357" t="str">
        <f>IFERROR(VLOOKUP(T[[#This Row],[warehouse]],Table2[],2,FALSE),"--")</f>
        <v>GINNING ISHRAG-MDNI</v>
      </c>
    </row>
    <row r="2358" spans="1:18" x14ac:dyDescent="0.25">
      <c r="A2358" t="s">
        <v>1146</v>
      </c>
      <c r="B2358" s="1">
        <v>44235</v>
      </c>
      <c r="C2358" t="s">
        <v>1658</v>
      </c>
      <c r="D2358" t="s">
        <v>20</v>
      </c>
      <c r="E2358" t="s">
        <v>660</v>
      </c>
      <c r="F2358" t="s">
        <v>1188</v>
      </c>
      <c r="G2358" t="s">
        <v>1189</v>
      </c>
      <c r="H2358" t="s">
        <v>1087</v>
      </c>
      <c r="I2358">
        <v>300</v>
      </c>
      <c r="J2358">
        <v>245</v>
      </c>
      <c r="K2358">
        <v>245</v>
      </c>
      <c r="L2358" t="s">
        <v>25</v>
      </c>
      <c r="M2358" t="s">
        <v>132</v>
      </c>
      <c r="N2358">
        <v>75000</v>
      </c>
      <c r="O2358">
        <v>18375000</v>
      </c>
      <c r="P2358" t="str">
        <f>IF(T[[#This Row],[qty_ordered]]&lt;&gt;T[[#This Row],[qty_received]],IF(T[[#This Row],[qty_received]]&gt;0,"Partial Received","Not Receviced"),"FullyReceived")</f>
        <v>Partial Received</v>
      </c>
      <c r="Q2358" t="str">
        <f>IF(T[[#This Row],[qty_received]]&lt;&gt;T[[#This Row],[qty_invoiced]],IF(T[[#This Row],[qty_invoiced]]&gt;0,"Partial Invoiced","Not Invoiced"),"Fully Invoiced")</f>
        <v>Fully Invoiced</v>
      </c>
      <c r="R2358" t="str">
        <f>IFERROR(VLOOKUP(T[[#This Row],[warehouse]],Table2[],2,FALSE),"--")</f>
        <v>SLAUGHTER HOUSE</v>
      </c>
    </row>
    <row r="2359" spans="1:18" x14ac:dyDescent="0.25">
      <c r="A2359" t="s">
        <v>1659</v>
      </c>
      <c r="B2359" s="1">
        <v>44236</v>
      </c>
      <c r="C2359" t="s">
        <v>1660</v>
      </c>
      <c r="D2359" t="s">
        <v>20</v>
      </c>
      <c r="E2359" t="s">
        <v>825</v>
      </c>
      <c r="F2359" t="s">
        <v>167</v>
      </c>
      <c r="G2359" t="s">
        <v>156</v>
      </c>
      <c r="H2359" t="s">
        <v>24</v>
      </c>
      <c r="I2359">
        <v>300</v>
      </c>
      <c r="J2359">
        <v>298.45999999999998</v>
      </c>
      <c r="K2359">
        <v>298.45999999999998</v>
      </c>
      <c r="L2359" t="s">
        <v>693</v>
      </c>
      <c r="M2359" t="s">
        <v>707</v>
      </c>
      <c r="N2359">
        <v>790000</v>
      </c>
      <c r="O2359">
        <v>235783400</v>
      </c>
      <c r="P2359" t="str">
        <f>IF(T[[#This Row],[qty_ordered]]&lt;&gt;T[[#This Row],[qty_received]],IF(T[[#This Row],[qty_received]]&gt;0,"Partial Received","Not Receviced"),"FullyReceived")</f>
        <v>Partial Received</v>
      </c>
      <c r="Q2359" t="str">
        <f>IF(T[[#This Row],[qty_received]]&lt;&gt;T[[#This Row],[qty_invoiced]],IF(T[[#This Row],[qty_invoiced]]&gt;0,"Partial Invoiced","Not Invoiced"),"Fully Invoiced")</f>
        <v>Fully Invoiced</v>
      </c>
      <c r="R2359" t="str">
        <f>IFERROR(VLOOKUP(T[[#This Row],[warehouse]],Table2[],2,FALSE),"--")</f>
        <v>CRUSHER HASABO</v>
      </c>
    </row>
    <row r="2360" spans="1:18" x14ac:dyDescent="0.25">
      <c r="A2360" t="s">
        <v>955</v>
      </c>
      <c r="B2360" s="1">
        <v>44151</v>
      </c>
      <c r="C2360" t="s">
        <v>1006</v>
      </c>
      <c r="D2360" t="s">
        <v>74</v>
      </c>
      <c r="E2360" t="s">
        <v>192</v>
      </c>
      <c r="F2360" t="s">
        <v>108</v>
      </c>
      <c r="G2360" t="s">
        <v>109</v>
      </c>
      <c r="H2360" t="s">
        <v>24</v>
      </c>
      <c r="I2360">
        <v>357.14299999999997</v>
      </c>
      <c r="J2360">
        <v>317.83999999999997</v>
      </c>
      <c r="K2360">
        <v>317.83999999999997</v>
      </c>
      <c r="L2360" t="s">
        <v>25</v>
      </c>
      <c r="M2360" t="s">
        <v>132</v>
      </c>
      <c r="N2360">
        <v>350000</v>
      </c>
      <c r="O2360">
        <v>111244000</v>
      </c>
      <c r="P2360" t="str">
        <f>IF(T[[#This Row],[qty_ordered]]&lt;&gt;T[[#This Row],[qty_received]],IF(T[[#This Row],[qty_received]]&gt;0,"Partial Received","Not Receviced"),"FullyReceived")</f>
        <v>Partial Received</v>
      </c>
      <c r="Q2360" t="str">
        <f>IF(T[[#This Row],[qty_received]]&lt;&gt;T[[#This Row],[qty_invoiced]],IF(T[[#This Row],[qty_invoiced]]&gt;0,"Partial Invoiced","Not Invoiced"),"Fully Invoiced")</f>
        <v>Fully Invoiced</v>
      </c>
      <c r="R2360" t="str">
        <f>IFERROR(VLOOKUP(T[[#This Row],[warehouse]],Table2[],2,FALSE),"--")</f>
        <v>BAYADER SIFTER-OMD</v>
      </c>
    </row>
    <row r="2361" spans="1:18" x14ac:dyDescent="0.25">
      <c r="A2361" t="s">
        <v>1226</v>
      </c>
      <c r="B2361" s="1">
        <v>44238</v>
      </c>
      <c r="C2361" t="s">
        <v>1227</v>
      </c>
      <c r="D2361" t="s">
        <v>20</v>
      </c>
      <c r="E2361" t="s">
        <v>51</v>
      </c>
      <c r="F2361" t="s">
        <v>52</v>
      </c>
      <c r="G2361" t="s">
        <v>75</v>
      </c>
      <c r="H2361" t="s">
        <v>54</v>
      </c>
      <c r="I2361">
        <v>1</v>
      </c>
      <c r="J2361">
        <v>0</v>
      </c>
      <c r="K2361">
        <v>1</v>
      </c>
      <c r="L2361" t="s">
        <v>25</v>
      </c>
      <c r="M2361" t="s">
        <v>132</v>
      </c>
      <c r="N2361">
        <v>1500000</v>
      </c>
      <c r="O2361">
        <v>0</v>
      </c>
      <c r="P2361" t="str">
        <f>IF(T[[#This Row],[qty_ordered]]&lt;&gt;T[[#This Row],[qty_received]],IF(T[[#This Row],[qty_received]]&gt;0,"Partial Received","Not Receviced"),"FullyReceived")</f>
        <v>Not Receviced</v>
      </c>
      <c r="Q2361" t="str">
        <f>IF(T[[#This Row],[qty_received]]&lt;&gt;T[[#This Row],[qty_invoiced]],IF(T[[#This Row],[qty_invoiced]]&gt;0,"Partial Invoiced","Not Invoiced"),"Fully Invoiced")</f>
        <v>Partial Invoiced</v>
      </c>
      <c r="R2361" t="str">
        <f>IFERROR(VLOOKUP(T[[#This Row],[warehouse]],Table2[],2,FALSE),"--")</f>
        <v>--</v>
      </c>
    </row>
    <row r="2362" spans="1:18" x14ac:dyDescent="0.25">
      <c r="A2362" t="s">
        <v>955</v>
      </c>
      <c r="B2362" s="1">
        <v>44151</v>
      </c>
      <c r="C2362" t="s">
        <v>1006</v>
      </c>
      <c r="D2362" t="s">
        <v>76</v>
      </c>
      <c r="E2362" t="s">
        <v>66</v>
      </c>
      <c r="F2362" t="s">
        <v>108</v>
      </c>
      <c r="G2362" t="s">
        <v>109</v>
      </c>
      <c r="H2362" t="s">
        <v>24</v>
      </c>
      <c r="I2362">
        <v>518</v>
      </c>
      <c r="J2362">
        <v>0</v>
      </c>
      <c r="K2362">
        <v>0</v>
      </c>
      <c r="L2362" t="s">
        <v>25</v>
      </c>
      <c r="M2362" t="s">
        <v>132</v>
      </c>
      <c r="N2362">
        <v>386100.3861</v>
      </c>
      <c r="O2362">
        <v>0</v>
      </c>
      <c r="P2362" t="str">
        <f>IF(T[[#This Row],[qty_ordered]]&lt;&gt;T[[#This Row],[qty_received]],IF(T[[#This Row],[qty_received]]&gt;0,"Partial Received","Not Receviced"),"FullyReceived")</f>
        <v>Not Receviced</v>
      </c>
      <c r="Q2362" t="str">
        <f>IF(T[[#This Row],[qty_received]]&lt;&gt;T[[#This Row],[qty_invoiced]],IF(T[[#This Row],[qty_invoiced]]&gt;0,"Partial Invoiced","Not Invoiced"),"Fully Invoiced")</f>
        <v>Fully Invoiced</v>
      </c>
      <c r="R2362" t="str">
        <f>IFERROR(VLOOKUP(T[[#This Row],[warehouse]],Table2[],2,FALSE),"--")</f>
        <v>PZU Main Warehouse</v>
      </c>
    </row>
    <row r="2363" spans="1:18" x14ac:dyDescent="0.25">
      <c r="A2363" t="s">
        <v>242</v>
      </c>
      <c r="B2363" s="1">
        <v>44241</v>
      </c>
      <c r="C2363" t="s">
        <v>1224</v>
      </c>
      <c r="D2363" t="s">
        <v>20</v>
      </c>
      <c r="E2363" t="s">
        <v>405</v>
      </c>
      <c r="F2363" t="s">
        <v>244</v>
      </c>
      <c r="G2363" t="s">
        <v>245</v>
      </c>
      <c r="H2363" t="s">
        <v>24</v>
      </c>
      <c r="I2363">
        <v>200</v>
      </c>
      <c r="J2363">
        <v>89.4</v>
      </c>
      <c r="K2363">
        <v>89.4</v>
      </c>
      <c r="L2363" t="s">
        <v>25</v>
      </c>
      <c r="M2363" t="s">
        <v>707</v>
      </c>
      <c r="N2363">
        <v>500000</v>
      </c>
      <c r="O2363">
        <v>44700000</v>
      </c>
      <c r="P2363" t="str">
        <f>IF(T[[#This Row],[qty_ordered]]&lt;&gt;T[[#This Row],[qty_received]],IF(T[[#This Row],[qty_received]]&gt;0,"Partial Received","Not Receviced"),"FullyReceived")</f>
        <v>Partial Received</v>
      </c>
      <c r="Q2363" t="str">
        <f>IF(T[[#This Row],[qty_received]]&lt;&gt;T[[#This Row],[qty_invoiced]],IF(T[[#This Row],[qty_invoiced]]&gt;0,"Partial Invoiced","Not Invoiced"),"Fully Invoiced")</f>
        <v>Fully Invoiced</v>
      </c>
      <c r="R2363" t="str">
        <f>IFERROR(VLOOKUP(T[[#This Row],[warehouse]],Table2[],2,FALSE),"--")</f>
        <v>GINNING ISHRAG-MDNI</v>
      </c>
    </row>
    <row r="2364" spans="1:18" x14ac:dyDescent="0.25">
      <c r="A2364" t="s">
        <v>955</v>
      </c>
      <c r="B2364" s="1">
        <v>44221</v>
      </c>
      <c r="C2364" t="s">
        <v>1193</v>
      </c>
      <c r="D2364" t="s">
        <v>71</v>
      </c>
      <c r="E2364" t="s">
        <v>1142</v>
      </c>
      <c r="F2364" t="s">
        <v>691</v>
      </c>
      <c r="G2364" t="s">
        <v>478</v>
      </c>
      <c r="H2364" t="s">
        <v>24</v>
      </c>
      <c r="I2364">
        <v>1000</v>
      </c>
      <c r="J2364">
        <v>552.86</v>
      </c>
      <c r="K2364">
        <v>552.86</v>
      </c>
      <c r="L2364" t="s">
        <v>693</v>
      </c>
      <c r="M2364" t="s">
        <v>132</v>
      </c>
      <c r="N2364">
        <v>500000</v>
      </c>
      <c r="O2364">
        <v>276430000</v>
      </c>
      <c r="P2364" t="str">
        <f>IF(T[[#This Row],[qty_ordered]]&lt;&gt;T[[#This Row],[qty_received]],IF(T[[#This Row],[qty_received]]&gt;0,"Partial Received","Not Receviced"),"FullyReceived")</f>
        <v>Partial Received</v>
      </c>
      <c r="Q2364" t="str">
        <f>IF(T[[#This Row],[qty_received]]&lt;&gt;T[[#This Row],[qty_invoiced]],IF(T[[#This Row],[qty_invoiced]]&gt;0,"Partial Invoiced","Not Invoiced"),"Fully Invoiced")</f>
        <v>Fully Invoiced</v>
      </c>
      <c r="R2364" t="str">
        <f>IFERROR(VLOOKUP(T[[#This Row],[warehouse]],Table2[],2,FALSE),"--")</f>
        <v>SAVOLA W/H FOR EXPOR</v>
      </c>
    </row>
    <row r="2365" spans="1:18" x14ac:dyDescent="0.25">
      <c r="A2365" t="s">
        <v>658</v>
      </c>
      <c r="B2365" s="1">
        <v>44243</v>
      </c>
      <c r="C2365" t="s">
        <v>1243</v>
      </c>
      <c r="D2365" t="s">
        <v>20</v>
      </c>
      <c r="E2365" t="s">
        <v>660</v>
      </c>
      <c r="F2365" t="s">
        <v>661</v>
      </c>
      <c r="G2365" t="s">
        <v>662</v>
      </c>
      <c r="H2365" t="s">
        <v>663</v>
      </c>
      <c r="I2365">
        <v>2004.5</v>
      </c>
      <c r="J2365">
        <v>2004.5</v>
      </c>
      <c r="K2365">
        <v>2004.5</v>
      </c>
      <c r="L2365" t="s">
        <v>25</v>
      </c>
      <c r="M2365" t="s">
        <v>707</v>
      </c>
      <c r="N2365">
        <v>1100.826</v>
      </c>
      <c r="O2365">
        <v>1443240</v>
      </c>
      <c r="P2365" t="str">
        <f>IF(T[[#This Row],[qty_ordered]]&lt;&gt;T[[#This Row],[qty_received]],IF(T[[#This Row],[qty_received]]&gt;0,"Partial Received","Not Receviced"),"FullyReceived")</f>
        <v>FullyReceived</v>
      </c>
      <c r="Q2365" t="str">
        <f>IF(T[[#This Row],[qty_received]]&lt;&gt;T[[#This Row],[qty_invoiced]],IF(T[[#This Row],[qty_invoiced]]&gt;0,"Partial Invoiced","Not Invoiced"),"Fully Invoiced")</f>
        <v>Fully Invoiced</v>
      </c>
      <c r="R2365" t="str">
        <f>IFERROR(VLOOKUP(T[[#This Row],[warehouse]],Table2[],2,FALSE),"--")</f>
        <v>SLAUGHTER HOUSE</v>
      </c>
    </row>
    <row r="2366" spans="1:18" x14ac:dyDescent="0.25">
      <c r="A2366" t="s">
        <v>235</v>
      </c>
      <c r="B2366" s="1">
        <v>44186</v>
      </c>
      <c r="C2366" t="s">
        <v>1064</v>
      </c>
      <c r="D2366" t="s">
        <v>74</v>
      </c>
      <c r="E2366" t="s">
        <v>51</v>
      </c>
      <c r="F2366" t="s">
        <v>546</v>
      </c>
      <c r="G2366" t="s">
        <v>1661</v>
      </c>
      <c r="H2366" t="s">
        <v>54</v>
      </c>
      <c r="I2366">
        <v>40000</v>
      </c>
      <c r="J2366">
        <v>0</v>
      </c>
      <c r="K2366">
        <v>1</v>
      </c>
      <c r="L2366" t="s">
        <v>25</v>
      </c>
      <c r="M2366" t="s">
        <v>533</v>
      </c>
      <c r="N2366">
        <v>7.07</v>
      </c>
      <c r="O2366">
        <v>0</v>
      </c>
      <c r="P2366" t="str">
        <f>IF(T[[#This Row],[qty_ordered]]&lt;&gt;T[[#This Row],[qty_received]],IF(T[[#This Row],[qty_received]]&gt;0,"Partial Received","Not Receviced"),"FullyReceived")</f>
        <v>Not Receviced</v>
      </c>
      <c r="Q2366" t="str">
        <f>IF(T[[#This Row],[qty_received]]&lt;&gt;T[[#This Row],[qty_invoiced]],IF(T[[#This Row],[qty_invoiced]]&gt;0,"Partial Invoiced","Not Invoiced"),"Fully Invoiced")</f>
        <v>Partial Invoiced</v>
      </c>
      <c r="R2366" t="str">
        <f>IFERROR(VLOOKUP(T[[#This Row],[warehouse]],Table2[],2,FALSE),"--")</f>
        <v>--</v>
      </c>
    </row>
    <row r="2367" spans="1:18" x14ac:dyDescent="0.25">
      <c r="A2367" t="s">
        <v>235</v>
      </c>
      <c r="B2367" s="1">
        <v>44199</v>
      </c>
      <c r="C2367" t="s">
        <v>1136</v>
      </c>
      <c r="D2367" t="s">
        <v>100</v>
      </c>
      <c r="E2367" t="s">
        <v>51</v>
      </c>
      <c r="F2367" t="s">
        <v>546</v>
      </c>
      <c r="G2367" t="s">
        <v>1662</v>
      </c>
      <c r="H2367" t="s">
        <v>54</v>
      </c>
      <c r="I2367">
        <v>20000</v>
      </c>
      <c r="J2367">
        <v>0</v>
      </c>
      <c r="K2367">
        <v>1</v>
      </c>
      <c r="L2367" t="s">
        <v>25</v>
      </c>
      <c r="M2367" t="s">
        <v>533</v>
      </c>
      <c r="N2367">
        <v>7</v>
      </c>
      <c r="O2367">
        <v>0</v>
      </c>
      <c r="P2367" t="str">
        <f>IF(T[[#This Row],[qty_ordered]]&lt;&gt;T[[#This Row],[qty_received]],IF(T[[#This Row],[qty_received]]&gt;0,"Partial Received","Not Receviced"),"FullyReceived")</f>
        <v>Not Receviced</v>
      </c>
      <c r="Q2367" t="str">
        <f>IF(T[[#This Row],[qty_received]]&lt;&gt;T[[#This Row],[qty_invoiced]],IF(T[[#This Row],[qty_invoiced]]&gt;0,"Partial Invoiced","Not Invoiced"),"Fully Invoiced")</f>
        <v>Partial Invoiced</v>
      </c>
      <c r="R2367" t="str">
        <f>IFERROR(VLOOKUP(T[[#This Row],[warehouse]],Table2[],2,FALSE),"--")</f>
        <v>--</v>
      </c>
    </row>
    <row r="2368" spans="1:18" x14ac:dyDescent="0.25">
      <c r="A2368" t="s">
        <v>560</v>
      </c>
      <c r="B2368" s="1">
        <v>44404</v>
      </c>
      <c r="C2368" t="s">
        <v>1424</v>
      </c>
      <c r="D2368" t="s">
        <v>100</v>
      </c>
      <c r="E2368" t="s">
        <v>51</v>
      </c>
      <c r="F2368" t="s">
        <v>52</v>
      </c>
      <c r="G2368" t="s">
        <v>1663</v>
      </c>
      <c r="H2368" t="s">
        <v>54</v>
      </c>
      <c r="I2368">
        <v>30</v>
      </c>
      <c r="J2368">
        <v>0</v>
      </c>
      <c r="K2368">
        <v>1</v>
      </c>
      <c r="L2368" t="s">
        <v>693</v>
      </c>
      <c r="M2368" t="s">
        <v>707</v>
      </c>
      <c r="N2368">
        <v>1530</v>
      </c>
      <c r="O2368">
        <v>0</v>
      </c>
      <c r="P2368" t="str">
        <f>IF(T[[#This Row],[qty_ordered]]&lt;&gt;T[[#This Row],[qty_received]],IF(T[[#This Row],[qty_received]]&gt;0,"Partial Received","Not Receviced"),"FullyReceived")</f>
        <v>Not Receviced</v>
      </c>
      <c r="Q2368" t="str">
        <f>IF(T[[#This Row],[qty_received]]&lt;&gt;T[[#This Row],[qty_invoiced]],IF(T[[#This Row],[qty_invoiced]]&gt;0,"Partial Invoiced","Not Invoiced"),"Fully Invoiced")</f>
        <v>Partial Invoiced</v>
      </c>
      <c r="R2368" t="str">
        <f>IFERROR(VLOOKUP(T[[#This Row],[warehouse]],Table2[],2,FALSE),"--")</f>
        <v>--</v>
      </c>
    </row>
    <row r="2369" spans="1:18" x14ac:dyDescent="0.25">
      <c r="A2369" t="s">
        <v>235</v>
      </c>
      <c r="B2369" s="1">
        <v>44160</v>
      </c>
      <c r="C2369" t="s">
        <v>998</v>
      </c>
      <c r="D2369" t="s">
        <v>615</v>
      </c>
      <c r="E2369" t="s">
        <v>51</v>
      </c>
      <c r="F2369" t="s">
        <v>546</v>
      </c>
      <c r="G2369" t="s">
        <v>1664</v>
      </c>
      <c r="H2369" t="s">
        <v>54</v>
      </c>
      <c r="I2369">
        <v>10000</v>
      </c>
      <c r="J2369">
        <v>0</v>
      </c>
      <c r="K2369">
        <v>1</v>
      </c>
      <c r="L2369" t="s">
        <v>25</v>
      </c>
      <c r="M2369" t="s">
        <v>2836</v>
      </c>
      <c r="N2369">
        <v>13.6</v>
      </c>
      <c r="O2369">
        <v>0</v>
      </c>
      <c r="P2369" t="str">
        <f>IF(T[[#This Row],[qty_ordered]]&lt;&gt;T[[#This Row],[qty_received]],IF(T[[#This Row],[qty_received]]&gt;0,"Partial Received","Not Receviced"),"FullyReceived")</f>
        <v>Not Receviced</v>
      </c>
      <c r="Q2369" t="str">
        <f>IF(T[[#This Row],[qty_received]]&lt;&gt;T[[#This Row],[qty_invoiced]],IF(T[[#This Row],[qty_invoiced]]&gt;0,"Partial Invoiced","Not Invoiced"),"Fully Invoiced")</f>
        <v>Partial Invoiced</v>
      </c>
      <c r="R2369" t="str">
        <f>IFERROR(VLOOKUP(T[[#This Row],[warehouse]],Table2[],2,FALSE),"--")</f>
        <v>--</v>
      </c>
    </row>
    <row r="2370" spans="1:18" x14ac:dyDescent="0.25">
      <c r="A2370" t="s">
        <v>235</v>
      </c>
      <c r="B2370" s="1">
        <v>44160</v>
      </c>
      <c r="C2370" t="s">
        <v>998</v>
      </c>
      <c r="D2370" t="s">
        <v>752</v>
      </c>
      <c r="E2370" t="s">
        <v>51</v>
      </c>
      <c r="F2370" t="s">
        <v>546</v>
      </c>
      <c r="G2370" t="s">
        <v>1664</v>
      </c>
      <c r="H2370" t="s">
        <v>54</v>
      </c>
      <c r="I2370">
        <v>5000</v>
      </c>
      <c r="J2370">
        <v>0</v>
      </c>
      <c r="K2370">
        <v>1</v>
      </c>
      <c r="L2370" t="s">
        <v>25</v>
      </c>
      <c r="M2370" t="s">
        <v>2836</v>
      </c>
      <c r="N2370">
        <v>14.2</v>
      </c>
      <c r="O2370">
        <v>0</v>
      </c>
      <c r="P2370" t="str">
        <f>IF(T[[#This Row],[qty_ordered]]&lt;&gt;T[[#This Row],[qty_received]],IF(T[[#This Row],[qty_received]]&gt;0,"Partial Received","Not Receviced"),"FullyReceived")</f>
        <v>Not Receviced</v>
      </c>
      <c r="Q2370" t="str">
        <f>IF(T[[#This Row],[qty_received]]&lt;&gt;T[[#This Row],[qty_invoiced]],IF(T[[#This Row],[qty_invoiced]]&gt;0,"Partial Invoiced","Not Invoiced"),"Fully Invoiced")</f>
        <v>Partial Invoiced</v>
      </c>
      <c r="R2370" t="str">
        <f>IFERROR(VLOOKUP(T[[#This Row],[warehouse]],Table2[],2,FALSE),"--")</f>
        <v>--</v>
      </c>
    </row>
    <row r="2371" spans="1:18" x14ac:dyDescent="0.25">
      <c r="A2371" t="s">
        <v>1114</v>
      </c>
      <c r="B2371" s="1">
        <v>44250</v>
      </c>
      <c r="C2371" t="s">
        <v>1242</v>
      </c>
      <c r="D2371" t="s">
        <v>323</v>
      </c>
      <c r="E2371" t="s">
        <v>660</v>
      </c>
      <c r="F2371" t="s">
        <v>1042</v>
      </c>
      <c r="G2371" t="s">
        <v>1043</v>
      </c>
      <c r="H2371" t="s">
        <v>663</v>
      </c>
      <c r="I2371">
        <v>11000</v>
      </c>
      <c r="J2371">
        <v>0</v>
      </c>
      <c r="K2371">
        <v>0</v>
      </c>
      <c r="L2371" t="s">
        <v>25</v>
      </c>
      <c r="M2371" t="s">
        <v>132</v>
      </c>
      <c r="N2371">
        <v>2700</v>
      </c>
      <c r="O2371">
        <v>0</v>
      </c>
      <c r="P2371" t="str">
        <f>IF(T[[#This Row],[qty_ordered]]&lt;&gt;T[[#This Row],[qty_received]],IF(T[[#This Row],[qty_received]]&gt;0,"Partial Received","Not Receviced"),"FullyReceived")</f>
        <v>Not Receviced</v>
      </c>
      <c r="Q2371" t="str">
        <f>IF(T[[#This Row],[qty_received]]&lt;&gt;T[[#This Row],[qty_invoiced]],IF(T[[#This Row],[qty_invoiced]]&gt;0,"Partial Invoiced","Not Invoiced"),"Fully Invoiced")</f>
        <v>Fully Invoiced</v>
      </c>
      <c r="R2371" t="str">
        <f>IFERROR(VLOOKUP(T[[#This Row],[warehouse]],Table2[],2,FALSE),"--")</f>
        <v>SLAUGHTER HOUSE</v>
      </c>
    </row>
    <row r="2372" spans="1:18" x14ac:dyDescent="0.25">
      <c r="A2372" t="s">
        <v>618</v>
      </c>
      <c r="B2372" s="1">
        <v>44417</v>
      </c>
      <c r="C2372" t="s">
        <v>1432</v>
      </c>
      <c r="D2372" t="s">
        <v>100</v>
      </c>
      <c r="E2372" t="s">
        <v>553</v>
      </c>
      <c r="F2372" t="s">
        <v>86</v>
      </c>
      <c r="G2372" t="s">
        <v>87</v>
      </c>
      <c r="H2372" t="s">
        <v>24</v>
      </c>
      <c r="I2372">
        <v>1180</v>
      </c>
      <c r="J2372">
        <v>0</v>
      </c>
      <c r="K2372">
        <v>0</v>
      </c>
      <c r="L2372" t="s">
        <v>25</v>
      </c>
      <c r="M2372" t="s">
        <v>132</v>
      </c>
      <c r="N2372">
        <v>88983.050847000006</v>
      </c>
      <c r="O2372">
        <v>0</v>
      </c>
      <c r="P2372" t="str">
        <f>IF(T[[#This Row],[qty_ordered]]&lt;&gt;T[[#This Row],[qty_received]],IF(T[[#This Row],[qty_received]]&gt;0,"Partial Received","Not Receviced"),"FullyReceived")</f>
        <v>Not Receviced</v>
      </c>
      <c r="Q2372" t="str">
        <f>IF(T[[#This Row],[qty_received]]&lt;&gt;T[[#This Row],[qty_invoiced]],IF(T[[#This Row],[qty_invoiced]]&gt;0,"Partial Invoiced","Not Invoiced"),"Fully Invoiced")</f>
        <v>Fully Invoiced</v>
      </c>
      <c r="R2372" t="str">
        <f>IFERROR(VLOOKUP(T[[#This Row],[warehouse]],Table2[],2,FALSE),"--")</f>
        <v>SIFTING HMA-SOBA</v>
      </c>
    </row>
    <row r="2373" spans="1:18" x14ac:dyDescent="0.25">
      <c r="A2373" t="s">
        <v>252</v>
      </c>
      <c r="B2373" s="1">
        <v>44201</v>
      </c>
      <c r="C2373" t="s">
        <v>1164</v>
      </c>
      <c r="D2373" t="s">
        <v>100</v>
      </c>
      <c r="E2373" t="s">
        <v>51</v>
      </c>
      <c r="F2373" t="s">
        <v>183</v>
      </c>
      <c r="G2373" t="s">
        <v>937</v>
      </c>
      <c r="H2373" t="s">
        <v>54</v>
      </c>
      <c r="I2373">
        <v>700</v>
      </c>
      <c r="J2373">
        <v>0</v>
      </c>
      <c r="K2373">
        <v>1</v>
      </c>
      <c r="L2373" t="s">
        <v>25</v>
      </c>
      <c r="M2373" t="s">
        <v>533</v>
      </c>
      <c r="N2373">
        <v>4000</v>
      </c>
      <c r="O2373">
        <v>0</v>
      </c>
      <c r="P2373" t="str">
        <f>IF(T[[#This Row],[qty_ordered]]&lt;&gt;T[[#This Row],[qty_received]],IF(T[[#This Row],[qty_received]]&gt;0,"Partial Received","Not Receviced"),"FullyReceived")</f>
        <v>Not Receviced</v>
      </c>
      <c r="Q2373" t="str">
        <f>IF(T[[#This Row],[qty_received]]&lt;&gt;T[[#This Row],[qty_invoiced]],IF(T[[#This Row],[qty_invoiced]]&gt;0,"Partial Invoiced","Not Invoiced"),"Fully Invoiced")</f>
        <v>Partial Invoiced</v>
      </c>
      <c r="R2373" t="str">
        <f>IFERROR(VLOOKUP(T[[#This Row],[warehouse]],Table2[],2,FALSE),"--")</f>
        <v>--</v>
      </c>
    </row>
    <row r="2374" spans="1:18" x14ac:dyDescent="0.25">
      <c r="A2374" t="s">
        <v>1059</v>
      </c>
      <c r="B2374" s="1">
        <v>44303</v>
      </c>
      <c r="C2374" t="s">
        <v>1299</v>
      </c>
      <c r="D2374" t="s">
        <v>451</v>
      </c>
      <c r="E2374" t="s">
        <v>51</v>
      </c>
      <c r="F2374" t="s">
        <v>183</v>
      </c>
      <c r="G2374" t="s">
        <v>183</v>
      </c>
      <c r="H2374" t="s">
        <v>54</v>
      </c>
      <c r="I2374">
        <v>9000</v>
      </c>
      <c r="J2374">
        <v>0</v>
      </c>
      <c r="K2374">
        <v>1</v>
      </c>
      <c r="L2374" t="s">
        <v>25</v>
      </c>
      <c r="M2374" t="s">
        <v>533</v>
      </c>
      <c r="N2374">
        <v>4500</v>
      </c>
      <c r="O2374">
        <v>0</v>
      </c>
      <c r="P2374" t="str">
        <f>IF(T[[#This Row],[qty_ordered]]&lt;&gt;T[[#This Row],[qty_received]],IF(T[[#This Row],[qty_received]]&gt;0,"Partial Received","Not Receviced"),"FullyReceived")</f>
        <v>Not Receviced</v>
      </c>
      <c r="Q2374" t="str">
        <f>IF(T[[#This Row],[qty_received]]&lt;&gt;T[[#This Row],[qty_invoiced]],IF(T[[#This Row],[qty_invoiced]]&gt;0,"Partial Invoiced","Not Invoiced"),"Fully Invoiced")</f>
        <v>Partial Invoiced</v>
      </c>
      <c r="R2374" t="str">
        <f>IFERROR(VLOOKUP(T[[#This Row],[warehouse]],Table2[],2,FALSE),"--")</f>
        <v>--</v>
      </c>
    </row>
    <row r="2375" spans="1:18" x14ac:dyDescent="0.25">
      <c r="A2375" t="s">
        <v>1059</v>
      </c>
      <c r="B2375" s="1">
        <v>44303</v>
      </c>
      <c r="C2375" t="s">
        <v>1299</v>
      </c>
      <c r="D2375" t="s">
        <v>452</v>
      </c>
      <c r="E2375" t="s">
        <v>51</v>
      </c>
      <c r="F2375" t="s">
        <v>267</v>
      </c>
      <c r="G2375" t="s">
        <v>267</v>
      </c>
      <c r="H2375" t="s">
        <v>54</v>
      </c>
      <c r="I2375">
        <v>271300</v>
      </c>
      <c r="J2375">
        <v>0</v>
      </c>
      <c r="K2375">
        <v>1</v>
      </c>
      <c r="L2375" t="s">
        <v>25</v>
      </c>
      <c r="M2375" t="s">
        <v>533</v>
      </c>
      <c r="N2375">
        <v>100</v>
      </c>
      <c r="O2375">
        <v>0</v>
      </c>
      <c r="P2375" t="str">
        <f>IF(T[[#This Row],[qty_ordered]]&lt;&gt;T[[#This Row],[qty_received]],IF(T[[#This Row],[qty_received]]&gt;0,"Partial Received","Not Receviced"),"FullyReceived")</f>
        <v>Not Receviced</v>
      </c>
      <c r="Q2375" t="str">
        <f>IF(T[[#This Row],[qty_received]]&lt;&gt;T[[#This Row],[qty_invoiced]],IF(T[[#This Row],[qty_invoiced]]&gt;0,"Partial Invoiced","Not Invoiced"),"Fully Invoiced")</f>
        <v>Partial Invoiced</v>
      </c>
      <c r="R2375" t="str">
        <f>IFERROR(VLOOKUP(T[[#This Row],[warehouse]],Table2[],2,FALSE),"--")</f>
        <v>--</v>
      </c>
    </row>
    <row r="2376" spans="1:18" x14ac:dyDescent="0.25">
      <c r="A2376" t="s">
        <v>235</v>
      </c>
      <c r="B2376" s="1">
        <v>44160</v>
      </c>
      <c r="C2376" t="s">
        <v>998</v>
      </c>
      <c r="D2376" t="s">
        <v>759</v>
      </c>
      <c r="E2376" t="s">
        <v>51</v>
      </c>
      <c r="F2376" t="s">
        <v>546</v>
      </c>
      <c r="G2376" t="s">
        <v>1664</v>
      </c>
      <c r="H2376" t="s">
        <v>54</v>
      </c>
      <c r="I2376">
        <v>10000</v>
      </c>
      <c r="J2376">
        <v>0</v>
      </c>
      <c r="K2376">
        <v>1</v>
      </c>
      <c r="L2376" t="s">
        <v>25</v>
      </c>
      <c r="M2376" t="s">
        <v>2836</v>
      </c>
      <c r="N2376">
        <v>13.6</v>
      </c>
      <c r="O2376">
        <v>0</v>
      </c>
      <c r="P2376" t="str">
        <f>IF(T[[#This Row],[qty_ordered]]&lt;&gt;T[[#This Row],[qty_received]],IF(T[[#This Row],[qty_received]]&gt;0,"Partial Received","Not Receviced"),"FullyReceived")</f>
        <v>Not Receviced</v>
      </c>
      <c r="Q2376" t="str">
        <f>IF(T[[#This Row],[qty_received]]&lt;&gt;T[[#This Row],[qty_invoiced]],IF(T[[#This Row],[qty_invoiced]]&gt;0,"Partial Invoiced","Not Invoiced"),"Fully Invoiced")</f>
        <v>Partial Invoiced</v>
      </c>
      <c r="R2376" t="str">
        <f>IFERROR(VLOOKUP(T[[#This Row],[warehouse]],Table2[],2,FALSE),"--")</f>
        <v>--</v>
      </c>
    </row>
    <row r="2377" spans="1:18" x14ac:dyDescent="0.25">
      <c r="A2377" t="s">
        <v>235</v>
      </c>
      <c r="B2377" s="1">
        <v>44160</v>
      </c>
      <c r="C2377" t="s">
        <v>998</v>
      </c>
      <c r="D2377" t="s">
        <v>694</v>
      </c>
      <c r="E2377" t="s">
        <v>51</v>
      </c>
      <c r="F2377" t="s">
        <v>546</v>
      </c>
      <c r="G2377" t="s">
        <v>1664</v>
      </c>
      <c r="H2377" t="s">
        <v>54</v>
      </c>
      <c r="I2377">
        <v>6000</v>
      </c>
      <c r="J2377">
        <v>0</v>
      </c>
      <c r="K2377">
        <v>1</v>
      </c>
      <c r="L2377" t="s">
        <v>25</v>
      </c>
      <c r="M2377" t="s">
        <v>2836</v>
      </c>
      <c r="N2377">
        <v>13</v>
      </c>
      <c r="O2377">
        <v>0</v>
      </c>
      <c r="P2377" t="str">
        <f>IF(T[[#This Row],[qty_ordered]]&lt;&gt;T[[#This Row],[qty_received]],IF(T[[#This Row],[qty_received]]&gt;0,"Partial Received","Not Receviced"),"FullyReceived")</f>
        <v>Not Receviced</v>
      </c>
      <c r="Q2377" t="str">
        <f>IF(T[[#This Row],[qty_received]]&lt;&gt;T[[#This Row],[qty_invoiced]],IF(T[[#This Row],[qty_invoiced]]&gt;0,"Partial Invoiced","Not Invoiced"),"Fully Invoiced")</f>
        <v>Partial Invoiced</v>
      </c>
      <c r="R2377" t="str">
        <f>IFERROR(VLOOKUP(T[[#This Row],[warehouse]],Table2[],2,FALSE),"--")</f>
        <v>--</v>
      </c>
    </row>
    <row r="2378" spans="1:18" x14ac:dyDescent="0.25">
      <c r="A2378" t="s">
        <v>400</v>
      </c>
      <c r="B2378" s="1">
        <v>44201</v>
      </c>
      <c r="C2378" t="s">
        <v>1152</v>
      </c>
      <c r="D2378" t="s">
        <v>324</v>
      </c>
      <c r="E2378" t="s">
        <v>51</v>
      </c>
      <c r="F2378" t="s">
        <v>373</v>
      </c>
      <c r="G2378" t="s">
        <v>373</v>
      </c>
      <c r="H2378" t="s">
        <v>54</v>
      </c>
      <c r="I2378">
        <v>1</v>
      </c>
      <c r="J2378">
        <v>0</v>
      </c>
      <c r="K2378">
        <v>1</v>
      </c>
      <c r="L2378" t="s">
        <v>25</v>
      </c>
      <c r="M2378" t="s">
        <v>533</v>
      </c>
      <c r="N2378">
        <v>306000</v>
      </c>
      <c r="O2378">
        <v>0</v>
      </c>
      <c r="P2378" t="str">
        <f>IF(T[[#This Row],[qty_ordered]]&lt;&gt;T[[#This Row],[qty_received]],IF(T[[#This Row],[qty_received]]&gt;0,"Partial Received","Not Receviced"),"FullyReceived")</f>
        <v>Not Receviced</v>
      </c>
      <c r="Q2378" t="str">
        <f>IF(T[[#This Row],[qty_received]]&lt;&gt;T[[#This Row],[qty_invoiced]],IF(T[[#This Row],[qty_invoiced]]&gt;0,"Partial Invoiced","Not Invoiced"),"Fully Invoiced")</f>
        <v>Partial Invoiced</v>
      </c>
      <c r="R2378" t="str">
        <f>IFERROR(VLOOKUP(T[[#This Row],[warehouse]],Table2[],2,FALSE),"--")</f>
        <v>--</v>
      </c>
    </row>
    <row r="2379" spans="1:18" x14ac:dyDescent="0.25">
      <c r="A2379" t="s">
        <v>201</v>
      </c>
      <c r="B2379" s="1">
        <v>44424</v>
      </c>
      <c r="C2379" t="s">
        <v>1436</v>
      </c>
      <c r="D2379" t="s">
        <v>71</v>
      </c>
      <c r="E2379" t="s">
        <v>1220</v>
      </c>
      <c r="F2379" t="s">
        <v>1307</v>
      </c>
      <c r="G2379" t="s">
        <v>1308</v>
      </c>
      <c r="H2379" t="s">
        <v>149</v>
      </c>
      <c r="I2379">
        <v>2800</v>
      </c>
      <c r="J2379">
        <v>1150</v>
      </c>
      <c r="K2379">
        <v>0</v>
      </c>
      <c r="L2379" t="s">
        <v>693</v>
      </c>
      <c r="M2379" t="s">
        <v>744</v>
      </c>
      <c r="N2379">
        <v>0</v>
      </c>
      <c r="O2379">
        <v>0</v>
      </c>
      <c r="P2379" t="str">
        <f>IF(T[[#This Row],[qty_ordered]]&lt;&gt;T[[#This Row],[qty_received]],IF(T[[#This Row],[qty_received]]&gt;0,"Partial Received","Not Receviced"),"FullyReceived")</f>
        <v>Partial Received</v>
      </c>
      <c r="Q2379" t="str">
        <f>IF(T[[#This Row],[qty_received]]&lt;&gt;T[[#This Row],[qty_invoiced]],IF(T[[#This Row],[qty_invoiced]]&gt;0,"Partial Invoiced","Not Invoiced"),"Fully Invoiced")</f>
        <v>Not Invoiced</v>
      </c>
      <c r="R2379" t="str">
        <f>IFERROR(VLOOKUP(T[[#This Row],[warehouse]],Table2[],2,FALSE),"--")</f>
        <v>Import Virtual Warehouse - PZU</v>
      </c>
    </row>
    <row r="2380" spans="1:18" x14ac:dyDescent="0.25">
      <c r="A2380" t="s">
        <v>560</v>
      </c>
      <c r="B2380" s="1">
        <v>44572</v>
      </c>
      <c r="C2380" t="s">
        <v>1531</v>
      </c>
      <c r="D2380" t="s">
        <v>452</v>
      </c>
      <c r="E2380" t="s">
        <v>51</v>
      </c>
      <c r="F2380" t="s">
        <v>164</v>
      </c>
      <c r="G2380" t="s">
        <v>1657</v>
      </c>
      <c r="H2380" t="s">
        <v>54</v>
      </c>
      <c r="I2380">
        <v>29.88</v>
      </c>
      <c r="J2380">
        <v>0</v>
      </c>
      <c r="K2380">
        <v>1</v>
      </c>
      <c r="L2380" t="s">
        <v>693</v>
      </c>
      <c r="M2380" t="s">
        <v>533</v>
      </c>
      <c r="N2380">
        <v>5250</v>
      </c>
      <c r="O2380">
        <v>0</v>
      </c>
      <c r="P2380" t="str">
        <f>IF(T[[#This Row],[qty_ordered]]&lt;&gt;T[[#This Row],[qty_received]],IF(T[[#This Row],[qty_received]]&gt;0,"Partial Received","Not Receviced"),"FullyReceived")</f>
        <v>Not Receviced</v>
      </c>
      <c r="Q2380" t="str">
        <f>IF(T[[#This Row],[qty_received]]&lt;&gt;T[[#This Row],[qty_invoiced]],IF(T[[#This Row],[qty_invoiced]]&gt;0,"Partial Invoiced","Not Invoiced"),"Fully Invoiced")</f>
        <v>Partial Invoiced</v>
      </c>
      <c r="R2380" t="str">
        <f>IFERROR(VLOOKUP(T[[#This Row],[warehouse]],Table2[],2,FALSE),"--")</f>
        <v>--</v>
      </c>
    </row>
    <row r="2381" spans="1:18" x14ac:dyDescent="0.25">
      <c r="A2381" t="s">
        <v>560</v>
      </c>
      <c r="B2381" s="1">
        <v>44544</v>
      </c>
      <c r="C2381" t="s">
        <v>1524</v>
      </c>
      <c r="D2381" t="s">
        <v>592</v>
      </c>
      <c r="E2381" t="s">
        <v>51</v>
      </c>
      <c r="F2381" t="s">
        <v>164</v>
      </c>
      <c r="G2381" t="s">
        <v>1665</v>
      </c>
      <c r="H2381" t="s">
        <v>54</v>
      </c>
      <c r="I2381">
        <v>28.5</v>
      </c>
      <c r="J2381">
        <v>0</v>
      </c>
      <c r="K2381">
        <v>1</v>
      </c>
      <c r="L2381" t="s">
        <v>693</v>
      </c>
      <c r="M2381" t="s">
        <v>2836</v>
      </c>
      <c r="N2381">
        <v>5250</v>
      </c>
      <c r="O2381">
        <v>0</v>
      </c>
      <c r="P2381" t="str">
        <f>IF(T[[#This Row],[qty_ordered]]&lt;&gt;T[[#This Row],[qty_received]],IF(T[[#This Row],[qty_received]]&gt;0,"Partial Received","Not Receviced"),"FullyReceived")</f>
        <v>Not Receviced</v>
      </c>
      <c r="Q2381" t="str">
        <f>IF(T[[#This Row],[qty_received]]&lt;&gt;T[[#This Row],[qty_invoiced]],IF(T[[#This Row],[qty_invoiced]]&gt;0,"Partial Invoiced","Not Invoiced"),"Fully Invoiced")</f>
        <v>Partial Invoiced</v>
      </c>
      <c r="R2381" t="str">
        <f>IFERROR(VLOOKUP(T[[#This Row],[warehouse]],Table2[],2,FALSE),"--")</f>
        <v>--</v>
      </c>
    </row>
    <row r="2382" spans="1:18" x14ac:dyDescent="0.25">
      <c r="A2382" t="s">
        <v>560</v>
      </c>
      <c r="B2382" s="1">
        <v>44544</v>
      </c>
      <c r="C2382" t="s">
        <v>1524</v>
      </c>
      <c r="D2382" t="s">
        <v>593</v>
      </c>
      <c r="E2382" t="s">
        <v>51</v>
      </c>
      <c r="F2382" t="s">
        <v>164</v>
      </c>
      <c r="G2382" t="s">
        <v>1665</v>
      </c>
      <c r="H2382" t="s">
        <v>54</v>
      </c>
      <c r="I2382">
        <v>8</v>
      </c>
      <c r="J2382">
        <v>0</v>
      </c>
      <c r="K2382">
        <v>1</v>
      </c>
      <c r="L2382" t="s">
        <v>693</v>
      </c>
      <c r="M2382" t="s">
        <v>2836</v>
      </c>
      <c r="N2382">
        <v>5250</v>
      </c>
      <c r="O2382">
        <v>0</v>
      </c>
      <c r="P2382" t="str">
        <f>IF(T[[#This Row],[qty_ordered]]&lt;&gt;T[[#This Row],[qty_received]],IF(T[[#This Row],[qty_received]]&gt;0,"Partial Received","Not Receviced"),"FullyReceived")</f>
        <v>Not Receviced</v>
      </c>
      <c r="Q2382" t="str">
        <f>IF(T[[#This Row],[qty_received]]&lt;&gt;T[[#This Row],[qty_invoiced]],IF(T[[#This Row],[qty_invoiced]]&gt;0,"Partial Invoiced","Not Invoiced"),"Fully Invoiced")</f>
        <v>Partial Invoiced</v>
      </c>
      <c r="R2382" t="str">
        <f>IFERROR(VLOOKUP(T[[#This Row],[warehouse]],Table2[],2,FALSE),"--")</f>
        <v>--</v>
      </c>
    </row>
    <row r="2383" spans="1:18" x14ac:dyDescent="0.25">
      <c r="A2383" t="s">
        <v>560</v>
      </c>
      <c r="B2383" s="1">
        <v>44544</v>
      </c>
      <c r="C2383" t="s">
        <v>1524</v>
      </c>
      <c r="D2383" t="s">
        <v>594</v>
      </c>
      <c r="E2383" t="s">
        <v>51</v>
      </c>
      <c r="F2383" t="s">
        <v>164</v>
      </c>
      <c r="G2383" t="s">
        <v>1665</v>
      </c>
      <c r="H2383" t="s">
        <v>54</v>
      </c>
      <c r="I2383">
        <v>29.38</v>
      </c>
      <c r="J2383">
        <v>0</v>
      </c>
      <c r="K2383">
        <v>1</v>
      </c>
      <c r="L2383" t="s">
        <v>693</v>
      </c>
      <c r="M2383" t="s">
        <v>2836</v>
      </c>
      <c r="N2383">
        <v>5250</v>
      </c>
      <c r="O2383">
        <v>0</v>
      </c>
      <c r="P2383" t="str">
        <f>IF(T[[#This Row],[qty_ordered]]&lt;&gt;T[[#This Row],[qty_received]],IF(T[[#This Row],[qty_received]]&gt;0,"Partial Received","Not Receviced"),"FullyReceived")</f>
        <v>Not Receviced</v>
      </c>
      <c r="Q2383" t="str">
        <f>IF(T[[#This Row],[qty_received]]&lt;&gt;T[[#This Row],[qty_invoiced]],IF(T[[#This Row],[qty_invoiced]]&gt;0,"Partial Invoiced","Not Invoiced"),"Fully Invoiced")</f>
        <v>Partial Invoiced</v>
      </c>
      <c r="R2383" t="str">
        <f>IFERROR(VLOOKUP(T[[#This Row],[warehouse]],Table2[],2,FALSE),"--")</f>
        <v>--</v>
      </c>
    </row>
    <row r="2384" spans="1:18" x14ac:dyDescent="0.25">
      <c r="A2384" t="s">
        <v>560</v>
      </c>
      <c r="B2384" s="1">
        <v>44544</v>
      </c>
      <c r="C2384" t="s">
        <v>1522</v>
      </c>
      <c r="D2384" t="s">
        <v>451</v>
      </c>
      <c r="E2384" t="s">
        <v>51</v>
      </c>
      <c r="F2384" t="s">
        <v>164</v>
      </c>
      <c r="G2384" t="s">
        <v>1666</v>
      </c>
      <c r="H2384" t="s">
        <v>54</v>
      </c>
      <c r="I2384">
        <v>44.75</v>
      </c>
      <c r="J2384">
        <v>0</v>
      </c>
      <c r="K2384">
        <v>1</v>
      </c>
      <c r="L2384" t="s">
        <v>693</v>
      </c>
      <c r="M2384" t="s">
        <v>2836</v>
      </c>
      <c r="N2384">
        <v>5250</v>
      </c>
      <c r="O2384">
        <v>0</v>
      </c>
      <c r="P2384" t="str">
        <f>IF(T[[#This Row],[qty_ordered]]&lt;&gt;T[[#This Row],[qty_received]],IF(T[[#This Row],[qty_received]]&gt;0,"Partial Received","Not Receviced"),"FullyReceived")</f>
        <v>Not Receviced</v>
      </c>
      <c r="Q2384" t="str">
        <f>IF(T[[#This Row],[qty_received]]&lt;&gt;T[[#This Row],[qty_invoiced]],IF(T[[#This Row],[qty_invoiced]]&gt;0,"Partial Invoiced","Not Invoiced"),"Fully Invoiced")</f>
        <v>Partial Invoiced</v>
      </c>
      <c r="R2384" t="str">
        <f>IFERROR(VLOOKUP(T[[#This Row],[warehouse]],Table2[],2,FALSE),"--")</f>
        <v>--</v>
      </c>
    </row>
    <row r="2385" spans="1:18" x14ac:dyDescent="0.25">
      <c r="A2385" t="s">
        <v>560</v>
      </c>
      <c r="B2385" s="1">
        <v>44544</v>
      </c>
      <c r="C2385" t="s">
        <v>1522</v>
      </c>
      <c r="D2385" t="s">
        <v>452</v>
      </c>
      <c r="E2385" t="s">
        <v>51</v>
      </c>
      <c r="F2385" t="s">
        <v>164</v>
      </c>
      <c r="G2385" t="s">
        <v>1666</v>
      </c>
      <c r="H2385" t="s">
        <v>54</v>
      </c>
      <c r="I2385">
        <v>25</v>
      </c>
      <c r="J2385">
        <v>0</v>
      </c>
      <c r="K2385">
        <v>1</v>
      </c>
      <c r="L2385" t="s">
        <v>693</v>
      </c>
      <c r="M2385" t="s">
        <v>2836</v>
      </c>
      <c r="N2385">
        <v>5250</v>
      </c>
      <c r="O2385">
        <v>0</v>
      </c>
      <c r="P2385" t="str">
        <f>IF(T[[#This Row],[qty_ordered]]&lt;&gt;T[[#This Row],[qty_received]],IF(T[[#This Row],[qty_received]]&gt;0,"Partial Received","Not Receviced"),"FullyReceived")</f>
        <v>Not Receviced</v>
      </c>
      <c r="Q2385" t="str">
        <f>IF(T[[#This Row],[qty_received]]&lt;&gt;T[[#This Row],[qty_invoiced]],IF(T[[#This Row],[qty_invoiced]]&gt;0,"Partial Invoiced","Not Invoiced"),"Fully Invoiced")</f>
        <v>Partial Invoiced</v>
      </c>
      <c r="R2385" t="str">
        <f>IFERROR(VLOOKUP(T[[#This Row],[warehouse]],Table2[],2,FALSE),"--")</f>
        <v>--</v>
      </c>
    </row>
    <row r="2386" spans="1:18" x14ac:dyDescent="0.25">
      <c r="A2386" t="s">
        <v>560</v>
      </c>
      <c r="B2386" s="1">
        <v>44544</v>
      </c>
      <c r="C2386" t="s">
        <v>1522</v>
      </c>
      <c r="D2386" t="s">
        <v>614</v>
      </c>
      <c r="E2386" t="s">
        <v>51</v>
      </c>
      <c r="F2386" t="s">
        <v>164</v>
      </c>
      <c r="G2386" t="s">
        <v>1666</v>
      </c>
      <c r="H2386" t="s">
        <v>54</v>
      </c>
      <c r="I2386">
        <v>5</v>
      </c>
      <c r="J2386">
        <v>0</v>
      </c>
      <c r="K2386">
        <v>1</v>
      </c>
      <c r="L2386" t="s">
        <v>693</v>
      </c>
      <c r="M2386" t="s">
        <v>2836</v>
      </c>
      <c r="N2386">
        <v>5250</v>
      </c>
      <c r="O2386">
        <v>0</v>
      </c>
      <c r="P2386" t="str">
        <f>IF(T[[#This Row],[qty_ordered]]&lt;&gt;T[[#This Row],[qty_received]],IF(T[[#This Row],[qty_received]]&gt;0,"Partial Received","Not Receviced"),"FullyReceived")</f>
        <v>Not Receviced</v>
      </c>
      <c r="Q2386" t="str">
        <f>IF(T[[#This Row],[qty_received]]&lt;&gt;T[[#This Row],[qty_invoiced]],IF(T[[#This Row],[qty_invoiced]]&gt;0,"Partial Invoiced","Not Invoiced"),"Fully Invoiced")</f>
        <v>Partial Invoiced</v>
      </c>
      <c r="R2386" t="str">
        <f>IFERROR(VLOOKUP(T[[#This Row],[warehouse]],Table2[],2,FALSE),"--")</f>
        <v>--</v>
      </c>
    </row>
    <row r="2387" spans="1:18" x14ac:dyDescent="0.25">
      <c r="A2387" t="s">
        <v>560</v>
      </c>
      <c r="B2387" s="1">
        <v>44544</v>
      </c>
      <c r="C2387" t="s">
        <v>1522</v>
      </c>
      <c r="D2387" t="s">
        <v>615</v>
      </c>
      <c r="E2387" t="s">
        <v>51</v>
      </c>
      <c r="F2387" t="s">
        <v>164</v>
      </c>
      <c r="G2387" t="s">
        <v>1666</v>
      </c>
      <c r="H2387" t="s">
        <v>54</v>
      </c>
      <c r="I2387">
        <v>32.380000000000003</v>
      </c>
      <c r="J2387">
        <v>0</v>
      </c>
      <c r="K2387">
        <v>1</v>
      </c>
      <c r="L2387" t="s">
        <v>693</v>
      </c>
      <c r="M2387" t="s">
        <v>2836</v>
      </c>
      <c r="N2387">
        <v>5250</v>
      </c>
      <c r="O2387">
        <v>0</v>
      </c>
      <c r="P2387" t="str">
        <f>IF(T[[#This Row],[qty_ordered]]&lt;&gt;T[[#This Row],[qty_received]],IF(T[[#This Row],[qty_received]]&gt;0,"Partial Received","Not Receviced"),"FullyReceived")</f>
        <v>Not Receviced</v>
      </c>
      <c r="Q2387" t="str">
        <f>IF(T[[#This Row],[qty_received]]&lt;&gt;T[[#This Row],[qty_invoiced]],IF(T[[#This Row],[qty_invoiced]]&gt;0,"Partial Invoiced","Not Invoiced"),"Fully Invoiced")</f>
        <v>Partial Invoiced</v>
      </c>
      <c r="R2387" t="str">
        <f>IFERROR(VLOOKUP(T[[#This Row],[warehouse]],Table2[],2,FALSE),"--")</f>
        <v>--</v>
      </c>
    </row>
    <row r="2388" spans="1:18" x14ac:dyDescent="0.25">
      <c r="A2388" t="s">
        <v>560</v>
      </c>
      <c r="B2388" s="1">
        <v>44544</v>
      </c>
      <c r="C2388" t="s">
        <v>1522</v>
      </c>
      <c r="D2388" t="s">
        <v>752</v>
      </c>
      <c r="E2388" t="s">
        <v>51</v>
      </c>
      <c r="F2388" t="s">
        <v>164</v>
      </c>
      <c r="G2388" t="s">
        <v>1666</v>
      </c>
      <c r="H2388" t="s">
        <v>54</v>
      </c>
      <c r="I2388">
        <v>39.880000000000003</v>
      </c>
      <c r="J2388">
        <v>0</v>
      </c>
      <c r="K2388">
        <v>1</v>
      </c>
      <c r="L2388" t="s">
        <v>693</v>
      </c>
      <c r="M2388" t="s">
        <v>2836</v>
      </c>
      <c r="N2388">
        <v>5250</v>
      </c>
      <c r="O2388">
        <v>0</v>
      </c>
      <c r="P2388" t="str">
        <f>IF(T[[#This Row],[qty_ordered]]&lt;&gt;T[[#This Row],[qty_received]],IF(T[[#This Row],[qty_received]]&gt;0,"Partial Received","Not Receviced"),"FullyReceived")</f>
        <v>Not Receviced</v>
      </c>
      <c r="Q2388" t="str">
        <f>IF(T[[#This Row],[qty_received]]&lt;&gt;T[[#This Row],[qty_invoiced]],IF(T[[#This Row],[qty_invoiced]]&gt;0,"Partial Invoiced","Not Invoiced"),"Fully Invoiced")</f>
        <v>Partial Invoiced</v>
      </c>
      <c r="R2388" t="str">
        <f>IFERROR(VLOOKUP(T[[#This Row],[warehouse]],Table2[],2,FALSE),"--")</f>
        <v>--</v>
      </c>
    </row>
    <row r="2389" spans="1:18" x14ac:dyDescent="0.25">
      <c r="A2389" t="s">
        <v>955</v>
      </c>
      <c r="B2389" s="1">
        <v>44668</v>
      </c>
      <c r="C2389" t="s">
        <v>1667</v>
      </c>
      <c r="D2389" t="s">
        <v>20</v>
      </c>
      <c r="E2389" t="s">
        <v>410</v>
      </c>
      <c r="F2389" t="s">
        <v>442</v>
      </c>
      <c r="G2389" t="s">
        <v>443</v>
      </c>
      <c r="H2389" t="s">
        <v>123</v>
      </c>
      <c r="I2389">
        <v>3400</v>
      </c>
      <c r="J2389">
        <v>0</v>
      </c>
      <c r="K2389">
        <v>0</v>
      </c>
      <c r="L2389" t="s">
        <v>25</v>
      </c>
      <c r="M2389" t="s">
        <v>1485</v>
      </c>
      <c r="N2389">
        <v>16150</v>
      </c>
      <c r="O2389">
        <v>0</v>
      </c>
      <c r="P2389" t="str">
        <f>IF(T[[#This Row],[qty_ordered]]&lt;&gt;T[[#This Row],[qty_received]],IF(T[[#This Row],[qty_received]]&gt;0,"Partial Received","Not Receviced"),"FullyReceived")</f>
        <v>Not Receviced</v>
      </c>
      <c r="Q2389" t="str">
        <f>IF(T[[#This Row],[qty_received]]&lt;&gt;T[[#This Row],[qty_invoiced]],IF(T[[#This Row],[qty_invoiced]]&gt;0,"Partial Invoiced","Not Invoiced"),"Fully Invoiced")</f>
        <v>Fully Invoiced</v>
      </c>
      <c r="R2389" t="str">
        <f>IFERROR(VLOOKUP(T[[#This Row],[warehouse]],Table2[],2,FALSE),"--")</f>
        <v>SFITER GUM Masaaie</v>
      </c>
    </row>
    <row r="2390" spans="1:18" x14ac:dyDescent="0.25">
      <c r="A2390" t="s">
        <v>1226</v>
      </c>
      <c r="B2390" s="1">
        <v>44238</v>
      </c>
      <c r="C2390" t="s">
        <v>1227</v>
      </c>
      <c r="D2390" t="s">
        <v>76</v>
      </c>
      <c r="E2390" t="s">
        <v>51</v>
      </c>
      <c r="F2390" t="s">
        <v>52</v>
      </c>
      <c r="G2390" t="s">
        <v>53</v>
      </c>
      <c r="H2390" t="s">
        <v>54</v>
      </c>
      <c r="I2390">
        <v>20</v>
      </c>
      <c r="J2390">
        <v>0</v>
      </c>
      <c r="K2390">
        <v>0</v>
      </c>
      <c r="L2390" t="s">
        <v>25</v>
      </c>
      <c r="M2390" t="s">
        <v>132</v>
      </c>
      <c r="N2390">
        <v>15000</v>
      </c>
      <c r="O2390">
        <v>0</v>
      </c>
      <c r="P2390" t="str">
        <f>IF(T[[#This Row],[qty_ordered]]&lt;&gt;T[[#This Row],[qty_received]],IF(T[[#This Row],[qty_received]]&gt;0,"Partial Received","Not Receviced"),"FullyReceived")</f>
        <v>Not Receviced</v>
      </c>
      <c r="Q2390" t="str">
        <f>IF(T[[#This Row],[qty_received]]&lt;&gt;T[[#This Row],[qty_invoiced]],IF(T[[#This Row],[qty_invoiced]]&gt;0,"Partial Invoiced","Not Invoiced"),"Fully Invoiced")</f>
        <v>Fully Invoiced</v>
      </c>
      <c r="R2390" t="str">
        <f>IFERROR(VLOOKUP(T[[#This Row],[warehouse]],Table2[],2,FALSE),"--")</f>
        <v>--</v>
      </c>
    </row>
    <row r="2391" spans="1:18" x14ac:dyDescent="0.25">
      <c r="A2391" t="s">
        <v>252</v>
      </c>
      <c r="B2391" s="1">
        <v>44634</v>
      </c>
      <c r="C2391" t="s">
        <v>1590</v>
      </c>
      <c r="D2391" t="s">
        <v>100</v>
      </c>
      <c r="E2391" t="s">
        <v>51</v>
      </c>
      <c r="F2391" t="s">
        <v>183</v>
      </c>
      <c r="G2391" t="s">
        <v>1668</v>
      </c>
      <c r="H2391" t="s">
        <v>54</v>
      </c>
      <c r="I2391">
        <v>182.4</v>
      </c>
      <c r="J2391">
        <v>0</v>
      </c>
      <c r="K2391">
        <v>1</v>
      </c>
      <c r="L2391" t="s">
        <v>693</v>
      </c>
      <c r="M2391" t="s">
        <v>533</v>
      </c>
      <c r="N2391">
        <v>7500</v>
      </c>
      <c r="O2391">
        <v>0</v>
      </c>
      <c r="P2391" t="str">
        <f>IF(T[[#This Row],[qty_ordered]]&lt;&gt;T[[#This Row],[qty_received]],IF(T[[#This Row],[qty_received]]&gt;0,"Partial Received","Not Receviced"),"FullyReceived")</f>
        <v>Not Receviced</v>
      </c>
      <c r="Q2391" t="str">
        <f>IF(T[[#This Row],[qty_received]]&lt;&gt;T[[#This Row],[qty_invoiced]],IF(T[[#This Row],[qty_invoiced]]&gt;0,"Partial Invoiced","Not Invoiced"),"Fully Invoiced")</f>
        <v>Partial Invoiced</v>
      </c>
      <c r="R2391" t="str">
        <f>IFERROR(VLOOKUP(T[[#This Row],[warehouse]],Table2[],2,FALSE),"--")</f>
        <v>--</v>
      </c>
    </row>
    <row r="2392" spans="1:18" x14ac:dyDescent="0.25">
      <c r="A2392" t="s">
        <v>560</v>
      </c>
      <c r="B2392" s="1">
        <v>44606</v>
      </c>
      <c r="C2392" t="s">
        <v>1546</v>
      </c>
      <c r="D2392" t="s">
        <v>615</v>
      </c>
      <c r="E2392" t="s">
        <v>51</v>
      </c>
      <c r="F2392" t="s">
        <v>164</v>
      </c>
      <c r="G2392" t="s">
        <v>1669</v>
      </c>
      <c r="H2392" t="s">
        <v>54</v>
      </c>
      <c r="I2392">
        <v>49</v>
      </c>
      <c r="J2392">
        <v>0</v>
      </c>
      <c r="K2392">
        <v>1</v>
      </c>
      <c r="L2392" t="s">
        <v>693</v>
      </c>
      <c r="M2392" t="s">
        <v>2836</v>
      </c>
      <c r="N2392">
        <v>5250</v>
      </c>
      <c r="O2392">
        <v>0</v>
      </c>
      <c r="P2392" t="str">
        <f>IF(T[[#This Row],[qty_ordered]]&lt;&gt;T[[#This Row],[qty_received]],IF(T[[#This Row],[qty_received]]&gt;0,"Partial Received","Not Receviced"),"FullyReceived")</f>
        <v>Not Receviced</v>
      </c>
      <c r="Q2392" t="str">
        <f>IF(T[[#This Row],[qty_received]]&lt;&gt;T[[#This Row],[qty_invoiced]],IF(T[[#This Row],[qty_invoiced]]&gt;0,"Partial Invoiced","Not Invoiced"),"Fully Invoiced")</f>
        <v>Partial Invoiced</v>
      </c>
      <c r="R2392" t="str">
        <f>IFERROR(VLOOKUP(T[[#This Row],[warehouse]],Table2[],2,FALSE),"--")</f>
        <v>--</v>
      </c>
    </row>
    <row r="2393" spans="1:18" x14ac:dyDescent="0.25">
      <c r="A2393" t="s">
        <v>560</v>
      </c>
      <c r="B2393" s="1">
        <v>44606</v>
      </c>
      <c r="C2393" t="s">
        <v>1546</v>
      </c>
      <c r="D2393" t="s">
        <v>752</v>
      </c>
      <c r="E2393" t="s">
        <v>51</v>
      </c>
      <c r="F2393" t="s">
        <v>164</v>
      </c>
      <c r="G2393" t="s">
        <v>1670</v>
      </c>
      <c r="H2393" t="s">
        <v>54</v>
      </c>
      <c r="I2393">
        <v>25</v>
      </c>
      <c r="J2393">
        <v>0</v>
      </c>
      <c r="K2393">
        <v>1</v>
      </c>
      <c r="L2393" t="s">
        <v>693</v>
      </c>
      <c r="M2393" t="s">
        <v>2836</v>
      </c>
      <c r="N2393">
        <v>5250</v>
      </c>
      <c r="O2393">
        <v>0</v>
      </c>
      <c r="P2393" t="str">
        <f>IF(T[[#This Row],[qty_ordered]]&lt;&gt;T[[#This Row],[qty_received]],IF(T[[#This Row],[qty_received]]&gt;0,"Partial Received","Not Receviced"),"FullyReceived")</f>
        <v>Not Receviced</v>
      </c>
      <c r="Q2393" t="str">
        <f>IF(T[[#This Row],[qty_received]]&lt;&gt;T[[#This Row],[qty_invoiced]],IF(T[[#This Row],[qty_invoiced]]&gt;0,"Partial Invoiced","Not Invoiced"),"Fully Invoiced")</f>
        <v>Partial Invoiced</v>
      </c>
      <c r="R2393" t="str">
        <f>IFERROR(VLOOKUP(T[[#This Row],[warehouse]],Table2[],2,FALSE),"--")</f>
        <v>--</v>
      </c>
    </row>
    <row r="2394" spans="1:18" x14ac:dyDescent="0.25">
      <c r="A2394" t="s">
        <v>560</v>
      </c>
      <c r="B2394" s="1">
        <v>44606</v>
      </c>
      <c r="C2394" t="s">
        <v>1546</v>
      </c>
      <c r="D2394" t="s">
        <v>759</v>
      </c>
      <c r="E2394" t="s">
        <v>51</v>
      </c>
      <c r="F2394" t="s">
        <v>164</v>
      </c>
      <c r="G2394" t="s">
        <v>1669</v>
      </c>
      <c r="H2394" t="s">
        <v>54</v>
      </c>
      <c r="I2394">
        <v>12</v>
      </c>
      <c r="J2394">
        <v>0</v>
      </c>
      <c r="K2394">
        <v>1</v>
      </c>
      <c r="L2394" t="s">
        <v>693</v>
      </c>
      <c r="M2394" t="s">
        <v>2836</v>
      </c>
      <c r="N2394">
        <v>5250</v>
      </c>
      <c r="O2394">
        <v>0</v>
      </c>
      <c r="P2394" t="str">
        <f>IF(T[[#This Row],[qty_ordered]]&lt;&gt;T[[#This Row],[qty_received]],IF(T[[#This Row],[qty_received]]&gt;0,"Partial Received","Not Receviced"),"FullyReceived")</f>
        <v>Not Receviced</v>
      </c>
      <c r="Q2394" t="str">
        <f>IF(T[[#This Row],[qty_received]]&lt;&gt;T[[#This Row],[qty_invoiced]],IF(T[[#This Row],[qty_invoiced]]&gt;0,"Partial Invoiced","Not Invoiced"),"Fully Invoiced")</f>
        <v>Partial Invoiced</v>
      </c>
      <c r="R2394" t="str">
        <f>IFERROR(VLOOKUP(T[[#This Row],[warehouse]],Table2[],2,FALSE),"--")</f>
        <v>--</v>
      </c>
    </row>
    <row r="2395" spans="1:18" x14ac:dyDescent="0.25">
      <c r="A2395" t="s">
        <v>560</v>
      </c>
      <c r="B2395" s="1">
        <v>44606</v>
      </c>
      <c r="C2395" t="s">
        <v>1546</v>
      </c>
      <c r="D2395" t="s">
        <v>694</v>
      </c>
      <c r="E2395" t="s">
        <v>51</v>
      </c>
      <c r="F2395" t="s">
        <v>164</v>
      </c>
      <c r="G2395" t="s">
        <v>1669</v>
      </c>
      <c r="H2395" t="s">
        <v>54</v>
      </c>
      <c r="I2395">
        <v>37</v>
      </c>
      <c r="J2395">
        <v>0</v>
      </c>
      <c r="K2395">
        <v>1</v>
      </c>
      <c r="L2395" t="s">
        <v>693</v>
      </c>
      <c r="M2395" t="s">
        <v>2836</v>
      </c>
      <c r="N2395">
        <v>5250</v>
      </c>
      <c r="O2395">
        <v>0</v>
      </c>
      <c r="P2395" t="str">
        <f>IF(T[[#This Row],[qty_ordered]]&lt;&gt;T[[#This Row],[qty_received]],IF(T[[#This Row],[qty_received]]&gt;0,"Partial Received","Not Receviced"),"FullyReceived")</f>
        <v>Not Receviced</v>
      </c>
      <c r="Q2395" t="str">
        <f>IF(T[[#This Row],[qty_received]]&lt;&gt;T[[#This Row],[qty_invoiced]],IF(T[[#This Row],[qty_invoiced]]&gt;0,"Partial Invoiced","Not Invoiced"),"Fully Invoiced")</f>
        <v>Partial Invoiced</v>
      </c>
      <c r="R2395" t="str">
        <f>IFERROR(VLOOKUP(T[[#This Row],[warehouse]],Table2[],2,FALSE),"--")</f>
        <v>--</v>
      </c>
    </row>
    <row r="2396" spans="1:18" x14ac:dyDescent="0.25">
      <c r="A2396" t="s">
        <v>560</v>
      </c>
      <c r="B2396" s="1">
        <v>44606</v>
      </c>
      <c r="C2396" t="s">
        <v>1546</v>
      </c>
      <c r="D2396" t="s">
        <v>760</v>
      </c>
      <c r="E2396" t="s">
        <v>51</v>
      </c>
      <c r="F2396" t="s">
        <v>164</v>
      </c>
      <c r="G2396" t="s">
        <v>1669</v>
      </c>
      <c r="H2396" t="s">
        <v>54</v>
      </c>
      <c r="I2396">
        <v>43</v>
      </c>
      <c r="J2396">
        <v>0</v>
      </c>
      <c r="K2396">
        <v>1</v>
      </c>
      <c r="L2396" t="s">
        <v>693</v>
      </c>
      <c r="M2396" t="s">
        <v>2836</v>
      </c>
      <c r="N2396">
        <v>5250</v>
      </c>
      <c r="O2396">
        <v>0</v>
      </c>
      <c r="P2396" t="str">
        <f>IF(T[[#This Row],[qty_ordered]]&lt;&gt;T[[#This Row],[qty_received]],IF(T[[#This Row],[qty_received]]&gt;0,"Partial Received","Not Receviced"),"FullyReceived")</f>
        <v>Not Receviced</v>
      </c>
      <c r="Q2396" t="str">
        <f>IF(T[[#This Row],[qty_received]]&lt;&gt;T[[#This Row],[qty_invoiced]],IF(T[[#This Row],[qty_invoiced]]&gt;0,"Partial Invoiced","Not Invoiced"),"Fully Invoiced")</f>
        <v>Partial Invoiced</v>
      </c>
      <c r="R2396" t="str">
        <f>IFERROR(VLOOKUP(T[[#This Row],[warehouse]],Table2[],2,FALSE),"--")</f>
        <v>--</v>
      </c>
    </row>
    <row r="2397" spans="1:18" x14ac:dyDescent="0.25">
      <c r="A2397" t="s">
        <v>560</v>
      </c>
      <c r="B2397" s="1">
        <v>44606</v>
      </c>
      <c r="C2397" t="s">
        <v>1546</v>
      </c>
      <c r="D2397" t="s">
        <v>591</v>
      </c>
      <c r="E2397" t="s">
        <v>51</v>
      </c>
      <c r="F2397" t="s">
        <v>164</v>
      </c>
      <c r="G2397" t="s">
        <v>1669</v>
      </c>
      <c r="H2397" t="s">
        <v>54</v>
      </c>
      <c r="I2397">
        <v>22.13</v>
      </c>
      <c r="J2397">
        <v>0</v>
      </c>
      <c r="K2397">
        <v>1</v>
      </c>
      <c r="L2397" t="s">
        <v>693</v>
      </c>
      <c r="M2397" t="s">
        <v>2836</v>
      </c>
      <c r="N2397">
        <v>5250</v>
      </c>
      <c r="O2397">
        <v>0</v>
      </c>
      <c r="P2397" t="str">
        <f>IF(T[[#This Row],[qty_ordered]]&lt;&gt;T[[#This Row],[qty_received]],IF(T[[#This Row],[qty_received]]&gt;0,"Partial Received","Not Receviced"),"FullyReceived")</f>
        <v>Not Receviced</v>
      </c>
      <c r="Q2397" t="str">
        <f>IF(T[[#This Row],[qty_received]]&lt;&gt;T[[#This Row],[qty_invoiced]],IF(T[[#This Row],[qty_invoiced]]&gt;0,"Partial Invoiced","Not Invoiced"),"Fully Invoiced")</f>
        <v>Partial Invoiced</v>
      </c>
      <c r="R2397" t="str">
        <f>IFERROR(VLOOKUP(T[[#This Row],[warehouse]],Table2[],2,FALSE),"--")</f>
        <v>--</v>
      </c>
    </row>
    <row r="2398" spans="1:18" x14ac:dyDescent="0.25">
      <c r="A2398" t="s">
        <v>1671</v>
      </c>
      <c r="B2398" s="1">
        <v>44703</v>
      </c>
      <c r="C2398" t="s">
        <v>1672</v>
      </c>
      <c r="D2398" t="s">
        <v>20</v>
      </c>
      <c r="E2398" t="s">
        <v>51</v>
      </c>
      <c r="F2398" t="s">
        <v>52</v>
      </c>
      <c r="G2398" t="s">
        <v>1673</v>
      </c>
      <c r="H2398" t="s">
        <v>54</v>
      </c>
      <c r="I2398">
        <v>1</v>
      </c>
      <c r="J2398">
        <v>0</v>
      </c>
      <c r="K2398">
        <v>0</v>
      </c>
      <c r="L2398" t="s">
        <v>51</v>
      </c>
      <c r="M2398" t="s">
        <v>1485</v>
      </c>
      <c r="N2398">
        <v>6879216</v>
      </c>
      <c r="O2398">
        <v>0</v>
      </c>
      <c r="P2398" t="str">
        <f>IF(T[[#This Row],[qty_ordered]]&lt;&gt;T[[#This Row],[qty_received]],IF(T[[#This Row],[qty_received]]&gt;0,"Partial Received","Not Receviced"),"FullyReceived")</f>
        <v>Not Receviced</v>
      </c>
      <c r="Q2398" t="str">
        <f>IF(T[[#This Row],[qty_received]]&lt;&gt;T[[#This Row],[qty_invoiced]],IF(T[[#This Row],[qty_invoiced]]&gt;0,"Partial Invoiced","Not Invoiced"),"Fully Invoiced")</f>
        <v>Fully Invoiced</v>
      </c>
      <c r="R2398" t="str">
        <f>IFERROR(VLOOKUP(T[[#This Row],[warehouse]],Table2[],2,FALSE),"--")</f>
        <v>--</v>
      </c>
    </row>
    <row r="2399" spans="1:18" x14ac:dyDescent="0.25">
      <c r="A2399" t="s">
        <v>1422</v>
      </c>
      <c r="B2399" s="1">
        <v>44704</v>
      </c>
      <c r="C2399" t="s">
        <v>1674</v>
      </c>
      <c r="D2399" t="s">
        <v>20</v>
      </c>
      <c r="E2399" t="s">
        <v>1258</v>
      </c>
      <c r="F2399" t="s">
        <v>300</v>
      </c>
      <c r="G2399" t="s">
        <v>301</v>
      </c>
      <c r="H2399" t="s">
        <v>24</v>
      </c>
      <c r="I2399">
        <v>228</v>
      </c>
      <c r="J2399">
        <v>228</v>
      </c>
      <c r="K2399">
        <v>228</v>
      </c>
      <c r="L2399" t="s">
        <v>693</v>
      </c>
      <c r="M2399" t="s">
        <v>1485</v>
      </c>
      <c r="N2399">
        <v>309090.90908999997</v>
      </c>
      <c r="O2399">
        <v>70472727.272520006</v>
      </c>
      <c r="P2399" t="str">
        <f>IF(T[[#This Row],[qty_ordered]]&lt;&gt;T[[#This Row],[qty_received]],IF(T[[#This Row],[qty_received]]&gt;0,"Partial Received","Not Receviced"),"FullyReceived")</f>
        <v>FullyReceived</v>
      </c>
      <c r="Q2399" t="str">
        <f>IF(T[[#This Row],[qty_received]]&lt;&gt;T[[#This Row],[qty_invoiced]],IF(T[[#This Row],[qty_invoiced]]&gt;0,"Partial Invoiced","Not Invoiced"),"Fully Invoiced")</f>
        <v>Fully Invoiced</v>
      </c>
      <c r="R2399" t="str">
        <f>IFERROR(VLOOKUP(T[[#This Row],[warehouse]],Table2[],2,FALSE),"--")</f>
        <v>Alrahma</v>
      </c>
    </row>
    <row r="2400" spans="1:18" x14ac:dyDescent="0.25">
      <c r="A2400" t="s">
        <v>1675</v>
      </c>
      <c r="B2400" s="1">
        <v>44704</v>
      </c>
      <c r="C2400" t="s">
        <v>1676</v>
      </c>
      <c r="D2400" t="s">
        <v>71</v>
      </c>
      <c r="E2400" t="s">
        <v>203</v>
      </c>
      <c r="F2400" t="s">
        <v>1677</v>
      </c>
      <c r="G2400" t="s">
        <v>1678</v>
      </c>
      <c r="H2400" t="s">
        <v>149</v>
      </c>
      <c r="I2400">
        <v>220000</v>
      </c>
      <c r="J2400">
        <v>220000</v>
      </c>
      <c r="K2400">
        <v>0</v>
      </c>
      <c r="L2400" t="s">
        <v>693</v>
      </c>
      <c r="M2400" t="s">
        <v>1404</v>
      </c>
      <c r="N2400">
        <v>345.4</v>
      </c>
      <c r="O2400">
        <v>75988000</v>
      </c>
      <c r="P2400" t="str">
        <f>IF(T[[#This Row],[qty_ordered]]&lt;&gt;T[[#This Row],[qty_received]],IF(T[[#This Row],[qty_received]]&gt;0,"Partial Received","Not Receviced"),"FullyReceived")</f>
        <v>FullyReceived</v>
      </c>
      <c r="Q2400" t="str">
        <f>IF(T[[#This Row],[qty_received]]&lt;&gt;T[[#This Row],[qty_invoiced]],IF(T[[#This Row],[qty_invoiced]]&gt;0,"Partial Invoiced","Not Invoiced"),"Fully Invoiced")</f>
        <v>Not Invoiced</v>
      </c>
      <c r="R2400" t="str">
        <f>IFERROR(VLOOKUP(T[[#This Row],[warehouse]],Table2[],2,FALSE),"--")</f>
        <v>PZU Packaging Warehouse</v>
      </c>
    </row>
    <row r="2401" spans="1:18" x14ac:dyDescent="0.25">
      <c r="A2401" t="s">
        <v>423</v>
      </c>
      <c r="B2401" s="1">
        <v>44649</v>
      </c>
      <c r="C2401" t="s">
        <v>1571</v>
      </c>
      <c r="D2401" t="s">
        <v>100</v>
      </c>
      <c r="E2401" t="s">
        <v>51</v>
      </c>
      <c r="F2401" t="s">
        <v>546</v>
      </c>
      <c r="G2401" t="s">
        <v>1679</v>
      </c>
      <c r="H2401" t="s">
        <v>54</v>
      </c>
      <c r="I2401">
        <v>5000</v>
      </c>
      <c r="J2401">
        <v>0</v>
      </c>
      <c r="K2401">
        <v>1</v>
      </c>
      <c r="L2401" t="s">
        <v>693</v>
      </c>
      <c r="M2401" t="s">
        <v>2836</v>
      </c>
      <c r="N2401">
        <v>16.5</v>
      </c>
      <c r="O2401">
        <v>0</v>
      </c>
      <c r="P2401" t="str">
        <f>IF(T[[#This Row],[qty_ordered]]&lt;&gt;T[[#This Row],[qty_received]],IF(T[[#This Row],[qty_received]]&gt;0,"Partial Received","Not Receviced"),"FullyReceived")</f>
        <v>Not Receviced</v>
      </c>
      <c r="Q2401" t="str">
        <f>IF(T[[#This Row],[qty_received]]&lt;&gt;T[[#This Row],[qty_invoiced]],IF(T[[#This Row],[qty_invoiced]]&gt;0,"Partial Invoiced","Not Invoiced"),"Fully Invoiced")</f>
        <v>Partial Invoiced</v>
      </c>
      <c r="R2401" t="str">
        <f>IFERROR(VLOOKUP(T[[#This Row],[warehouse]],Table2[],2,FALSE),"--")</f>
        <v>--</v>
      </c>
    </row>
    <row r="2402" spans="1:18" x14ac:dyDescent="0.25">
      <c r="A2402" t="s">
        <v>423</v>
      </c>
      <c r="B2402" s="1">
        <v>44599</v>
      </c>
      <c r="C2402" t="s">
        <v>1567</v>
      </c>
      <c r="D2402" t="s">
        <v>74</v>
      </c>
      <c r="E2402" t="s">
        <v>51</v>
      </c>
      <c r="F2402" t="s">
        <v>546</v>
      </c>
      <c r="G2402" t="s">
        <v>1680</v>
      </c>
      <c r="H2402" t="s">
        <v>54</v>
      </c>
      <c r="I2402">
        <v>15000</v>
      </c>
      <c r="J2402">
        <v>0</v>
      </c>
      <c r="K2402">
        <v>1</v>
      </c>
      <c r="L2402" t="s">
        <v>693</v>
      </c>
      <c r="M2402" t="s">
        <v>533</v>
      </c>
      <c r="N2402">
        <v>24</v>
      </c>
      <c r="O2402">
        <v>0</v>
      </c>
      <c r="P2402" t="str">
        <f>IF(T[[#This Row],[qty_ordered]]&lt;&gt;T[[#This Row],[qty_received]],IF(T[[#This Row],[qty_received]]&gt;0,"Partial Received","Not Receviced"),"FullyReceived")</f>
        <v>Not Receviced</v>
      </c>
      <c r="Q2402" t="str">
        <f>IF(T[[#This Row],[qty_received]]&lt;&gt;T[[#This Row],[qty_invoiced]],IF(T[[#This Row],[qty_invoiced]]&gt;0,"Partial Invoiced","Not Invoiced"),"Fully Invoiced")</f>
        <v>Partial Invoiced</v>
      </c>
      <c r="R2402" t="str">
        <f>IFERROR(VLOOKUP(T[[#This Row],[warehouse]],Table2[],2,FALSE),"--")</f>
        <v>--</v>
      </c>
    </row>
    <row r="2403" spans="1:18" x14ac:dyDescent="0.25">
      <c r="A2403" t="s">
        <v>423</v>
      </c>
      <c r="B2403" s="1">
        <v>44599</v>
      </c>
      <c r="C2403" t="s">
        <v>1567</v>
      </c>
      <c r="D2403" t="s">
        <v>76</v>
      </c>
      <c r="E2403" t="s">
        <v>51</v>
      </c>
      <c r="F2403" t="s">
        <v>546</v>
      </c>
      <c r="G2403" t="s">
        <v>1681</v>
      </c>
      <c r="H2403" t="s">
        <v>54</v>
      </c>
      <c r="I2403">
        <v>5000</v>
      </c>
      <c r="J2403">
        <v>0</v>
      </c>
      <c r="K2403">
        <v>1</v>
      </c>
      <c r="L2403" t="s">
        <v>693</v>
      </c>
      <c r="M2403" t="s">
        <v>533</v>
      </c>
      <c r="N2403">
        <v>24</v>
      </c>
      <c r="O2403">
        <v>0</v>
      </c>
      <c r="P2403" t="str">
        <f>IF(T[[#This Row],[qty_ordered]]&lt;&gt;T[[#This Row],[qty_received]],IF(T[[#This Row],[qty_received]]&gt;0,"Partial Received","Not Receviced"),"FullyReceived")</f>
        <v>Not Receviced</v>
      </c>
      <c r="Q2403" t="str">
        <f>IF(T[[#This Row],[qty_received]]&lt;&gt;T[[#This Row],[qty_invoiced]],IF(T[[#This Row],[qty_invoiced]]&gt;0,"Partial Invoiced","Not Invoiced"),"Fully Invoiced")</f>
        <v>Partial Invoiced</v>
      </c>
      <c r="R2403" t="str">
        <f>IFERROR(VLOOKUP(T[[#This Row],[warehouse]],Table2[],2,FALSE),"--")</f>
        <v>--</v>
      </c>
    </row>
    <row r="2404" spans="1:18" x14ac:dyDescent="0.25">
      <c r="A2404" t="s">
        <v>1118</v>
      </c>
      <c r="B2404" s="1">
        <v>44579</v>
      </c>
      <c r="C2404" t="s">
        <v>1682</v>
      </c>
      <c r="D2404" t="s">
        <v>212</v>
      </c>
      <c r="E2404" t="s">
        <v>1438</v>
      </c>
      <c r="F2404" t="s">
        <v>1439</v>
      </c>
      <c r="G2404" t="s">
        <v>1440</v>
      </c>
      <c r="H2404" t="s">
        <v>1087</v>
      </c>
      <c r="I2404">
        <v>392</v>
      </c>
      <c r="J2404">
        <v>0</v>
      </c>
      <c r="K2404">
        <v>0</v>
      </c>
      <c r="L2404" t="s">
        <v>25</v>
      </c>
      <c r="M2404" t="s">
        <v>1485</v>
      </c>
      <c r="N2404">
        <v>42857.142856999897</v>
      </c>
      <c r="O2404">
        <v>0</v>
      </c>
      <c r="P2404" t="str">
        <f>IF(T[[#This Row],[qty_ordered]]&lt;&gt;T[[#This Row],[qty_received]],IF(T[[#This Row],[qty_received]]&gt;0,"Partial Received","Not Receviced"),"FullyReceived")</f>
        <v>Not Receviced</v>
      </c>
      <c r="Q2404" t="str">
        <f>IF(T[[#This Row],[qty_received]]&lt;&gt;T[[#This Row],[qty_invoiced]],IF(T[[#This Row],[qty_invoiced]]&gt;0,"Partial Invoiced","Not Invoiced"),"Fully Invoiced")</f>
        <v>Fully Invoiced</v>
      </c>
      <c r="R2404" t="str">
        <f>IFERROR(VLOOKUP(T[[#This Row],[warehouse]],Table2[],2,FALSE),"--")</f>
        <v>Livestock Barn</v>
      </c>
    </row>
    <row r="2405" spans="1:18" x14ac:dyDescent="0.25">
      <c r="A2405" t="s">
        <v>795</v>
      </c>
      <c r="B2405" s="1">
        <v>44712</v>
      </c>
      <c r="C2405" t="s">
        <v>1683</v>
      </c>
      <c r="D2405" t="s">
        <v>20</v>
      </c>
      <c r="E2405" t="s">
        <v>28</v>
      </c>
      <c r="F2405" t="s">
        <v>287</v>
      </c>
      <c r="G2405" t="s">
        <v>288</v>
      </c>
      <c r="H2405" t="s">
        <v>24</v>
      </c>
      <c r="I2405">
        <v>1299.53</v>
      </c>
      <c r="J2405">
        <v>1299.53</v>
      </c>
      <c r="K2405">
        <v>1299.53</v>
      </c>
      <c r="L2405" t="s">
        <v>693</v>
      </c>
      <c r="M2405" t="s">
        <v>1485</v>
      </c>
      <c r="N2405">
        <v>460000.11499999999</v>
      </c>
      <c r="O2405">
        <v>597783949.44595003</v>
      </c>
      <c r="P2405" t="str">
        <f>IF(T[[#This Row],[qty_ordered]]&lt;&gt;T[[#This Row],[qty_received]],IF(T[[#This Row],[qty_received]]&gt;0,"Partial Received","Not Receviced"),"FullyReceived")</f>
        <v>FullyReceived</v>
      </c>
      <c r="Q2405" t="str">
        <f>IF(T[[#This Row],[qty_received]]&lt;&gt;T[[#This Row],[qty_invoiced]],IF(T[[#This Row],[qty_invoiced]]&gt;0,"Partial Invoiced","Not Invoiced"),"Fully Invoiced")</f>
        <v>Fully Invoiced</v>
      </c>
      <c r="R2405" t="str">
        <f>IFERROR(VLOOKUP(T[[#This Row],[warehouse]],Table2[],2,FALSE),"--")</f>
        <v>Crusher KHN -ASVOC</v>
      </c>
    </row>
    <row r="2406" spans="1:18" x14ac:dyDescent="0.25">
      <c r="A2406" t="s">
        <v>1553</v>
      </c>
      <c r="B2406" s="1">
        <v>44620</v>
      </c>
      <c r="C2406" t="s">
        <v>1554</v>
      </c>
      <c r="D2406" t="s">
        <v>451</v>
      </c>
      <c r="E2406" t="s">
        <v>51</v>
      </c>
      <c r="F2406" t="s">
        <v>1555</v>
      </c>
      <c r="G2406" t="s">
        <v>1684</v>
      </c>
      <c r="H2406" t="s">
        <v>54</v>
      </c>
      <c r="I2406">
        <v>297.5</v>
      </c>
      <c r="J2406">
        <v>0</v>
      </c>
      <c r="K2406">
        <v>1</v>
      </c>
      <c r="L2406" t="s">
        <v>693</v>
      </c>
      <c r="M2406" t="s">
        <v>533</v>
      </c>
      <c r="N2406">
        <v>20000</v>
      </c>
      <c r="O2406">
        <v>0</v>
      </c>
      <c r="P2406" t="str">
        <f>IF(T[[#This Row],[qty_ordered]]&lt;&gt;T[[#This Row],[qty_received]],IF(T[[#This Row],[qty_received]]&gt;0,"Partial Received","Not Receviced"),"FullyReceived")</f>
        <v>Not Receviced</v>
      </c>
      <c r="Q2406" t="str">
        <f>IF(T[[#This Row],[qty_received]]&lt;&gt;T[[#This Row],[qty_invoiced]],IF(T[[#This Row],[qty_invoiced]]&gt;0,"Partial Invoiced","Not Invoiced"),"Fully Invoiced")</f>
        <v>Partial Invoiced</v>
      </c>
      <c r="R2406" t="str">
        <f>IFERROR(VLOOKUP(T[[#This Row],[warehouse]],Table2[],2,FALSE),"--")</f>
        <v>--</v>
      </c>
    </row>
    <row r="2407" spans="1:18" x14ac:dyDescent="0.25">
      <c r="A2407" t="s">
        <v>1600</v>
      </c>
      <c r="B2407" s="1">
        <v>44668</v>
      </c>
      <c r="C2407" t="s">
        <v>1601</v>
      </c>
      <c r="D2407" t="s">
        <v>74</v>
      </c>
      <c r="E2407" t="s">
        <v>51</v>
      </c>
      <c r="F2407" t="s">
        <v>52</v>
      </c>
      <c r="G2407" t="s">
        <v>1602</v>
      </c>
      <c r="H2407" t="s">
        <v>54</v>
      </c>
      <c r="I2407">
        <v>4</v>
      </c>
      <c r="J2407">
        <v>0</v>
      </c>
      <c r="K2407">
        <v>1</v>
      </c>
      <c r="L2407" t="s">
        <v>693</v>
      </c>
      <c r="M2407" t="s">
        <v>132</v>
      </c>
      <c r="N2407">
        <v>200000</v>
      </c>
      <c r="O2407">
        <v>0</v>
      </c>
      <c r="P2407" t="str">
        <f>IF(T[[#This Row],[qty_ordered]]&lt;&gt;T[[#This Row],[qty_received]],IF(T[[#This Row],[qty_received]]&gt;0,"Partial Received","Not Receviced"),"FullyReceived")</f>
        <v>Not Receviced</v>
      </c>
      <c r="Q2407" t="str">
        <f>IF(T[[#This Row],[qty_received]]&lt;&gt;T[[#This Row],[qty_invoiced]],IF(T[[#This Row],[qty_invoiced]]&gt;0,"Partial Invoiced","Not Invoiced"),"Fully Invoiced")</f>
        <v>Partial Invoiced</v>
      </c>
      <c r="R2407" t="str">
        <f>IFERROR(VLOOKUP(T[[#This Row],[warehouse]],Table2[],2,FALSE),"--")</f>
        <v>--</v>
      </c>
    </row>
    <row r="2408" spans="1:18" x14ac:dyDescent="0.25">
      <c r="A2408" t="s">
        <v>1685</v>
      </c>
      <c r="B2408" s="1">
        <v>44719</v>
      </c>
      <c r="C2408" t="s">
        <v>1686</v>
      </c>
      <c r="D2408" t="s">
        <v>20</v>
      </c>
      <c r="E2408" t="s">
        <v>51</v>
      </c>
      <c r="F2408" t="s">
        <v>52</v>
      </c>
      <c r="G2408" t="s">
        <v>53</v>
      </c>
      <c r="H2408" t="s">
        <v>54</v>
      </c>
      <c r="I2408">
        <v>234.41</v>
      </c>
      <c r="J2408">
        <v>0</v>
      </c>
      <c r="K2408">
        <v>1</v>
      </c>
      <c r="L2408" t="s">
        <v>693</v>
      </c>
      <c r="M2408" t="s">
        <v>707</v>
      </c>
      <c r="N2408">
        <v>1146.5360000000001</v>
      </c>
      <c r="O2408">
        <v>0</v>
      </c>
      <c r="P2408" t="str">
        <f>IF(T[[#This Row],[qty_ordered]]&lt;&gt;T[[#This Row],[qty_received]],IF(T[[#This Row],[qty_received]]&gt;0,"Partial Received","Not Receviced"),"FullyReceived")</f>
        <v>Not Receviced</v>
      </c>
      <c r="Q2408" t="str">
        <f>IF(T[[#This Row],[qty_received]]&lt;&gt;T[[#This Row],[qty_invoiced]],IF(T[[#This Row],[qty_invoiced]]&gt;0,"Partial Invoiced","Not Invoiced"),"Fully Invoiced")</f>
        <v>Partial Invoiced</v>
      </c>
      <c r="R2408" t="str">
        <f>IFERROR(VLOOKUP(T[[#This Row],[warehouse]],Table2[],2,FALSE),"--")</f>
        <v>--</v>
      </c>
    </row>
    <row r="2409" spans="1:18" x14ac:dyDescent="0.25">
      <c r="A2409" t="s">
        <v>1685</v>
      </c>
      <c r="B2409" s="1">
        <v>44719</v>
      </c>
      <c r="C2409" t="s">
        <v>1687</v>
      </c>
      <c r="D2409" t="s">
        <v>20</v>
      </c>
      <c r="E2409" t="s">
        <v>51</v>
      </c>
      <c r="F2409" t="s">
        <v>52</v>
      </c>
      <c r="G2409" t="s">
        <v>53</v>
      </c>
      <c r="H2409" t="s">
        <v>54</v>
      </c>
      <c r="I2409">
        <v>98.52</v>
      </c>
      <c r="J2409">
        <v>0</v>
      </c>
      <c r="K2409">
        <v>1</v>
      </c>
      <c r="L2409" t="s">
        <v>693</v>
      </c>
      <c r="M2409" t="s">
        <v>707</v>
      </c>
      <c r="N2409">
        <v>1146.5360000000001</v>
      </c>
      <c r="O2409">
        <v>0</v>
      </c>
      <c r="P2409" t="str">
        <f>IF(T[[#This Row],[qty_ordered]]&lt;&gt;T[[#This Row],[qty_received]],IF(T[[#This Row],[qty_received]]&gt;0,"Partial Received","Not Receviced"),"FullyReceived")</f>
        <v>Not Receviced</v>
      </c>
      <c r="Q2409" t="str">
        <f>IF(T[[#This Row],[qty_received]]&lt;&gt;T[[#This Row],[qty_invoiced]],IF(T[[#This Row],[qty_invoiced]]&gt;0,"Partial Invoiced","Not Invoiced"),"Fully Invoiced")</f>
        <v>Partial Invoiced</v>
      </c>
      <c r="R2409" t="str">
        <f>IFERROR(VLOOKUP(T[[#This Row],[warehouse]],Table2[],2,FALSE),"--")</f>
        <v>--</v>
      </c>
    </row>
    <row r="2410" spans="1:18" x14ac:dyDescent="0.25">
      <c r="A2410" t="s">
        <v>1685</v>
      </c>
      <c r="B2410" s="1">
        <v>44719</v>
      </c>
      <c r="C2410" t="s">
        <v>1688</v>
      </c>
      <c r="D2410" t="s">
        <v>20</v>
      </c>
      <c r="E2410" t="s">
        <v>51</v>
      </c>
      <c r="F2410" t="s">
        <v>52</v>
      </c>
      <c r="G2410" t="s">
        <v>53</v>
      </c>
      <c r="H2410" t="s">
        <v>54</v>
      </c>
      <c r="I2410">
        <v>257.89999999999998</v>
      </c>
      <c r="J2410">
        <v>0</v>
      </c>
      <c r="K2410">
        <v>1</v>
      </c>
      <c r="L2410" t="s">
        <v>693</v>
      </c>
      <c r="M2410" t="s">
        <v>707</v>
      </c>
      <c r="N2410">
        <v>1146.5360000000001</v>
      </c>
      <c r="O2410">
        <v>0</v>
      </c>
      <c r="P2410" t="str">
        <f>IF(T[[#This Row],[qty_ordered]]&lt;&gt;T[[#This Row],[qty_received]],IF(T[[#This Row],[qty_received]]&gt;0,"Partial Received","Not Receviced"),"FullyReceived")</f>
        <v>Not Receviced</v>
      </c>
      <c r="Q2410" t="str">
        <f>IF(T[[#This Row],[qty_received]]&lt;&gt;T[[#This Row],[qty_invoiced]],IF(T[[#This Row],[qty_invoiced]]&gt;0,"Partial Invoiced","Not Invoiced"),"Fully Invoiced")</f>
        <v>Partial Invoiced</v>
      </c>
      <c r="R2410" t="str">
        <f>IFERROR(VLOOKUP(T[[#This Row],[warehouse]],Table2[],2,FALSE),"--")</f>
        <v>--</v>
      </c>
    </row>
    <row r="2411" spans="1:18" x14ac:dyDescent="0.25">
      <c r="A2411" t="s">
        <v>201</v>
      </c>
      <c r="B2411" s="1">
        <v>44720</v>
      </c>
      <c r="C2411" t="s">
        <v>1689</v>
      </c>
      <c r="D2411" t="s">
        <v>20</v>
      </c>
      <c r="E2411" t="s">
        <v>1220</v>
      </c>
      <c r="F2411" t="s">
        <v>1690</v>
      </c>
      <c r="G2411" t="s">
        <v>1691</v>
      </c>
      <c r="H2411" t="s">
        <v>123</v>
      </c>
      <c r="I2411">
        <v>218000</v>
      </c>
      <c r="J2411">
        <v>218000</v>
      </c>
      <c r="K2411">
        <v>218000</v>
      </c>
      <c r="L2411" t="s">
        <v>693</v>
      </c>
      <c r="M2411" t="s">
        <v>707</v>
      </c>
      <c r="N2411">
        <v>20786.0465</v>
      </c>
      <c r="O2411">
        <v>4531358137</v>
      </c>
      <c r="P2411" t="str">
        <f>IF(T[[#This Row],[qty_ordered]]&lt;&gt;T[[#This Row],[qty_received]],IF(T[[#This Row],[qty_received]]&gt;0,"Partial Received","Not Receviced"),"FullyReceived")</f>
        <v>FullyReceived</v>
      </c>
      <c r="Q2411" t="str">
        <f>IF(T[[#This Row],[qty_received]]&lt;&gt;T[[#This Row],[qty_invoiced]],IF(T[[#This Row],[qty_invoiced]]&gt;0,"Partial Invoiced","Not Invoiced"),"Fully Invoiced")</f>
        <v>Fully Invoiced</v>
      </c>
      <c r="R2411" t="str">
        <f>IFERROR(VLOOKUP(T[[#This Row],[warehouse]],Table2[],2,FALSE),"--")</f>
        <v>Import Virtual Warehouse - PZU</v>
      </c>
    </row>
    <row r="2412" spans="1:18" x14ac:dyDescent="0.25">
      <c r="A2412" t="s">
        <v>201</v>
      </c>
      <c r="B2412" s="1">
        <v>44662</v>
      </c>
      <c r="C2412" t="s">
        <v>1633</v>
      </c>
      <c r="D2412" t="s">
        <v>71</v>
      </c>
      <c r="E2412" t="s">
        <v>1220</v>
      </c>
      <c r="F2412" t="s">
        <v>1338</v>
      </c>
      <c r="G2412" t="s">
        <v>1339</v>
      </c>
      <c r="H2412" t="s">
        <v>123</v>
      </c>
      <c r="I2412">
        <v>100000</v>
      </c>
      <c r="J2412">
        <v>100000</v>
      </c>
      <c r="K2412">
        <v>100000</v>
      </c>
      <c r="L2412" t="s">
        <v>693</v>
      </c>
      <c r="M2412" t="s">
        <v>132</v>
      </c>
      <c r="N2412">
        <v>21502.201125</v>
      </c>
      <c r="O2412">
        <v>2150220112.5</v>
      </c>
      <c r="P2412" t="str">
        <f>IF(T[[#This Row],[qty_ordered]]&lt;&gt;T[[#This Row],[qty_received]],IF(T[[#This Row],[qty_received]]&gt;0,"Partial Received","Not Receviced"),"FullyReceived")</f>
        <v>FullyReceived</v>
      </c>
      <c r="Q2412" t="str">
        <f>IF(T[[#This Row],[qty_received]]&lt;&gt;T[[#This Row],[qty_invoiced]],IF(T[[#This Row],[qty_invoiced]]&gt;0,"Partial Invoiced","Not Invoiced"),"Fully Invoiced")</f>
        <v>Fully Invoiced</v>
      </c>
      <c r="R2412" t="str">
        <f>IFERROR(VLOOKUP(T[[#This Row],[warehouse]],Table2[],2,FALSE),"--")</f>
        <v>Import Virtual Warehouse - PZU</v>
      </c>
    </row>
    <row r="2413" spans="1:18" x14ac:dyDescent="0.25">
      <c r="A2413" t="s">
        <v>1287</v>
      </c>
      <c r="B2413" s="1">
        <v>44720</v>
      </c>
      <c r="C2413" t="s">
        <v>1692</v>
      </c>
      <c r="D2413" t="s">
        <v>20</v>
      </c>
      <c r="E2413" t="s">
        <v>1289</v>
      </c>
      <c r="F2413" t="s">
        <v>406</v>
      </c>
      <c r="G2413" t="s">
        <v>407</v>
      </c>
      <c r="H2413" t="s">
        <v>24</v>
      </c>
      <c r="I2413">
        <v>1000</v>
      </c>
      <c r="J2413">
        <v>50.9</v>
      </c>
      <c r="K2413">
        <v>0</v>
      </c>
      <c r="L2413" t="s">
        <v>693</v>
      </c>
      <c r="M2413" t="s">
        <v>1485</v>
      </c>
      <c r="N2413">
        <v>298182</v>
      </c>
      <c r="O2413">
        <v>15177463.800000001</v>
      </c>
      <c r="P2413" t="str">
        <f>IF(T[[#This Row],[qty_ordered]]&lt;&gt;T[[#This Row],[qty_received]],IF(T[[#This Row],[qty_received]]&gt;0,"Partial Received","Not Receviced"),"FullyReceived")</f>
        <v>Partial Received</v>
      </c>
      <c r="Q2413" t="str">
        <f>IF(T[[#This Row],[qty_received]]&lt;&gt;T[[#This Row],[qty_invoiced]],IF(T[[#This Row],[qty_invoiced]]&gt;0,"Partial Invoiced","Not Invoiced"),"Fully Invoiced")</f>
        <v>Not Invoiced</v>
      </c>
      <c r="R2413" t="str">
        <f>IFERROR(VLOOKUP(T[[#This Row],[warehouse]],Table2[],2,FALSE),"--")</f>
        <v>MSG GINNING GDARIF</v>
      </c>
    </row>
    <row r="2414" spans="1:18" x14ac:dyDescent="0.25">
      <c r="A2414" t="s">
        <v>560</v>
      </c>
      <c r="B2414" s="1">
        <v>44720</v>
      </c>
      <c r="C2414" t="s">
        <v>1693</v>
      </c>
      <c r="D2414" t="s">
        <v>20</v>
      </c>
      <c r="E2414" t="s">
        <v>51</v>
      </c>
      <c r="F2414" t="s">
        <v>164</v>
      </c>
      <c r="G2414" t="s">
        <v>1694</v>
      </c>
      <c r="H2414" t="s">
        <v>54</v>
      </c>
      <c r="I2414">
        <v>13</v>
      </c>
      <c r="J2414">
        <v>0</v>
      </c>
      <c r="K2414">
        <v>1</v>
      </c>
      <c r="L2414" t="s">
        <v>693</v>
      </c>
      <c r="M2414" t="s">
        <v>533</v>
      </c>
      <c r="N2414">
        <v>5250</v>
      </c>
      <c r="O2414">
        <v>0</v>
      </c>
      <c r="P2414" t="str">
        <f>IF(T[[#This Row],[qty_ordered]]&lt;&gt;T[[#This Row],[qty_received]],IF(T[[#This Row],[qty_received]]&gt;0,"Partial Received","Not Receviced"),"FullyReceived")</f>
        <v>Not Receviced</v>
      </c>
      <c r="Q2414" t="str">
        <f>IF(T[[#This Row],[qty_received]]&lt;&gt;T[[#This Row],[qty_invoiced]],IF(T[[#This Row],[qty_invoiced]]&gt;0,"Partial Invoiced","Not Invoiced"),"Fully Invoiced")</f>
        <v>Partial Invoiced</v>
      </c>
      <c r="R2414" t="str">
        <f>IFERROR(VLOOKUP(T[[#This Row],[warehouse]],Table2[],2,FALSE),"--")</f>
        <v>--</v>
      </c>
    </row>
    <row r="2415" spans="1:18" x14ac:dyDescent="0.25">
      <c r="A2415" t="s">
        <v>560</v>
      </c>
      <c r="B2415" s="1">
        <v>44544</v>
      </c>
      <c r="C2415" t="s">
        <v>1522</v>
      </c>
      <c r="D2415" t="s">
        <v>594</v>
      </c>
      <c r="E2415" t="s">
        <v>51</v>
      </c>
      <c r="F2415" t="s">
        <v>164</v>
      </c>
      <c r="G2415" t="s">
        <v>1695</v>
      </c>
      <c r="H2415" t="s">
        <v>54</v>
      </c>
      <c r="I2415">
        <v>24</v>
      </c>
      <c r="J2415">
        <v>0</v>
      </c>
      <c r="K2415">
        <v>1</v>
      </c>
      <c r="L2415" t="s">
        <v>693</v>
      </c>
      <c r="M2415" t="s">
        <v>2836</v>
      </c>
      <c r="N2415">
        <v>5250</v>
      </c>
      <c r="O2415">
        <v>0</v>
      </c>
      <c r="P2415" t="str">
        <f>IF(T[[#This Row],[qty_ordered]]&lt;&gt;T[[#This Row],[qty_received]],IF(T[[#This Row],[qty_received]]&gt;0,"Partial Received","Not Receviced"),"FullyReceived")</f>
        <v>Not Receviced</v>
      </c>
      <c r="Q2415" t="str">
        <f>IF(T[[#This Row],[qty_received]]&lt;&gt;T[[#This Row],[qty_invoiced]],IF(T[[#This Row],[qty_invoiced]]&gt;0,"Partial Invoiced","Not Invoiced"),"Fully Invoiced")</f>
        <v>Partial Invoiced</v>
      </c>
      <c r="R2415" t="str">
        <f>IFERROR(VLOOKUP(T[[#This Row],[warehouse]],Table2[],2,FALSE),"--")</f>
        <v>--</v>
      </c>
    </row>
    <row r="2416" spans="1:18" x14ac:dyDescent="0.25">
      <c r="A2416" t="s">
        <v>955</v>
      </c>
      <c r="B2416" s="1">
        <v>44676</v>
      </c>
      <c r="C2416" t="s">
        <v>1696</v>
      </c>
      <c r="D2416" t="s">
        <v>20</v>
      </c>
      <c r="E2416" t="s">
        <v>1697</v>
      </c>
      <c r="F2416" t="s">
        <v>300</v>
      </c>
      <c r="G2416" t="s">
        <v>301</v>
      </c>
      <c r="H2416" t="s">
        <v>24</v>
      </c>
      <c r="I2416">
        <v>500</v>
      </c>
      <c r="J2416">
        <v>216.66</v>
      </c>
      <c r="K2416">
        <v>216.66</v>
      </c>
      <c r="L2416" t="s">
        <v>25</v>
      </c>
      <c r="M2416" t="s">
        <v>1485</v>
      </c>
      <c r="N2416">
        <v>385700</v>
      </c>
      <c r="O2416">
        <v>83565762</v>
      </c>
      <c r="P2416" t="str">
        <f>IF(T[[#This Row],[qty_ordered]]&lt;&gt;T[[#This Row],[qty_received]],IF(T[[#This Row],[qty_received]]&gt;0,"Partial Received","Not Receviced"),"FullyReceived")</f>
        <v>Partial Received</v>
      </c>
      <c r="Q2416" t="str">
        <f>IF(T[[#This Row],[qty_received]]&lt;&gt;T[[#This Row],[qty_invoiced]],IF(T[[#This Row],[qty_invoiced]]&gt;0,"Partial Invoiced","Not Invoiced"),"Fully Invoiced")</f>
        <v>Fully Invoiced</v>
      </c>
      <c r="R2416" t="str">
        <f>IFERROR(VLOOKUP(T[[#This Row],[warehouse]],Table2[],2,FALSE),"--")</f>
        <v>Picker Sifting Facility</v>
      </c>
    </row>
    <row r="2417" spans="1:18" x14ac:dyDescent="0.25">
      <c r="A2417" t="s">
        <v>560</v>
      </c>
      <c r="B2417" s="1">
        <v>44544</v>
      </c>
      <c r="C2417" t="s">
        <v>1522</v>
      </c>
      <c r="D2417" t="s">
        <v>595</v>
      </c>
      <c r="E2417" t="s">
        <v>51</v>
      </c>
      <c r="F2417" t="s">
        <v>164</v>
      </c>
      <c r="G2417" t="s">
        <v>1695</v>
      </c>
      <c r="H2417" t="s">
        <v>54</v>
      </c>
      <c r="I2417">
        <v>30.75</v>
      </c>
      <c r="J2417">
        <v>0</v>
      </c>
      <c r="K2417">
        <v>1</v>
      </c>
      <c r="L2417" t="s">
        <v>693</v>
      </c>
      <c r="M2417" t="s">
        <v>2836</v>
      </c>
      <c r="N2417">
        <v>5250</v>
      </c>
      <c r="O2417">
        <v>0</v>
      </c>
      <c r="P2417" t="str">
        <f>IF(T[[#This Row],[qty_ordered]]&lt;&gt;T[[#This Row],[qty_received]],IF(T[[#This Row],[qty_received]]&gt;0,"Partial Received","Not Receviced"),"FullyReceived")</f>
        <v>Not Receviced</v>
      </c>
      <c r="Q2417" t="str">
        <f>IF(T[[#This Row],[qty_received]]&lt;&gt;T[[#This Row],[qty_invoiced]],IF(T[[#This Row],[qty_invoiced]]&gt;0,"Partial Invoiced","Not Invoiced"),"Fully Invoiced")</f>
        <v>Partial Invoiced</v>
      </c>
      <c r="R2417" t="str">
        <f>IFERROR(VLOOKUP(T[[#This Row],[warehouse]],Table2[],2,FALSE),"--")</f>
        <v>--</v>
      </c>
    </row>
    <row r="2418" spans="1:18" x14ac:dyDescent="0.25">
      <c r="A2418" t="s">
        <v>560</v>
      </c>
      <c r="B2418" s="1">
        <v>44544</v>
      </c>
      <c r="C2418" t="s">
        <v>1522</v>
      </c>
      <c r="D2418" t="s">
        <v>596</v>
      </c>
      <c r="E2418" t="s">
        <v>51</v>
      </c>
      <c r="F2418" t="s">
        <v>164</v>
      </c>
      <c r="G2418" t="s">
        <v>1695</v>
      </c>
      <c r="H2418" t="s">
        <v>54</v>
      </c>
      <c r="I2418">
        <v>39</v>
      </c>
      <c r="J2418">
        <v>0</v>
      </c>
      <c r="K2418">
        <v>1</v>
      </c>
      <c r="L2418" t="s">
        <v>693</v>
      </c>
      <c r="M2418" t="s">
        <v>2836</v>
      </c>
      <c r="N2418">
        <v>5250</v>
      </c>
      <c r="O2418">
        <v>0</v>
      </c>
      <c r="P2418" t="str">
        <f>IF(T[[#This Row],[qty_ordered]]&lt;&gt;T[[#This Row],[qty_received]],IF(T[[#This Row],[qty_received]]&gt;0,"Partial Received","Not Receviced"),"FullyReceived")</f>
        <v>Not Receviced</v>
      </c>
      <c r="Q2418" t="str">
        <f>IF(T[[#This Row],[qty_received]]&lt;&gt;T[[#This Row],[qty_invoiced]],IF(T[[#This Row],[qty_invoiced]]&gt;0,"Partial Invoiced","Not Invoiced"),"Fully Invoiced")</f>
        <v>Partial Invoiced</v>
      </c>
      <c r="R2418" t="str">
        <f>IFERROR(VLOOKUP(T[[#This Row],[warehouse]],Table2[],2,FALSE),"--")</f>
        <v>--</v>
      </c>
    </row>
    <row r="2419" spans="1:18" x14ac:dyDescent="0.25">
      <c r="A2419" t="s">
        <v>560</v>
      </c>
      <c r="B2419" s="1">
        <v>44544</v>
      </c>
      <c r="C2419" t="s">
        <v>1522</v>
      </c>
      <c r="D2419" t="s">
        <v>507</v>
      </c>
      <c r="E2419" t="s">
        <v>51</v>
      </c>
      <c r="F2419" t="s">
        <v>164</v>
      </c>
      <c r="G2419" t="s">
        <v>1695</v>
      </c>
      <c r="H2419" t="s">
        <v>54</v>
      </c>
      <c r="I2419">
        <v>41</v>
      </c>
      <c r="J2419">
        <v>0</v>
      </c>
      <c r="K2419">
        <v>1</v>
      </c>
      <c r="L2419" t="s">
        <v>693</v>
      </c>
      <c r="M2419" t="s">
        <v>2836</v>
      </c>
      <c r="N2419">
        <v>5250</v>
      </c>
      <c r="O2419">
        <v>0</v>
      </c>
      <c r="P2419" t="str">
        <f>IF(T[[#This Row],[qty_ordered]]&lt;&gt;T[[#This Row],[qty_received]],IF(T[[#This Row],[qty_received]]&gt;0,"Partial Received","Not Receviced"),"FullyReceived")</f>
        <v>Not Receviced</v>
      </c>
      <c r="Q2419" t="str">
        <f>IF(T[[#This Row],[qty_received]]&lt;&gt;T[[#This Row],[qty_invoiced]],IF(T[[#This Row],[qty_invoiced]]&gt;0,"Partial Invoiced","Not Invoiced"),"Fully Invoiced")</f>
        <v>Partial Invoiced</v>
      </c>
      <c r="R2419" t="str">
        <f>IFERROR(VLOOKUP(T[[#This Row],[warehouse]],Table2[],2,FALSE),"--")</f>
        <v>--</v>
      </c>
    </row>
    <row r="2420" spans="1:18" x14ac:dyDescent="0.25">
      <c r="A2420" t="s">
        <v>560</v>
      </c>
      <c r="B2420" s="1">
        <v>44544</v>
      </c>
      <c r="C2420" t="s">
        <v>1522</v>
      </c>
      <c r="D2420" t="s">
        <v>508</v>
      </c>
      <c r="E2420" t="s">
        <v>51</v>
      </c>
      <c r="F2420" t="s">
        <v>164</v>
      </c>
      <c r="G2420" t="s">
        <v>1695</v>
      </c>
      <c r="H2420" t="s">
        <v>54</v>
      </c>
      <c r="I2420">
        <v>27</v>
      </c>
      <c r="J2420">
        <v>0</v>
      </c>
      <c r="K2420">
        <v>1</v>
      </c>
      <c r="L2420" t="s">
        <v>693</v>
      </c>
      <c r="M2420" t="s">
        <v>2836</v>
      </c>
      <c r="N2420">
        <v>5250</v>
      </c>
      <c r="O2420">
        <v>0</v>
      </c>
      <c r="P2420" t="str">
        <f>IF(T[[#This Row],[qty_ordered]]&lt;&gt;T[[#This Row],[qty_received]],IF(T[[#This Row],[qty_received]]&gt;0,"Partial Received","Not Receviced"),"FullyReceived")</f>
        <v>Not Receviced</v>
      </c>
      <c r="Q2420" t="str">
        <f>IF(T[[#This Row],[qty_received]]&lt;&gt;T[[#This Row],[qty_invoiced]],IF(T[[#This Row],[qty_invoiced]]&gt;0,"Partial Invoiced","Not Invoiced"),"Fully Invoiced")</f>
        <v>Partial Invoiced</v>
      </c>
      <c r="R2420" t="str">
        <f>IFERROR(VLOOKUP(T[[#This Row],[warehouse]],Table2[],2,FALSE),"--")</f>
        <v>--</v>
      </c>
    </row>
    <row r="2421" spans="1:18" x14ac:dyDescent="0.25">
      <c r="A2421" t="s">
        <v>560</v>
      </c>
      <c r="B2421" s="1">
        <v>44544</v>
      </c>
      <c r="C2421" t="s">
        <v>1522</v>
      </c>
      <c r="D2421" t="s">
        <v>509</v>
      </c>
      <c r="E2421" t="s">
        <v>51</v>
      </c>
      <c r="F2421" t="s">
        <v>164</v>
      </c>
      <c r="G2421" t="s">
        <v>1695</v>
      </c>
      <c r="H2421" t="s">
        <v>54</v>
      </c>
      <c r="I2421">
        <v>24</v>
      </c>
      <c r="J2421">
        <v>0</v>
      </c>
      <c r="K2421">
        <v>1</v>
      </c>
      <c r="L2421" t="s">
        <v>693</v>
      </c>
      <c r="M2421" t="s">
        <v>2836</v>
      </c>
      <c r="N2421">
        <v>5250</v>
      </c>
      <c r="O2421">
        <v>0</v>
      </c>
      <c r="P2421" t="str">
        <f>IF(T[[#This Row],[qty_ordered]]&lt;&gt;T[[#This Row],[qty_received]],IF(T[[#This Row],[qty_received]]&gt;0,"Partial Received","Not Receviced"),"FullyReceived")</f>
        <v>Not Receviced</v>
      </c>
      <c r="Q2421" t="str">
        <f>IF(T[[#This Row],[qty_received]]&lt;&gt;T[[#This Row],[qty_invoiced]],IF(T[[#This Row],[qty_invoiced]]&gt;0,"Partial Invoiced","Not Invoiced"),"Fully Invoiced")</f>
        <v>Partial Invoiced</v>
      </c>
      <c r="R2421" t="str">
        <f>IFERROR(VLOOKUP(T[[#This Row],[warehouse]],Table2[],2,FALSE),"--")</f>
        <v>--</v>
      </c>
    </row>
    <row r="2422" spans="1:18" x14ac:dyDescent="0.25">
      <c r="A2422" t="s">
        <v>560</v>
      </c>
      <c r="B2422" s="1">
        <v>44544</v>
      </c>
      <c r="C2422" t="s">
        <v>1542</v>
      </c>
      <c r="D2422" t="s">
        <v>594</v>
      </c>
      <c r="E2422" t="s">
        <v>51</v>
      </c>
      <c r="F2422" t="s">
        <v>164</v>
      </c>
      <c r="G2422" t="s">
        <v>1698</v>
      </c>
      <c r="H2422" t="s">
        <v>54</v>
      </c>
      <c r="I2422">
        <v>22.75</v>
      </c>
      <c r="J2422">
        <v>0</v>
      </c>
      <c r="K2422">
        <v>1</v>
      </c>
      <c r="L2422" t="s">
        <v>693</v>
      </c>
      <c r="M2422" t="s">
        <v>533</v>
      </c>
      <c r="N2422">
        <v>5250</v>
      </c>
      <c r="O2422">
        <v>0</v>
      </c>
      <c r="P2422" t="str">
        <f>IF(T[[#This Row],[qty_ordered]]&lt;&gt;T[[#This Row],[qty_received]],IF(T[[#This Row],[qty_received]]&gt;0,"Partial Received","Not Receviced"),"FullyReceived")</f>
        <v>Not Receviced</v>
      </c>
      <c r="Q2422" t="str">
        <f>IF(T[[#This Row],[qty_received]]&lt;&gt;T[[#This Row],[qty_invoiced]],IF(T[[#This Row],[qty_invoiced]]&gt;0,"Partial Invoiced","Not Invoiced"),"Fully Invoiced")</f>
        <v>Partial Invoiced</v>
      </c>
      <c r="R2422" t="str">
        <f>IFERROR(VLOOKUP(T[[#This Row],[warehouse]],Table2[],2,FALSE),"--")</f>
        <v>--</v>
      </c>
    </row>
    <row r="2423" spans="1:18" x14ac:dyDescent="0.25">
      <c r="A2423" t="s">
        <v>560</v>
      </c>
      <c r="B2423" s="1">
        <v>44544</v>
      </c>
      <c r="C2423" t="s">
        <v>1542</v>
      </c>
      <c r="D2423" t="s">
        <v>595</v>
      </c>
      <c r="E2423" t="s">
        <v>51</v>
      </c>
      <c r="F2423" t="s">
        <v>164</v>
      </c>
      <c r="G2423" t="s">
        <v>1698</v>
      </c>
      <c r="H2423" t="s">
        <v>54</v>
      </c>
      <c r="I2423">
        <v>27.88</v>
      </c>
      <c r="J2423">
        <v>0</v>
      </c>
      <c r="K2423">
        <v>1</v>
      </c>
      <c r="L2423" t="s">
        <v>693</v>
      </c>
      <c r="M2423" t="s">
        <v>533</v>
      </c>
      <c r="N2423">
        <v>5250</v>
      </c>
      <c r="O2423">
        <v>0</v>
      </c>
      <c r="P2423" t="str">
        <f>IF(T[[#This Row],[qty_ordered]]&lt;&gt;T[[#This Row],[qty_received]],IF(T[[#This Row],[qty_received]]&gt;0,"Partial Received","Not Receviced"),"FullyReceived")</f>
        <v>Not Receviced</v>
      </c>
      <c r="Q2423" t="str">
        <f>IF(T[[#This Row],[qty_received]]&lt;&gt;T[[#This Row],[qty_invoiced]],IF(T[[#This Row],[qty_invoiced]]&gt;0,"Partial Invoiced","Not Invoiced"),"Fully Invoiced")</f>
        <v>Partial Invoiced</v>
      </c>
      <c r="R2423" t="str">
        <f>IFERROR(VLOOKUP(T[[#This Row],[warehouse]],Table2[],2,FALSE),"--")</f>
        <v>--</v>
      </c>
    </row>
    <row r="2424" spans="1:18" x14ac:dyDescent="0.25">
      <c r="A2424" t="s">
        <v>560</v>
      </c>
      <c r="B2424" s="1">
        <v>44544</v>
      </c>
      <c r="C2424" t="s">
        <v>1542</v>
      </c>
      <c r="D2424" t="s">
        <v>596</v>
      </c>
      <c r="E2424" t="s">
        <v>51</v>
      </c>
      <c r="F2424" t="s">
        <v>164</v>
      </c>
      <c r="G2424" t="s">
        <v>1698</v>
      </c>
      <c r="H2424" t="s">
        <v>54</v>
      </c>
      <c r="I2424">
        <v>12.63</v>
      </c>
      <c r="J2424">
        <v>0</v>
      </c>
      <c r="K2424">
        <v>1</v>
      </c>
      <c r="L2424" t="s">
        <v>693</v>
      </c>
      <c r="M2424" t="s">
        <v>533</v>
      </c>
      <c r="N2424">
        <v>5250</v>
      </c>
      <c r="O2424">
        <v>0</v>
      </c>
      <c r="P2424" t="str">
        <f>IF(T[[#This Row],[qty_ordered]]&lt;&gt;T[[#This Row],[qty_received]],IF(T[[#This Row],[qty_received]]&gt;0,"Partial Received","Not Receviced"),"FullyReceived")</f>
        <v>Not Receviced</v>
      </c>
      <c r="Q2424" t="str">
        <f>IF(T[[#This Row],[qty_received]]&lt;&gt;T[[#This Row],[qty_invoiced]],IF(T[[#This Row],[qty_invoiced]]&gt;0,"Partial Invoiced","Not Invoiced"),"Fully Invoiced")</f>
        <v>Partial Invoiced</v>
      </c>
      <c r="R2424" t="str">
        <f>IFERROR(VLOOKUP(T[[#This Row],[warehouse]],Table2[],2,FALSE),"--")</f>
        <v>--</v>
      </c>
    </row>
    <row r="2425" spans="1:18" x14ac:dyDescent="0.25">
      <c r="A2425" t="s">
        <v>560</v>
      </c>
      <c r="B2425" s="1">
        <v>44544</v>
      </c>
      <c r="C2425" t="s">
        <v>1542</v>
      </c>
      <c r="D2425" t="s">
        <v>507</v>
      </c>
      <c r="E2425" t="s">
        <v>51</v>
      </c>
      <c r="F2425" t="s">
        <v>164</v>
      </c>
      <c r="G2425" t="s">
        <v>1698</v>
      </c>
      <c r="H2425" t="s">
        <v>54</v>
      </c>
      <c r="I2425">
        <v>27</v>
      </c>
      <c r="J2425">
        <v>0</v>
      </c>
      <c r="K2425">
        <v>1</v>
      </c>
      <c r="L2425" t="s">
        <v>693</v>
      </c>
      <c r="M2425" t="s">
        <v>533</v>
      </c>
      <c r="N2425">
        <v>5250</v>
      </c>
      <c r="O2425">
        <v>0</v>
      </c>
      <c r="P2425" t="str">
        <f>IF(T[[#This Row],[qty_ordered]]&lt;&gt;T[[#This Row],[qty_received]],IF(T[[#This Row],[qty_received]]&gt;0,"Partial Received","Not Receviced"),"FullyReceived")</f>
        <v>Not Receviced</v>
      </c>
      <c r="Q2425" t="str">
        <f>IF(T[[#This Row],[qty_received]]&lt;&gt;T[[#This Row],[qty_invoiced]],IF(T[[#This Row],[qty_invoiced]]&gt;0,"Partial Invoiced","Not Invoiced"),"Fully Invoiced")</f>
        <v>Partial Invoiced</v>
      </c>
      <c r="R2425" t="str">
        <f>IFERROR(VLOOKUP(T[[#This Row],[warehouse]],Table2[],2,FALSE),"--")</f>
        <v>--</v>
      </c>
    </row>
    <row r="2426" spans="1:18" x14ac:dyDescent="0.25">
      <c r="A2426" t="s">
        <v>560</v>
      </c>
      <c r="B2426" s="1">
        <v>44544</v>
      </c>
      <c r="C2426" t="s">
        <v>1542</v>
      </c>
      <c r="D2426" t="s">
        <v>508</v>
      </c>
      <c r="E2426" t="s">
        <v>51</v>
      </c>
      <c r="F2426" t="s">
        <v>164</v>
      </c>
      <c r="G2426" t="s">
        <v>1698</v>
      </c>
      <c r="H2426" t="s">
        <v>54</v>
      </c>
      <c r="I2426">
        <v>3</v>
      </c>
      <c r="J2426">
        <v>0</v>
      </c>
      <c r="K2426">
        <v>1</v>
      </c>
      <c r="L2426" t="s">
        <v>693</v>
      </c>
      <c r="M2426" t="s">
        <v>533</v>
      </c>
      <c r="N2426">
        <v>5250</v>
      </c>
      <c r="O2426">
        <v>0</v>
      </c>
      <c r="P2426" t="str">
        <f>IF(T[[#This Row],[qty_ordered]]&lt;&gt;T[[#This Row],[qty_received]],IF(T[[#This Row],[qty_received]]&gt;0,"Partial Received","Not Receviced"),"FullyReceived")</f>
        <v>Not Receviced</v>
      </c>
      <c r="Q2426" t="str">
        <f>IF(T[[#This Row],[qty_received]]&lt;&gt;T[[#This Row],[qty_invoiced]],IF(T[[#This Row],[qty_invoiced]]&gt;0,"Partial Invoiced","Not Invoiced"),"Fully Invoiced")</f>
        <v>Partial Invoiced</v>
      </c>
      <c r="R2426" t="str">
        <f>IFERROR(VLOOKUP(T[[#This Row],[warehouse]],Table2[],2,FALSE),"--")</f>
        <v>--</v>
      </c>
    </row>
    <row r="2427" spans="1:18" x14ac:dyDescent="0.25">
      <c r="A2427" t="s">
        <v>560</v>
      </c>
      <c r="B2427" s="1">
        <v>44634</v>
      </c>
      <c r="C2427" t="s">
        <v>1539</v>
      </c>
      <c r="D2427" t="s">
        <v>88</v>
      </c>
      <c r="E2427" t="s">
        <v>51</v>
      </c>
      <c r="F2427" t="s">
        <v>164</v>
      </c>
      <c r="G2427" t="s">
        <v>1699</v>
      </c>
      <c r="H2427" t="s">
        <v>54</v>
      </c>
      <c r="I2427">
        <v>27</v>
      </c>
      <c r="J2427">
        <v>0</v>
      </c>
      <c r="K2427">
        <v>1</v>
      </c>
      <c r="L2427" t="s">
        <v>693</v>
      </c>
      <c r="M2427" t="s">
        <v>2836</v>
      </c>
      <c r="N2427">
        <v>5250</v>
      </c>
      <c r="O2427">
        <v>0</v>
      </c>
      <c r="P2427" t="str">
        <f>IF(T[[#This Row],[qty_ordered]]&lt;&gt;T[[#This Row],[qty_received]],IF(T[[#This Row],[qty_received]]&gt;0,"Partial Received","Not Receviced"),"FullyReceived")</f>
        <v>Not Receviced</v>
      </c>
      <c r="Q2427" t="str">
        <f>IF(T[[#This Row],[qty_received]]&lt;&gt;T[[#This Row],[qty_invoiced]],IF(T[[#This Row],[qty_invoiced]]&gt;0,"Partial Invoiced","Not Invoiced"),"Fully Invoiced")</f>
        <v>Partial Invoiced</v>
      </c>
      <c r="R2427" t="str">
        <f>IFERROR(VLOOKUP(T[[#This Row],[warehouse]],Table2[],2,FALSE),"--")</f>
        <v>--</v>
      </c>
    </row>
    <row r="2428" spans="1:18" x14ac:dyDescent="0.25">
      <c r="A2428" t="s">
        <v>400</v>
      </c>
      <c r="B2428" s="1">
        <v>44594</v>
      </c>
      <c r="C2428" t="s">
        <v>1700</v>
      </c>
      <c r="D2428" t="s">
        <v>322</v>
      </c>
      <c r="E2428" t="s">
        <v>51</v>
      </c>
      <c r="F2428" t="s">
        <v>183</v>
      </c>
      <c r="G2428" t="s">
        <v>1701</v>
      </c>
      <c r="H2428" t="s">
        <v>54</v>
      </c>
      <c r="I2428">
        <v>401.81299999999999</v>
      </c>
      <c r="J2428">
        <v>0</v>
      </c>
      <c r="K2428">
        <v>1</v>
      </c>
      <c r="L2428" t="s">
        <v>693</v>
      </c>
      <c r="M2428" t="s">
        <v>533</v>
      </c>
      <c r="N2428">
        <v>12000</v>
      </c>
      <c r="O2428">
        <v>0</v>
      </c>
      <c r="P2428" t="str">
        <f>IF(T[[#This Row],[qty_ordered]]&lt;&gt;T[[#This Row],[qty_received]],IF(T[[#This Row],[qty_received]]&gt;0,"Partial Received","Not Receviced"),"FullyReceived")</f>
        <v>Not Receviced</v>
      </c>
      <c r="Q2428" t="str">
        <f>IF(T[[#This Row],[qty_received]]&lt;&gt;T[[#This Row],[qty_invoiced]],IF(T[[#This Row],[qty_invoiced]]&gt;0,"Partial Invoiced","Not Invoiced"),"Fully Invoiced")</f>
        <v>Partial Invoiced</v>
      </c>
      <c r="R2428" t="str">
        <f>IFERROR(VLOOKUP(T[[#This Row],[warehouse]],Table2[],2,FALSE),"--")</f>
        <v>--</v>
      </c>
    </row>
    <row r="2429" spans="1:18" x14ac:dyDescent="0.25">
      <c r="A2429" t="s">
        <v>400</v>
      </c>
      <c r="B2429" s="1">
        <v>44594</v>
      </c>
      <c r="C2429" t="s">
        <v>1700</v>
      </c>
      <c r="D2429" t="s">
        <v>323</v>
      </c>
      <c r="E2429" t="s">
        <v>51</v>
      </c>
      <c r="F2429" t="s">
        <v>278</v>
      </c>
      <c r="G2429" t="s">
        <v>1702</v>
      </c>
      <c r="H2429" t="s">
        <v>54</v>
      </c>
      <c r="I2429">
        <v>1</v>
      </c>
      <c r="J2429">
        <v>0</v>
      </c>
      <c r="K2429">
        <v>1</v>
      </c>
      <c r="L2429" t="s">
        <v>693</v>
      </c>
      <c r="M2429" t="s">
        <v>533</v>
      </c>
      <c r="N2429">
        <v>282483</v>
      </c>
      <c r="O2429">
        <v>0</v>
      </c>
      <c r="P2429" t="str">
        <f>IF(T[[#This Row],[qty_ordered]]&lt;&gt;T[[#This Row],[qty_received]],IF(T[[#This Row],[qty_received]]&gt;0,"Partial Received","Not Receviced"),"FullyReceived")</f>
        <v>Not Receviced</v>
      </c>
      <c r="Q2429" t="str">
        <f>IF(T[[#This Row],[qty_received]]&lt;&gt;T[[#This Row],[qty_invoiced]],IF(T[[#This Row],[qty_invoiced]]&gt;0,"Partial Invoiced","Not Invoiced"),"Fully Invoiced")</f>
        <v>Partial Invoiced</v>
      </c>
      <c r="R2429" t="str">
        <f>IFERROR(VLOOKUP(T[[#This Row],[warehouse]],Table2[],2,FALSE),"--")</f>
        <v>--</v>
      </c>
    </row>
    <row r="2430" spans="1:18" x14ac:dyDescent="0.25">
      <c r="A2430" t="s">
        <v>400</v>
      </c>
      <c r="B2430" s="1">
        <v>44594</v>
      </c>
      <c r="C2430" t="s">
        <v>1700</v>
      </c>
      <c r="D2430" t="s">
        <v>324</v>
      </c>
      <c r="E2430" t="s">
        <v>51</v>
      </c>
      <c r="F2430" t="s">
        <v>1703</v>
      </c>
      <c r="G2430" t="s">
        <v>1704</v>
      </c>
      <c r="H2430" t="s">
        <v>54</v>
      </c>
      <c r="I2430">
        <v>20</v>
      </c>
      <c r="J2430">
        <v>0</v>
      </c>
      <c r="K2430">
        <v>1</v>
      </c>
      <c r="L2430" t="s">
        <v>693</v>
      </c>
      <c r="M2430" t="s">
        <v>533</v>
      </c>
      <c r="N2430">
        <v>2000</v>
      </c>
      <c r="O2430">
        <v>0</v>
      </c>
      <c r="P2430" t="str">
        <f>IF(T[[#This Row],[qty_ordered]]&lt;&gt;T[[#This Row],[qty_received]],IF(T[[#This Row],[qty_received]]&gt;0,"Partial Received","Not Receviced"),"FullyReceived")</f>
        <v>Not Receviced</v>
      </c>
      <c r="Q2430" t="str">
        <f>IF(T[[#This Row],[qty_received]]&lt;&gt;T[[#This Row],[qty_invoiced]],IF(T[[#This Row],[qty_invoiced]]&gt;0,"Partial Invoiced","Not Invoiced"),"Fully Invoiced")</f>
        <v>Partial Invoiced</v>
      </c>
      <c r="R2430" t="str">
        <f>IFERROR(VLOOKUP(T[[#This Row],[warehouse]],Table2[],2,FALSE),"--")</f>
        <v>--</v>
      </c>
    </row>
    <row r="2431" spans="1:18" x14ac:dyDescent="0.25">
      <c r="A2431" t="s">
        <v>400</v>
      </c>
      <c r="B2431" s="1">
        <v>44594</v>
      </c>
      <c r="C2431" t="s">
        <v>1700</v>
      </c>
      <c r="D2431" t="s">
        <v>325</v>
      </c>
      <c r="E2431" t="s">
        <v>51</v>
      </c>
      <c r="F2431" t="s">
        <v>793</v>
      </c>
      <c r="G2431" t="s">
        <v>1705</v>
      </c>
      <c r="H2431" t="s">
        <v>54</v>
      </c>
      <c r="I2431">
        <v>7</v>
      </c>
      <c r="J2431">
        <v>0</v>
      </c>
      <c r="K2431">
        <v>1</v>
      </c>
      <c r="L2431" t="s">
        <v>693</v>
      </c>
      <c r="M2431" t="s">
        <v>533</v>
      </c>
      <c r="N2431">
        <v>1500</v>
      </c>
      <c r="O2431">
        <v>0</v>
      </c>
      <c r="P2431" t="str">
        <f>IF(T[[#This Row],[qty_ordered]]&lt;&gt;T[[#This Row],[qty_received]],IF(T[[#This Row],[qty_received]]&gt;0,"Partial Received","Not Receviced"),"FullyReceived")</f>
        <v>Not Receviced</v>
      </c>
      <c r="Q2431" t="str">
        <f>IF(T[[#This Row],[qty_received]]&lt;&gt;T[[#This Row],[qty_invoiced]],IF(T[[#This Row],[qty_invoiced]]&gt;0,"Partial Invoiced","Not Invoiced"),"Fully Invoiced")</f>
        <v>Partial Invoiced</v>
      </c>
      <c r="R2431" t="str">
        <f>IFERROR(VLOOKUP(T[[#This Row],[warehouse]],Table2[],2,FALSE),"--")</f>
        <v>--</v>
      </c>
    </row>
    <row r="2432" spans="1:18" x14ac:dyDescent="0.25">
      <c r="A2432" t="s">
        <v>462</v>
      </c>
      <c r="B2432" s="1">
        <v>44676</v>
      </c>
      <c r="C2432" t="s">
        <v>1706</v>
      </c>
      <c r="D2432" t="s">
        <v>212</v>
      </c>
      <c r="E2432" t="s">
        <v>51</v>
      </c>
      <c r="F2432" t="s">
        <v>247</v>
      </c>
      <c r="G2432" t="s">
        <v>1707</v>
      </c>
      <c r="H2432" t="s">
        <v>54</v>
      </c>
      <c r="I2432">
        <v>1000</v>
      </c>
      <c r="J2432">
        <v>0</v>
      </c>
      <c r="K2432">
        <v>1</v>
      </c>
      <c r="L2432" t="s">
        <v>693</v>
      </c>
      <c r="M2432" t="s">
        <v>533</v>
      </c>
      <c r="N2432">
        <v>33000</v>
      </c>
      <c r="O2432">
        <v>0</v>
      </c>
      <c r="P2432" t="str">
        <f>IF(T[[#This Row],[qty_ordered]]&lt;&gt;T[[#This Row],[qty_received]],IF(T[[#This Row],[qty_received]]&gt;0,"Partial Received","Not Receviced"),"FullyReceived")</f>
        <v>Not Receviced</v>
      </c>
      <c r="Q2432" t="str">
        <f>IF(T[[#This Row],[qty_received]]&lt;&gt;T[[#This Row],[qty_invoiced]],IF(T[[#This Row],[qty_invoiced]]&gt;0,"Partial Invoiced","Not Invoiced"),"Fully Invoiced")</f>
        <v>Partial Invoiced</v>
      </c>
      <c r="R2432" t="str">
        <f>IFERROR(VLOOKUP(T[[#This Row],[warehouse]],Table2[],2,FALSE),"--")</f>
        <v>--</v>
      </c>
    </row>
    <row r="2433" spans="1:18" x14ac:dyDescent="0.25">
      <c r="A2433" t="s">
        <v>462</v>
      </c>
      <c r="B2433" s="1">
        <v>44676</v>
      </c>
      <c r="C2433" t="s">
        <v>1706</v>
      </c>
      <c r="D2433" t="s">
        <v>322</v>
      </c>
      <c r="E2433" t="s">
        <v>51</v>
      </c>
      <c r="F2433" t="s">
        <v>278</v>
      </c>
      <c r="G2433" t="s">
        <v>1557</v>
      </c>
      <c r="H2433" t="s">
        <v>54</v>
      </c>
      <c r="I2433">
        <v>13567</v>
      </c>
      <c r="J2433">
        <v>0</v>
      </c>
      <c r="K2433">
        <v>1</v>
      </c>
      <c r="L2433" t="s">
        <v>693</v>
      </c>
      <c r="M2433" t="s">
        <v>533</v>
      </c>
      <c r="N2433">
        <v>45</v>
      </c>
      <c r="O2433">
        <v>0</v>
      </c>
      <c r="P2433" t="str">
        <f>IF(T[[#This Row],[qty_ordered]]&lt;&gt;T[[#This Row],[qty_received]],IF(T[[#This Row],[qty_received]]&gt;0,"Partial Received","Not Receviced"),"FullyReceived")</f>
        <v>Not Receviced</v>
      </c>
      <c r="Q2433" t="str">
        <f>IF(T[[#This Row],[qty_received]]&lt;&gt;T[[#This Row],[qty_invoiced]],IF(T[[#This Row],[qty_invoiced]]&gt;0,"Partial Invoiced","Not Invoiced"),"Fully Invoiced")</f>
        <v>Partial Invoiced</v>
      </c>
      <c r="R2433" t="str">
        <f>IFERROR(VLOOKUP(T[[#This Row],[warehouse]],Table2[],2,FALSE),"--")</f>
        <v>--</v>
      </c>
    </row>
    <row r="2434" spans="1:18" x14ac:dyDescent="0.25">
      <c r="A2434" t="s">
        <v>462</v>
      </c>
      <c r="B2434" s="1">
        <v>44676</v>
      </c>
      <c r="C2434" t="s">
        <v>1706</v>
      </c>
      <c r="D2434" t="s">
        <v>323</v>
      </c>
      <c r="E2434" t="s">
        <v>51</v>
      </c>
      <c r="F2434" t="s">
        <v>373</v>
      </c>
      <c r="G2434" t="s">
        <v>1708</v>
      </c>
      <c r="H2434" t="s">
        <v>54</v>
      </c>
      <c r="I2434">
        <v>7890</v>
      </c>
      <c r="J2434">
        <v>0</v>
      </c>
      <c r="K2434">
        <v>1</v>
      </c>
      <c r="L2434" t="s">
        <v>693</v>
      </c>
      <c r="M2434" t="s">
        <v>533</v>
      </c>
      <c r="N2434">
        <v>50</v>
      </c>
      <c r="O2434">
        <v>0</v>
      </c>
      <c r="P2434" t="str">
        <f>IF(T[[#This Row],[qty_ordered]]&lt;&gt;T[[#This Row],[qty_received]],IF(T[[#This Row],[qty_received]]&gt;0,"Partial Received","Not Receviced"),"FullyReceived")</f>
        <v>Not Receviced</v>
      </c>
      <c r="Q2434" t="str">
        <f>IF(T[[#This Row],[qty_received]]&lt;&gt;T[[#This Row],[qty_invoiced]],IF(T[[#This Row],[qty_invoiced]]&gt;0,"Partial Invoiced","Not Invoiced"),"Fully Invoiced")</f>
        <v>Partial Invoiced</v>
      </c>
      <c r="R2434" t="str">
        <f>IFERROR(VLOOKUP(T[[#This Row],[warehouse]],Table2[],2,FALSE),"--")</f>
        <v>--</v>
      </c>
    </row>
    <row r="2435" spans="1:18" x14ac:dyDescent="0.25">
      <c r="A2435" t="s">
        <v>462</v>
      </c>
      <c r="B2435" s="1">
        <v>44676</v>
      </c>
      <c r="C2435" t="s">
        <v>1706</v>
      </c>
      <c r="D2435" t="s">
        <v>324</v>
      </c>
      <c r="E2435" t="s">
        <v>51</v>
      </c>
      <c r="F2435" t="s">
        <v>254</v>
      </c>
      <c r="G2435" t="s">
        <v>1709</v>
      </c>
      <c r="H2435" t="s">
        <v>54</v>
      </c>
      <c r="I2435">
        <v>24503</v>
      </c>
      <c r="J2435">
        <v>0</v>
      </c>
      <c r="K2435">
        <v>1</v>
      </c>
      <c r="L2435" t="s">
        <v>693</v>
      </c>
      <c r="M2435" t="s">
        <v>533</v>
      </c>
      <c r="N2435">
        <v>40</v>
      </c>
      <c r="O2435">
        <v>0</v>
      </c>
      <c r="P2435" t="str">
        <f>IF(T[[#This Row],[qty_ordered]]&lt;&gt;T[[#This Row],[qty_received]],IF(T[[#This Row],[qty_received]]&gt;0,"Partial Received","Not Receviced"),"FullyReceived")</f>
        <v>Not Receviced</v>
      </c>
      <c r="Q2435" t="str">
        <f>IF(T[[#This Row],[qty_received]]&lt;&gt;T[[#This Row],[qty_invoiced]],IF(T[[#This Row],[qty_invoiced]]&gt;0,"Partial Invoiced","Not Invoiced"),"Fully Invoiced")</f>
        <v>Partial Invoiced</v>
      </c>
      <c r="R2435" t="str">
        <f>IFERROR(VLOOKUP(T[[#This Row],[warehouse]],Table2[],2,FALSE),"--")</f>
        <v>--</v>
      </c>
    </row>
    <row r="2436" spans="1:18" x14ac:dyDescent="0.25">
      <c r="A2436" t="s">
        <v>462</v>
      </c>
      <c r="B2436" s="1">
        <v>44676</v>
      </c>
      <c r="C2436" t="s">
        <v>1706</v>
      </c>
      <c r="D2436" t="s">
        <v>325</v>
      </c>
      <c r="E2436" t="s">
        <v>51</v>
      </c>
      <c r="F2436" t="s">
        <v>433</v>
      </c>
      <c r="G2436" t="s">
        <v>1710</v>
      </c>
      <c r="H2436" t="s">
        <v>54</v>
      </c>
      <c r="I2436">
        <v>14598</v>
      </c>
      <c r="J2436">
        <v>0</v>
      </c>
      <c r="K2436">
        <v>1</v>
      </c>
      <c r="L2436" t="s">
        <v>693</v>
      </c>
      <c r="M2436" t="s">
        <v>533</v>
      </c>
      <c r="N2436">
        <v>15.360666</v>
      </c>
      <c r="O2436">
        <v>0</v>
      </c>
      <c r="P2436" t="str">
        <f>IF(T[[#This Row],[qty_ordered]]&lt;&gt;T[[#This Row],[qty_received]],IF(T[[#This Row],[qty_received]]&gt;0,"Partial Received","Not Receviced"),"FullyReceived")</f>
        <v>Not Receviced</v>
      </c>
      <c r="Q2436" t="str">
        <f>IF(T[[#This Row],[qty_received]]&lt;&gt;T[[#This Row],[qty_invoiced]],IF(T[[#This Row],[qty_invoiced]]&gt;0,"Partial Invoiced","Not Invoiced"),"Fully Invoiced")</f>
        <v>Partial Invoiced</v>
      </c>
      <c r="R2436" t="str">
        <f>IFERROR(VLOOKUP(T[[#This Row],[warehouse]],Table2[],2,FALSE),"--")</f>
        <v>--</v>
      </c>
    </row>
    <row r="2437" spans="1:18" x14ac:dyDescent="0.25">
      <c r="A2437" t="s">
        <v>462</v>
      </c>
      <c r="B2437" s="1">
        <v>44676</v>
      </c>
      <c r="C2437" t="s">
        <v>1706</v>
      </c>
      <c r="D2437" t="s">
        <v>451</v>
      </c>
      <c r="E2437" t="s">
        <v>51</v>
      </c>
      <c r="F2437" t="s">
        <v>793</v>
      </c>
      <c r="G2437" t="s">
        <v>1711</v>
      </c>
      <c r="H2437" t="s">
        <v>54</v>
      </c>
      <c r="I2437">
        <v>6</v>
      </c>
      <c r="J2437">
        <v>0</v>
      </c>
      <c r="K2437">
        <v>1</v>
      </c>
      <c r="L2437" t="s">
        <v>693</v>
      </c>
      <c r="M2437" t="s">
        <v>533</v>
      </c>
      <c r="N2437">
        <v>3000</v>
      </c>
      <c r="O2437">
        <v>0</v>
      </c>
      <c r="P2437" t="str">
        <f>IF(T[[#This Row],[qty_ordered]]&lt;&gt;T[[#This Row],[qty_received]],IF(T[[#This Row],[qty_received]]&gt;0,"Partial Received","Not Receviced"),"FullyReceived")</f>
        <v>Not Receviced</v>
      </c>
      <c r="Q2437" t="str">
        <f>IF(T[[#This Row],[qty_received]]&lt;&gt;T[[#This Row],[qty_invoiced]],IF(T[[#This Row],[qty_invoiced]]&gt;0,"Partial Invoiced","Not Invoiced"),"Fully Invoiced")</f>
        <v>Partial Invoiced</v>
      </c>
      <c r="R2437" t="str">
        <f>IFERROR(VLOOKUP(T[[#This Row],[warehouse]],Table2[],2,FALSE),"--")</f>
        <v>--</v>
      </c>
    </row>
    <row r="2438" spans="1:18" x14ac:dyDescent="0.25">
      <c r="A2438" t="s">
        <v>252</v>
      </c>
      <c r="B2438" s="1">
        <v>44531</v>
      </c>
      <c r="C2438" t="s">
        <v>1491</v>
      </c>
      <c r="D2438" t="s">
        <v>451</v>
      </c>
      <c r="E2438" t="s">
        <v>51</v>
      </c>
      <c r="F2438" t="s">
        <v>183</v>
      </c>
      <c r="G2438" t="s">
        <v>1712</v>
      </c>
      <c r="H2438" t="s">
        <v>54</v>
      </c>
      <c r="I2438">
        <v>213.1</v>
      </c>
      <c r="J2438">
        <v>0</v>
      </c>
      <c r="K2438">
        <v>1</v>
      </c>
      <c r="L2438" t="s">
        <v>693</v>
      </c>
      <c r="M2438" t="s">
        <v>533</v>
      </c>
      <c r="N2438">
        <v>7500</v>
      </c>
      <c r="O2438">
        <v>0</v>
      </c>
      <c r="P2438" t="str">
        <f>IF(T[[#This Row],[qty_ordered]]&lt;&gt;T[[#This Row],[qty_received]],IF(T[[#This Row],[qty_received]]&gt;0,"Partial Received","Not Receviced"),"FullyReceived")</f>
        <v>Not Receviced</v>
      </c>
      <c r="Q2438" t="str">
        <f>IF(T[[#This Row],[qty_received]]&lt;&gt;T[[#This Row],[qty_invoiced]],IF(T[[#This Row],[qty_invoiced]]&gt;0,"Partial Invoiced","Not Invoiced"),"Fully Invoiced")</f>
        <v>Partial Invoiced</v>
      </c>
      <c r="R2438" t="str">
        <f>IFERROR(VLOOKUP(T[[#This Row],[warehouse]],Table2[],2,FALSE),"--")</f>
        <v>--</v>
      </c>
    </row>
    <row r="2439" spans="1:18" x14ac:dyDescent="0.25">
      <c r="A2439" t="s">
        <v>560</v>
      </c>
      <c r="B2439" s="1">
        <v>44572</v>
      </c>
      <c r="C2439" t="s">
        <v>1651</v>
      </c>
      <c r="D2439" t="s">
        <v>322</v>
      </c>
      <c r="E2439" t="s">
        <v>51</v>
      </c>
      <c r="F2439" t="s">
        <v>164</v>
      </c>
      <c r="G2439" t="s">
        <v>1713</v>
      </c>
      <c r="H2439" t="s">
        <v>54</v>
      </c>
      <c r="I2439">
        <v>22</v>
      </c>
      <c r="J2439">
        <v>0</v>
      </c>
      <c r="K2439">
        <v>1</v>
      </c>
      <c r="L2439" t="s">
        <v>693</v>
      </c>
      <c r="M2439" t="s">
        <v>2836</v>
      </c>
      <c r="N2439">
        <v>5250</v>
      </c>
      <c r="O2439">
        <v>0</v>
      </c>
      <c r="P2439" t="str">
        <f>IF(T[[#This Row],[qty_ordered]]&lt;&gt;T[[#This Row],[qty_received]],IF(T[[#This Row],[qty_received]]&gt;0,"Partial Received","Not Receviced"),"FullyReceived")</f>
        <v>Not Receviced</v>
      </c>
      <c r="Q2439" t="str">
        <f>IF(T[[#This Row],[qty_received]]&lt;&gt;T[[#This Row],[qty_invoiced]],IF(T[[#This Row],[qty_invoiced]]&gt;0,"Partial Invoiced","Not Invoiced"),"Fully Invoiced")</f>
        <v>Partial Invoiced</v>
      </c>
      <c r="R2439" t="str">
        <f>IFERROR(VLOOKUP(T[[#This Row],[warehouse]],Table2[],2,FALSE),"--")</f>
        <v>--</v>
      </c>
    </row>
    <row r="2440" spans="1:18" x14ac:dyDescent="0.25">
      <c r="A2440" t="s">
        <v>955</v>
      </c>
      <c r="B2440" s="1">
        <v>44710</v>
      </c>
      <c r="C2440" t="s">
        <v>1714</v>
      </c>
      <c r="D2440" t="s">
        <v>20</v>
      </c>
      <c r="E2440" t="s">
        <v>162</v>
      </c>
      <c r="F2440" t="s">
        <v>86</v>
      </c>
      <c r="G2440" t="s">
        <v>87</v>
      </c>
      <c r="H2440" t="s">
        <v>24</v>
      </c>
      <c r="I2440">
        <v>818</v>
      </c>
      <c r="J2440">
        <v>0</v>
      </c>
      <c r="K2440">
        <v>0</v>
      </c>
      <c r="L2440" t="s">
        <v>693</v>
      </c>
      <c r="M2440" t="s">
        <v>707</v>
      </c>
      <c r="N2440">
        <v>734250</v>
      </c>
      <c r="O2440">
        <v>0</v>
      </c>
      <c r="P2440" t="str">
        <f>IF(T[[#This Row],[qty_ordered]]&lt;&gt;T[[#This Row],[qty_received]],IF(T[[#This Row],[qty_received]]&gt;0,"Partial Received","Not Receviced"),"FullyReceived")</f>
        <v>Not Receviced</v>
      </c>
      <c r="Q2440" t="str">
        <f>IF(T[[#This Row],[qty_received]]&lt;&gt;T[[#This Row],[qty_invoiced]],IF(T[[#This Row],[qty_invoiced]]&gt;0,"Partial Invoiced","Not Invoiced"),"Fully Invoiced")</f>
        <v>Fully Invoiced</v>
      </c>
      <c r="R2440" t="str">
        <f>IFERROR(VLOOKUP(T[[#This Row],[warehouse]],Table2[],2,FALSE),"--")</f>
        <v>Sifters Mahasilna</v>
      </c>
    </row>
    <row r="2441" spans="1:18" x14ac:dyDescent="0.25">
      <c r="A2441" t="s">
        <v>235</v>
      </c>
      <c r="B2441" s="1">
        <v>44586</v>
      </c>
      <c r="C2441" t="s">
        <v>1715</v>
      </c>
      <c r="D2441" t="s">
        <v>100</v>
      </c>
      <c r="E2441" t="s">
        <v>51</v>
      </c>
      <c r="F2441" t="s">
        <v>546</v>
      </c>
      <c r="G2441" t="s">
        <v>1716</v>
      </c>
      <c r="H2441" t="s">
        <v>54</v>
      </c>
      <c r="I2441">
        <v>7000</v>
      </c>
      <c r="J2441">
        <v>0</v>
      </c>
      <c r="K2441">
        <v>1</v>
      </c>
      <c r="L2441" t="s">
        <v>693</v>
      </c>
      <c r="M2441" t="s">
        <v>2836</v>
      </c>
      <c r="N2441">
        <v>15.714285</v>
      </c>
      <c r="O2441">
        <v>0</v>
      </c>
      <c r="P2441" t="str">
        <f>IF(T[[#This Row],[qty_ordered]]&lt;&gt;T[[#This Row],[qty_received]],IF(T[[#This Row],[qty_received]]&gt;0,"Partial Received","Not Receviced"),"FullyReceived")</f>
        <v>Not Receviced</v>
      </c>
      <c r="Q2441" t="str">
        <f>IF(T[[#This Row],[qty_received]]&lt;&gt;T[[#This Row],[qty_invoiced]],IF(T[[#This Row],[qty_invoiced]]&gt;0,"Partial Invoiced","Not Invoiced"),"Fully Invoiced")</f>
        <v>Partial Invoiced</v>
      </c>
      <c r="R2441" t="str">
        <f>IFERROR(VLOOKUP(T[[#This Row],[warehouse]],Table2[],2,FALSE),"--")</f>
        <v>--</v>
      </c>
    </row>
    <row r="2442" spans="1:18" x14ac:dyDescent="0.25">
      <c r="A2442" t="s">
        <v>235</v>
      </c>
      <c r="B2442" s="1">
        <v>44586</v>
      </c>
      <c r="C2442" t="s">
        <v>1715</v>
      </c>
      <c r="D2442" t="s">
        <v>88</v>
      </c>
      <c r="E2442" t="s">
        <v>51</v>
      </c>
      <c r="F2442" t="s">
        <v>546</v>
      </c>
      <c r="G2442" t="s">
        <v>1717</v>
      </c>
      <c r="H2442" t="s">
        <v>54</v>
      </c>
      <c r="I2442">
        <v>40000</v>
      </c>
      <c r="J2442">
        <v>0</v>
      </c>
      <c r="K2442">
        <v>1</v>
      </c>
      <c r="L2442" t="s">
        <v>693</v>
      </c>
      <c r="M2442" t="s">
        <v>2836</v>
      </c>
      <c r="N2442">
        <v>15</v>
      </c>
      <c r="O2442">
        <v>0</v>
      </c>
      <c r="P2442" t="str">
        <f>IF(T[[#This Row],[qty_ordered]]&lt;&gt;T[[#This Row],[qty_received]],IF(T[[#This Row],[qty_received]]&gt;0,"Partial Received","Not Receviced"),"FullyReceived")</f>
        <v>Not Receviced</v>
      </c>
      <c r="Q2442" t="str">
        <f>IF(T[[#This Row],[qty_received]]&lt;&gt;T[[#This Row],[qty_invoiced]],IF(T[[#This Row],[qty_invoiced]]&gt;0,"Partial Invoiced","Not Invoiced"),"Fully Invoiced")</f>
        <v>Partial Invoiced</v>
      </c>
      <c r="R2442" t="str">
        <f>IFERROR(VLOOKUP(T[[#This Row],[warehouse]],Table2[],2,FALSE),"--")</f>
        <v>--</v>
      </c>
    </row>
    <row r="2443" spans="1:18" x14ac:dyDescent="0.25">
      <c r="A2443" t="s">
        <v>560</v>
      </c>
      <c r="B2443" s="1">
        <v>44572</v>
      </c>
      <c r="C2443" t="s">
        <v>1651</v>
      </c>
      <c r="D2443" t="s">
        <v>323</v>
      </c>
      <c r="E2443" t="s">
        <v>51</v>
      </c>
      <c r="F2443" t="s">
        <v>164</v>
      </c>
      <c r="G2443" t="s">
        <v>1718</v>
      </c>
      <c r="H2443" t="s">
        <v>54</v>
      </c>
      <c r="I2443">
        <v>26.38</v>
      </c>
      <c r="J2443">
        <v>0</v>
      </c>
      <c r="K2443">
        <v>1</v>
      </c>
      <c r="L2443" t="s">
        <v>693</v>
      </c>
      <c r="M2443" t="s">
        <v>2836</v>
      </c>
      <c r="N2443">
        <v>5250</v>
      </c>
      <c r="O2443">
        <v>0</v>
      </c>
      <c r="P2443" t="str">
        <f>IF(T[[#This Row],[qty_ordered]]&lt;&gt;T[[#This Row],[qty_received]],IF(T[[#This Row],[qty_received]]&gt;0,"Partial Received","Not Receviced"),"FullyReceived")</f>
        <v>Not Receviced</v>
      </c>
      <c r="Q2443" t="str">
        <f>IF(T[[#This Row],[qty_received]]&lt;&gt;T[[#This Row],[qty_invoiced]],IF(T[[#This Row],[qty_invoiced]]&gt;0,"Partial Invoiced","Not Invoiced"),"Fully Invoiced")</f>
        <v>Partial Invoiced</v>
      </c>
      <c r="R2443" t="str">
        <f>IFERROR(VLOOKUP(T[[#This Row],[warehouse]],Table2[],2,FALSE),"--")</f>
        <v>--</v>
      </c>
    </row>
    <row r="2444" spans="1:18" x14ac:dyDescent="0.25">
      <c r="A2444" t="s">
        <v>462</v>
      </c>
      <c r="B2444" s="1">
        <v>44676</v>
      </c>
      <c r="C2444" t="s">
        <v>1706</v>
      </c>
      <c r="D2444" t="s">
        <v>452</v>
      </c>
      <c r="E2444" t="s">
        <v>51</v>
      </c>
      <c r="F2444" t="s">
        <v>278</v>
      </c>
      <c r="G2444" t="s">
        <v>1719</v>
      </c>
      <c r="H2444" t="s">
        <v>54</v>
      </c>
      <c r="I2444">
        <v>17799</v>
      </c>
      <c r="J2444">
        <v>0</v>
      </c>
      <c r="K2444">
        <v>1</v>
      </c>
      <c r="L2444" t="s">
        <v>693</v>
      </c>
      <c r="M2444" t="s">
        <v>533</v>
      </c>
      <c r="N2444">
        <v>45.707904999999997</v>
      </c>
      <c r="O2444">
        <v>0</v>
      </c>
      <c r="P2444" t="str">
        <f>IF(T[[#This Row],[qty_ordered]]&lt;&gt;T[[#This Row],[qty_received]],IF(T[[#This Row],[qty_received]]&gt;0,"Partial Received","Not Receviced"),"FullyReceived")</f>
        <v>Not Receviced</v>
      </c>
      <c r="Q2444" t="str">
        <f>IF(T[[#This Row],[qty_received]]&lt;&gt;T[[#This Row],[qty_invoiced]],IF(T[[#This Row],[qty_invoiced]]&gt;0,"Partial Invoiced","Not Invoiced"),"Fully Invoiced")</f>
        <v>Partial Invoiced</v>
      </c>
      <c r="R2444" t="str">
        <f>IFERROR(VLOOKUP(T[[#This Row],[warehouse]],Table2[],2,FALSE),"--")</f>
        <v>--</v>
      </c>
    </row>
    <row r="2445" spans="1:18" x14ac:dyDescent="0.25">
      <c r="A2445" t="s">
        <v>462</v>
      </c>
      <c r="B2445" s="1">
        <v>44676</v>
      </c>
      <c r="C2445" t="s">
        <v>1706</v>
      </c>
      <c r="D2445" t="s">
        <v>614</v>
      </c>
      <c r="E2445" t="s">
        <v>51</v>
      </c>
      <c r="F2445" t="s">
        <v>254</v>
      </c>
      <c r="G2445" t="s">
        <v>1720</v>
      </c>
      <c r="H2445" t="s">
        <v>54</v>
      </c>
      <c r="I2445">
        <v>14650</v>
      </c>
      <c r="J2445">
        <v>0</v>
      </c>
      <c r="K2445">
        <v>1</v>
      </c>
      <c r="L2445" t="s">
        <v>693</v>
      </c>
      <c r="M2445" t="s">
        <v>533</v>
      </c>
      <c r="N2445">
        <v>40</v>
      </c>
      <c r="O2445">
        <v>0</v>
      </c>
      <c r="P2445" t="str">
        <f>IF(T[[#This Row],[qty_ordered]]&lt;&gt;T[[#This Row],[qty_received]],IF(T[[#This Row],[qty_received]]&gt;0,"Partial Received","Not Receviced"),"FullyReceived")</f>
        <v>Not Receviced</v>
      </c>
      <c r="Q2445" t="str">
        <f>IF(T[[#This Row],[qty_received]]&lt;&gt;T[[#This Row],[qty_invoiced]],IF(T[[#This Row],[qty_invoiced]]&gt;0,"Partial Invoiced","Not Invoiced"),"Fully Invoiced")</f>
        <v>Partial Invoiced</v>
      </c>
      <c r="R2445" t="str">
        <f>IFERROR(VLOOKUP(T[[#This Row],[warehouse]],Table2[],2,FALSE),"--")</f>
        <v>--</v>
      </c>
    </row>
    <row r="2446" spans="1:18" x14ac:dyDescent="0.25">
      <c r="A2446" t="s">
        <v>462</v>
      </c>
      <c r="B2446" s="1">
        <v>44676</v>
      </c>
      <c r="C2446" t="s">
        <v>1706</v>
      </c>
      <c r="D2446" t="s">
        <v>615</v>
      </c>
      <c r="E2446" t="s">
        <v>51</v>
      </c>
      <c r="F2446" t="s">
        <v>433</v>
      </c>
      <c r="G2446" t="s">
        <v>1721</v>
      </c>
      <c r="H2446" t="s">
        <v>54</v>
      </c>
      <c r="I2446">
        <v>13052</v>
      </c>
      <c r="J2446">
        <v>0</v>
      </c>
      <c r="K2446">
        <v>1</v>
      </c>
      <c r="L2446" t="s">
        <v>693</v>
      </c>
      <c r="M2446" t="s">
        <v>533</v>
      </c>
      <c r="N2446">
        <v>15</v>
      </c>
      <c r="O2446">
        <v>0</v>
      </c>
      <c r="P2446" t="str">
        <f>IF(T[[#This Row],[qty_ordered]]&lt;&gt;T[[#This Row],[qty_received]],IF(T[[#This Row],[qty_received]]&gt;0,"Partial Received","Not Receviced"),"FullyReceived")</f>
        <v>Not Receviced</v>
      </c>
      <c r="Q2446" t="str">
        <f>IF(T[[#This Row],[qty_received]]&lt;&gt;T[[#This Row],[qty_invoiced]],IF(T[[#This Row],[qty_invoiced]]&gt;0,"Partial Invoiced","Not Invoiced"),"Fully Invoiced")</f>
        <v>Partial Invoiced</v>
      </c>
      <c r="R2446" t="str">
        <f>IFERROR(VLOOKUP(T[[#This Row],[warehouse]],Table2[],2,FALSE),"--")</f>
        <v>--</v>
      </c>
    </row>
    <row r="2447" spans="1:18" x14ac:dyDescent="0.25">
      <c r="A2447" t="s">
        <v>462</v>
      </c>
      <c r="B2447" s="1">
        <v>44676</v>
      </c>
      <c r="C2447" t="s">
        <v>1706</v>
      </c>
      <c r="D2447" t="s">
        <v>752</v>
      </c>
      <c r="E2447" t="s">
        <v>51</v>
      </c>
      <c r="F2447" t="s">
        <v>793</v>
      </c>
      <c r="G2447" t="s">
        <v>1722</v>
      </c>
      <c r="H2447" t="s">
        <v>54</v>
      </c>
      <c r="I2447">
        <v>6</v>
      </c>
      <c r="J2447">
        <v>0</v>
      </c>
      <c r="K2447">
        <v>1</v>
      </c>
      <c r="L2447" t="s">
        <v>693</v>
      </c>
      <c r="M2447" t="s">
        <v>533</v>
      </c>
      <c r="N2447">
        <v>3666.6660000000002</v>
      </c>
      <c r="O2447">
        <v>0</v>
      </c>
      <c r="P2447" t="str">
        <f>IF(T[[#This Row],[qty_ordered]]&lt;&gt;T[[#This Row],[qty_received]],IF(T[[#This Row],[qty_received]]&gt;0,"Partial Received","Not Receviced"),"FullyReceived")</f>
        <v>Not Receviced</v>
      </c>
      <c r="Q2447" t="str">
        <f>IF(T[[#This Row],[qty_received]]&lt;&gt;T[[#This Row],[qty_invoiced]],IF(T[[#This Row],[qty_invoiced]]&gt;0,"Partial Invoiced","Not Invoiced"),"Fully Invoiced")</f>
        <v>Partial Invoiced</v>
      </c>
      <c r="R2447" t="str">
        <f>IFERROR(VLOOKUP(T[[#This Row],[warehouse]],Table2[],2,FALSE),"--")</f>
        <v>--</v>
      </c>
    </row>
    <row r="2448" spans="1:18" x14ac:dyDescent="0.25">
      <c r="A2448" t="s">
        <v>1723</v>
      </c>
      <c r="B2448" s="1">
        <v>44725</v>
      </c>
      <c r="C2448" t="s">
        <v>1724</v>
      </c>
      <c r="D2448" t="s">
        <v>20</v>
      </c>
      <c r="E2448" t="s">
        <v>51</v>
      </c>
      <c r="F2448" t="s">
        <v>183</v>
      </c>
      <c r="G2448" t="s">
        <v>1725</v>
      </c>
      <c r="H2448" t="s">
        <v>54</v>
      </c>
      <c r="I2448">
        <v>100</v>
      </c>
      <c r="J2448">
        <v>0</v>
      </c>
      <c r="K2448">
        <v>1</v>
      </c>
      <c r="L2448" t="s">
        <v>693</v>
      </c>
      <c r="M2448" t="s">
        <v>533</v>
      </c>
      <c r="N2448">
        <v>8000</v>
      </c>
      <c r="O2448">
        <v>0</v>
      </c>
      <c r="P2448" t="str">
        <f>IF(T[[#This Row],[qty_ordered]]&lt;&gt;T[[#This Row],[qty_received]],IF(T[[#This Row],[qty_received]]&gt;0,"Partial Received","Not Receviced"),"FullyReceived")</f>
        <v>Not Receviced</v>
      </c>
      <c r="Q2448" t="str">
        <f>IF(T[[#This Row],[qty_received]]&lt;&gt;T[[#This Row],[qty_invoiced]],IF(T[[#This Row],[qty_invoiced]]&gt;0,"Partial Invoiced","Not Invoiced"),"Fully Invoiced")</f>
        <v>Partial Invoiced</v>
      </c>
      <c r="R2448" t="str">
        <f>IFERROR(VLOOKUP(T[[#This Row],[warehouse]],Table2[],2,FALSE),"--")</f>
        <v>--</v>
      </c>
    </row>
    <row r="2449" spans="1:18" x14ac:dyDescent="0.25">
      <c r="A2449" t="s">
        <v>1226</v>
      </c>
      <c r="B2449" s="1">
        <v>44726</v>
      </c>
      <c r="C2449" t="s">
        <v>1726</v>
      </c>
      <c r="D2449" t="s">
        <v>20</v>
      </c>
      <c r="E2449" t="s">
        <v>51</v>
      </c>
      <c r="F2449" t="s">
        <v>52</v>
      </c>
      <c r="G2449" t="s">
        <v>53</v>
      </c>
      <c r="H2449" t="s">
        <v>54</v>
      </c>
      <c r="I2449">
        <v>20</v>
      </c>
      <c r="J2449">
        <v>0</v>
      </c>
      <c r="K2449">
        <v>1</v>
      </c>
      <c r="L2449" t="s">
        <v>693</v>
      </c>
      <c r="M2449" t="s">
        <v>707</v>
      </c>
      <c r="N2449">
        <v>15000</v>
      </c>
      <c r="O2449">
        <v>0</v>
      </c>
      <c r="P2449" t="str">
        <f>IF(T[[#This Row],[qty_ordered]]&lt;&gt;T[[#This Row],[qty_received]],IF(T[[#This Row],[qty_received]]&gt;0,"Partial Received","Not Receviced"),"FullyReceived")</f>
        <v>Not Receviced</v>
      </c>
      <c r="Q2449" t="str">
        <f>IF(T[[#This Row],[qty_received]]&lt;&gt;T[[#This Row],[qty_invoiced]],IF(T[[#This Row],[qty_invoiced]]&gt;0,"Partial Invoiced","Not Invoiced"),"Fully Invoiced")</f>
        <v>Partial Invoiced</v>
      </c>
      <c r="R2449" t="str">
        <f>IFERROR(VLOOKUP(T[[#This Row],[warehouse]],Table2[],2,FALSE),"--")</f>
        <v>--</v>
      </c>
    </row>
    <row r="2450" spans="1:18" x14ac:dyDescent="0.25">
      <c r="A2450" t="s">
        <v>1685</v>
      </c>
      <c r="B2450" s="1">
        <v>44731</v>
      </c>
      <c r="C2450" t="s">
        <v>1727</v>
      </c>
      <c r="D2450" t="s">
        <v>20</v>
      </c>
      <c r="E2450" t="s">
        <v>51</v>
      </c>
      <c r="F2450" t="s">
        <v>52</v>
      </c>
      <c r="G2450" t="s">
        <v>53</v>
      </c>
      <c r="H2450" t="s">
        <v>54</v>
      </c>
      <c r="I2450">
        <v>245.3</v>
      </c>
      <c r="J2450">
        <v>0</v>
      </c>
      <c r="K2450">
        <v>1</v>
      </c>
      <c r="L2450" t="s">
        <v>693</v>
      </c>
      <c r="M2450" t="s">
        <v>707</v>
      </c>
      <c r="N2450">
        <v>1146.5360000000001</v>
      </c>
      <c r="O2450">
        <v>0</v>
      </c>
      <c r="P2450" t="str">
        <f>IF(T[[#This Row],[qty_ordered]]&lt;&gt;T[[#This Row],[qty_received]],IF(T[[#This Row],[qty_received]]&gt;0,"Partial Received","Not Receviced"),"FullyReceived")</f>
        <v>Not Receviced</v>
      </c>
      <c r="Q2450" t="str">
        <f>IF(T[[#This Row],[qty_received]]&lt;&gt;T[[#This Row],[qty_invoiced]],IF(T[[#This Row],[qty_invoiced]]&gt;0,"Partial Invoiced","Not Invoiced"),"Fully Invoiced")</f>
        <v>Partial Invoiced</v>
      </c>
      <c r="R2450" t="str">
        <f>IFERROR(VLOOKUP(T[[#This Row],[warehouse]],Table2[],2,FALSE),"--")</f>
        <v>--</v>
      </c>
    </row>
    <row r="2451" spans="1:18" x14ac:dyDescent="0.25">
      <c r="A2451" t="s">
        <v>1728</v>
      </c>
      <c r="B2451" s="1">
        <v>44734</v>
      </c>
      <c r="C2451" t="s">
        <v>1729</v>
      </c>
      <c r="D2451" t="s">
        <v>20</v>
      </c>
      <c r="E2451" t="s">
        <v>1730</v>
      </c>
      <c r="F2451" t="s">
        <v>406</v>
      </c>
      <c r="G2451" t="s">
        <v>407</v>
      </c>
      <c r="H2451" t="s">
        <v>24</v>
      </c>
      <c r="I2451">
        <v>200</v>
      </c>
      <c r="J2451">
        <v>142.80000000000001</v>
      </c>
      <c r="K2451">
        <v>142.80000000000001</v>
      </c>
      <c r="L2451" t="s">
        <v>693</v>
      </c>
      <c r="M2451" t="s">
        <v>1485</v>
      </c>
      <c r="N2451">
        <v>314285</v>
      </c>
      <c r="O2451">
        <v>44879898</v>
      </c>
      <c r="P2451" t="str">
        <f>IF(T[[#This Row],[qty_ordered]]&lt;&gt;T[[#This Row],[qty_received]],IF(T[[#This Row],[qty_received]]&gt;0,"Partial Received","Not Receviced"),"FullyReceived")</f>
        <v>Partial Received</v>
      </c>
      <c r="Q2451" t="str">
        <f>IF(T[[#This Row],[qty_received]]&lt;&gt;T[[#This Row],[qty_invoiced]],IF(T[[#This Row],[qty_invoiced]]&gt;0,"Partial Invoiced","Not Invoiced"),"Fully Invoiced")</f>
        <v>Fully Invoiced</v>
      </c>
      <c r="R2451" t="str">
        <f>IFERROR(VLOOKUP(T[[#This Row],[warehouse]],Table2[],2,FALSE),"--")</f>
        <v>MSG GINNING MDANI</v>
      </c>
    </row>
    <row r="2452" spans="1:18" x14ac:dyDescent="0.25">
      <c r="A2452" t="s">
        <v>242</v>
      </c>
      <c r="B2452" s="1">
        <v>44241</v>
      </c>
      <c r="C2452" t="s">
        <v>1224</v>
      </c>
      <c r="D2452" t="s">
        <v>88</v>
      </c>
      <c r="E2452" t="s">
        <v>405</v>
      </c>
      <c r="F2452" t="s">
        <v>244</v>
      </c>
      <c r="G2452" t="s">
        <v>245</v>
      </c>
      <c r="H2452" t="s">
        <v>24</v>
      </c>
      <c r="I2452">
        <v>104.44</v>
      </c>
      <c r="J2452">
        <v>104.44</v>
      </c>
      <c r="K2452">
        <v>104.44</v>
      </c>
      <c r="L2452" t="s">
        <v>25</v>
      </c>
      <c r="M2452" t="s">
        <v>707</v>
      </c>
      <c r="N2452">
        <v>590000</v>
      </c>
      <c r="O2452">
        <v>61619600</v>
      </c>
      <c r="P2452" t="str">
        <f>IF(T[[#This Row],[qty_ordered]]&lt;&gt;T[[#This Row],[qty_received]],IF(T[[#This Row],[qty_received]]&gt;0,"Partial Received","Not Receviced"),"FullyReceived")</f>
        <v>FullyReceived</v>
      </c>
      <c r="Q2452" t="str">
        <f>IF(T[[#This Row],[qty_received]]&lt;&gt;T[[#This Row],[qty_invoiced]],IF(T[[#This Row],[qty_invoiced]]&gt;0,"Partial Invoiced","Not Invoiced"),"Fully Invoiced")</f>
        <v>Fully Invoiced</v>
      </c>
      <c r="R2452" t="str">
        <f>IFERROR(VLOOKUP(T[[#This Row],[warehouse]],Table2[],2,FALSE),"--")</f>
        <v>GINNING ISHRAG-MDNI</v>
      </c>
    </row>
    <row r="2453" spans="1:18" x14ac:dyDescent="0.25">
      <c r="A2453" t="s">
        <v>84</v>
      </c>
      <c r="B2453" s="1">
        <v>44201</v>
      </c>
      <c r="C2453" t="s">
        <v>1251</v>
      </c>
      <c r="D2453" t="s">
        <v>88</v>
      </c>
      <c r="E2453" t="s">
        <v>192</v>
      </c>
      <c r="F2453" t="s">
        <v>108</v>
      </c>
      <c r="G2453" t="s">
        <v>109</v>
      </c>
      <c r="H2453" t="s">
        <v>24</v>
      </c>
      <c r="I2453">
        <v>20</v>
      </c>
      <c r="J2453">
        <v>10.59</v>
      </c>
      <c r="K2453">
        <v>10.593</v>
      </c>
      <c r="L2453" t="s">
        <v>25</v>
      </c>
      <c r="M2453" t="s">
        <v>707</v>
      </c>
      <c r="N2453">
        <v>400000</v>
      </c>
      <c r="O2453">
        <v>4236000</v>
      </c>
      <c r="P2453" t="str">
        <f>IF(T[[#This Row],[qty_ordered]]&lt;&gt;T[[#This Row],[qty_received]],IF(T[[#This Row],[qty_received]]&gt;0,"Partial Received","Not Receviced"),"FullyReceived")</f>
        <v>Partial Received</v>
      </c>
      <c r="Q2453" t="str">
        <f>IF(T[[#This Row],[qty_received]]&lt;&gt;T[[#This Row],[qty_invoiced]],IF(T[[#This Row],[qty_invoiced]]&gt;0,"Partial Invoiced","Not Invoiced"),"Fully Invoiced")</f>
        <v>Partial Invoiced</v>
      </c>
      <c r="R2453" t="str">
        <f>IFERROR(VLOOKUP(T[[#This Row],[warehouse]],Table2[],2,FALSE),"--")</f>
        <v>BAYADER SIFTER-OMD</v>
      </c>
    </row>
    <row r="2454" spans="1:18" x14ac:dyDescent="0.25">
      <c r="A2454" t="s">
        <v>658</v>
      </c>
      <c r="B2454" s="1">
        <v>44243</v>
      </c>
      <c r="C2454" t="s">
        <v>1243</v>
      </c>
      <c r="D2454" t="s">
        <v>100</v>
      </c>
      <c r="E2454" t="s">
        <v>660</v>
      </c>
      <c r="F2454" t="s">
        <v>661</v>
      </c>
      <c r="G2454" t="s">
        <v>662</v>
      </c>
      <c r="H2454" t="s">
        <v>663</v>
      </c>
      <c r="I2454">
        <v>2016</v>
      </c>
      <c r="J2454">
        <v>2016</v>
      </c>
      <c r="K2454">
        <v>2016</v>
      </c>
      <c r="L2454" t="s">
        <v>25</v>
      </c>
      <c r="M2454" t="s">
        <v>707</v>
      </c>
      <c r="N2454">
        <v>1100.826</v>
      </c>
      <c r="O2454">
        <v>1512000</v>
      </c>
      <c r="P2454" t="str">
        <f>IF(T[[#This Row],[qty_ordered]]&lt;&gt;T[[#This Row],[qty_received]],IF(T[[#This Row],[qty_received]]&gt;0,"Partial Received","Not Receviced"),"FullyReceived")</f>
        <v>FullyReceived</v>
      </c>
      <c r="Q2454" t="str">
        <f>IF(T[[#This Row],[qty_received]]&lt;&gt;T[[#This Row],[qty_invoiced]],IF(T[[#This Row],[qty_invoiced]]&gt;0,"Partial Invoiced","Not Invoiced"),"Fully Invoiced")</f>
        <v>Fully Invoiced</v>
      </c>
      <c r="R2454" t="str">
        <f>IFERROR(VLOOKUP(T[[#This Row],[warehouse]],Table2[],2,FALSE),"--")</f>
        <v>SLAUGHTER HOUSE</v>
      </c>
    </row>
    <row r="2455" spans="1:18" x14ac:dyDescent="0.25">
      <c r="A2455" t="s">
        <v>144</v>
      </c>
      <c r="B2455" s="1">
        <v>44257</v>
      </c>
      <c r="C2455" t="s">
        <v>1284</v>
      </c>
      <c r="D2455" t="s">
        <v>20</v>
      </c>
      <c r="E2455" t="s">
        <v>146</v>
      </c>
      <c r="F2455" t="s">
        <v>147</v>
      </c>
      <c r="G2455" t="s">
        <v>148</v>
      </c>
      <c r="H2455" t="s">
        <v>149</v>
      </c>
      <c r="I2455">
        <v>120000</v>
      </c>
      <c r="J2455">
        <v>120000</v>
      </c>
      <c r="K2455">
        <v>120000</v>
      </c>
      <c r="L2455" t="s">
        <v>25</v>
      </c>
      <c r="M2455" t="s">
        <v>744</v>
      </c>
      <c r="N2455">
        <v>25657.9895</v>
      </c>
      <c r="O2455">
        <v>3703299</v>
      </c>
      <c r="P2455" t="str">
        <f>IF(T[[#This Row],[qty_ordered]]&lt;&gt;T[[#This Row],[qty_received]],IF(T[[#This Row],[qty_received]]&gt;0,"Partial Received","Not Receviced"),"FullyReceived")</f>
        <v>FullyReceived</v>
      </c>
      <c r="Q2455" t="str">
        <f>IF(T[[#This Row],[qty_received]]&lt;&gt;T[[#This Row],[qty_invoiced]],IF(T[[#This Row],[qty_invoiced]]&gt;0,"Partial Invoiced","Not Invoiced"),"Fully Invoiced")</f>
        <v>Fully Invoiced</v>
      </c>
      <c r="R2455" t="str">
        <f>IFERROR(VLOOKUP(T[[#This Row],[warehouse]],Table2[],2,FALSE),"--")</f>
        <v>Khtoum Main Warehouse</v>
      </c>
    </row>
    <row r="2456" spans="1:18" x14ac:dyDescent="0.25">
      <c r="A2456" t="s">
        <v>144</v>
      </c>
      <c r="B2456" s="1">
        <v>44257</v>
      </c>
      <c r="C2456" t="s">
        <v>1284</v>
      </c>
      <c r="D2456" t="s">
        <v>71</v>
      </c>
      <c r="E2456" t="s">
        <v>146</v>
      </c>
      <c r="F2456" t="s">
        <v>151</v>
      </c>
      <c r="G2456" t="s">
        <v>152</v>
      </c>
      <c r="H2456" t="s">
        <v>149</v>
      </c>
      <c r="I2456">
        <v>144000</v>
      </c>
      <c r="J2456">
        <v>143000</v>
      </c>
      <c r="K2456">
        <v>137000</v>
      </c>
      <c r="L2456" t="s">
        <v>25</v>
      </c>
      <c r="M2456" t="s">
        <v>744</v>
      </c>
      <c r="N2456">
        <v>36.829650000000001</v>
      </c>
      <c r="O2456">
        <v>4488762.9000000004</v>
      </c>
      <c r="P2456" t="str">
        <f>IF(T[[#This Row],[qty_ordered]]&lt;&gt;T[[#This Row],[qty_received]],IF(T[[#This Row],[qty_received]]&gt;0,"Partial Received","Not Receviced"),"FullyReceived")</f>
        <v>Partial Received</v>
      </c>
      <c r="Q2456" t="str">
        <f>IF(T[[#This Row],[qty_received]]&lt;&gt;T[[#This Row],[qty_invoiced]],IF(T[[#This Row],[qty_invoiced]]&gt;0,"Partial Invoiced","Not Invoiced"),"Fully Invoiced")</f>
        <v>Partial Invoiced</v>
      </c>
      <c r="R2456" t="str">
        <f>IFERROR(VLOOKUP(T[[#This Row],[warehouse]],Table2[],2,FALSE),"--")</f>
        <v>Khtoum Main Warehouse</v>
      </c>
    </row>
    <row r="2457" spans="1:18" x14ac:dyDescent="0.25">
      <c r="A2457" t="s">
        <v>242</v>
      </c>
      <c r="B2457" s="1">
        <v>44241</v>
      </c>
      <c r="C2457" t="s">
        <v>1224</v>
      </c>
      <c r="D2457" t="s">
        <v>74</v>
      </c>
      <c r="E2457" t="s">
        <v>405</v>
      </c>
      <c r="F2457" t="s">
        <v>244</v>
      </c>
      <c r="G2457" t="s">
        <v>245</v>
      </c>
      <c r="H2457" t="s">
        <v>24</v>
      </c>
      <c r="I2457">
        <v>106.34</v>
      </c>
      <c r="J2457">
        <v>106.34</v>
      </c>
      <c r="K2457">
        <v>106.34</v>
      </c>
      <c r="L2457" t="s">
        <v>25</v>
      </c>
      <c r="M2457" t="s">
        <v>707</v>
      </c>
      <c r="N2457">
        <v>590000</v>
      </c>
      <c r="O2457">
        <v>62740600</v>
      </c>
      <c r="P2457" t="str">
        <f>IF(T[[#This Row],[qty_ordered]]&lt;&gt;T[[#This Row],[qty_received]],IF(T[[#This Row],[qty_received]]&gt;0,"Partial Received","Not Receviced"),"FullyReceived")</f>
        <v>FullyReceived</v>
      </c>
      <c r="Q2457" t="str">
        <f>IF(T[[#This Row],[qty_received]]&lt;&gt;T[[#This Row],[qty_invoiced]],IF(T[[#This Row],[qty_invoiced]]&gt;0,"Partial Invoiced","Not Invoiced"),"Fully Invoiced")</f>
        <v>Fully Invoiced</v>
      </c>
      <c r="R2457" t="str">
        <f>IFERROR(VLOOKUP(T[[#This Row],[warehouse]],Table2[],2,FALSE),"--")</f>
        <v>GINNING ISHRAG-MDNI</v>
      </c>
    </row>
    <row r="2458" spans="1:18" x14ac:dyDescent="0.25">
      <c r="A2458" t="s">
        <v>1025</v>
      </c>
      <c r="B2458" s="1">
        <v>44258</v>
      </c>
      <c r="C2458" t="s">
        <v>1731</v>
      </c>
      <c r="D2458" t="s">
        <v>20</v>
      </c>
      <c r="E2458" t="s">
        <v>146</v>
      </c>
      <c r="F2458" t="s">
        <v>415</v>
      </c>
      <c r="G2458" t="s">
        <v>416</v>
      </c>
      <c r="H2458" t="s">
        <v>417</v>
      </c>
      <c r="I2458">
        <v>2000</v>
      </c>
      <c r="J2458">
        <v>2000</v>
      </c>
      <c r="K2458">
        <v>2000</v>
      </c>
      <c r="L2458" t="s">
        <v>25</v>
      </c>
      <c r="M2458" t="s">
        <v>418</v>
      </c>
      <c r="N2458">
        <v>4150</v>
      </c>
      <c r="O2458">
        <v>8300000</v>
      </c>
      <c r="P2458" t="str">
        <f>IF(T[[#This Row],[qty_ordered]]&lt;&gt;T[[#This Row],[qty_received]],IF(T[[#This Row],[qty_received]]&gt;0,"Partial Received","Not Receviced"),"FullyReceived")</f>
        <v>FullyReceived</v>
      </c>
      <c r="Q2458" t="str">
        <f>IF(T[[#This Row],[qty_received]]&lt;&gt;T[[#This Row],[qty_invoiced]],IF(T[[#This Row],[qty_invoiced]]&gt;0,"Partial Invoiced","Not Invoiced"),"Fully Invoiced")</f>
        <v>Fully Invoiced</v>
      </c>
      <c r="R2458" t="str">
        <f>IFERROR(VLOOKUP(T[[#This Row],[warehouse]],Table2[],2,FALSE),"--")</f>
        <v>Khtoum Main Warehouse</v>
      </c>
    </row>
    <row r="2459" spans="1:18" x14ac:dyDescent="0.25">
      <c r="A2459" t="s">
        <v>973</v>
      </c>
      <c r="B2459" s="1">
        <v>44172</v>
      </c>
      <c r="C2459" t="s">
        <v>1412</v>
      </c>
      <c r="D2459" t="s">
        <v>71</v>
      </c>
      <c r="E2459" t="s">
        <v>281</v>
      </c>
      <c r="F2459" t="s">
        <v>526</v>
      </c>
      <c r="G2459" t="s">
        <v>472</v>
      </c>
      <c r="H2459" t="s">
        <v>123</v>
      </c>
      <c r="I2459">
        <v>3000</v>
      </c>
      <c r="J2459">
        <v>3000</v>
      </c>
      <c r="K2459">
        <v>3000</v>
      </c>
      <c r="L2459" t="s">
        <v>25</v>
      </c>
      <c r="M2459" t="s">
        <v>132</v>
      </c>
      <c r="N2459">
        <v>13500</v>
      </c>
      <c r="O2459">
        <v>40500000</v>
      </c>
      <c r="P2459" t="str">
        <f>IF(T[[#This Row],[qty_ordered]]&lt;&gt;T[[#This Row],[qty_received]],IF(T[[#This Row],[qty_received]]&gt;0,"Partial Received","Not Receviced"),"FullyReceived")</f>
        <v>FullyReceived</v>
      </c>
      <c r="Q2459" t="str">
        <f>IF(T[[#This Row],[qty_received]]&lt;&gt;T[[#This Row],[qty_invoiced]],IF(T[[#This Row],[qty_invoiced]]&gt;0,"Partial Invoiced","Not Invoiced"),"Fully Invoiced")</f>
        <v>Fully Invoiced</v>
      </c>
      <c r="R2459" t="str">
        <f>IFERROR(VLOOKUP(T[[#This Row],[warehouse]],Table2[],2,FALSE),"--")</f>
        <v>Crusher Alm Eldin-KH</v>
      </c>
    </row>
    <row r="2460" spans="1:18" x14ac:dyDescent="0.25">
      <c r="A2460" t="s">
        <v>959</v>
      </c>
      <c r="B2460" s="1">
        <v>44259</v>
      </c>
      <c r="C2460" t="s">
        <v>1732</v>
      </c>
      <c r="D2460" t="s">
        <v>20</v>
      </c>
      <c r="E2460" t="s">
        <v>214</v>
      </c>
      <c r="F2460" t="s">
        <v>167</v>
      </c>
      <c r="G2460" t="s">
        <v>156</v>
      </c>
      <c r="H2460" t="s">
        <v>24</v>
      </c>
      <c r="I2460">
        <v>728</v>
      </c>
      <c r="J2460">
        <v>726.86</v>
      </c>
      <c r="K2460">
        <v>726.86</v>
      </c>
      <c r="L2460" t="s">
        <v>25</v>
      </c>
      <c r="M2460" t="s">
        <v>707</v>
      </c>
      <c r="N2460">
        <v>750000</v>
      </c>
      <c r="O2460">
        <v>545145000</v>
      </c>
      <c r="P2460" t="str">
        <f>IF(T[[#This Row],[qty_ordered]]&lt;&gt;T[[#This Row],[qty_received]],IF(T[[#This Row],[qty_received]]&gt;0,"Partial Received","Not Receviced"),"FullyReceived")</f>
        <v>Partial Received</v>
      </c>
      <c r="Q2460" t="str">
        <f>IF(T[[#This Row],[qty_received]]&lt;&gt;T[[#This Row],[qty_invoiced]],IF(T[[#This Row],[qty_invoiced]]&gt;0,"Partial Invoiced","Not Invoiced"),"Fully Invoiced")</f>
        <v>Fully Invoiced</v>
      </c>
      <c r="R2460" t="str">
        <f>IFERROR(VLOOKUP(T[[#This Row],[warehouse]],Table2[],2,FALSE),"--")</f>
        <v>CRUSHER ELBALOLA</v>
      </c>
    </row>
    <row r="2461" spans="1:18" x14ac:dyDescent="0.25">
      <c r="A2461" t="s">
        <v>959</v>
      </c>
      <c r="B2461" s="1">
        <v>44172</v>
      </c>
      <c r="C2461" t="s">
        <v>1213</v>
      </c>
      <c r="D2461" t="s">
        <v>76</v>
      </c>
      <c r="E2461" t="s">
        <v>214</v>
      </c>
      <c r="F2461" t="s">
        <v>526</v>
      </c>
      <c r="G2461" t="s">
        <v>472</v>
      </c>
      <c r="H2461" t="s">
        <v>123</v>
      </c>
      <c r="I2461">
        <v>6000</v>
      </c>
      <c r="J2461">
        <v>6000</v>
      </c>
      <c r="K2461">
        <v>6000</v>
      </c>
      <c r="L2461" t="s">
        <v>25</v>
      </c>
      <c r="M2461" t="s">
        <v>132</v>
      </c>
      <c r="N2461">
        <v>21250</v>
      </c>
      <c r="O2461">
        <v>127500000</v>
      </c>
      <c r="P2461" t="str">
        <f>IF(T[[#This Row],[qty_ordered]]&lt;&gt;T[[#This Row],[qty_received]],IF(T[[#This Row],[qty_received]]&gt;0,"Partial Received","Not Receviced"),"FullyReceived")</f>
        <v>FullyReceived</v>
      </c>
      <c r="Q2461" t="str">
        <f>IF(T[[#This Row],[qty_received]]&lt;&gt;T[[#This Row],[qty_invoiced]],IF(T[[#This Row],[qty_invoiced]]&gt;0,"Partial Invoiced","Not Invoiced"),"Fully Invoiced")</f>
        <v>Fully Invoiced</v>
      </c>
      <c r="R2461" t="str">
        <f>IFERROR(VLOOKUP(T[[#This Row],[warehouse]],Table2[],2,FALSE),"--")</f>
        <v>CRUSHER ELBALOLA</v>
      </c>
    </row>
    <row r="2462" spans="1:18" x14ac:dyDescent="0.25">
      <c r="A2462" t="s">
        <v>955</v>
      </c>
      <c r="B2462" s="1">
        <v>44168</v>
      </c>
      <c r="C2462" t="s">
        <v>1017</v>
      </c>
      <c r="D2462" t="s">
        <v>74</v>
      </c>
      <c r="E2462" t="s">
        <v>28</v>
      </c>
      <c r="F2462" t="s">
        <v>287</v>
      </c>
      <c r="G2462" t="s">
        <v>288</v>
      </c>
      <c r="H2462" t="s">
        <v>24</v>
      </c>
      <c r="I2462">
        <v>278</v>
      </c>
      <c r="J2462">
        <v>0</v>
      </c>
      <c r="K2462">
        <v>0</v>
      </c>
      <c r="L2462" t="s">
        <v>25</v>
      </c>
      <c r="M2462" t="s">
        <v>132</v>
      </c>
      <c r="N2462">
        <v>359712.230216</v>
      </c>
      <c r="O2462">
        <v>0</v>
      </c>
      <c r="P2462" t="str">
        <f>IF(T[[#This Row],[qty_ordered]]&lt;&gt;T[[#This Row],[qty_received]],IF(T[[#This Row],[qty_received]]&gt;0,"Partial Received","Not Receviced"),"FullyReceived")</f>
        <v>Not Receviced</v>
      </c>
      <c r="Q2462" t="str">
        <f>IF(T[[#This Row],[qty_received]]&lt;&gt;T[[#This Row],[qty_invoiced]],IF(T[[#This Row],[qty_invoiced]]&gt;0,"Partial Invoiced","Not Invoiced"),"Fully Invoiced")</f>
        <v>Fully Invoiced</v>
      </c>
      <c r="R2462" t="str">
        <f>IFERROR(VLOOKUP(T[[#This Row],[warehouse]],Table2[],2,FALSE),"--")</f>
        <v>Crusher KHN -ASVOC</v>
      </c>
    </row>
    <row r="2463" spans="1:18" x14ac:dyDescent="0.25">
      <c r="A2463" t="s">
        <v>1146</v>
      </c>
      <c r="B2463" s="1">
        <v>44202</v>
      </c>
      <c r="C2463" t="s">
        <v>1147</v>
      </c>
      <c r="D2463" t="s">
        <v>88</v>
      </c>
      <c r="E2463" t="s">
        <v>629</v>
      </c>
      <c r="F2463" t="s">
        <v>287</v>
      </c>
      <c r="G2463" t="s">
        <v>288</v>
      </c>
      <c r="H2463" t="s">
        <v>24</v>
      </c>
      <c r="I2463">
        <v>806</v>
      </c>
      <c r="J2463">
        <v>0</v>
      </c>
      <c r="K2463">
        <v>0</v>
      </c>
      <c r="L2463" t="s">
        <v>25</v>
      </c>
      <c r="M2463" t="s">
        <v>132</v>
      </c>
      <c r="N2463">
        <v>359801.48883400002</v>
      </c>
      <c r="O2463">
        <v>0</v>
      </c>
      <c r="P2463" t="str">
        <f>IF(T[[#This Row],[qty_ordered]]&lt;&gt;T[[#This Row],[qty_received]],IF(T[[#This Row],[qty_received]]&gt;0,"Partial Received","Not Receviced"),"FullyReceived")</f>
        <v>Not Receviced</v>
      </c>
      <c r="Q2463" t="str">
        <f>IF(T[[#This Row],[qty_received]]&lt;&gt;T[[#This Row],[qty_invoiced]],IF(T[[#This Row],[qty_invoiced]]&gt;0,"Partial Invoiced","Not Invoiced"),"Fully Invoiced")</f>
        <v>Fully Invoiced</v>
      </c>
      <c r="R2463" t="str">
        <f>IFERROR(VLOOKUP(T[[#This Row],[warehouse]],Table2[],2,FALSE),"--")</f>
        <v>SOPC Sifting &amp; Sorting</v>
      </c>
    </row>
    <row r="2464" spans="1:18" x14ac:dyDescent="0.25">
      <c r="A2464" t="s">
        <v>1114</v>
      </c>
      <c r="B2464" s="1">
        <v>44522</v>
      </c>
      <c r="C2464" t="s">
        <v>1733</v>
      </c>
      <c r="D2464" t="s">
        <v>71</v>
      </c>
      <c r="E2464" t="s">
        <v>660</v>
      </c>
      <c r="F2464" t="s">
        <v>1116</v>
      </c>
      <c r="G2464" t="s">
        <v>1117</v>
      </c>
      <c r="H2464" t="s">
        <v>54</v>
      </c>
      <c r="I2464">
        <v>12333</v>
      </c>
      <c r="J2464">
        <v>12333</v>
      </c>
      <c r="K2464">
        <v>0</v>
      </c>
      <c r="L2464" t="s">
        <v>25</v>
      </c>
      <c r="M2464" t="s">
        <v>1485</v>
      </c>
      <c r="N2464">
        <v>0</v>
      </c>
      <c r="O2464">
        <v>0</v>
      </c>
      <c r="P2464" t="str">
        <f>IF(T[[#This Row],[qty_ordered]]&lt;&gt;T[[#This Row],[qty_received]],IF(T[[#This Row],[qty_received]]&gt;0,"Partial Received","Not Receviced"),"FullyReceived")</f>
        <v>FullyReceived</v>
      </c>
      <c r="Q2464" t="str">
        <f>IF(T[[#This Row],[qty_received]]&lt;&gt;T[[#This Row],[qty_invoiced]],IF(T[[#This Row],[qty_invoiced]]&gt;0,"Partial Invoiced","Not Invoiced"),"Fully Invoiced")</f>
        <v>Not Invoiced</v>
      </c>
      <c r="R2464" t="str">
        <f>IFERROR(VLOOKUP(T[[#This Row],[warehouse]],Table2[],2,FALSE),"--")</f>
        <v>SLAUGHTER HOUSE</v>
      </c>
    </row>
    <row r="2465" spans="1:18" x14ac:dyDescent="0.25">
      <c r="A2465" t="s">
        <v>423</v>
      </c>
      <c r="B2465" s="1">
        <v>44630</v>
      </c>
      <c r="C2465" t="s">
        <v>1734</v>
      </c>
      <c r="D2465" t="s">
        <v>71</v>
      </c>
      <c r="E2465" t="s">
        <v>146</v>
      </c>
      <c r="F2465" t="s">
        <v>943</v>
      </c>
      <c r="G2465" t="s">
        <v>944</v>
      </c>
      <c r="H2465" t="s">
        <v>149</v>
      </c>
      <c r="I2465">
        <v>50000</v>
      </c>
      <c r="J2465">
        <v>50000</v>
      </c>
      <c r="K2465">
        <v>50000</v>
      </c>
      <c r="L2465" t="s">
        <v>693</v>
      </c>
      <c r="M2465" t="s">
        <v>1404</v>
      </c>
      <c r="N2465">
        <v>300</v>
      </c>
      <c r="O2465">
        <v>12000000</v>
      </c>
      <c r="P2465" t="str">
        <f>IF(T[[#This Row],[qty_ordered]]&lt;&gt;T[[#This Row],[qty_received]],IF(T[[#This Row],[qty_received]]&gt;0,"Partial Received","Not Receviced"),"FullyReceived")</f>
        <v>FullyReceived</v>
      </c>
      <c r="Q2465" t="str">
        <f>IF(T[[#This Row],[qty_received]]&lt;&gt;T[[#This Row],[qty_invoiced]],IF(T[[#This Row],[qty_invoiced]]&gt;0,"Partial Invoiced","Not Invoiced"),"Fully Invoiced")</f>
        <v>Fully Invoiced</v>
      </c>
      <c r="R2465" t="str">
        <f>IFERROR(VLOOKUP(T[[#This Row],[warehouse]],Table2[],2,FALSE),"--")</f>
        <v>Khtoum Main Warehouse</v>
      </c>
    </row>
    <row r="2466" spans="1:18" x14ac:dyDescent="0.25">
      <c r="A2466" t="s">
        <v>1287</v>
      </c>
      <c r="B2466" s="1">
        <v>44734</v>
      </c>
      <c r="C2466" t="s">
        <v>1735</v>
      </c>
      <c r="D2466" t="s">
        <v>20</v>
      </c>
      <c r="E2466" t="s">
        <v>1730</v>
      </c>
      <c r="F2466" t="s">
        <v>406</v>
      </c>
      <c r="G2466" t="s">
        <v>407</v>
      </c>
      <c r="H2466" t="s">
        <v>24</v>
      </c>
      <c r="I2466">
        <v>200</v>
      </c>
      <c r="J2466">
        <v>62.17</v>
      </c>
      <c r="K2466">
        <v>0</v>
      </c>
      <c r="L2466" t="s">
        <v>693</v>
      </c>
      <c r="M2466" t="s">
        <v>1485</v>
      </c>
      <c r="N2466">
        <v>314285</v>
      </c>
      <c r="O2466">
        <v>19539098.449999999</v>
      </c>
      <c r="P2466" t="str">
        <f>IF(T[[#This Row],[qty_ordered]]&lt;&gt;T[[#This Row],[qty_received]],IF(T[[#This Row],[qty_received]]&gt;0,"Partial Received","Not Receviced"),"FullyReceived")</f>
        <v>Partial Received</v>
      </c>
      <c r="Q2466" t="str">
        <f>IF(T[[#This Row],[qty_received]]&lt;&gt;T[[#This Row],[qty_invoiced]],IF(T[[#This Row],[qty_invoiced]]&gt;0,"Partial Invoiced","Not Invoiced"),"Fully Invoiced")</f>
        <v>Not Invoiced</v>
      </c>
      <c r="R2466" t="str">
        <f>IFERROR(VLOOKUP(T[[#This Row],[warehouse]],Table2[],2,FALSE),"--")</f>
        <v>MSG GINNING MDANI</v>
      </c>
    </row>
    <row r="2467" spans="1:18" x14ac:dyDescent="0.25">
      <c r="A2467" t="s">
        <v>1044</v>
      </c>
      <c r="B2467" s="1">
        <v>44734</v>
      </c>
      <c r="C2467" t="s">
        <v>1736</v>
      </c>
      <c r="D2467" t="s">
        <v>20</v>
      </c>
      <c r="E2467" t="s">
        <v>1730</v>
      </c>
      <c r="F2467" t="s">
        <v>406</v>
      </c>
      <c r="G2467" t="s">
        <v>407</v>
      </c>
      <c r="H2467" t="s">
        <v>24</v>
      </c>
      <c r="I2467">
        <v>100</v>
      </c>
      <c r="J2467">
        <v>5.92</v>
      </c>
      <c r="K2467">
        <v>5.92</v>
      </c>
      <c r="L2467" t="s">
        <v>693</v>
      </c>
      <c r="M2467" t="s">
        <v>1485</v>
      </c>
      <c r="N2467">
        <v>314285</v>
      </c>
      <c r="O2467">
        <v>1860567.2</v>
      </c>
      <c r="P2467" t="str">
        <f>IF(T[[#This Row],[qty_ordered]]&lt;&gt;T[[#This Row],[qty_received]],IF(T[[#This Row],[qty_received]]&gt;0,"Partial Received","Not Receviced"),"FullyReceived")</f>
        <v>Partial Received</v>
      </c>
      <c r="Q2467" t="str">
        <f>IF(T[[#This Row],[qty_received]]&lt;&gt;T[[#This Row],[qty_invoiced]],IF(T[[#This Row],[qty_invoiced]]&gt;0,"Partial Invoiced","Not Invoiced"),"Fully Invoiced")</f>
        <v>Fully Invoiced</v>
      </c>
      <c r="R2467" t="str">
        <f>IFERROR(VLOOKUP(T[[#This Row],[warehouse]],Table2[],2,FALSE),"--")</f>
        <v>MSG GINNING MDANI</v>
      </c>
    </row>
    <row r="2468" spans="1:18" x14ac:dyDescent="0.25">
      <c r="A2468" t="s">
        <v>423</v>
      </c>
      <c r="B2468" s="1">
        <v>44599</v>
      </c>
      <c r="C2468" t="s">
        <v>1567</v>
      </c>
      <c r="D2468" t="s">
        <v>324</v>
      </c>
      <c r="E2468" t="s">
        <v>51</v>
      </c>
      <c r="F2468" t="s">
        <v>546</v>
      </c>
      <c r="G2468" t="s">
        <v>1737</v>
      </c>
      <c r="H2468" t="s">
        <v>54</v>
      </c>
      <c r="I2468">
        <v>2500</v>
      </c>
      <c r="J2468">
        <v>0</v>
      </c>
      <c r="K2468">
        <v>1</v>
      </c>
      <c r="L2468" t="s">
        <v>693</v>
      </c>
      <c r="M2468" t="s">
        <v>533</v>
      </c>
      <c r="N2468">
        <v>24</v>
      </c>
      <c r="O2468">
        <v>0</v>
      </c>
      <c r="P2468" t="str">
        <f>IF(T[[#This Row],[qty_ordered]]&lt;&gt;T[[#This Row],[qty_received]],IF(T[[#This Row],[qty_received]]&gt;0,"Partial Received","Not Receviced"),"FullyReceived")</f>
        <v>Not Receviced</v>
      </c>
      <c r="Q2468" t="str">
        <f>IF(T[[#This Row],[qty_received]]&lt;&gt;T[[#This Row],[qty_invoiced]],IF(T[[#This Row],[qty_invoiced]]&gt;0,"Partial Invoiced","Not Invoiced"),"Fully Invoiced")</f>
        <v>Partial Invoiced</v>
      </c>
      <c r="R2468" t="str">
        <f>IFERROR(VLOOKUP(T[[#This Row],[warehouse]],Table2[],2,FALSE),"--")</f>
        <v>--</v>
      </c>
    </row>
    <row r="2469" spans="1:18" x14ac:dyDescent="0.25">
      <c r="A2469" t="s">
        <v>423</v>
      </c>
      <c r="B2469" s="1">
        <v>44599</v>
      </c>
      <c r="C2469" t="s">
        <v>1567</v>
      </c>
      <c r="D2469" t="s">
        <v>325</v>
      </c>
      <c r="E2469" t="s">
        <v>51</v>
      </c>
      <c r="F2469" t="s">
        <v>546</v>
      </c>
      <c r="G2469" t="s">
        <v>1738</v>
      </c>
      <c r="H2469" t="s">
        <v>54</v>
      </c>
      <c r="I2469">
        <v>12000</v>
      </c>
      <c r="J2469">
        <v>0</v>
      </c>
      <c r="K2469">
        <v>1</v>
      </c>
      <c r="L2469" t="s">
        <v>693</v>
      </c>
      <c r="M2469" t="s">
        <v>533</v>
      </c>
      <c r="N2469">
        <v>24</v>
      </c>
      <c r="O2469">
        <v>0</v>
      </c>
      <c r="P2469" t="str">
        <f>IF(T[[#This Row],[qty_ordered]]&lt;&gt;T[[#This Row],[qty_received]],IF(T[[#This Row],[qty_received]]&gt;0,"Partial Received","Not Receviced"),"FullyReceived")</f>
        <v>Not Receviced</v>
      </c>
      <c r="Q2469" t="str">
        <f>IF(T[[#This Row],[qty_received]]&lt;&gt;T[[#This Row],[qty_invoiced]],IF(T[[#This Row],[qty_invoiced]]&gt;0,"Partial Invoiced","Not Invoiced"),"Fully Invoiced")</f>
        <v>Partial Invoiced</v>
      </c>
      <c r="R2469" t="str">
        <f>IFERROR(VLOOKUP(T[[#This Row],[warehouse]],Table2[],2,FALSE),"--")</f>
        <v>--</v>
      </c>
    </row>
    <row r="2470" spans="1:18" x14ac:dyDescent="0.25">
      <c r="A2470" t="s">
        <v>423</v>
      </c>
      <c r="B2470" s="1">
        <v>44546</v>
      </c>
      <c r="C2470" t="s">
        <v>1502</v>
      </c>
      <c r="D2470" t="s">
        <v>759</v>
      </c>
      <c r="E2470" t="s">
        <v>51</v>
      </c>
      <c r="F2470" t="s">
        <v>546</v>
      </c>
      <c r="G2470" t="s">
        <v>1739</v>
      </c>
      <c r="H2470" t="s">
        <v>54</v>
      </c>
      <c r="I2470">
        <v>10000</v>
      </c>
      <c r="J2470">
        <v>0</v>
      </c>
      <c r="K2470">
        <v>1</v>
      </c>
      <c r="L2470" t="s">
        <v>693</v>
      </c>
      <c r="M2470" t="s">
        <v>2836</v>
      </c>
      <c r="N2470">
        <v>16.5</v>
      </c>
      <c r="O2470">
        <v>0</v>
      </c>
      <c r="P2470" t="str">
        <f>IF(T[[#This Row],[qty_ordered]]&lt;&gt;T[[#This Row],[qty_received]],IF(T[[#This Row],[qty_received]]&gt;0,"Partial Received","Not Receviced"),"FullyReceived")</f>
        <v>Not Receviced</v>
      </c>
      <c r="Q2470" t="str">
        <f>IF(T[[#This Row],[qty_received]]&lt;&gt;T[[#This Row],[qty_invoiced]],IF(T[[#This Row],[qty_invoiced]]&gt;0,"Partial Invoiced","Not Invoiced"),"Fully Invoiced")</f>
        <v>Partial Invoiced</v>
      </c>
      <c r="R2470" t="str">
        <f>IFERROR(VLOOKUP(T[[#This Row],[warehouse]],Table2[],2,FALSE),"--")</f>
        <v>--</v>
      </c>
    </row>
    <row r="2471" spans="1:18" x14ac:dyDescent="0.25">
      <c r="A2471" t="s">
        <v>955</v>
      </c>
      <c r="B2471" s="1">
        <v>44586</v>
      </c>
      <c r="C2471" t="s">
        <v>1740</v>
      </c>
      <c r="D2471" t="s">
        <v>100</v>
      </c>
      <c r="E2471" t="s">
        <v>908</v>
      </c>
      <c r="F2471" t="s">
        <v>486</v>
      </c>
      <c r="G2471" t="s">
        <v>487</v>
      </c>
      <c r="H2471" t="s">
        <v>24</v>
      </c>
      <c r="I2471">
        <v>500</v>
      </c>
      <c r="J2471">
        <v>22.75</v>
      </c>
      <c r="K2471">
        <v>22.75</v>
      </c>
      <c r="L2471" t="s">
        <v>25</v>
      </c>
      <c r="M2471" t="s">
        <v>1485</v>
      </c>
      <c r="N2471">
        <v>667500</v>
      </c>
      <c r="O2471">
        <v>15185625</v>
      </c>
      <c r="P2471" t="str">
        <f>IF(T[[#This Row],[qty_ordered]]&lt;&gt;T[[#This Row],[qty_received]],IF(T[[#This Row],[qty_received]]&gt;0,"Partial Received","Not Receviced"),"FullyReceived")</f>
        <v>Partial Received</v>
      </c>
      <c r="Q2471" t="str">
        <f>IF(T[[#This Row],[qty_received]]&lt;&gt;T[[#This Row],[qty_invoiced]],IF(T[[#This Row],[qty_invoiced]]&gt;0,"Partial Invoiced","Not Invoiced"),"Fully Invoiced")</f>
        <v>Fully Invoiced</v>
      </c>
      <c r="R2471" t="str">
        <f>IFERROR(VLOOKUP(T[[#This Row],[warehouse]],Table2[],2,FALSE),"--")</f>
        <v>SIFTER- ALNAZER-OMDU</v>
      </c>
    </row>
    <row r="2472" spans="1:18" x14ac:dyDescent="0.25">
      <c r="A2472" t="s">
        <v>235</v>
      </c>
      <c r="B2472" s="1">
        <v>44586</v>
      </c>
      <c r="C2472" t="s">
        <v>1715</v>
      </c>
      <c r="D2472" t="s">
        <v>74</v>
      </c>
      <c r="E2472" t="s">
        <v>51</v>
      </c>
      <c r="F2472" t="s">
        <v>546</v>
      </c>
      <c r="G2472" t="s">
        <v>1741</v>
      </c>
      <c r="H2472" t="s">
        <v>54</v>
      </c>
      <c r="I2472">
        <v>10000</v>
      </c>
      <c r="J2472">
        <v>0</v>
      </c>
      <c r="K2472">
        <v>1</v>
      </c>
      <c r="L2472" t="s">
        <v>693</v>
      </c>
      <c r="M2472" t="s">
        <v>2836</v>
      </c>
      <c r="N2472">
        <v>17.600000000000001</v>
      </c>
      <c r="O2472">
        <v>0</v>
      </c>
      <c r="P2472" t="str">
        <f>IF(T[[#This Row],[qty_ordered]]&lt;&gt;T[[#This Row],[qty_received]],IF(T[[#This Row],[qty_received]]&gt;0,"Partial Received","Not Receviced"),"FullyReceived")</f>
        <v>Not Receviced</v>
      </c>
      <c r="Q2472" t="str">
        <f>IF(T[[#This Row],[qty_received]]&lt;&gt;T[[#This Row],[qty_invoiced]],IF(T[[#This Row],[qty_invoiced]]&gt;0,"Partial Invoiced","Not Invoiced"),"Fully Invoiced")</f>
        <v>Partial Invoiced</v>
      </c>
      <c r="R2472" t="str">
        <f>IFERROR(VLOOKUP(T[[#This Row],[warehouse]],Table2[],2,FALSE),"--")</f>
        <v>--</v>
      </c>
    </row>
    <row r="2473" spans="1:18" x14ac:dyDescent="0.25">
      <c r="A2473" t="s">
        <v>462</v>
      </c>
      <c r="B2473" s="1">
        <v>44676</v>
      </c>
      <c r="C2473" t="s">
        <v>1706</v>
      </c>
      <c r="D2473" t="s">
        <v>759</v>
      </c>
      <c r="E2473" t="s">
        <v>51</v>
      </c>
      <c r="F2473" t="s">
        <v>278</v>
      </c>
      <c r="G2473" t="s">
        <v>1742</v>
      </c>
      <c r="H2473" t="s">
        <v>54</v>
      </c>
      <c r="I2473">
        <v>17600</v>
      </c>
      <c r="J2473">
        <v>0</v>
      </c>
      <c r="K2473">
        <v>1</v>
      </c>
      <c r="L2473" t="s">
        <v>693</v>
      </c>
      <c r="M2473" t="s">
        <v>533</v>
      </c>
      <c r="N2473">
        <v>45</v>
      </c>
      <c r="O2473">
        <v>0</v>
      </c>
      <c r="P2473" t="str">
        <f>IF(T[[#This Row],[qty_ordered]]&lt;&gt;T[[#This Row],[qty_received]],IF(T[[#This Row],[qty_received]]&gt;0,"Partial Received","Not Receviced"),"FullyReceived")</f>
        <v>Not Receviced</v>
      </c>
      <c r="Q2473" t="str">
        <f>IF(T[[#This Row],[qty_received]]&lt;&gt;T[[#This Row],[qty_invoiced]],IF(T[[#This Row],[qty_invoiced]]&gt;0,"Partial Invoiced","Not Invoiced"),"Fully Invoiced")</f>
        <v>Partial Invoiced</v>
      </c>
      <c r="R2473" t="str">
        <f>IFERROR(VLOOKUP(T[[#This Row],[warehouse]],Table2[],2,FALSE),"--")</f>
        <v>--</v>
      </c>
    </row>
    <row r="2474" spans="1:18" x14ac:dyDescent="0.25">
      <c r="A2474" t="s">
        <v>462</v>
      </c>
      <c r="B2474" s="1">
        <v>44676</v>
      </c>
      <c r="C2474" t="s">
        <v>1706</v>
      </c>
      <c r="D2474" t="s">
        <v>694</v>
      </c>
      <c r="E2474" t="s">
        <v>51</v>
      </c>
      <c r="F2474" t="s">
        <v>254</v>
      </c>
      <c r="G2474" t="s">
        <v>1743</v>
      </c>
      <c r="H2474" t="s">
        <v>54</v>
      </c>
      <c r="I2474">
        <v>5500</v>
      </c>
      <c r="J2474">
        <v>0</v>
      </c>
      <c r="K2474">
        <v>1</v>
      </c>
      <c r="L2474" t="s">
        <v>693</v>
      </c>
      <c r="M2474" t="s">
        <v>533</v>
      </c>
      <c r="N2474">
        <v>40</v>
      </c>
      <c r="O2474">
        <v>0</v>
      </c>
      <c r="P2474" t="str">
        <f>IF(T[[#This Row],[qty_ordered]]&lt;&gt;T[[#This Row],[qty_received]],IF(T[[#This Row],[qty_received]]&gt;0,"Partial Received","Not Receviced"),"FullyReceived")</f>
        <v>Not Receviced</v>
      </c>
      <c r="Q2474" t="str">
        <f>IF(T[[#This Row],[qty_received]]&lt;&gt;T[[#This Row],[qty_invoiced]],IF(T[[#This Row],[qty_invoiced]]&gt;0,"Partial Invoiced","Not Invoiced"),"Fully Invoiced")</f>
        <v>Partial Invoiced</v>
      </c>
      <c r="R2474" t="str">
        <f>IFERROR(VLOOKUP(T[[#This Row],[warehouse]],Table2[],2,FALSE),"--")</f>
        <v>--</v>
      </c>
    </row>
    <row r="2475" spans="1:18" x14ac:dyDescent="0.25">
      <c r="A2475" t="s">
        <v>462</v>
      </c>
      <c r="B2475" s="1">
        <v>44676</v>
      </c>
      <c r="C2475" t="s">
        <v>1706</v>
      </c>
      <c r="D2475" t="s">
        <v>760</v>
      </c>
      <c r="E2475" t="s">
        <v>51</v>
      </c>
      <c r="F2475" t="s">
        <v>373</v>
      </c>
      <c r="G2475" t="s">
        <v>1744</v>
      </c>
      <c r="H2475" t="s">
        <v>54</v>
      </c>
      <c r="I2475">
        <v>15555</v>
      </c>
      <c r="J2475">
        <v>0</v>
      </c>
      <c r="K2475">
        <v>1</v>
      </c>
      <c r="L2475" t="s">
        <v>693</v>
      </c>
      <c r="M2475" t="s">
        <v>533</v>
      </c>
      <c r="N2475">
        <v>50</v>
      </c>
      <c r="O2475">
        <v>0</v>
      </c>
      <c r="P2475" t="str">
        <f>IF(T[[#This Row],[qty_ordered]]&lt;&gt;T[[#This Row],[qty_received]],IF(T[[#This Row],[qty_received]]&gt;0,"Partial Received","Not Receviced"),"FullyReceived")</f>
        <v>Not Receviced</v>
      </c>
      <c r="Q2475" t="str">
        <f>IF(T[[#This Row],[qty_received]]&lt;&gt;T[[#This Row],[qty_invoiced]],IF(T[[#This Row],[qty_invoiced]]&gt;0,"Partial Invoiced","Not Invoiced"),"Fully Invoiced")</f>
        <v>Partial Invoiced</v>
      </c>
      <c r="R2475" t="str">
        <f>IFERROR(VLOOKUP(T[[#This Row],[warehouse]],Table2[],2,FALSE),"--")</f>
        <v>--</v>
      </c>
    </row>
    <row r="2476" spans="1:18" x14ac:dyDescent="0.25">
      <c r="A2476" t="s">
        <v>1745</v>
      </c>
      <c r="B2476" s="1">
        <v>44728</v>
      </c>
      <c r="C2476" t="s">
        <v>1746</v>
      </c>
      <c r="D2476" t="s">
        <v>20</v>
      </c>
      <c r="E2476" t="s">
        <v>146</v>
      </c>
      <c r="F2476" t="s">
        <v>147</v>
      </c>
      <c r="G2476" t="s">
        <v>148</v>
      </c>
      <c r="H2476" t="s">
        <v>149</v>
      </c>
      <c r="I2476">
        <v>154000</v>
      </c>
      <c r="J2476">
        <v>154000</v>
      </c>
      <c r="K2476">
        <v>154000</v>
      </c>
      <c r="L2476" t="s">
        <v>25</v>
      </c>
      <c r="M2476" t="s">
        <v>1404</v>
      </c>
      <c r="N2476">
        <v>215.88</v>
      </c>
      <c r="O2476">
        <v>33245520</v>
      </c>
      <c r="P2476" t="str">
        <f>IF(T[[#This Row],[qty_ordered]]&lt;&gt;T[[#This Row],[qty_received]],IF(T[[#This Row],[qty_received]]&gt;0,"Partial Received","Not Receviced"),"FullyReceived")</f>
        <v>FullyReceived</v>
      </c>
      <c r="Q2476" t="str">
        <f>IF(T[[#This Row],[qty_received]]&lt;&gt;T[[#This Row],[qty_invoiced]],IF(T[[#This Row],[qty_invoiced]]&gt;0,"Partial Invoiced","Not Invoiced"),"Fully Invoiced")</f>
        <v>Fully Invoiced</v>
      </c>
      <c r="R2476" t="str">
        <f>IFERROR(VLOOKUP(T[[#This Row],[warehouse]],Table2[],2,FALSE),"--")</f>
        <v>Khtoum Main Warehouse</v>
      </c>
    </row>
    <row r="2477" spans="1:18" x14ac:dyDescent="0.25">
      <c r="A2477" t="s">
        <v>423</v>
      </c>
      <c r="B2477" s="1">
        <v>44739</v>
      </c>
      <c r="C2477" t="s">
        <v>1747</v>
      </c>
      <c r="D2477" t="s">
        <v>20</v>
      </c>
      <c r="E2477" t="s">
        <v>51</v>
      </c>
      <c r="F2477" t="s">
        <v>546</v>
      </c>
      <c r="G2477" t="s">
        <v>1748</v>
      </c>
      <c r="H2477" t="s">
        <v>54</v>
      </c>
      <c r="I2477">
        <v>500</v>
      </c>
      <c r="J2477">
        <v>0</v>
      </c>
      <c r="K2477">
        <v>1</v>
      </c>
      <c r="L2477" t="s">
        <v>693</v>
      </c>
      <c r="M2477" t="s">
        <v>533</v>
      </c>
      <c r="N2477">
        <v>16.5</v>
      </c>
      <c r="O2477">
        <v>0</v>
      </c>
      <c r="P2477" t="str">
        <f>IF(T[[#This Row],[qty_ordered]]&lt;&gt;T[[#This Row],[qty_received]],IF(T[[#This Row],[qty_received]]&gt;0,"Partial Received","Not Receviced"),"FullyReceived")</f>
        <v>Not Receviced</v>
      </c>
      <c r="Q2477" t="str">
        <f>IF(T[[#This Row],[qty_received]]&lt;&gt;T[[#This Row],[qty_invoiced]],IF(T[[#This Row],[qty_invoiced]]&gt;0,"Partial Invoiced","Not Invoiced"),"Fully Invoiced")</f>
        <v>Partial Invoiced</v>
      </c>
      <c r="R2477" t="str">
        <f>IFERROR(VLOOKUP(T[[#This Row],[warehouse]],Table2[],2,FALSE),"--")</f>
        <v>--</v>
      </c>
    </row>
    <row r="2478" spans="1:18" x14ac:dyDescent="0.25">
      <c r="A2478" t="s">
        <v>462</v>
      </c>
      <c r="B2478" s="1">
        <v>44676</v>
      </c>
      <c r="C2478" t="s">
        <v>1706</v>
      </c>
      <c r="D2478" t="s">
        <v>591</v>
      </c>
      <c r="E2478" t="s">
        <v>51</v>
      </c>
      <c r="F2478" t="s">
        <v>433</v>
      </c>
      <c r="G2478" t="s">
        <v>1749</v>
      </c>
      <c r="H2478" t="s">
        <v>54</v>
      </c>
      <c r="I2478">
        <v>21018</v>
      </c>
      <c r="J2478">
        <v>0</v>
      </c>
      <c r="K2478">
        <v>1</v>
      </c>
      <c r="L2478" t="s">
        <v>693</v>
      </c>
      <c r="M2478" t="s">
        <v>533</v>
      </c>
      <c r="N2478">
        <v>15</v>
      </c>
      <c r="O2478">
        <v>0</v>
      </c>
      <c r="P2478" t="str">
        <f>IF(T[[#This Row],[qty_ordered]]&lt;&gt;T[[#This Row],[qty_received]],IF(T[[#This Row],[qty_received]]&gt;0,"Partial Received","Not Receviced"),"FullyReceived")</f>
        <v>Not Receviced</v>
      </c>
      <c r="Q2478" t="str">
        <f>IF(T[[#This Row],[qty_received]]&lt;&gt;T[[#This Row],[qty_invoiced]],IF(T[[#This Row],[qty_invoiced]]&gt;0,"Partial Invoiced","Not Invoiced"),"Fully Invoiced")</f>
        <v>Partial Invoiced</v>
      </c>
      <c r="R2478" t="str">
        <f>IFERROR(VLOOKUP(T[[#This Row],[warehouse]],Table2[],2,FALSE),"--")</f>
        <v>--</v>
      </c>
    </row>
    <row r="2479" spans="1:18" x14ac:dyDescent="0.25">
      <c r="A2479" t="s">
        <v>462</v>
      </c>
      <c r="B2479" s="1">
        <v>44676</v>
      </c>
      <c r="C2479" t="s">
        <v>1706</v>
      </c>
      <c r="D2479" t="s">
        <v>592</v>
      </c>
      <c r="E2479" t="s">
        <v>51</v>
      </c>
      <c r="F2479" t="s">
        <v>793</v>
      </c>
      <c r="G2479" t="s">
        <v>1750</v>
      </c>
      <c r="H2479" t="s">
        <v>54</v>
      </c>
      <c r="I2479">
        <v>1</v>
      </c>
      <c r="J2479">
        <v>0</v>
      </c>
      <c r="K2479">
        <v>1</v>
      </c>
      <c r="L2479" t="s">
        <v>693</v>
      </c>
      <c r="M2479" t="s">
        <v>533</v>
      </c>
      <c r="N2479">
        <v>5000</v>
      </c>
      <c r="O2479">
        <v>0</v>
      </c>
      <c r="P2479" t="str">
        <f>IF(T[[#This Row],[qty_ordered]]&lt;&gt;T[[#This Row],[qty_received]],IF(T[[#This Row],[qty_received]]&gt;0,"Partial Received","Not Receviced"),"FullyReceived")</f>
        <v>Not Receviced</v>
      </c>
      <c r="Q2479" t="str">
        <f>IF(T[[#This Row],[qty_received]]&lt;&gt;T[[#This Row],[qty_invoiced]],IF(T[[#This Row],[qty_invoiced]]&gt;0,"Partial Invoiced","Not Invoiced"),"Fully Invoiced")</f>
        <v>Partial Invoiced</v>
      </c>
      <c r="R2479" t="str">
        <f>IFERROR(VLOOKUP(T[[#This Row],[warehouse]],Table2[],2,FALSE),"--")</f>
        <v>--</v>
      </c>
    </row>
    <row r="2480" spans="1:18" x14ac:dyDescent="0.25">
      <c r="A2480" t="s">
        <v>1287</v>
      </c>
      <c r="B2480" s="1">
        <v>44727</v>
      </c>
      <c r="C2480" t="s">
        <v>1751</v>
      </c>
      <c r="D2480" t="s">
        <v>71</v>
      </c>
      <c r="E2480" t="s">
        <v>629</v>
      </c>
      <c r="F2480" t="s">
        <v>287</v>
      </c>
      <c r="G2480" t="s">
        <v>288</v>
      </c>
      <c r="H2480" t="s">
        <v>24</v>
      </c>
      <c r="I2480">
        <v>500</v>
      </c>
      <c r="J2480">
        <v>0</v>
      </c>
      <c r="K2480">
        <v>0</v>
      </c>
      <c r="L2480" t="s">
        <v>693</v>
      </c>
      <c r="M2480" t="s">
        <v>707</v>
      </c>
      <c r="N2480">
        <v>433000</v>
      </c>
      <c r="O2480">
        <v>0</v>
      </c>
      <c r="P2480" t="str">
        <f>IF(T[[#This Row],[qty_ordered]]&lt;&gt;T[[#This Row],[qty_received]],IF(T[[#This Row],[qty_received]]&gt;0,"Partial Received","Not Receviced"),"FullyReceived")</f>
        <v>Not Receviced</v>
      </c>
      <c r="Q2480" t="str">
        <f>IF(T[[#This Row],[qty_received]]&lt;&gt;T[[#This Row],[qty_invoiced]],IF(T[[#This Row],[qty_invoiced]]&gt;0,"Partial Invoiced","Not Invoiced"),"Fully Invoiced")</f>
        <v>Fully Invoiced</v>
      </c>
      <c r="R2480" t="str">
        <f>IFERROR(VLOOKUP(T[[#This Row],[warehouse]],Table2[],2,FALSE),"--")</f>
        <v>SOPC Sifting &amp; Sorting</v>
      </c>
    </row>
    <row r="2481" spans="1:18" x14ac:dyDescent="0.25">
      <c r="A2481" t="s">
        <v>560</v>
      </c>
      <c r="B2481" s="1">
        <v>44544</v>
      </c>
      <c r="C2481" t="s">
        <v>1522</v>
      </c>
      <c r="D2481" t="s">
        <v>510</v>
      </c>
      <c r="E2481" t="s">
        <v>51</v>
      </c>
      <c r="F2481" t="s">
        <v>164</v>
      </c>
      <c r="G2481" t="s">
        <v>1752</v>
      </c>
      <c r="H2481" t="s">
        <v>54</v>
      </c>
      <c r="I2481">
        <v>38.25</v>
      </c>
      <c r="J2481">
        <v>0</v>
      </c>
      <c r="K2481">
        <v>1</v>
      </c>
      <c r="L2481" t="s">
        <v>693</v>
      </c>
      <c r="M2481" t="s">
        <v>2836</v>
      </c>
      <c r="N2481">
        <v>9450</v>
      </c>
      <c r="O2481">
        <v>0</v>
      </c>
      <c r="P2481" t="str">
        <f>IF(T[[#This Row],[qty_ordered]]&lt;&gt;T[[#This Row],[qty_received]],IF(T[[#This Row],[qty_received]]&gt;0,"Partial Received","Not Receviced"),"FullyReceived")</f>
        <v>Not Receviced</v>
      </c>
      <c r="Q2481" t="str">
        <f>IF(T[[#This Row],[qty_received]]&lt;&gt;T[[#This Row],[qty_invoiced]],IF(T[[#This Row],[qty_invoiced]]&gt;0,"Partial Invoiced","Not Invoiced"),"Fully Invoiced")</f>
        <v>Partial Invoiced</v>
      </c>
      <c r="R2481" t="str">
        <f>IFERROR(VLOOKUP(T[[#This Row],[warehouse]],Table2[],2,FALSE),"--")</f>
        <v>--</v>
      </c>
    </row>
    <row r="2482" spans="1:18" x14ac:dyDescent="0.25">
      <c r="A2482" t="s">
        <v>560</v>
      </c>
      <c r="B2482" s="1">
        <v>44544</v>
      </c>
      <c r="C2482" t="s">
        <v>1522</v>
      </c>
      <c r="D2482" t="s">
        <v>511</v>
      </c>
      <c r="E2482" t="s">
        <v>51</v>
      </c>
      <c r="F2482" t="s">
        <v>164</v>
      </c>
      <c r="G2482" t="s">
        <v>1752</v>
      </c>
      <c r="H2482" t="s">
        <v>54</v>
      </c>
      <c r="I2482">
        <v>23</v>
      </c>
      <c r="J2482">
        <v>0</v>
      </c>
      <c r="K2482">
        <v>1</v>
      </c>
      <c r="L2482" t="s">
        <v>693</v>
      </c>
      <c r="M2482" t="s">
        <v>2836</v>
      </c>
      <c r="N2482">
        <v>9450</v>
      </c>
      <c r="O2482">
        <v>0</v>
      </c>
      <c r="P2482" t="str">
        <f>IF(T[[#This Row],[qty_ordered]]&lt;&gt;T[[#This Row],[qty_received]],IF(T[[#This Row],[qty_received]]&gt;0,"Partial Received","Not Receviced"),"FullyReceived")</f>
        <v>Not Receviced</v>
      </c>
      <c r="Q2482" t="str">
        <f>IF(T[[#This Row],[qty_received]]&lt;&gt;T[[#This Row],[qty_invoiced]],IF(T[[#This Row],[qty_invoiced]]&gt;0,"Partial Invoiced","Not Invoiced"),"Fully Invoiced")</f>
        <v>Partial Invoiced</v>
      </c>
      <c r="R2482" t="str">
        <f>IFERROR(VLOOKUP(T[[#This Row],[warehouse]],Table2[],2,FALSE),"--")</f>
        <v>--</v>
      </c>
    </row>
    <row r="2483" spans="1:18" x14ac:dyDescent="0.25">
      <c r="A2483" t="s">
        <v>560</v>
      </c>
      <c r="B2483" s="1">
        <v>44544</v>
      </c>
      <c r="C2483" t="s">
        <v>1522</v>
      </c>
      <c r="D2483" t="s">
        <v>512</v>
      </c>
      <c r="E2483" t="s">
        <v>51</v>
      </c>
      <c r="F2483" t="s">
        <v>164</v>
      </c>
      <c r="G2483" t="s">
        <v>1752</v>
      </c>
      <c r="H2483" t="s">
        <v>54</v>
      </c>
      <c r="I2483">
        <v>26</v>
      </c>
      <c r="J2483">
        <v>0</v>
      </c>
      <c r="K2483">
        <v>1</v>
      </c>
      <c r="L2483" t="s">
        <v>693</v>
      </c>
      <c r="M2483" t="s">
        <v>2836</v>
      </c>
      <c r="N2483">
        <v>9450</v>
      </c>
      <c r="O2483">
        <v>0</v>
      </c>
      <c r="P2483" t="str">
        <f>IF(T[[#This Row],[qty_ordered]]&lt;&gt;T[[#This Row],[qty_received]],IF(T[[#This Row],[qty_received]]&gt;0,"Partial Received","Not Receviced"),"FullyReceived")</f>
        <v>Not Receviced</v>
      </c>
      <c r="Q2483" t="str">
        <f>IF(T[[#This Row],[qty_received]]&lt;&gt;T[[#This Row],[qty_invoiced]],IF(T[[#This Row],[qty_invoiced]]&gt;0,"Partial Invoiced","Not Invoiced"),"Fully Invoiced")</f>
        <v>Partial Invoiced</v>
      </c>
      <c r="R2483" t="str">
        <f>IFERROR(VLOOKUP(T[[#This Row],[warehouse]],Table2[],2,FALSE),"--")</f>
        <v>--</v>
      </c>
    </row>
    <row r="2484" spans="1:18" x14ac:dyDescent="0.25">
      <c r="A2484" t="s">
        <v>560</v>
      </c>
      <c r="B2484" s="1">
        <v>44544</v>
      </c>
      <c r="C2484" t="s">
        <v>1522</v>
      </c>
      <c r="D2484" t="s">
        <v>513</v>
      </c>
      <c r="E2484" t="s">
        <v>51</v>
      </c>
      <c r="F2484" t="s">
        <v>164</v>
      </c>
      <c r="G2484" t="s">
        <v>1752</v>
      </c>
      <c r="H2484" t="s">
        <v>54</v>
      </c>
      <c r="I2484">
        <v>29</v>
      </c>
      <c r="J2484">
        <v>0</v>
      </c>
      <c r="K2484">
        <v>1</v>
      </c>
      <c r="L2484" t="s">
        <v>693</v>
      </c>
      <c r="M2484" t="s">
        <v>2836</v>
      </c>
      <c r="N2484">
        <v>9450</v>
      </c>
      <c r="O2484">
        <v>0</v>
      </c>
      <c r="P2484" t="str">
        <f>IF(T[[#This Row],[qty_ordered]]&lt;&gt;T[[#This Row],[qty_received]],IF(T[[#This Row],[qty_received]]&gt;0,"Partial Received","Not Receviced"),"FullyReceived")</f>
        <v>Not Receviced</v>
      </c>
      <c r="Q2484" t="str">
        <f>IF(T[[#This Row],[qty_received]]&lt;&gt;T[[#This Row],[qty_invoiced]],IF(T[[#This Row],[qty_invoiced]]&gt;0,"Partial Invoiced","Not Invoiced"),"Fully Invoiced")</f>
        <v>Partial Invoiced</v>
      </c>
      <c r="R2484" t="str">
        <f>IFERROR(VLOOKUP(T[[#This Row],[warehouse]],Table2[],2,FALSE),"--")</f>
        <v>--</v>
      </c>
    </row>
    <row r="2485" spans="1:18" x14ac:dyDescent="0.25">
      <c r="A2485" t="s">
        <v>560</v>
      </c>
      <c r="B2485" s="1">
        <v>44544</v>
      </c>
      <c r="C2485" t="s">
        <v>1524</v>
      </c>
      <c r="D2485" t="s">
        <v>507</v>
      </c>
      <c r="E2485" t="s">
        <v>51</v>
      </c>
      <c r="F2485" t="s">
        <v>164</v>
      </c>
      <c r="G2485" t="s">
        <v>1753</v>
      </c>
      <c r="H2485" t="s">
        <v>54</v>
      </c>
      <c r="I2485">
        <v>29.5</v>
      </c>
      <c r="J2485">
        <v>0</v>
      </c>
      <c r="K2485">
        <v>1</v>
      </c>
      <c r="L2485" t="s">
        <v>693</v>
      </c>
      <c r="M2485" t="s">
        <v>2836</v>
      </c>
      <c r="N2485">
        <v>9450</v>
      </c>
      <c r="O2485">
        <v>0</v>
      </c>
      <c r="P2485" t="str">
        <f>IF(T[[#This Row],[qty_ordered]]&lt;&gt;T[[#This Row],[qty_received]],IF(T[[#This Row],[qty_received]]&gt;0,"Partial Received","Not Receviced"),"FullyReceived")</f>
        <v>Not Receviced</v>
      </c>
      <c r="Q2485" t="str">
        <f>IF(T[[#This Row],[qty_received]]&lt;&gt;T[[#This Row],[qty_invoiced]],IF(T[[#This Row],[qty_invoiced]]&gt;0,"Partial Invoiced","Not Invoiced"),"Fully Invoiced")</f>
        <v>Partial Invoiced</v>
      </c>
      <c r="R2485" t="str">
        <f>IFERROR(VLOOKUP(T[[#This Row],[warehouse]],Table2[],2,FALSE),"--")</f>
        <v>--</v>
      </c>
    </row>
    <row r="2486" spans="1:18" x14ac:dyDescent="0.25">
      <c r="A2486" t="s">
        <v>560</v>
      </c>
      <c r="B2486" s="1">
        <v>44544</v>
      </c>
      <c r="C2486" t="s">
        <v>1524</v>
      </c>
      <c r="D2486" t="s">
        <v>508</v>
      </c>
      <c r="E2486" t="s">
        <v>51</v>
      </c>
      <c r="F2486" t="s">
        <v>164</v>
      </c>
      <c r="G2486" t="s">
        <v>1753</v>
      </c>
      <c r="H2486" t="s">
        <v>54</v>
      </c>
      <c r="I2486">
        <v>33.25</v>
      </c>
      <c r="J2486">
        <v>0</v>
      </c>
      <c r="K2486">
        <v>1</v>
      </c>
      <c r="L2486" t="s">
        <v>693</v>
      </c>
      <c r="M2486" t="s">
        <v>2836</v>
      </c>
      <c r="N2486">
        <v>9450</v>
      </c>
      <c r="O2486">
        <v>0</v>
      </c>
      <c r="P2486" t="str">
        <f>IF(T[[#This Row],[qty_ordered]]&lt;&gt;T[[#This Row],[qty_received]],IF(T[[#This Row],[qty_received]]&gt;0,"Partial Received","Not Receviced"),"FullyReceived")</f>
        <v>Not Receviced</v>
      </c>
      <c r="Q2486" t="str">
        <f>IF(T[[#This Row],[qty_received]]&lt;&gt;T[[#This Row],[qty_invoiced]],IF(T[[#This Row],[qty_invoiced]]&gt;0,"Partial Invoiced","Not Invoiced"),"Fully Invoiced")</f>
        <v>Partial Invoiced</v>
      </c>
      <c r="R2486" t="str">
        <f>IFERROR(VLOOKUP(T[[#This Row],[warehouse]],Table2[],2,FALSE),"--")</f>
        <v>--</v>
      </c>
    </row>
    <row r="2487" spans="1:18" x14ac:dyDescent="0.25">
      <c r="A2487" t="s">
        <v>560</v>
      </c>
      <c r="B2487" s="1">
        <v>44544</v>
      </c>
      <c r="C2487" t="s">
        <v>1524</v>
      </c>
      <c r="D2487" t="s">
        <v>509</v>
      </c>
      <c r="E2487" t="s">
        <v>51</v>
      </c>
      <c r="F2487" t="s">
        <v>164</v>
      </c>
      <c r="G2487" t="s">
        <v>1753</v>
      </c>
      <c r="H2487" t="s">
        <v>54</v>
      </c>
      <c r="I2487">
        <v>29</v>
      </c>
      <c r="J2487">
        <v>0</v>
      </c>
      <c r="K2487">
        <v>1</v>
      </c>
      <c r="L2487" t="s">
        <v>693</v>
      </c>
      <c r="M2487" t="s">
        <v>2836</v>
      </c>
      <c r="N2487">
        <v>9450</v>
      </c>
      <c r="O2487">
        <v>0</v>
      </c>
      <c r="P2487" t="str">
        <f>IF(T[[#This Row],[qty_ordered]]&lt;&gt;T[[#This Row],[qty_received]],IF(T[[#This Row],[qty_received]]&gt;0,"Partial Received","Not Receviced"),"FullyReceived")</f>
        <v>Not Receviced</v>
      </c>
      <c r="Q2487" t="str">
        <f>IF(T[[#This Row],[qty_received]]&lt;&gt;T[[#This Row],[qty_invoiced]],IF(T[[#This Row],[qty_invoiced]]&gt;0,"Partial Invoiced","Not Invoiced"),"Fully Invoiced")</f>
        <v>Partial Invoiced</v>
      </c>
      <c r="R2487" t="str">
        <f>IFERROR(VLOOKUP(T[[#This Row],[warehouse]],Table2[],2,FALSE),"--")</f>
        <v>--</v>
      </c>
    </row>
    <row r="2488" spans="1:18" x14ac:dyDescent="0.25">
      <c r="A2488" t="s">
        <v>400</v>
      </c>
      <c r="B2488" s="1">
        <v>44594</v>
      </c>
      <c r="C2488" t="s">
        <v>1700</v>
      </c>
      <c r="D2488" t="s">
        <v>451</v>
      </c>
      <c r="E2488" t="s">
        <v>51</v>
      </c>
      <c r="F2488" t="s">
        <v>183</v>
      </c>
      <c r="G2488" t="s">
        <v>1754</v>
      </c>
      <c r="H2488" t="s">
        <v>54</v>
      </c>
      <c r="I2488">
        <v>698.76</v>
      </c>
      <c r="J2488">
        <v>0</v>
      </c>
      <c r="K2488">
        <v>1</v>
      </c>
      <c r="L2488" t="s">
        <v>693</v>
      </c>
      <c r="M2488" t="s">
        <v>533</v>
      </c>
      <c r="N2488">
        <v>12000</v>
      </c>
      <c r="O2488">
        <v>0</v>
      </c>
      <c r="P2488" t="str">
        <f>IF(T[[#This Row],[qty_ordered]]&lt;&gt;T[[#This Row],[qty_received]],IF(T[[#This Row],[qty_received]]&gt;0,"Partial Received","Not Receviced"),"FullyReceived")</f>
        <v>Not Receviced</v>
      </c>
      <c r="Q2488" t="str">
        <f>IF(T[[#This Row],[qty_received]]&lt;&gt;T[[#This Row],[qty_invoiced]],IF(T[[#This Row],[qty_invoiced]]&gt;0,"Partial Invoiced","Not Invoiced"),"Fully Invoiced")</f>
        <v>Partial Invoiced</v>
      </c>
      <c r="R2488" t="str">
        <f>IFERROR(VLOOKUP(T[[#This Row],[warehouse]],Table2[],2,FALSE),"--")</f>
        <v>--</v>
      </c>
    </row>
    <row r="2489" spans="1:18" x14ac:dyDescent="0.25">
      <c r="A2489" t="s">
        <v>400</v>
      </c>
      <c r="B2489" s="1">
        <v>44594</v>
      </c>
      <c r="C2489" t="s">
        <v>1700</v>
      </c>
      <c r="D2489" t="s">
        <v>452</v>
      </c>
      <c r="E2489" t="s">
        <v>51</v>
      </c>
      <c r="F2489" t="s">
        <v>278</v>
      </c>
      <c r="G2489" t="s">
        <v>1755</v>
      </c>
      <c r="H2489" t="s">
        <v>54</v>
      </c>
      <c r="I2489">
        <v>1</v>
      </c>
      <c r="J2489">
        <v>0</v>
      </c>
      <c r="K2489">
        <v>1</v>
      </c>
      <c r="L2489" t="s">
        <v>693</v>
      </c>
      <c r="M2489" t="s">
        <v>533</v>
      </c>
      <c r="N2489">
        <v>328415</v>
      </c>
      <c r="O2489">
        <v>0</v>
      </c>
      <c r="P2489" t="str">
        <f>IF(T[[#This Row],[qty_ordered]]&lt;&gt;T[[#This Row],[qty_received]],IF(T[[#This Row],[qty_received]]&gt;0,"Partial Received","Not Receviced"),"FullyReceived")</f>
        <v>Not Receviced</v>
      </c>
      <c r="Q2489" t="str">
        <f>IF(T[[#This Row],[qty_received]]&lt;&gt;T[[#This Row],[qty_invoiced]],IF(T[[#This Row],[qty_invoiced]]&gt;0,"Partial Invoiced","Not Invoiced"),"Fully Invoiced")</f>
        <v>Partial Invoiced</v>
      </c>
      <c r="R2489" t="str">
        <f>IFERROR(VLOOKUP(T[[#This Row],[warehouse]],Table2[],2,FALSE),"--")</f>
        <v>--</v>
      </c>
    </row>
    <row r="2490" spans="1:18" x14ac:dyDescent="0.25">
      <c r="A2490" t="s">
        <v>400</v>
      </c>
      <c r="B2490" s="1">
        <v>44594</v>
      </c>
      <c r="C2490" t="s">
        <v>1700</v>
      </c>
      <c r="D2490" t="s">
        <v>614</v>
      </c>
      <c r="E2490" t="s">
        <v>51</v>
      </c>
      <c r="F2490" t="s">
        <v>1703</v>
      </c>
      <c r="G2490" t="s">
        <v>1756</v>
      </c>
      <c r="H2490" t="s">
        <v>54</v>
      </c>
      <c r="I2490">
        <v>32</v>
      </c>
      <c r="J2490">
        <v>0</v>
      </c>
      <c r="K2490">
        <v>1</v>
      </c>
      <c r="L2490" t="s">
        <v>693</v>
      </c>
      <c r="M2490" t="s">
        <v>533</v>
      </c>
      <c r="N2490">
        <v>2000</v>
      </c>
      <c r="O2490">
        <v>0</v>
      </c>
      <c r="P2490" t="str">
        <f>IF(T[[#This Row],[qty_ordered]]&lt;&gt;T[[#This Row],[qty_received]],IF(T[[#This Row],[qty_received]]&gt;0,"Partial Received","Not Receviced"),"FullyReceived")</f>
        <v>Not Receviced</v>
      </c>
      <c r="Q2490" t="str">
        <f>IF(T[[#This Row],[qty_received]]&lt;&gt;T[[#This Row],[qty_invoiced]],IF(T[[#This Row],[qty_invoiced]]&gt;0,"Partial Invoiced","Not Invoiced"),"Fully Invoiced")</f>
        <v>Partial Invoiced</v>
      </c>
      <c r="R2490" t="str">
        <f>IFERROR(VLOOKUP(T[[#This Row],[warehouse]],Table2[],2,FALSE),"--")</f>
        <v>--</v>
      </c>
    </row>
    <row r="2491" spans="1:18" x14ac:dyDescent="0.25">
      <c r="A2491" t="s">
        <v>400</v>
      </c>
      <c r="B2491" s="1">
        <v>44594</v>
      </c>
      <c r="C2491" t="s">
        <v>1700</v>
      </c>
      <c r="D2491" t="s">
        <v>615</v>
      </c>
      <c r="E2491" t="s">
        <v>51</v>
      </c>
      <c r="F2491" t="s">
        <v>793</v>
      </c>
      <c r="G2491" t="s">
        <v>1757</v>
      </c>
      <c r="H2491" t="s">
        <v>54</v>
      </c>
      <c r="I2491">
        <v>34</v>
      </c>
      <c r="J2491">
        <v>0</v>
      </c>
      <c r="K2491">
        <v>1</v>
      </c>
      <c r="L2491" t="s">
        <v>693</v>
      </c>
      <c r="M2491" t="s">
        <v>533</v>
      </c>
      <c r="N2491">
        <v>1005.882352</v>
      </c>
      <c r="O2491">
        <v>0</v>
      </c>
      <c r="P2491" t="str">
        <f>IF(T[[#This Row],[qty_ordered]]&lt;&gt;T[[#This Row],[qty_received]],IF(T[[#This Row],[qty_received]]&gt;0,"Partial Received","Not Receviced"),"FullyReceived")</f>
        <v>Not Receviced</v>
      </c>
      <c r="Q2491" t="str">
        <f>IF(T[[#This Row],[qty_received]]&lt;&gt;T[[#This Row],[qty_invoiced]],IF(T[[#This Row],[qty_invoiced]]&gt;0,"Partial Invoiced","Not Invoiced"),"Fully Invoiced")</f>
        <v>Partial Invoiced</v>
      </c>
      <c r="R2491" t="str">
        <f>IFERROR(VLOOKUP(T[[#This Row],[warehouse]],Table2[],2,FALSE),"--")</f>
        <v>--</v>
      </c>
    </row>
    <row r="2492" spans="1:18" x14ac:dyDescent="0.25">
      <c r="A2492" t="s">
        <v>303</v>
      </c>
      <c r="B2492" s="1">
        <v>44745</v>
      </c>
      <c r="C2492" t="s">
        <v>1758</v>
      </c>
      <c r="D2492" t="s">
        <v>20</v>
      </c>
      <c r="E2492" t="s">
        <v>66</v>
      </c>
      <c r="F2492" t="s">
        <v>1759</v>
      </c>
      <c r="G2492" t="s">
        <v>1760</v>
      </c>
      <c r="H2492" t="s">
        <v>531</v>
      </c>
      <c r="I2492">
        <v>1719</v>
      </c>
      <c r="J2492">
        <v>1719</v>
      </c>
      <c r="K2492">
        <v>1719</v>
      </c>
      <c r="L2492" t="s">
        <v>693</v>
      </c>
      <c r="M2492" t="s">
        <v>707</v>
      </c>
      <c r="N2492">
        <v>30000</v>
      </c>
      <c r="O2492">
        <v>51570000</v>
      </c>
      <c r="P2492" t="str">
        <f>IF(T[[#This Row],[qty_ordered]]&lt;&gt;T[[#This Row],[qty_received]],IF(T[[#This Row],[qty_received]]&gt;0,"Partial Received","Not Receviced"),"FullyReceived")</f>
        <v>FullyReceived</v>
      </c>
      <c r="Q2492" t="str">
        <f>IF(T[[#This Row],[qty_received]]&lt;&gt;T[[#This Row],[qty_invoiced]],IF(T[[#This Row],[qty_invoiced]]&gt;0,"Partial Invoiced","Not Invoiced"),"Fully Invoiced")</f>
        <v>Fully Invoiced</v>
      </c>
      <c r="R2492" t="str">
        <f>IFERROR(VLOOKUP(T[[#This Row],[warehouse]],Table2[],2,FALSE),"--")</f>
        <v>PZU Main Warehouse</v>
      </c>
    </row>
    <row r="2493" spans="1:18" x14ac:dyDescent="0.25">
      <c r="A2493" t="s">
        <v>303</v>
      </c>
      <c r="B2493" s="1">
        <v>44745</v>
      </c>
      <c r="C2493" t="s">
        <v>1761</v>
      </c>
      <c r="D2493" t="s">
        <v>20</v>
      </c>
      <c r="E2493" t="s">
        <v>66</v>
      </c>
      <c r="F2493" t="s">
        <v>949</v>
      </c>
      <c r="G2493" t="s">
        <v>950</v>
      </c>
      <c r="H2493" t="s">
        <v>531</v>
      </c>
      <c r="I2493">
        <v>2040</v>
      </c>
      <c r="J2493">
        <v>2040</v>
      </c>
      <c r="K2493">
        <v>2040</v>
      </c>
      <c r="L2493" t="s">
        <v>693</v>
      </c>
      <c r="M2493" t="s">
        <v>707</v>
      </c>
      <c r="N2493">
        <v>38366.631999999998</v>
      </c>
      <c r="O2493">
        <v>78267929.280000001</v>
      </c>
      <c r="P2493" t="str">
        <f>IF(T[[#This Row],[qty_ordered]]&lt;&gt;T[[#This Row],[qty_received]],IF(T[[#This Row],[qty_received]]&gt;0,"Partial Received","Not Receviced"),"FullyReceived")</f>
        <v>FullyReceived</v>
      </c>
      <c r="Q2493" t="str">
        <f>IF(T[[#This Row],[qty_received]]&lt;&gt;T[[#This Row],[qty_invoiced]],IF(T[[#This Row],[qty_invoiced]]&gt;0,"Partial Invoiced","Not Invoiced"),"Fully Invoiced")</f>
        <v>Fully Invoiced</v>
      </c>
      <c r="R2493" t="str">
        <f>IFERROR(VLOOKUP(T[[#This Row],[warehouse]],Table2[],2,FALSE),"--")</f>
        <v>PZU Main Warehouse</v>
      </c>
    </row>
    <row r="2494" spans="1:18" x14ac:dyDescent="0.25">
      <c r="A2494" t="s">
        <v>303</v>
      </c>
      <c r="B2494" s="1">
        <v>44745</v>
      </c>
      <c r="C2494" t="s">
        <v>1762</v>
      </c>
      <c r="D2494" t="s">
        <v>20</v>
      </c>
      <c r="E2494" t="s">
        <v>66</v>
      </c>
      <c r="F2494" t="s">
        <v>529</v>
      </c>
      <c r="G2494" t="s">
        <v>530</v>
      </c>
      <c r="H2494" t="s">
        <v>531</v>
      </c>
      <c r="I2494">
        <v>900</v>
      </c>
      <c r="J2494">
        <v>0</v>
      </c>
      <c r="K2494">
        <v>0</v>
      </c>
      <c r="L2494" t="s">
        <v>693</v>
      </c>
      <c r="M2494" t="s">
        <v>707</v>
      </c>
      <c r="N2494">
        <v>51000</v>
      </c>
      <c r="O2494">
        <v>0</v>
      </c>
      <c r="P2494" t="str">
        <f>IF(T[[#This Row],[qty_ordered]]&lt;&gt;T[[#This Row],[qty_received]],IF(T[[#This Row],[qty_received]]&gt;0,"Partial Received","Not Receviced"),"FullyReceived")</f>
        <v>Not Receviced</v>
      </c>
      <c r="Q2494" t="str">
        <f>IF(T[[#This Row],[qty_received]]&lt;&gt;T[[#This Row],[qty_invoiced]],IF(T[[#This Row],[qty_invoiced]]&gt;0,"Partial Invoiced","Not Invoiced"),"Fully Invoiced")</f>
        <v>Fully Invoiced</v>
      </c>
      <c r="R2494" t="str">
        <f>IFERROR(VLOOKUP(T[[#This Row],[warehouse]],Table2[],2,FALSE),"--")</f>
        <v>PZU Main Warehouse</v>
      </c>
    </row>
    <row r="2495" spans="1:18" x14ac:dyDescent="0.25">
      <c r="A2495" t="s">
        <v>303</v>
      </c>
      <c r="B2495" s="1">
        <v>44745</v>
      </c>
      <c r="C2495" t="s">
        <v>1763</v>
      </c>
      <c r="D2495" t="s">
        <v>20</v>
      </c>
      <c r="E2495" t="s">
        <v>66</v>
      </c>
      <c r="F2495" t="s">
        <v>697</v>
      </c>
      <c r="G2495" t="s">
        <v>698</v>
      </c>
      <c r="H2495" t="s">
        <v>531</v>
      </c>
      <c r="I2495">
        <v>2088</v>
      </c>
      <c r="J2495">
        <v>2088</v>
      </c>
      <c r="K2495">
        <v>2086</v>
      </c>
      <c r="L2495" t="s">
        <v>693</v>
      </c>
      <c r="M2495" t="s">
        <v>51</v>
      </c>
      <c r="N2495">
        <v>45000</v>
      </c>
      <c r="O2495">
        <v>93960000</v>
      </c>
      <c r="P2495" t="str">
        <f>IF(T[[#This Row],[qty_ordered]]&lt;&gt;T[[#This Row],[qty_received]],IF(T[[#This Row],[qty_received]]&gt;0,"Partial Received","Not Receviced"),"FullyReceived")</f>
        <v>FullyReceived</v>
      </c>
      <c r="Q2495" t="str">
        <f>IF(T[[#This Row],[qty_received]]&lt;&gt;T[[#This Row],[qty_invoiced]],IF(T[[#This Row],[qty_invoiced]]&gt;0,"Partial Invoiced","Not Invoiced"),"Fully Invoiced")</f>
        <v>Partial Invoiced</v>
      </c>
      <c r="R2495" t="str">
        <f>IFERROR(VLOOKUP(T[[#This Row],[warehouse]],Table2[],2,FALSE),"--")</f>
        <v>PZU Main Warehouse</v>
      </c>
    </row>
    <row r="2496" spans="1:18" x14ac:dyDescent="0.25">
      <c r="A2496" t="s">
        <v>560</v>
      </c>
      <c r="B2496" s="1">
        <v>44606</v>
      </c>
      <c r="C2496" t="s">
        <v>1546</v>
      </c>
      <c r="D2496" t="s">
        <v>511</v>
      </c>
      <c r="E2496" t="s">
        <v>51</v>
      </c>
      <c r="F2496" t="s">
        <v>164</v>
      </c>
      <c r="G2496" t="s">
        <v>1764</v>
      </c>
      <c r="H2496" t="s">
        <v>54</v>
      </c>
      <c r="I2496">
        <v>31.63</v>
      </c>
      <c r="J2496">
        <v>0</v>
      </c>
      <c r="K2496">
        <v>1</v>
      </c>
      <c r="L2496" t="s">
        <v>693</v>
      </c>
      <c r="M2496" t="s">
        <v>2836</v>
      </c>
      <c r="N2496">
        <v>9450</v>
      </c>
      <c r="O2496">
        <v>0</v>
      </c>
      <c r="P2496" t="str">
        <f>IF(T[[#This Row],[qty_ordered]]&lt;&gt;T[[#This Row],[qty_received]],IF(T[[#This Row],[qty_received]]&gt;0,"Partial Received","Not Receviced"),"FullyReceived")</f>
        <v>Not Receviced</v>
      </c>
      <c r="Q2496" t="str">
        <f>IF(T[[#This Row],[qty_received]]&lt;&gt;T[[#This Row],[qty_invoiced]],IF(T[[#This Row],[qty_invoiced]]&gt;0,"Partial Invoiced","Not Invoiced"),"Fully Invoiced")</f>
        <v>Partial Invoiced</v>
      </c>
      <c r="R2496" t="str">
        <f>IFERROR(VLOOKUP(T[[#This Row],[warehouse]],Table2[],2,FALSE),"--")</f>
        <v>--</v>
      </c>
    </row>
    <row r="2497" spans="1:18" x14ac:dyDescent="0.25">
      <c r="A2497" t="s">
        <v>560</v>
      </c>
      <c r="B2497" s="1">
        <v>44606</v>
      </c>
      <c r="C2497" t="s">
        <v>1546</v>
      </c>
      <c r="D2497" t="s">
        <v>512</v>
      </c>
      <c r="E2497" t="s">
        <v>51</v>
      </c>
      <c r="F2497" t="s">
        <v>164</v>
      </c>
      <c r="G2497" t="s">
        <v>1764</v>
      </c>
      <c r="H2497" t="s">
        <v>54</v>
      </c>
      <c r="I2497">
        <v>31.13</v>
      </c>
      <c r="J2497">
        <v>0</v>
      </c>
      <c r="K2497">
        <v>1</v>
      </c>
      <c r="L2497" t="s">
        <v>693</v>
      </c>
      <c r="M2497" t="s">
        <v>2836</v>
      </c>
      <c r="N2497">
        <v>9450</v>
      </c>
      <c r="O2497">
        <v>0</v>
      </c>
      <c r="P2497" t="str">
        <f>IF(T[[#This Row],[qty_ordered]]&lt;&gt;T[[#This Row],[qty_received]],IF(T[[#This Row],[qty_received]]&gt;0,"Partial Received","Not Receviced"),"FullyReceived")</f>
        <v>Not Receviced</v>
      </c>
      <c r="Q2497" t="str">
        <f>IF(T[[#This Row],[qty_received]]&lt;&gt;T[[#This Row],[qty_invoiced]],IF(T[[#This Row],[qty_invoiced]]&gt;0,"Partial Invoiced","Not Invoiced"),"Fully Invoiced")</f>
        <v>Partial Invoiced</v>
      </c>
      <c r="R2497" t="str">
        <f>IFERROR(VLOOKUP(T[[#This Row],[warehouse]],Table2[],2,FALSE),"--")</f>
        <v>--</v>
      </c>
    </row>
    <row r="2498" spans="1:18" x14ac:dyDescent="0.25">
      <c r="A2498" t="s">
        <v>560</v>
      </c>
      <c r="B2498" s="1">
        <v>44606</v>
      </c>
      <c r="C2498" t="s">
        <v>1546</v>
      </c>
      <c r="D2498" t="s">
        <v>513</v>
      </c>
      <c r="E2498" t="s">
        <v>51</v>
      </c>
      <c r="F2498" t="s">
        <v>164</v>
      </c>
      <c r="G2498" t="s">
        <v>1764</v>
      </c>
      <c r="H2498" t="s">
        <v>54</v>
      </c>
      <c r="I2498">
        <v>29.38</v>
      </c>
      <c r="J2498">
        <v>0</v>
      </c>
      <c r="K2498">
        <v>1</v>
      </c>
      <c r="L2498" t="s">
        <v>693</v>
      </c>
      <c r="M2498" t="s">
        <v>2836</v>
      </c>
      <c r="N2498">
        <v>9450</v>
      </c>
      <c r="O2498">
        <v>0</v>
      </c>
      <c r="P2498" t="str">
        <f>IF(T[[#This Row],[qty_ordered]]&lt;&gt;T[[#This Row],[qty_received]],IF(T[[#This Row],[qty_received]]&gt;0,"Partial Received","Not Receviced"),"FullyReceived")</f>
        <v>Not Receviced</v>
      </c>
      <c r="Q2498" t="str">
        <f>IF(T[[#This Row],[qty_received]]&lt;&gt;T[[#This Row],[qty_invoiced]],IF(T[[#This Row],[qty_invoiced]]&gt;0,"Partial Invoiced","Not Invoiced"),"Fully Invoiced")</f>
        <v>Partial Invoiced</v>
      </c>
      <c r="R2498" t="str">
        <f>IFERROR(VLOOKUP(T[[#This Row],[warehouse]],Table2[],2,FALSE),"--")</f>
        <v>--</v>
      </c>
    </row>
    <row r="2499" spans="1:18" x14ac:dyDescent="0.25">
      <c r="A2499" t="s">
        <v>560</v>
      </c>
      <c r="B2499" s="1">
        <v>44606</v>
      </c>
      <c r="C2499" t="s">
        <v>1546</v>
      </c>
      <c r="D2499" t="s">
        <v>858</v>
      </c>
      <c r="E2499" t="s">
        <v>51</v>
      </c>
      <c r="F2499" t="s">
        <v>164</v>
      </c>
      <c r="G2499" t="s">
        <v>1764</v>
      </c>
      <c r="H2499" t="s">
        <v>54</v>
      </c>
      <c r="I2499">
        <v>30.88</v>
      </c>
      <c r="J2499">
        <v>0</v>
      </c>
      <c r="K2499">
        <v>1</v>
      </c>
      <c r="L2499" t="s">
        <v>693</v>
      </c>
      <c r="M2499" t="s">
        <v>2836</v>
      </c>
      <c r="N2499">
        <v>9450</v>
      </c>
      <c r="O2499">
        <v>0</v>
      </c>
      <c r="P2499" t="str">
        <f>IF(T[[#This Row],[qty_ordered]]&lt;&gt;T[[#This Row],[qty_received]],IF(T[[#This Row],[qty_received]]&gt;0,"Partial Received","Not Receviced"),"FullyReceived")</f>
        <v>Not Receviced</v>
      </c>
      <c r="Q2499" t="str">
        <f>IF(T[[#This Row],[qty_received]]&lt;&gt;T[[#This Row],[qty_invoiced]],IF(T[[#This Row],[qty_invoiced]]&gt;0,"Partial Invoiced","Not Invoiced"),"Fully Invoiced")</f>
        <v>Partial Invoiced</v>
      </c>
      <c r="R2499" t="str">
        <f>IFERROR(VLOOKUP(T[[#This Row],[warehouse]],Table2[],2,FALSE),"--")</f>
        <v>--</v>
      </c>
    </row>
    <row r="2500" spans="1:18" x14ac:dyDescent="0.25">
      <c r="A2500" t="s">
        <v>1685</v>
      </c>
      <c r="B2500" s="1">
        <v>44740</v>
      </c>
      <c r="C2500" t="s">
        <v>1765</v>
      </c>
      <c r="D2500" t="s">
        <v>20</v>
      </c>
      <c r="E2500" t="s">
        <v>51</v>
      </c>
      <c r="F2500" t="s">
        <v>52</v>
      </c>
      <c r="G2500" t="s">
        <v>53</v>
      </c>
      <c r="H2500" t="s">
        <v>54</v>
      </c>
      <c r="I2500">
        <v>949.41600000000005</v>
      </c>
      <c r="J2500">
        <v>0</v>
      </c>
      <c r="K2500">
        <v>1</v>
      </c>
      <c r="L2500" t="s">
        <v>693</v>
      </c>
      <c r="M2500" t="s">
        <v>707</v>
      </c>
      <c r="N2500">
        <v>1146.5360000000001</v>
      </c>
      <c r="O2500">
        <v>0</v>
      </c>
      <c r="P2500" t="str">
        <f>IF(T[[#This Row],[qty_ordered]]&lt;&gt;T[[#This Row],[qty_received]],IF(T[[#This Row],[qty_received]]&gt;0,"Partial Received","Not Receviced"),"FullyReceived")</f>
        <v>Not Receviced</v>
      </c>
      <c r="Q2500" t="str">
        <f>IF(T[[#This Row],[qty_received]]&lt;&gt;T[[#This Row],[qty_invoiced]],IF(T[[#This Row],[qty_invoiced]]&gt;0,"Partial Invoiced","Not Invoiced"),"Fully Invoiced")</f>
        <v>Partial Invoiced</v>
      </c>
      <c r="R2500" t="str">
        <f>IFERROR(VLOOKUP(T[[#This Row],[warehouse]],Table2[],2,FALSE),"--")</f>
        <v>--</v>
      </c>
    </row>
    <row r="2501" spans="1:18" x14ac:dyDescent="0.25">
      <c r="A2501" t="s">
        <v>560</v>
      </c>
      <c r="B2501" s="1">
        <v>44606</v>
      </c>
      <c r="C2501" t="s">
        <v>1546</v>
      </c>
      <c r="D2501" t="s">
        <v>860</v>
      </c>
      <c r="E2501" t="s">
        <v>51</v>
      </c>
      <c r="F2501" t="s">
        <v>164</v>
      </c>
      <c r="G2501" t="s">
        <v>1764</v>
      </c>
      <c r="H2501" t="s">
        <v>54</v>
      </c>
      <c r="I2501">
        <v>30.88</v>
      </c>
      <c r="J2501">
        <v>0</v>
      </c>
      <c r="K2501">
        <v>1</v>
      </c>
      <c r="L2501" t="s">
        <v>693</v>
      </c>
      <c r="M2501" t="s">
        <v>2836</v>
      </c>
      <c r="N2501">
        <v>9450</v>
      </c>
      <c r="O2501">
        <v>0</v>
      </c>
      <c r="P2501" t="str">
        <f>IF(T[[#This Row],[qty_ordered]]&lt;&gt;T[[#This Row],[qty_received]],IF(T[[#This Row],[qty_received]]&gt;0,"Partial Received","Not Receviced"),"FullyReceived")</f>
        <v>Not Receviced</v>
      </c>
      <c r="Q2501" t="str">
        <f>IF(T[[#This Row],[qty_received]]&lt;&gt;T[[#This Row],[qty_invoiced]],IF(T[[#This Row],[qty_invoiced]]&gt;0,"Partial Invoiced","Not Invoiced"),"Fully Invoiced")</f>
        <v>Partial Invoiced</v>
      </c>
      <c r="R2501" t="str">
        <f>IFERROR(VLOOKUP(T[[#This Row],[warehouse]],Table2[],2,FALSE),"--")</f>
        <v>--</v>
      </c>
    </row>
    <row r="2502" spans="1:18" x14ac:dyDescent="0.25">
      <c r="A2502" t="s">
        <v>560</v>
      </c>
      <c r="B2502" s="1">
        <v>44606</v>
      </c>
      <c r="C2502" t="s">
        <v>1546</v>
      </c>
      <c r="D2502" t="s">
        <v>861</v>
      </c>
      <c r="E2502" t="s">
        <v>51</v>
      </c>
      <c r="F2502" t="s">
        <v>164</v>
      </c>
      <c r="G2502" t="s">
        <v>1764</v>
      </c>
      <c r="H2502" t="s">
        <v>54</v>
      </c>
      <c r="I2502">
        <v>30.63</v>
      </c>
      <c r="J2502">
        <v>0</v>
      </c>
      <c r="K2502">
        <v>1</v>
      </c>
      <c r="L2502" t="s">
        <v>693</v>
      </c>
      <c r="M2502" t="s">
        <v>2836</v>
      </c>
      <c r="N2502">
        <v>9450</v>
      </c>
      <c r="O2502">
        <v>0</v>
      </c>
      <c r="P2502" t="str">
        <f>IF(T[[#This Row],[qty_ordered]]&lt;&gt;T[[#This Row],[qty_received]],IF(T[[#This Row],[qty_received]]&gt;0,"Partial Received","Not Receviced"),"FullyReceived")</f>
        <v>Not Receviced</v>
      </c>
      <c r="Q2502" t="str">
        <f>IF(T[[#This Row],[qty_received]]&lt;&gt;T[[#This Row],[qty_invoiced]],IF(T[[#This Row],[qty_invoiced]]&gt;0,"Partial Invoiced","Not Invoiced"),"Fully Invoiced")</f>
        <v>Partial Invoiced</v>
      </c>
      <c r="R2502" t="str">
        <f>IFERROR(VLOOKUP(T[[#This Row],[warehouse]],Table2[],2,FALSE),"--")</f>
        <v>--</v>
      </c>
    </row>
    <row r="2503" spans="1:18" x14ac:dyDescent="0.25">
      <c r="A2503" t="s">
        <v>560</v>
      </c>
      <c r="B2503" s="1">
        <v>44606</v>
      </c>
      <c r="C2503" t="s">
        <v>1544</v>
      </c>
      <c r="D2503" t="s">
        <v>322</v>
      </c>
      <c r="E2503" t="s">
        <v>51</v>
      </c>
      <c r="F2503" t="s">
        <v>164</v>
      </c>
      <c r="G2503" t="s">
        <v>1766</v>
      </c>
      <c r="H2503" t="s">
        <v>54</v>
      </c>
      <c r="I2503">
        <v>10</v>
      </c>
      <c r="J2503">
        <v>0</v>
      </c>
      <c r="K2503">
        <v>1</v>
      </c>
      <c r="L2503" t="s">
        <v>693</v>
      </c>
      <c r="M2503" t="s">
        <v>2836</v>
      </c>
      <c r="N2503">
        <v>9450</v>
      </c>
      <c r="O2503">
        <v>0</v>
      </c>
      <c r="P2503" t="str">
        <f>IF(T[[#This Row],[qty_ordered]]&lt;&gt;T[[#This Row],[qty_received]],IF(T[[#This Row],[qty_received]]&gt;0,"Partial Received","Not Receviced"),"FullyReceived")</f>
        <v>Not Receviced</v>
      </c>
      <c r="Q2503" t="str">
        <f>IF(T[[#This Row],[qty_received]]&lt;&gt;T[[#This Row],[qty_invoiced]],IF(T[[#This Row],[qty_invoiced]]&gt;0,"Partial Invoiced","Not Invoiced"),"Fully Invoiced")</f>
        <v>Partial Invoiced</v>
      </c>
      <c r="R2503" t="str">
        <f>IFERROR(VLOOKUP(T[[#This Row],[warehouse]],Table2[],2,FALSE),"--")</f>
        <v>--</v>
      </c>
    </row>
    <row r="2504" spans="1:18" x14ac:dyDescent="0.25">
      <c r="A2504" t="s">
        <v>560</v>
      </c>
      <c r="B2504" s="1">
        <v>44634</v>
      </c>
      <c r="C2504" t="s">
        <v>1539</v>
      </c>
      <c r="D2504" t="s">
        <v>74</v>
      </c>
      <c r="E2504" t="s">
        <v>51</v>
      </c>
      <c r="F2504" t="s">
        <v>164</v>
      </c>
      <c r="G2504" t="s">
        <v>1767</v>
      </c>
      <c r="H2504" t="s">
        <v>54</v>
      </c>
      <c r="I2504">
        <v>26</v>
      </c>
      <c r="J2504">
        <v>0</v>
      </c>
      <c r="K2504">
        <v>1</v>
      </c>
      <c r="L2504" t="s">
        <v>693</v>
      </c>
      <c r="M2504" t="s">
        <v>2836</v>
      </c>
      <c r="N2504">
        <v>9450</v>
      </c>
      <c r="O2504">
        <v>0</v>
      </c>
      <c r="P2504" t="str">
        <f>IF(T[[#This Row],[qty_ordered]]&lt;&gt;T[[#This Row],[qty_received]],IF(T[[#This Row],[qty_received]]&gt;0,"Partial Received","Not Receviced"),"FullyReceived")</f>
        <v>Not Receviced</v>
      </c>
      <c r="Q2504" t="str">
        <f>IF(T[[#This Row],[qty_received]]&lt;&gt;T[[#This Row],[qty_invoiced]],IF(T[[#This Row],[qty_invoiced]]&gt;0,"Partial Invoiced","Not Invoiced"),"Fully Invoiced")</f>
        <v>Partial Invoiced</v>
      </c>
      <c r="R2504" t="str">
        <f>IFERROR(VLOOKUP(T[[#This Row],[warehouse]],Table2[],2,FALSE),"--")</f>
        <v>--</v>
      </c>
    </row>
    <row r="2505" spans="1:18" x14ac:dyDescent="0.25">
      <c r="A2505" t="s">
        <v>560</v>
      </c>
      <c r="B2505" s="1">
        <v>44572</v>
      </c>
      <c r="C2505" t="s">
        <v>1651</v>
      </c>
      <c r="D2505" t="s">
        <v>324</v>
      </c>
      <c r="E2505" t="s">
        <v>51</v>
      </c>
      <c r="F2505" t="s">
        <v>164</v>
      </c>
      <c r="G2505" t="s">
        <v>1768</v>
      </c>
      <c r="H2505" t="s">
        <v>54</v>
      </c>
      <c r="I2505">
        <v>28.25</v>
      </c>
      <c r="J2505">
        <v>0</v>
      </c>
      <c r="K2505">
        <v>1</v>
      </c>
      <c r="L2505" t="s">
        <v>693</v>
      </c>
      <c r="M2505" t="s">
        <v>2836</v>
      </c>
      <c r="N2505">
        <v>9450</v>
      </c>
      <c r="O2505">
        <v>0</v>
      </c>
      <c r="P2505" t="str">
        <f>IF(T[[#This Row],[qty_ordered]]&lt;&gt;T[[#This Row],[qty_received]],IF(T[[#This Row],[qty_received]]&gt;0,"Partial Received","Not Receviced"),"FullyReceived")</f>
        <v>Not Receviced</v>
      </c>
      <c r="Q2505" t="str">
        <f>IF(T[[#This Row],[qty_received]]&lt;&gt;T[[#This Row],[qty_invoiced]],IF(T[[#This Row],[qty_invoiced]]&gt;0,"Partial Invoiced","Not Invoiced"),"Fully Invoiced")</f>
        <v>Partial Invoiced</v>
      </c>
      <c r="R2505" t="str">
        <f>IFERROR(VLOOKUP(T[[#This Row],[warehouse]],Table2[],2,FALSE),"--")</f>
        <v>--</v>
      </c>
    </row>
    <row r="2506" spans="1:18" x14ac:dyDescent="0.25">
      <c r="A2506" t="s">
        <v>560</v>
      </c>
      <c r="B2506" s="1">
        <v>44572</v>
      </c>
      <c r="C2506" t="s">
        <v>1651</v>
      </c>
      <c r="D2506" t="s">
        <v>325</v>
      </c>
      <c r="E2506" t="s">
        <v>51</v>
      </c>
      <c r="F2506" t="s">
        <v>164</v>
      </c>
      <c r="G2506" t="s">
        <v>1768</v>
      </c>
      <c r="H2506" t="s">
        <v>54</v>
      </c>
      <c r="I2506">
        <v>35.880000000000003</v>
      </c>
      <c r="J2506">
        <v>0</v>
      </c>
      <c r="K2506">
        <v>1</v>
      </c>
      <c r="L2506" t="s">
        <v>693</v>
      </c>
      <c r="M2506" t="s">
        <v>2836</v>
      </c>
      <c r="N2506">
        <v>9450</v>
      </c>
      <c r="O2506">
        <v>0</v>
      </c>
      <c r="P2506" t="str">
        <f>IF(T[[#This Row],[qty_ordered]]&lt;&gt;T[[#This Row],[qty_received]],IF(T[[#This Row],[qty_received]]&gt;0,"Partial Received","Not Receviced"),"FullyReceived")</f>
        <v>Not Receviced</v>
      </c>
      <c r="Q2506" t="str">
        <f>IF(T[[#This Row],[qty_received]]&lt;&gt;T[[#This Row],[qty_invoiced]],IF(T[[#This Row],[qty_invoiced]]&gt;0,"Partial Invoiced","Not Invoiced"),"Fully Invoiced")</f>
        <v>Partial Invoiced</v>
      </c>
      <c r="R2506" t="str">
        <f>IFERROR(VLOOKUP(T[[#This Row],[warehouse]],Table2[],2,FALSE),"--")</f>
        <v>--</v>
      </c>
    </row>
    <row r="2507" spans="1:18" x14ac:dyDescent="0.25">
      <c r="A2507" t="s">
        <v>560</v>
      </c>
      <c r="B2507" s="1">
        <v>44572</v>
      </c>
      <c r="C2507" t="s">
        <v>1651</v>
      </c>
      <c r="D2507" t="s">
        <v>451</v>
      </c>
      <c r="E2507" t="s">
        <v>51</v>
      </c>
      <c r="F2507" t="s">
        <v>164</v>
      </c>
      <c r="G2507" t="s">
        <v>1768</v>
      </c>
      <c r="H2507" t="s">
        <v>54</v>
      </c>
      <c r="I2507">
        <v>15.63</v>
      </c>
      <c r="J2507">
        <v>0</v>
      </c>
      <c r="K2507">
        <v>1</v>
      </c>
      <c r="L2507" t="s">
        <v>693</v>
      </c>
      <c r="M2507" t="s">
        <v>2836</v>
      </c>
      <c r="N2507">
        <v>9450</v>
      </c>
      <c r="O2507">
        <v>0</v>
      </c>
      <c r="P2507" t="str">
        <f>IF(T[[#This Row],[qty_ordered]]&lt;&gt;T[[#This Row],[qty_received]],IF(T[[#This Row],[qty_received]]&gt;0,"Partial Received","Not Receviced"),"FullyReceived")</f>
        <v>Not Receviced</v>
      </c>
      <c r="Q2507" t="str">
        <f>IF(T[[#This Row],[qty_received]]&lt;&gt;T[[#This Row],[qty_invoiced]],IF(T[[#This Row],[qty_invoiced]]&gt;0,"Partial Invoiced","Not Invoiced"),"Fully Invoiced")</f>
        <v>Partial Invoiced</v>
      </c>
      <c r="R2507" t="str">
        <f>IFERROR(VLOOKUP(T[[#This Row],[warehouse]],Table2[],2,FALSE),"--")</f>
        <v>--</v>
      </c>
    </row>
    <row r="2508" spans="1:18" x14ac:dyDescent="0.25">
      <c r="A2508" t="s">
        <v>560</v>
      </c>
      <c r="B2508" s="1">
        <v>44572</v>
      </c>
      <c r="C2508" t="s">
        <v>1651</v>
      </c>
      <c r="D2508" t="s">
        <v>452</v>
      </c>
      <c r="E2508" t="s">
        <v>51</v>
      </c>
      <c r="F2508" t="s">
        <v>164</v>
      </c>
      <c r="G2508" t="s">
        <v>1769</v>
      </c>
      <c r="H2508" t="s">
        <v>54</v>
      </c>
      <c r="I2508">
        <v>23</v>
      </c>
      <c r="J2508">
        <v>0</v>
      </c>
      <c r="K2508">
        <v>1</v>
      </c>
      <c r="L2508" t="s">
        <v>693</v>
      </c>
      <c r="M2508" t="s">
        <v>2836</v>
      </c>
      <c r="N2508">
        <v>9450</v>
      </c>
      <c r="O2508">
        <v>0</v>
      </c>
      <c r="P2508" t="str">
        <f>IF(T[[#This Row],[qty_ordered]]&lt;&gt;T[[#This Row],[qty_received]],IF(T[[#This Row],[qty_received]]&gt;0,"Partial Received","Not Receviced"),"FullyReceived")</f>
        <v>Not Receviced</v>
      </c>
      <c r="Q2508" t="str">
        <f>IF(T[[#This Row],[qty_received]]&lt;&gt;T[[#This Row],[qty_invoiced]],IF(T[[#This Row],[qty_invoiced]]&gt;0,"Partial Invoiced","Not Invoiced"),"Fully Invoiced")</f>
        <v>Partial Invoiced</v>
      </c>
      <c r="R2508" t="str">
        <f>IFERROR(VLOOKUP(T[[#This Row],[warehouse]],Table2[],2,FALSE),"--")</f>
        <v>--</v>
      </c>
    </row>
    <row r="2509" spans="1:18" x14ac:dyDescent="0.25">
      <c r="A2509" t="s">
        <v>560</v>
      </c>
      <c r="B2509" s="1">
        <v>44720</v>
      </c>
      <c r="C2509" t="s">
        <v>1693</v>
      </c>
      <c r="D2509" t="s">
        <v>71</v>
      </c>
      <c r="E2509" t="s">
        <v>51</v>
      </c>
      <c r="F2509" t="s">
        <v>164</v>
      </c>
      <c r="G2509" t="s">
        <v>1770</v>
      </c>
      <c r="H2509" t="s">
        <v>54</v>
      </c>
      <c r="I2509">
        <v>24</v>
      </c>
      <c r="J2509">
        <v>0</v>
      </c>
      <c r="K2509">
        <v>1</v>
      </c>
      <c r="L2509" t="s">
        <v>693</v>
      </c>
      <c r="M2509" t="s">
        <v>533</v>
      </c>
      <c r="N2509">
        <v>9450</v>
      </c>
      <c r="O2509">
        <v>0</v>
      </c>
      <c r="P2509" t="str">
        <f>IF(T[[#This Row],[qty_ordered]]&lt;&gt;T[[#This Row],[qty_received]],IF(T[[#This Row],[qty_received]]&gt;0,"Partial Received","Not Receviced"),"FullyReceived")</f>
        <v>Not Receviced</v>
      </c>
      <c r="Q2509" t="str">
        <f>IF(T[[#This Row],[qty_received]]&lt;&gt;T[[#This Row],[qty_invoiced]],IF(T[[#This Row],[qty_invoiced]]&gt;0,"Partial Invoiced","Not Invoiced"),"Fully Invoiced")</f>
        <v>Partial Invoiced</v>
      </c>
      <c r="R2509" t="str">
        <f>IFERROR(VLOOKUP(T[[#This Row],[warehouse]],Table2[],2,FALSE),"--")</f>
        <v>--</v>
      </c>
    </row>
    <row r="2510" spans="1:18" x14ac:dyDescent="0.25">
      <c r="A2510" t="s">
        <v>560</v>
      </c>
      <c r="B2510" s="1">
        <v>44720</v>
      </c>
      <c r="C2510" t="s">
        <v>1693</v>
      </c>
      <c r="D2510" t="s">
        <v>100</v>
      </c>
      <c r="E2510" t="s">
        <v>51</v>
      </c>
      <c r="F2510" t="s">
        <v>164</v>
      </c>
      <c r="G2510" t="s">
        <v>1770</v>
      </c>
      <c r="H2510" t="s">
        <v>54</v>
      </c>
      <c r="I2510">
        <v>26</v>
      </c>
      <c r="J2510">
        <v>0</v>
      </c>
      <c r="K2510">
        <v>1</v>
      </c>
      <c r="L2510" t="s">
        <v>693</v>
      </c>
      <c r="M2510" t="s">
        <v>533</v>
      </c>
      <c r="N2510">
        <v>9450</v>
      </c>
      <c r="O2510">
        <v>0</v>
      </c>
      <c r="P2510" t="str">
        <f>IF(T[[#This Row],[qty_ordered]]&lt;&gt;T[[#This Row],[qty_received]],IF(T[[#This Row],[qty_received]]&gt;0,"Partial Received","Not Receviced"),"FullyReceived")</f>
        <v>Not Receviced</v>
      </c>
      <c r="Q2510" t="str">
        <f>IF(T[[#This Row],[qty_received]]&lt;&gt;T[[#This Row],[qty_invoiced]],IF(T[[#This Row],[qty_invoiced]]&gt;0,"Partial Invoiced","Not Invoiced"),"Fully Invoiced")</f>
        <v>Partial Invoiced</v>
      </c>
      <c r="R2510" t="str">
        <f>IFERROR(VLOOKUP(T[[#This Row],[warehouse]],Table2[],2,FALSE),"--")</f>
        <v>--</v>
      </c>
    </row>
    <row r="2511" spans="1:18" x14ac:dyDescent="0.25">
      <c r="A2511" t="s">
        <v>560</v>
      </c>
      <c r="B2511" s="1">
        <v>44746</v>
      </c>
      <c r="C2511" t="s">
        <v>1771</v>
      </c>
      <c r="D2511" t="s">
        <v>20</v>
      </c>
      <c r="E2511" t="s">
        <v>51</v>
      </c>
      <c r="F2511" t="s">
        <v>164</v>
      </c>
      <c r="G2511" t="s">
        <v>1772</v>
      </c>
      <c r="H2511" t="s">
        <v>54</v>
      </c>
      <c r="I2511">
        <v>15.88</v>
      </c>
      <c r="J2511">
        <v>0</v>
      </c>
      <c r="K2511">
        <v>1</v>
      </c>
      <c r="L2511" t="s">
        <v>693</v>
      </c>
      <c r="M2511" t="s">
        <v>2836</v>
      </c>
      <c r="N2511">
        <v>9450</v>
      </c>
      <c r="O2511">
        <v>0</v>
      </c>
      <c r="P2511" t="str">
        <f>IF(T[[#This Row],[qty_ordered]]&lt;&gt;T[[#This Row],[qty_received]],IF(T[[#This Row],[qty_received]]&gt;0,"Partial Received","Not Receviced"),"FullyReceived")</f>
        <v>Not Receviced</v>
      </c>
      <c r="Q2511" t="str">
        <f>IF(T[[#This Row],[qty_received]]&lt;&gt;T[[#This Row],[qty_invoiced]],IF(T[[#This Row],[qty_invoiced]]&gt;0,"Partial Invoiced","Not Invoiced"),"Fully Invoiced")</f>
        <v>Partial Invoiced</v>
      </c>
      <c r="R2511" t="str">
        <f>IFERROR(VLOOKUP(T[[#This Row],[warehouse]],Table2[],2,FALSE),"--")</f>
        <v>--</v>
      </c>
    </row>
    <row r="2512" spans="1:18" x14ac:dyDescent="0.25">
      <c r="A2512" t="s">
        <v>224</v>
      </c>
      <c r="B2512" s="1">
        <v>44598</v>
      </c>
      <c r="C2512" t="s">
        <v>1773</v>
      </c>
      <c r="D2512" t="s">
        <v>76</v>
      </c>
      <c r="E2512" t="s">
        <v>51</v>
      </c>
      <c r="F2512" t="s">
        <v>183</v>
      </c>
      <c r="G2512" t="s">
        <v>1774</v>
      </c>
      <c r="H2512" t="s">
        <v>54</v>
      </c>
      <c r="I2512">
        <v>19.922000000000001</v>
      </c>
      <c r="J2512">
        <v>0</v>
      </c>
      <c r="K2512">
        <v>1</v>
      </c>
      <c r="L2512" t="s">
        <v>693</v>
      </c>
      <c r="M2512" t="s">
        <v>533</v>
      </c>
      <c r="N2512">
        <v>7000</v>
      </c>
      <c r="O2512">
        <v>0</v>
      </c>
      <c r="P2512" t="str">
        <f>IF(T[[#This Row],[qty_ordered]]&lt;&gt;T[[#This Row],[qty_received]],IF(T[[#This Row],[qty_received]]&gt;0,"Partial Received","Not Receviced"),"FullyReceived")</f>
        <v>Not Receviced</v>
      </c>
      <c r="Q2512" t="str">
        <f>IF(T[[#This Row],[qty_received]]&lt;&gt;T[[#This Row],[qty_invoiced]],IF(T[[#This Row],[qty_invoiced]]&gt;0,"Partial Invoiced","Not Invoiced"),"Fully Invoiced")</f>
        <v>Partial Invoiced</v>
      </c>
      <c r="R2512" t="str">
        <f>IFERROR(VLOOKUP(T[[#This Row],[warehouse]],Table2[],2,FALSE),"--")</f>
        <v>--</v>
      </c>
    </row>
    <row r="2513" spans="1:18" x14ac:dyDescent="0.25">
      <c r="A2513" t="s">
        <v>560</v>
      </c>
      <c r="B2513" s="1">
        <v>44746</v>
      </c>
      <c r="C2513" t="s">
        <v>1771</v>
      </c>
      <c r="D2513" t="s">
        <v>71</v>
      </c>
      <c r="E2513" t="s">
        <v>51</v>
      </c>
      <c r="F2513" t="s">
        <v>164</v>
      </c>
      <c r="G2513" t="s">
        <v>1772</v>
      </c>
      <c r="H2513" t="s">
        <v>54</v>
      </c>
      <c r="I2513">
        <v>24.25</v>
      </c>
      <c r="J2513">
        <v>0</v>
      </c>
      <c r="K2513">
        <v>1</v>
      </c>
      <c r="L2513" t="s">
        <v>693</v>
      </c>
      <c r="M2513" t="s">
        <v>2836</v>
      </c>
      <c r="N2513">
        <v>9450</v>
      </c>
      <c r="O2513">
        <v>0</v>
      </c>
      <c r="P2513" t="str">
        <f>IF(T[[#This Row],[qty_ordered]]&lt;&gt;T[[#This Row],[qty_received]],IF(T[[#This Row],[qty_received]]&gt;0,"Partial Received","Not Receviced"),"FullyReceived")</f>
        <v>Not Receviced</v>
      </c>
      <c r="Q2513" t="str">
        <f>IF(T[[#This Row],[qty_received]]&lt;&gt;T[[#This Row],[qty_invoiced]],IF(T[[#This Row],[qty_invoiced]]&gt;0,"Partial Invoiced","Not Invoiced"),"Fully Invoiced")</f>
        <v>Partial Invoiced</v>
      </c>
      <c r="R2513" t="str">
        <f>IFERROR(VLOOKUP(T[[#This Row],[warehouse]],Table2[],2,FALSE),"--")</f>
        <v>--</v>
      </c>
    </row>
    <row r="2514" spans="1:18" x14ac:dyDescent="0.25">
      <c r="A2514" t="s">
        <v>1775</v>
      </c>
      <c r="B2514" s="1">
        <v>44759</v>
      </c>
      <c r="C2514" t="s">
        <v>1776</v>
      </c>
      <c r="D2514" t="s">
        <v>20</v>
      </c>
      <c r="E2514" t="s">
        <v>51</v>
      </c>
      <c r="F2514" t="s">
        <v>183</v>
      </c>
      <c r="G2514" t="s">
        <v>1575</v>
      </c>
      <c r="H2514" t="s">
        <v>54</v>
      </c>
      <c r="I2514">
        <v>523.76</v>
      </c>
      <c r="J2514">
        <v>0</v>
      </c>
      <c r="K2514">
        <v>1</v>
      </c>
      <c r="L2514" t="s">
        <v>693</v>
      </c>
      <c r="M2514" t="s">
        <v>533</v>
      </c>
      <c r="N2514">
        <v>11500</v>
      </c>
      <c r="O2514">
        <v>0</v>
      </c>
      <c r="P2514" t="str">
        <f>IF(T[[#This Row],[qty_ordered]]&lt;&gt;T[[#This Row],[qty_received]],IF(T[[#This Row],[qty_received]]&gt;0,"Partial Received","Not Receviced"),"FullyReceived")</f>
        <v>Not Receviced</v>
      </c>
      <c r="Q2514" t="str">
        <f>IF(T[[#This Row],[qty_received]]&lt;&gt;T[[#This Row],[qty_invoiced]],IF(T[[#This Row],[qty_invoiced]]&gt;0,"Partial Invoiced","Not Invoiced"),"Fully Invoiced")</f>
        <v>Partial Invoiced</v>
      </c>
      <c r="R2514" t="str">
        <f>IFERROR(VLOOKUP(T[[#This Row],[warehouse]],Table2[],2,FALSE),"--")</f>
        <v>--</v>
      </c>
    </row>
    <row r="2515" spans="1:18" x14ac:dyDescent="0.25">
      <c r="A2515" t="s">
        <v>1775</v>
      </c>
      <c r="B2515" s="1">
        <v>44759</v>
      </c>
      <c r="C2515" t="s">
        <v>1776</v>
      </c>
      <c r="D2515" t="s">
        <v>71</v>
      </c>
      <c r="E2515" t="s">
        <v>51</v>
      </c>
      <c r="F2515" t="s">
        <v>185</v>
      </c>
      <c r="G2515" t="s">
        <v>1777</v>
      </c>
      <c r="H2515" t="s">
        <v>54</v>
      </c>
      <c r="I2515">
        <v>2000</v>
      </c>
      <c r="J2515">
        <v>0</v>
      </c>
      <c r="K2515">
        <v>1</v>
      </c>
      <c r="L2515" t="s">
        <v>693</v>
      </c>
      <c r="M2515" t="s">
        <v>533</v>
      </c>
      <c r="N2515">
        <v>150</v>
      </c>
      <c r="O2515">
        <v>0</v>
      </c>
      <c r="P2515" t="str">
        <f>IF(T[[#This Row],[qty_ordered]]&lt;&gt;T[[#This Row],[qty_received]],IF(T[[#This Row],[qty_received]]&gt;0,"Partial Received","Not Receviced"),"FullyReceived")</f>
        <v>Not Receviced</v>
      </c>
      <c r="Q2515" t="str">
        <f>IF(T[[#This Row],[qty_received]]&lt;&gt;T[[#This Row],[qty_invoiced]],IF(T[[#This Row],[qty_invoiced]]&gt;0,"Partial Invoiced","Not Invoiced"),"Fully Invoiced")</f>
        <v>Partial Invoiced</v>
      </c>
      <c r="R2515" t="str">
        <f>IFERROR(VLOOKUP(T[[#This Row],[warehouse]],Table2[],2,FALSE),"--")</f>
        <v>--</v>
      </c>
    </row>
    <row r="2516" spans="1:18" x14ac:dyDescent="0.25">
      <c r="A2516" t="s">
        <v>1775</v>
      </c>
      <c r="B2516" s="1">
        <v>44759</v>
      </c>
      <c r="C2516" t="s">
        <v>1776</v>
      </c>
      <c r="D2516" t="s">
        <v>100</v>
      </c>
      <c r="E2516" t="s">
        <v>51</v>
      </c>
      <c r="F2516" t="s">
        <v>373</v>
      </c>
      <c r="G2516" t="s">
        <v>1778</v>
      </c>
      <c r="H2516" t="s">
        <v>54</v>
      </c>
      <c r="I2516">
        <v>497</v>
      </c>
      <c r="J2516">
        <v>0</v>
      </c>
      <c r="K2516">
        <v>1</v>
      </c>
      <c r="L2516" t="s">
        <v>693</v>
      </c>
      <c r="M2516" t="s">
        <v>533</v>
      </c>
      <c r="N2516">
        <v>70</v>
      </c>
      <c r="O2516">
        <v>0</v>
      </c>
      <c r="P2516" t="str">
        <f>IF(T[[#This Row],[qty_ordered]]&lt;&gt;T[[#This Row],[qty_received]],IF(T[[#This Row],[qty_received]]&gt;0,"Partial Received","Not Receviced"),"FullyReceived")</f>
        <v>Not Receviced</v>
      </c>
      <c r="Q2516" t="str">
        <f>IF(T[[#This Row],[qty_received]]&lt;&gt;T[[#This Row],[qty_invoiced]],IF(T[[#This Row],[qty_invoiced]]&gt;0,"Partial Invoiced","Not Invoiced"),"Fully Invoiced")</f>
        <v>Partial Invoiced</v>
      </c>
      <c r="R2516" t="str">
        <f>IFERROR(VLOOKUP(T[[#This Row],[warehouse]],Table2[],2,FALSE),"--")</f>
        <v>--</v>
      </c>
    </row>
    <row r="2517" spans="1:18" x14ac:dyDescent="0.25">
      <c r="A2517" t="s">
        <v>1775</v>
      </c>
      <c r="B2517" s="1">
        <v>44759</v>
      </c>
      <c r="C2517" t="s">
        <v>1776</v>
      </c>
      <c r="D2517" t="s">
        <v>88</v>
      </c>
      <c r="E2517" t="s">
        <v>51</v>
      </c>
      <c r="F2517" t="s">
        <v>1703</v>
      </c>
      <c r="G2517" t="s">
        <v>1779</v>
      </c>
      <c r="H2517" t="s">
        <v>54</v>
      </c>
      <c r="I2517">
        <v>1</v>
      </c>
      <c r="J2517">
        <v>0</v>
      </c>
      <c r="K2517">
        <v>1</v>
      </c>
      <c r="L2517" t="s">
        <v>693</v>
      </c>
      <c r="M2517" t="s">
        <v>533</v>
      </c>
      <c r="N2517">
        <v>155870</v>
      </c>
      <c r="O2517">
        <v>0</v>
      </c>
      <c r="P2517" t="str">
        <f>IF(T[[#This Row],[qty_ordered]]&lt;&gt;T[[#This Row],[qty_received]],IF(T[[#This Row],[qty_received]]&gt;0,"Partial Received","Not Receviced"),"FullyReceived")</f>
        <v>Not Receviced</v>
      </c>
      <c r="Q2517" t="str">
        <f>IF(T[[#This Row],[qty_received]]&lt;&gt;T[[#This Row],[qty_invoiced]],IF(T[[#This Row],[qty_invoiced]]&gt;0,"Partial Invoiced","Not Invoiced"),"Fully Invoiced")</f>
        <v>Partial Invoiced</v>
      </c>
      <c r="R2517" t="str">
        <f>IFERROR(VLOOKUP(T[[#This Row],[warehouse]],Table2[],2,FALSE),"--")</f>
        <v>--</v>
      </c>
    </row>
    <row r="2518" spans="1:18" x14ac:dyDescent="0.25">
      <c r="A2518" t="s">
        <v>201</v>
      </c>
      <c r="B2518" s="1">
        <v>44760</v>
      </c>
      <c r="C2518" t="s">
        <v>1780</v>
      </c>
      <c r="D2518" t="s">
        <v>20</v>
      </c>
      <c r="E2518" t="s">
        <v>1220</v>
      </c>
      <c r="F2518" t="s">
        <v>1781</v>
      </c>
      <c r="G2518" t="s">
        <v>1782</v>
      </c>
      <c r="H2518" t="s">
        <v>123</v>
      </c>
      <c r="I2518">
        <v>140000</v>
      </c>
      <c r="J2518">
        <v>0</v>
      </c>
      <c r="K2518">
        <v>0</v>
      </c>
      <c r="L2518" t="s">
        <v>693</v>
      </c>
      <c r="M2518" t="s">
        <v>707</v>
      </c>
      <c r="N2518">
        <v>20086.333084999998</v>
      </c>
      <c r="O2518">
        <v>0</v>
      </c>
      <c r="P2518" t="str">
        <f>IF(T[[#This Row],[qty_ordered]]&lt;&gt;T[[#This Row],[qty_received]],IF(T[[#This Row],[qty_received]]&gt;0,"Partial Received","Not Receviced"),"FullyReceived")</f>
        <v>Not Receviced</v>
      </c>
      <c r="Q2518" t="str">
        <f>IF(T[[#This Row],[qty_received]]&lt;&gt;T[[#This Row],[qty_invoiced]],IF(T[[#This Row],[qty_invoiced]]&gt;0,"Partial Invoiced","Not Invoiced"),"Fully Invoiced")</f>
        <v>Fully Invoiced</v>
      </c>
      <c r="R2518" t="str">
        <f>IFERROR(VLOOKUP(T[[#This Row],[warehouse]],Table2[],2,FALSE),"--")</f>
        <v>Import Virtual Warehouse - PZU</v>
      </c>
    </row>
    <row r="2519" spans="1:18" x14ac:dyDescent="0.25">
      <c r="A2519" t="s">
        <v>1059</v>
      </c>
      <c r="B2519" s="1">
        <v>44761</v>
      </c>
      <c r="C2519" t="s">
        <v>1783</v>
      </c>
      <c r="D2519" t="s">
        <v>100</v>
      </c>
      <c r="E2519" t="s">
        <v>51</v>
      </c>
      <c r="F2519" t="s">
        <v>266</v>
      </c>
      <c r="G2519" t="s">
        <v>1784</v>
      </c>
      <c r="H2519" t="s">
        <v>54</v>
      </c>
      <c r="I2519">
        <v>625</v>
      </c>
      <c r="J2519">
        <v>0</v>
      </c>
      <c r="K2519">
        <v>1</v>
      </c>
      <c r="L2519" t="s">
        <v>693</v>
      </c>
      <c r="M2519" t="s">
        <v>2836</v>
      </c>
      <c r="N2519">
        <v>207.50720000000001</v>
      </c>
      <c r="O2519">
        <v>0</v>
      </c>
      <c r="P2519" t="str">
        <f>IF(T[[#This Row],[qty_ordered]]&lt;&gt;T[[#This Row],[qty_received]],IF(T[[#This Row],[qty_received]]&gt;0,"Partial Received","Not Receviced"),"FullyReceived")</f>
        <v>Not Receviced</v>
      </c>
      <c r="Q2519" t="str">
        <f>IF(T[[#This Row],[qty_received]]&lt;&gt;T[[#This Row],[qty_invoiced]],IF(T[[#This Row],[qty_invoiced]]&gt;0,"Partial Invoiced","Not Invoiced"),"Fully Invoiced")</f>
        <v>Partial Invoiced</v>
      </c>
      <c r="R2519" t="str">
        <f>IFERROR(VLOOKUP(T[[#This Row],[warehouse]],Table2[],2,FALSE),"--")</f>
        <v>--</v>
      </c>
    </row>
    <row r="2520" spans="1:18" x14ac:dyDescent="0.25">
      <c r="A2520" t="s">
        <v>1059</v>
      </c>
      <c r="B2520" s="1">
        <v>44761</v>
      </c>
      <c r="C2520" t="s">
        <v>1783</v>
      </c>
      <c r="D2520" t="s">
        <v>74</v>
      </c>
      <c r="E2520" t="s">
        <v>51</v>
      </c>
      <c r="F2520" t="s">
        <v>262</v>
      </c>
      <c r="G2520" t="s">
        <v>1785</v>
      </c>
      <c r="H2520" t="s">
        <v>54</v>
      </c>
      <c r="I2520">
        <v>2500</v>
      </c>
      <c r="J2520">
        <v>0</v>
      </c>
      <c r="K2520">
        <v>1</v>
      </c>
      <c r="L2520" t="s">
        <v>693</v>
      </c>
      <c r="M2520" t="s">
        <v>2836</v>
      </c>
      <c r="N2520">
        <v>354</v>
      </c>
      <c r="O2520">
        <v>0</v>
      </c>
      <c r="P2520" t="str">
        <f>IF(T[[#This Row],[qty_ordered]]&lt;&gt;T[[#This Row],[qty_received]],IF(T[[#This Row],[qty_received]]&gt;0,"Partial Received","Not Receviced"),"FullyReceived")</f>
        <v>Not Receviced</v>
      </c>
      <c r="Q2520" t="str">
        <f>IF(T[[#This Row],[qty_received]]&lt;&gt;T[[#This Row],[qty_invoiced]],IF(T[[#This Row],[qty_invoiced]]&gt;0,"Partial Invoiced","Not Invoiced"),"Fully Invoiced")</f>
        <v>Partial Invoiced</v>
      </c>
      <c r="R2520" t="str">
        <f>IFERROR(VLOOKUP(T[[#This Row],[warehouse]],Table2[],2,FALSE),"--")</f>
        <v>--</v>
      </c>
    </row>
    <row r="2521" spans="1:18" x14ac:dyDescent="0.25">
      <c r="A2521" t="s">
        <v>1059</v>
      </c>
      <c r="B2521" s="1">
        <v>44761</v>
      </c>
      <c r="C2521" t="s">
        <v>1783</v>
      </c>
      <c r="D2521" t="s">
        <v>76</v>
      </c>
      <c r="E2521" t="s">
        <v>51</v>
      </c>
      <c r="F2521" t="s">
        <v>262</v>
      </c>
      <c r="G2521" t="s">
        <v>1786</v>
      </c>
      <c r="H2521" t="s">
        <v>54</v>
      </c>
      <c r="I2521">
        <v>125</v>
      </c>
      <c r="J2521">
        <v>0</v>
      </c>
      <c r="K2521">
        <v>1</v>
      </c>
      <c r="L2521" t="s">
        <v>693</v>
      </c>
      <c r="M2521" t="s">
        <v>2836</v>
      </c>
      <c r="N2521">
        <v>394.88</v>
      </c>
      <c r="O2521">
        <v>0</v>
      </c>
      <c r="P2521" t="str">
        <f>IF(T[[#This Row],[qty_ordered]]&lt;&gt;T[[#This Row],[qty_received]],IF(T[[#This Row],[qty_received]]&gt;0,"Partial Received","Not Receviced"),"FullyReceived")</f>
        <v>Not Receviced</v>
      </c>
      <c r="Q2521" t="str">
        <f>IF(T[[#This Row],[qty_received]]&lt;&gt;T[[#This Row],[qty_invoiced]],IF(T[[#This Row],[qty_invoiced]]&gt;0,"Partial Invoiced","Not Invoiced"),"Fully Invoiced")</f>
        <v>Partial Invoiced</v>
      </c>
      <c r="R2521" t="str">
        <f>IFERROR(VLOOKUP(T[[#This Row],[warehouse]],Table2[],2,FALSE),"--")</f>
        <v>--</v>
      </c>
    </row>
    <row r="2522" spans="1:18" x14ac:dyDescent="0.25">
      <c r="A2522" t="s">
        <v>1059</v>
      </c>
      <c r="B2522" s="1">
        <v>44761</v>
      </c>
      <c r="C2522" t="s">
        <v>1783</v>
      </c>
      <c r="D2522" t="s">
        <v>212</v>
      </c>
      <c r="E2522" t="s">
        <v>51</v>
      </c>
      <c r="F2522" t="s">
        <v>266</v>
      </c>
      <c r="G2522" t="s">
        <v>1784</v>
      </c>
      <c r="H2522" t="s">
        <v>54</v>
      </c>
      <c r="I2522">
        <v>125</v>
      </c>
      <c r="J2522">
        <v>0</v>
      </c>
      <c r="K2522">
        <v>1</v>
      </c>
      <c r="L2522" t="s">
        <v>693</v>
      </c>
      <c r="M2522" t="s">
        <v>2836</v>
      </c>
      <c r="N2522">
        <v>207.536</v>
      </c>
      <c r="O2522">
        <v>0</v>
      </c>
      <c r="P2522" t="str">
        <f>IF(T[[#This Row],[qty_ordered]]&lt;&gt;T[[#This Row],[qty_received]],IF(T[[#This Row],[qty_received]]&gt;0,"Partial Received","Not Receviced"),"FullyReceived")</f>
        <v>Not Receviced</v>
      </c>
      <c r="Q2522" t="str">
        <f>IF(T[[#This Row],[qty_received]]&lt;&gt;T[[#This Row],[qty_invoiced]],IF(T[[#This Row],[qty_invoiced]]&gt;0,"Partial Invoiced","Not Invoiced"),"Fully Invoiced")</f>
        <v>Partial Invoiced</v>
      </c>
      <c r="R2522" t="str">
        <f>IFERROR(VLOOKUP(T[[#This Row],[warehouse]],Table2[],2,FALSE),"--")</f>
        <v>--</v>
      </c>
    </row>
    <row r="2523" spans="1:18" x14ac:dyDescent="0.25">
      <c r="A2523" t="s">
        <v>1059</v>
      </c>
      <c r="B2523" s="1">
        <v>44761</v>
      </c>
      <c r="C2523" t="s">
        <v>1783</v>
      </c>
      <c r="D2523" t="s">
        <v>322</v>
      </c>
      <c r="E2523" t="s">
        <v>51</v>
      </c>
      <c r="F2523" t="s">
        <v>266</v>
      </c>
      <c r="G2523" t="s">
        <v>1784</v>
      </c>
      <c r="H2523" t="s">
        <v>54</v>
      </c>
      <c r="I2523">
        <v>984</v>
      </c>
      <c r="J2523">
        <v>0</v>
      </c>
      <c r="K2523">
        <v>1</v>
      </c>
      <c r="L2523" t="s">
        <v>693</v>
      </c>
      <c r="M2523" t="s">
        <v>2836</v>
      </c>
      <c r="N2523">
        <v>190.45528400000001</v>
      </c>
      <c r="O2523">
        <v>0</v>
      </c>
      <c r="P2523" t="str">
        <f>IF(T[[#This Row],[qty_ordered]]&lt;&gt;T[[#This Row],[qty_received]],IF(T[[#This Row],[qty_received]]&gt;0,"Partial Received","Not Receviced"),"FullyReceived")</f>
        <v>Not Receviced</v>
      </c>
      <c r="Q2523" t="str">
        <f>IF(T[[#This Row],[qty_received]]&lt;&gt;T[[#This Row],[qty_invoiced]],IF(T[[#This Row],[qty_invoiced]]&gt;0,"Partial Invoiced","Not Invoiced"),"Fully Invoiced")</f>
        <v>Partial Invoiced</v>
      </c>
      <c r="R2523" t="str">
        <f>IFERROR(VLOOKUP(T[[#This Row],[warehouse]],Table2[],2,FALSE),"--")</f>
        <v>--</v>
      </c>
    </row>
    <row r="2524" spans="1:18" x14ac:dyDescent="0.25">
      <c r="A2524" t="s">
        <v>955</v>
      </c>
      <c r="B2524" s="1">
        <v>44763</v>
      </c>
      <c r="C2524" t="s">
        <v>1787</v>
      </c>
      <c r="D2524" t="s">
        <v>20</v>
      </c>
      <c r="E2524" t="s">
        <v>1697</v>
      </c>
      <c r="F2524" t="s">
        <v>300</v>
      </c>
      <c r="G2524" t="s">
        <v>301</v>
      </c>
      <c r="H2524" t="s">
        <v>24</v>
      </c>
      <c r="I2524">
        <v>250</v>
      </c>
      <c r="J2524">
        <v>77.92</v>
      </c>
      <c r="K2524">
        <v>77.92</v>
      </c>
      <c r="L2524" t="s">
        <v>693</v>
      </c>
      <c r="M2524" t="s">
        <v>1485</v>
      </c>
      <c r="N2524">
        <v>329090</v>
      </c>
      <c r="O2524">
        <v>25642692.800000001</v>
      </c>
      <c r="P2524" t="str">
        <f>IF(T[[#This Row],[qty_ordered]]&lt;&gt;T[[#This Row],[qty_received]],IF(T[[#This Row],[qty_received]]&gt;0,"Partial Received","Not Receviced"),"FullyReceived")</f>
        <v>Partial Received</v>
      </c>
      <c r="Q2524" t="str">
        <f>IF(T[[#This Row],[qty_received]]&lt;&gt;T[[#This Row],[qty_invoiced]],IF(T[[#This Row],[qty_invoiced]]&gt;0,"Partial Invoiced","Not Invoiced"),"Fully Invoiced")</f>
        <v>Fully Invoiced</v>
      </c>
      <c r="R2524" t="str">
        <f>IFERROR(VLOOKUP(T[[#This Row],[warehouse]],Table2[],2,FALSE),"--")</f>
        <v>Picker Sifting Facility</v>
      </c>
    </row>
    <row r="2525" spans="1:18" x14ac:dyDescent="0.25">
      <c r="A2525" t="s">
        <v>1059</v>
      </c>
      <c r="B2525" s="1">
        <v>44761</v>
      </c>
      <c r="C2525" t="s">
        <v>1783</v>
      </c>
      <c r="D2525" t="s">
        <v>323</v>
      </c>
      <c r="E2525" t="s">
        <v>51</v>
      </c>
      <c r="F2525" t="s">
        <v>262</v>
      </c>
      <c r="G2525" t="s">
        <v>1788</v>
      </c>
      <c r="H2525" t="s">
        <v>54</v>
      </c>
      <c r="I2525">
        <v>375</v>
      </c>
      <c r="J2525">
        <v>0</v>
      </c>
      <c r="K2525">
        <v>1</v>
      </c>
      <c r="L2525" t="s">
        <v>693</v>
      </c>
      <c r="M2525" t="s">
        <v>2836</v>
      </c>
      <c r="N2525">
        <v>354.05333300000001</v>
      </c>
      <c r="O2525">
        <v>0</v>
      </c>
      <c r="P2525" t="str">
        <f>IF(T[[#This Row],[qty_ordered]]&lt;&gt;T[[#This Row],[qty_received]],IF(T[[#This Row],[qty_received]]&gt;0,"Partial Received","Not Receviced"),"FullyReceived")</f>
        <v>Not Receviced</v>
      </c>
      <c r="Q2525" t="str">
        <f>IF(T[[#This Row],[qty_received]]&lt;&gt;T[[#This Row],[qty_invoiced]],IF(T[[#This Row],[qty_invoiced]]&gt;0,"Partial Invoiced","Not Invoiced"),"Fully Invoiced")</f>
        <v>Partial Invoiced</v>
      </c>
      <c r="R2525" t="str">
        <f>IFERROR(VLOOKUP(T[[#This Row],[warehouse]],Table2[],2,FALSE),"--")</f>
        <v>--</v>
      </c>
    </row>
    <row r="2526" spans="1:18" x14ac:dyDescent="0.25">
      <c r="A2526" t="s">
        <v>1059</v>
      </c>
      <c r="B2526" s="1">
        <v>44761</v>
      </c>
      <c r="C2526" t="s">
        <v>1783</v>
      </c>
      <c r="D2526" t="s">
        <v>324</v>
      </c>
      <c r="E2526" t="s">
        <v>51</v>
      </c>
      <c r="F2526" t="s">
        <v>266</v>
      </c>
      <c r="G2526" t="s">
        <v>1789</v>
      </c>
      <c r="H2526" t="s">
        <v>54</v>
      </c>
      <c r="I2526">
        <v>375</v>
      </c>
      <c r="J2526">
        <v>0</v>
      </c>
      <c r="K2526">
        <v>1</v>
      </c>
      <c r="L2526" t="s">
        <v>693</v>
      </c>
      <c r="M2526" t="s">
        <v>2836</v>
      </c>
      <c r="N2526">
        <v>207.55199999999999</v>
      </c>
      <c r="O2526">
        <v>0</v>
      </c>
      <c r="P2526" t="str">
        <f>IF(T[[#This Row],[qty_ordered]]&lt;&gt;T[[#This Row],[qty_received]],IF(T[[#This Row],[qty_received]]&gt;0,"Partial Received","Not Receviced"),"FullyReceived")</f>
        <v>Not Receviced</v>
      </c>
      <c r="Q2526" t="str">
        <f>IF(T[[#This Row],[qty_received]]&lt;&gt;T[[#This Row],[qty_invoiced]],IF(T[[#This Row],[qty_invoiced]]&gt;0,"Partial Invoiced","Not Invoiced"),"Fully Invoiced")</f>
        <v>Partial Invoiced</v>
      </c>
      <c r="R2526" t="str">
        <f>IFERROR(VLOOKUP(T[[#This Row],[warehouse]],Table2[],2,FALSE),"--")</f>
        <v>--</v>
      </c>
    </row>
    <row r="2527" spans="1:18" x14ac:dyDescent="0.25">
      <c r="A2527" t="s">
        <v>1059</v>
      </c>
      <c r="B2527" s="1">
        <v>44761</v>
      </c>
      <c r="C2527" t="s">
        <v>1783</v>
      </c>
      <c r="D2527" t="s">
        <v>325</v>
      </c>
      <c r="E2527" t="s">
        <v>51</v>
      </c>
      <c r="F2527" t="s">
        <v>262</v>
      </c>
      <c r="G2527" t="s">
        <v>1788</v>
      </c>
      <c r="H2527" t="s">
        <v>54</v>
      </c>
      <c r="I2527">
        <v>625</v>
      </c>
      <c r="J2527">
        <v>0</v>
      </c>
      <c r="K2527">
        <v>1</v>
      </c>
      <c r="L2527" t="s">
        <v>693</v>
      </c>
      <c r="M2527" t="s">
        <v>2836</v>
      </c>
      <c r="N2527">
        <v>354.03199999999998</v>
      </c>
      <c r="O2527">
        <v>0</v>
      </c>
      <c r="P2527" t="str">
        <f>IF(T[[#This Row],[qty_ordered]]&lt;&gt;T[[#This Row],[qty_received]],IF(T[[#This Row],[qty_received]]&gt;0,"Partial Received","Not Receviced"),"FullyReceived")</f>
        <v>Not Receviced</v>
      </c>
      <c r="Q2527" t="str">
        <f>IF(T[[#This Row],[qty_received]]&lt;&gt;T[[#This Row],[qty_invoiced]],IF(T[[#This Row],[qty_invoiced]]&gt;0,"Partial Invoiced","Not Invoiced"),"Fully Invoiced")</f>
        <v>Partial Invoiced</v>
      </c>
      <c r="R2527" t="str">
        <f>IFERROR(VLOOKUP(T[[#This Row],[warehouse]],Table2[],2,FALSE),"--")</f>
        <v>--</v>
      </c>
    </row>
    <row r="2528" spans="1:18" x14ac:dyDescent="0.25">
      <c r="A2528" t="s">
        <v>1059</v>
      </c>
      <c r="B2528" s="1">
        <v>44761</v>
      </c>
      <c r="C2528" t="s">
        <v>1783</v>
      </c>
      <c r="D2528" t="s">
        <v>451</v>
      </c>
      <c r="E2528" t="s">
        <v>51</v>
      </c>
      <c r="F2528" t="s">
        <v>266</v>
      </c>
      <c r="G2528" t="s">
        <v>1789</v>
      </c>
      <c r="H2528" t="s">
        <v>54</v>
      </c>
      <c r="I2528">
        <v>625</v>
      </c>
      <c r="J2528">
        <v>0</v>
      </c>
      <c r="K2528">
        <v>1</v>
      </c>
      <c r="L2528" t="s">
        <v>693</v>
      </c>
      <c r="M2528" t="s">
        <v>2836</v>
      </c>
      <c r="N2528">
        <v>207.53120000000001</v>
      </c>
      <c r="O2528">
        <v>0</v>
      </c>
      <c r="P2528" t="str">
        <f>IF(T[[#This Row],[qty_ordered]]&lt;&gt;T[[#This Row],[qty_received]],IF(T[[#This Row],[qty_received]]&gt;0,"Partial Received","Not Receviced"),"FullyReceived")</f>
        <v>Not Receviced</v>
      </c>
      <c r="Q2528" t="str">
        <f>IF(T[[#This Row],[qty_received]]&lt;&gt;T[[#This Row],[qty_invoiced]],IF(T[[#This Row],[qty_invoiced]]&gt;0,"Partial Invoiced","Not Invoiced"),"Fully Invoiced")</f>
        <v>Partial Invoiced</v>
      </c>
      <c r="R2528" t="str">
        <f>IFERROR(VLOOKUP(T[[#This Row],[warehouse]],Table2[],2,FALSE),"--")</f>
        <v>--</v>
      </c>
    </row>
    <row r="2529" spans="1:18" x14ac:dyDescent="0.25">
      <c r="A2529" t="s">
        <v>1059</v>
      </c>
      <c r="B2529" s="1">
        <v>44761</v>
      </c>
      <c r="C2529" t="s">
        <v>1783</v>
      </c>
      <c r="D2529" t="s">
        <v>452</v>
      </c>
      <c r="E2529" t="s">
        <v>51</v>
      </c>
      <c r="F2529" t="s">
        <v>262</v>
      </c>
      <c r="G2529" t="s">
        <v>1788</v>
      </c>
      <c r="H2529" t="s">
        <v>54</v>
      </c>
      <c r="I2529">
        <v>125</v>
      </c>
      <c r="J2529">
        <v>0</v>
      </c>
      <c r="K2529">
        <v>1</v>
      </c>
      <c r="L2529" t="s">
        <v>693</v>
      </c>
      <c r="M2529" t="s">
        <v>2836</v>
      </c>
      <c r="N2529">
        <v>354.16</v>
      </c>
      <c r="O2529">
        <v>0</v>
      </c>
      <c r="P2529" t="str">
        <f>IF(T[[#This Row],[qty_ordered]]&lt;&gt;T[[#This Row],[qty_received]],IF(T[[#This Row],[qty_received]]&gt;0,"Partial Received","Not Receviced"),"FullyReceived")</f>
        <v>Not Receviced</v>
      </c>
      <c r="Q2529" t="str">
        <f>IF(T[[#This Row],[qty_received]]&lt;&gt;T[[#This Row],[qty_invoiced]],IF(T[[#This Row],[qty_invoiced]]&gt;0,"Partial Invoiced","Not Invoiced"),"Fully Invoiced")</f>
        <v>Partial Invoiced</v>
      </c>
      <c r="R2529" t="str">
        <f>IFERROR(VLOOKUP(T[[#This Row],[warehouse]],Table2[],2,FALSE),"--")</f>
        <v>--</v>
      </c>
    </row>
    <row r="2530" spans="1:18" x14ac:dyDescent="0.25">
      <c r="A2530" t="s">
        <v>1059</v>
      </c>
      <c r="B2530" s="1">
        <v>44761</v>
      </c>
      <c r="C2530" t="s">
        <v>1783</v>
      </c>
      <c r="D2530" t="s">
        <v>614</v>
      </c>
      <c r="E2530" t="s">
        <v>51</v>
      </c>
      <c r="F2530" t="s">
        <v>266</v>
      </c>
      <c r="G2530" t="s">
        <v>1790</v>
      </c>
      <c r="H2530" t="s">
        <v>54</v>
      </c>
      <c r="I2530">
        <v>125</v>
      </c>
      <c r="J2530">
        <v>0</v>
      </c>
      <c r="K2530">
        <v>1</v>
      </c>
      <c r="L2530" t="s">
        <v>693</v>
      </c>
      <c r="M2530" t="s">
        <v>2836</v>
      </c>
      <c r="N2530">
        <v>207.65600000000001</v>
      </c>
      <c r="O2530">
        <v>0</v>
      </c>
      <c r="P2530" t="str">
        <f>IF(T[[#This Row],[qty_ordered]]&lt;&gt;T[[#This Row],[qty_received]],IF(T[[#This Row],[qty_received]]&gt;0,"Partial Received","Not Receviced"),"FullyReceived")</f>
        <v>Not Receviced</v>
      </c>
      <c r="Q2530" t="str">
        <f>IF(T[[#This Row],[qty_received]]&lt;&gt;T[[#This Row],[qty_invoiced]],IF(T[[#This Row],[qty_invoiced]]&gt;0,"Partial Invoiced","Not Invoiced"),"Fully Invoiced")</f>
        <v>Partial Invoiced</v>
      </c>
      <c r="R2530" t="str">
        <f>IFERROR(VLOOKUP(T[[#This Row],[warehouse]],Table2[],2,FALSE),"--")</f>
        <v>--</v>
      </c>
    </row>
    <row r="2531" spans="1:18" x14ac:dyDescent="0.25">
      <c r="A2531" t="s">
        <v>1059</v>
      </c>
      <c r="B2531" s="1">
        <v>44761</v>
      </c>
      <c r="C2531" t="s">
        <v>1783</v>
      </c>
      <c r="D2531" t="s">
        <v>615</v>
      </c>
      <c r="E2531" t="s">
        <v>51</v>
      </c>
      <c r="F2531" t="s">
        <v>266</v>
      </c>
      <c r="G2531" t="s">
        <v>1789</v>
      </c>
      <c r="H2531" t="s">
        <v>54</v>
      </c>
      <c r="I2531">
        <v>125</v>
      </c>
      <c r="J2531">
        <v>0</v>
      </c>
      <c r="K2531">
        <v>1</v>
      </c>
      <c r="L2531" t="s">
        <v>693</v>
      </c>
      <c r="M2531" t="s">
        <v>2836</v>
      </c>
      <c r="N2531">
        <v>207.65600000000001</v>
      </c>
      <c r="O2531">
        <v>0</v>
      </c>
      <c r="P2531" t="str">
        <f>IF(T[[#This Row],[qty_ordered]]&lt;&gt;T[[#This Row],[qty_received]],IF(T[[#This Row],[qty_received]]&gt;0,"Partial Received","Not Receviced"),"FullyReceived")</f>
        <v>Not Receviced</v>
      </c>
      <c r="Q2531" t="str">
        <f>IF(T[[#This Row],[qty_received]]&lt;&gt;T[[#This Row],[qty_invoiced]],IF(T[[#This Row],[qty_invoiced]]&gt;0,"Partial Invoiced","Not Invoiced"),"Fully Invoiced")</f>
        <v>Partial Invoiced</v>
      </c>
      <c r="R2531" t="str">
        <f>IFERROR(VLOOKUP(T[[#This Row],[warehouse]],Table2[],2,FALSE),"--")</f>
        <v>--</v>
      </c>
    </row>
    <row r="2532" spans="1:18" x14ac:dyDescent="0.25">
      <c r="A2532" t="s">
        <v>1059</v>
      </c>
      <c r="B2532" s="1">
        <v>44761</v>
      </c>
      <c r="C2532" t="s">
        <v>1783</v>
      </c>
      <c r="D2532" t="s">
        <v>752</v>
      </c>
      <c r="E2532" t="s">
        <v>51</v>
      </c>
      <c r="F2532" t="s">
        <v>266</v>
      </c>
      <c r="G2532" t="s">
        <v>1789</v>
      </c>
      <c r="H2532" t="s">
        <v>54</v>
      </c>
      <c r="I2532">
        <v>375</v>
      </c>
      <c r="J2532">
        <v>0</v>
      </c>
      <c r="K2532">
        <v>1</v>
      </c>
      <c r="L2532" t="s">
        <v>693</v>
      </c>
      <c r="M2532" t="s">
        <v>2836</v>
      </c>
      <c r="N2532">
        <v>207.55199999999999</v>
      </c>
      <c r="O2532">
        <v>0</v>
      </c>
      <c r="P2532" t="str">
        <f>IF(T[[#This Row],[qty_ordered]]&lt;&gt;T[[#This Row],[qty_received]],IF(T[[#This Row],[qty_received]]&gt;0,"Partial Received","Not Receviced"),"FullyReceived")</f>
        <v>Not Receviced</v>
      </c>
      <c r="Q2532" t="str">
        <f>IF(T[[#This Row],[qty_received]]&lt;&gt;T[[#This Row],[qty_invoiced]],IF(T[[#This Row],[qty_invoiced]]&gt;0,"Partial Invoiced","Not Invoiced"),"Fully Invoiced")</f>
        <v>Partial Invoiced</v>
      </c>
      <c r="R2532" t="str">
        <f>IFERROR(VLOOKUP(T[[#This Row],[warehouse]],Table2[],2,FALSE),"--")</f>
        <v>--</v>
      </c>
    </row>
    <row r="2533" spans="1:18" x14ac:dyDescent="0.25">
      <c r="A2533" t="s">
        <v>1059</v>
      </c>
      <c r="B2533" s="1">
        <v>44761</v>
      </c>
      <c r="C2533" t="s">
        <v>1783</v>
      </c>
      <c r="D2533" t="s">
        <v>759</v>
      </c>
      <c r="E2533" t="s">
        <v>51</v>
      </c>
      <c r="F2533" t="s">
        <v>262</v>
      </c>
      <c r="G2533" t="s">
        <v>1791</v>
      </c>
      <c r="H2533" t="s">
        <v>54</v>
      </c>
      <c r="I2533">
        <v>500</v>
      </c>
      <c r="J2533">
        <v>0</v>
      </c>
      <c r="K2533">
        <v>1</v>
      </c>
      <c r="L2533" t="s">
        <v>693</v>
      </c>
      <c r="M2533" t="s">
        <v>2836</v>
      </c>
      <c r="N2533">
        <v>354.04</v>
      </c>
      <c r="O2533">
        <v>0</v>
      </c>
      <c r="P2533" t="str">
        <f>IF(T[[#This Row],[qty_ordered]]&lt;&gt;T[[#This Row],[qty_received]],IF(T[[#This Row],[qty_received]]&gt;0,"Partial Received","Not Receviced"),"FullyReceived")</f>
        <v>Not Receviced</v>
      </c>
      <c r="Q2533" t="str">
        <f>IF(T[[#This Row],[qty_received]]&lt;&gt;T[[#This Row],[qty_invoiced]],IF(T[[#This Row],[qty_invoiced]]&gt;0,"Partial Invoiced","Not Invoiced"),"Fully Invoiced")</f>
        <v>Partial Invoiced</v>
      </c>
      <c r="R2533" t="str">
        <f>IFERROR(VLOOKUP(T[[#This Row],[warehouse]],Table2[],2,FALSE),"--")</f>
        <v>--</v>
      </c>
    </row>
    <row r="2534" spans="1:18" x14ac:dyDescent="0.25">
      <c r="A2534" t="s">
        <v>1059</v>
      </c>
      <c r="B2534" s="1">
        <v>44761</v>
      </c>
      <c r="C2534" t="s">
        <v>1783</v>
      </c>
      <c r="D2534" t="s">
        <v>694</v>
      </c>
      <c r="E2534" t="s">
        <v>51</v>
      </c>
      <c r="F2534" t="s">
        <v>262</v>
      </c>
      <c r="G2534" t="s">
        <v>1788</v>
      </c>
      <c r="H2534" t="s">
        <v>54</v>
      </c>
      <c r="I2534">
        <v>125</v>
      </c>
      <c r="J2534">
        <v>0</v>
      </c>
      <c r="K2534">
        <v>1</v>
      </c>
      <c r="L2534" t="s">
        <v>693</v>
      </c>
      <c r="M2534" t="s">
        <v>2836</v>
      </c>
      <c r="N2534">
        <v>204.16</v>
      </c>
      <c r="O2534">
        <v>0</v>
      </c>
      <c r="P2534" t="str">
        <f>IF(T[[#This Row],[qty_ordered]]&lt;&gt;T[[#This Row],[qty_received]],IF(T[[#This Row],[qty_received]]&gt;0,"Partial Received","Not Receviced"),"FullyReceived")</f>
        <v>Not Receviced</v>
      </c>
      <c r="Q2534" t="str">
        <f>IF(T[[#This Row],[qty_received]]&lt;&gt;T[[#This Row],[qty_invoiced]],IF(T[[#This Row],[qty_invoiced]]&gt;0,"Partial Invoiced","Not Invoiced"),"Fully Invoiced")</f>
        <v>Partial Invoiced</v>
      </c>
      <c r="R2534" t="str">
        <f>IFERROR(VLOOKUP(T[[#This Row],[warehouse]],Table2[],2,FALSE),"--")</f>
        <v>--</v>
      </c>
    </row>
    <row r="2535" spans="1:18" x14ac:dyDescent="0.25">
      <c r="A2535" t="s">
        <v>1059</v>
      </c>
      <c r="B2535" s="1">
        <v>44761</v>
      </c>
      <c r="C2535" t="s">
        <v>1783</v>
      </c>
      <c r="D2535" t="s">
        <v>760</v>
      </c>
      <c r="E2535" t="s">
        <v>51</v>
      </c>
      <c r="F2535" t="s">
        <v>266</v>
      </c>
      <c r="G2535" t="s">
        <v>1789</v>
      </c>
      <c r="H2535" t="s">
        <v>54</v>
      </c>
      <c r="I2535">
        <v>125</v>
      </c>
      <c r="J2535">
        <v>0</v>
      </c>
      <c r="K2535">
        <v>1</v>
      </c>
      <c r="L2535" t="s">
        <v>693</v>
      </c>
      <c r="M2535" t="s">
        <v>2836</v>
      </c>
      <c r="N2535">
        <v>398.16</v>
      </c>
      <c r="O2535">
        <v>0</v>
      </c>
      <c r="P2535" t="str">
        <f>IF(T[[#This Row],[qty_ordered]]&lt;&gt;T[[#This Row],[qty_received]],IF(T[[#This Row],[qty_received]]&gt;0,"Partial Received","Not Receviced"),"FullyReceived")</f>
        <v>Not Receviced</v>
      </c>
      <c r="Q2535" t="str">
        <f>IF(T[[#This Row],[qty_received]]&lt;&gt;T[[#This Row],[qty_invoiced]],IF(T[[#This Row],[qty_invoiced]]&gt;0,"Partial Invoiced","Not Invoiced"),"Fully Invoiced")</f>
        <v>Partial Invoiced</v>
      </c>
      <c r="R2535" t="str">
        <f>IFERROR(VLOOKUP(T[[#This Row],[warehouse]],Table2[],2,FALSE),"--")</f>
        <v>--</v>
      </c>
    </row>
    <row r="2536" spans="1:18" x14ac:dyDescent="0.25">
      <c r="A2536" t="s">
        <v>1059</v>
      </c>
      <c r="B2536" s="1">
        <v>44761</v>
      </c>
      <c r="C2536" t="s">
        <v>1783</v>
      </c>
      <c r="D2536" t="s">
        <v>591</v>
      </c>
      <c r="E2536" t="s">
        <v>51</v>
      </c>
      <c r="F2536" t="s">
        <v>262</v>
      </c>
      <c r="G2536" t="s">
        <v>1788</v>
      </c>
      <c r="H2536" t="s">
        <v>54</v>
      </c>
      <c r="I2536">
        <v>125</v>
      </c>
      <c r="J2536">
        <v>0</v>
      </c>
      <c r="K2536">
        <v>1</v>
      </c>
      <c r="L2536" t="s">
        <v>693</v>
      </c>
      <c r="M2536" t="s">
        <v>2836</v>
      </c>
      <c r="N2536">
        <v>204.16</v>
      </c>
      <c r="O2536">
        <v>0</v>
      </c>
      <c r="P2536" t="str">
        <f>IF(T[[#This Row],[qty_ordered]]&lt;&gt;T[[#This Row],[qty_received]],IF(T[[#This Row],[qty_received]]&gt;0,"Partial Received","Not Receviced"),"FullyReceived")</f>
        <v>Not Receviced</v>
      </c>
      <c r="Q2536" t="str">
        <f>IF(T[[#This Row],[qty_received]]&lt;&gt;T[[#This Row],[qty_invoiced]],IF(T[[#This Row],[qty_invoiced]]&gt;0,"Partial Invoiced","Not Invoiced"),"Fully Invoiced")</f>
        <v>Partial Invoiced</v>
      </c>
      <c r="R2536" t="str">
        <f>IFERROR(VLOOKUP(T[[#This Row],[warehouse]],Table2[],2,FALSE),"--")</f>
        <v>--</v>
      </c>
    </row>
    <row r="2537" spans="1:18" x14ac:dyDescent="0.25">
      <c r="A2537" t="s">
        <v>1059</v>
      </c>
      <c r="B2537" s="1">
        <v>44761</v>
      </c>
      <c r="C2537" t="s">
        <v>1783</v>
      </c>
      <c r="D2537" t="s">
        <v>592</v>
      </c>
      <c r="E2537" t="s">
        <v>51</v>
      </c>
      <c r="F2537" t="s">
        <v>262</v>
      </c>
      <c r="G2537" t="s">
        <v>1788</v>
      </c>
      <c r="H2537" t="s">
        <v>54</v>
      </c>
      <c r="I2537">
        <v>125</v>
      </c>
      <c r="J2537">
        <v>0</v>
      </c>
      <c r="K2537">
        <v>1</v>
      </c>
      <c r="L2537" t="s">
        <v>693</v>
      </c>
      <c r="M2537" t="s">
        <v>2836</v>
      </c>
      <c r="N2537">
        <v>150.16</v>
      </c>
      <c r="O2537">
        <v>0</v>
      </c>
      <c r="P2537" t="str">
        <f>IF(T[[#This Row],[qty_ordered]]&lt;&gt;T[[#This Row],[qty_received]],IF(T[[#This Row],[qty_received]]&gt;0,"Partial Received","Not Receviced"),"FullyReceived")</f>
        <v>Not Receviced</v>
      </c>
      <c r="Q2537" t="str">
        <f>IF(T[[#This Row],[qty_received]]&lt;&gt;T[[#This Row],[qty_invoiced]],IF(T[[#This Row],[qty_invoiced]]&gt;0,"Partial Invoiced","Not Invoiced"),"Fully Invoiced")</f>
        <v>Partial Invoiced</v>
      </c>
      <c r="R2537" t="str">
        <f>IFERROR(VLOOKUP(T[[#This Row],[warehouse]],Table2[],2,FALSE),"--")</f>
        <v>--</v>
      </c>
    </row>
    <row r="2538" spans="1:18" x14ac:dyDescent="0.25">
      <c r="A2538" t="s">
        <v>1059</v>
      </c>
      <c r="B2538" s="1">
        <v>44761</v>
      </c>
      <c r="C2538" t="s">
        <v>1783</v>
      </c>
      <c r="D2538" t="s">
        <v>593</v>
      </c>
      <c r="E2538" t="s">
        <v>51</v>
      </c>
      <c r="F2538" t="s">
        <v>262</v>
      </c>
      <c r="G2538" t="s">
        <v>1788</v>
      </c>
      <c r="H2538" t="s">
        <v>54</v>
      </c>
      <c r="I2538">
        <v>125</v>
      </c>
      <c r="J2538">
        <v>0</v>
      </c>
      <c r="K2538">
        <v>1</v>
      </c>
      <c r="L2538" t="s">
        <v>693</v>
      </c>
      <c r="M2538" t="s">
        <v>2836</v>
      </c>
      <c r="N2538">
        <v>354.16</v>
      </c>
      <c r="O2538">
        <v>0</v>
      </c>
      <c r="P2538" t="str">
        <f>IF(T[[#This Row],[qty_ordered]]&lt;&gt;T[[#This Row],[qty_received]],IF(T[[#This Row],[qty_received]]&gt;0,"Partial Received","Not Receviced"),"FullyReceived")</f>
        <v>Not Receviced</v>
      </c>
      <c r="Q2538" t="str">
        <f>IF(T[[#This Row],[qty_received]]&lt;&gt;T[[#This Row],[qty_invoiced]],IF(T[[#This Row],[qty_invoiced]]&gt;0,"Partial Invoiced","Not Invoiced"),"Fully Invoiced")</f>
        <v>Partial Invoiced</v>
      </c>
      <c r="R2538" t="str">
        <f>IFERROR(VLOOKUP(T[[#This Row],[warehouse]],Table2[],2,FALSE),"--")</f>
        <v>--</v>
      </c>
    </row>
    <row r="2539" spans="1:18" x14ac:dyDescent="0.25">
      <c r="A2539" t="s">
        <v>1059</v>
      </c>
      <c r="B2539" s="1">
        <v>44761</v>
      </c>
      <c r="C2539" t="s">
        <v>1783</v>
      </c>
      <c r="D2539" t="s">
        <v>594</v>
      </c>
      <c r="E2539" t="s">
        <v>51</v>
      </c>
      <c r="F2539" t="s">
        <v>262</v>
      </c>
      <c r="G2539" t="s">
        <v>1792</v>
      </c>
      <c r="H2539" t="s">
        <v>54</v>
      </c>
      <c r="I2539">
        <v>700</v>
      </c>
      <c r="J2539">
        <v>0</v>
      </c>
      <c r="K2539">
        <v>1</v>
      </c>
      <c r="L2539" t="s">
        <v>693</v>
      </c>
      <c r="M2539" t="s">
        <v>2836</v>
      </c>
      <c r="N2539">
        <v>284.53571399999998</v>
      </c>
      <c r="O2539">
        <v>0</v>
      </c>
      <c r="P2539" t="str">
        <f>IF(T[[#This Row],[qty_ordered]]&lt;&gt;T[[#This Row],[qty_received]],IF(T[[#This Row],[qty_received]]&gt;0,"Partial Received","Not Receviced"),"FullyReceived")</f>
        <v>Not Receviced</v>
      </c>
      <c r="Q2539" t="str">
        <f>IF(T[[#This Row],[qty_received]]&lt;&gt;T[[#This Row],[qty_invoiced]],IF(T[[#This Row],[qty_invoiced]]&gt;0,"Partial Invoiced","Not Invoiced"),"Fully Invoiced")</f>
        <v>Partial Invoiced</v>
      </c>
      <c r="R2539" t="str">
        <f>IFERROR(VLOOKUP(T[[#This Row],[warehouse]],Table2[],2,FALSE),"--")</f>
        <v>--</v>
      </c>
    </row>
    <row r="2540" spans="1:18" x14ac:dyDescent="0.25">
      <c r="A2540" t="s">
        <v>1025</v>
      </c>
      <c r="B2540" s="1">
        <v>44767</v>
      </c>
      <c r="C2540" t="s">
        <v>1793</v>
      </c>
      <c r="D2540" t="s">
        <v>20</v>
      </c>
      <c r="E2540" t="s">
        <v>146</v>
      </c>
      <c r="F2540" t="s">
        <v>415</v>
      </c>
      <c r="G2540" t="s">
        <v>1794</v>
      </c>
      <c r="H2540" t="s">
        <v>417</v>
      </c>
      <c r="I2540">
        <v>3000</v>
      </c>
      <c r="J2540">
        <v>3000</v>
      </c>
      <c r="K2540">
        <v>3000</v>
      </c>
      <c r="L2540" t="s">
        <v>25</v>
      </c>
      <c r="M2540" t="s">
        <v>418</v>
      </c>
      <c r="N2540">
        <v>7750</v>
      </c>
      <c r="O2540">
        <v>23250000</v>
      </c>
      <c r="P2540" t="str">
        <f>IF(T[[#This Row],[qty_ordered]]&lt;&gt;T[[#This Row],[qty_received]],IF(T[[#This Row],[qty_received]]&gt;0,"Partial Received","Not Receviced"),"FullyReceived")</f>
        <v>FullyReceived</v>
      </c>
      <c r="Q2540" t="str">
        <f>IF(T[[#This Row],[qty_received]]&lt;&gt;T[[#This Row],[qty_invoiced]],IF(T[[#This Row],[qty_invoiced]]&gt;0,"Partial Invoiced","Not Invoiced"),"Fully Invoiced")</f>
        <v>Fully Invoiced</v>
      </c>
      <c r="R2540" t="str">
        <f>IFERROR(VLOOKUP(T[[#This Row],[warehouse]],Table2[],2,FALSE),"--")</f>
        <v>Khtoum Main Warehouse</v>
      </c>
    </row>
    <row r="2541" spans="1:18" x14ac:dyDescent="0.25">
      <c r="A2541" t="s">
        <v>1454</v>
      </c>
      <c r="B2541" s="1">
        <v>44622</v>
      </c>
      <c r="C2541" t="s">
        <v>1795</v>
      </c>
      <c r="D2541" t="s">
        <v>100</v>
      </c>
      <c r="E2541" t="s">
        <v>51</v>
      </c>
      <c r="F2541" t="s">
        <v>933</v>
      </c>
      <c r="G2541" t="s">
        <v>1796</v>
      </c>
      <c r="H2541" t="s">
        <v>54</v>
      </c>
      <c r="I2541">
        <v>1</v>
      </c>
      <c r="J2541">
        <v>0</v>
      </c>
      <c r="K2541">
        <v>1</v>
      </c>
      <c r="L2541" t="s">
        <v>25</v>
      </c>
      <c r="M2541" t="s">
        <v>575</v>
      </c>
      <c r="N2541">
        <v>130200</v>
      </c>
      <c r="O2541">
        <v>0</v>
      </c>
      <c r="P2541" t="str">
        <f>IF(T[[#This Row],[qty_ordered]]&lt;&gt;T[[#This Row],[qty_received]],IF(T[[#This Row],[qty_received]]&gt;0,"Partial Received","Not Receviced"),"FullyReceived")</f>
        <v>Not Receviced</v>
      </c>
      <c r="Q2541" t="str">
        <f>IF(T[[#This Row],[qty_received]]&lt;&gt;T[[#This Row],[qty_invoiced]],IF(T[[#This Row],[qty_invoiced]]&gt;0,"Partial Invoiced","Not Invoiced"),"Fully Invoiced")</f>
        <v>Partial Invoiced</v>
      </c>
      <c r="R2541" t="str">
        <f>IFERROR(VLOOKUP(T[[#This Row],[warehouse]],Table2[],2,FALSE),"--")</f>
        <v>--</v>
      </c>
    </row>
    <row r="2542" spans="1:18" x14ac:dyDescent="0.25">
      <c r="A2542" t="s">
        <v>955</v>
      </c>
      <c r="B2542" s="1">
        <v>44768</v>
      </c>
      <c r="C2542" t="s">
        <v>1797</v>
      </c>
      <c r="D2542" t="s">
        <v>20</v>
      </c>
      <c r="E2542" t="s">
        <v>908</v>
      </c>
      <c r="F2542" t="s">
        <v>474</v>
      </c>
      <c r="G2542" t="s">
        <v>475</v>
      </c>
      <c r="H2542" t="s">
        <v>24</v>
      </c>
      <c r="I2542">
        <v>382.49</v>
      </c>
      <c r="J2542">
        <v>382.49</v>
      </c>
      <c r="K2542">
        <v>382.49</v>
      </c>
      <c r="L2542" t="s">
        <v>693</v>
      </c>
      <c r="M2542" t="s">
        <v>1485</v>
      </c>
      <c r="N2542">
        <v>381958</v>
      </c>
      <c r="O2542">
        <v>146095115.41999999</v>
      </c>
      <c r="P2542" t="str">
        <f>IF(T[[#This Row],[qty_ordered]]&lt;&gt;T[[#This Row],[qty_received]],IF(T[[#This Row],[qty_received]]&gt;0,"Partial Received","Not Receviced"),"FullyReceived")</f>
        <v>FullyReceived</v>
      </c>
      <c r="Q2542" t="str">
        <f>IF(T[[#This Row],[qty_received]]&lt;&gt;T[[#This Row],[qty_invoiced]],IF(T[[#This Row],[qty_invoiced]]&gt;0,"Partial Invoiced","Not Invoiced"),"Fully Invoiced")</f>
        <v>Fully Invoiced</v>
      </c>
      <c r="R2542" t="str">
        <f>IFERROR(VLOOKUP(T[[#This Row],[warehouse]],Table2[],2,FALSE),"--")</f>
        <v>SIFTER- ALNAZER-OMDU</v>
      </c>
    </row>
    <row r="2543" spans="1:18" x14ac:dyDescent="0.25">
      <c r="A2543" t="s">
        <v>1685</v>
      </c>
      <c r="B2543" s="1">
        <v>44769</v>
      </c>
      <c r="C2543" t="s">
        <v>1798</v>
      </c>
      <c r="D2543" t="s">
        <v>20</v>
      </c>
      <c r="E2543" t="s">
        <v>51</v>
      </c>
      <c r="F2543" t="s">
        <v>52</v>
      </c>
      <c r="G2543" t="s">
        <v>53</v>
      </c>
      <c r="H2543" t="s">
        <v>54</v>
      </c>
      <c r="I2543">
        <v>489.80200000000002</v>
      </c>
      <c r="J2543">
        <v>0</v>
      </c>
      <c r="K2543">
        <v>1</v>
      </c>
      <c r="L2543" t="s">
        <v>693</v>
      </c>
      <c r="M2543" t="s">
        <v>707</v>
      </c>
      <c r="N2543">
        <v>1147.5419999999999</v>
      </c>
      <c r="O2543">
        <v>0</v>
      </c>
      <c r="P2543" t="str">
        <f>IF(T[[#This Row],[qty_ordered]]&lt;&gt;T[[#This Row],[qty_received]],IF(T[[#This Row],[qty_received]]&gt;0,"Partial Received","Not Receviced"),"FullyReceived")</f>
        <v>Not Receviced</v>
      </c>
      <c r="Q2543" t="str">
        <f>IF(T[[#This Row],[qty_received]]&lt;&gt;T[[#This Row],[qty_invoiced]],IF(T[[#This Row],[qty_invoiced]]&gt;0,"Partial Invoiced","Not Invoiced"),"Fully Invoiced")</f>
        <v>Partial Invoiced</v>
      </c>
      <c r="R2543" t="str">
        <f>IFERROR(VLOOKUP(T[[#This Row],[warehouse]],Table2[],2,FALSE),"--")</f>
        <v>--</v>
      </c>
    </row>
    <row r="2544" spans="1:18" x14ac:dyDescent="0.25">
      <c r="A2544" t="s">
        <v>1685</v>
      </c>
      <c r="B2544" s="1">
        <v>44769</v>
      </c>
      <c r="C2544" t="s">
        <v>1799</v>
      </c>
      <c r="D2544" t="s">
        <v>20</v>
      </c>
      <c r="E2544" t="s">
        <v>51</v>
      </c>
      <c r="F2544" t="s">
        <v>52</v>
      </c>
      <c r="G2544" t="s">
        <v>53</v>
      </c>
      <c r="H2544" t="s">
        <v>54</v>
      </c>
      <c r="I2544">
        <v>573.03200000000004</v>
      </c>
      <c r="J2544">
        <v>0</v>
      </c>
      <c r="K2544">
        <v>1</v>
      </c>
      <c r="L2544" t="s">
        <v>693</v>
      </c>
      <c r="M2544" t="s">
        <v>707</v>
      </c>
      <c r="N2544">
        <v>1147.5419999999999</v>
      </c>
      <c r="O2544">
        <v>0</v>
      </c>
      <c r="P2544" t="str">
        <f>IF(T[[#This Row],[qty_ordered]]&lt;&gt;T[[#This Row],[qty_received]],IF(T[[#This Row],[qty_received]]&gt;0,"Partial Received","Not Receviced"),"FullyReceived")</f>
        <v>Not Receviced</v>
      </c>
      <c r="Q2544" t="str">
        <f>IF(T[[#This Row],[qty_received]]&lt;&gt;T[[#This Row],[qty_invoiced]],IF(T[[#This Row],[qty_invoiced]]&gt;0,"Partial Invoiced","Not Invoiced"),"Fully Invoiced")</f>
        <v>Partial Invoiced</v>
      </c>
      <c r="R2544" t="str">
        <f>IFERROR(VLOOKUP(T[[#This Row],[warehouse]],Table2[],2,FALSE),"--")</f>
        <v>--</v>
      </c>
    </row>
    <row r="2545" spans="1:18" x14ac:dyDescent="0.25">
      <c r="A2545" t="s">
        <v>1685</v>
      </c>
      <c r="B2545" s="1">
        <v>44769</v>
      </c>
      <c r="C2545" t="s">
        <v>1800</v>
      </c>
      <c r="D2545" t="s">
        <v>20</v>
      </c>
      <c r="E2545" t="s">
        <v>51</v>
      </c>
      <c r="F2545" t="s">
        <v>52</v>
      </c>
      <c r="G2545" t="s">
        <v>53</v>
      </c>
      <c r="H2545" t="s">
        <v>54</v>
      </c>
      <c r="I2545">
        <v>575.85699999999997</v>
      </c>
      <c r="J2545">
        <v>0</v>
      </c>
      <c r="K2545">
        <v>1</v>
      </c>
      <c r="L2545" t="s">
        <v>693</v>
      </c>
      <c r="M2545" t="s">
        <v>707</v>
      </c>
      <c r="N2545">
        <v>1147.5419999999999</v>
      </c>
      <c r="O2545">
        <v>0</v>
      </c>
      <c r="P2545" t="str">
        <f>IF(T[[#This Row],[qty_ordered]]&lt;&gt;T[[#This Row],[qty_received]],IF(T[[#This Row],[qty_received]]&gt;0,"Partial Received","Not Receviced"),"FullyReceived")</f>
        <v>Not Receviced</v>
      </c>
      <c r="Q2545" t="str">
        <f>IF(T[[#This Row],[qty_received]]&lt;&gt;T[[#This Row],[qty_invoiced]],IF(T[[#This Row],[qty_invoiced]]&gt;0,"Partial Invoiced","Not Invoiced"),"Fully Invoiced")</f>
        <v>Partial Invoiced</v>
      </c>
      <c r="R2545" t="str">
        <f>IFERROR(VLOOKUP(T[[#This Row],[warehouse]],Table2[],2,FALSE),"--")</f>
        <v>--</v>
      </c>
    </row>
    <row r="2546" spans="1:18" x14ac:dyDescent="0.25">
      <c r="A2546" t="s">
        <v>1685</v>
      </c>
      <c r="B2546" s="1">
        <v>44769</v>
      </c>
      <c r="C2546" t="s">
        <v>1801</v>
      </c>
      <c r="D2546" t="s">
        <v>20</v>
      </c>
      <c r="E2546" t="s">
        <v>51</v>
      </c>
      <c r="F2546" t="s">
        <v>52</v>
      </c>
      <c r="G2546" t="s">
        <v>53</v>
      </c>
      <c r="H2546" t="s">
        <v>54</v>
      </c>
      <c r="I2546">
        <v>479.67899999999997</v>
      </c>
      <c r="J2546">
        <v>0</v>
      </c>
      <c r="K2546">
        <v>1</v>
      </c>
      <c r="L2546" t="s">
        <v>693</v>
      </c>
      <c r="M2546" t="s">
        <v>707</v>
      </c>
      <c r="N2546">
        <v>1147.5419999999999</v>
      </c>
      <c r="O2546">
        <v>0</v>
      </c>
      <c r="P2546" t="str">
        <f>IF(T[[#This Row],[qty_ordered]]&lt;&gt;T[[#This Row],[qty_received]],IF(T[[#This Row],[qty_received]]&gt;0,"Partial Received","Not Receviced"),"FullyReceived")</f>
        <v>Not Receviced</v>
      </c>
      <c r="Q2546" t="str">
        <f>IF(T[[#This Row],[qty_received]]&lt;&gt;T[[#This Row],[qty_invoiced]],IF(T[[#This Row],[qty_invoiced]]&gt;0,"Partial Invoiced","Not Invoiced"),"Fully Invoiced")</f>
        <v>Partial Invoiced</v>
      </c>
      <c r="R2546" t="str">
        <f>IFERROR(VLOOKUP(T[[#This Row],[warehouse]],Table2[],2,FALSE),"--")</f>
        <v>--</v>
      </c>
    </row>
    <row r="2547" spans="1:18" x14ac:dyDescent="0.25">
      <c r="A2547" t="s">
        <v>84</v>
      </c>
      <c r="B2547" s="1">
        <v>44854</v>
      </c>
      <c r="C2547" t="s">
        <v>2463</v>
      </c>
      <c r="D2547" t="s">
        <v>20</v>
      </c>
      <c r="E2547" t="s">
        <v>982</v>
      </c>
      <c r="F2547" t="s">
        <v>108</v>
      </c>
      <c r="G2547" t="s">
        <v>109</v>
      </c>
      <c r="H2547" t="s">
        <v>24</v>
      </c>
      <c r="I2547">
        <v>714</v>
      </c>
      <c r="J2547">
        <v>707.42</v>
      </c>
      <c r="K2547">
        <v>707.42</v>
      </c>
      <c r="L2547" t="s">
        <v>693</v>
      </c>
      <c r="M2547" t="s">
        <v>1485</v>
      </c>
      <c r="N2547">
        <v>700280.11204399995</v>
      </c>
      <c r="O2547">
        <v>495392156.862167</v>
      </c>
      <c r="P2547" t="str">
        <f>IF(T[[#This Row],[qty_ordered]]&lt;&gt;T[[#This Row],[qty_received]],IF(T[[#This Row],[qty_received]]&gt;0,"Partial Received","Not Receviced"),"FullyReceived")</f>
        <v>Partial Received</v>
      </c>
      <c r="Q2547" t="str">
        <f>IF(T[[#This Row],[qty_received]]&lt;&gt;T[[#This Row],[qty_invoiced]],IF(T[[#This Row],[qty_invoiced]]&gt;0,"Partial Invoiced","Not Invoiced"),"Fully Invoiced")</f>
        <v>Fully Invoiced</v>
      </c>
      <c r="R2547" t="str">
        <f>IFERROR(VLOOKUP(T[[#This Row],[warehouse]],Table2[],2,FALSE),"--")</f>
        <v>SIFTER - SAMELOMDRMA</v>
      </c>
    </row>
    <row r="2548" spans="1:18" x14ac:dyDescent="0.25">
      <c r="A2548" t="s">
        <v>1114</v>
      </c>
      <c r="B2548" s="1">
        <v>44321</v>
      </c>
      <c r="C2548" t="s">
        <v>1335</v>
      </c>
      <c r="D2548" t="s">
        <v>71</v>
      </c>
      <c r="E2548" t="s">
        <v>660</v>
      </c>
      <c r="F2548" t="s">
        <v>1042</v>
      </c>
      <c r="G2548" t="s">
        <v>1043</v>
      </c>
      <c r="H2548" t="s">
        <v>663</v>
      </c>
      <c r="I2548">
        <v>8353.7999999999993</v>
      </c>
      <c r="J2548">
        <v>8353.7999999999993</v>
      </c>
      <c r="K2548">
        <v>8353.7999999999993</v>
      </c>
      <c r="L2548" t="s">
        <v>25</v>
      </c>
      <c r="M2548" t="s">
        <v>132</v>
      </c>
      <c r="N2548">
        <v>1412.5436999999999</v>
      </c>
      <c r="O2548">
        <v>23112024.062399998</v>
      </c>
      <c r="P2548" t="str">
        <f>IF(T[[#This Row],[qty_ordered]]&lt;&gt;T[[#This Row],[qty_received]],IF(T[[#This Row],[qty_received]]&gt;0,"Partial Received","Not Receviced"),"FullyReceived")</f>
        <v>FullyReceived</v>
      </c>
      <c r="Q2548" t="str">
        <f>IF(T[[#This Row],[qty_received]]&lt;&gt;T[[#This Row],[qty_invoiced]],IF(T[[#This Row],[qty_invoiced]]&gt;0,"Partial Invoiced","Not Invoiced"),"Fully Invoiced")</f>
        <v>Fully Invoiced</v>
      </c>
      <c r="R2548" t="str">
        <f>IFERROR(VLOOKUP(T[[#This Row],[warehouse]],Table2[],2,FALSE),"--")</f>
        <v>SLAUGHTER HOUSE</v>
      </c>
    </row>
    <row r="2549" spans="1:18" x14ac:dyDescent="0.25">
      <c r="A2549" t="s">
        <v>1114</v>
      </c>
      <c r="B2549" s="1">
        <v>44321</v>
      </c>
      <c r="C2549" t="s">
        <v>1335</v>
      </c>
      <c r="D2549" t="s">
        <v>100</v>
      </c>
      <c r="E2549" t="s">
        <v>660</v>
      </c>
      <c r="F2549" t="s">
        <v>1042</v>
      </c>
      <c r="G2549" t="s">
        <v>1043</v>
      </c>
      <c r="H2549" t="s">
        <v>663</v>
      </c>
      <c r="I2549">
        <v>4795</v>
      </c>
      <c r="J2549">
        <v>4795</v>
      </c>
      <c r="K2549">
        <v>4795</v>
      </c>
      <c r="L2549" t="s">
        <v>25</v>
      </c>
      <c r="M2549" t="s">
        <v>132</v>
      </c>
      <c r="N2549">
        <v>1412.5436999999999</v>
      </c>
      <c r="O2549">
        <v>13266077.16</v>
      </c>
      <c r="P2549" t="str">
        <f>IF(T[[#This Row],[qty_ordered]]&lt;&gt;T[[#This Row],[qty_received]],IF(T[[#This Row],[qty_received]]&gt;0,"Partial Received","Not Receviced"),"FullyReceived")</f>
        <v>FullyReceived</v>
      </c>
      <c r="Q2549" t="str">
        <f>IF(T[[#This Row],[qty_received]]&lt;&gt;T[[#This Row],[qty_invoiced]],IF(T[[#This Row],[qty_invoiced]]&gt;0,"Partial Invoiced","Not Invoiced"),"Fully Invoiced")</f>
        <v>Fully Invoiced</v>
      </c>
      <c r="R2549" t="str">
        <f>IFERROR(VLOOKUP(T[[#This Row],[warehouse]],Table2[],2,FALSE),"--")</f>
        <v>SLAUGHTER HOUSE</v>
      </c>
    </row>
    <row r="2550" spans="1:18" x14ac:dyDescent="0.25">
      <c r="A2550" t="s">
        <v>1114</v>
      </c>
      <c r="B2550" s="1">
        <v>44321</v>
      </c>
      <c r="C2550" t="s">
        <v>1335</v>
      </c>
      <c r="D2550" t="s">
        <v>88</v>
      </c>
      <c r="E2550" t="s">
        <v>660</v>
      </c>
      <c r="F2550" t="s">
        <v>1042</v>
      </c>
      <c r="G2550" t="s">
        <v>1043</v>
      </c>
      <c r="H2550" t="s">
        <v>663</v>
      </c>
      <c r="I2550">
        <v>4104</v>
      </c>
      <c r="J2550">
        <v>4104</v>
      </c>
      <c r="K2550">
        <v>4104</v>
      </c>
      <c r="L2550" t="s">
        <v>25</v>
      </c>
      <c r="M2550" t="s">
        <v>132</v>
      </c>
      <c r="N2550">
        <v>1412.5436999999999</v>
      </c>
      <c r="O2550">
        <v>11354323.392000001</v>
      </c>
      <c r="P2550" t="str">
        <f>IF(T[[#This Row],[qty_ordered]]&lt;&gt;T[[#This Row],[qty_received]],IF(T[[#This Row],[qty_received]]&gt;0,"Partial Received","Not Receviced"),"FullyReceived")</f>
        <v>FullyReceived</v>
      </c>
      <c r="Q2550" t="str">
        <f>IF(T[[#This Row],[qty_received]]&lt;&gt;T[[#This Row],[qty_invoiced]],IF(T[[#This Row],[qty_invoiced]]&gt;0,"Partial Invoiced","Not Invoiced"),"Fully Invoiced")</f>
        <v>Fully Invoiced</v>
      </c>
      <c r="R2550" t="str">
        <f>IFERROR(VLOOKUP(T[[#This Row],[warehouse]],Table2[],2,FALSE),"--")</f>
        <v>SLAUGHTER HOUSE</v>
      </c>
    </row>
    <row r="2551" spans="1:18" x14ac:dyDescent="0.25">
      <c r="A2551" t="s">
        <v>201</v>
      </c>
      <c r="B2551" s="1">
        <v>44334</v>
      </c>
      <c r="C2551" t="s">
        <v>1382</v>
      </c>
      <c r="D2551" t="s">
        <v>20</v>
      </c>
      <c r="E2551" t="s">
        <v>1220</v>
      </c>
      <c r="F2551" t="s">
        <v>1338</v>
      </c>
      <c r="G2551" t="s">
        <v>1339</v>
      </c>
      <c r="H2551" t="s">
        <v>123</v>
      </c>
      <c r="I2551">
        <v>60000</v>
      </c>
      <c r="J2551">
        <v>60000</v>
      </c>
      <c r="K2551">
        <v>60000</v>
      </c>
      <c r="L2551" t="s">
        <v>693</v>
      </c>
      <c r="M2551" t="s">
        <v>744</v>
      </c>
      <c r="N2551">
        <v>10931.679354</v>
      </c>
      <c r="O2551">
        <v>655900761.24000001</v>
      </c>
      <c r="P2551" t="str">
        <f>IF(T[[#This Row],[qty_ordered]]&lt;&gt;T[[#This Row],[qty_received]],IF(T[[#This Row],[qty_received]]&gt;0,"Partial Received","Not Receviced"),"FullyReceived")</f>
        <v>FullyReceived</v>
      </c>
      <c r="Q2551" t="str">
        <f>IF(T[[#This Row],[qty_received]]&lt;&gt;T[[#This Row],[qty_invoiced]],IF(T[[#This Row],[qty_invoiced]]&gt;0,"Partial Invoiced","Not Invoiced"),"Fully Invoiced")</f>
        <v>Fully Invoiced</v>
      </c>
      <c r="R2551" t="str">
        <f>IFERROR(VLOOKUP(T[[#This Row],[warehouse]],Table2[],2,FALSE),"--")</f>
        <v>Import Virtual Warehouse - PZU</v>
      </c>
    </row>
    <row r="2552" spans="1:18" x14ac:dyDescent="0.25">
      <c r="A2552" t="s">
        <v>201</v>
      </c>
      <c r="B2552" s="1">
        <v>44334</v>
      </c>
      <c r="C2552" t="s">
        <v>1382</v>
      </c>
      <c r="D2552" t="s">
        <v>71</v>
      </c>
      <c r="E2552" t="s">
        <v>1220</v>
      </c>
      <c r="F2552" t="s">
        <v>1802</v>
      </c>
      <c r="G2552" t="s">
        <v>1803</v>
      </c>
      <c r="H2552" t="s">
        <v>123</v>
      </c>
      <c r="I2552">
        <v>580000</v>
      </c>
      <c r="J2552">
        <v>580000</v>
      </c>
      <c r="K2552">
        <v>580000</v>
      </c>
      <c r="L2552" t="s">
        <v>693</v>
      </c>
      <c r="M2552" t="s">
        <v>744</v>
      </c>
      <c r="N2552">
        <v>11278.38867</v>
      </c>
      <c r="O2552">
        <v>6279375880.5682802</v>
      </c>
      <c r="P2552" t="str">
        <f>IF(T[[#This Row],[qty_ordered]]&lt;&gt;T[[#This Row],[qty_received]],IF(T[[#This Row],[qty_received]]&gt;0,"Partial Received","Not Receviced"),"FullyReceived")</f>
        <v>FullyReceived</v>
      </c>
      <c r="Q2552" t="str">
        <f>IF(T[[#This Row],[qty_received]]&lt;&gt;T[[#This Row],[qty_invoiced]],IF(T[[#This Row],[qty_invoiced]]&gt;0,"Partial Invoiced","Not Invoiced"),"Fully Invoiced")</f>
        <v>Fully Invoiced</v>
      </c>
      <c r="R2552" t="str">
        <f>IFERROR(VLOOKUP(T[[#This Row],[warehouse]],Table2[],2,FALSE),"--")</f>
        <v>Import Virtual Warehouse - PZU</v>
      </c>
    </row>
    <row r="2553" spans="1:18" x14ac:dyDescent="0.25">
      <c r="A2553" t="s">
        <v>1114</v>
      </c>
      <c r="B2553" s="1">
        <v>44321</v>
      </c>
      <c r="C2553" t="s">
        <v>1335</v>
      </c>
      <c r="D2553" t="s">
        <v>615</v>
      </c>
      <c r="E2553" t="s">
        <v>660</v>
      </c>
      <c r="F2553" t="s">
        <v>1042</v>
      </c>
      <c r="G2553" t="s">
        <v>1043</v>
      </c>
      <c r="H2553" t="s">
        <v>663</v>
      </c>
      <c r="I2553">
        <v>9618.7999999999993</v>
      </c>
      <c r="J2553">
        <v>9618.7999999999993</v>
      </c>
      <c r="K2553">
        <v>9618.7999999999993</v>
      </c>
      <c r="L2553" t="s">
        <v>25</v>
      </c>
      <c r="M2553" t="s">
        <v>132</v>
      </c>
      <c r="N2553">
        <v>1412.5436999999999</v>
      </c>
      <c r="O2553">
        <v>22511897.232799999</v>
      </c>
      <c r="P2553" t="str">
        <f>IF(T[[#This Row],[qty_ordered]]&lt;&gt;T[[#This Row],[qty_received]],IF(T[[#This Row],[qty_received]]&gt;0,"Partial Received","Not Receviced"),"FullyReceived")</f>
        <v>FullyReceived</v>
      </c>
      <c r="Q2553" t="str">
        <f>IF(T[[#This Row],[qty_received]]&lt;&gt;T[[#This Row],[qty_invoiced]],IF(T[[#This Row],[qty_invoiced]]&gt;0,"Partial Invoiced","Not Invoiced"),"Fully Invoiced")</f>
        <v>Fully Invoiced</v>
      </c>
      <c r="R2553" t="str">
        <f>IFERROR(VLOOKUP(T[[#This Row],[warehouse]],Table2[],2,FALSE),"--")</f>
        <v>SLAUGHTER HOUSE</v>
      </c>
    </row>
    <row r="2554" spans="1:18" x14ac:dyDescent="0.25">
      <c r="A2554" t="s">
        <v>201</v>
      </c>
      <c r="B2554" s="1">
        <v>44341</v>
      </c>
      <c r="C2554" t="s">
        <v>1804</v>
      </c>
      <c r="D2554" t="s">
        <v>20</v>
      </c>
      <c r="E2554" t="s">
        <v>146</v>
      </c>
      <c r="F2554" t="s">
        <v>1805</v>
      </c>
      <c r="G2554" t="s">
        <v>1806</v>
      </c>
      <c r="H2554" t="s">
        <v>149</v>
      </c>
      <c r="I2554">
        <v>13</v>
      </c>
      <c r="J2554">
        <v>13</v>
      </c>
      <c r="K2554">
        <v>13</v>
      </c>
      <c r="L2554" t="s">
        <v>25</v>
      </c>
      <c r="M2554" t="s">
        <v>744</v>
      </c>
      <c r="N2554">
        <v>50502.353723</v>
      </c>
      <c r="O2554">
        <v>656530.59839900001</v>
      </c>
      <c r="P2554" t="str">
        <f>IF(T[[#This Row],[qty_ordered]]&lt;&gt;T[[#This Row],[qty_received]],IF(T[[#This Row],[qty_received]]&gt;0,"Partial Received","Not Receviced"),"FullyReceived")</f>
        <v>FullyReceived</v>
      </c>
      <c r="Q2554" t="str">
        <f>IF(T[[#This Row],[qty_received]]&lt;&gt;T[[#This Row],[qty_invoiced]],IF(T[[#This Row],[qty_invoiced]]&gt;0,"Partial Invoiced","Not Invoiced"),"Fully Invoiced")</f>
        <v>Fully Invoiced</v>
      </c>
      <c r="R2554" t="str">
        <f>IFERROR(VLOOKUP(T[[#This Row],[warehouse]],Table2[],2,FALSE),"--")</f>
        <v>Khtoum Main Warehouse</v>
      </c>
    </row>
    <row r="2555" spans="1:18" x14ac:dyDescent="0.25">
      <c r="A2555" t="s">
        <v>201</v>
      </c>
      <c r="B2555" s="1">
        <v>44341</v>
      </c>
      <c r="C2555" t="s">
        <v>1804</v>
      </c>
      <c r="D2555" t="s">
        <v>71</v>
      </c>
      <c r="E2555" t="s">
        <v>146</v>
      </c>
      <c r="F2555" t="s">
        <v>1807</v>
      </c>
      <c r="G2555" t="s">
        <v>1808</v>
      </c>
      <c r="H2555" t="s">
        <v>149</v>
      </c>
      <c r="I2555">
        <v>2</v>
      </c>
      <c r="J2555">
        <v>2</v>
      </c>
      <c r="K2555">
        <v>2</v>
      </c>
      <c r="L2555" t="s">
        <v>25</v>
      </c>
      <c r="M2555" t="s">
        <v>744</v>
      </c>
      <c r="N2555">
        <v>74604.725928</v>
      </c>
      <c r="O2555">
        <v>149209.451856</v>
      </c>
      <c r="P2555" t="str">
        <f>IF(T[[#This Row],[qty_ordered]]&lt;&gt;T[[#This Row],[qty_received]],IF(T[[#This Row],[qty_received]]&gt;0,"Partial Received","Not Receviced"),"FullyReceived")</f>
        <v>FullyReceived</v>
      </c>
      <c r="Q2555" t="str">
        <f>IF(T[[#This Row],[qty_received]]&lt;&gt;T[[#This Row],[qty_invoiced]],IF(T[[#This Row],[qty_invoiced]]&gt;0,"Partial Invoiced","Not Invoiced"),"Fully Invoiced")</f>
        <v>Fully Invoiced</v>
      </c>
      <c r="R2555" t="str">
        <f>IFERROR(VLOOKUP(T[[#This Row],[warehouse]],Table2[],2,FALSE),"--")</f>
        <v>Khtoum Main Warehouse</v>
      </c>
    </row>
    <row r="2556" spans="1:18" x14ac:dyDescent="0.25">
      <c r="A2556" t="s">
        <v>1114</v>
      </c>
      <c r="B2556" s="1">
        <v>44250</v>
      </c>
      <c r="C2556" t="s">
        <v>1242</v>
      </c>
      <c r="D2556" t="s">
        <v>71</v>
      </c>
      <c r="E2556" t="s">
        <v>660</v>
      </c>
      <c r="F2556" t="s">
        <v>1042</v>
      </c>
      <c r="G2556" t="s">
        <v>1043</v>
      </c>
      <c r="H2556" t="s">
        <v>663</v>
      </c>
      <c r="I2556">
        <v>20000</v>
      </c>
      <c r="J2556">
        <v>0</v>
      </c>
      <c r="K2556">
        <v>0</v>
      </c>
      <c r="L2556" t="s">
        <v>25</v>
      </c>
      <c r="M2556" t="s">
        <v>132</v>
      </c>
      <c r="N2556">
        <v>2250</v>
      </c>
      <c r="O2556">
        <v>0</v>
      </c>
      <c r="P2556" t="str">
        <f>IF(T[[#This Row],[qty_ordered]]&lt;&gt;T[[#This Row],[qty_received]],IF(T[[#This Row],[qty_received]]&gt;0,"Partial Received","Not Receviced"),"FullyReceived")</f>
        <v>Not Receviced</v>
      </c>
      <c r="Q2556" t="str">
        <f>IF(T[[#This Row],[qty_received]]&lt;&gt;T[[#This Row],[qty_invoiced]],IF(T[[#This Row],[qty_invoiced]]&gt;0,"Partial Invoiced","Not Invoiced"),"Fully Invoiced")</f>
        <v>Fully Invoiced</v>
      </c>
      <c r="R2556" t="str">
        <f>IFERROR(VLOOKUP(T[[#This Row],[warehouse]],Table2[],2,FALSE),"--")</f>
        <v>SLAUGHTER HOUSE</v>
      </c>
    </row>
    <row r="2557" spans="1:18" x14ac:dyDescent="0.25">
      <c r="A2557" t="s">
        <v>201</v>
      </c>
      <c r="B2557" s="1">
        <v>44341</v>
      </c>
      <c r="C2557" t="s">
        <v>1804</v>
      </c>
      <c r="D2557" t="s">
        <v>100</v>
      </c>
      <c r="E2557" t="s">
        <v>51</v>
      </c>
      <c r="F2557" t="s">
        <v>933</v>
      </c>
      <c r="G2557" t="s">
        <v>933</v>
      </c>
      <c r="H2557" t="s">
        <v>54</v>
      </c>
      <c r="I2557">
        <v>1</v>
      </c>
      <c r="J2557">
        <v>0</v>
      </c>
      <c r="K2557">
        <v>1</v>
      </c>
      <c r="L2557" t="s">
        <v>25</v>
      </c>
      <c r="M2557" t="s">
        <v>744</v>
      </c>
      <c r="N2557">
        <v>864617.04989999998</v>
      </c>
      <c r="O2557">
        <v>0</v>
      </c>
      <c r="P2557" t="str">
        <f>IF(T[[#This Row],[qty_ordered]]&lt;&gt;T[[#This Row],[qty_received]],IF(T[[#This Row],[qty_received]]&gt;0,"Partial Received","Not Receviced"),"FullyReceived")</f>
        <v>Not Receviced</v>
      </c>
      <c r="Q2557" t="str">
        <f>IF(T[[#This Row],[qty_received]]&lt;&gt;T[[#This Row],[qty_invoiced]],IF(T[[#This Row],[qty_invoiced]]&gt;0,"Partial Invoiced","Not Invoiced"),"Fully Invoiced")</f>
        <v>Partial Invoiced</v>
      </c>
      <c r="R2557" t="str">
        <f>IFERROR(VLOOKUP(T[[#This Row],[warehouse]],Table2[],2,FALSE),"--")</f>
        <v>--</v>
      </c>
    </row>
    <row r="2558" spans="1:18" x14ac:dyDescent="0.25">
      <c r="A2558" t="s">
        <v>618</v>
      </c>
      <c r="B2558" s="1">
        <v>44341</v>
      </c>
      <c r="C2558" t="s">
        <v>1809</v>
      </c>
      <c r="D2558" t="s">
        <v>20</v>
      </c>
      <c r="E2558" t="s">
        <v>162</v>
      </c>
      <c r="F2558" t="s">
        <v>486</v>
      </c>
      <c r="G2558" t="s">
        <v>487</v>
      </c>
      <c r="H2558" t="s">
        <v>24</v>
      </c>
      <c r="I2558">
        <v>443.04</v>
      </c>
      <c r="J2558">
        <v>443.04</v>
      </c>
      <c r="K2558">
        <v>443.04</v>
      </c>
      <c r="L2558" t="s">
        <v>25</v>
      </c>
      <c r="M2558" t="s">
        <v>132</v>
      </c>
      <c r="N2558">
        <v>469135.80247</v>
      </c>
      <c r="O2558">
        <v>207845925.92630899</v>
      </c>
      <c r="P2558" t="str">
        <f>IF(T[[#This Row],[qty_ordered]]&lt;&gt;T[[#This Row],[qty_received]],IF(T[[#This Row],[qty_received]]&gt;0,"Partial Received","Not Receviced"),"FullyReceived")</f>
        <v>FullyReceived</v>
      </c>
      <c r="Q2558" t="str">
        <f>IF(T[[#This Row],[qty_received]]&lt;&gt;T[[#This Row],[qty_invoiced]],IF(T[[#This Row],[qty_invoiced]]&gt;0,"Partial Invoiced","Not Invoiced"),"Fully Invoiced")</f>
        <v>Fully Invoiced</v>
      </c>
      <c r="R2558" t="str">
        <f>IFERROR(VLOOKUP(T[[#This Row],[warehouse]],Table2[],2,FALSE),"--")</f>
        <v>Sifters Mahasilna</v>
      </c>
    </row>
    <row r="2559" spans="1:18" x14ac:dyDescent="0.25">
      <c r="A2559" t="s">
        <v>228</v>
      </c>
      <c r="B2559" s="1">
        <v>44341</v>
      </c>
      <c r="C2559" t="s">
        <v>1428</v>
      </c>
      <c r="D2559" t="s">
        <v>20</v>
      </c>
      <c r="E2559" t="s">
        <v>239</v>
      </c>
      <c r="F2559" t="s">
        <v>196</v>
      </c>
      <c r="G2559" t="s">
        <v>197</v>
      </c>
      <c r="H2559" t="s">
        <v>24</v>
      </c>
      <c r="I2559">
        <v>5480.12</v>
      </c>
      <c r="J2559">
        <v>5480.12</v>
      </c>
      <c r="K2559">
        <v>5480.12</v>
      </c>
      <c r="L2559" t="s">
        <v>25</v>
      </c>
      <c r="M2559" t="s">
        <v>132</v>
      </c>
      <c r="N2559">
        <v>83263.16</v>
      </c>
      <c r="O2559">
        <v>456292108.37919998</v>
      </c>
      <c r="P2559" t="str">
        <f>IF(T[[#This Row],[qty_ordered]]&lt;&gt;T[[#This Row],[qty_received]],IF(T[[#This Row],[qty_received]]&gt;0,"Partial Received","Not Receviced"),"FullyReceived")</f>
        <v>FullyReceived</v>
      </c>
      <c r="Q2559" t="str">
        <f>IF(T[[#This Row],[qty_received]]&lt;&gt;T[[#This Row],[qty_invoiced]],IF(T[[#This Row],[qty_invoiced]]&gt;0,"Partial Invoiced","Not Invoiced"),"Fully Invoiced")</f>
        <v>Fully Invoiced</v>
      </c>
      <c r="R2559" t="str">
        <f>IFERROR(VLOOKUP(T[[#This Row],[warehouse]],Table2[],2,FALSE),"--")</f>
        <v xml:space="preserve">Gadarif Main Store </v>
      </c>
    </row>
    <row r="2560" spans="1:18" x14ac:dyDescent="0.25">
      <c r="A2560" t="s">
        <v>1114</v>
      </c>
      <c r="B2560" s="1">
        <v>44321</v>
      </c>
      <c r="C2560" t="s">
        <v>1335</v>
      </c>
      <c r="D2560" t="s">
        <v>74</v>
      </c>
      <c r="E2560" t="s">
        <v>660</v>
      </c>
      <c r="F2560" t="s">
        <v>1042</v>
      </c>
      <c r="G2560" t="s">
        <v>1043</v>
      </c>
      <c r="H2560" t="s">
        <v>663</v>
      </c>
      <c r="I2560">
        <v>4912.8</v>
      </c>
      <c r="J2560">
        <v>4912.8</v>
      </c>
      <c r="K2560">
        <v>4912.8</v>
      </c>
      <c r="L2560" t="s">
        <v>25</v>
      </c>
      <c r="M2560" t="s">
        <v>132</v>
      </c>
      <c r="N2560">
        <v>1412.5436999999999</v>
      </c>
      <c r="O2560">
        <v>13591988.294399999</v>
      </c>
      <c r="P2560" t="str">
        <f>IF(T[[#This Row],[qty_ordered]]&lt;&gt;T[[#This Row],[qty_received]],IF(T[[#This Row],[qty_received]]&gt;0,"Partial Received","Not Receviced"),"FullyReceived")</f>
        <v>FullyReceived</v>
      </c>
      <c r="Q2560" t="str">
        <f>IF(T[[#This Row],[qty_received]]&lt;&gt;T[[#This Row],[qty_invoiced]],IF(T[[#This Row],[qty_invoiced]]&gt;0,"Partial Invoiced","Not Invoiced"),"Fully Invoiced")</f>
        <v>Fully Invoiced</v>
      </c>
      <c r="R2560" t="str">
        <f>IFERROR(VLOOKUP(T[[#This Row],[warehouse]],Table2[],2,FALSE),"--")</f>
        <v>SLAUGHTER HOUSE</v>
      </c>
    </row>
    <row r="2561" spans="1:18" x14ac:dyDescent="0.25">
      <c r="A2561" t="s">
        <v>1114</v>
      </c>
      <c r="B2561" s="1">
        <v>44321</v>
      </c>
      <c r="C2561" t="s">
        <v>1335</v>
      </c>
      <c r="D2561" t="s">
        <v>76</v>
      </c>
      <c r="E2561" t="s">
        <v>660</v>
      </c>
      <c r="F2561" t="s">
        <v>1042</v>
      </c>
      <c r="G2561" t="s">
        <v>1043</v>
      </c>
      <c r="H2561" t="s">
        <v>663</v>
      </c>
      <c r="I2561">
        <v>3816.3</v>
      </c>
      <c r="J2561">
        <v>3816.3</v>
      </c>
      <c r="K2561">
        <v>3816.3</v>
      </c>
      <c r="L2561" t="s">
        <v>25</v>
      </c>
      <c r="M2561" t="s">
        <v>132</v>
      </c>
      <c r="N2561">
        <v>1412.5436999999999</v>
      </c>
      <c r="O2561">
        <v>10558358.762399999</v>
      </c>
      <c r="P2561" t="str">
        <f>IF(T[[#This Row],[qty_ordered]]&lt;&gt;T[[#This Row],[qty_received]],IF(T[[#This Row],[qty_received]]&gt;0,"Partial Received","Not Receviced"),"FullyReceived")</f>
        <v>FullyReceived</v>
      </c>
      <c r="Q2561" t="str">
        <f>IF(T[[#This Row],[qty_received]]&lt;&gt;T[[#This Row],[qty_invoiced]],IF(T[[#This Row],[qty_invoiced]]&gt;0,"Partial Invoiced","Not Invoiced"),"Fully Invoiced")</f>
        <v>Fully Invoiced</v>
      </c>
      <c r="R2561" t="str">
        <f>IFERROR(VLOOKUP(T[[#This Row],[warehouse]],Table2[],2,FALSE),"--")</f>
        <v>SLAUGHTER HOUSE</v>
      </c>
    </row>
    <row r="2562" spans="1:18" x14ac:dyDescent="0.25">
      <c r="A2562" t="s">
        <v>1114</v>
      </c>
      <c r="B2562" s="1">
        <v>44321</v>
      </c>
      <c r="C2562" t="s">
        <v>1335</v>
      </c>
      <c r="D2562" t="s">
        <v>212</v>
      </c>
      <c r="E2562" t="s">
        <v>660</v>
      </c>
      <c r="F2562" t="s">
        <v>1042</v>
      </c>
      <c r="G2562" t="s">
        <v>1043</v>
      </c>
      <c r="H2562" t="s">
        <v>663</v>
      </c>
      <c r="I2562">
        <v>4390.3</v>
      </c>
      <c r="J2562">
        <v>4390.3</v>
      </c>
      <c r="K2562">
        <v>4390.3</v>
      </c>
      <c r="L2562" t="s">
        <v>25</v>
      </c>
      <c r="M2562" t="s">
        <v>132</v>
      </c>
      <c r="N2562">
        <v>1412.5436999999999</v>
      </c>
      <c r="O2562">
        <v>12146414.714400001</v>
      </c>
      <c r="P2562" t="str">
        <f>IF(T[[#This Row],[qty_ordered]]&lt;&gt;T[[#This Row],[qty_received]],IF(T[[#This Row],[qty_received]]&gt;0,"Partial Received","Not Receviced"),"FullyReceived")</f>
        <v>FullyReceived</v>
      </c>
      <c r="Q2562" t="str">
        <f>IF(T[[#This Row],[qty_received]]&lt;&gt;T[[#This Row],[qty_invoiced]],IF(T[[#This Row],[qty_invoiced]]&gt;0,"Partial Invoiced","Not Invoiced"),"Fully Invoiced")</f>
        <v>Fully Invoiced</v>
      </c>
      <c r="R2562" t="str">
        <f>IFERROR(VLOOKUP(T[[#This Row],[warehouse]],Table2[],2,FALSE),"--")</f>
        <v>SLAUGHTER HOUSE</v>
      </c>
    </row>
    <row r="2563" spans="1:18" x14ac:dyDescent="0.25">
      <c r="A2563" t="s">
        <v>1114</v>
      </c>
      <c r="B2563" s="1">
        <v>44321</v>
      </c>
      <c r="C2563" t="s">
        <v>1335</v>
      </c>
      <c r="D2563" t="s">
        <v>322</v>
      </c>
      <c r="E2563" t="s">
        <v>660</v>
      </c>
      <c r="F2563" t="s">
        <v>1042</v>
      </c>
      <c r="G2563" t="s">
        <v>1043</v>
      </c>
      <c r="H2563" t="s">
        <v>663</v>
      </c>
      <c r="I2563">
        <v>4702.6000000000004</v>
      </c>
      <c r="J2563">
        <v>4702.6000000000004</v>
      </c>
      <c r="K2563">
        <v>4702.6000000000004</v>
      </c>
      <c r="L2563" t="s">
        <v>25</v>
      </c>
      <c r="M2563" t="s">
        <v>132</v>
      </c>
      <c r="N2563">
        <v>1412.5436999999999</v>
      </c>
      <c r="O2563">
        <v>13010438.8848</v>
      </c>
      <c r="P2563" t="str">
        <f>IF(T[[#This Row],[qty_ordered]]&lt;&gt;T[[#This Row],[qty_received]],IF(T[[#This Row],[qty_received]]&gt;0,"Partial Received","Not Receviced"),"FullyReceived")</f>
        <v>FullyReceived</v>
      </c>
      <c r="Q2563" t="str">
        <f>IF(T[[#This Row],[qty_received]]&lt;&gt;T[[#This Row],[qty_invoiced]],IF(T[[#This Row],[qty_invoiced]]&gt;0,"Partial Invoiced","Not Invoiced"),"Fully Invoiced")</f>
        <v>Fully Invoiced</v>
      </c>
      <c r="R2563" t="str">
        <f>IFERROR(VLOOKUP(T[[#This Row],[warehouse]],Table2[],2,FALSE),"--")</f>
        <v>SLAUGHTER HOUSE</v>
      </c>
    </row>
    <row r="2564" spans="1:18" x14ac:dyDescent="0.25">
      <c r="A2564" t="s">
        <v>1114</v>
      </c>
      <c r="B2564" s="1">
        <v>44321</v>
      </c>
      <c r="C2564" t="s">
        <v>1335</v>
      </c>
      <c r="D2564" t="s">
        <v>323</v>
      </c>
      <c r="E2564" t="s">
        <v>660</v>
      </c>
      <c r="F2564" t="s">
        <v>1042</v>
      </c>
      <c r="G2564" t="s">
        <v>1043</v>
      </c>
      <c r="H2564" t="s">
        <v>663</v>
      </c>
      <c r="I2564">
        <v>4740</v>
      </c>
      <c r="J2564">
        <v>4740</v>
      </c>
      <c r="K2564">
        <v>4740</v>
      </c>
      <c r="L2564" t="s">
        <v>25</v>
      </c>
      <c r="M2564" t="s">
        <v>132</v>
      </c>
      <c r="N2564">
        <v>1412.5436999999999</v>
      </c>
      <c r="O2564">
        <v>13113911.52</v>
      </c>
      <c r="P2564" t="str">
        <f>IF(T[[#This Row],[qty_ordered]]&lt;&gt;T[[#This Row],[qty_received]],IF(T[[#This Row],[qty_received]]&gt;0,"Partial Received","Not Receviced"),"FullyReceived")</f>
        <v>FullyReceived</v>
      </c>
      <c r="Q2564" t="str">
        <f>IF(T[[#This Row],[qty_received]]&lt;&gt;T[[#This Row],[qty_invoiced]],IF(T[[#This Row],[qty_invoiced]]&gt;0,"Partial Invoiced","Not Invoiced"),"Fully Invoiced")</f>
        <v>Fully Invoiced</v>
      </c>
      <c r="R2564" t="str">
        <f>IFERROR(VLOOKUP(T[[#This Row],[warehouse]],Table2[],2,FALSE),"--")</f>
        <v>SLAUGHTER HOUSE</v>
      </c>
    </row>
    <row r="2565" spans="1:18" x14ac:dyDescent="0.25">
      <c r="A2565" t="s">
        <v>1114</v>
      </c>
      <c r="B2565" s="1">
        <v>44321</v>
      </c>
      <c r="C2565" t="s">
        <v>1335</v>
      </c>
      <c r="D2565" t="s">
        <v>324</v>
      </c>
      <c r="E2565" t="s">
        <v>660</v>
      </c>
      <c r="F2565" t="s">
        <v>1042</v>
      </c>
      <c r="G2565" t="s">
        <v>1043</v>
      </c>
      <c r="H2565" t="s">
        <v>663</v>
      </c>
      <c r="I2565">
        <v>8940.1</v>
      </c>
      <c r="J2565">
        <v>8940.1</v>
      </c>
      <c r="K2565">
        <v>8940.1</v>
      </c>
      <c r="L2565" t="s">
        <v>25</v>
      </c>
      <c r="M2565" t="s">
        <v>132</v>
      </c>
      <c r="N2565">
        <v>1412.5436999999999</v>
      </c>
      <c r="O2565">
        <v>24734109.7848</v>
      </c>
      <c r="P2565" t="str">
        <f>IF(T[[#This Row],[qty_ordered]]&lt;&gt;T[[#This Row],[qty_received]],IF(T[[#This Row],[qty_received]]&gt;0,"Partial Received","Not Receviced"),"FullyReceived")</f>
        <v>FullyReceived</v>
      </c>
      <c r="Q2565" t="str">
        <f>IF(T[[#This Row],[qty_received]]&lt;&gt;T[[#This Row],[qty_invoiced]],IF(T[[#This Row],[qty_invoiced]]&gt;0,"Partial Invoiced","Not Invoiced"),"Fully Invoiced")</f>
        <v>Fully Invoiced</v>
      </c>
      <c r="R2565" t="str">
        <f>IFERROR(VLOOKUP(T[[#This Row],[warehouse]],Table2[],2,FALSE),"--")</f>
        <v>SLAUGHTER HOUSE</v>
      </c>
    </row>
    <row r="2566" spans="1:18" x14ac:dyDescent="0.25">
      <c r="A2566" t="s">
        <v>1114</v>
      </c>
      <c r="B2566" s="1">
        <v>44321</v>
      </c>
      <c r="C2566" t="s">
        <v>1335</v>
      </c>
      <c r="D2566" t="s">
        <v>325</v>
      </c>
      <c r="E2566" t="s">
        <v>660</v>
      </c>
      <c r="F2566" t="s">
        <v>1042</v>
      </c>
      <c r="G2566" t="s">
        <v>1043</v>
      </c>
      <c r="H2566" t="s">
        <v>663</v>
      </c>
      <c r="I2566">
        <v>4082</v>
      </c>
      <c r="J2566">
        <v>4082</v>
      </c>
      <c r="K2566">
        <v>4082</v>
      </c>
      <c r="L2566" t="s">
        <v>25</v>
      </c>
      <c r="M2566" t="s">
        <v>132</v>
      </c>
      <c r="N2566">
        <v>1412.5436999999999</v>
      </c>
      <c r="O2566">
        <v>11293457.136</v>
      </c>
      <c r="P2566" t="str">
        <f>IF(T[[#This Row],[qty_ordered]]&lt;&gt;T[[#This Row],[qty_received]],IF(T[[#This Row],[qty_received]]&gt;0,"Partial Received","Not Receviced"),"FullyReceived")</f>
        <v>FullyReceived</v>
      </c>
      <c r="Q2566" t="str">
        <f>IF(T[[#This Row],[qty_received]]&lt;&gt;T[[#This Row],[qty_invoiced]],IF(T[[#This Row],[qty_invoiced]]&gt;0,"Partial Invoiced","Not Invoiced"),"Fully Invoiced")</f>
        <v>Fully Invoiced</v>
      </c>
      <c r="R2566" t="str">
        <f>IFERROR(VLOOKUP(T[[#This Row],[warehouse]],Table2[],2,FALSE),"--")</f>
        <v>SLAUGHTER HOUSE</v>
      </c>
    </row>
    <row r="2567" spans="1:18" x14ac:dyDescent="0.25">
      <c r="A2567" t="s">
        <v>1114</v>
      </c>
      <c r="B2567" s="1">
        <v>44321</v>
      </c>
      <c r="C2567" t="s">
        <v>1335</v>
      </c>
      <c r="D2567" t="s">
        <v>451</v>
      </c>
      <c r="E2567" t="s">
        <v>660</v>
      </c>
      <c r="F2567" t="s">
        <v>1042</v>
      </c>
      <c r="G2567" t="s">
        <v>1043</v>
      </c>
      <c r="H2567" t="s">
        <v>663</v>
      </c>
      <c r="I2567">
        <v>4588.8</v>
      </c>
      <c r="J2567">
        <v>4588.8</v>
      </c>
      <c r="K2567">
        <v>4588.8</v>
      </c>
      <c r="L2567" t="s">
        <v>25</v>
      </c>
      <c r="M2567" t="s">
        <v>132</v>
      </c>
      <c r="N2567">
        <v>1412.5436999999999</v>
      </c>
      <c r="O2567">
        <v>12695594.342399999</v>
      </c>
      <c r="P2567" t="str">
        <f>IF(T[[#This Row],[qty_ordered]]&lt;&gt;T[[#This Row],[qty_received]],IF(T[[#This Row],[qty_received]]&gt;0,"Partial Received","Not Receviced"),"FullyReceived")</f>
        <v>FullyReceived</v>
      </c>
      <c r="Q2567" t="str">
        <f>IF(T[[#This Row],[qty_received]]&lt;&gt;T[[#This Row],[qty_invoiced]],IF(T[[#This Row],[qty_invoiced]]&gt;0,"Partial Invoiced","Not Invoiced"),"Fully Invoiced")</f>
        <v>Fully Invoiced</v>
      </c>
      <c r="R2567" t="str">
        <f>IFERROR(VLOOKUP(T[[#This Row],[warehouse]],Table2[],2,FALSE),"--")</f>
        <v>SLAUGHTER HOUSE</v>
      </c>
    </row>
    <row r="2568" spans="1:18" x14ac:dyDescent="0.25">
      <c r="A2568" t="s">
        <v>1114</v>
      </c>
      <c r="B2568" s="1">
        <v>44321</v>
      </c>
      <c r="C2568" t="s">
        <v>1335</v>
      </c>
      <c r="D2568" t="s">
        <v>452</v>
      </c>
      <c r="E2568" t="s">
        <v>660</v>
      </c>
      <c r="F2568" t="s">
        <v>705</v>
      </c>
      <c r="G2568" t="s">
        <v>706</v>
      </c>
      <c r="H2568" t="s">
        <v>663</v>
      </c>
      <c r="I2568">
        <v>0</v>
      </c>
      <c r="J2568">
        <v>0</v>
      </c>
      <c r="K2568">
        <v>0</v>
      </c>
      <c r="L2568" t="s">
        <v>25</v>
      </c>
      <c r="M2568" t="s">
        <v>132</v>
      </c>
      <c r="N2568">
        <v>1412.5436999999999</v>
      </c>
      <c r="O2568">
        <v>0</v>
      </c>
      <c r="P2568" t="str">
        <f>IF(T[[#This Row],[qty_ordered]]&lt;&gt;T[[#This Row],[qty_received]],IF(T[[#This Row],[qty_received]]&gt;0,"Partial Received","Not Receviced"),"FullyReceived")</f>
        <v>FullyReceived</v>
      </c>
      <c r="Q2568" t="str">
        <f>IF(T[[#This Row],[qty_received]]&lt;&gt;T[[#This Row],[qty_invoiced]],IF(T[[#This Row],[qty_invoiced]]&gt;0,"Partial Invoiced","Not Invoiced"),"Fully Invoiced")</f>
        <v>Fully Invoiced</v>
      </c>
      <c r="R2568" t="str">
        <f>IFERROR(VLOOKUP(T[[#This Row],[warehouse]],Table2[],2,FALSE),"--")</f>
        <v>SLAUGHTER HOUSE</v>
      </c>
    </row>
    <row r="2569" spans="1:18" x14ac:dyDescent="0.25">
      <c r="A2569" t="s">
        <v>658</v>
      </c>
      <c r="B2569" s="1">
        <v>44243</v>
      </c>
      <c r="C2569" t="s">
        <v>1243</v>
      </c>
      <c r="D2569" t="s">
        <v>324</v>
      </c>
      <c r="E2569" t="s">
        <v>660</v>
      </c>
      <c r="F2569" t="s">
        <v>661</v>
      </c>
      <c r="G2569" t="s">
        <v>662</v>
      </c>
      <c r="H2569" t="s">
        <v>663</v>
      </c>
      <c r="I2569">
        <v>2993.6</v>
      </c>
      <c r="J2569">
        <v>2993.6</v>
      </c>
      <c r="K2569">
        <v>2993.6</v>
      </c>
      <c r="L2569" t="s">
        <v>25</v>
      </c>
      <c r="M2569" t="s">
        <v>707</v>
      </c>
      <c r="N2569">
        <v>1100.826</v>
      </c>
      <c r="O2569">
        <v>4490400</v>
      </c>
      <c r="P2569" t="str">
        <f>IF(T[[#This Row],[qty_ordered]]&lt;&gt;T[[#This Row],[qty_received]],IF(T[[#This Row],[qty_received]]&gt;0,"Partial Received","Not Receviced"),"FullyReceived")</f>
        <v>FullyReceived</v>
      </c>
      <c r="Q2569" t="str">
        <f>IF(T[[#This Row],[qty_received]]&lt;&gt;T[[#This Row],[qty_invoiced]],IF(T[[#This Row],[qty_invoiced]]&gt;0,"Partial Invoiced","Not Invoiced"),"Fully Invoiced")</f>
        <v>Fully Invoiced</v>
      </c>
      <c r="R2569" t="str">
        <f>IFERROR(VLOOKUP(T[[#This Row],[warehouse]],Table2[],2,FALSE),"--")</f>
        <v>SLAUGHTER HOUSE</v>
      </c>
    </row>
    <row r="2570" spans="1:18" x14ac:dyDescent="0.25">
      <c r="A2570" t="s">
        <v>852</v>
      </c>
      <c r="B2570" s="1">
        <v>44200</v>
      </c>
      <c r="C2570" t="s">
        <v>1138</v>
      </c>
      <c r="D2570" t="s">
        <v>76</v>
      </c>
      <c r="E2570" t="s">
        <v>51</v>
      </c>
      <c r="F2570" t="s">
        <v>52</v>
      </c>
      <c r="G2570" t="s">
        <v>75</v>
      </c>
      <c r="H2570" t="s">
        <v>54</v>
      </c>
      <c r="I2570">
        <v>1</v>
      </c>
      <c r="J2570">
        <v>0</v>
      </c>
      <c r="K2570">
        <v>1</v>
      </c>
      <c r="L2570" t="s">
        <v>25</v>
      </c>
      <c r="M2570" t="s">
        <v>132</v>
      </c>
      <c r="N2570">
        <v>5000000</v>
      </c>
      <c r="O2570">
        <v>0</v>
      </c>
      <c r="P2570" t="str">
        <f>IF(T[[#This Row],[qty_ordered]]&lt;&gt;T[[#This Row],[qty_received]],IF(T[[#This Row],[qty_received]]&gt;0,"Partial Received","Not Receviced"),"FullyReceived")</f>
        <v>Not Receviced</v>
      </c>
      <c r="Q2570" t="str">
        <f>IF(T[[#This Row],[qty_received]]&lt;&gt;T[[#This Row],[qty_invoiced]],IF(T[[#This Row],[qty_invoiced]]&gt;0,"Partial Invoiced","Not Invoiced"),"Fully Invoiced")</f>
        <v>Partial Invoiced</v>
      </c>
      <c r="R2570" t="str">
        <f>IFERROR(VLOOKUP(T[[#This Row],[warehouse]],Table2[],2,FALSE),"--")</f>
        <v>--</v>
      </c>
    </row>
    <row r="2571" spans="1:18" x14ac:dyDescent="0.25">
      <c r="A2571" t="s">
        <v>1810</v>
      </c>
      <c r="B2571" s="1">
        <v>44341</v>
      </c>
      <c r="C2571" t="s">
        <v>1811</v>
      </c>
      <c r="D2571" t="s">
        <v>20</v>
      </c>
      <c r="E2571" t="s">
        <v>548</v>
      </c>
      <c r="F2571" t="s">
        <v>287</v>
      </c>
      <c r="G2571" t="s">
        <v>288</v>
      </c>
      <c r="H2571" t="s">
        <v>24</v>
      </c>
      <c r="I2571">
        <v>30.16</v>
      </c>
      <c r="J2571">
        <v>30.16</v>
      </c>
      <c r="K2571">
        <v>30.16</v>
      </c>
      <c r="L2571" t="s">
        <v>25</v>
      </c>
      <c r="M2571" t="s">
        <v>132</v>
      </c>
      <c r="N2571">
        <v>392267.87375115999</v>
      </c>
      <c r="O2571">
        <v>11830799.072334999</v>
      </c>
      <c r="P2571" t="str">
        <f>IF(T[[#This Row],[qty_ordered]]&lt;&gt;T[[#This Row],[qty_received]],IF(T[[#This Row],[qty_received]]&gt;0,"Partial Received","Not Receviced"),"FullyReceived")</f>
        <v>FullyReceived</v>
      </c>
      <c r="Q2571" t="str">
        <f>IF(T[[#This Row],[qty_received]]&lt;&gt;T[[#This Row],[qty_invoiced]],IF(T[[#This Row],[qty_invoiced]]&gt;0,"Partial Invoiced","Not Invoiced"),"Fully Invoiced")</f>
        <v>Fully Invoiced</v>
      </c>
      <c r="R2571" t="str">
        <f>IFERROR(VLOOKUP(T[[#This Row],[warehouse]],Table2[],2,FALSE),"--")</f>
        <v>Crusher Almosaly-ALB</v>
      </c>
    </row>
    <row r="2572" spans="1:18" x14ac:dyDescent="0.25">
      <c r="A2572" t="s">
        <v>985</v>
      </c>
      <c r="B2572" s="1">
        <v>44766</v>
      </c>
      <c r="C2572" t="s">
        <v>1812</v>
      </c>
      <c r="D2572" t="s">
        <v>20</v>
      </c>
      <c r="E2572" t="s">
        <v>51</v>
      </c>
      <c r="F2572" t="s">
        <v>183</v>
      </c>
      <c r="G2572" t="s">
        <v>1813</v>
      </c>
      <c r="H2572" t="s">
        <v>54</v>
      </c>
      <c r="I2572">
        <v>22.652999999999999</v>
      </c>
      <c r="J2572">
        <v>0</v>
      </c>
      <c r="K2572">
        <v>1</v>
      </c>
      <c r="L2572" t="s">
        <v>693</v>
      </c>
      <c r="M2572" t="s">
        <v>533</v>
      </c>
      <c r="N2572">
        <v>8000</v>
      </c>
      <c r="O2572">
        <v>0</v>
      </c>
      <c r="P2572" t="str">
        <f>IF(T[[#This Row],[qty_ordered]]&lt;&gt;T[[#This Row],[qty_received]],IF(T[[#This Row],[qty_received]]&gt;0,"Partial Received","Not Receviced"),"FullyReceived")</f>
        <v>Not Receviced</v>
      </c>
      <c r="Q2572" t="str">
        <f>IF(T[[#This Row],[qty_received]]&lt;&gt;T[[#This Row],[qty_invoiced]],IF(T[[#This Row],[qty_invoiced]]&gt;0,"Partial Invoiced","Not Invoiced"),"Fully Invoiced")</f>
        <v>Partial Invoiced</v>
      </c>
      <c r="R2572" t="str">
        <f>IFERROR(VLOOKUP(T[[#This Row],[warehouse]],Table2[],2,FALSE),"--")</f>
        <v>--</v>
      </c>
    </row>
    <row r="2573" spans="1:18" x14ac:dyDescent="0.25">
      <c r="A2573" t="s">
        <v>201</v>
      </c>
      <c r="B2573" s="1">
        <v>44760</v>
      </c>
      <c r="C2573" t="s">
        <v>1780</v>
      </c>
      <c r="D2573" t="s">
        <v>71</v>
      </c>
      <c r="E2573" t="s">
        <v>1220</v>
      </c>
      <c r="F2573" t="s">
        <v>1338</v>
      </c>
      <c r="G2573" t="s">
        <v>1339</v>
      </c>
      <c r="H2573" t="s">
        <v>123</v>
      </c>
      <c r="I2573">
        <v>140000</v>
      </c>
      <c r="J2573">
        <v>140000</v>
      </c>
      <c r="K2573">
        <v>140000</v>
      </c>
      <c r="L2573" t="s">
        <v>693</v>
      </c>
      <c r="M2573" t="s">
        <v>707</v>
      </c>
      <c r="N2573">
        <v>20086.333084999998</v>
      </c>
      <c r="O2573">
        <v>2812086631.9000001</v>
      </c>
      <c r="P2573" t="str">
        <f>IF(T[[#This Row],[qty_ordered]]&lt;&gt;T[[#This Row],[qty_received]],IF(T[[#This Row],[qty_received]]&gt;0,"Partial Received","Not Receviced"),"FullyReceived")</f>
        <v>FullyReceived</v>
      </c>
      <c r="Q2573" t="str">
        <f>IF(T[[#This Row],[qty_received]]&lt;&gt;T[[#This Row],[qty_invoiced]],IF(T[[#This Row],[qty_invoiced]]&gt;0,"Partial Invoiced","Not Invoiced"),"Fully Invoiced")</f>
        <v>Fully Invoiced</v>
      </c>
      <c r="R2573" t="str">
        <f>IFERROR(VLOOKUP(T[[#This Row],[warehouse]],Table2[],2,FALSE),"--")</f>
        <v>Import Virtual Warehouse - PZU</v>
      </c>
    </row>
    <row r="2574" spans="1:18" x14ac:dyDescent="0.25">
      <c r="A2574" t="s">
        <v>462</v>
      </c>
      <c r="B2574" s="1">
        <v>44676</v>
      </c>
      <c r="C2574" t="s">
        <v>1706</v>
      </c>
      <c r="D2574" t="s">
        <v>594</v>
      </c>
      <c r="E2574" t="s">
        <v>51</v>
      </c>
      <c r="F2574" t="s">
        <v>278</v>
      </c>
      <c r="G2574" t="s">
        <v>1814</v>
      </c>
      <c r="H2574" t="s">
        <v>54</v>
      </c>
      <c r="I2574">
        <v>25</v>
      </c>
      <c r="J2574">
        <v>0</v>
      </c>
      <c r="K2574">
        <v>1</v>
      </c>
      <c r="L2574" t="s">
        <v>693</v>
      </c>
      <c r="M2574" t="s">
        <v>533</v>
      </c>
      <c r="N2574">
        <v>45</v>
      </c>
      <c r="O2574">
        <v>0</v>
      </c>
      <c r="P2574" t="str">
        <f>IF(T[[#This Row],[qty_ordered]]&lt;&gt;T[[#This Row],[qty_received]],IF(T[[#This Row],[qty_received]]&gt;0,"Partial Received","Not Receviced"),"FullyReceived")</f>
        <v>Not Receviced</v>
      </c>
      <c r="Q2574" t="str">
        <f>IF(T[[#This Row],[qty_received]]&lt;&gt;T[[#This Row],[qty_invoiced]],IF(T[[#This Row],[qty_invoiced]]&gt;0,"Partial Invoiced","Not Invoiced"),"Fully Invoiced")</f>
        <v>Partial Invoiced</v>
      </c>
      <c r="R2574" t="str">
        <f>IFERROR(VLOOKUP(T[[#This Row],[warehouse]],Table2[],2,FALSE),"--")</f>
        <v>--</v>
      </c>
    </row>
    <row r="2575" spans="1:18" x14ac:dyDescent="0.25">
      <c r="A2575" t="s">
        <v>462</v>
      </c>
      <c r="B2575" s="1">
        <v>44676</v>
      </c>
      <c r="C2575" t="s">
        <v>1706</v>
      </c>
      <c r="D2575" t="s">
        <v>595</v>
      </c>
      <c r="E2575" t="s">
        <v>51</v>
      </c>
      <c r="F2575" t="s">
        <v>254</v>
      </c>
      <c r="G2575" t="s">
        <v>1815</v>
      </c>
      <c r="H2575" t="s">
        <v>54</v>
      </c>
      <c r="I2575">
        <v>16485</v>
      </c>
      <c r="J2575">
        <v>0</v>
      </c>
      <c r="K2575">
        <v>1</v>
      </c>
      <c r="L2575" t="s">
        <v>693</v>
      </c>
      <c r="M2575" t="s">
        <v>533</v>
      </c>
      <c r="N2575">
        <v>40</v>
      </c>
      <c r="O2575">
        <v>0</v>
      </c>
      <c r="P2575" t="str">
        <f>IF(T[[#This Row],[qty_ordered]]&lt;&gt;T[[#This Row],[qty_received]],IF(T[[#This Row],[qty_received]]&gt;0,"Partial Received","Not Receviced"),"FullyReceived")</f>
        <v>Not Receviced</v>
      </c>
      <c r="Q2575" t="str">
        <f>IF(T[[#This Row],[qty_received]]&lt;&gt;T[[#This Row],[qty_invoiced]],IF(T[[#This Row],[qty_invoiced]]&gt;0,"Partial Invoiced","Not Invoiced"),"Fully Invoiced")</f>
        <v>Partial Invoiced</v>
      </c>
      <c r="R2575" t="str">
        <f>IFERROR(VLOOKUP(T[[#This Row],[warehouse]],Table2[],2,FALSE),"--")</f>
        <v>--</v>
      </c>
    </row>
    <row r="2576" spans="1:18" x14ac:dyDescent="0.25">
      <c r="A2576" t="s">
        <v>462</v>
      </c>
      <c r="B2576" s="1">
        <v>44676</v>
      </c>
      <c r="C2576" t="s">
        <v>1706</v>
      </c>
      <c r="D2576" t="s">
        <v>596</v>
      </c>
      <c r="E2576" t="s">
        <v>51</v>
      </c>
      <c r="F2576" t="s">
        <v>793</v>
      </c>
      <c r="G2576" t="s">
        <v>1816</v>
      </c>
      <c r="H2576" t="s">
        <v>54</v>
      </c>
      <c r="I2576">
        <v>1</v>
      </c>
      <c r="J2576">
        <v>0</v>
      </c>
      <c r="K2576">
        <v>1</v>
      </c>
      <c r="L2576" t="s">
        <v>693</v>
      </c>
      <c r="M2576" t="s">
        <v>533</v>
      </c>
      <c r="N2576">
        <v>2500</v>
      </c>
      <c r="O2576">
        <v>0</v>
      </c>
      <c r="P2576" t="str">
        <f>IF(T[[#This Row],[qty_ordered]]&lt;&gt;T[[#This Row],[qty_received]],IF(T[[#This Row],[qty_received]]&gt;0,"Partial Received","Not Receviced"),"FullyReceived")</f>
        <v>Not Receviced</v>
      </c>
      <c r="Q2576" t="str">
        <f>IF(T[[#This Row],[qty_received]]&lt;&gt;T[[#This Row],[qty_invoiced]],IF(T[[#This Row],[qty_invoiced]]&gt;0,"Partial Invoiced","Not Invoiced"),"Fully Invoiced")</f>
        <v>Partial Invoiced</v>
      </c>
      <c r="R2576" t="str">
        <f>IFERROR(VLOOKUP(T[[#This Row],[warehouse]],Table2[],2,FALSE),"--")</f>
        <v>--</v>
      </c>
    </row>
    <row r="2577" spans="1:18" x14ac:dyDescent="0.25">
      <c r="A2577" t="s">
        <v>462</v>
      </c>
      <c r="B2577" s="1">
        <v>44676</v>
      </c>
      <c r="C2577" t="s">
        <v>1706</v>
      </c>
      <c r="D2577" t="s">
        <v>507</v>
      </c>
      <c r="E2577" t="s">
        <v>51</v>
      </c>
      <c r="F2577" t="s">
        <v>433</v>
      </c>
      <c r="G2577" t="s">
        <v>1817</v>
      </c>
      <c r="H2577" t="s">
        <v>54</v>
      </c>
      <c r="I2577">
        <v>1496</v>
      </c>
      <c r="J2577">
        <v>0</v>
      </c>
      <c r="K2577">
        <v>1</v>
      </c>
      <c r="L2577" t="s">
        <v>693</v>
      </c>
      <c r="M2577" t="s">
        <v>533</v>
      </c>
      <c r="N2577">
        <v>15</v>
      </c>
      <c r="O2577">
        <v>0</v>
      </c>
      <c r="P2577" t="str">
        <f>IF(T[[#This Row],[qty_ordered]]&lt;&gt;T[[#This Row],[qty_received]],IF(T[[#This Row],[qty_received]]&gt;0,"Partial Received","Not Receviced"),"FullyReceived")</f>
        <v>Not Receviced</v>
      </c>
      <c r="Q2577" t="str">
        <f>IF(T[[#This Row],[qty_received]]&lt;&gt;T[[#This Row],[qty_invoiced]],IF(T[[#This Row],[qty_invoiced]]&gt;0,"Partial Invoiced","Not Invoiced"),"Fully Invoiced")</f>
        <v>Partial Invoiced</v>
      </c>
      <c r="R2577" t="str">
        <f>IFERROR(VLOOKUP(T[[#This Row],[warehouse]],Table2[],2,FALSE),"--")</f>
        <v>--</v>
      </c>
    </row>
    <row r="2578" spans="1:18" x14ac:dyDescent="0.25">
      <c r="A2578" t="s">
        <v>985</v>
      </c>
      <c r="B2578" s="1">
        <v>44774</v>
      </c>
      <c r="C2578" t="s">
        <v>1818</v>
      </c>
      <c r="D2578" t="s">
        <v>20</v>
      </c>
      <c r="E2578" t="s">
        <v>51</v>
      </c>
      <c r="F2578" t="s">
        <v>183</v>
      </c>
      <c r="G2578" t="s">
        <v>1819</v>
      </c>
      <c r="H2578" t="s">
        <v>54</v>
      </c>
      <c r="I2578">
        <v>100</v>
      </c>
      <c r="J2578">
        <v>0</v>
      </c>
      <c r="K2578">
        <v>1</v>
      </c>
      <c r="L2578" t="s">
        <v>693</v>
      </c>
      <c r="M2578" t="s">
        <v>533</v>
      </c>
      <c r="N2578">
        <v>8000</v>
      </c>
      <c r="O2578">
        <v>0</v>
      </c>
      <c r="P2578" t="str">
        <f>IF(T[[#This Row],[qty_ordered]]&lt;&gt;T[[#This Row],[qty_received]],IF(T[[#This Row],[qty_received]]&gt;0,"Partial Received","Not Receviced"),"FullyReceived")</f>
        <v>Not Receviced</v>
      </c>
      <c r="Q2578" t="str">
        <f>IF(T[[#This Row],[qty_received]]&lt;&gt;T[[#This Row],[qty_invoiced]],IF(T[[#This Row],[qty_invoiced]]&gt;0,"Partial Invoiced","Not Invoiced"),"Fully Invoiced")</f>
        <v>Partial Invoiced</v>
      </c>
      <c r="R2578" t="str">
        <f>IFERROR(VLOOKUP(T[[#This Row],[warehouse]],Table2[],2,FALSE),"--")</f>
        <v>--</v>
      </c>
    </row>
    <row r="2579" spans="1:18" x14ac:dyDescent="0.25">
      <c r="A2579" t="s">
        <v>235</v>
      </c>
      <c r="B2579" s="1">
        <v>44586</v>
      </c>
      <c r="C2579" t="s">
        <v>1715</v>
      </c>
      <c r="D2579" t="s">
        <v>76</v>
      </c>
      <c r="E2579" t="s">
        <v>51</v>
      </c>
      <c r="F2579" t="s">
        <v>546</v>
      </c>
      <c r="G2579" t="s">
        <v>1820</v>
      </c>
      <c r="H2579" t="s">
        <v>54</v>
      </c>
      <c r="I2579">
        <v>17000</v>
      </c>
      <c r="J2579">
        <v>0</v>
      </c>
      <c r="K2579">
        <v>1</v>
      </c>
      <c r="L2579" t="s">
        <v>693</v>
      </c>
      <c r="M2579" t="s">
        <v>2836</v>
      </c>
      <c r="N2579">
        <v>17.235294</v>
      </c>
      <c r="O2579">
        <v>0</v>
      </c>
      <c r="P2579" t="str">
        <f>IF(T[[#This Row],[qty_ordered]]&lt;&gt;T[[#This Row],[qty_received]],IF(T[[#This Row],[qty_received]]&gt;0,"Partial Received","Not Receviced"),"FullyReceived")</f>
        <v>Not Receviced</v>
      </c>
      <c r="Q2579" t="str">
        <f>IF(T[[#This Row],[qty_received]]&lt;&gt;T[[#This Row],[qty_invoiced]],IF(T[[#This Row],[qty_invoiced]]&gt;0,"Partial Invoiced","Not Invoiced"),"Fully Invoiced")</f>
        <v>Partial Invoiced</v>
      </c>
      <c r="R2579" t="str">
        <f>IFERROR(VLOOKUP(T[[#This Row],[warehouse]],Table2[],2,FALSE),"--")</f>
        <v>--</v>
      </c>
    </row>
    <row r="2580" spans="1:18" x14ac:dyDescent="0.25">
      <c r="A2580" t="s">
        <v>235</v>
      </c>
      <c r="B2580" s="1">
        <v>44586</v>
      </c>
      <c r="C2580" t="s">
        <v>1715</v>
      </c>
      <c r="D2580" t="s">
        <v>212</v>
      </c>
      <c r="E2580" t="s">
        <v>51</v>
      </c>
      <c r="F2580" t="s">
        <v>546</v>
      </c>
      <c r="G2580" t="s">
        <v>1821</v>
      </c>
      <c r="H2580" t="s">
        <v>54</v>
      </c>
      <c r="I2580">
        <v>25000</v>
      </c>
      <c r="J2580">
        <v>0</v>
      </c>
      <c r="K2580">
        <v>1</v>
      </c>
      <c r="L2580" t="s">
        <v>693</v>
      </c>
      <c r="M2580" t="s">
        <v>2836</v>
      </c>
      <c r="N2580">
        <v>17</v>
      </c>
      <c r="O2580">
        <v>0</v>
      </c>
      <c r="P2580" t="str">
        <f>IF(T[[#This Row],[qty_ordered]]&lt;&gt;T[[#This Row],[qty_received]],IF(T[[#This Row],[qty_received]]&gt;0,"Partial Received","Not Receviced"),"FullyReceived")</f>
        <v>Not Receviced</v>
      </c>
      <c r="Q2580" t="str">
        <f>IF(T[[#This Row],[qty_received]]&lt;&gt;T[[#This Row],[qty_invoiced]],IF(T[[#This Row],[qty_invoiced]]&gt;0,"Partial Invoiced","Not Invoiced"),"Fully Invoiced")</f>
        <v>Partial Invoiced</v>
      </c>
      <c r="R2580" t="str">
        <f>IFERROR(VLOOKUP(T[[#This Row],[warehouse]],Table2[],2,FALSE),"--")</f>
        <v>--</v>
      </c>
    </row>
    <row r="2581" spans="1:18" x14ac:dyDescent="0.25">
      <c r="A2581" t="s">
        <v>235</v>
      </c>
      <c r="B2581" s="1">
        <v>44718</v>
      </c>
      <c r="C2581" t="s">
        <v>1822</v>
      </c>
      <c r="D2581" t="s">
        <v>71</v>
      </c>
      <c r="E2581" t="s">
        <v>51</v>
      </c>
      <c r="F2581" t="s">
        <v>546</v>
      </c>
      <c r="G2581" t="s">
        <v>1823</v>
      </c>
      <c r="H2581" t="s">
        <v>54</v>
      </c>
      <c r="I2581">
        <v>3500</v>
      </c>
      <c r="J2581">
        <v>0</v>
      </c>
      <c r="K2581">
        <v>1</v>
      </c>
      <c r="L2581" t="s">
        <v>693</v>
      </c>
      <c r="M2581" t="s">
        <v>533</v>
      </c>
      <c r="N2581">
        <v>17</v>
      </c>
      <c r="O2581">
        <v>0</v>
      </c>
      <c r="P2581" t="str">
        <f>IF(T[[#This Row],[qty_ordered]]&lt;&gt;T[[#This Row],[qty_received]],IF(T[[#This Row],[qty_received]]&gt;0,"Partial Received","Not Receviced"),"FullyReceived")</f>
        <v>Not Receviced</v>
      </c>
      <c r="Q2581" t="str">
        <f>IF(T[[#This Row],[qty_received]]&lt;&gt;T[[#This Row],[qty_invoiced]],IF(T[[#This Row],[qty_invoiced]]&gt;0,"Partial Invoiced","Not Invoiced"),"Fully Invoiced")</f>
        <v>Partial Invoiced</v>
      </c>
      <c r="R2581" t="str">
        <f>IFERROR(VLOOKUP(T[[#This Row],[warehouse]],Table2[],2,FALSE),"--")</f>
        <v>--</v>
      </c>
    </row>
    <row r="2582" spans="1:18" x14ac:dyDescent="0.25">
      <c r="A2582" t="s">
        <v>1316</v>
      </c>
      <c r="B2582" s="1">
        <v>44592</v>
      </c>
      <c r="C2582" t="s">
        <v>1824</v>
      </c>
      <c r="D2582" t="s">
        <v>323</v>
      </c>
      <c r="E2582" t="s">
        <v>51</v>
      </c>
      <c r="F2582" t="s">
        <v>1641</v>
      </c>
      <c r="G2582" t="s">
        <v>1825</v>
      </c>
      <c r="H2582" t="s">
        <v>54</v>
      </c>
      <c r="I2582">
        <v>1000</v>
      </c>
      <c r="J2582">
        <v>0</v>
      </c>
      <c r="K2582">
        <v>1</v>
      </c>
      <c r="L2582" t="s">
        <v>693</v>
      </c>
      <c r="M2582" t="s">
        <v>533</v>
      </c>
      <c r="N2582">
        <v>10000</v>
      </c>
      <c r="O2582">
        <v>0</v>
      </c>
      <c r="P2582" t="str">
        <f>IF(T[[#This Row],[qty_ordered]]&lt;&gt;T[[#This Row],[qty_received]],IF(T[[#This Row],[qty_received]]&gt;0,"Partial Received","Not Receviced"),"FullyReceived")</f>
        <v>Not Receviced</v>
      </c>
      <c r="Q2582" t="str">
        <f>IF(T[[#This Row],[qty_received]]&lt;&gt;T[[#This Row],[qty_invoiced]],IF(T[[#This Row],[qty_invoiced]]&gt;0,"Partial Invoiced","Not Invoiced"),"Fully Invoiced")</f>
        <v>Partial Invoiced</v>
      </c>
      <c r="R2582" t="str">
        <f>IFERROR(VLOOKUP(T[[#This Row],[warehouse]],Table2[],2,FALSE),"--")</f>
        <v>--</v>
      </c>
    </row>
    <row r="2583" spans="1:18" x14ac:dyDescent="0.25">
      <c r="A2583" t="s">
        <v>1044</v>
      </c>
      <c r="B2583" s="1">
        <v>44780</v>
      </c>
      <c r="C2583" t="s">
        <v>1826</v>
      </c>
      <c r="D2583" t="s">
        <v>20</v>
      </c>
      <c r="E2583" t="s">
        <v>51</v>
      </c>
      <c r="F2583" t="s">
        <v>52</v>
      </c>
      <c r="G2583" t="s">
        <v>1827</v>
      </c>
      <c r="H2583" t="s">
        <v>54</v>
      </c>
      <c r="I2583">
        <v>33</v>
      </c>
      <c r="J2583">
        <v>0</v>
      </c>
      <c r="K2583">
        <v>1</v>
      </c>
      <c r="L2583" t="s">
        <v>693</v>
      </c>
      <c r="M2583" t="s">
        <v>707</v>
      </c>
      <c r="N2583">
        <v>40000</v>
      </c>
      <c r="O2583">
        <v>0</v>
      </c>
      <c r="P2583" t="str">
        <f>IF(T[[#This Row],[qty_ordered]]&lt;&gt;T[[#This Row],[qty_received]],IF(T[[#This Row],[qty_received]]&gt;0,"Partial Received","Not Receviced"),"FullyReceived")</f>
        <v>Not Receviced</v>
      </c>
      <c r="Q2583" t="str">
        <f>IF(T[[#This Row],[qty_received]]&lt;&gt;T[[#This Row],[qty_invoiced]],IF(T[[#This Row],[qty_invoiced]]&gt;0,"Partial Invoiced","Not Invoiced"),"Fully Invoiced")</f>
        <v>Partial Invoiced</v>
      </c>
      <c r="R2583" t="str">
        <f>IFERROR(VLOOKUP(T[[#This Row],[warehouse]],Table2[],2,FALSE),"--")</f>
        <v>--</v>
      </c>
    </row>
    <row r="2584" spans="1:18" x14ac:dyDescent="0.25">
      <c r="A2584" t="s">
        <v>224</v>
      </c>
      <c r="B2584" s="1">
        <v>44598</v>
      </c>
      <c r="C2584" t="s">
        <v>1773</v>
      </c>
      <c r="D2584" t="s">
        <v>212</v>
      </c>
      <c r="E2584" t="s">
        <v>51</v>
      </c>
      <c r="F2584" t="s">
        <v>183</v>
      </c>
      <c r="G2584" t="s">
        <v>1828</v>
      </c>
      <c r="H2584" t="s">
        <v>54</v>
      </c>
      <c r="I2584">
        <v>200</v>
      </c>
      <c r="J2584">
        <v>0</v>
      </c>
      <c r="K2584">
        <v>1</v>
      </c>
      <c r="L2584" t="s">
        <v>693</v>
      </c>
      <c r="M2584" t="s">
        <v>533</v>
      </c>
      <c r="N2584">
        <v>8000</v>
      </c>
      <c r="O2584">
        <v>0</v>
      </c>
      <c r="P2584" t="str">
        <f>IF(T[[#This Row],[qty_ordered]]&lt;&gt;T[[#This Row],[qty_received]],IF(T[[#This Row],[qty_received]]&gt;0,"Partial Received","Not Receviced"),"FullyReceived")</f>
        <v>Not Receviced</v>
      </c>
      <c r="Q2584" t="str">
        <f>IF(T[[#This Row],[qty_received]]&lt;&gt;T[[#This Row],[qty_invoiced]],IF(T[[#This Row],[qty_invoiced]]&gt;0,"Partial Invoiced","Not Invoiced"),"Fully Invoiced")</f>
        <v>Partial Invoiced</v>
      </c>
      <c r="R2584" t="str">
        <f>IFERROR(VLOOKUP(T[[#This Row],[warehouse]],Table2[],2,FALSE),"--")</f>
        <v>--</v>
      </c>
    </row>
    <row r="2585" spans="1:18" x14ac:dyDescent="0.25">
      <c r="A2585" t="s">
        <v>1044</v>
      </c>
      <c r="B2585" s="1">
        <v>44780</v>
      </c>
      <c r="C2585" t="s">
        <v>1826</v>
      </c>
      <c r="D2585" t="s">
        <v>71</v>
      </c>
      <c r="E2585" t="s">
        <v>51</v>
      </c>
      <c r="F2585" t="s">
        <v>52</v>
      </c>
      <c r="G2585" t="s">
        <v>1827</v>
      </c>
      <c r="H2585" t="s">
        <v>54</v>
      </c>
      <c r="I2585">
        <v>33</v>
      </c>
      <c r="J2585">
        <v>0</v>
      </c>
      <c r="K2585">
        <v>1</v>
      </c>
      <c r="L2585" t="s">
        <v>693</v>
      </c>
      <c r="M2585" t="s">
        <v>707</v>
      </c>
      <c r="N2585">
        <v>40000</v>
      </c>
      <c r="O2585">
        <v>0</v>
      </c>
      <c r="P2585" t="str">
        <f>IF(T[[#This Row],[qty_ordered]]&lt;&gt;T[[#This Row],[qty_received]],IF(T[[#This Row],[qty_received]]&gt;0,"Partial Received","Not Receviced"),"FullyReceived")</f>
        <v>Not Receviced</v>
      </c>
      <c r="Q2585" t="str">
        <f>IF(T[[#This Row],[qty_received]]&lt;&gt;T[[#This Row],[qty_invoiced]],IF(T[[#This Row],[qty_invoiced]]&gt;0,"Partial Invoiced","Not Invoiced"),"Fully Invoiced")</f>
        <v>Partial Invoiced</v>
      </c>
      <c r="R2585" t="str">
        <f>IFERROR(VLOOKUP(T[[#This Row],[warehouse]],Table2[],2,FALSE),"--")</f>
        <v>--</v>
      </c>
    </row>
    <row r="2586" spans="1:18" x14ac:dyDescent="0.25">
      <c r="A2586" t="s">
        <v>201</v>
      </c>
      <c r="B2586" s="1">
        <v>44781</v>
      </c>
      <c r="C2586" t="s">
        <v>1829</v>
      </c>
      <c r="D2586" t="s">
        <v>20</v>
      </c>
      <c r="E2586" t="s">
        <v>203</v>
      </c>
      <c r="F2586" t="s">
        <v>204</v>
      </c>
      <c r="G2586" t="s">
        <v>205</v>
      </c>
      <c r="H2586" t="s">
        <v>206</v>
      </c>
      <c r="I2586">
        <v>320</v>
      </c>
      <c r="J2586">
        <v>320</v>
      </c>
      <c r="K2586">
        <v>320</v>
      </c>
      <c r="L2586" t="s">
        <v>693</v>
      </c>
      <c r="M2586" t="s">
        <v>1404</v>
      </c>
      <c r="N2586">
        <v>160660.16702399999</v>
      </c>
      <c r="O2586">
        <v>51411253.447679996</v>
      </c>
      <c r="P2586" t="str">
        <f>IF(T[[#This Row],[qty_ordered]]&lt;&gt;T[[#This Row],[qty_received]],IF(T[[#This Row],[qty_received]]&gt;0,"Partial Received","Not Receviced"),"FullyReceived")</f>
        <v>FullyReceived</v>
      </c>
      <c r="Q2586" t="str">
        <f>IF(T[[#This Row],[qty_received]]&lt;&gt;T[[#This Row],[qty_invoiced]],IF(T[[#This Row],[qty_invoiced]]&gt;0,"Partial Invoiced","Not Invoiced"),"Fully Invoiced")</f>
        <v>Fully Invoiced</v>
      </c>
      <c r="R2586" t="str">
        <f>IFERROR(VLOOKUP(T[[#This Row],[warehouse]],Table2[],2,FALSE),"--")</f>
        <v>PZU Packaging Warehouse</v>
      </c>
    </row>
    <row r="2587" spans="1:18" x14ac:dyDescent="0.25">
      <c r="A2587" t="s">
        <v>201</v>
      </c>
      <c r="B2587" s="1">
        <v>44781</v>
      </c>
      <c r="C2587" t="s">
        <v>1829</v>
      </c>
      <c r="D2587" t="s">
        <v>71</v>
      </c>
      <c r="E2587" t="s">
        <v>51</v>
      </c>
      <c r="F2587" t="s">
        <v>933</v>
      </c>
      <c r="G2587" t="s">
        <v>933</v>
      </c>
      <c r="H2587" t="s">
        <v>54</v>
      </c>
      <c r="I2587">
        <v>1</v>
      </c>
      <c r="J2587">
        <v>0</v>
      </c>
      <c r="K2587">
        <v>0</v>
      </c>
      <c r="L2587" t="s">
        <v>693</v>
      </c>
      <c r="M2587" t="s">
        <v>1404</v>
      </c>
      <c r="N2587">
        <v>7958307.6492799995</v>
      </c>
      <c r="O2587">
        <v>0</v>
      </c>
      <c r="P2587" t="str">
        <f>IF(T[[#This Row],[qty_ordered]]&lt;&gt;T[[#This Row],[qty_received]],IF(T[[#This Row],[qty_received]]&gt;0,"Partial Received","Not Receviced"),"FullyReceived")</f>
        <v>Not Receviced</v>
      </c>
      <c r="Q2587" t="str">
        <f>IF(T[[#This Row],[qty_received]]&lt;&gt;T[[#This Row],[qty_invoiced]],IF(T[[#This Row],[qty_invoiced]]&gt;0,"Partial Invoiced","Not Invoiced"),"Fully Invoiced")</f>
        <v>Fully Invoiced</v>
      </c>
      <c r="R2587" t="str">
        <f>IFERROR(VLOOKUP(T[[#This Row],[warehouse]],Table2[],2,FALSE),"--")</f>
        <v>--</v>
      </c>
    </row>
    <row r="2588" spans="1:18" x14ac:dyDescent="0.25">
      <c r="A2588" t="s">
        <v>1059</v>
      </c>
      <c r="B2588" s="1">
        <v>44651</v>
      </c>
      <c r="C2588" t="s">
        <v>1578</v>
      </c>
      <c r="D2588" t="s">
        <v>324</v>
      </c>
      <c r="E2588" t="s">
        <v>51</v>
      </c>
      <c r="F2588" t="s">
        <v>933</v>
      </c>
      <c r="G2588" t="s">
        <v>1830</v>
      </c>
      <c r="H2588" t="s">
        <v>54</v>
      </c>
      <c r="I2588">
        <v>20</v>
      </c>
      <c r="J2588">
        <v>0</v>
      </c>
      <c r="K2588">
        <v>1</v>
      </c>
      <c r="L2588" t="s">
        <v>693</v>
      </c>
      <c r="M2588" t="s">
        <v>2836</v>
      </c>
      <c r="N2588">
        <v>1102.5</v>
      </c>
      <c r="O2588">
        <v>0</v>
      </c>
      <c r="P2588" t="str">
        <f>IF(T[[#This Row],[qty_ordered]]&lt;&gt;T[[#This Row],[qty_received]],IF(T[[#This Row],[qty_received]]&gt;0,"Partial Received","Not Receviced"),"FullyReceived")</f>
        <v>Not Receviced</v>
      </c>
      <c r="Q2588" t="str">
        <f>IF(T[[#This Row],[qty_received]]&lt;&gt;T[[#This Row],[qty_invoiced]],IF(T[[#This Row],[qty_invoiced]]&gt;0,"Partial Invoiced","Not Invoiced"),"Fully Invoiced")</f>
        <v>Partial Invoiced</v>
      </c>
      <c r="R2588" t="str">
        <f>IFERROR(VLOOKUP(T[[#This Row],[warehouse]],Table2[],2,FALSE),"--")</f>
        <v>--</v>
      </c>
    </row>
    <row r="2589" spans="1:18" x14ac:dyDescent="0.25">
      <c r="A2589" t="s">
        <v>1059</v>
      </c>
      <c r="B2589" s="1">
        <v>44651</v>
      </c>
      <c r="C2589" t="s">
        <v>1578</v>
      </c>
      <c r="D2589" t="s">
        <v>325</v>
      </c>
      <c r="E2589" t="s">
        <v>51</v>
      </c>
      <c r="F2589" t="s">
        <v>933</v>
      </c>
      <c r="G2589" t="s">
        <v>1830</v>
      </c>
      <c r="H2589" t="s">
        <v>54</v>
      </c>
      <c r="I2589">
        <v>150</v>
      </c>
      <c r="J2589">
        <v>0</v>
      </c>
      <c r="K2589">
        <v>1</v>
      </c>
      <c r="L2589" t="s">
        <v>693</v>
      </c>
      <c r="M2589" t="s">
        <v>2836</v>
      </c>
      <c r="N2589">
        <v>273.66666700000002</v>
      </c>
      <c r="O2589">
        <v>0</v>
      </c>
      <c r="P2589" t="str">
        <f>IF(T[[#This Row],[qty_ordered]]&lt;&gt;T[[#This Row],[qty_received]],IF(T[[#This Row],[qty_received]]&gt;0,"Partial Received","Not Receviced"),"FullyReceived")</f>
        <v>Not Receviced</v>
      </c>
      <c r="Q2589" t="str">
        <f>IF(T[[#This Row],[qty_received]]&lt;&gt;T[[#This Row],[qty_invoiced]],IF(T[[#This Row],[qty_invoiced]]&gt;0,"Partial Invoiced","Not Invoiced"),"Fully Invoiced")</f>
        <v>Partial Invoiced</v>
      </c>
      <c r="R2589" t="str">
        <f>IFERROR(VLOOKUP(T[[#This Row],[warehouse]],Table2[],2,FALSE),"--")</f>
        <v>--</v>
      </c>
    </row>
    <row r="2590" spans="1:18" x14ac:dyDescent="0.25">
      <c r="A2590" t="s">
        <v>1059</v>
      </c>
      <c r="B2590" s="1">
        <v>44651</v>
      </c>
      <c r="C2590" t="s">
        <v>1578</v>
      </c>
      <c r="D2590" t="s">
        <v>451</v>
      </c>
      <c r="E2590" t="s">
        <v>51</v>
      </c>
      <c r="F2590" t="s">
        <v>933</v>
      </c>
      <c r="G2590" t="s">
        <v>1830</v>
      </c>
      <c r="H2590" t="s">
        <v>54</v>
      </c>
      <c r="I2590">
        <v>150</v>
      </c>
      <c r="J2590">
        <v>0</v>
      </c>
      <c r="K2590">
        <v>1</v>
      </c>
      <c r="L2590" t="s">
        <v>693</v>
      </c>
      <c r="M2590" t="s">
        <v>2836</v>
      </c>
      <c r="N2590">
        <v>273.66666700000002</v>
      </c>
      <c r="O2590">
        <v>0</v>
      </c>
      <c r="P2590" t="str">
        <f>IF(T[[#This Row],[qty_ordered]]&lt;&gt;T[[#This Row],[qty_received]],IF(T[[#This Row],[qty_received]]&gt;0,"Partial Received","Not Receviced"),"FullyReceived")</f>
        <v>Not Receviced</v>
      </c>
      <c r="Q2590" t="str">
        <f>IF(T[[#This Row],[qty_received]]&lt;&gt;T[[#This Row],[qty_invoiced]],IF(T[[#This Row],[qty_invoiced]]&gt;0,"Partial Invoiced","Not Invoiced"),"Fully Invoiced")</f>
        <v>Partial Invoiced</v>
      </c>
      <c r="R2590" t="str">
        <f>IFERROR(VLOOKUP(T[[#This Row],[warehouse]],Table2[],2,FALSE),"--")</f>
        <v>--</v>
      </c>
    </row>
    <row r="2591" spans="1:18" x14ac:dyDescent="0.25">
      <c r="A2591" t="s">
        <v>1059</v>
      </c>
      <c r="B2591" s="1">
        <v>44651</v>
      </c>
      <c r="C2591" t="s">
        <v>1578</v>
      </c>
      <c r="D2591" t="s">
        <v>452</v>
      </c>
      <c r="E2591" t="s">
        <v>51</v>
      </c>
      <c r="F2591" t="s">
        <v>933</v>
      </c>
      <c r="G2591" t="s">
        <v>1830</v>
      </c>
      <c r="H2591" t="s">
        <v>54</v>
      </c>
      <c r="I2591">
        <v>150</v>
      </c>
      <c r="J2591">
        <v>0</v>
      </c>
      <c r="K2591">
        <v>1</v>
      </c>
      <c r="L2591" t="s">
        <v>693</v>
      </c>
      <c r="M2591" t="s">
        <v>2836</v>
      </c>
      <c r="N2591">
        <v>273.66666700000002</v>
      </c>
      <c r="O2591">
        <v>0</v>
      </c>
      <c r="P2591" t="str">
        <f>IF(T[[#This Row],[qty_ordered]]&lt;&gt;T[[#This Row],[qty_received]],IF(T[[#This Row],[qty_received]]&gt;0,"Partial Received","Not Receviced"),"FullyReceived")</f>
        <v>Not Receviced</v>
      </c>
      <c r="Q2591" t="str">
        <f>IF(T[[#This Row],[qty_received]]&lt;&gt;T[[#This Row],[qty_invoiced]],IF(T[[#This Row],[qty_invoiced]]&gt;0,"Partial Invoiced","Not Invoiced"),"Fully Invoiced")</f>
        <v>Partial Invoiced</v>
      </c>
      <c r="R2591" t="str">
        <f>IFERROR(VLOOKUP(T[[#This Row],[warehouse]],Table2[],2,FALSE),"--")</f>
        <v>--</v>
      </c>
    </row>
    <row r="2592" spans="1:18" x14ac:dyDescent="0.25">
      <c r="A2592" t="s">
        <v>1059</v>
      </c>
      <c r="B2592" s="1">
        <v>44782</v>
      </c>
      <c r="C2592" t="s">
        <v>1831</v>
      </c>
      <c r="D2592" t="s">
        <v>20</v>
      </c>
      <c r="E2592" t="s">
        <v>51</v>
      </c>
      <c r="F2592" t="s">
        <v>433</v>
      </c>
      <c r="G2592" t="s">
        <v>1832</v>
      </c>
      <c r="H2592" t="s">
        <v>54</v>
      </c>
      <c r="I2592">
        <v>3313</v>
      </c>
      <c r="J2592">
        <v>0</v>
      </c>
      <c r="K2592">
        <v>1</v>
      </c>
      <c r="L2592" t="s">
        <v>693</v>
      </c>
      <c r="M2592" t="s">
        <v>2836</v>
      </c>
      <c r="N2592">
        <v>250</v>
      </c>
      <c r="O2592">
        <v>0</v>
      </c>
      <c r="P2592" t="str">
        <f>IF(T[[#This Row],[qty_ordered]]&lt;&gt;T[[#This Row],[qty_received]],IF(T[[#This Row],[qty_received]]&gt;0,"Partial Received","Not Receviced"),"FullyReceived")</f>
        <v>Not Receviced</v>
      </c>
      <c r="Q2592" t="str">
        <f>IF(T[[#This Row],[qty_received]]&lt;&gt;T[[#This Row],[qty_invoiced]],IF(T[[#This Row],[qty_invoiced]]&gt;0,"Partial Invoiced","Not Invoiced"),"Fully Invoiced")</f>
        <v>Partial Invoiced</v>
      </c>
      <c r="R2592" t="str">
        <f>IFERROR(VLOOKUP(T[[#This Row],[warehouse]],Table2[],2,FALSE),"--")</f>
        <v>--</v>
      </c>
    </row>
    <row r="2593" spans="1:18" x14ac:dyDescent="0.25">
      <c r="A2593" t="s">
        <v>1059</v>
      </c>
      <c r="B2593" s="1">
        <v>44782</v>
      </c>
      <c r="C2593" t="s">
        <v>1831</v>
      </c>
      <c r="D2593" t="s">
        <v>71</v>
      </c>
      <c r="E2593" t="s">
        <v>51</v>
      </c>
      <c r="F2593" t="s">
        <v>433</v>
      </c>
      <c r="G2593" t="s">
        <v>1832</v>
      </c>
      <c r="H2593" t="s">
        <v>54</v>
      </c>
      <c r="I2593">
        <v>38733</v>
      </c>
      <c r="J2593">
        <v>0</v>
      </c>
      <c r="K2593">
        <v>1</v>
      </c>
      <c r="L2593" t="s">
        <v>693</v>
      </c>
      <c r="M2593" t="s">
        <v>2836</v>
      </c>
      <c r="N2593">
        <v>100</v>
      </c>
      <c r="O2593">
        <v>0</v>
      </c>
      <c r="P2593" t="str">
        <f>IF(T[[#This Row],[qty_ordered]]&lt;&gt;T[[#This Row],[qty_received]],IF(T[[#This Row],[qty_received]]&gt;0,"Partial Received","Not Receviced"),"FullyReceived")</f>
        <v>Not Receviced</v>
      </c>
      <c r="Q2593" t="str">
        <f>IF(T[[#This Row],[qty_received]]&lt;&gt;T[[#This Row],[qty_invoiced]],IF(T[[#This Row],[qty_invoiced]]&gt;0,"Partial Invoiced","Not Invoiced"),"Fully Invoiced")</f>
        <v>Partial Invoiced</v>
      </c>
      <c r="R2593" t="str">
        <f>IFERROR(VLOOKUP(T[[#This Row],[warehouse]],Table2[],2,FALSE),"--")</f>
        <v>--</v>
      </c>
    </row>
    <row r="2594" spans="1:18" x14ac:dyDescent="0.25">
      <c r="A2594" t="s">
        <v>1059</v>
      </c>
      <c r="B2594" s="1">
        <v>44782</v>
      </c>
      <c r="C2594" t="s">
        <v>1831</v>
      </c>
      <c r="D2594" t="s">
        <v>100</v>
      </c>
      <c r="E2594" t="s">
        <v>51</v>
      </c>
      <c r="F2594" t="s">
        <v>433</v>
      </c>
      <c r="G2594" t="s">
        <v>1832</v>
      </c>
      <c r="H2594" t="s">
        <v>54</v>
      </c>
      <c r="I2594">
        <v>23293</v>
      </c>
      <c r="J2594">
        <v>0</v>
      </c>
      <c r="K2594">
        <v>1</v>
      </c>
      <c r="L2594" t="s">
        <v>693</v>
      </c>
      <c r="M2594" t="s">
        <v>2836</v>
      </c>
      <c r="N2594">
        <v>100</v>
      </c>
      <c r="O2594">
        <v>0</v>
      </c>
      <c r="P2594" t="str">
        <f>IF(T[[#This Row],[qty_ordered]]&lt;&gt;T[[#This Row],[qty_received]],IF(T[[#This Row],[qty_received]]&gt;0,"Partial Received","Not Receviced"),"FullyReceived")</f>
        <v>Not Receviced</v>
      </c>
      <c r="Q2594" t="str">
        <f>IF(T[[#This Row],[qty_received]]&lt;&gt;T[[#This Row],[qty_invoiced]],IF(T[[#This Row],[qty_invoiced]]&gt;0,"Partial Invoiced","Not Invoiced"),"Fully Invoiced")</f>
        <v>Partial Invoiced</v>
      </c>
      <c r="R2594" t="str">
        <f>IFERROR(VLOOKUP(T[[#This Row],[warehouse]],Table2[],2,FALSE),"--")</f>
        <v>--</v>
      </c>
    </row>
    <row r="2595" spans="1:18" x14ac:dyDescent="0.25">
      <c r="A2595" t="s">
        <v>1059</v>
      </c>
      <c r="B2595" s="1">
        <v>44761</v>
      </c>
      <c r="C2595" t="s">
        <v>1783</v>
      </c>
      <c r="D2595" t="s">
        <v>507</v>
      </c>
      <c r="E2595" t="s">
        <v>51</v>
      </c>
      <c r="F2595" t="s">
        <v>254</v>
      </c>
      <c r="G2595" t="s">
        <v>1833</v>
      </c>
      <c r="H2595" t="s">
        <v>54</v>
      </c>
      <c r="I2595">
        <v>1817</v>
      </c>
      <c r="J2595">
        <v>0</v>
      </c>
      <c r="K2595">
        <v>1</v>
      </c>
      <c r="L2595" t="s">
        <v>693</v>
      </c>
      <c r="M2595" t="s">
        <v>2836</v>
      </c>
      <c r="N2595">
        <v>125.58337899999999</v>
      </c>
      <c r="O2595">
        <v>0</v>
      </c>
      <c r="P2595" t="str">
        <f>IF(T[[#This Row],[qty_ordered]]&lt;&gt;T[[#This Row],[qty_received]],IF(T[[#This Row],[qty_received]]&gt;0,"Partial Received","Not Receviced"),"FullyReceived")</f>
        <v>Not Receviced</v>
      </c>
      <c r="Q2595" t="str">
        <f>IF(T[[#This Row],[qty_received]]&lt;&gt;T[[#This Row],[qty_invoiced]],IF(T[[#This Row],[qty_invoiced]]&gt;0,"Partial Invoiced","Not Invoiced"),"Fully Invoiced")</f>
        <v>Partial Invoiced</v>
      </c>
      <c r="R2595" t="str">
        <f>IFERROR(VLOOKUP(T[[#This Row],[warehouse]],Table2[],2,FALSE),"--")</f>
        <v>--</v>
      </c>
    </row>
    <row r="2596" spans="1:18" x14ac:dyDescent="0.25">
      <c r="A2596" t="s">
        <v>1685</v>
      </c>
      <c r="B2596" s="1">
        <v>44774</v>
      </c>
      <c r="C2596" t="s">
        <v>1834</v>
      </c>
      <c r="D2596" t="s">
        <v>20</v>
      </c>
      <c r="E2596" t="s">
        <v>51</v>
      </c>
      <c r="F2596" t="s">
        <v>52</v>
      </c>
      <c r="G2596" t="s">
        <v>53</v>
      </c>
      <c r="H2596" t="s">
        <v>54</v>
      </c>
      <c r="I2596">
        <v>485.94799999999998</v>
      </c>
      <c r="J2596">
        <v>0</v>
      </c>
      <c r="K2596">
        <v>1</v>
      </c>
      <c r="L2596" t="s">
        <v>693</v>
      </c>
      <c r="M2596" t="s">
        <v>707</v>
      </c>
      <c r="N2596">
        <v>1147.5419999999999</v>
      </c>
      <c r="O2596">
        <v>0</v>
      </c>
      <c r="P2596" t="str">
        <f>IF(T[[#This Row],[qty_ordered]]&lt;&gt;T[[#This Row],[qty_received]],IF(T[[#This Row],[qty_received]]&gt;0,"Partial Received","Not Receviced"),"FullyReceived")</f>
        <v>Not Receviced</v>
      </c>
      <c r="Q2596" t="str">
        <f>IF(T[[#This Row],[qty_received]]&lt;&gt;T[[#This Row],[qty_invoiced]],IF(T[[#This Row],[qty_invoiced]]&gt;0,"Partial Invoiced","Not Invoiced"),"Fully Invoiced")</f>
        <v>Partial Invoiced</v>
      </c>
      <c r="R2596" t="str">
        <f>IFERROR(VLOOKUP(T[[#This Row],[warehouse]],Table2[],2,FALSE),"--")</f>
        <v>--</v>
      </c>
    </row>
    <row r="2597" spans="1:18" x14ac:dyDescent="0.25">
      <c r="A2597" t="s">
        <v>1685</v>
      </c>
      <c r="B2597" s="1">
        <v>44774</v>
      </c>
      <c r="C2597" t="s">
        <v>1835</v>
      </c>
      <c r="D2597" t="s">
        <v>20</v>
      </c>
      <c r="E2597" t="s">
        <v>51</v>
      </c>
      <c r="F2597" t="s">
        <v>52</v>
      </c>
      <c r="G2597" t="s">
        <v>53</v>
      </c>
      <c r="H2597" t="s">
        <v>54</v>
      </c>
      <c r="I2597">
        <v>495.65199999999999</v>
      </c>
      <c r="J2597">
        <v>0</v>
      </c>
      <c r="K2597">
        <v>1</v>
      </c>
      <c r="L2597" t="s">
        <v>693</v>
      </c>
      <c r="M2597" t="s">
        <v>707</v>
      </c>
      <c r="N2597">
        <v>1147.5419999999999</v>
      </c>
      <c r="O2597">
        <v>0</v>
      </c>
      <c r="P2597" t="str">
        <f>IF(T[[#This Row],[qty_ordered]]&lt;&gt;T[[#This Row],[qty_received]],IF(T[[#This Row],[qty_received]]&gt;0,"Partial Received","Not Receviced"),"FullyReceived")</f>
        <v>Not Receviced</v>
      </c>
      <c r="Q2597" t="str">
        <f>IF(T[[#This Row],[qty_received]]&lt;&gt;T[[#This Row],[qty_invoiced]],IF(T[[#This Row],[qty_invoiced]]&gt;0,"Partial Invoiced","Not Invoiced"),"Fully Invoiced")</f>
        <v>Partial Invoiced</v>
      </c>
      <c r="R2597" t="str">
        <f>IFERROR(VLOOKUP(T[[#This Row],[warehouse]],Table2[],2,FALSE),"--")</f>
        <v>--</v>
      </c>
    </row>
    <row r="2598" spans="1:18" x14ac:dyDescent="0.25">
      <c r="A2598" t="s">
        <v>1685</v>
      </c>
      <c r="B2598" s="1">
        <v>44774</v>
      </c>
      <c r="C2598" t="s">
        <v>1836</v>
      </c>
      <c r="D2598" t="s">
        <v>20</v>
      </c>
      <c r="E2598" t="s">
        <v>51</v>
      </c>
      <c r="F2598" t="s">
        <v>52</v>
      </c>
      <c r="G2598" t="s">
        <v>53</v>
      </c>
      <c r="H2598" t="s">
        <v>54</v>
      </c>
      <c r="I2598">
        <v>957.22</v>
      </c>
      <c r="J2598">
        <v>0</v>
      </c>
      <c r="K2598">
        <v>1</v>
      </c>
      <c r="L2598" t="s">
        <v>693</v>
      </c>
      <c r="M2598" t="s">
        <v>707</v>
      </c>
      <c r="N2598">
        <v>1147.5419999999999</v>
      </c>
      <c r="O2598">
        <v>0</v>
      </c>
      <c r="P2598" t="str">
        <f>IF(T[[#This Row],[qty_ordered]]&lt;&gt;T[[#This Row],[qty_received]],IF(T[[#This Row],[qty_received]]&gt;0,"Partial Received","Not Receviced"),"FullyReceived")</f>
        <v>Not Receviced</v>
      </c>
      <c r="Q2598" t="str">
        <f>IF(T[[#This Row],[qty_received]]&lt;&gt;T[[#This Row],[qty_invoiced]],IF(T[[#This Row],[qty_invoiced]]&gt;0,"Partial Invoiced","Not Invoiced"),"Fully Invoiced")</f>
        <v>Partial Invoiced</v>
      </c>
      <c r="R2598" t="str">
        <f>IFERROR(VLOOKUP(T[[#This Row],[warehouse]],Table2[],2,FALSE),"--")</f>
        <v>--</v>
      </c>
    </row>
    <row r="2599" spans="1:18" x14ac:dyDescent="0.25">
      <c r="A2599" t="s">
        <v>1685</v>
      </c>
      <c r="B2599" s="1">
        <v>44774</v>
      </c>
      <c r="C2599" t="s">
        <v>1837</v>
      </c>
      <c r="D2599" t="s">
        <v>20</v>
      </c>
      <c r="E2599" t="s">
        <v>51</v>
      </c>
      <c r="F2599" t="s">
        <v>52</v>
      </c>
      <c r="G2599" t="s">
        <v>53</v>
      </c>
      <c r="H2599" t="s">
        <v>54</v>
      </c>
      <c r="I2599">
        <v>953.55499999999995</v>
      </c>
      <c r="J2599">
        <v>0</v>
      </c>
      <c r="K2599">
        <v>1</v>
      </c>
      <c r="L2599" t="s">
        <v>693</v>
      </c>
      <c r="M2599" t="s">
        <v>707</v>
      </c>
      <c r="N2599">
        <v>1147.5419999999999</v>
      </c>
      <c r="O2599">
        <v>0</v>
      </c>
      <c r="P2599" t="str">
        <f>IF(T[[#This Row],[qty_ordered]]&lt;&gt;T[[#This Row],[qty_received]],IF(T[[#This Row],[qty_received]]&gt;0,"Partial Received","Not Receviced"),"FullyReceived")</f>
        <v>Not Receviced</v>
      </c>
      <c r="Q2599" t="str">
        <f>IF(T[[#This Row],[qty_received]]&lt;&gt;T[[#This Row],[qty_invoiced]],IF(T[[#This Row],[qty_invoiced]]&gt;0,"Partial Invoiced","Not Invoiced"),"Fully Invoiced")</f>
        <v>Partial Invoiced</v>
      </c>
      <c r="R2599" t="str">
        <f>IFERROR(VLOOKUP(T[[#This Row],[warehouse]],Table2[],2,FALSE),"--")</f>
        <v>--</v>
      </c>
    </row>
    <row r="2600" spans="1:18" x14ac:dyDescent="0.25">
      <c r="A2600" t="s">
        <v>1059</v>
      </c>
      <c r="B2600" s="1">
        <v>44761</v>
      </c>
      <c r="C2600" t="s">
        <v>1783</v>
      </c>
      <c r="D2600" t="s">
        <v>508</v>
      </c>
      <c r="E2600" t="s">
        <v>51</v>
      </c>
      <c r="F2600" t="s">
        <v>254</v>
      </c>
      <c r="G2600" t="s">
        <v>1838</v>
      </c>
      <c r="H2600" t="s">
        <v>54</v>
      </c>
      <c r="I2600">
        <v>913</v>
      </c>
      <c r="J2600">
        <v>0</v>
      </c>
      <c r="K2600">
        <v>1</v>
      </c>
      <c r="L2600" t="s">
        <v>693</v>
      </c>
      <c r="M2600" t="s">
        <v>2836</v>
      </c>
      <c r="N2600">
        <v>104.21686699999999</v>
      </c>
      <c r="O2600">
        <v>0</v>
      </c>
      <c r="P2600" t="str">
        <f>IF(T[[#This Row],[qty_ordered]]&lt;&gt;T[[#This Row],[qty_received]],IF(T[[#This Row],[qty_received]]&gt;0,"Partial Received","Not Receviced"),"FullyReceived")</f>
        <v>Not Receviced</v>
      </c>
      <c r="Q2600" t="str">
        <f>IF(T[[#This Row],[qty_received]]&lt;&gt;T[[#This Row],[qty_invoiced]],IF(T[[#This Row],[qty_invoiced]]&gt;0,"Partial Invoiced","Not Invoiced"),"Fully Invoiced")</f>
        <v>Partial Invoiced</v>
      </c>
      <c r="R2600" t="str">
        <f>IFERROR(VLOOKUP(T[[#This Row],[warehouse]],Table2[],2,FALSE),"--")</f>
        <v>--</v>
      </c>
    </row>
    <row r="2601" spans="1:18" x14ac:dyDescent="0.25">
      <c r="A2601" t="s">
        <v>1059</v>
      </c>
      <c r="B2601" s="1">
        <v>44761</v>
      </c>
      <c r="C2601" t="s">
        <v>1783</v>
      </c>
      <c r="D2601" t="s">
        <v>509</v>
      </c>
      <c r="E2601" t="s">
        <v>51</v>
      </c>
      <c r="F2601" t="s">
        <v>369</v>
      </c>
      <c r="G2601" t="s">
        <v>1839</v>
      </c>
      <c r="H2601" t="s">
        <v>54</v>
      </c>
      <c r="I2601">
        <v>2800</v>
      </c>
      <c r="J2601">
        <v>0</v>
      </c>
      <c r="K2601">
        <v>1</v>
      </c>
      <c r="L2601" t="s">
        <v>693</v>
      </c>
      <c r="M2601" t="s">
        <v>2836</v>
      </c>
      <c r="N2601">
        <v>62.492857000000001</v>
      </c>
      <c r="O2601">
        <v>0</v>
      </c>
      <c r="P2601" t="str">
        <f>IF(T[[#This Row],[qty_ordered]]&lt;&gt;T[[#This Row],[qty_received]],IF(T[[#This Row],[qty_received]]&gt;0,"Partial Received","Not Receviced"),"FullyReceived")</f>
        <v>Not Receviced</v>
      </c>
      <c r="Q2601" t="str">
        <f>IF(T[[#This Row],[qty_received]]&lt;&gt;T[[#This Row],[qty_invoiced]],IF(T[[#This Row],[qty_invoiced]]&gt;0,"Partial Invoiced","Not Invoiced"),"Fully Invoiced")</f>
        <v>Partial Invoiced</v>
      </c>
      <c r="R2601" t="str">
        <f>IFERROR(VLOOKUP(T[[#This Row],[warehouse]],Table2[],2,FALSE),"--")</f>
        <v>--</v>
      </c>
    </row>
    <row r="2602" spans="1:18" x14ac:dyDescent="0.25">
      <c r="A2602" t="s">
        <v>1059</v>
      </c>
      <c r="B2602" s="1">
        <v>44761</v>
      </c>
      <c r="C2602" t="s">
        <v>1783</v>
      </c>
      <c r="D2602" t="s">
        <v>510</v>
      </c>
      <c r="E2602" t="s">
        <v>51</v>
      </c>
      <c r="F2602" t="s">
        <v>369</v>
      </c>
      <c r="G2602" t="s">
        <v>1839</v>
      </c>
      <c r="H2602" t="s">
        <v>54</v>
      </c>
      <c r="I2602">
        <v>22200</v>
      </c>
      <c r="J2602">
        <v>0</v>
      </c>
      <c r="K2602">
        <v>1</v>
      </c>
      <c r="L2602" t="s">
        <v>693</v>
      </c>
      <c r="M2602" t="s">
        <v>2836</v>
      </c>
      <c r="N2602">
        <v>10.540540999999999</v>
      </c>
      <c r="O2602">
        <v>0</v>
      </c>
      <c r="P2602" t="str">
        <f>IF(T[[#This Row],[qty_ordered]]&lt;&gt;T[[#This Row],[qty_received]],IF(T[[#This Row],[qty_received]]&gt;0,"Partial Received","Not Receviced"),"FullyReceived")</f>
        <v>Not Receviced</v>
      </c>
      <c r="Q2602" t="str">
        <f>IF(T[[#This Row],[qty_received]]&lt;&gt;T[[#This Row],[qty_invoiced]],IF(T[[#This Row],[qty_invoiced]]&gt;0,"Partial Invoiced","Not Invoiced"),"Fully Invoiced")</f>
        <v>Partial Invoiced</v>
      </c>
      <c r="R2602" t="str">
        <f>IFERROR(VLOOKUP(T[[#This Row],[warehouse]],Table2[],2,FALSE),"--")</f>
        <v>--</v>
      </c>
    </row>
    <row r="2603" spans="1:18" x14ac:dyDescent="0.25">
      <c r="A2603" t="s">
        <v>1059</v>
      </c>
      <c r="B2603" s="1">
        <v>44761</v>
      </c>
      <c r="C2603" t="s">
        <v>1783</v>
      </c>
      <c r="D2603" t="s">
        <v>511</v>
      </c>
      <c r="E2603" t="s">
        <v>51</v>
      </c>
      <c r="F2603" t="s">
        <v>433</v>
      </c>
      <c r="G2603" t="s">
        <v>1840</v>
      </c>
      <c r="H2603" t="s">
        <v>54</v>
      </c>
      <c r="I2603">
        <v>20</v>
      </c>
      <c r="J2603">
        <v>0</v>
      </c>
      <c r="K2603">
        <v>1</v>
      </c>
      <c r="L2603" t="s">
        <v>693</v>
      </c>
      <c r="M2603" t="s">
        <v>2836</v>
      </c>
      <c r="N2603">
        <v>3000</v>
      </c>
      <c r="O2603">
        <v>0</v>
      </c>
      <c r="P2603" t="str">
        <f>IF(T[[#This Row],[qty_ordered]]&lt;&gt;T[[#This Row],[qty_received]],IF(T[[#This Row],[qty_received]]&gt;0,"Partial Received","Not Receviced"),"FullyReceived")</f>
        <v>Not Receviced</v>
      </c>
      <c r="Q2603" t="str">
        <f>IF(T[[#This Row],[qty_received]]&lt;&gt;T[[#This Row],[qty_invoiced]],IF(T[[#This Row],[qty_invoiced]]&gt;0,"Partial Invoiced","Not Invoiced"),"Fully Invoiced")</f>
        <v>Partial Invoiced</v>
      </c>
      <c r="R2603" t="str">
        <f>IFERROR(VLOOKUP(T[[#This Row],[warehouse]],Table2[],2,FALSE),"--")</f>
        <v>--</v>
      </c>
    </row>
    <row r="2604" spans="1:18" x14ac:dyDescent="0.25">
      <c r="A2604" t="s">
        <v>1059</v>
      </c>
      <c r="B2604" s="1">
        <v>44761</v>
      </c>
      <c r="C2604" t="s">
        <v>1783</v>
      </c>
      <c r="D2604" t="s">
        <v>512</v>
      </c>
      <c r="E2604" t="s">
        <v>51</v>
      </c>
      <c r="F2604" t="s">
        <v>266</v>
      </c>
      <c r="G2604" t="s">
        <v>1841</v>
      </c>
      <c r="H2604" t="s">
        <v>54</v>
      </c>
      <c r="I2604">
        <v>258</v>
      </c>
      <c r="J2604">
        <v>0</v>
      </c>
      <c r="K2604">
        <v>1</v>
      </c>
      <c r="L2604" t="s">
        <v>693</v>
      </c>
      <c r="M2604" t="s">
        <v>2836</v>
      </c>
      <c r="N2604">
        <v>207.577519</v>
      </c>
      <c r="O2604">
        <v>0</v>
      </c>
      <c r="P2604" t="str">
        <f>IF(T[[#This Row],[qty_ordered]]&lt;&gt;T[[#This Row],[qty_received]],IF(T[[#This Row],[qty_received]]&gt;0,"Partial Received","Not Receviced"),"FullyReceived")</f>
        <v>Not Receviced</v>
      </c>
      <c r="Q2604" t="str">
        <f>IF(T[[#This Row],[qty_received]]&lt;&gt;T[[#This Row],[qty_invoiced]],IF(T[[#This Row],[qty_invoiced]]&gt;0,"Partial Invoiced","Not Invoiced"),"Fully Invoiced")</f>
        <v>Partial Invoiced</v>
      </c>
      <c r="R2604" t="str">
        <f>IFERROR(VLOOKUP(T[[#This Row],[warehouse]],Table2[],2,FALSE),"--")</f>
        <v>--</v>
      </c>
    </row>
    <row r="2605" spans="1:18" x14ac:dyDescent="0.25">
      <c r="A2605" t="s">
        <v>1059</v>
      </c>
      <c r="B2605" s="1">
        <v>44761</v>
      </c>
      <c r="C2605" t="s">
        <v>1783</v>
      </c>
      <c r="D2605" t="s">
        <v>513</v>
      </c>
      <c r="E2605" t="s">
        <v>51</v>
      </c>
      <c r="F2605" t="s">
        <v>266</v>
      </c>
      <c r="G2605" t="s">
        <v>1841</v>
      </c>
      <c r="H2605" t="s">
        <v>54</v>
      </c>
      <c r="I2605">
        <v>780</v>
      </c>
      <c r="J2605">
        <v>0</v>
      </c>
      <c r="K2605">
        <v>1</v>
      </c>
      <c r="L2605" t="s">
        <v>693</v>
      </c>
      <c r="M2605" t="s">
        <v>2836</v>
      </c>
      <c r="N2605">
        <v>199.02564100000001</v>
      </c>
      <c r="O2605">
        <v>0</v>
      </c>
      <c r="P2605" t="str">
        <f>IF(T[[#This Row],[qty_ordered]]&lt;&gt;T[[#This Row],[qty_received]],IF(T[[#This Row],[qty_received]]&gt;0,"Partial Received","Not Receviced"),"FullyReceived")</f>
        <v>Not Receviced</v>
      </c>
      <c r="Q2605" t="str">
        <f>IF(T[[#This Row],[qty_received]]&lt;&gt;T[[#This Row],[qty_invoiced]],IF(T[[#This Row],[qty_invoiced]]&gt;0,"Partial Invoiced","Not Invoiced"),"Fully Invoiced")</f>
        <v>Partial Invoiced</v>
      </c>
      <c r="R2605" t="str">
        <f>IFERROR(VLOOKUP(T[[#This Row],[warehouse]],Table2[],2,FALSE),"--")</f>
        <v>--</v>
      </c>
    </row>
    <row r="2606" spans="1:18" x14ac:dyDescent="0.25">
      <c r="A2606" t="s">
        <v>1059</v>
      </c>
      <c r="B2606" s="1">
        <v>44761</v>
      </c>
      <c r="C2606" t="s">
        <v>1783</v>
      </c>
      <c r="D2606" t="s">
        <v>858</v>
      </c>
      <c r="E2606" t="s">
        <v>51</v>
      </c>
      <c r="F2606" t="s">
        <v>266</v>
      </c>
      <c r="G2606" t="s">
        <v>1841</v>
      </c>
      <c r="H2606" t="s">
        <v>54</v>
      </c>
      <c r="I2606">
        <v>405</v>
      </c>
      <c r="J2606">
        <v>0</v>
      </c>
      <c r="K2606">
        <v>1</v>
      </c>
      <c r="L2606" t="s">
        <v>693</v>
      </c>
      <c r="M2606" t="s">
        <v>2836</v>
      </c>
      <c r="N2606">
        <v>207.548148</v>
      </c>
      <c r="O2606">
        <v>0</v>
      </c>
      <c r="P2606" t="str">
        <f>IF(T[[#This Row],[qty_ordered]]&lt;&gt;T[[#This Row],[qty_received]],IF(T[[#This Row],[qty_received]]&gt;0,"Partial Received","Not Receviced"),"FullyReceived")</f>
        <v>Not Receviced</v>
      </c>
      <c r="Q2606" t="str">
        <f>IF(T[[#This Row],[qty_received]]&lt;&gt;T[[#This Row],[qty_invoiced]],IF(T[[#This Row],[qty_invoiced]]&gt;0,"Partial Invoiced","Not Invoiced"),"Fully Invoiced")</f>
        <v>Partial Invoiced</v>
      </c>
      <c r="R2606" t="str">
        <f>IFERROR(VLOOKUP(T[[#This Row],[warehouse]],Table2[],2,FALSE),"--")</f>
        <v>--</v>
      </c>
    </row>
    <row r="2607" spans="1:18" x14ac:dyDescent="0.25">
      <c r="A2607" t="s">
        <v>1059</v>
      </c>
      <c r="B2607" s="1">
        <v>44761</v>
      </c>
      <c r="C2607" t="s">
        <v>1783</v>
      </c>
      <c r="D2607" t="s">
        <v>860</v>
      </c>
      <c r="E2607" t="s">
        <v>51</v>
      </c>
      <c r="F2607" t="s">
        <v>433</v>
      </c>
      <c r="G2607" t="s">
        <v>1840</v>
      </c>
      <c r="H2607" t="s">
        <v>54</v>
      </c>
      <c r="I2607">
        <v>10</v>
      </c>
      <c r="J2607">
        <v>0</v>
      </c>
      <c r="K2607">
        <v>1</v>
      </c>
      <c r="L2607" t="s">
        <v>693</v>
      </c>
      <c r="M2607" t="s">
        <v>2836</v>
      </c>
      <c r="N2607">
        <v>4000</v>
      </c>
      <c r="O2607">
        <v>0</v>
      </c>
      <c r="P2607" t="str">
        <f>IF(T[[#This Row],[qty_ordered]]&lt;&gt;T[[#This Row],[qty_received]],IF(T[[#This Row],[qty_received]]&gt;0,"Partial Received","Not Receviced"),"FullyReceived")</f>
        <v>Not Receviced</v>
      </c>
      <c r="Q2607" t="str">
        <f>IF(T[[#This Row],[qty_received]]&lt;&gt;T[[#This Row],[qty_invoiced]],IF(T[[#This Row],[qty_invoiced]]&gt;0,"Partial Invoiced","Not Invoiced"),"Fully Invoiced")</f>
        <v>Partial Invoiced</v>
      </c>
      <c r="R2607" t="str">
        <f>IFERROR(VLOOKUP(T[[#This Row],[warehouse]],Table2[],2,FALSE),"--")</f>
        <v>--</v>
      </c>
    </row>
    <row r="2608" spans="1:18" x14ac:dyDescent="0.25">
      <c r="A2608" t="s">
        <v>400</v>
      </c>
      <c r="B2608" s="1">
        <v>44594</v>
      </c>
      <c r="C2608" t="s">
        <v>1700</v>
      </c>
      <c r="D2608" t="s">
        <v>760</v>
      </c>
      <c r="E2608" t="s">
        <v>51</v>
      </c>
      <c r="F2608" t="s">
        <v>793</v>
      </c>
      <c r="G2608" t="s">
        <v>1842</v>
      </c>
      <c r="H2608" t="s">
        <v>54</v>
      </c>
      <c r="I2608">
        <v>38</v>
      </c>
      <c r="J2608">
        <v>0</v>
      </c>
      <c r="K2608">
        <v>1</v>
      </c>
      <c r="L2608" t="s">
        <v>693</v>
      </c>
      <c r="M2608" t="s">
        <v>533</v>
      </c>
      <c r="N2608">
        <v>1500</v>
      </c>
      <c r="O2608">
        <v>0</v>
      </c>
      <c r="P2608" t="str">
        <f>IF(T[[#This Row],[qty_ordered]]&lt;&gt;T[[#This Row],[qty_received]],IF(T[[#This Row],[qty_received]]&gt;0,"Partial Received","Not Receviced"),"FullyReceived")</f>
        <v>Not Receviced</v>
      </c>
      <c r="Q2608" t="str">
        <f>IF(T[[#This Row],[qty_received]]&lt;&gt;T[[#This Row],[qty_invoiced]],IF(T[[#This Row],[qty_invoiced]]&gt;0,"Partial Invoiced","Not Invoiced"),"Fully Invoiced")</f>
        <v>Partial Invoiced</v>
      </c>
      <c r="R2608" t="str">
        <f>IFERROR(VLOOKUP(T[[#This Row],[warehouse]],Table2[],2,FALSE),"--")</f>
        <v>--</v>
      </c>
    </row>
    <row r="2609" spans="1:18" x14ac:dyDescent="0.25">
      <c r="A2609" t="s">
        <v>1059</v>
      </c>
      <c r="B2609" s="1">
        <v>44761</v>
      </c>
      <c r="C2609" t="s">
        <v>1783</v>
      </c>
      <c r="D2609" t="s">
        <v>595</v>
      </c>
      <c r="E2609" t="s">
        <v>51</v>
      </c>
      <c r="F2609" t="s">
        <v>254</v>
      </c>
      <c r="G2609" t="s">
        <v>1843</v>
      </c>
      <c r="H2609" t="s">
        <v>54</v>
      </c>
      <c r="I2609">
        <v>45</v>
      </c>
      <c r="J2609">
        <v>0</v>
      </c>
      <c r="K2609">
        <v>1</v>
      </c>
      <c r="L2609" t="s">
        <v>693</v>
      </c>
      <c r="M2609" t="s">
        <v>2836</v>
      </c>
      <c r="N2609">
        <v>500</v>
      </c>
      <c r="O2609">
        <v>0</v>
      </c>
      <c r="P2609" t="str">
        <f>IF(T[[#This Row],[qty_ordered]]&lt;&gt;T[[#This Row],[qty_received]],IF(T[[#This Row],[qty_received]]&gt;0,"Partial Received","Not Receviced"),"FullyReceived")</f>
        <v>Not Receviced</v>
      </c>
      <c r="Q2609" t="str">
        <f>IF(T[[#This Row],[qty_received]]&lt;&gt;T[[#This Row],[qty_invoiced]],IF(T[[#This Row],[qty_invoiced]]&gt;0,"Partial Invoiced","Not Invoiced"),"Fully Invoiced")</f>
        <v>Partial Invoiced</v>
      </c>
      <c r="R2609" t="str">
        <f>IFERROR(VLOOKUP(T[[#This Row],[warehouse]],Table2[],2,FALSE),"--")</f>
        <v>--</v>
      </c>
    </row>
    <row r="2610" spans="1:18" x14ac:dyDescent="0.25">
      <c r="A2610" t="s">
        <v>1059</v>
      </c>
      <c r="B2610" s="1">
        <v>44761</v>
      </c>
      <c r="C2610" t="s">
        <v>1783</v>
      </c>
      <c r="D2610" t="s">
        <v>596</v>
      </c>
      <c r="E2610" t="s">
        <v>51</v>
      </c>
      <c r="F2610" t="s">
        <v>369</v>
      </c>
      <c r="G2610" t="s">
        <v>1839</v>
      </c>
      <c r="H2610" t="s">
        <v>54</v>
      </c>
      <c r="I2610">
        <v>1</v>
      </c>
      <c r="J2610">
        <v>0</v>
      </c>
      <c r="K2610">
        <v>1</v>
      </c>
      <c r="L2610" t="s">
        <v>693</v>
      </c>
      <c r="M2610" t="s">
        <v>2836</v>
      </c>
      <c r="N2610">
        <v>20000</v>
      </c>
      <c r="O2610">
        <v>0</v>
      </c>
      <c r="P2610" t="str">
        <f>IF(T[[#This Row],[qty_ordered]]&lt;&gt;T[[#This Row],[qty_received]],IF(T[[#This Row],[qty_received]]&gt;0,"Partial Received","Not Receviced"),"FullyReceived")</f>
        <v>Not Receviced</v>
      </c>
      <c r="Q2610" t="str">
        <f>IF(T[[#This Row],[qty_received]]&lt;&gt;T[[#This Row],[qty_invoiced]],IF(T[[#This Row],[qty_invoiced]]&gt;0,"Partial Invoiced","Not Invoiced"),"Fully Invoiced")</f>
        <v>Partial Invoiced</v>
      </c>
      <c r="R2610" t="str">
        <f>IFERROR(VLOOKUP(T[[#This Row],[warehouse]],Table2[],2,FALSE),"--")</f>
        <v>--</v>
      </c>
    </row>
    <row r="2611" spans="1:18" x14ac:dyDescent="0.25">
      <c r="A2611" t="s">
        <v>224</v>
      </c>
      <c r="B2611" s="1">
        <v>44598</v>
      </c>
      <c r="C2611" t="s">
        <v>1773</v>
      </c>
      <c r="D2611" t="s">
        <v>322</v>
      </c>
      <c r="E2611" t="s">
        <v>51</v>
      </c>
      <c r="F2611" t="s">
        <v>183</v>
      </c>
      <c r="G2611" t="s">
        <v>1844</v>
      </c>
      <c r="H2611" t="s">
        <v>54</v>
      </c>
      <c r="I2611">
        <v>231.77</v>
      </c>
      <c r="J2611">
        <v>0</v>
      </c>
      <c r="K2611">
        <v>1</v>
      </c>
      <c r="L2611" t="s">
        <v>693</v>
      </c>
      <c r="M2611" t="s">
        <v>533</v>
      </c>
      <c r="N2611">
        <v>8000</v>
      </c>
      <c r="O2611">
        <v>0</v>
      </c>
      <c r="P2611" t="str">
        <f>IF(T[[#This Row],[qty_ordered]]&lt;&gt;T[[#This Row],[qty_received]],IF(T[[#This Row],[qty_received]]&gt;0,"Partial Received","Not Receviced"),"FullyReceived")</f>
        <v>Not Receviced</v>
      </c>
      <c r="Q2611" t="str">
        <f>IF(T[[#This Row],[qty_received]]&lt;&gt;T[[#This Row],[qty_invoiced]],IF(T[[#This Row],[qty_invoiced]]&gt;0,"Partial Invoiced","Not Invoiced"),"Fully Invoiced")</f>
        <v>Partial Invoiced</v>
      </c>
      <c r="R2611" t="str">
        <f>IFERROR(VLOOKUP(T[[#This Row],[warehouse]],Table2[],2,FALSE),"--")</f>
        <v>--</v>
      </c>
    </row>
    <row r="2612" spans="1:18" x14ac:dyDescent="0.25">
      <c r="A2612" t="s">
        <v>1059</v>
      </c>
      <c r="B2612" s="1">
        <v>44594</v>
      </c>
      <c r="C2612" t="s">
        <v>1560</v>
      </c>
      <c r="D2612" t="s">
        <v>566</v>
      </c>
      <c r="E2612" t="s">
        <v>51</v>
      </c>
      <c r="F2612" t="s">
        <v>262</v>
      </c>
      <c r="G2612" t="s">
        <v>1845</v>
      </c>
      <c r="H2612" t="s">
        <v>54</v>
      </c>
      <c r="I2612">
        <v>7000</v>
      </c>
      <c r="J2612">
        <v>0</v>
      </c>
      <c r="K2612">
        <v>1</v>
      </c>
      <c r="L2612" t="s">
        <v>693</v>
      </c>
      <c r="M2612" t="s">
        <v>533</v>
      </c>
      <c r="N2612">
        <v>2104.166714</v>
      </c>
      <c r="O2612">
        <v>0</v>
      </c>
      <c r="P2612" t="str">
        <f>IF(T[[#This Row],[qty_ordered]]&lt;&gt;T[[#This Row],[qty_received]],IF(T[[#This Row],[qty_received]]&gt;0,"Partial Received","Not Receviced"),"FullyReceived")</f>
        <v>Not Receviced</v>
      </c>
      <c r="Q2612" t="str">
        <f>IF(T[[#This Row],[qty_received]]&lt;&gt;T[[#This Row],[qty_invoiced]],IF(T[[#This Row],[qty_invoiced]]&gt;0,"Partial Invoiced","Not Invoiced"),"Fully Invoiced")</f>
        <v>Partial Invoiced</v>
      </c>
      <c r="R2612" t="str">
        <f>IFERROR(VLOOKUP(T[[#This Row],[warehouse]],Table2[],2,FALSE),"--")</f>
        <v>--</v>
      </c>
    </row>
    <row r="2613" spans="1:18" x14ac:dyDescent="0.25">
      <c r="A2613" t="s">
        <v>1059</v>
      </c>
      <c r="B2613" s="1">
        <v>44594</v>
      </c>
      <c r="C2613" t="s">
        <v>1560</v>
      </c>
      <c r="D2613" t="s">
        <v>567</v>
      </c>
      <c r="E2613" t="s">
        <v>51</v>
      </c>
      <c r="F2613" t="s">
        <v>266</v>
      </c>
      <c r="G2613" t="s">
        <v>1846</v>
      </c>
      <c r="H2613" t="s">
        <v>54</v>
      </c>
      <c r="I2613">
        <v>7000</v>
      </c>
      <c r="J2613">
        <v>0</v>
      </c>
      <c r="K2613">
        <v>1</v>
      </c>
      <c r="L2613" t="s">
        <v>693</v>
      </c>
      <c r="M2613" t="s">
        <v>533</v>
      </c>
      <c r="N2613">
        <v>1161.4505710000001</v>
      </c>
      <c r="O2613">
        <v>0</v>
      </c>
      <c r="P2613" t="str">
        <f>IF(T[[#This Row],[qty_ordered]]&lt;&gt;T[[#This Row],[qty_received]],IF(T[[#This Row],[qty_received]]&gt;0,"Partial Received","Not Receviced"),"FullyReceived")</f>
        <v>Not Receviced</v>
      </c>
      <c r="Q2613" t="str">
        <f>IF(T[[#This Row],[qty_received]]&lt;&gt;T[[#This Row],[qty_invoiced]],IF(T[[#This Row],[qty_invoiced]]&gt;0,"Partial Invoiced","Not Invoiced"),"Fully Invoiced")</f>
        <v>Partial Invoiced</v>
      </c>
      <c r="R2613" t="str">
        <f>IFERROR(VLOOKUP(T[[#This Row],[warehouse]],Table2[],2,FALSE),"--")</f>
        <v>--</v>
      </c>
    </row>
    <row r="2614" spans="1:18" x14ac:dyDescent="0.25">
      <c r="A2614" t="s">
        <v>1059</v>
      </c>
      <c r="B2614" s="1">
        <v>44651</v>
      </c>
      <c r="C2614" t="s">
        <v>1578</v>
      </c>
      <c r="D2614" t="s">
        <v>322</v>
      </c>
      <c r="E2614" t="s">
        <v>51</v>
      </c>
      <c r="F2614" t="s">
        <v>262</v>
      </c>
      <c r="G2614" t="s">
        <v>1847</v>
      </c>
      <c r="H2614" t="s">
        <v>54</v>
      </c>
      <c r="I2614">
        <v>770</v>
      </c>
      <c r="J2614">
        <v>0</v>
      </c>
      <c r="K2614">
        <v>1</v>
      </c>
      <c r="L2614" t="s">
        <v>693</v>
      </c>
      <c r="M2614" t="s">
        <v>2836</v>
      </c>
      <c r="N2614">
        <v>713.72337700000003</v>
      </c>
      <c r="O2614">
        <v>0</v>
      </c>
      <c r="P2614" t="str">
        <f>IF(T[[#This Row],[qty_ordered]]&lt;&gt;T[[#This Row],[qty_received]],IF(T[[#This Row],[qty_received]]&gt;0,"Partial Received","Not Receviced"),"FullyReceived")</f>
        <v>Not Receviced</v>
      </c>
      <c r="Q2614" t="str">
        <f>IF(T[[#This Row],[qty_received]]&lt;&gt;T[[#This Row],[qty_invoiced]],IF(T[[#This Row],[qty_invoiced]]&gt;0,"Partial Invoiced","Not Invoiced"),"Fully Invoiced")</f>
        <v>Partial Invoiced</v>
      </c>
      <c r="R2614" t="str">
        <f>IFERROR(VLOOKUP(T[[#This Row],[warehouse]],Table2[],2,FALSE),"--")</f>
        <v>--</v>
      </c>
    </row>
    <row r="2615" spans="1:18" x14ac:dyDescent="0.25">
      <c r="A2615" t="s">
        <v>1059</v>
      </c>
      <c r="B2615" s="1">
        <v>44651</v>
      </c>
      <c r="C2615" t="s">
        <v>1578</v>
      </c>
      <c r="D2615" t="s">
        <v>323</v>
      </c>
      <c r="E2615" t="s">
        <v>51</v>
      </c>
      <c r="F2615" t="s">
        <v>933</v>
      </c>
      <c r="G2615" t="s">
        <v>1830</v>
      </c>
      <c r="H2615" t="s">
        <v>54</v>
      </c>
      <c r="I2615">
        <v>150</v>
      </c>
      <c r="J2615">
        <v>0</v>
      </c>
      <c r="K2615">
        <v>1</v>
      </c>
      <c r="L2615" t="s">
        <v>693</v>
      </c>
      <c r="M2615" t="s">
        <v>2836</v>
      </c>
      <c r="N2615">
        <v>273.66666700000002</v>
      </c>
      <c r="O2615">
        <v>0</v>
      </c>
      <c r="P2615" t="str">
        <f>IF(T[[#This Row],[qty_ordered]]&lt;&gt;T[[#This Row],[qty_received]],IF(T[[#This Row],[qty_received]]&gt;0,"Partial Received","Not Receviced"),"FullyReceived")</f>
        <v>Not Receviced</v>
      </c>
      <c r="Q2615" t="str">
        <f>IF(T[[#This Row],[qty_received]]&lt;&gt;T[[#This Row],[qty_invoiced]],IF(T[[#This Row],[qty_invoiced]]&gt;0,"Partial Invoiced","Not Invoiced"),"Fully Invoiced")</f>
        <v>Partial Invoiced</v>
      </c>
      <c r="R2615" t="str">
        <f>IFERROR(VLOOKUP(T[[#This Row],[warehouse]],Table2[],2,FALSE),"--")</f>
        <v>--</v>
      </c>
    </row>
    <row r="2616" spans="1:18" x14ac:dyDescent="0.25">
      <c r="A2616" t="s">
        <v>1059</v>
      </c>
      <c r="B2616" s="1">
        <v>44761</v>
      </c>
      <c r="C2616" t="s">
        <v>1783</v>
      </c>
      <c r="D2616" t="s">
        <v>861</v>
      </c>
      <c r="E2616" t="s">
        <v>51</v>
      </c>
      <c r="F2616" t="s">
        <v>369</v>
      </c>
      <c r="G2616" t="s">
        <v>1839</v>
      </c>
      <c r="H2616" t="s">
        <v>54</v>
      </c>
      <c r="I2616">
        <v>10000</v>
      </c>
      <c r="J2616">
        <v>0</v>
      </c>
      <c r="K2616">
        <v>1</v>
      </c>
      <c r="L2616" t="s">
        <v>693</v>
      </c>
      <c r="M2616" t="s">
        <v>2836</v>
      </c>
      <c r="N2616">
        <v>3</v>
      </c>
      <c r="O2616">
        <v>0</v>
      </c>
      <c r="P2616" t="str">
        <f>IF(T[[#This Row],[qty_ordered]]&lt;&gt;T[[#This Row],[qty_received]],IF(T[[#This Row],[qty_received]]&gt;0,"Partial Received","Not Receviced"),"FullyReceived")</f>
        <v>Not Receviced</v>
      </c>
      <c r="Q2616" t="str">
        <f>IF(T[[#This Row],[qty_received]]&lt;&gt;T[[#This Row],[qty_invoiced]],IF(T[[#This Row],[qty_invoiced]]&gt;0,"Partial Invoiced","Not Invoiced"),"Fully Invoiced")</f>
        <v>Partial Invoiced</v>
      </c>
      <c r="R2616" t="str">
        <f>IFERROR(VLOOKUP(T[[#This Row],[warehouse]],Table2[],2,FALSE),"--")</f>
        <v>--</v>
      </c>
    </row>
    <row r="2617" spans="1:18" x14ac:dyDescent="0.25">
      <c r="A2617" t="s">
        <v>1059</v>
      </c>
      <c r="B2617" s="1">
        <v>44761</v>
      </c>
      <c r="C2617" t="s">
        <v>1783</v>
      </c>
      <c r="D2617" t="s">
        <v>862</v>
      </c>
      <c r="E2617" t="s">
        <v>51</v>
      </c>
      <c r="F2617" t="s">
        <v>433</v>
      </c>
      <c r="G2617" t="s">
        <v>1848</v>
      </c>
      <c r="H2617" t="s">
        <v>54</v>
      </c>
      <c r="I2617">
        <v>18</v>
      </c>
      <c r="J2617">
        <v>0</v>
      </c>
      <c r="K2617">
        <v>1</v>
      </c>
      <c r="L2617" t="s">
        <v>693</v>
      </c>
      <c r="M2617" t="s">
        <v>2836</v>
      </c>
      <c r="N2617">
        <v>18900</v>
      </c>
      <c r="O2617">
        <v>0</v>
      </c>
      <c r="P2617" t="str">
        <f>IF(T[[#This Row],[qty_ordered]]&lt;&gt;T[[#This Row],[qty_received]],IF(T[[#This Row],[qty_received]]&gt;0,"Partial Received","Not Receviced"),"FullyReceived")</f>
        <v>Not Receviced</v>
      </c>
      <c r="Q2617" t="str">
        <f>IF(T[[#This Row],[qty_received]]&lt;&gt;T[[#This Row],[qty_invoiced]],IF(T[[#This Row],[qty_invoiced]]&gt;0,"Partial Invoiced","Not Invoiced"),"Fully Invoiced")</f>
        <v>Partial Invoiced</v>
      </c>
      <c r="R2617" t="str">
        <f>IFERROR(VLOOKUP(T[[#This Row],[warehouse]],Table2[],2,FALSE),"--")</f>
        <v>--</v>
      </c>
    </row>
    <row r="2618" spans="1:18" x14ac:dyDescent="0.25">
      <c r="A2618" t="s">
        <v>1059</v>
      </c>
      <c r="B2618" s="1">
        <v>44761</v>
      </c>
      <c r="C2618" t="s">
        <v>1783</v>
      </c>
      <c r="D2618" t="s">
        <v>863</v>
      </c>
      <c r="E2618" t="s">
        <v>51</v>
      </c>
      <c r="F2618" t="s">
        <v>254</v>
      </c>
      <c r="G2618" t="s">
        <v>1833</v>
      </c>
      <c r="H2618" t="s">
        <v>54</v>
      </c>
      <c r="I2618">
        <v>4000</v>
      </c>
      <c r="J2618">
        <v>0</v>
      </c>
      <c r="K2618">
        <v>1</v>
      </c>
      <c r="L2618" t="s">
        <v>693</v>
      </c>
      <c r="M2618" t="s">
        <v>2836</v>
      </c>
      <c r="N2618">
        <v>60.277749999999997</v>
      </c>
      <c r="O2618">
        <v>0</v>
      </c>
      <c r="P2618" t="str">
        <f>IF(T[[#This Row],[qty_ordered]]&lt;&gt;T[[#This Row],[qty_received]],IF(T[[#This Row],[qty_received]]&gt;0,"Partial Received","Not Receviced"),"FullyReceived")</f>
        <v>Not Receviced</v>
      </c>
      <c r="Q2618" t="str">
        <f>IF(T[[#This Row],[qty_received]]&lt;&gt;T[[#This Row],[qty_invoiced]],IF(T[[#This Row],[qty_invoiced]]&gt;0,"Partial Invoiced","Not Invoiced"),"Fully Invoiced")</f>
        <v>Partial Invoiced</v>
      </c>
      <c r="R2618" t="str">
        <f>IFERROR(VLOOKUP(T[[#This Row],[warehouse]],Table2[],2,FALSE),"--")</f>
        <v>--</v>
      </c>
    </row>
    <row r="2619" spans="1:18" x14ac:dyDescent="0.25">
      <c r="A2619" t="s">
        <v>1059</v>
      </c>
      <c r="B2619" s="1">
        <v>44761</v>
      </c>
      <c r="C2619" t="s">
        <v>1783</v>
      </c>
      <c r="D2619" t="s">
        <v>864</v>
      </c>
      <c r="E2619" t="s">
        <v>51</v>
      </c>
      <c r="F2619" t="s">
        <v>266</v>
      </c>
      <c r="G2619" t="s">
        <v>1841</v>
      </c>
      <c r="H2619" t="s">
        <v>54</v>
      </c>
      <c r="I2619">
        <v>270</v>
      </c>
      <c r="J2619">
        <v>0</v>
      </c>
      <c r="K2619">
        <v>1</v>
      </c>
      <c r="L2619" t="s">
        <v>693</v>
      </c>
      <c r="M2619" t="s">
        <v>2836</v>
      </c>
      <c r="N2619">
        <v>161.074074</v>
      </c>
      <c r="O2619">
        <v>0</v>
      </c>
      <c r="P2619" t="str">
        <f>IF(T[[#This Row],[qty_ordered]]&lt;&gt;T[[#This Row],[qty_received]],IF(T[[#This Row],[qty_received]]&gt;0,"Partial Received","Not Receviced"),"FullyReceived")</f>
        <v>Not Receviced</v>
      </c>
      <c r="Q2619" t="str">
        <f>IF(T[[#This Row],[qty_received]]&lt;&gt;T[[#This Row],[qty_invoiced]],IF(T[[#This Row],[qty_invoiced]]&gt;0,"Partial Invoiced","Not Invoiced"),"Fully Invoiced")</f>
        <v>Partial Invoiced</v>
      </c>
      <c r="R2619" t="str">
        <f>IFERROR(VLOOKUP(T[[#This Row],[warehouse]],Table2[],2,FALSE),"--")</f>
        <v>--</v>
      </c>
    </row>
    <row r="2620" spans="1:18" x14ac:dyDescent="0.25">
      <c r="A2620" t="s">
        <v>1059</v>
      </c>
      <c r="B2620" s="1">
        <v>44761</v>
      </c>
      <c r="C2620" t="s">
        <v>1783</v>
      </c>
      <c r="D2620" t="s">
        <v>566</v>
      </c>
      <c r="E2620" t="s">
        <v>51</v>
      </c>
      <c r="F2620" t="s">
        <v>262</v>
      </c>
      <c r="G2620" t="s">
        <v>1849</v>
      </c>
      <c r="H2620" t="s">
        <v>54</v>
      </c>
      <c r="I2620">
        <v>800</v>
      </c>
      <c r="J2620">
        <v>0</v>
      </c>
      <c r="K2620">
        <v>1</v>
      </c>
      <c r="L2620" t="s">
        <v>693</v>
      </c>
      <c r="M2620" t="s">
        <v>2836</v>
      </c>
      <c r="N2620">
        <v>211.25</v>
      </c>
      <c r="O2620">
        <v>0</v>
      </c>
      <c r="P2620" t="str">
        <f>IF(T[[#This Row],[qty_ordered]]&lt;&gt;T[[#This Row],[qty_received]],IF(T[[#This Row],[qty_received]]&gt;0,"Partial Received","Not Receviced"),"FullyReceived")</f>
        <v>Not Receviced</v>
      </c>
      <c r="Q2620" t="str">
        <f>IF(T[[#This Row],[qty_received]]&lt;&gt;T[[#This Row],[qty_invoiced]],IF(T[[#This Row],[qty_invoiced]]&gt;0,"Partial Invoiced","Not Invoiced"),"Fully Invoiced")</f>
        <v>Partial Invoiced</v>
      </c>
      <c r="R2620" t="str">
        <f>IFERROR(VLOOKUP(T[[#This Row],[warehouse]],Table2[],2,FALSE),"--")</f>
        <v>--</v>
      </c>
    </row>
    <row r="2621" spans="1:18" x14ac:dyDescent="0.25">
      <c r="A2621" t="s">
        <v>1059</v>
      </c>
      <c r="B2621" s="1">
        <v>44761</v>
      </c>
      <c r="C2621" t="s">
        <v>1783</v>
      </c>
      <c r="D2621" t="s">
        <v>567</v>
      </c>
      <c r="E2621" t="s">
        <v>51</v>
      </c>
      <c r="F2621" t="s">
        <v>262</v>
      </c>
      <c r="G2621" t="s">
        <v>1849</v>
      </c>
      <c r="H2621" t="s">
        <v>54</v>
      </c>
      <c r="I2621">
        <v>704</v>
      </c>
      <c r="J2621">
        <v>0</v>
      </c>
      <c r="K2621">
        <v>1</v>
      </c>
      <c r="L2621" t="s">
        <v>693</v>
      </c>
      <c r="M2621" t="s">
        <v>2836</v>
      </c>
      <c r="N2621">
        <v>211.22443200000001</v>
      </c>
      <c r="O2621">
        <v>0</v>
      </c>
      <c r="P2621" t="str">
        <f>IF(T[[#This Row],[qty_ordered]]&lt;&gt;T[[#This Row],[qty_received]],IF(T[[#This Row],[qty_received]]&gt;0,"Partial Received","Not Receviced"),"FullyReceived")</f>
        <v>Not Receviced</v>
      </c>
      <c r="Q2621" t="str">
        <f>IF(T[[#This Row],[qty_received]]&lt;&gt;T[[#This Row],[qty_invoiced]],IF(T[[#This Row],[qty_invoiced]]&gt;0,"Partial Invoiced","Not Invoiced"),"Fully Invoiced")</f>
        <v>Partial Invoiced</v>
      </c>
      <c r="R2621" t="str">
        <f>IFERROR(VLOOKUP(T[[#This Row],[warehouse]],Table2[],2,FALSE),"--")</f>
        <v>--</v>
      </c>
    </row>
    <row r="2622" spans="1:18" x14ac:dyDescent="0.25">
      <c r="A2622" t="s">
        <v>1059</v>
      </c>
      <c r="B2622" s="1">
        <v>44761</v>
      </c>
      <c r="C2622" t="s">
        <v>1783</v>
      </c>
      <c r="D2622" t="s">
        <v>568</v>
      </c>
      <c r="E2622" t="s">
        <v>51</v>
      </c>
      <c r="F2622" t="s">
        <v>433</v>
      </c>
      <c r="G2622" t="s">
        <v>1850</v>
      </c>
      <c r="H2622" t="s">
        <v>54</v>
      </c>
      <c r="I2622">
        <v>22</v>
      </c>
      <c r="J2622">
        <v>0</v>
      </c>
      <c r="K2622">
        <v>1</v>
      </c>
      <c r="L2622" t="s">
        <v>693</v>
      </c>
      <c r="M2622" t="s">
        <v>2836</v>
      </c>
      <c r="N2622">
        <v>18900</v>
      </c>
      <c r="O2622">
        <v>0</v>
      </c>
      <c r="P2622" t="str">
        <f>IF(T[[#This Row],[qty_ordered]]&lt;&gt;T[[#This Row],[qty_received]],IF(T[[#This Row],[qty_received]]&gt;0,"Partial Received","Not Receviced"),"FullyReceived")</f>
        <v>Not Receviced</v>
      </c>
      <c r="Q2622" t="str">
        <f>IF(T[[#This Row],[qty_received]]&lt;&gt;T[[#This Row],[qty_invoiced]],IF(T[[#This Row],[qty_invoiced]]&gt;0,"Partial Invoiced","Not Invoiced"),"Fully Invoiced")</f>
        <v>Partial Invoiced</v>
      </c>
      <c r="R2622" t="str">
        <f>IFERROR(VLOOKUP(T[[#This Row],[warehouse]],Table2[],2,FALSE),"--")</f>
        <v>--</v>
      </c>
    </row>
    <row r="2623" spans="1:18" x14ac:dyDescent="0.25">
      <c r="A2623" t="s">
        <v>1059</v>
      </c>
      <c r="B2623" s="1">
        <v>44761</v>
      </c>
      <c r="C2623" t="s">
        <v>1783</v>
      </c>
      <c r="D2623" t="s">
        <v>569</v>
      </c>
      <c r="E2623" t="s">
        <v>51</v>
      </c>
      <c r="F2623" t="s">
        <v>262</v>
      </c>
      <c r="G2623" t="s">
        <v>1851</v>
      </c>
      <c r="H2623" t="s">
        <v>54</v>
      </c>
      <c r="I2623">
        <v>1000</v>
      </c>
      <c r="J2623">
        <v>0</v>
      </c>
      <c r="K2623">
        <v>1</v>
      </c>
      <c r="L2623" t="s">
        <v>693</v>
      </c>
      <c r="M2623" t="s">
        <v>2836</v>
      </c>
      <c r="N2623">
        <v>150.02000000000001</v>
      </c>
      <c r="O2623">
        <v>0</v>
      </c>
      <c r="P2623" t="str">
        <f>IF(T[[#This Row],[qty_ordered]]&lt;&gt;T[[#This Row],[qty_received]],IF(T[[#This Row],[qty_received]]&gt;0,"Partial Received","Not Receviced"),"FullyReceived")</f>
        <v>Not Receviced</v>
      </c>
      <c r="Q2623" t="str">
        <f>IF(T[[#This Row],[qty_received]]&lt;&gt;T[[#This Row],[qty_invoiced]],IF(T[[#This Row],[qty_invoiced]]&gt;0,"Partial Invoiced","Not Invoiced"),"Fully Invoiced")</f>
        <v>Partial Invoiced</v>
      </c>
      <c r="R2623" t="str">
        <f>IFERROR(VLOOKUP(T[[#This Row],[warehouse]],Table2[],2,FALSE),"--")</f>
        <v>--</v>
      </c>
    </row>
    <row r="2624" spans="1:18" x14ac:dyDescent="0.25">
      <c r="A2624" t="s">
        <v>1059</v>
      </c>
      <c r="B2624" s="1">
        <v>44761</v>
      </c>
      <c r="C2624" t="s">
        <v>1783</v>
      </c>
      <c r="D2624" t="s">
        <v>570</v>
      </c>
      <c r="E2624" t="s">
        <v>51</v>
      </c>
      <c r="F2624" t="s">
        <v>262</v>
      </c>
      <c r="G2624" t="s">
        <v>1851</v>
      </c>
      <c r="H2624" t="s">
        <v>54</v>
      </c>
      <c r="I2624">
        <v>1000</v>
      </c>
      <c r="J2624">
        <v>0</v>
      </c>
      <c r="K2624">
        <v>1</v>
      </c>
      <c r="L2624" t="s">
        <v>693</v>
      </c>
      <c r="M2624" t="s">
        <v>2836</v>
      </c>
      <c r="N2624">
        <v>204.02</v>
      </c>
      <c r="O2624">
        <v>0</v>
      </c>
      <c r="P2624" t="str">
        <f>IF(T[[#This Row],[qty_ordered]]&lt;&gt;T[[#This Row],[qty_received]],IF(T[[#This Row],[qty_received]]&gt;0,"Partial Received","Not Receviced"),"FullyReceived")</f>
        <v>Not Receviced</v>
      </c>
      <c r="Q2624" t="str">
        <f>IF(T[[#This Row],[qty_received]]&lt;&gt;T[[#This Row],[qty_invoiced]],IF(T[[#This Row],[qty_invoiced]]&gt;0,"Partial Invoiced","Not Invoiced"),"Fully Invoiced")</f>
        <v>Partial Invoiced</v>
      </c>
      <c r="R2624" t="str">
        <f>IFERROR(VLOOKUP(T[[#This Row],[warehouse]],Table2[],2,FALSE),"--")</f>
        <v>--</v>
      </c>
    </row>
    <row r="2625" spans="1:18" x14ac:dyDescent="0.25">
      <c r="A2625" t="s">
        <v>1059</v>
      </c>
      <c r="B2625" s="1">
        <v>44761</v>
      </c>
      <c r="C2625" t="s">
        <v>1783</v>
      </c>
      <c r="D2625" t="s">
        <v>571</v>
      </c>
      <c r="E2625" t="s">
        <v>51</v>
      </c>
      <c r="F2625" t="s">
        <v>266</v>
      </c>
      <c r="G2625" t="s">
        <v>1852</v>
      </c>
      <c r="H2625" t="s">
        <v>54</v>
      </c>
      <c r="I2625">
        <v>1000</v>
      </c>
      <c r="J2625">
        <v>0</v>
      </c>
      <c r="K2625">
        <v>1</v>
      </c>
      <c r="L2625" t="s">
        <v>693</v>
      </c>
      <c r="M2625" t="s">
        <v>2836</v>
      </c>
      <c r="N2625">
        <v>398.02</v>
      </c>
      <c r="O2625">
        <v>0</v>
      </c>
      <c r="P2625" t="str">
        <f>IF(T[[#This Row],[qty_ordered]]&lt;&gt;T[[#This Row],[qty_received]],IF(T[[#This Row],[qty_received]]&gt;0,"Partial Received","Not Receviced"),"FullyReceived")</f>
        <v>Not Receviced</v>
      </c>
      <c r="Q2625" t="str">
        <f>IF(T[[#This Row],[qty_received]]&lt;&gt;T[[#This Row],[qty_invoiced]],IF(T[[#This Row],[qty_invoiced]]&gt;0,"Partial Invoiced","Not Invoiced"),"Fully Invoiced")</f>
        <v>Partial Invoiced</v>
      </c>
      <c r="R2625" t="str">
        <f>IFERROR(VLOOKUP(T[[#This Row],[warehouse]],Table2[],2,FALSE),"--")</f>
        <v>--</v>
      </c>
    </row>
    <row r="2626" spans="1:18" x14ac:dyDescent="0.25">
      <c r="A2626" t="s">
        <v>1059</v>
      </c>
      <c r="B2626" s="1">
        <v>44761</v>
      </c>
      <c r="C2626" t="s">
        <v>1783</v>
      </c>
      <c r="D2626" t="s">
        <v>1210</v>
      </c>
      <c r="E2626" t="s">
        <v>51</v>
      </c>
      <c r="F2626" t="s">
        <v>266</v>
      </c>
      <c r="G2626" t="s">
        <v>1853</v>
      </c>
      <c r="H2626" t="s">
        <v>54</v>
      </c>
      <c r="I2626">
        <v>10000</v>
      </c>
      <c r="J2626">
        <v>0</v>
      </c>
      <c r="K2626">
        <v>1</v>
      </c>
      <c r="L2626" t="s">
        <v>693</v>
      </c>
      <c r="M2626" t="s">
        <v>2836</v>
      </c>
      <c r="N2626">
        <v>61.002000000000002</v>
      </c>
      <c r="O2626">
        <v>0</v>
      </c>
      <c r="P2626" t="str">
        <f>IF(T[[#This Row],[qty_ordered]]&lt;&gt;T[[#This Row],[qty_received]],IF(T[[#This Row],[qty_received]]&gt;0,"Partial Received","Not Receviced"),"FullyReceived")</f>
        <v>Not Receviced</v>
      </c>
      <c r="Q2626" t="str">
        <f>IF(T[[#This Row],[qty_received]]&lt;&gt;T[[#This Row],[qty_invoiced]],IF(T[[#This Row],[qty_invoiced]]&gt;0,"Partial Invoiced","Not Invoiced"),"Fully Invoiced")</f>
        <v>Partial Invoiced</v>
      </c>
      <c r="R2626" t="str">
        <f>IFERROR(VLOOKUP(T[[#This Row],[warehouse]],Table2[],2,FALSE),"--")</f>
        <v>--</v>
      </c>
    </row>
    <row r="2627" spans="1:18" x14ac:dyDescent="0.25">
      <c r="A2627" t="s">
        <v>1059</v>
      </c>
      <c r="B2627" s="1">
        <v>44761</v>
      </c>
      <c r="C2627" t="s">
        <v>1783</v>
      </c>
      <c r="D2627" t="s">
        <v>702</v>
      </c>
      <c r="E2627" t="s">
        <v>51</v>
      </c>
      <c r="F2627" t="s">
        <v>266</v>
      </c>
      <c r="G2627" t="s">
        <v>1854</v>
      </c>
      <c r="H2627" t="s">
        <v>54</v>
      </c>
      <c r="I2627">
        <v>550</v>
      </c>
      <c r="J2627">
        <v>0</v>
      </c>
      <c r="K2627">
        <v>1</v>
      </c>
      <c r="L2627" t="s">
        <v>693</v>
      </c>
      <c r="M2627" t="s">
        <v>2836</v>
      </c>
      <c r="N2627">
        <v>398.03636399999999</v>
      </c>
      <c r="O2627">
        <v>0</v>
      </c>
      <c r="P2627" t="str">
        <f>IF(T[[#This Row],[qty_ordered]]&lt;&gt;T[[#This Row],[qty_received]],IF(T[[#This Row],[qty_received]]&gt;0,"Partial Received","Not Receviced"),"FullyReceived")</f>
        <v>Not Receviced</v>
      </c>
      <c r="Q2627" t="str">
        <f>IF(T[[#This Row],[qty_received]]&lt;&gt;T[[#This Row],[qty_invoiced]],IF(T[[#This Row],[qty_invoiced]]&gt;0,"Partial Invoiced","Not Invoiced"),"Fully Invoiced")</f>
        <v>Partial Invoiced</v>
      </c>
      <c r="R2627" t="str">
        <f>IFERROR(VLOOKUP(T[[#This Row],[warehouse]],Table2[],2,FALSE),"--")</f>
        <v>--</v>
      </c>
    </row>
    <row r="2628" spans="1:18" x14ac:dyDescent="0.25">
      <c r="A2628" t="s">
        <v>1059</v>
      </c>
      <c r="B2628" s="1">
        <v>44761</v>
      </c>
      <c r="C2628" t="s">
        <v>1783</v>
      </c>
      <c r="D2628" t="s">
        <v>1321</v>
      </c>
      <c r="E2628" t="s">
        <v>51</v>
      </c>
      <c r="F2628" t="s">
        <v>262</v>
      </c>
      <c r="G2628" t="s">
        <v>1855</v>
      </c>
      <c r="H2628" t="s">
        <v>54</v>
      </c>
      <c r="I2628">
        <v>550</v>
      </c>
      <c r="J2628">
        <v>0</v>
      </c>
      <c r="K2628">
        <v>1</v>
      </c>
      <c r="L2628" t="s">
        <v>693</v>
      </c>
      <c r="M2628" t="s">
        <v>2836</v>
      </c>
      <c r="N2628">
        <v>354.03636399999999</v>
      </c>
      <c r="O2628">
        <v>0</v>
      </c>
      <c r="P2628" t="str">
        <f>IF(T[[#This Row],[qty_ordered]]&lt;&gt;T[[#This Row],[qty_received]],IF(T[[#This Row],[qty_received]]&gt;0,"Partial Received","Not Receviced"),"FullyReceived")</f>
        <v>Not Receviced</v>
      </c>
      <c r="Q2628" t="str">
        <f>IF(T[[#This Row],[qty_received]]&lt;&gt;T[[#This Row],[qty_invoiced]],IF(T[[#This Row],[qty_invoiced]]&gt;0,"Partial Invoiced","Not Invoiced"),"Fully Invoiced")</f>
        <v>Partial Invoiced</v>
      </c>
      <c r="R2628" t="str">
        <f>IFERROR(VLOOKUP(T[[#This Row],[warehouse]],Table2[],2,FALSE),"--")</f>
        <v>--</v>
      </c>
    </row>
    <row r="2629" spans="1:18" x14ac:dyDescent="0.25">
      <c r="A2629" t="s">
        <v>985</v>
      </c>
      <c r="B2629" s="1">
        <v>44511</v>
      </c>
      <c r="C2629" t="s">
        <v>1856</v>
      </c>
      <c r="D2629" t="s">
        <v>88</v>
      </c>
      <c r="E2629" t="s">
        <v>51</v>
      </c>
      <c r="F2629" t="s">
        <v>183</v>
      </c>
      <c r="G2629" t="s">
        <v>1857</v>
      </c>
      <c r="H2629" t="s">
        <v>54</v>
      </c>
      <c r="I2629">
        <v>200</v>
      </c>
      <c r="J2629">
        <v>0</v>
      </c>
      <c r="K2629">
        <v>1</v>
      </c>
      <c r="L2629" t="s">
        <v>693</v>
      </c>
      <c r="M2629" t="s">
        <v>533</v>
      </c>
      <c r="N2629">
        <v>8000</v>
      </c>
      <c r="O2629">
        <v>0</v>
      </c>
      <c r="P2629" t="str">
        <f>IF(T[[#This Row],[qty_ordered]]&lt;&gt;T[[#This Row],[qty_received]],IF(T[[#This Row],[qty_received]]&gt;0,"Partial Received","Not Receviced"),"FullyReceived")</f>
        <v>Not Receviced</v>
      </c>
      <c r="Q2629" t="str">
        <f>IF(T[[#This Row],[qty_received]]&lt;&gt;T[[#This Row],[qty_invoiced]],IF(T[[#This Row],[qty_invoiced]]&gt;0,"Partial Invoiced","Not Invoiced"),"Fully Invoiced")</f>
        <v>Partial Invoiced</v>
      </c>
      <c r="R2629" t="str">
        <f>IFERROR(VLOOKUP(T[[#This Row],[warehouse]],Table2[],2,FALSE),"--")</f>
        <v>--</v>
      </c>
    </row>
    <row r="2630" spans="1:18" x14ac:dyDescent="0.25">
      <c r="A2630" t="s">
        <v>1316</v>
      </c>
      <c r="B2630" s="1">
        <v>44592</v>
      </c>
      <c r="C2630" t="s">
        <v>1824</v>
      </c>
      <c r="D2630" t="s">
        <v>324</v>
      </c>
      <c r="E2630" t="s">
        <v>51</v>
      </c>
      <c r="F2630" t="s">
        <v>1641</v>
      </c>
      <c r="G2630" t="s">
        <v>1858</v>
      </c>
      <c r="H2630" t="s">
        <v>54</v>
      </c>
      <c r="I2630">
        <v>1000</v>
      </c>
      <c r="J2630">
        <v>0</v>
      </c>
      <c r="K2630">
        <v>1</v>
      </c>
      <c r="L2630" t="s">
        <v>693</v>
      </c>
      <c r="M2630" t="s">
        <v>533</v>
      </c>
      <c r="N2630">
        <v>10000</v>
      </c>
      <c r="O2630">
        <v>0</v>
      </c>
      <c r="P2630" t="str">
        <f>IF(T[[#This Row],[qty_ordered]]&lt;&gt;T[[#This Row],[qty_received]],IF(T[[#This Row],[qty_received]]&gt;0,"Partial Received","Not Receviced"),"FullyReceived")</f>
        <v>Not Receviced</v>
      </c>
      <c r="Q2630" t="str">
        <f>IF(T[[#This Row],[qty_received]]&lt;&gt;T[[#This Row],[qty_invoiced]],IF(T[[#This Row],[qty_invoiced]]&gt;0,"Partial Invoiced","Not Invoiced"),"Fully Invoiced")</f>
        <v>Partial Invoiced</v>
      </c>
      <c r="R2630" t="str">
        <f>IFERROR(VLOOKUP(T[[#This Row],[warehouse]],Table2[],2,FALSE),"--")</f>
        <v>--</v>
      </c>
    </row>
    <row r="2631" spans="1:18" x14ac:dyDescent="0.25">
      <c r="A2631" t="s">
        <v>303</v>
      </c>
      <c r="B2631" s="1">
        <v>44783</v>
      </c>
      <c r="C2631" t="s">
        <v>1859</v>
      </c>
      <c r="D2631" t="s">
        <v>20</v>
      </c>
      <c r="E2631" t="s">
        <v>66</v>
      </c>
      <c r="F2631" t="s">
        <v>1860</v>
      </c>
      <c r="G2631" t="s">
        <v>1861</v>
      </c>
      <c r="H2631" t="s">
        <v>531</v>
      </c>
      <c r="I2631">
        <v>1279</v>
      </c>
      <c r="J2631">
        <v>1279</v>
      </c>
      <c r="K2631">
        <v>1184</v>
      </c>
      <c r="L2631" t="s">
        <v>693</v>
      </c>
      <c r="M2631" t="s">
        <v>707</v>
      </c>
      <c r="N2631">
        <v>95000</v>
      </c>
      <c r="O2631">
        <v>121505000</v>
      </c>
      <c r="P2631" t="str">
        <f>IF(T[[#This Row],[qty_ordered]]&lt;&gt;T[[#This Row],[qty_received]],IF(T[[#This Row],[qty_received]]&gt;0,"Partial Received","Not Receviced"),"FullyReceived")</f>
        <v>FullyReceived</v>
      </c>
      <c r="Q2631" t="str">
        <f>IF(T[[#This Row],[qty_received]]&lt;&gt;T[[#This Row],[qty_invoiced]],IF(T[[#This Row],[qty_invoiced]]&gt;0,"Partial Invoiced","Not Invoiced"),"Fully Invoiced")</f>
        <v>Partial Invoiced</v>
      </c>
      <c r="R2631" t="str">
        <f>IFERROR(VLOOKUP(T[[#This Row],[warehouse]],Table2[],2,FALSE),"--")</f>
        <v>PZU Main Warehouse</v>
      </c>
    </row>
    <row r="2632" spans="1:18" x14ac:dyDescent="0.25">
      <c r="A2632" t="s">
        <v>1059</v>
      </c>
      <c r="B2632" s="1">
        <v>44651</v>
      </c>
      <c r="C2632" t="s">
        <v>1578</v>
      </c>
      <c r="D2632" t="s">
        <v>614</v>
      </c>
      <c r="E2632" t="s">
        <v>51</v>
      </c>
      <c r="F2632" t="s">
        <v>933</v>
      </c>
      <c r="G2632" t="s">
        <v>1830</v>
      </c>
      <c r="H2632" t="s">
        <v>54</v>
      </c>
      <c r="I2632">
        <v>150</v>
      </c>
      <c r="J2632">
        <v>0</v>
      </c>
      <c r="K2632">
        <v>1</v>
      </c>
      <c r="L2632" t="s">
        <v>693</v>
      </c>
      <c r="M2632" t="s">
        <v>2836</v>
      </c>
      <c r="N2632">
        <v>273.66666700000002</v>
      </c>
      <c r="O2632">
        <v>0</v>
      </c>
      <c r="P2632" t="str">
        <f>IF(T[[#This Row],[qty_ordered]]&lt;&gt;T[[#This Row],[qty_received]],IF(T[[#This Row],[qty_received]]&gt;0,"Partial Received","Not Receviced"),"FullyReceived")</f>
        <v>Not Receviced</v>
      </c>
      <c r="Q2632" t="str">
        <f>IF(T[[#This Row],[qty_received]]&lt;&gt;T[[#This Row],[qty_invoiced]],IF(T[[#This Row],[qty_invoiced]]&gt;0,"Partial Invoiced","Not Invoiced"),"Fully Invoiced")</f>
        <v>Partial Invoiced</v>
      </c>
      <c r="R2632" t="str">
        <f>IFERROR(VLOOKUP(T[[#This Row],[warehouse]],Table2[],2,FALSE),"--")</f>
        <v>--</v>
      </c>
    </row>
    <row r="2633" spans="1:18" x14ac:dyDescent="0.25">
      <c r="A2633" t="s">
        <v>560</v>
      </c>
      <c r="B2633" s="1">
        <v>44544</v>
      </c>
      <c r="C2633" t="s">
        <v>1522</v>
      </c>
      <c r="D2633" t="s">
        <v>858</v>
      </c>
      <c r="E2633" t="s">
        <v>51</v>
      </c>
      <c r="F2633" t="s">
        <v>164</v>
      </c>
      <c r="G2633" t="s">
        <v>1862</v>
      </c>
      <c r="H2633" t="s">
        <v>54</v>
      </c>
      <c r="I2633">
        <v>35.380000000000003</v>
      </c>
      <c r="J2633">
        <v>0</v>
      </c>
      <c r="K2633">
        <v>1</v>
      </c>
      <c r="L2633" t="s">
        <v>693</v>
      </c>
      <c r="M2633" t="s">
        <v>2836</v>
      </c>
      <c r="N2633">
        <v>9450</v>
      </c>
      <c r="O2633">
        <v>0</v>
      </c>
      <c r="P2633" t="str">
        <f>IF(T[[#This Row],[qty_ordered]]&lt;&gt;T[[#This Row],[qty_received]],IF(T[[#This Row],[qty_received]]&gt;0,"Partial Received","Not Receviced"),"FullyReceived")</f>
        <v>Not Receviced</v>
      </c>
      <c r="Q2633" t="str">
        <f>IF(T[[#This Row],[qty_received]]&lt;&gt;T[[#This Row],[qty_invoiced]],IF(T[[#This Row],[qty_invoiced]]&gt;0,"Partial Invoiced","Not Invoiced"),"Fully Invoiced")</f>
        <v>Partial Invoiced</v>
      </c>
      <c r="R2633" t="str">
        <f>IFERROR(VLOOKUP(T[[#This Row],[warehouse]],Table2[],2,FALSE),"--")</f>
        <v>--</v>
      </c>
    </row>
    <row r="2634" spans="1:18" x14ac:dyDescent="0.25">
      <c r="A2634" t="s">
        <v>560</v>
      </c>
      <c r="B2634" s="1">
        <v>44544</v>
      </c>
      <c r="C2634" t="s">
        <v>1522</v>
      </c>
      <c r="D2634" t="s">
        <v>860</v>
      </c>
      <c r="E2634" t="s">
        <v>51</v>
      </c>
      <c r="F2634" t="s">
        <v>164</v>
      </c>
      <c r="G2634" t="s">
        <v>1862</v>
      </c>
      <c r="H2634" t="s">
        <v>54</v>
      </c>
      <c r="I2634">
        <v>22.88</v>
      </c>
      <c r="J2634">
        <v>0</v>
      </c>
      <c r="K2634">
        <v>1</v>
      </c>
      <c r="L2634" t="s">
        <v>693</v>
      </c>
      <c r="M2634" t="s">
        <v>2836</v>
      </c>
      <c r="N2634">
        <v>9450</v>
      </c>
      <c r="O2634">
        <v>0</v>
      </c>
      <c r="P2634" t="str">
        <f>IF(T[[#This Row],[qty_ordered]]&lt;&gt;T[[#This Row],[qty_received]],IF(T[[#This Row],[qty_received]]&gt;0,"Partial Received","Not Receviced"),"FullyReceived")</f>
        <v>Not Receviced</v>
      </c>
      <c r="Q2634" t="str">
        <f>IF(T[[#This Row],[qty_received]]&lt;&gt;T[[#This Row],[qty_invoiced]],IF(T[[#This Row],[qty_invoiced]]&gt;0,"Partial Invoiced","Not Invoiced"),"Fully Invoiced")</f>
        <v>Partial Invoiced</v>
      </c>
      <c r="R2634" t="str">
        <f>IFERROR(VLOOKUP(T[[#This Row],[warehouse]],Table2[],2,FALSE),"--")</f>
        <v>--</v>
      </c>
    </row>
    <row r="2635" spans="1:18" x14ac:dyDescent="0.25">
      <c r="A2635" t="s">
        <v>560</v>
      </c>
      <c r="B2635" s="1">
        <v>44544</v>
      </c>
      <c r="C2635" t="s">
        <v>1522</v>
      </c>
      <c r="D2635" t="s">
        <v>861</v>
      </c>
      <c r="E2635" t="s">
        <v>51</v>
      </c>
      <c r="F2635" t="s">
        <v>164</v>
      </c>
      <c r="G2635" t="s">
        <v>1862</v>
      </c>
      <c r="H2635" t="s">
        <v>54</v>
      </c>
      <c r="I2635">
        <v>29</v>
      </c>
      <c r="J2635">
        <v>0</v>
      </c>
      <c r="K2635">
        <v>1</v>
      </c>
      <c r="L2635" t="s">
        <v>693</v>
      </c>
      <c r="M2635" t="s">
        <v>2836</v>
      </c>
      <c r="N2635">
        <v>9450</v>
      </c>
      <c r="O2635">
        <v>0</v>
      </c>
      <c r="P2635" t="str">
        <f>IF(T[[#This Row],[qty_ordered]]&lt;&gt;T[[#This Row],[qty_received]],IF(T[[#This Row],[qty_received]]&gt;0,"Partial Received","Not Receviced"),"FullyReceived")</f>
        <v>Not Receviced</v>
      </c>
      <c r="Q2635" t="str">
        <f>IF(T[[#This Row],[qty_received]]&lt;&gt;T[[#This Row],[qty_invoiced]],IF(T[[#This Row],[qty_invoiced]]&gt;0,"Partial Invoiced","Not Invoiced"),"Fully Invoiced")</f>
        <v>Partial Invoiced</v>
      </c>
      <c r="R2635" t="str">
        <f>IFERROR(VLOOKUP(T[[#This Row],[warehouse]],Table2[],2,FALSE),"--")</f>
        <v>--</v>
      </c>
    </row>
    <row r="2636" spans="1:18" x14ac:dyDescent="0.25">
      <c r="A2636" t="s">
        <v>560</v>
      </c>
      <c r="B2636" s="1">
        <v>44544</v>
      </c>
      <c r="C2636" t="s">
        <v>1522</v>
      </c>
      <c r="D2636" t="s">
        <v>862</v>
      </c>
      <c r="E2636" t="s">
        <v>51</v>
      </c>
      <c r="F2636" t="s">
        <v>164</v>
      </c>
      <c r="G2636" t="s">
        <v>1862</v>
      </c>
      <c r="H2636" t="s">
        <v>54</v>
      </c>
      <c r="I2636">
        <v>31.88</v>
      </c>
      <c r="J2636">
        <v>0</v>
      </c>
      <c r="K2636">
        <v>1</v>
      </c>
      <c r="L2636" t="s">
        <v>693</v>
      </c>
      <c r="M2636" t="s">
        <v>2836</v>
      </c>
      <c r="N2636">
        <v>9450</v>
      </c>
      <c r="O2636">
        <v>0</v>
      </c>
      <c r="P2636" t="str">
        <f>IF(T[[#This Row],[qty_ordered]]&lt;&gt;T[[#This Row],[qty_received]],IF(T[[#This Row],[qty_received]]&gt;0,"Partial Received","Not Receviced"),"FullyReceived")</f>
        <v>Not Receviced</v>
      </c>
      <c r="Q2636" t="str">
        <f>IF(T[[#This Row],[qty_received]]&lt;&gt;T[[#This Row],[qty_invoiced]],IF(T[[#This Row],[qty_invoiced]]&gt;0,"Partial Invoiced","Not Invoiced"),"Fully Invoiced")</f>
        <v>Partial Invoiced</v>
      </c>
      <c r="R2636" t="str">
        <f>IFERROR(VLOOKUP(T[[#This Row],[warehouse]],Table2[],2,FALSE),"--")</f>
        <v>--</v>
      </c>
    </row>
    <row r="2637" spans="1:18" x14ac:dyDescent="0.25">
      <c r="A2637" t="s">
        <v>560</v>
      </c>
      <c r="B2637" s="1">
        <v>44544</v>
      </c>
      <c r="C2637" t="s">
        <v>1542</v>
      </c>
      <c r="D2637" t="s">
        <v>509</v>
      </c>
      <c r="E2637" t="s">
        <v>51</v>
      </c>
      <c r="F2637" t="s">
        <v>164</v>
      </c>
      <c r="G2637" t="s">
        <v>1863</v>
      </c>
      <c r="H2637" t="s">
        <v>54</v>
      </c>
      <c r="I2637">
        <v>26.13</v>
      </c>
      <c r="J2637">
        <v>0</v>
      </c>
      <c r="K2637">
        <v>1</v>
      </c>
      <c r="L2637" t="s">
        <v>693</v>
      </c>
      <c r="M2637" t="s">
        <v>533</v>
      </c>
      <c r="N2637">
        <v>9450</v>
      </c>
      <c r="O2637">
        <v>0</v>
      </c>
      <c r="P2637" t="str">
        <f>IF(T[[#This Row],[qty_ordered]]&lt;&gt;T[[#This Row],[qty_received]],IF(T[[#This Row],[qty_received]]&gt;0,"Partial Received","Not Receviced"),"FullyReceived")</f>
        <v>Not Receviced</v>
      </c>
      <c r="Q2637" t="str">
        <f>IF(T[[#This Row],[qty_received]]&lt;&gt;T[[#This Row],[qty_invoiced]],IF(T[[#This Row],[qty_invoiced]]&gt;0,"Partial Invoiced","Not Invoiced"),"Fully Invoiced")</f>
        <v>Partial Invoiced</v>
      </c>
      <c r="R2637" t="str">
        <f>IFERROR(VLOOKUP(T[[#This Row],[warehouse]],Table2[],2,FALSE),"--")</f>
        <v>--</v>
      </c>
    </row>
    <row r="2638" spans="1:18" x14ac:dyDescent="0.25">
      <c r="A2638" t="s">
        <v>560</v>
      </c>
      <c r="B2638" s="1">
        <v>44544</v>
      </c>
      <c r="C2638" t="s">
        <v>1542</v>
      </c>
      <c r="D2638" t="s">
        <v>510</v>
      </c>
      <c r="E2638" t="s">
        <v>51</v>
      </c>
      <c r="F2638" t="s">
        <v>164</v>
      </c>
      <c r="G2638" t="s">
        <v>1863</v>
      </c>
      <c r="H2638" t="s">
        <v>54</v>
      </c>
      <c r="I2638">
        <v>35.380000000000003</v>
      </c>
      <c r="J2638">
        <v>0</v>
      </c>
      <c r="K2638">
        <v>1</v>
      </c>
      <c r="L2638" t="s">
        <v>693</v>
      </c>
      <c r="M2638" t="s">
        <v>533</v>
      </c>
      <c r="N2638">
        <v>9450</v>
      </c>
      <c r="O2638">
        <v>0</v>
      </c>
      <c r="P2638" t="str">
        <f>IF(T[[#This Row],[qty_ordered]]&lt;&gt;T[[#This Row],[qty_received]],IF(T[[#This Row],[qty_received]]&gt;0,"Partial Received","Not Receviced"),"FullyReceived")</f>
        <v>Not Receviced</v>
      </c>
      <c r="Q2638" t="str">
        <f>IF(T[[#This Row],[qty_received]]&lt;&gt;T[[#This Row],[qty_invoiced]],IF(T[[#This Row],[qty_invoiced]]&gt;0,"Partial Invoiced","Not Invoiced"),"Fully Invoiced")</f>
        <v>Partial Invoiced</v>
      </c>
      <c r="R2638" t="str">
        <f>IFERROR(VLOOKUP(T[[#This Row],[warehouse]],Table2[],2,FALSE),"--")</f>
        <v>--</v>
      </c>
    </row>
    <row r="2639" spans="1:18" x14ac:dyDescent="0.25">
      <c r="A2639" t="s">
        <v>560</v>
      </c>
      <c r="B2639" s="1">
        <v>44606</v>
      </c>
      <c r="C2639" t="s">
        <v>1546</v>
      </c>
      <c r="D2639" t="s">
        <v>862</v>
      </c>
      <c r="E2639" t="s">
        <v>51</v>
      </c>
      <c r="F2639" t="s">
        <v>164</v>
      </c>
      <c r="G2639" t="s">
        <v>1864</v>
      </c>
      <c r="H2639" t="s">
        <v>54</v>
      </c>
      <c r="I2639">
        <v>23.63</v>
      </c>
      <c r="J2639">
        <v>0</v>
      </c>
      <c r="K2639">
        <v>1</v>
      </c>
      <c r="L2639" t="s">
        <v>693</v>
      </c>
      <c r="M2639" t="s">
        <v>2836</v>
      </c>
      <c r="N2639">
        <v>9450</v>
      </c>
      <c r="O2639">
        <v>0</v>
      </c>
      <c r="P2639" t="str">
        <f>IF(T[[#This Row],[qty_ordered]]&lt;&gt;T[[#This Row],[qty_received]],IF(T[[#This Row],[qty_received]]&gt;0,"Partial Received","Not Receviced"),"FullyReceived")</f>
        <v>Not Receviced</v>
      </c>
      <c r="Q2639" t="str">
        <f>IF(T[[#This Row],[qty_received]]&lt;&gt;T[[#This Row],[qty_invoiced]],IF(T[[#This Row],[qty_invoiced]]&gt;0,"Partial Invoiced","Not Invoiced"),"Fully Invoiced")</f>
        <v>Partial Invoiced</v>
      </c>
      <c r="R2639" t="str">
        <f>IFERROR(VLOOKUP(T[[#This Row],[warehouse]],Table2[],2,FALSE),"--")</f>
        <v>--</v>
      </c>
    </row>
    <row r="2640" spans="1:18" x14ac:dyDescent="0.25">
      <c r="A2640" t="s">
        <v>560</v>
      </c>
      <c r="B2640" s="1">
        <v>44606</v>
      </c>
      <c r="C2640" t="s">
        <v>1546</v>
      </c>
      <c r="D2640" t="s">
        <v>863</v>
      </c>
      <c r="E2640" t="s">
        <v>51</v>
      </c>
      <c r="F2640" t="s">
        <v>164</v>
      </c>
      <c r="G2640" t="s">
        <v>1864</v>
      </c>
      <c r="H2640" t="s">
        <v>54</v>
      </c>
      <c r="I2640">
        <v>37</v>
      </c>
      <c r="J2640">
        <v>0</v>
      </c>
      <c r="K2640">
        <v>1</v>
      </c>
      <c r="L2640" t="s">
        <v>693</v>
      </c>
      <c r="M2640" t="s">
        <v>2836</v>
      </c>
      <c r="N2640">
        <v>9450</v>
      </c>
      <c r="O2640">
        <v>0</v>
      </c>
      <c r="P2640" t="str">
        <f>IF(T[[#This Row],[qty_ordered]]&lt;&gt;T[[#This Row],[qty_received]],IF(T[[#This Row],[qty_received]]&gt;0,"Partial Received","Not Receviced"),"FullyReceived")</f>
        <v>Not Receviced</v>
      </c>
      <c r="Q2640" t="str">
        <f>IF(T[[#This Row],[qty_received]]&lt;&gt;T[[#This Row],[qty_invoiced]],IF(T[[#This Row],[qty_invoiced]]&gt;0,"Partial Invoiced","Not Invoiced"),"Fully Invoiced")</f>
        <v>Partial Invoiced</v>
      </c>
      <c r="R2640" t="str">
        <f>IFERROR(VLOOKUP(T[[#This Row],[warehouse]],Table2[],2,FALSE),"--")</f>
        <v>--</v>
      </c>
    </row>
    <row r="2641" spans="1:18" x14ac:dyDescent="0.25">
      <c r="A2641" t="s">
        <v>560</v>
      </c>
      <c r="B2641" s="1">
        <v>44606</v>
      </c>
      <c r="C2641" t="s">
        <v>1546</v>
      </c>
      <c r="D2641" t="s">
        <v>864</v>
      </c>
      <c r="E2641" t="s">
        <v>51</v>
      </c>
      <c r="F2641" t="s">
        <v>164</v>
      </c>
      <c r="G2641" t="s">
        <v>1864</v>
      </c>
      <c r="H2641" t="s">
        <v>54</v>
      </c>
      <c r="I2641">
        <v>27.63</v>
      </c>
      <c r="J2641">
        <v>0</v>
      </c>
      <c r="K2641">
        <v>1</v>
      </c>
      <c r="L2641" t="s">
        <v>693</v>
      </c>
      <c r="M2641" t="s">
        <v>2836</v>
      </c>
      <c r="N2641">
        <v>9450</v>
      </c>
      <c r="O2641">
        <v>0</v>
      </c>
      <c r="P2641" t="str">
        <f>IF(T[[#This Row],[qty_ordered]]&lt;&gt;T[[#This Row],[qty_received]],IF(T[[#This Row],[qty_received]]&gt;0,"Partial Received","Not Receviced"),"FullyReceived")</f>
        <v>Not Receviced</v>
      </c>
      <c r="Q2641" t="str">
        <f>IF(T[[#This Row],[qty_received]]&lt;&gt;T[[#This Row],[qty_invoiced]],IF(T[[#This Row],[qty_invoiced]]&gt;0,"Partial Invoiced","Not Invoiced"),"Fully Invoiced")</f>
        <v>Partial Invoiced</v>
      </c>
      <c r="R2641" t="str">
        <f>IFERROR(VLOOKUP(T[[#This Row],[warehouse]],Table2[],2,FALSE),"--")</f>
        <v>--</v>
      </c>
    </row>
    <row r="2642" spans="1:18" x14ac:dyDescent="0.25">
      <c r="A2642" t="s">
        <v>560</v>
      </c>
      <c r="B2642" s="1">
        <v>44606</v>
      </c>
      <c r="C2642" t="s">
        <v>1546</v>
      </c>
      <c r="D2642" t="s">
        <v>566</v>
      </c>
      <c r="E2642" t="s">
        <v>51</v>
      </c>
      <c r="F2642" t="s">
        <v>164</v>
      </c>
      <c r="G2642" t="s">
        <v>1864</v>
      </c>
      <c r="H2642" t="s">
        <v>54</v>
      </c>
      <c r="I2642">
        <v>28.13</v>
      </c>
      <c r="J2642">
        <v>0</v>
      </c>
      <c r="K2642">
        <v>1</v>
      </c>
      <c r="L2642" t="s">
        <v>693</v>
      </c>
      <c r="M2642" t="s">
        <v>2836</v>
      </c>
      <c r="N2642">
        <v>9450</v>
      </c>
      <c r="O2642">
        <v>0</v>
      </c>
      <c r="P2642" t="str">
        <f>IF(T[[#This Row],[qty_ordered]]&lt;&gt;T[[#This Row],[qty_received]],IF(T[[#This Row],[qty_received]]&gt;0,"Partial Received","Not Receviced"),"FullyReceived")</f>
        <v>Not Receviced</v>
      </c>
      <c r="Q2642" t="str">
        <f>IF(T[[#This Row],[qty_received]]&lt;&gt;T[[#This Row],[qty_invoiced]],IF(T[[#This Row],[qty_invoiced]]&gt;0,"Partial Invoiced","Not Invoiced"),"Fully Invoiced")</f>
        <v>Partial Invoiced</v>
      </c>
      <c r="R2642" t="str">
        <f>IFERROR(VLOOKUP(T[[#This Row],[warehouse]],Table2[],2,FALSE),"--")</f>
        <v>--</v>
      </c>
    </row>
    <row r="2643" spans="1:18" x14ac:dyDescent="0.25">
      <c r="A2643" t="s">
        <v>560</v>
      </c>
      <c r="B2643" s="1">
        <v>44606</v>
      </c>
      <c r="C2643" t="s">
        <v>1546</v>
      </c>
      <c r="D2643" t="s">
        <v>567</v>
      </c>
      <c r="E2643" t="s">
        <v>51</v>
      </c>
      <c r="F2643" t="s">
        <v>164</v>
      </c>
      <c r="G2643" t="s">
        <v>1864</v>
      </c>
      <c r="H2643" t="s">
        <v>54</v>
      </c>
      <c r="I2643">
        <v>21.63</v>
      </c>
      <c r="J2643">
        <v>0</v>
      </c>
      <c r="K2643">
        <v>1</v>
      </c>
      <c r="L2643" t="s">
        <v>693</v>
      </c>
      <c r="M2643" t="s">
        <v>2836</v>
      </c>
      <c r="N2643">
        <v>9450</v>
      </c>
      <c r="O2643">
        <v>0</v>
      </c>
      <c r="P2643" t="str">
        <f>IF(T[[#This Row],[qty_ordered]]&lt;&gt;T[[#This Row],[qty_received]],IF(T[[#This Row],[qty_received]]&gt;0,"Partial Received","Not Receviced"),"FullyReceived")</f>
        <v>Not Receviced</v>
      </c>
      <c r="Q2643" t="str">
        <f>IF(T[[#This Row],[qty_received]]&lt;&gt;T[[#This Row],[qty_invoiced]],IF(T[[#This Row],[qty_invoiced]]&gt;0,"Partial Invoiced","Not Invoiced"),"Fully Invoiced")</f>
        <v>Partial Invoiced</v>
      </c>
      <c r="R2643" t="str">
        <f>IFERROR(VLOOKUP(T[[#This Row],[warehouse]],Table2[],2,FALSE),"--")</f>
        <v>--</v>
      </c>
    </row>
    <row r="2644" spans="1:18" x14ac:dyDescent="0.25">
      <c r="A2644" t="s">
        <v>1316</v>
      </c>
      <c r="B2644" s="1">
        <v>44251</v>
      </c>
      <c r="C2644" t="s">
        <v>1317</v>
      </c>
      <c r="D2644" t="s">
        <v>322</v>
      </c>
      <c r="E2644" t="s">
        <v>51</v>
      </c>
      <c r="F2644" t="s">
        <v>278</v>
      </c>
      <c r="G2644" t="s">
        <v>279</v>
      </c>
      <c r="H2644" t="s">
        <v>54</v>
      </c>
      <c r="I2644">
        <v>19983</v>
      </c>
      <c r="J2644">
        <v>0</v>
      </c>
      <c r="K2644">
        <v>1</v>
      </c>
      <c r="L2644" t="s">
        <v>25</v>
      </c>
      <c r="M2644" t="s">
        <v>533</v>
      </c>
      <c r="N2644">
        <v>16.780013</v>
      </c>
      <c r="O2644">
        <v>0</v>
      </c>
      <c r="P2644" t="str">
        <f>IF(T[[#This Row],[qty_ordered]]&lt;&gt;T[[#This Row],[qty_received]],IF(T[[#This Row],[qty_received]]&gt;0,"Partial Received","Not Receviced"),"FullyReceived")</f>
        <v>Not Receviced</v>
      </c>
      <c r="Q2644" t="str">
        <f>IF(T[[#This Row],[qty_received]]&lt;&gt;T[[#This Row],[qty_invoiced]],IF(T[[#This Row],[qty_invoiced]]&gt;0,"Partial Invoiced","Not Invoiced"),"Fully Invoiced")</f>
        <v>Partial Invoiced</v>
      </c>
      <c r="R2644" t="str">
        <f>IFERROR(VLOOKUP(T[[#This Row],[warehouse]],Table2[],2,FALSE),"--")</f>
        <v>--</v>
      </c>
    </row>
    <row r="2645" spans="1:18" x14ac:dyDescent="0.25">
      <c r="A2645" t="s">
        <v>1316</v>
      </c>
      <c r="B2645" s="1">
        <v>44251</v>
      </c>
      <c r="C2645" t="s">
        <v>1317</v>
      </c>
      <c r="D2645" t="s">
        <v>323</v>
      </c>
      <c r="E2645" t="s">
        <v>51</v>
      </c>
      <c r="F2645" t="s">
        <v>254</v>
      </c>
      <c r="G2645" t="s">
        <v>255</v>
      </c>
      <c r="H2645" t="s">
        <v>54</v>
      </c>
      <c r="I2645">
        <v>26556</v>
      </c>
      <c r="J2645">
        <v>0</v>
      </c>
      <c r="K2645">
        <v>1</v>
      </c>
      <c r="L2645" t="s">
        <v>25</v>
      </c>
      <c r="M2645" t="s">
        <v>533</v>
      </c>
      <c r="N2645">
        <v>18</v>
      </c>
      <c r="O2645">
        <v>0</v>
      </c>
      <c r="P2645" t="str">
        <f>IF(T[[#This Row],[qty_ordered]]&lt;&gt;T[[#This Row],[qty_received]],IF(T[[#This Row],[qty_received]]&gt;0,"Partial Received","Not Receviced"),"FullyReceived")</f>
        <v>Not Receviced</v>
      </c>
      <c r="Q2645" t="str">
        <f>IF(T[[#This Row],[qty_received]]&lt;&gt;T[[#This Row],[qty_invoiced]],IF(T[[#This Row],[qty_invoiced]]&gt;0,"Partial Invoiced","Not Invoiced"),"Fully Invoiced")</f>
        <v>Partial Invoiced</v>
      </c>
      <c r="R2645" t="str">
        <f>IFERROR(VLOOKUP(T[[#This Row],[warehouse]],Table2[],2,FALSE),"--")</f>
        <v>--</v>
      </c>
    </row>
    <row r="2646" spans="1:18" x14ac:dyDescent="0.25">
      <c r="A2646" t="s">
        <v>1316</v>
      </c>
      <c r="B2646" s="1">
        <v>44251</v>
      </c>
      <c r="C2646" t="s">
        <v>1317</v>
      </c>
      <c r="D2646" t="s">
        <v>324</v>
      </c>
      <c r="E2646" t="s">
        <v>51</v>
      </c>
      <c r="F2646" t="s">
        <v>278</v>
      </c>
      <c r="G2646" t="s">
        <v>279</v>
      </c>
      <c r="H2646" t="s">
        <v>54</v>
      </c>
      <c r="I2646">
        <v>13377</v>
      </c>
      <c r="J2646">
        <v>0</v>
      </c>
      <c r="K2646">
        <v>1</v>
      </c>
      <c r="L2646" t="s">
        <v>25</v>
      </c>
      <c r="M2646" t="s">
        <v>533</v>
      </c>
      <c r="N2646">
        <v>10</v>
      </c>
      <c r="O2646">
        <v>0</v>
      </c>
      <c r="P2646" t="str">
        <f>IF(T[[#This Row],[qty_ordered]]&lt;&gt;T[[#This Row],[qty_received]],IF(T[[#This Row],[qty_received]]&gt;0,"Partial Received","Not Receviced"),"FullyReceived")</f>
        <v>Not Receviced</v>
      </c>
      <c r="Q2646" t="str">
        <f>IF(T[[#This Row],[qty_received]]&lt;&gt;T[[#This Row],[qty_invoiced]],IF(T[[#This Row],[qty_invoiced]]&gt;0,"Partial Invoiced","Not Invoiced"),"Fully Invoiced")</f>
        <v>Partial Invoiced</v>
      </c>
      <c r="R2646" t="str">
        <f>IFERROR(VLOOKUP(T[[#This Row],[warehouse]],Table2[],2,FALSE),"--")</f>
        <v>--</v>
      </c>
    </row>
    <row r="2647" spans="1:18" x14ac:dyDescent="0.25">
      <c r="A2647" t="s">
        <v>955</v>
      </c>
      <c r="B2647" s="1">
        <v>44168</v>
      </c>
      <c r="C2647" t="s">
        <v>1017</v>
      </c>
      <c r="D2647" t="s">
        <v>76</v>
      </c>
      <c r="E2647" t="s">
        <v>548</v>
      </c>
      <c r="F2647" t="s">
        <v>287</v>
      </c>
      <c r="G2647" t="s">
        <v>288</v>
      </c>
      <c r="H2647" t="s">
        <v>24</v>
      </c>
      <c r="I2647">
        <v>200</v>
      </c>
      <c r="J2647">
        <v>159.36000000000001</v>
      </c>
      <c r="K2647">
        <v>159.36000000000001</v>
      </c>
      <c r="L2647" t="s">
        <v>25</v>
      </c>
      <c r="M2647" t="s">
        <v>132</v>
      </c>
      <c r="N2647">
        <v>360520.45</v>
      </c>
      <c r="O2647">
        <v>57452538.912</v>
      </c>
      <c r="P2647" t="str">
        <f>IF(T[[#This Row],[qty_ordered]]&lt;&gt;T[[#This Row],[qty_received]],IF(T[[#This Row],[qty_received]]&gt;0,"Partial Received","Not Receviced"),"FullyReceived")</f>
        <v>Partial Received</v>
      </c>
      <c r="Q2647" t="str">
        <f>IF(T[[#This Row],[qty_received]]&lt;&gt;T[[#This Row],[qty_invoiced]],IF(T[[#This Row],[qty_invoiced]]&gt;0,"Partial Invoiced","Not Invoiced"),"Fully Invoiced")</f>
        <v>Fully Invoiced</v>
      </c>
      <c r="R2647" t="str">
        <f>IFERROR(VLOOKUP(T[[#This Row],[warehouse]],Table2[],2,FALSE),"--")</f>
        <v>Crusher Almosaly-ALB</v>
      </c>
    </row>
    <row r="2648" spans="1:18" x14ac:dyDescent="0.25">
      <c r="A2648" t="s">
        <v>1146</v>
      </c>
      <c r="B2648" s="1">
        <v>44202</v>
      </c>
      <c r="C2648" t="s">
        <v>1147</v>
      </c>
      <c r="D2648" t="s">
        <v>74</v>
      </c>
      <c r="E2648" t="s">
        <v>548</v>
      </c>
      <c r="F2648" t="s">
        <v>287</v>
      </c>
      <c r="G2648" t="s">
        <v>288</v>
      </c>
      <c r="H2648" t="s">
        <v>24</v>
      </c>
      <c r="I2648">
        <v>226.22</v>
      </c>
      <c r="J2648">
        <v>226.22</v>
      </c>
      <c r="K2648">
        <v>226.22</v>
      </c>
      <c r="L2648" t="s">
        <v>25</v>
      </c>
      <c r="M2648" t="s">
        <v>132</v>
      </c>
      <c r="N2648">
        <v>360520.45</v>
      </c>
      <c r="O2648">
        <v>81556936.199000001</v>
      </c>
      <c r="P2648" t="str">
        <f>IF(T[[#This Row],[qty_ordered]]&lt;&gt;T[[#This Row],[qty_received]],IF(T[[#This Row],[qty_received]]&gt;0,"Partial Received","Not Receviced"),"FullyReceived")</f>
        <v>FullyReceived</v>
      </c>
      <c r="Q2648" t="str">
        <f>IF(T[[#This Row],[qty_received]]&lt;&gt;T[[#This Row],[qty_invoiced]],IF(T[[#This Row],[qty_invoiced]]&gt;0,"Partial Invoiced","Not Invoiced"),"Fully Invoiced")</f>
        <v>Fully Invoiced</v>
      </c>
      <c r="R2648" t="str">
        <f>IFERROR(VLOOKUP(T[[#This Row],[warehouse]],Table2[],2,FALSE),"--")</f>
        <v>Crusher Almosaly-ALB</v>
      </c>
    </row>
    <row r="2649" spans="1:18" x14ac:dyDescent="0.25">
      <c r="A2649" t="s">
        <v>1170</v>
      </c>
      <c r="B2649" s="1">
        <v>44223</v>
      </c>
      <c r="C2649" t="s">
        <v>1201</v>
      </c>
      <c r="D2649" t="s">
        <v>100</v>
      </c>
      <c r="E2649" t="s">
        <v>66</v>
      </c>
      <c r="F2649" t="s">
        <v>244</v>
      </c>
      <c r="G2649" t="s">
        <v>245</v>
      </c>
      <c r="H2649" t="s">
        <v>24</v>
      </c>
      <c r="I2649">
        <v>200</v>
      </c>
      <c r="J2649">
        <v>200</v>
      </c>
      <c r="K2649">
        <v>200</v>
      </c>
      <c r="L2649" t="s">
        <v>25</v>
      </c>
      <c r="M2649" t="s">
        <v>132</v>
      </c>
      <c r="N2649">
        <v>555000</v>
      </c>
      <c r="O2649">
        <v>111000000</v>
      </c>
      <c r="P2649" t="str">
        <f>IF(T[[#This Row],[qty_ordered]]&lt;&gt;T[[#This Row],[qty_received]],IF(T[[#This Row],[qty_received]]&gt;0,"Partial Received","Not Receviced"),"FullyReceived")</f>
        <v>FullyReceived</v>
      </c>
      <c r="Q2649" t="str">
        <f>IF(T[[#This Row],[qty_received]]&lt;&gt;T[[#This Row],[qty_invoiced]],IF(T[[#This Row],[qty_invoiced]]&gt;0,"Partial Invoiced","Not Invoiced"),"Fully Invoiced")</f>
        <v>Fully Invoiced</v>
      </c>
      <c r="R2649" t="str">
        <f>IFERROR(VLOOKUP(T[[#This Row],[warehouse]],Table2[],2,FALSE),"--")</f>
        <v>PZU Main Warehouse</v>
      </c>
    </row>
    <row r="2650" spans="1:18" x14ac:dyDescent="0.25">
      <c r="A2650" t="s">
        <v>1114</v>
      </c>
      <c r="B2650" s="1">
        <v>44321</v>
      </c>
      <c r="C2650" t="s">
        <v>1335</v>
      </c>
      <c r="D2650" t="s">
        <v>20</v>
      </c>
      <c r="E2650" t="s">
        <v>660</v>
      </c>
      <c r="F2650" t="s">
        <v>1042</v>
      </c>
      <c r="G2650" t="s">
        <v>1043</v>
      </c>
      <c r="H2650" t="s">
        <v>663</v>
      </c>
      <c r="I2650">
        <v>4410</v>
      </c>
      <c r="J2650">
        <v>4410</v>
      </c>
      <c r="K2650">
        <v>4410</v>
      </c>
      <c r="L2650" t="s">
        <v>25</v>
      </c>
      <c r="M2650" t="s">
        <v>132</v>
      </c>
      <c r="N2650">
        <v>1412.5436999999999</v>
      </c>
      <c r="O2650">
        <v>12200917.68</v>
      </c>
      <c r="P2650" t="str">
        <f>IF(T[[#This Row],[qty_ordered]]&lt;&gt;T[[#This Row],[qty_received]],IF(T[[#This Row],[qty_received]]&gt;0,"Partial Received","Not Receviced"),"FullyReceived")</f>
        <v>FullyReceived</v>
      </c>
      <c r="Q2650" t="str">
        <f>IF(T[[#This Row],[qty_received]]&lt;&gt;T[[#This Row],[qty_invoiced]],IF(T[[#This Row],[qty_invoiced]]&gt;0,"Partial Invoiced","Not Invoiced"),"Fully Invoiced")</f>
        <v>Fully Invoiced</v>
      </c>
      <c r="R2650" t="str">
        <f>IFERROR(VLOOKUP(T[[#This Row],[warehouse]],Table2[],2,FALSE),"--")</f>
        <v>SLAUGHTER HOUSE</v>
      </c>
    </row>
    <row r="2651" spans="1:18" x14ac:dyDescent="0.25">
      <c r="A2651" t="s">
        <v>658</v>
      </c>
      <c r="B2651" s="1">
        <v>44243</v>
      </c>
      <c r="C2651" t="s">
        <v>1243</v>
      </c>
      <c r="D2651" t="s">
        <v>323</v>
      </c>
      <c r="E2651" t="s">
        <v>660</v>
      </c>
      <c r="F2651" t="s">
        <v>661</v>
      </c>
      <c r="G2651" t="s">
        <v>662</v>
      </c>
      <c r="H2651" t="s">
        <v>663</v>
      </c>
      <c r="I2651">
        <v>3025</v>
      </c>
      <c r="J2651">
        <v>3025</v>
      </c>
      <c r="K2651">
        <v>3025</v>
      </c>
      <c r="L2651" t="s">
        <v>25</v>
      </c>
      <c r="M2651" t="s">
        <v>707</v>
      </c>
      <c r="N2651">
        <v>1100.826</v>
      </c>
      <c r="O2651">
        <v>4537500</v>
      </c>
      <c r="P2651" t="str">
        <f>IF(T[[#This Row],[qty_ordered]]&lt;&gt;T[[#This Row],[qty_received]],IF(T[[#This Row],[qty_received]]&gt;0,"Partial Received","Not Receviced"),"FullyReceived")</f>
        <v>FullyReceived</v>
      </c>
      <c r="Q2651" t="str">
        <f>IF(T[[#This Row],[qty_received]]&lt;&gt;T[[#This Row],[qty_invoiced]],IF(T[[#This Row],[qty_invoiced]]&gt;0,"Partial Invoiced","Not Invoiced"),"Fully Invoiced")</f>
        <v>Fully Invoiced</v>
      </c>
      <c r="R2651" t="str">
        <f>IFERROR(VLOOKUP(T[[#This Row],[warehouse]],Table2[],2,FALSE),"--")</f>
        <v>SLAUGHTER HOUSE</v>
      </c>
    </row>
    <row r="2652" spans="1:18" x14ac:dyDescent="0.25">
      <c r="A2652" t="s">
        <v>1114</v>
      </c>
      <c r="B2652" s="1">
        <v>44321</v>
      </c>
      <c r="C2652" t="s">
        <v>1335</v>
      </c>
      <c r="D2652" t="s">
        <v>614</v>
      </c>
      <c r="E2652" t="s">
        <v>660</v>
      </c>
      <c r="F2652" t="s">
        <v>1042</v>
      </c>
      <c r="G2652" t="s">
        <v>1043</v>
      </c>
      <c r="H2652" t="s">
        <v>663</v>
      </c>
      <c r="I2652">
        <v>4457.7</v>
      </c>
      <c r="J2652">
        <v>4457.7</v>
      </c>
      <c r="K2652">
        <v>4457.7</v>
      </c>
      <c r="L2652" t="s">
        <v>25</v>
      </c>
      <c r="M2652" t="s">
        <v>132</v>
      </c>
      <c r="N2652">
        <v>1412.5436999999999</v>
      </c>
      <c r="O2652">
        <v>11137900.006349999</v>
      </c>
      <c r="P2652" t="str">
        <f>IF(T[[#This Row],[qty_ordered]]&lt;&gt;T[[#This Row],[qty_received]],IF(T[[#This Row],[qty_received]]&gt;0,"Partial Received","Not Receviced"),"FullyReceived")</f>
        <v>FullyReceived</v>
      </c>
      <c r="Q2652" t="str">
        <f>IF(T[[#This Row],[qty_received]]&lt;&gt;T[[#This Row],[qty_invoiced]],IF(T[[#This Row],[qty_invoiced]]&gt;0,"Partial Invoiced","Not Invoiced"),"Fully Invoiced")</f>
        <v>Fully Invoiced</v>
      </c>
      <c r="R2652" t="str">
        <f>IFERROR(VLOOKUP(T[[#This Row],[warehouse]],Table2[],2,FALSE),"--")</f>
        <v>SLAUGHTER HOUSE</v>
      </c>
    </row>
    <row r="2653" spans="1:18" x14ac:dyDescent="0.25">
      <c r="A2653" t="s">
        <v>955</v>
      </c>
      <c r="B2653" s="1">
        <v>44321</v>
      </c>
      <c r="C2653" t="s">
        <v>1865</v>
      </c>
      <c r="D2653" t="s">
        <v>20</v>
      </c>
      <c r="E2653" t="s">
        <v>410</v>
      </c>
      <c r="F2653" t="s">
        <v>1866</v>
      </c>
      <c r="G2653" t="s">
        <v>1867</v>
      </c>
      <c r="H2653" t="s">
        <v>123</v>
      </c>
      <c r="I2653">
        <v>10143</v>
      </c>
      <c r="J2653">
        <v>10143</v>
      </c>
      <c r="K2653">
        <v>10143</v>
      </c>
      <c r="L2653" t="s">
        <v>25</v>
      </c>
      <c r="M2653" t="s">
        <v>707</v>
      </c>
      <c r="N2653">
        <v>30600</v>
      </c>
      <c r="O2653">
        <v>310375800</v>
      </c>
      <c r="P2653" t="str">
        <f>IF(T[[#This Row],[qty_ordered]]&lt;&gt;T[[#This Row],[qty_received]],IF(T[[#This Row],[qty_received]]&gt;0,"Partial Received","Not Receviced"),"FullyReceived")</f>
        <v>FullyReceived</v>
      </c>
      <c r="Q2653" t="str">
        <f>IF(T[[#This Row],[qty_received]]&lt;&gt;T[[#This Row],[qty_invoiced]],IF(T[[#This Row],[qty_invoiced]]&gt;0,"Partial Invoiced","Not Invoiced"),"Fully Invoiced")</f>
        <v>Fully Invoiced</v>
      </c>
      <c r="R2653" t="str">
        <f>IFERROR(VLOOKUP(T[[#This Row],[warehouse]],Table2[],2,FALSE),"--")</f>
        <v>SFITER GUM Masaaie</v>
      </c>
    </row>
    <row r="2654" spans="1:18" x14ac:dyDescent="0.25">
      <c r="A2654" t="s">
        <v>1868</v>
      </c>
      <c r="B2654" s="1">
        <v>44339</v>
      </c>
      <c r="C2654" t="s">
        <v>1869</v>
      </c>
      <c r="D2654" t="s">
        <v>20</v>
      </c>
      <c r="E2654" t="s">
        <v>239</v>
      </c>
      <c r="F2654" t="s">
        <v>294</v>
      </c>
      <c r="G2654" t="s">
        <v>148</v>
      </c>
      <c r="H2654" t="s">
        <v>149</v>
      </c>
      <c r="I2654">
        <v>408000</v>
      </c>
      <c r="J2654">
        <v>408000</v>
      </c>
      <c r="K2654">
        <v>408000</v>
      </c>
      <c r="L2654" t="s">
        <v>25</v>
      </c>
      <c r="M2654" t="s">
        <v>1404</v>
      </c>
      <c r="N2654">
        <v>184</v>
      </c>
      <c r="O2654">
        <v>75072000</v>
      </c>
      <c r="P2654" t="str">
        <f>IF(T[[#This Row],[qty_ordered]]&lt;&gt;T[[#This Row],[qty_received]],IF(T[[#This Row],[qty_received]]&gt;0,"Partial Received","Not Receviced"),"FullyReceived")</f>
        <v>FullyReceived</v>
      </c>
      <c r="Q2654" t="str">
        <f>IF(T[[#This Row],[qty_received]]&lt;&gt;T[[#This Row],[qty_invoiced]],IF(T[[#This Row],[qty_invoiced]]&gt;0,"Partial Invoiced","Not Invoiced"),"Fully Invoiced")</f>
        <v>Fully Invoiced</v>
      </c>
      <c r="R2654" t="str">
        <f>IFERROR(VLOOKUP(T[[#This Row],[warehouse]],Table2[],2,FALSE),"--")</f>
        <v xml:space="preserve">Gadarif Main Store </v>
      </c>
    </row>
    <row r="2655" spans="1:18" x14ac:dyDescent="0.25">
      <c r="A2655" t="s">
        <v>1114</v>
      </c>
      <c r="B2655" s="1">
        <v>44321</v>
      </c>
      <c r="C2655" t="s">
        <v>1335</v>
      </c>
      <c r="D2655" t="s">
        <v>760</v>
      </c>
      <c r="E2655" t="s">
        <v>660</v>
      </c>
      <c r="F2655" t="s">
        <v>1042</v>
      </c>
      <c r="G2655" t="s">
        <v>1043</v>
      </c>
      <c r="H2655" t="s">
        <v>663</v>
      </c>
      <c r="I2655">
        <v>5021.3</v>
      </c>
      <c r="J2655">
        <v>5021.3</v>
      </c>
      <c r="K2655">
        <v>5021.3</v>
      </c>
      <c r="L2655" t="s">
        <v>25</v>
      </c>
      <c r="M2655" t="s">
        <v>132</v>
      </c>
      <c r="N2655">
        <v>1250</v>
      </c>
      <c r="O2655">
        <v>6276625</v>
      </c>
      <c r="P2655" t="str">
        <f>IF(T[[#This Row],[qty_ordered]]&lt;&gt;T[[#This Row],[qty_received]],IF(T[[#This Row],[qty_received]]&gt;0,"Partial Received","Not Receviced"),"FullyReceived")</f>
        <v>FullyReceived</v>
      </c>
      <c r="Q2655" t="str">
        <f>IF(T[[#This Row],[qty_received]]&lt;&gt;T[[#This Row],[qty_invoiced]],IF(T[[#This Row],[qty_invoiced]]&gt;0,"Partial Invoiced","Not Invoiced"),"Fully Invoiced")</f>
        <v>Fully Invoiced</v>
      </c>
      <c r="R2655" t="str">
        <f>IFERROR(VLOOKUP(T[[#This Row],[warehouse]],Table2[],2,FALSE),"--")</f>
        <v>SLAUGHTER HOUSE</v>
      </c>
    </row>
    <row r="2656" spans="1:18" x14ac:dyDescent="0.25">
      <c r="A2656" t="s">
        <v>1422</v>
      </c>
      <c r="B2656" s="1">
        <v>44315</v>
      </c>
      <c r="C2656" t="s">
        <v>1870</v>
      </c>
      <c r="D2656" t="s">
        <v>20</v>
      </c>
      <c r="E2656" t="s">
        <v>299</v>
      </c>
      <c r="F2656" t="s">
        <v>103</v>
      </c>
      <c r="G2656" t="s">
        <v>104</v>
      </c>
      <c r="H2656" t="s">
        <v>24</v>
      </c>
      <c r="I2656">
        <v>2000</v>
      </c>
      <c r="J2656">
        <v>305</v>
      </c>
      <c r="K2656">
        <v>305</v>
      </c>
      <c r="L2656" t="s">
        <v>25</v>
      </c>
      <c r="M2656" t="s">
        <v>132</v>
      </c>
      <c r="N2656">
        <v>234000</v>
      </c>
      <c r="O2656">
        <v>71370000</v>
      </c>
      <c r="P2656" t="str">
        <f>IF(T[[#This Row],[qty_ordered]]&lt;&gt;T[[#This Row],[qty_received]],IF(T[[#This Row],[qty_received]]&gt;0,"Partial Received","Not Receviced"),"FullyReceived")</f>
        <v>Partial Received</v>
      </c>
      <c r="Q2656" t="str">
        <f>IF(T[[#This Row],[qty_received]]&lt;&gt;T[[#This Row],[qty_invoiced]],IF(T[[#This Row],[qty_invoiced]]&gt;0,"Partial Invoiced","Not Invoiced"),"Fully Invoiced")</f>
        <v>Fully Invoiced</v>
      </c>
      <c r="R2656" t="str">
        <f>IFERROR(VLOOKUP(T[[#This Row],[warehouse]],Table2[],2,FALSE),"--")</f>
        <v>Sifters KHA -Alsoug Almahaly</v>
      </c>
    </row>
    <row r="2657" spans="1:18" x14ac:dyDescent="0.25">
      <c r="A2657" t="s">
        <v>235</v>
      </c>
      <c r="B2657" s="1">
        <v>44160</v>
      </c>
      <c r="C2657" t="s">
        <v>998</v>
      </c>
      <c r="D2657" t="s">
        <v>452</v>
      </c>
      <c r="E2657" t="s">
        <v>51</v>
      </c>
      <c r="F2657" t="s">
        <v>546</v>
      </c>
      <c r="G2657" t="s">
        <v>1871</v>
      </c>
      <c r="H2657" t="s">
        <v>54</v>
      </c>
      <c r="I2657">
        <v>10000</v>
      </c>
      <c r="J2657">
        <v>0</v>
      </c>
      <c r="K2657">
        <v>1</v>
      </c>
      <c r="L2657" t="s">
        <v>25</v>
      </c>
      <c r="M2657" t="s">
        <v>2836</v>
      </c>
      <c r="N2657">
        <v>7.56</v>
      </c>
      <c r="O2657">
        <v>0</v>
      </c>
      <c r="P2657" t="str">
        <f>IF(T[[#This Row],[qty_ordered]]&lt;&gt;T[[#This Row],[qty_received]],IF(T[[#This Row],[qty_received]]&gt;0,"Partial Received","Not Receviced"),"FullyReceived")</f>
        <v>Not Receviced</v>
      </c>
      <c r="Q2657" t="str">
        <f>IF(T[[#This Row],[qty_received]]&lt;&gt;T[[#This Row],[qty_invoiced]],IF(T[[#This Row],[qty_invoiced]]&gt;0,"Partial Invoiced","Not Invoiced"),"Fully Invoiced")</f>
        <v>Partial Invoiced</v>
      </c>
      <c r="R2657" t="str">
        <f>IFERROR(VLOOKUP(T[[#This Row],[warehouse]],Table2[],2,FALSE),"--")</f>
        <v>--</v>
      </c>
    </row>
    <row r="2658" spans="1:18" x14ac:dyDescent="0.25">
      <c r="A2658" t="s">
        <v>235</v>
      </c>
      <c r="B2658" s="1">
        <v>44160</v>
      </c>
      <c r="C2658" t="s">
        <v>1000</v>
      </c>
      <c r="D2658" t="s">
        <v>452</v>
      </c>
      <c r="E2658" t="s">
        <v>51</v>
      </c>
      <c r="F2658" t="s">
        <v>546</v>
      </c>
      <c r="G2658" t="s">
        <v>1871</v>
      </c>
      <c r="H2658" t="s">
        <v>54</v>
      </c>
      <c r="I2658">
        <v>5000</v>
      </c>
      <c r="J2658">
        <v>0</v>
      </c>
      <c r="K2658">
        <v>1</v>
      </c>
      <c r="L2658" t="s">
        <v>25</v>
      </c>
      <c r="M2658" t="s">
        <v>533</v>
      </c>
      <c r="N2658">
        <v>7.3</v>
      </c>
      <c r="O2658">
        <v>0</v>
      </c>
      <c r="P2658" t="str">
        <f>IF(T[[#This Row],[qty_ordered]]&lt;&gt;T[[#This Row],[qty_received]],IF(T[[#This Row],[qty_received]]&gt;0,"Partial Received","Not Receviced"),"FullyReceived")</f>
        <v>Not Receviced</v>
      </c>
      <c r="Q2658" t="str">
        <f>IF(T[[#This Row],[qty_received]]&lt;&gt;T[[#This Row],[qty_invoiced]],IF(T[[#This Row],[qty_invoiced]]&gt;0,"Partial Invoiced","Not Invoiced"),"Fully Invoiced")</f>
        <v>Partial Invoiced</v>
      </c>
      <c r="R2658" t="str">
        <f>IFERROR(VLOOKUP(T[[#This Row],[warehouse]],Table2[],2,FALSE),"--")</f>
        <v>--</v>
      </c>
    </row>
    <row r="2659" spans="1:18" x14ac:dyDescent="0.25">
      <c r="A2659" t="s">
        <v>423</v>
      </c>
      <c r="B2659" s="1">
        <v>44174</v>
      </c>
      <c r="C2659" t="s">
        <v>1267</v>
      </c>
      <c r="D2659" t="s">
        <v>74</v>
      </c>
      <c r="E2659" t="s">
        <v>51</v>
      </c>
      <c r="F2659" t="s">
        <v>818</v>
      </c>
      <c r="G2659" t="s">
        <v>1872</v>
      </c>
      <c r="H2659" t="s">
        <v>54</v>
      </c>
      <c r="I2659">
        <v>4</v>
      </c>
      <c r="J2659">
        <v>0</v>
      </c>
      <c r="K2659">
        <v>1</v>
      </c>
      <c r="L2659" t="s">
        <v>25</v>
      </c>
      <c r="M2659" t="s">
        <v>533</v>
      </c>
      <c r="N2659">
        <v>3200</v>
      </c>
      <c r="O2659">
        <v>0</v>
      </c>
      <c r="P2659" t="str">
        <f>IF(T[[#This Row],[qty_ordered]]&lt;&gt;T[[#This Row],[qty_received]],IF(T[[#This Row],[qty_received]]&gt;0,"Partial Received","Not Receviced"),"FullyReceived")</f>
        <v>Not Receviced</v>
      </c>
      <c r="Q2659" t="str">
        <f>IF(T[[#This Row],[qty_received]]&lt;&gt;T[[#This Row],[qty_invoiced]],IF(T[[#This Row],[qty_invoiced]]&gt;0,"Partial Invoiced","Not Invoiced"),"Fully Invoiced")</f>
        <v>Partial Invoiced</v>
      </c>
      <c r="R2659" t="str">
        <f>IFERROR(VLOOKUP(T[[#This Row],[warehouse]],Table2[],2,FALSE),"--")</f>
        <v>--</v>
      </c>
    </row>
    <row r="2660" spans="1:18" x14ac:dyDescent="0.25">
      <c r="A2660" t="s">
        <v>423</v>
      </c>
      <c r="B2660" s="1">
        <v>44307</v>
      </c>
      <c r="C2660" t="s">
        <v>1295</v>
      </c>
      <c r="D2660" t="s">
        <v>74</v>
      </c>
      <c r="E2660" t="s">
        <v>51</v>
      </c>
      <c r="F2660" t="s">
        <v>546</v>
      </c>
      <c r="G2660" t="s">
        <v>1065</v>
      </c>
      <c r="H2660" t="s">
        <v>54</v>
      </c>
      <c r="I2660">
        <v>13000</v>
      </c>
      <c r="J2660">
        <v>0</v>
      </c>
      <c r="K2660">
        <v>1</v>
      </c>
      <c r="L2660" t="s">
        <v>25</v>
      </c>
      <c r="M2660" t="s">
        <v>533</v>
      </c>
      <c r="N2660">
        <v>7</v>
      </c>
      <c r="O2660">
        <v>0</v>
      </c>
      <c r="P2660" t="str">
        <f>IF(T[[#This Row],[qty_ordered]]&lt;&gt;T[[#This Row],[qty_received]],IF(T[[#This Row],[qty_received]]&gt;0,"Partial Received","Not Receviced"),"FullyReceived")</f>
        <v>Not Receviced</v>
      </c>
      <c r="Q2660" t="str">
        <f>IF(T[[#This Row],[qty_received]]&lt;&gt;T[[#This Row],[qty_invoiced]],IF(T[[#This Row],[qty_invoiced]]&gt;0,"Partial Invoiced","Not Invoiced"),"Fully Invoiced")</f>
        <v>Partial Invoiced</v>
      </c>
      <c r="R2660" t="str">
        <f>IFERROR(VLOOKUP(T[[#This Row],[warehouse]],Table2[],2,FALSE),"--")</f>
        <v>--</v>
      </c>
    </row>
    <row r="2661" spans="1:18" x14ac:dyDescent="0.25">
      <c r="A2661" t="s">
        <v>462</v>
      </c>
      <c r="B2661" s="1">
        <v>44221</v>
      </c>
      <c r="C2661" t="s">
        <v>1200</v>
      </c>
      <c r="D2661" t="s">
        <v>1873</v>
      </c>
      <c r="E2661" t="s">
        <v>51</v>
      </c>
      <c r="F2661" t="s">
        <v>278</v>
      </c>
      <c r="G2661" t="s">
        <v>279</v>
      </c>
      <c r="H2661" t="s">
        <v>54</v>
      </c>
      <c r="I2661">
        <v>13519</v>
      </c>
      <c r="J2661">
        <v>0</v>
      </c>
      <c r="K2661">
        <v>1</v>
      </c>
      <c r="L2661" t="s">
        <v>25</v>
      </c>
      <c r="M2661" t="s">
        <v>533</v>
      </c>
      <c r="N2661">
        <v>15.111325000000001</v>
      </c>
      <c r="O2661">
        <v>0</v>
      </c>
      <c r="P2661" t="str">
        <f>IF(T[[#This Row],[qty_ordered]]&lt;&gt;T[[#This Row],[qty_received]],IF(T[[#This Row],[qty_received]]&gt;0,"Partial Received","Not Receviced"),"FullyReceived")</f>
        <v>Not Receviced</v>
      </c>
      <c r="Q2661" t="str">
        <f>IF(T[[#This Row],[qty_received]]&lt;&gt;T[[#This Row],[qty_invoiced]],IF(T[[#This Row],[qty_invoiced]]&gt;0,"Partial Invoiced","Not Invoiced"),"Fully Invoiced")</f>
        <v>Partial Invoiced</v>
      </c>
      <c r="R2661" t="str">
        <f>IFERROR(VLOOKUP(T[[#This Row],[warehouse]],Table2[],2,FALSE),"--")</f>
        <v>--</v>
      </c>
    </row>
    <row r="2662" spans="1:18" x14ac:dyDescent="0.25">
      <c r="A2662" t="s">
        <v>462</v>
      </c>
      <c r="B2662" s="1">
        <v>44221</v>
      </c>
      <c r="C2662" t="s">
        <v>1200</v>
      </c>
      <c r="D2662" t="s">
        <v>1874</v>
      </c>
      <c r="E2662" t="s">
        <v>51</v>
      </c>
      <c r="F2662" t="s">
        <v>373</v>
      </c>
      <c r="G2662" t="s">
        <v>373</v>
      </c>
      <c r="H2662" t="s">
        <v>54</v>
      </c>
      <c r="I2662">
        <v>12274</v>
      </c>
      <c r="J2662">
        <v>0</v>
      </c>
      <c r="K2662">
        <v>1</v>
      </c>
      <c r="L2662" t="s">
        <v>25</v>
      </c>
      <c r="M2662" t="s">
        <v>533</v>
      </c>
      <c r="N2662">
        <v>13</v>
      </c>
      <c r="O2662">
        <v>0</v>
      </c>
      <c r="P2662" t="str">
        <f>IF(T[[#This Row],[qty_ordered]]&lt;&gt;T[[#This Row],[qty_received]],IF(T[[#This Row],[qty_received]]&gt;0,"Partial Received","Not Receviced"),"FullyReceived")</f>
        <v>Not Receviced</v>
      </c>
      <c r="Q2662" t="str">
        <f>IF(T[[#This Row],[qty_received]]&lt;&gt;T[[#This Row],[qty_invoiced]],IF(T[[#This Row],[qty_invoiced]]&gt;0,"Partial Invoiced","Not Invoiced"),"Fully Invoiced")</f>
        <v>Partial Invoiced</v>
      </c>
      <c r="R2662" t="str">
        <f>IFERROR(VLOOKUP(T[[#This Row],[warehouse]],Table2[],2,FALSE),"--")</f>
        <v>--</v>
      </c>
    </row>
    <row r="2663" spans="1:18" x14ac:dyDescent="0.25">
      <c r="A2663" t="s">
        <v>462</v>
      </c>
      <c r="B2663" s="1">
        <v>44221</v>
      </c>
      <c r="C2663" t="s">
        <v>1200</v>
      </c>
      <c r="D2663" t="s">
        <v>1875</v>
      </c>
      <c r="E2663" t="s">
        <v>51</v>
      </c>
      <c r="F2663" t="s">
        <v>254</v>
      </c>
      <c r="G2663" t="s">
        <v>255</v>
      </c>
      <c r="H2663" t="s">
        <v>54</v>
      </c>
      <c r="I2663">
        <v>6250</v>
      </c>
      <c r="J2663">
        <v>0</v>
      </c>
      <c r="K2663">
        <v>1</v>
      </c>
      <c r="L2663" t="s">
        <v>25</v>
      </c>
      <c r="M2663" t="s">
        <v>533</v>
      </c>
      <c r="N2663">
        <v>13</v>
      </c>
      <c r="O2663">
        <v>0</v>
      </c>
      <c r="P2663" t="str">
        <f>IF(T[[#This Row],[qty_ordered]]&lt;&gt;T[[#This Row],[qty_received]],IF(T[[#This Row],[qty_received]]&gt;0,"Partial Received","Not Receviced"),"FullyReceived")</f>
        <v>Not Receviced</v>
      </c>
      <c r="Q2663" t="str">
        <f>IF(T[[#This Row],[qty_received]]&lt;&gt;T[[#This Row],[qty_invoiced]],IF(T[[#This Row],[qty_invoiced]]&gt;0,"Partial Invoiced","Not Invoiced"),"Fully Invoiced")</f>
        <v>Partial Invoiced</v>
      </c>
      <c r="R2663" t="str">
        <f>IFERROR(VLOOKUP(T[[#This Row],[warehouse]],Table2[],2,FALSE),"--")</f>
        <v>--</v>
      </c>
    </row>
    <row r="2664" spans="1:18" x14ac:dyDescent="0.25">
      <c r="A2664" t="s">
        <v>462</v>
      </c>
      <c r="B2664" s="1">
        <v>44221</v>
      </c>
      <c r="C2664" t="s">
        <v>1200</v>
      </c>
      <c r="D2664" t="s">
        <v>1876</v>
      </c>
      <c r="E2664" t="s">
        <v>51</v>
      </c>
      <c r="F2664" t="s">
        <v>433</v>
      </c>
      <c r="G2664" t="s">
        <v>1358</v>
      </c>
      <c r="H2664" t="s">
        <v>54</v>
      </c>
      <c r="I2664">
        <v>8251</v>
      </c>
      <c r="J2664">
        <v>0</v>
      </c>
      <c r="K2664">
        <v>1</v>
      </c>
      <c r="L2664" t="s">
        <v>25</v>
      </c>
      <c r="M2664" t="s">
        <v>533</v>
      </c>
      <c r="N2664">
        <v>6</v>
      </c>
      <c r="O2664">
        <v>0</v>
      </c>
      <c r="P2664" t="str">
        <f>IF(T[[#This Row],[qty_ordered]]&lt;&gt;T[[#This Row],[qty_received]],IF(T[[#This Row],[qty_received]]&gt;0,"Partial Received","Not Receviced"),"FullyReceived")</f>
        <v>Not Receviced</v>
      </c>
      <c r="Q2664" t="str">
        <f>IF(T[[#This Row],[qty_received]]&lt;&gt;T[[#This Row],[qty_invoiced]],IF(T[[#This Row],[qty_invoiced]]&gt;0,"Partial Invoiced","Not Invoiced"),"Fully Invoiced")</f>
        <v>Partial Invoiced</v>
      </c>
      <c r="R2664" t="str">
        <f>IFERROR(VLOOKUP(T[[#This Row],[warehouse]],Table2[],2,FALSE),"--")</f>
        <v>--</v>
      </c>
    </row>
    <row r="2665" spans="1:18" x14ac:dyDescent="0.25">
      <c r="A2665" t="s">
        <v>462</v>
      </c>
      <c r="B2665" s="1">
        <v>44221</v>
      </c>
      <c r="C2665" t="s">
        <v>1200</v>
      </c>
      <c r="D2665" t="s">
        <v>1877</v>
      </c>
      <c r="E2665" t="s">
        <v>51</v>
      </c>
      <c r="F2665" t="s">
        <v>433</v>
      </c>
      <c r="G2665" t="s">
        <v>1358</v>
      </c>
      <c r="H2665" t="s">
        <v>54</v>
      </c>
      <c r="I2665">
        <v>65</v>
      </c>
      <c r="J2665">
        <v>0</v>
      </c>
      <c r="K2665">
        <v>1</v>
      </c>
      <c r="L2665" t="s">
        <v>25</v>
      </c>
      <c r="M2665" t="s">
        <v>533</v>
      </c>
      <c r="N2665">
        <v>280</v>
      </c>
      <c r="O2665">
        <v>0</v>
      </c>
      <c r="P2665" t="str">
        <f>IF(T[[#This Row],[qty_ordered]]&lt;&gt;T[[#This Row],[qty_received]],IF(T[[#This Row],[qty_received]]&gt;0,"Partial Received","Not Receviced"),"FullyReceived")</f>
        <v>Not Receviced</v>
      </c>
      <c r="Q2665" t="str">
        <f>IF(T[[#This Row],[qty_received]]&lt;&gt;T[[#This Row],[qty_invoiced]],IF(T[[#This Row],[qty_invoiced]]&gt;0,"Partial Invoiced","Not Invoiced"),"Fully Invoiced")</f>
        <v>Partial Invoiced</v>
      </c>
      <c r="R2665" t="str">
        <f>IFERROR(VLOOKUP(T[[#This Row],[warehouse]],Table2[],2,FALSE),"--")</f>
        <v>--</v>
      </c>
    </row>
    <row r="2666" spans="1:18" x14ac:dyDescent="0.25">
      <c r="A2666" t="s">
        <v>462</v>
      </c>
      <c r="B2666" s="1">
        <v>44221</v>
      </c>
      <c r="C2666" t="s">
        <v>1200</v>
      </c>
      <c r="D2666" t="s">
        <v>1878</v>
      </c>
      <c r="E2666" t="s">
        <v>51</v>
      </c>
      <c r="F2666" t="s">
        <v>793</v>
      </c>
      <c r="G2666" t="s">
        <v>1318</v>
      </c>
      <c r="H2666" t="s">
        <v>54</v>
      </c>
      <c r="I2666">
        <v>3</v>
      </c>
      <c r="J2666">
        <v>0</v>
      </c>
      <c r="K2666">
        <v>1</v>
      </c>
      <c r="L2666" t="s">
        <v>25</v>
      </c>
      <c r="M2666" t="s">
        <v>533</v>
      </c>
      <c r="N2666">
        <v>250</v>
      </c>
      <c r="O2666">
        <v>0</v>
      </c>
      <c r="P2666" t="str">
        <f>IF(T[[#This Row],[qty_ordered]]&lt;&gt;T[[#This Row],[qty_received]],IF(T[[#This Row],[qty_received]]&gt;0,"Partial Received","Not Receviced"),"FullyReceived")</f>
        <v>Not Receviced</v>
      </c>
      <c r="Q2666" t="str">
        <f>IF(T[[#This Row],[qty_received]]&lt;&gt;T[[#This Row],[qty_invoiced]],IF(T[[#This Row],[qty_invoiced]]&gt;0,"Partial Invoiced","Not Invoiced"),"Fully Invoiced")</f>
        <v>Partial Invoiced</v>
      </c>
      <c r="R2666" t="str">
        <f>IFERROR(VLOOKUP(T[[#This Row],[warehouse]],Table2[],2,FALSE),"--")</f>
        <v>--</v>
      </c>
    </row>
    <row r="2667" spans="1:18" x14ac:dyDescent="0.25">
      <c r="A2667" t="s">
        <v>462</v>
      </c>
      <c r="B2667" s="1">
        <v>44221</v>
      </c>
      <c r="C2667" t="s">
        <v>1200</v>
      </c>
      <c r="D2667" t="s">
        <v>1879</v>
      </c>
      <c r="E2667" t="s">
        <v>51</v>
      </c>
      <c r="F2667" t="s">
        <v>793</v>
      </c>
      <c r="G2667" t="s">
        <v>1318</v>
      </c>
      <c r="H2667" t="s">
        <v>54</v>
      </c>
      <c r="I2667">
        <v>14</v>
      </c>
      <c r="J2667">
        <v>0</v>
      </c>
      <c r="K2667">
        <v>1</v>
      </c>
      <c r="L2667" t="s">
        <v>25</v>
      </c>
      <c r="M2667" t="s">
        <v>533</v>
      </c>
      <c r="N2667">
        <v>150</v>
      </c>
      <c r="O2667">
        <v>0</v>
      </c>
      <c r="P2667" t="str">
        <f>IF(T[[#This Row],[qty_ordered]]&lt;&gt;T[[#This Row],[qty_received]],IF(T[[#This Row],[qty_received]]&gt;0,"Partial Received","Not Receviced"),"FullyReceived")</f>
        <v>Not Receviced</v>
      </c>
      <c r="Q2667" t="str">
        <f>IF(T[[#This Row],[qty_received]]&lt;&gt;T[[#This Row],[qty_invoiced]],IF(T[[#This Row],[qty_invoiced]]&gt;0,"Partial Invoiced","Not Invoiced"),"Fully Invoiced")</f>
        <v>Partial Invoiced</v>
      </c>
      <c r="R2667" t="str">
        <f>IFERROR(VLOOKUP(T[[#This Row],[warehouse]],Table2[],2,FALSE),"--")</f>
        <v>--</v>
      </c>
    </row>
    <row r="2668" spans="1:18" x14ac:dyDescent="0.25">
      <c r="A2668" t="s">
        <v>462</v>
      </c>
      <c r="B2668" s="1">
        <v>44221</v>
      </c>
      <c r="C2668" t="s">
        <v>1200</v>
      </c>
      <c r="D2668" t="s">
        <v>1880</v>
      </c>
      <c r="E2668" t="s">
        <v>51</v>
      </c>
      <c r="F2668" t="s">
        <v>793</v>
      </c>
      <c r="G2668" t="s">
        <v>1361</v>
      </c>
      <c r="H2668" t="s">
        <v>54</v>
      </c>
      <c r="I2668">
        <v>8</v>
      </c>
      <c r="J2668">
        <v>0</v>
      </c>
      <c r="K2668">
        <v>1</v>
      </c>
      <c r="L2668" t="s">
        <v>25</v>
      </c>
      <c r="M2668" t="s">
        <v>533</v>
      </c>
      <c r="N2668">
        <v>150</v>
      </c>
      <c r="O2668">
        <v>0</v>
      </c>
      <c r="P2668" t="str">
        <f>IF(T[[#This Row],[qty_ordered]]&lt;&gt;T[[#This Row],[qty_received]],IF(T[[#This Row],[qty_received]]&gt;0,"Partial Received","Not Receviced"),"FullyReceived")</f>
        <v>Not Receviced</v>
      </c>
      <c r="Q2668" t="str">
        <f>IF(T[[#This Row],[qty_received]]&lt;&gt;T[[#This Row],[qty_invoiced]],IF(T[[#This Row],[qty_invoiced]]&gt;0,"Partial Invoiced","Not Invoiced"),"Fully Invoiced")</f>
        <v>Partial Invoiced</v>
      </c>
      <c r="R2668" t="str">
        <f>IFERROR(VLOOKUP(T[[#This Row],[warehouse]],Table2[],2,FALSE),"--")</f>
        <v>--</v>
      </c>
    </row>
    <row r="2669" spans="1:18" x14ac:dyDescent="0.25">
      <c r="A2669" t="s">
        <v>462</v>
      </c>
      <c r="B2669" s="1">
        <v>44221</v>
      </c>
      <c r="C2669" t="s">
        <v>1200</v>
      </c>
      <c r="D2669" t="s">
        <v>1881</v>
      </c>
      <c r="E2669" t="s">
        <v>51</v>
      </c>
      <c r="F2669" t="s">
        <v>185</v>
      </c>
      <c r="G2669" t="s">
        <v>275</v>
      </c>
      <c r="H2669" t="s">
        <v>54</v>
      </c>
      <c r="I2669">
        <v>1470</v>
      </c>
      <c r="J2669">
        <v>0</v>
      </c>
      <c r="K2669">
        <v>1</v>
      </c>
      <c r="L2669" t="s">
        <v>25</v>
      </c>
      <c r="M2669" t="s">
        <v>533</v>
      </c>
      <c r="N2669">
        <v>20</v>
      </c>
      <c r="O2669">
        <v>0</v>
      </c>
      <c r="P2669" t="str">
        <f>IF(T[[#This Row],[qty_ordered]]&lt;&gt;T[[#This Row],[qty_received]],IF(T[[#This Row],[qty_received]]&gt;0,"Partial Received","Not Receviced"),"FullyReceived")</f>
        <v>Not Receviced</v>
      </c>
      <c r="Q2669" t="str">
        <f>IF(T[[#This Row],[qty_received]]&lt;&gt;T[[#This Row],[qty_invoiced]],IF(T[[#This Row],[qty_invoiced]]&gt;0,"Partial Invoiced","Not Invoiced"),"Fully Invoiced")</f>
        <v>Partial Invoiced</v>
      </c>
      <c r="R2669" t="str">
        <f>IFERROR(VLOOKUP(T[[#This Row],[warehouse]],Table2[],2,FALSE),"--")</f>
        <v>--</v>
      </c>
    </row>
    <row r="2670" spans="1:18" x14ac:dyDescent="0.25">
      <c r="A2670" t="s">
        <v>1114</v>
      </c>
      <c r="B2670" s="1">
        <v>44217</v>
      </c>
      <c r="C2670" t="s">
        <v>1187</v>
      </c>
      <c r="D2670" t="s">
        <v>88</v>
      </c>
      <c r="E2670" t="s">
        <v>660</v>
      </c>
      <c r="F2670" t="s">
        <v>1188</v>
      </c>
      <c r="G2670" t="s">
        <v>1189</v>
      </c>
      <c r="H2670" t="s">
        <v>1087</v>
      </c>
      <c r="I2670">
        <v>1250</v>
      </c>
      <c r="J2670">
        <v>0</v>
      </c>
      <c r="K2670">
        <v>0</v>
      </c>
      <c r="L2670" t="s">
        <v>25</v>
      </c>
      <c r="M2670" t="s">
        <v>132</v>
      </c>
      <c r="N2670">
        <v>80000</v>
      </c>
      <c r="O2670">
        <v>0</v>
      </c>
      <c r="P2670" t="str">
        <f>IF(T[[#This Row],[qty_ordered]]&lt;&gt;T[[#This Row],[qty_received]],IF(T[[#This Row],[qty_received]]&gt;0,"Partial Received","Not Receviced"),"FullyReceived")</f>
        <v>Not Receviced</v>
      </c>
      <c r="Q2670" t="str">
        <f>IF(T[[#This Row],[qty_received]]&lt;&gt;T[[#This Row],[qty_invoiced]],IF(T[[#This Row],[qty_invoiced]]&gt;0,"Partial Invoiced","Not Invoiced"),"Fully Invoiced")</f>
        <v>Fully Invoiced</v>
      </c>
      <c r="R2670" t="str">
        <f>IFERROR(VLOOKUP(T[[#This Row],[warehouse]],Table2[],2,FALSE),"--")</f>
        <v>SLAUGHTER HOUSE</v>
      </c>
    </row>
    <row r="2671" spans="1:18" x14ac:dyDescent="0.25">
      <c r="A2671" t="s">
        <v>618</v>
      </c>
      <c r="B2671" s="1">
        <v>44115</v>
      </c>
      <c r="C2671" t="s">
        <v>965</v>
      </c>
      <c r="D2671" t="s">
        <v>323</v>
      </c>
      <c r="E2671" t="s">
        <v>1142</v>
      </c>
      <c r="F2671" t="s">
        <v>86</v>
      </c>
      <c r="G2671" t="s">
        <v>87</v>
      </c>
      <c r="H2671" t="s">
        <v>24</v>
      </c>
      <c r="I2671">
        <v>1000</v>
      </c>
      <c r="J2671">
        <v>701.42</v>
      </c>
      <c r="K2671">
        <v>701.42</v>
      </c>
      <c r="L2671" t="s">
        <v>25</v>
      </c>
      <c r="M2671" t="s">
        <v>132</v>
      </c>
      <c r="N2671">
        <v>350000</v>
      </c>
      <c r="O2671">
        <v>245497000</v>
      </c>
      <c r="P2671" t="str">
        <f>IF(T[[#This Row],[qty_ordered]]&lt;&gt;T[[#This Row],[qty_received]],IF(T[[#This Row],[qty_received]]&gt;0,"Partial Received","Not Receviced"),"FullyReceived")</f>
        <v>Partial Received</v>
      </c>
      <c r="Q2671" t="str">
        <f>IF(T[[#This Row],[qty_received]]&lt;&gt;T[[#This Row],[qty_invoiced]],IF(T[[#This Row],[qty_invoiced]]&gt;0,"Partial Invoiced","Not Invoiced"),"Fully Invoiced")</f>
        <v>Fully Invoiced</v>
      </c>
      <c r="R2671" t="str">
        <f>IFERROR(VLOOKUP(T[[#This Row],[warehouse]],Table2[],2,FALSE),"--")</f>
        <v>SAVOLA W/H FOR EXPOR</v>
      </c>
    </row>
    <row r="2672" spans="1:18" x14ac:dyDescent="0.25">
      <c r="A2672" t="s">
        <v>1044</v>
      </c>
      <c r="B2672" s="1">
        <v>44346</v>
      </c>
      <c r="C2672" t="s">
        <v>1426</v>
      </c>
      <c r="D2672" t="s">
        <v>20</v>
      </c>
      <c r="E2672" t="s">
        <v>51</v>
      </c>
      <c r="F2672" t="s">
        <v>52</v>
      </c>
      <c r="G2672" t="s">
        <v>1427</v>
      </c>
      <c r="H2672" t="s">
        <v>54</v>
      </c>
      <c r="I2672">
        <v>15</v>
      </c>
      <c r="J2672">
        <v>0</v>
      </c>
      <c r="K2672">
        <v>1</v>
      </c>
      <c r="L2672" t="s">
        <v>25</v>
      </c>
      <c r="M2672" t="s">
        <v>132</v>
      </c>
      <c r="N2672">
        <v>12000</v>
      </c>
      <c r="O2672">
        <v>0</v>
      </c>
      <c r="P2672" t="str">
        <f>IF(T[[#This Row],[qty_ordered]]&lt;&gt;T[[#This Row],[qty_received]],IF(T[[#This Row],[qty_received]]&gt;0,"Partial Received","Not Receviced"),"FullyReceived")</f>
        <v>Not Receviced</v>
      </c>
      <c r="Q2672" t="str">
        <f>IF(T[[#This Row],[qty_received]]&lt;&gt;T[[#This Row],[qty_invoiced]],IF(T[[#This Row],[qty_invoiced]]&gt;0,"Partial Invoiced","Not Invoiced"),"Fully Invoiced")</f>
        <v>Partial Invoiced</v>
      </c>
      <c r="R2672" t="str">
        <f>IFERROR(VLOOKUP(T[[#This Row],[warehouse]],Table2[],2,FALSE),"--")</f>
        <v>--</v>
      </c>
    </row>
    <row r="2673" spans="1:18" x14ac:dyDescent="0.25">
      <c r="A2673" t="s">
        <v>1312</v>
      </c>
      <c r="B2673" s="1">
        <v>44348</v>
      </c>
      <c r="C2673" t="s">
        <v>1882</v>
      </c>
      <c r="D2673" t="s">
        <v>20</v>
      </c>
      <c r="E2673" t="s">
        <v>146</v>
      </c>
      <c r="F2673" t="s">
        <v>1314</v>
      </c>
      <c r="G2673" t="s">
        <v>1315</v>
      </c>
      <c r="H2673" t="s">
        <v>54</v>
      </c>
      <c r="I2673">
        <v>50000</v>
      </c>
      <c r="J2673">
        <v>50000</v>
      </c>
      <c r="K2673">
        <v>50000</v>
      </c>
      <c r="L2673" t="s">
        <v>25</v>
      </c>
      <c r="M2673" t="s">
        <v>1407</v>
      </c>
      <c r="N2673">
        <v>343.4</v>
      </c>
      <c r="O2673">
        <v>17170000</v>
      </c>
      <c r="P2673" t="str">
        <f>IF(T[[#This Row],[qty_ordered]]&lt;&gt;T[[#This Row],[qty_received]],IF(T[[#This Row],[qty_received]]&gt;0,"Partial Received","Not Receviced"),"FullyReceived")</f>
        <v>FullyReceived</v>
      </c>
      <c r="Q2673" t="str">
        <f>IF(T[[#This Row],[qty_received]]&lt;&gt;T[[#This Row],[qty_invoiced]],IF(T[[#This Row],[qty_invoiced]]&gt;0,"Partial Invoiced","Not Invoiced"),"Fully Invoiced")</f>
        <v>Fully Invoiced</v>
      </c>
      <c r="R2673" t="str">
        <f>IFERROR(VLOOKUP(T[[#This Row],[warehouse]],Table2[],2,FALSE),"--")</f>
        <v>Khtoum Main Warehouse</v>
      </c>
    </row>
    <row r="2674" spans="1:18" x14ac:dyDescent="0.25">
      <c r="A2674" t="s">
        <v>1316</v>
      </c>
      <c r="B2674" s="1">
        <v>44251</v>
      </c>
      <c r="C2674" t="s">
        <v>1317</v>
      </c>
      <c r="D2674" t="s">
        <v>325</v>
      </c>
      <c r="E2674" t="s">
        <v>51</v>
      </c>
      <c r="F2674" t="s">
        <v>254</v>
      </c>
      <c r="G2674" t="s">
        <v>255</v>
      </c>
      <c r="H2674" t="s">
        <v>54</v>
      </c>
      <c r="I2674">
        <v>12450</v>
      </c>
      <c r="J2674">
        <v>0</v>
      </c>
      <c r="K2674">
        <v>0</v>
      </c>
      <c r="L2674" t="s">
        <v>25</v>
      </c>
      <c r="M2674" t="s">
        <v>533</v>
      </c>
      <c r="N2674">
        <v>18</v>
      </c>
      <c r="O2674">
        <v>0</v>
      </c>
      <c r="P2674" t="str">
        <f>IF(T[[#This Row],[qty_ordered]]&lt;&gt;T[[#This Row],[qty_received]],IF(T[[#This Row],[qty_received]]&gt;0,"Partial Received","Not Receviced"),"FullyReceived")</f>
        <v>Not Receviced</v>
      </c>
      <c r="Q2674" t="str">
        <f>IF(T[[#This Row],[qty_received]]&lt;&gt;T[[#This Row],[qty_invoiced]],IF(T[[#This Row],[qty_invoiced]]&gt;0,"Partial Invoiced","Not Invoiced"),"Fully Invoiced")</f>
        <v>Fully Invoiced</v>
      </c>
      <c r="R2674" t="str">
        <f>IFERROR(VLOOKUP(T[[#This Row],[warehouse]],Table2[],2,FALSE),"--")</f>
        <v>--</v>
      </c>
    </row>
    <row r="2675" spans="1:18" x14ac:dyDescent="0.25">
      <c r="A2675" t="s">
        <v>1316</v>
      </c>
      <c r="B2675" s="1">
        <v>44251</v>
      </c>
      <c r="C2675" t="s">
        <v>1317</v>
      </c>
      <c r="D2675" t="s">
        <v>451</v>
      </c>
      <c r="E2675" t="s">
        <v>51</v>
      </c>
      <c r="F2675" t="s">
        <v>254</v>
      </c>
      <c r="G2675" t="s">
        <v>255</v>
      </c>
      <c r="H2675" t="s">
        <v>54</v>
      </c>
      <c r="I2675">
        <v>731</v>
      </c>
      <c r="J2675">
        <v>0</v>
      </c>
      <c r="K2675">
        <v>0</v>
      </c>
      <c r="L2675" t="s">
        <v>25</v>
      </c>
      <c r="M2675" t="s">
        <v>533</v>
      </c>
      <c r="N2675">
        <v>15</v>
      </c>
      <c r="O2675">
        <v>0</v>
      </c>
      <c r="P2675" t="str">
        <f>IF(T[[#This Row],[qty_ordered]]&lt;&gt;T[[#This Row],[qty_received]],IF(T[[#This Row],[qty_received]]&gt;0,"Partial Received","Not Receviced"),"FullyReceived")</f>
        <v>Not Receviced</v>
      </c>
      <c r="Q2675" t="str">
        <f>IF(T[[#This Row],[qty_received]]&lt;&gt;T[[#This Row],[qty_invoiced]],IF(T[[#This Row],[qty_invoiced]]&gt;0,"Partial Invoiced","Not Invoiced"),"Fully Invoiced")</f>
        <v>Fully Invoiced</v>
      </c>
      <c r="R2675" t="str">
        <f>IFERROR(VLOOKUP(T[[#This Row],[warehouse]],Table2[],2,FALSE),"--")</f>
        <v>--</v>
      </c>
    </row>
    <row r="2676" spans="1:18" x14ac:dyDescent="0.25">
      <c r="A2676" t="s">
        <v>1316</v>
      </c>
      <c r="B2676" s="1">
        <v>44251</v>
      </c>
      <c r="C2676" t="s">
        <v>1317</v>
      </c>
      <c r="D2676" t="s">
        <v>452</v>
      </c>
      <c r="E2676" t="s">
        <v>51</v>
      </c>
      <c r="F2676" t="s">
        <v>373</v>
      </c>
      <c r="G2676" t="s">
        <v>373</v>
      </c>
      <c r="H2676" t="s">
        <v>54</v>
      </c>
      <c r="I2676">
        <v>1150</v>
      </c>
      <c r="J2676">
        <v>0</v>
      </c>
      <c r="K2676">
        <v>0</v>
      </c>
      <c r="L2676" t="s">
        <v>25</v>
      </c>
      <c r="M2676" t="s">
        <v>533</v>
      </c>
      <c r="N2676">
        <v>18</v>
      </c>
      <c r="O2676">
        <v>0</v>
      </c>
      <c r="P2676" t="str">
        <f>IF(T[[#This Row],[qty_ordered]]&lt;&gt;T[[#This Row],[qty_received]],IF(T[[#This Row],[qty_received]]&gt;0,"Partial Received","Not Receviced"),"FullyReceived")</f>
        <v>Not Receviced</v>
      </c>
      <c r="Q2676" t="str">
        <f>IF(T[[#This Row],[qty_received]]&lt;&gt;T[[#This Row],[qty_invoiced]],IF(T[[#This Row],[qty_invoiced]]&gt;0,"Partial Invoiced","Not Invoiced"),"Fully Invoiced")</f>
        <v>Fully Invoiced</v>
      </c>
      <c r="R2676" t="str">
        <f>IFERROR(VLOOKUP(T[[#This Row],[warehouse]],Table2[],2,FALSE),"--")</f>
        <v>--</v>
      </c>
    </row>
    <row r="2677" spans="1:18" x14ac:dyDescent="0.25">
      <c r="A2677" t="s">
        <v>1316</v>
      </c>
      <c r="B2677" s="1">
        <v>44251</v>
      </c>
      <c r="C2677" t="s">
        <v>1317</v>
      </c>
      <c r="D2677" t="s">
        <v>614</v>
      </c>
      <c r="E2677" t="s">
        <v>51</v>
      </c>
      <c r="F2677" t="s">
        <v>793</v>
      </c>
      <c r="G2677" t="s">
        <v>1061</v>
      </c>
      <c r="H2677" t="s">
        <v>54</v>
      </c>
      <c r="I2677">
        <v>20</v>
      </c>
      <c r="J2677">
        <v>0</v>
      </c>
      <c r="K2677">
        <v>0</v>
      </c>
      <c r="L2677" t="s">
        <v>25</v>
      </c>
      <c r="M2677" t="s">
        <v>533</v>
      </c>
      <c r="N2677">
        <v>50</v>
      </c>
      <c r="O2677">
        <v>0</v>
      </c>
      <c r="P2677" t="str">
        <f>IF(T[[#This Row],[qty_ordered]]&lt;&gt;T[[#This Row],[qty_received]],IF(T[[#This Row],[qty_received]]&gt;0,"Partial Received","Not Receviced"),"FullyReceived")</f>
        <v>Not Receviced</v>
      </c>
      <c r="Q2677" t="str">
        <f>IF(T[[#This Row],[qty_received]]&lt;&gt;T[[#This Row],[qty_invoiced]],IF(T[[#This Row],[qty_invoiced]]&gt;0,"Partial Invoiced","Not Invoiced"),"Fully Invoiced")</f>
        <v>Fully Invoiced</v>
      </c>
      <c r="R2677" t="str">
        <f>IFERROR(VLOOKUP(T[[#This Row],[warehouse]],Table2[],2,FALSE),"--")</f>
        <v>--</v>
      </c>
    </row>
    <row r="2678" spans="1:18" x14ac:dyDescent="0.25">
      <c r="A2678" t="s">
        <v>1316</v>
      </c>
      <c r="B2678" s="1">
        <v>44251</v>
      </c>
      <c r="C2678" t="s">
        <v>1317</v>
      </c>
      <c r="D2678" t="s">
        <v>615</v>
      </c>
      <c r="E2678" t="s">
        <v>51</v>
      </c>
      <c r="F2678" t="s">
        <v>793</v>
      </c>
      <c r="G2678" t="s">
        <v>1061</v>
      </c>
      <c r="H2678" t="s">
        <v>54</v>
      </c>
      <c r="I2678">
        <v>1</v>
      </c>
      <c r="J2678">
        <v>0</v>
      </c>
      <c r="K2678">
        <v>0</v>
      </c>
      <c r="L2678" t="s">
        <v>25</v>
      </c>
      <c r="M2678" t="s">
        <v>533</v>
      </c>
      <c r="N2678">
        <v>1000</v>
      </c>
      <c r="O2678">
        <v>0</v>
      </c>
      <c r="P2678" t="str">
        <f>IF(T[[#This Row],[qty_ordered]]&lt;&gt;T[[#This Row],[qty_received]],IF(T[[#This Row],[qty_received]]&gt;0,"Partial Received","Not Receviced"),"FullyReceived")</f>
        <v>Not Receviced</v>
      </c>
      <c r="Q2678" t="str">
        <f>IF(T[[#This Row],[qty_received]]&lt;&gt;T[[#This Row],[qty_invoiced]],IF(T[[#This Row],[qty_invoiced]]&gt;0,"Partial Invoiced","Not Invoiced"),"Fully Invoiced")</f>
        <v>Fully Invoiced</v>
      </c>
      <c r="R2678" t="str">
        <f>IFERROR(VLOOKUP(T[[#This Row],[warehouse]],Table2[],2,FALSE),"--")</f>
        <v>--</v>
      </c>
    </row>
    <row r="2679" spans="1:18" x14ac:dyDescent="0.25">
      <c r="A2679" t="s">
        <v>1316</v>
      </c>
      <c r="B2679" s="1">
        <v>44251</v>
      </c>
      <c r="C2679" t="s">
        <v>1317</v>
      </c>
      <c r="D2679" t="s">
        <v>752</v>
      </c>
      <c r="E2679" t="s">
        <v>51</v>
      </c>
      <c r="F2679" t="s">
        <v>278</v>
      </c>
      <c r="G2679" t="s">
        <v>279</v>
      </c>
      <c r="H2679" t="s">
        <v>54</v>
      </c>
      <c r="I2679">
        <v>214</v>
      </c>
      <c r="J2679">
        <v>0</v>
      </c>
      <c r="K2679">
        <v>0</v>
      </c>
      <c r="L2679" t="s">
        <v>25</v>
      </c>
      <c r="M2679" t="s">
        <v>533</v>
      </c>
      <c r="N2679">
        <v>50</v>
      </c>
      <c r="O2679">
        <v>0</v>
      </c>
      <c r="P2679" t="str">
        <f>IF(T[[#This Row],[qty_ordered]]&lt;&gt;T[[#This Row],[qty_received]],IF(T[[#This Row],[qty_received]]&gt;0,"Partial Received","Not Receviced"),"FullyReceived")</f>
        <v>Not Receviced</v>
      </c>
      <c r="Q2679" t="str">
        <f>IF(T[[#This Row],[qty_received]]&lt;&gt;T[[#This Row],[qty_invoiced]],IF(T[[#This Row],[qty_invoiced]]&gt;0,"Partial Invoiced","Not Invoiced"),"Fully Invoiced")</f>
        <v>Fully Invoiced</v>
      </c>
      <c r="R2679" t="str">
        <f>IFERROR(VLOOKUP(T[[#This Row],[warehouse]],Table2[],2,FALSE),"--")</f>
        <v>--</v>
      </c>
    </row>
    <row r="2680" spans="1:18" x14ac:dyDescent="0.25">
      <c r="A2680" t="s">
        <v>228</v>
      </c>
      <c r="B2680" s="1">
        <v>44294</v>
      </c>
      <c r="C2680" t="s">
        <v>1883</v>
      </c>
      <c r="D2680" t="s">
        <v>71</v>
      </c>
      <c r="E2680" t="s">
        <v>1289</v>
      </c>
      <c r="F2680" t="s">
        <v>406</v>
      </c>
      <c r="G2680" t="s">
        <v>407</v>
      </c>
      <c r="H2680" t="s">
        <v>24</v>
      </c>
      <c r="I2680">
        <v>648.9</v>
      </c>
      <c r="J2680">
        <v>0</v>
      </c>
      <c r="K2680">
        <v>0</v>
      </c>
      <c r="L2680" t="s">
        <v>25</v>
      </c>
      <c r="M2680" t="s">
        <v>707</v>
      </c>
      <c r="N2680">
        <v>230000</v>
      </c>
      <c r="O2680">
        <v>0</v>
      </c>
      <c r="P2680" t="str">
        <f>IF(T[[#This Row],[qty_ordered]]&lt;&gt;T[[#This Row],[qty_received]],IF(T[[#This Row],[qty_received]]&gt;0,"Partial Received","Not Receviced"),"FullyReceived")</f>
        <v>Not Receviced</v>
      </c>
      <c r="Q2680" t="str">
        <f>IF(T[[#This Row],[qty_received]]&lt;&gt;T[[#This Row],[qty_invoiced]],IF(T[[#This Row],[qty_invoiced]]&gt;0,"Partial Invoiced","Not Invoiced"),"Fully Invoiced")</f>
        <v>Fully Invoiced</v>
      </c>
      <c r="R2680" t="str">
        <f>IFERROR(VLOOKUP(T[[#This Row],[warehouse]],Table2[],2,FALSE),"--")</f>
        <v>MSG GINNING GDARIF</v>
      </c>
    </row>
    <row r="2681" spans="1:18" x14ac:dyDescent="0.25">
      <c r="A2681" t="s">
        <v>1044</v>
      </c>
      <c r="B2681" s="1">
        <v>44346</v>
      </c>
      <c r="C2681" t="s">
        <v>1426</v>
      </c>
      <c r="D2681" t="s">
        <v>71</v>
      </c>
      <c r="E2681" t="s">
        <v>51</v>
      </c>
      <c r="F2681" t="s">
        <v>52</v>
      </c>
      <c r="G2681" t="s">
        <v>1427</v>
      </c>
      <c r="H2681" t="s">
        <v>54</v>
      </c>
      <c r="I2681">
        <v>15</v>
      </c>
      <c r="J2681">
        <v>0</v>
      </c>
      <c r="K2681">
        <v>1</v>
      </c>
      <c r="L2681" t="s">
        <v>25</v>
      </c>
      <c r="M2681" t="s">
        <v>132</v>
      </c>
      <c r="N2681">
        <v>12000</v>
      </c>
      <c r="O2681">
        <v>0</v>
      </c>
      <c r="P2681" t="str">
        <f>IF(T[[#This Row],[qty_ordered]]&lt;&gt;T[[#This Row],[qty_received]],IF(T[[#This Row],[qty_received]]&gt;0,"Partial Received","Not Receviced"),"FullyReceived")</f>
        <v>Not Receviced</v>
      </c>
      <c r="Q2681" t="str">
        <f>IF(T[[#This Row],[qty_received]]&lt;&gt;T[[#This Row],[qty_invoiced]],IF(T[[#This Row],[qty_invoiced]]&gt;0,"Partial Invoiced","Not Invoiced"),"Fully Invoiced")</f>
        <v>Partial Invoiced</v>
      </c>
      <c r="R2681" t="str">
        <f>IFERROR(VLOOKUP(T[[#This Row],[warehouse]],Table2[],2,FALSE),"--")</f>
        <v>--</v>
      </c>
    </row>
    <row r="2682" spans="1:18" x14ac:dyDescent="0.25">
      <c r="A2682" t="s">
        <v>1475</v>
      </c>
      <c r="B2682" s="1">
        <v>44313</v>
      </c>
      <c r="C2682" t="s">
        <v>1476</v>
      </c>
      <c r="D2682" t="s">
        <v>100</v>
      </c>
      <c r="E2682" t="s">
        <v>51</v>
      </c>
      <c r="F2682" t="s">
        <v>674</v>
      </c>
      <c r="G2682" t="s">
        <v>1884</v>
      </c>
      <c r="H2682" t="s">
        <v>54</v>
      </c>
      <c r="I2682">
        <v>17000</v>
      </c>
      <c r="J2682">
        <v>0</v>
      </c>
      <c r="K2682">
        <v>1</v>
      </c>
      <c r="L2682" t="s">
        <v>25</v>
      </c>
      <c r="M2682" t="s">
        <v>533</v>
      </c>
      <c r="N2682">
        <v>3150</v>
      </c>
      <c r="O2682">
        <v>0</v>
      </c>
      <c r="P2682" t="str">
        <f>IF(T[[#This Row],[qty_ordered]]&lt;&gt;T[[#This Row],[qty_received]],IF(T[[#This Row],[qty_received]]&gt;0,"Partial Received","Not Receviced"),"FullyReceived")</f>
        <v>Not Receviced</v>
      </c>
      <c r="Q2682" t="str">
        <f>IF(T[[#This Row],[qty_received]]&lt;&gt;T[[#This Row],[qty_invoiced]],IF(T[[#This Row],[qty_invoiced]]&gt;0,"Partial Invoiced","Not Invoiced"),"Fully Invoiced")</f>
        <v>Partial Invoiced</v>
      </c>
      <c r="R2682" t="str">
        <f>IFERROR(VLOOKUP(T[[#This Row],[warehouse]],Table2[],2,FALSE),"--")</f>
        <v>--</v>
      </c>
    </row>
    <row r="2683" spans="1:18" x14ac:dyDescent="0.25">
      <c r="A2683" t="s">
        <v>1475</v>
      </c>
      <c r="B2683" s="1">
        <v>44313</v>
      </c>
      <c r="C2683" t="s">
        <v>1476</v>
      </c>
      <c r="D2683" t="s">
        <v>88</v>
      </c>
      <c r="E2683" t="s">
        <v>51</v>
      </c>
      <c r="F2683" t="s">
        <v>278</v>
      </c>
      <c r="G2683" t="s">
        <v>279</v>
      </c>
      <c r="H2683" t="s">
        <v>54</v>
      </c>
      <c r="I2683">
        <v>11000</v>
      </c>
      <c r="J2683">
        <v>0</v>
      </c>
      <c r="K2683">
        <v>1</v>
      </c>
      <c r="L2683" t="s">
        <v>25</v>
      </c>
      <c r="M2683" t="s">
        <v>533</v>
      </c>
      <c r="N2683">
        <v>25</v>
      </c>
      <c r="O2683">
        <v>0</v>
      </c>
      <c r="P2683" t="str">
        <f>IF(T[[#This Row],[qty_ordered]]&lt;&gt;T[[#This Row],[qty_received]],IF(T[[#This Row],[qty_received]]&gt;0,"Partial Received","Not Receviced"),"FullyReceived")</f>
        <v>Not Receviced</v>
      </c>
      <c r="Q2683" t="str">
        <f>IF(T[[#This Row],[qty_received]]&lt;&gt;T[[#This Row],[qty_invoiced]],IF(T[[#This Row],[qty_invoiced]]&gt;0,"Partial Invoiced","Not Invoiced"),"Fully Invoiced")</f>
        <v>Partial Invoiced</v>
      </c>
      <c r="R2683" t="str">
        <f>IFERROR(VLOOKUP(T[[#This Row],[warehouse]],Table2[],2,FALSE),"--")</f>
        <v>--</v>
      </c>
    </row>
    <row r="2684" spans="1:18" x14ac:dyDescent="0.25">
      <c r="A2684" t="s">
        <v>1475</v>
      </c>
      <c r="B2684" s="1">
        <v>44313</v>
      </c>
      <c r="C2684" t="s">
        <v>1476</v>
      </c>
      <c r="D2684" t="s">
        <v>74</v>
      </c>
      <c r="E2684" t="s">
        <v>51</v>
      </c>
      <c r="F2684" t="s">
        <v>278</v>
      </c>
      <c r="G2684" t="s">
        <v>279</v>
      </c>
      <c r="H2684" t="s">
        <v>54</v>
      </c>
      <c r="I2684">
        <v>700</v>
      </c>
      <c r="J2684">
        <v>0</v>
      </c>
      <c r="K2684">
        <v>1</v>
      </c>
      <c r="L2684" t="s">
        <v>25</v>
      </c>
      <c r="M2684" t="s">
        <v>533</v>
      </c>
      <c r="N2684">
        <v>300</v>
      </c>
      <c r="O2684">
        <v>0</v>
      </c>
      <c r="P2684" t="str">
        <f>IF(T[[#This Row],[qty_ordered]]&lt;&gt;T[[#This Row],[qty_received]],IF(T[[#This Row],[qty_received]]&gt;0,"Partial Received","Not Receviced"),"FullyReceived")</f>
        <v>Not Receviced</v>
      </c>
      <c r="Q2684" t="str">
        <f>IF(T[[#This Row],[qty_received]]&lt;&gt;T[[#This Row],[qty_invoiced]],IF(T[[#This Row],[qty_invoiced]]&gt;0,"Partial Invoiced","Not Invoiced"),"Fully Invoiced")</f>
        <v>Partial Invoiced</v>
      </c>
      <c r="R2684" t="str">
        <f>IFERROR(VLOOKUP(T[[#This Row],[warehouse]],Table2[],2,FALSE),"--")</f>
        <v>--</v>
      </c>
    </row>
    <row r="2685" spans="1:18" x14ac:dyDescent="0.25">
      <c r="A2685" t="s">
        <v>1475</v>
      </c>
      <c r="B2685" s="1">
        <v>44313</v>
      </c>
      <c r="C2685" t="s">
        <v>1476</v>
      </c>
      <c r="D2685" t="s">
        <v>76</v>
      </c>
      <c r="E2685" t="s">
        <v>51</v>
      </c>
      <c r="F2685" t="s">
        <v>278</v>
      </c>
      <c r="G2685" t="s">
        <v>279</v>
      </c>
      <c r="H2685" t="s">
        <v>54</v>
      </c>
      <c r="I2685">
        <v>11000</v>
      </c>
      <c r="J2685">
        <v>0</v>
      </c>
      <c r="K2685">
        <v>1</v>
      </c>
      <c r="L2685" t="s">
        <v>25</v>
      </c>
      <c r="M2685" t="s">
        <v>533</v>
      </c>
      <c r="N2685">
        <v>50</v>
      </c>
      <c r="O2685">
        <v>0</v>
      </c>
      <c r="P2685" t="str">
        <f>IF(T[[#This Row],[qty_ordered]]&lt;&gt;T[[#This Row],[qty_received]],IF(T[[#This Row],[qty_received]]&gt;0,"Partial Received","Not Receviced"),"FullyReceived")</f>
        <v>Not Receviced</v>
      </c>
      <c r="Q2685" t="str">
        <f>IF(T[[#This Row],[qty_received]]&lt;&gt;T[[#This Row],[qty_invoiced]],IF(T[[#This Row],[qty_invoiced]]&gt;0,"Partial Invoiced","Not Invoiced"),"Fully Invoiced")</f>
        <v>Partial Invoiced</v>
      </c>
      <c r="R2685" t="str">
        <f>IFERROR(VLOOKUP(T[[#This Row],[warehouse]],Table2[],2,FALSE),"--")</f>
        <v>--</v>
      </c>
    </row>
    <row r="2686" spans="1:18" x14ac:dyDescent="0.25">
      <c r="A2686" t="s">
        <v>1475</v>
      </c>
      <c r="B2686" s="1">
        <v>44313</v>
      </c>
      <c r="C2686" t="s">
        <v>1476</v>
      </c>
      <c r="D2686" t="s">
        <v>212</v>
      </c>
      <c r="E2686" t="s">
        <v>51</v>
      </c>
      <c r="F2686" t="s">
        <v>278</v>
      </c>
      <c r="G2686" t="s">
        <v>279</v>
      </c>
      <c r="H2686" t="s">
        <v>54</v>
      </c>
      <c r="I2686">
        <v>500</v>
      </c>
      <c r="J2686">
        <v>0</v>
      </c>
      <c r="K2686">
        <v>1</v>
      </c>
      <c r="L2686" t="s">
        <v>25</v>
      </c>
      <c r="M2686" t="s">
        <v>533</v>
      </c>
      <c r="N2686">
        <v>500</v>
      </c>
      <c r="O2686">
        <v>0</v>
      </c>
      <c r="P2686" t="str">
        <f>IF(T[[#This Row],[qty_ordered]]&lt;&gt;T[[#This Row],[qty_received]],IF(T[[#This Row],[qty_received]]&gt;0,"Partial Received","Not Receviced"),"FullyReceived")</f>
        <v>Not Receviced</v>
      </c>
      <c r="Q2686" t="str">
        <f>IF(T[[#This Row],[qty_received]]&lt;&gt;T[[#This Row],[qty_invoiced]],IF(T[[#This Row],[qty_invoiced]]&gt;0,"Partial Invoiced","Not Invoiced"),"Fully Invoiced")</f>
        <v>Partial Invoiced</v>
      </c>
      <c r="R2686" t="str">
        <f>IFERROR(VLOOKUP(T[[#This Row],[warehouse]],Table2[],2,FALSE),"--")</f>
        <v>--</v>
      </c>
    </row>
    <row r="2687" spans="1:18" x14ac:dyDescent="0.25">
      <c r="A2687" t="s">
        <v>1475</v>
      </c>
      <c r="B2687" s="1">
        <v>44313</v>
      </c>
      <c r="C2687" t="s">
        <v>1476</v>
      </c>
      <c r="D2687" t="s">
        <v>322</v>
      </c>
      <c r="E2687" t="s">
        <v>51</v>
      </c>
      <c r="F2687" t="s">
        <v>793</v>
      </c>
      <c r="G2687" t="s">
        <v>794</v>
      </c>
      <c r="H2687" t="s">
        <v>54</v>
      </c>
      <c r="I2687">
        <v>300</v>
      </c>
      <c r="J2687">
        <v>0</v>
      </c>
      <c r="K2687">
        <v>1</v>
      </c>
      <c r="L2687" t="s">
        <v>25</v>
      </c>
      <c r="M2687" t="s">
        <v>533</v>
      </c>
      <c r="N2687">
        <v>300</v>
      </c>
      <c r="O2687">
        <v>0</v>
      </c>
      <c r="P2687" t="str">
        <f>IF(T[[#This Row],[qty_ordered]]&lt;&gt;T[[#This Row],[qty_received]],IF(T[[#This Row],[qty_received]]&gt;0,"Partial Received","Not Receviced"),"FullyReceived")</f>
        <v>Not Receviced</v>
      </c>
      <c r="Q2687" t="str">
        <f>IF(T[[#This Row],[qty_received]]&lt;&gt;T[[#This Row],[qty_invoiced]],IF(T[[#This Row],[qty_invoiced]]&gt;0,"Partial Invoiced","Not Invoiced"),"Fully Invoiced")</f>
        <v>Partial Invoiced</v>
      </c>
      <c r="R2687" t="str">
        <f>IFERROR(VLOOKUP(T[[#This Row],[warehouse]],Table2[],2,FALSE),"--")</f>
        <v>--</v>
      </c>
    </row>
    <row r="2688" spans="1:18" x14ac:dyDescent="0.25">
      <c r="A2688" t="s">
        <v>1114</v>
      </c>
      <c r="B2688" s="1">
        <v>44350</v>
      </c>
      <c r="C2688" t="s">
        <v>1391</v>
      </c>
      <c r="D2688" t="s">
        <v>20</v>
      </c>
      <c r="E2688" t="s">
        <v>660</v>
      </c>
      <c r="F2688" t="s">
        <v>1188</v>
      </c>
      <c r="G2688" t="s">
        <v>1189</v>
      </c>
      <c r="H2688" t="s">
        <v>1087</v>
      </c>
      <c r="I2688">
        <v>298</v>
      </c>
      <c r="J2688">
        <v>298</v>
      </c>
      <c r="K2688">
        <v>298</v>
      </c>
      <c r="L2688" t="s">
        <v>25</v>
      </c>
      <c r="M2688" t="s">
        <v>132</v>
      </c>
      <c r="N2688">
        <v>137342.20000000001</v>
      </c>
      <c r="O2688">
        <v>59600000</v>
      </c>
      <c r="P2688" t="str">
        <f>IF(T[[#This Row],[qty_ordered]]&lt;&gt;T[[#This Row],[qty_received]],IF(T[[#This Row],[qty_received]]&gt;0,"Partial Received","Not Receviced"),"FullyReceived")</f>
        <v>FullyReceived</v>
      </c>
      <c r="Q2688" t="str">
        <f>IF(T[[#This Row],[qty_received]]&lt;&gt;T[[#This Row],[qty_invoiced]],IF(T[[#This Row],[qty_invoiced]]&gt;0,"Partial Invoiced","Not Invoiced"),"Fully Invoiced")</f>
        <v>Fully Invoiced</v>
      </c>
      <c r="R2688" t="str">
        <f>IFERROR(VLOOKUP(T[[#This Row],[warehouse]],Table2[],2,FALSE),"--")</f>
        <v>SLAUGHTER HOUSE</v>
      </c>
    </row>
    <row r="2689" spans="1:18" x14ac:dyDescent="0.25">
      <c r="A2689" t="s">
        <v>252</v>
      </c>
      <c r="B2689" s="1">
        <v>44350</v>
      </c>
      <c r="C2689" t="s">
        <v>1885</v>
      </c>
      <c r="D2689" t="s">
        <v>20</v>
      </c>
      <c r="E2689" t="s">
        <v>51</v>
      </c>
      <c r="F2689" t="s">
        <v>183</v>
      </c>
      <c r="G2689" t="s">
        <v>1886</v>
      </c>
      <c r="H2689" t="s">
        <v>54</v>
      </c>
      <c r="I2689">
        <v>2000</v>
      </c>
      <c r="J2689">
        <v>0</v>
      </c>
      <c r="K2689">
        <v>1</v>
      </c>
      <c r="L2689" t="s">
        <v>25</v>
      </c>
      <c r="M2689" t="s">
        <v>533</v>
      </c>
      <c r="N2689">
        <v>3800</v>
      </c>
      <c r="O2689">
        <v>0</v>
      </c>
      <c r="P2689" t="str">
        <f>IF(T[[#This Row],[qty_ordered]]&lt;&gt;T[[#This Row],[qty_received]],IF(T[[#This Row],[qty_received]]&gt;0,"Partial Received","Not Receviced"),"FullyReceived")</f>
        <v>Not Receviced</v>
      </c>
      <c r="Q2689" t="str">
        <f>IF(T[[#This Row],[qty_received]]&lt;&gt;T[[#This Row],[qty_invoiced]],IF(T[[#This Row],[qty_invoiced]]&gt;0,"Partial Invoiced","Not Invoiced"),"Fully Invoiced")</f>
        <v>Partial Invoiced</v>
      </c>
      <c r="R2689" t="str">
        <f>IFERROR(VLOOKUP(T[[#This Row],[warehouse]],Table2[],2,FALSE),"--")</f>
        <v>--</v>
      </c>
    </row>
    <row r="2690" spans="1:18" x14ac:dyDescent="0.25">
      <c r="A2690" t="s">
        <v>252</v>
      </c>
      <c r="B2690" s="1">
        <v>44350</v>
      </c>
      <c r="C2690" t="s">
        <v>1887</v>
      </c>
      <c r="D2690" t="s">
        <v>20</v>
      </c>
      <c r="E2690" t="s">
        <v>51</v>
      </c>
      <c r="F2690" t="s">
        <v>183</v>
      </c>
      <c r="G2690" t="s">
        <v>1888</v>
      </c>
      <c r="H2690" t="s">
        <v>54</v>
      </c>
      <c r="I2690">
        <v>2000</v>
      </c>
      <c r="J2690">
        <v>0</v>
      </c>
      <c r="K2690">
        <v>1</v>
      </c>
      <c r="L2690" t="s">
        <v>25</v>
      </c>
      <c r="M2690" t="s">
        <v>533</v>
      </c>
      <c r="N2690">
        <v>3800</v>
      </c>
      <c r="O2690">
        <v>0</v>
      </c>
      <c r="P2690" t="str">
        <f>IF(T[[#This Row],[qty_ordered]]&lt;&gt;T[[#This Row],[qty_received]],IF(T[[#This Row],[qty_received]]&gt;0,"Partial Received","Not Receviced"),"FullyReceived")</f>
        <v>Not Receviced</v>
      </c>
      <c r="Q2690" t="str">
        <f>IF(T[[#This Row],[qty_received]]&lt;&gt;T[[#This Row],[qty_invoiced]],IF(T[[#This Row],[qty_invoiced]]&gt;0,"Partial Invoiced","Not Invoiced"),"Fully Invoiced")</f>
        <v>Partial Invoiced</v>
      </c>
      <c r="R2690" t="str">
        <f>IFERROR(VLOOKUP(T[[#This Row],[warehouse]],Table2[],2,FALSE),"--")</f>
        <v>--</v>
      </c>
    </row>
    <row r="2691" spans="1:18" x14ac:dyDescent="0.25">
      <c r="A2691" t="s">
        <v>235</v>
      </c>
      <c r="B2691" s="1">
        <v>44350</v>
      </c>
      <c r="C2691" t="s">
        <v>1889</v>
      </c>
      <c r="D2691" t="s">
        <v>20</v>
      </c>
      <c r="E2691" t="s">
        <v>51</v>
      </c>
      <c r="F2691" t="s">
        <v>546</v>
      </c>
      <c r="G2691" t="s">
        <v>1871</v>
      </c>
      <c r="H2691" t="s">
        <v>54</v>
      </c>
      <c r="I2691">
        <v>10000</v>
      </c>
      <c r="J2691">
        <v>0</v>
      </c>
      <c r="K2691">
        <v>1</v>
      </c>
      <c r="L2691" t="s">
        <v>25</v>
      </c>
      <c r="M2691" t="s">
        <v>2836</v>
      </c>
      <c r="N2691">
        <v>7</v>
      </c>
      <c r="O2691">
        <v>0</v>
      </c>
      <c r="P2691" t="str">
        <f>IF(T[[#This Row],[qty_ordered]]&lt;&gt;T[[#This Row],[qty_received]],IF(T[[#This Row],[qty_received]]&gt;0,"Partial Received","Not Receviced"),"FullyReceived")</f>
        <v>Not Receviced</v>
      </c>
      <c r="Q2691" t="str">
        <f>IF(T[[#This Row],[qty_received]]&lt;&gt;T[[#This Row],[qty_invoiced]],IF(T[[#This Row],[qty_invoiced]]&gt;0,"Partial Invoiced","Not Invoiced"),"Fully Invoiced")</f>
        <v>Partial Invoiced</v>
      </c>
      <c r="R2691" t="str">
        <f>IFERROR(VLOOKUP(T[[#This Row],[warehouse]],Table2[],2,FALSE),"--")</f>
        <v>--</v>
      </c>
    </row>
    <row r="2692" spans="1:18" x14ac:dyDescent="0.25">
      <c r="A2692" t="s">
        <v>242</v>
      </c>
      <c r="B2692" s="1">
        <v>44796</v>
      </c>
      <c r="C2692" t="s">
        <v>1890</v>
      </c>
      <c r="D2692" t="s">
        <v>20</v>
      </c>
      <c r="E2692" t="s">
        <v>66</v>
      </c>
      <c r="F2692" t="s">
        <v>244</v>
      </c>
      <c r="G2692" t="s">
        <v>245</v>
      </c>
      <c r="H2692" t="s">
        <v>24</v>
      </c>
      <c r="I2692">
        <v>150</v>
      </c>
      <c r="J2692">
        <v>124.88</v>
      </c>
      <c r="K2692">
        <v>124.88</v>
      </c>
      <c r="L2692" t="s">
        <v>693</v>
      </c>
      <c r="M2692" t="s">
        <v>707</v>
      </c>
      <c r="N2692">
        <v>1200000</v>
      </c>
      <c r="O2692">
        <v>149856000</v>
      </c>
      <c r="P2692" t="str">
        <f>IF(T[[#This Row],[qty_ordered]]&lt;&gt;T[[#This Row],[qty_received]],IF(T[[#This Row],[qty_received]]&gt;0,"Partial Received","Not Receviced"),"FullyReceived")</f>
        <v>Partial Received</v>
      </c>
      <c r="Q2692" t="str">
        <f>IF(T[[#This Row],[qty_received]]&lt;&gt;T[[#This Row],[qty_invoiced]],IF(T[[#This Row],[qty_invoiced]]&gt;0,"Partial Invoiced","Not Invoiced"),"Fully Invoiced")</f>
        <v>Fully Invoiced</v>
      </c>
      <c r="R2692" t="str">
        <f>IFERROR(VLOOKUP(T[[#This Row],[warehouse]],Table2[],2,FALSE),"--")</f>
        <v>PZU Main Warehouse</v>
      </c>
    </row>
    <row r="2693" spans="1:18" x14ac:dyDescent="0.25">
      <c r="A2693" t="s">
        <v>242</v>
      </c>
      <c r="B2693" s="1">
        <v>44794</v>
      </c>
      <c r="C2693" t="s">
        <v>1891</v>
      </c>
      <c r="D2693" t="s">
        <v>71</v>
      </c>
      <c r="E2693" t="s">
        <v>405</v>
      </c>
      <c r="F2693" t="s">
        <v>244</v>
      </c>
      <c r="G2693" t="s">
        <v>245</v>
      </c>
      <c r="H2693" t="s">
        <v>24</v>
      </c>
      <c r="I2693">
        <v>208.333</v>
      </c>
      <c r="J2693">
        <v>0</v>
      </c>
      <c r="K2693">
        <v>0</v>
      </c>
      <c r="L2693" t="s">
        <v>693</v>
      </c>
      <c r="M2693" t="s">
        <v>707</v>
      </c>
      <c r="N2693">
        <v>1200000</v>
      </c>
      <c r="O2693">
        <v>0</v>
      </c>
      <c r="P2693" t="str">
        <f>IF(T[[#This Row],[qty_ordered]]&lt;&gt;T[[#This Row],[qty_received]],IF(T[[#This Row],[qty_received]]&gt;0,"Partial Received","Not Receviced"),"FullyReceived")</f>
        <v>Not Receviced</v>
      </c>
      <c r="Q2693" t="str">
        <f>IF(T[[#This Row],[qty_received]]&lt;&gt;T[[#This Row],[qty_invoiced]],IF(T[[#This Row],[qty_invoiced]]&gt;0,"Partial Invoiced","Not Invoiced"),"Fully Invoiced")</f>
        <v>Fully Invoiced</v>
      </c>
      <c r="R2693" t="str">
        <f>IFERROR(VLOOKUP(T[[#This Row],[warehouse]],Table2[],2,FALSE),"--")</f>
        <v>GINNING ISHRAG-MDNI</v>
      </c>
    </row>
    <row r="2694" spans="1:18" x14ac:dyDescent="0.25">
      <c r="A2694" t="s">
        <v>1892</v>
      </c>
      <c r="B2694" s="1">
        <v>44802</v>
      </c>
      <c r="C2694" t="s">
        <v>1893</v>
      </c>
      <c r="D2694" t="s">
        <v>20</v>
      </c>
      <c r="E2694" t="s">
        <v>1438</v>
      </c>
      <c r="F2694" t="s">
        <v>1439</v>
      </c>
      <c r="G2694" t="s">
        <v>1440</v>
      </c>
      <c r="H2694" t="s">
        <v>1087</v>
      </c>
      <c r="I2694">
        <v>1221</v>
      </c>
      <c r="J2694">
        <v>1221</v>
      </c>
      <c r="K2694">
        <v>1221</v>
      </c>
      <c r="L2694" t="s">
        <v>693</v>
      </c>
      <c r="M2694" t="s">
        <v>132</v>
      </c>
      <c r="N2694">
        <v>35000</v>
      </c>
      <c r="O2694">
        <v>42735000</v>
      </c>
      <c r="P2694" t="str">
        <f>IF(T[[#This Row],[qty_ordered]]&lt;&gt;T[[#This Row],[qty_received]],IF(T[[#This Row],[qty_received]]&gt;0,"Partial Received","Not Receviced"),"FullyReceived")</f>
        <v>FullyReceived</v>
      </c>
      <c r="Q2694" t="str">
        <f>IF(T[[#This Row],[qty_received]]&lt;&gt;T[[#This Row],[qty_invoiced]],IF(T[[#This Row],[qty_invoiced]]&gt;0,"Partial Invoiced","Not Invoiced"),"Fully Invoiced")</f>
        <v>Fully Invoiced</v>
      </c>
      <c r="R2694" t="str">
        <f>IFERROR(VLOOKUP(T[[#This Row],[warehouse]],Table2[],2,FALSE),"--")</f>
        <v>Livestock Barn</v>
      </c>
    </row>
    <row r="2695" spans="1:18" x14ac:dyDescent="0.25">
      <c r="A2695" t="s">
        <v>955</v>
      </c>
      <c r="B2695" s="1">
        <v>44802</v>
      </c>
      <c r="C2695" t="s">
        <v>1894</v>
      </c>
      <c r="D2695" t="s">
        <v>20</v>
      </c>
      <c r="E2695" t="s">
        <v>1438</v>
      </c>
      <c r="F2695" t="s">
        <v>1439</v>
      </c>
      <c r="G2695" t="s">
        <v>1440</v>
      </c>
      <c r="H2695" t="s">
        <v>1087</v>
      </c>
      <c r="I2695">
        <v>947</v>
      </c>
      <c r="J2695">
        <v>947</v>
      </c>
      <c r="K2695">
        <v>947</v>
      </c>
      <c r="L2695" t="s">
        <v>693</v>
      </c>
      <c r="M2695" t="s">
        <v>132</v>
      </c>
      <c r="N2695">
        <v>35000</v>
      </c>
      <c r="O2695">
        <v>33145000</v>
      </c>
      <c r="P2695" t="str">
        <f>IF(T[[#This Row],[qty_ordered]]&lt;&gt;T[[#This Row],[qty_received]],IF(T[[#This Row],[qty_received]]&gt;0,"Partial Received","Not Receviced"),"FullyReceived")</f>
        <v>FullyReceived</v>
      </c>
      <c r="Q2695" t="str">
        <f>IF(T[[#This Row],[qty_received]]&lt;&gt;T[[#This Row],[qty_invoiced]],IF(T[[#This Row],[qty_invoiced]]&gt;0,"Partial Invoiced","Not Invoiced"),"Fully Invoiced")</f>
        <v>Fully Invoiced</v>
      </c>
      <c r="R2695" t="str">
        <f>IFERROR(VLOOKUP(T[[#This Row],[warehouse]],Table2[],2,FALSE),"--")</f>
        <v>Livestock Barn</v>
      </c>
    </row>
    <row r="2696" spans="1:18" x14ac:dyDescent="0.25">
      <c r="A2696" t="s">
        <v>804</v>
      </c>
      <c r="B2696" s="1">
        <v>44423</v>
      </c>
      <c r="C2696" t="s">
        <v>1940</v>
      </c>
      <c r="D2696" t="s">
        <v>100</v>
      </c>
      <c r="E2696" t="s">
        <v>51</v>
      </c>
      <c r="F2696" t="s">
        <v>806</v>
      </c>
      <c r="G2696" t="s">
        <v>806</v>
      </c>
      <c r="H2696" t="s">
        <v>54</v>
      </c>
      <c r="I2696">
        <v>28761</v>
      </c>
      <c r="J2696">
        <v>0</v>
      </c>
      <c r="K2696">
        <v>0</v>
      </c>
      <c r="L2696" t="s">
        <v>693</v>
      </c>
      <c r="M2696" t="s">
        <v>132</v>
      </c>
      <c r="N2696">
        <v>3476.9305650000001</v>
      </c>
      <c r="O2696">
        <v>0</v>
      </c>
      <c r="P2696" t="str">
        <f>IF(T[[#This Row],[qty_ordered]]&lt;&gt;T[[#This Row],[qty_received]],IF(T[[#This Row],[qty_received]]&gt;0,"Partial Received","Not Receviced"),"FullyReceived")</f>
        <v>Not Receviced</v>
      </c>
      <c r="Q2696" t="str">
        <f>IF(T[[#This Row],[qty_received]]&lt;&gt;T[[#This Row],[qty_invoiced]],IF(T[[#This Row],[qty_invoiced]]&gt;0,"Partial Invoiced","Not Invoiced"),"Fully Invoiced")</f>
        <v>Fully Invoiced</v>
      </c>
      <c r="R2696" t="str">
        <f>IFERROR(VLOOKUP(T[[#This Row],[warehouse]],Table2[],2,FALSE),"--")</f>
        <v>--</v>
      </c>
    </row>
    <row r="2697" spans="1:18" x14ac:dyDescent="0.25">
      <c r="A2697" t="s">
        <v>1892</v>
      </c>
      <c r="B2697" s="1">
        <v>44794</v>
      </c>
      <c r="C2697" t="s">
        <v>2342</v>
      </c>
      <c r="D2697" t="s">
        <v>71</v>
      </c>
      <c r="E2697" t="s">
        <v>1438</v>
      </c>
      <c r="F2697" t="s">
        <v>1439</v>
      </c>
      <c r="G2697" t="s">
        <v>1440</v>
      </c>
      <c r="H2697" t="s">
        <v>1087</v>
      </c>
      <c r="I2697">
        <v>1000</v>
      </c>
      <c r="J2697">
        <v>0</v>
      </c>
      <c r="K2697">
        <v>0</v>
      </c>
      <c r="L2697" t="s">
        <v>693</v>
      </c>
      <c r="M2697" t="s">
        <v>707</v>
      </c>
      <c r="N2697">
        <v>40000</v>
      </c>
      <c r="O2697">
        <v>0</v>
      </c>
      <c r="P2697" t="str">
        <f>IF(T[[#This Row],[qty_ordered]]&lt;&gt;T[[#This Row],[qty_received]],IF(T[[#This Row],[qty_received]]&gt;0,"Partial Received","Not Receviced"),"FullyReceived")</f>
        <v>Not Receviced</v>
      </c>
      <c r="Q2697" t="str">
        <f>IF(T[[#This Row],[qty_received]]&lt;&gt;T[[#This Row],[qty_invoiced]],IF(T[[#This Row],[qty_invoiced]]&gt;0,"Partial Invoiced","Not Invoiced"),"Fully Invoiced")</f>
        <v>Fully Invoiced</v>
      </c>
      <c r="R2697" t="str">
        <f>IFERROR(VLOOKUP(T[[#This Row],[warehouse]],Table2[],2,FALSE),"--")</f>
        <v>Livestock Barn</v>
      </c>
    </row>
    <row r="2698" spans="1:18" x14ac:dyDescent="0.25">
      <c r="A2698" t="s">
        <v>1114</v>
      </c>
      <c r="B2698" s="1">
        <v>44770</v>
      </c>
      <c r="C2698" t="s">
        <v>2260</v>
      </c>
      <c r="D2698" t="s">
        <v>100</v>
      </c>
      <c r="E2698" t="s">
        <v>1438</v>
      </c>
      <c r="F2698" t="s">
        <v>1439</v>
      </c>
      <c r="G2698" t="s">
        <v>1440</v>
      </c>
      <c r="H2698" t="s">
        <v>1087</v>
      </c>
      <c r="I2698">
        <v>2000</v>
      </c>
      <c r="J2698">
        <v>0</v>
      </c>
      <c r="K2698">
        <v>0</v>
      </c>
      <c r="L2698" t="s">
        <v>693</v>
      </c>
      <c r="M2698" t="s">
        <v>707</v>
      </c>
      <c r="N2698">
        <v>45000</v>
      </c>
      <c r="O2698">
        <v>0</v>
      </c>
      <c r="P2698" t="str">
        <f>IF(T[[#This Row],[qty_ordered]]&lt;&gt;T[[#This Row],[qty_received]],IF(T[[#This Row],[qty_received]]&gt;0,"Partial Received","Not Receviced"),"FullyReceived")</f>
        <v>Not Receviced</v>
      </c>
      <c r="Q2698" t="str">
        <f>IF(T[[#This Row],[qty_received]]&lt;&gt;T[[#This Row],[qty_invoiced]],IF(T[[#This Row],[qty_invoiced]]&gt;0,"Partial Invoiced","Not Invoiced"),"Fully Invoiced")</f>
        <v>Fully Invoiced</v>
      </c>
      <c r="R2698" t="str">
        <f>IFERROR(VLOOKUP(T[[#This Row],[warehouse]],Table2[],2,FALSE),"--")</f>
        <v>Livestock Barn</v>
      </c>
    </row>
    <row r="2699" spans="1:18" x14ac:dyDescent="0.25">
      <c r="A2699" t="s">
        <v>423</v>
      </c>
      <c r="B2699" s="1">
        <v>44630</v>
      </c>
      <c r="C2699" t="s">
        <v>1734</v>
      </c>
      <c r="D2699" t="s">
        <v>100</v>
      </c>
      <c r="E2699" t="s">
        <v>146</v>
      </c>
      <c r="F2699" t="s">
        <v>943</v>
      </c>
      <c r="G2699" t="s">
        <v>944</v>
      </c>
      <c r="H2699" t="s">
        <v>149</v>
      </c>
      <c r="I2699">
        <v>6000</v>
      </c>
      <c r="J2699">
        <v>6000</v>
      </c>
      <c r="K2699">
        <v>6000</v>
      </c>
      <c r="L2699" t="s">
        <v>693</v>
      </c>
      <c r="M2699" t="s">
        <v>1404</v>
      </c>
      <c r="N2699">
        <v>300</v>
      </c>
      <c r="O2699">
        <v>1440000</v>
      </c>
      <c r="P2699" t="str">
        <f>IF(T[[#This Row],[qty_ordered]]&lt;&gt;T[[#This Row],[qty_received]],IF(T[[#This Row],[qty_received]]&gt;0,"Partial Received","Not Receviced"),"FullyReceived")</f>
        <v>FullyReceived</v>
      </c>
      <c r="Q2699" t="str">
        <f>IF(T[[#This Row],[qty_received]]&lt;&gt;T[[#This Row],[qty_invoiced]],IF(T[[#This Row],[qty_invoiced]]&gt;0,"Partial Invoiced","Not Invoiced"),"Fully Invoiced")</f>
        <v>Fully Invoiced</v>
      </c>
      <c r="R2699" t="str">
        <f>IFERROR(VLOOKUP(T[[#This Row],[warehouse]],Table2[],2,FALSE),"--")</f>
        <v>Khtoum Main Warehouse</v>
      </c>
    </row>
    <row r="2700" spans="1:18" x14ac:dyDescent="0.25">
      <c r="A2700" t="s">
        <v>1685</v>
      </c>
      <c r="B2700" s="1">
        <v>44811</v>
      </c>
      <c r="C2700" t="s">
        <v>2371</v>
      </c>
      <c r="D2700" t="s">
        <v>20</v>
      </c>
      <c r="E2700" t="s">
        <v>51</v>
      </c>
      <c r="F2700" t="s">
        <v>52</v>
      </c>
      <c r="G2700" t="s">
        <v>53</v>
      </c>
      <c r="H2700" t="s">
        <v>54</v>
      </c>
      <c r="I2700">
        <v>488.13299999999998</v>
      </c>
      <c r="J2700">
        <v>0</v>
      </c>
      <c r="K2700">
        <v>1</v>
      </c>
      <c r="L2700" t="s">
        <v>693</v>
      </c>
      <c r="M2700" t="s">
        <v>707</v>
      </c>
      <c r="N2700">
        <v>1144.52</v>
      </c>
      <c r="O2700">
        <v>0</v>
      </c>
      <c r="P2700" t="str">
        <f>IF(T[[#This Row],[qty_ordered]]&lt;&gt;T[[#This Row],[qty_received]],IF(T[[#This Row],[qty_received]]&gt;0,"Partial Received","Not Receviced"),"FullyReceived")</f>
        <v>Not Receviced</v>
      </c>
      <c r="Q2700" t="str">
        <f>IF(T[[#This Row],[qty_received]]&lt;&gt;T[[#This Row],[qty_invoiced]],IF(T[[#This Row],[qty_invoiced]]&gt;0,"Partial Invoiced","Not Invoiced"),"Fully Invoiced")</f>
        <v>Partial Invoiced</v>
      </c>
      <c r="R2700" t="str">
        <f>IFERROR(VLOOKUP(T[[#This Row],[warehouse]],Table2[],2,FALSE),"--")</f>
        <v>--</v>
      </c>
    </row>
    <row r="2701" spans="1:18" x14ac:dyDescent="0.25">
      <c r="A2701" t="s">
        <v>1685</v>
      </c>
      <c r="B2701" s="1">
        <v>44811</v>
      </c>
      <c r="C2701" t="s">
        <v>2372</v>
      </c>
      <c r="D2701" t="s">
        <v>20</v>
      </c>
      <c r="E2701" t="s">
        <v>51</v>
      </c>
      <c r="F2701" t="s">
        <v>52</v>
      </c>
      <c r="G2701" t="s">
        <v>53</v>
      </c>
      <c r="H2701" t="s">
        <v>54</v>
      </c>
      <c r="I2701">
        <v>298.834</v>
      </c>
      <c r="J2701">
        <v>0</v>
      </c>
      <c r="K2701">
        <v>1</v>
      </c>
      <c r="L2701" t="s">
        <v>693</v>
      </c>
      <c r="M2701" t="s">
        <v>707</v>
      </c>
      <c r="N2701">
        <v>1144.52</v>
      </c>
      <c r="O2701">
        <v>0</v>
      </c>
      <c r="P2701" t="str">
        <f>IF(T[[#This Row],[qty_ordered]]&lt;&gt;T[[#This Row],[qty_received]],IF(T[[#This Row],[qty_received]]&gt;0,"Partial Received","Not Receviced"),"FullyReceived")</f>
        <v>Not Receviced</v>
      </c>
      <c r="Q2701" t="str">
        <f>IF(T[[#This Row],[qty_received]]&lt;&gt;T[[#This Row],[qty_invoiced]],IF(T[[#This Row],[qty_invoiced]]&gt;0,"Partial Invoiced","Not Invoiced"),"Fully Invoiced")</f>
        <v>Partial Invoiced</v>
      </c>
      <c r="R2701" t="str">
        <f>IFERROR(VLOOKUP(T[[#This Row],[warehouse]],Table2[],2,FALSE),"--")</f>
        <v>--</v>
      </c>
    </row>
    <row r="2702" spans="1:18" x14ac:dyDescent="0.25">
      <c r="A2702" t="s">
        <v>1685</v>
      </c>
      <c r="B2702" s="1">
        <v>44811</v>
      </c>
      <c r="C2702" t="s">
        <v>2373</v>
      </c>
      <c r="D2702" t="s">
        <v>20</v>
      </c>
      <c r="E2702" t="s">
        <v>51</v>
      </c>
      <c r="F2702" t="s">
        <v>52</v>
      </c>
      <c r="G2702" t="s">
        <v>53</v>
      </c>
      <c r="H2702" t="s">
        <v>54</v>
      </c>
      <c r="I2702">
        <v>249.523</v>
      </c>
      <c r="J2702">
        <v>0</v>
      </c>
      <c r="K2702">
        <v>1</v>
      </c>
      <c r="L2702" t="s">
        <v>693</v>
      </c>
      <c r="M2702" t="s">
        <v>707</v>
      </c>
      <c r="N2702">
        <v>1144.52</v>
      </c>
      <c r="O2702">
        <v>0</v>
      </c>
      <c r="P2702" t="str">
        <f>IF(T[[#This Row],[qty_ordered]]&lt;&gt;T[[#This Row],[qty_received]],IF(T[[#This Row],[qty_received]]&gt;0,"Partial Received","Not Receviced"),"FullyReceived")</f>
        <v>Not Receviced</v>
      </c>
      <c r="Q2702" t="str">
        <f>IF(T[[#This Row],[qty_received]]&lt;&gt;T[[#This Row],[qty_invoiced]],IF(T[[#This Row],[qty_invoiced]]&gt;0,"Partial Invoiced","Not Invoiced"),"Fully Invoiced")</f>
        <v>Partial Invoiced</v>
      </c>
      <c r="R2702" t="str">
        <f>IFERROR(VLOOKUP(T[[#This Row],[warehouse]],Table2[],2,FALSE),"--")</f>
        <v>--</v>
      </c>
    </row>
    <row r="2703" spans="1:18" x14ac:dyDescent="0.25">
      <c r="A2703" t="s">
        <v>1685</v>
      </c>
      <c r="B2703" s="1">
        <v>44811</v>
      </c>
      <c r="C2703" t="s">
        <v>2374</v>
      </c>
      <c r="D2703" t="s">
        <v>20</v>
      </c>
      <c r="E2703" t="s">
        <v>51</v>
      </c>
      <c r="F2703" t="s">
        <v>52</v>
      </c>
      <c r="G2703" t="s">
        <v>53</v>
      </c>
      <c r="H2703" t="s">
        <v>54</v>
      </c>
      <c r="I2703">
        <v>245.82499999999999</v>
      </c>
      <c r="J2703">
        <v>0</v>
      </c>
      <c r="K2703">
        <v>1</v>
      </c>
      <c r="L2703" t="s">
        <v>693</v>
      </c>
      <c r="M2703" t="s">
        <v>707</v>
      </c>
      <c r="N2703">
        <v>1144.52</v>
      </c>
      <c r="O2703">
        <v>0</v>
      </c>
      <c r="P2703" t="str">
        <f>IF(T[[#This Row],[qty_ordered]]&lt;&gt;T[[#This Row],[qty_received]],IF(T[[#This Row],[qty_received]]&gt;0,"Partial Received","Not Receviced"),"FullyReceived")</f>
        <v>Not Receviced</v>
      </c>
      <c r="Q2703" t="str">
        <f>IF(T[[#This Row],[qty_received]]&lt;&gt;T[[#This Row],[qty_invoiced]],IF(T[[#This Row],[qty_invoiced]]&gt;0,"Partial Invoiced","Not Invoiced"),"Fully Invoiced")</f>
        <v>Partial Invoiced</v>
      </c>
      <c r="R2703" t="str">
        <f>IFERROR(VLOOKUP(T[[#This Row],[warehouse]],Table2[],2,FALSE),"--")</f>
        <v>--</v>
      </c>
    </row>
    <row r="2704" spans="1:18" x14ac:dyDescent="0.25">
      <c r="A2704" t="s">
        <v>201</v>
      </c>
      <c r="B2704" s="1">
        <v>44810</v>
      </c>
      <c r="C2704" t="s">
        <v>2375</v>
      </c>
      <c r="D2704" t="s">
        <v>71</v>
      </c>
      <c r="E2704" t="s">
        <v>1220</v>
      </c>
      <c r="F2704" t="s">
        <v>1307</v>
      </c>
      <c r="G2704" t="s">
        <v>1308</v>
      </c>
      <c r="H2704" t="s">
        <v>149</v>
      </c>
      <c r="I2704">
        <v>2945</v>
      </c>
      <c r="J2704">
        <v>1332</v>
      </c>
      <c r="K2704">
        <v>0</v>
      </c>
      <c r="L2704" t="s">
        <v>693</v>
      </c>
      <c r="M2704" t="s">
        <v>707</v>
      </c>
      <c r="N2704">
        <v>0</v>
      </c>
      <c r="O2704">
        <v>0</v>
      </c>
      <c r="P2704" t="str">
        <f>IF(T[[#This Row],[qty_ordered]]&lt;&gt;T[[#This Row],[qty_received]],IF(T[[#This Row],[qty_received]]&gt;0,"Partial Received","Not Receviced"),"FullyReceived")</f>
        <v>Partial Received</v>
      </c>
      <c r="Q2704" t="str">
        <f>IF(T[[#This Row],[qty_received]]&lt;&gt;T[[#This Row],[qty_invoiced]],IF(T[[#This Row],[qty_invoiced]]&gt;0,"Partial Invoiced","Not Invoiced"),"Fully Invoiced")</f>
        <v>Not Invoiced</v>
      </c>
      <c r="R2704" t="str">
        <f>IFERROR(VLOOKUP(T[[#This Row],[warehouse]],Table2[],2,FALSE),"--")</f>
        <v>Import Virtual Warehouse - PZU</v>
      </c>
    </row>
    <row r="2705" spans="1:18" x14ac:dyDescent="0.25">
      <c r="A2705" t="s">
        <v>985</v>
      </c>
      <c r="B2705" s="1">
        <v>44774</v>
      </c>
      <c r="C2705" t="s">
        <v>1818</v>
      </c>
      <c r="D2705" t="s">
        <v>100</v>
      </c>
      <c r="E2705" t="s">
        <v>51</v>
      </c>
      <c r="F2705" t="s">
        <v>183</v>
      </c>
      <c r="G2705" t="s">
        <v>2376</v>
      </c>
      <c r="H2705" t="s">
        <v>54</v>
      </c>
      <c r="I2705">
        <v>120.831</v>
      </c>
      <c r="J2705">
        <v>0</v>
      </c>
      <c r="K2705">
        <v>1</v>
      </c>
      <c r="L2705" t="s">
        <v>693</v>
      </c>
      <c r="M2705" t="s">
        <v>533</v>
      </c>
      <c r="N2705">
        <v>8000</v>
      </c>
      <c r="O2705">
        <v>0</v>
      </c>
      <c r="P2705" t="str">
        <f>IF(T[[#This Row],[qty_ordered]]&lt;&gt;T[[#This Row],[qty_received]],IF(T[[#This Row],[qty_received]]&gt;0,"Partial Received","Not Receviced"),"FullyReceived")</f>
        <v>Not Receviced</v>
      </c>
      <c r="Q2705" t="str">
        <f>IF(T[[#This Row],[qty_received]]&lt;&gt;T[[#This Row],[qty_invoiced]],IF(T[[#This Row],[qty_invoiced]]&gt;0,"Partial Invoiced","Not Invoiced"),"Fully Invoiced")</f>
        <v>Partial Invoiced</v>
      </c>
      <c r="R2705" t="str">
        <f>IFERROR(VLOOKUP(T[[#This Row],[warehouse]],Table2[],2,FALSE),"--")</f>
        <v>--</v>
      </c>
    </row>
    <row r="2706" spans="1:18" x14ac:dyDescent="0.25">
      <c r="A2706" t="s">
        <v>2377</v>
      </c>
      <c r="B2706" s="1">
        <v>44812</v>
      </c>
      <c r="C2706" t="s">
        <v>2378</v>
      </c>
      <c r="D2706" t="s">
        <v>20</v>
      </c>
      <c r="E2706" t="s">
        <v>1220</v>
      </c>
      <c r="F2706" t="s">
        <v>1221</v>
      </c>
      <c r="G2706" t="s">
        <v>1634</v>
      </c>
      <c r="H2706" t="s">
        <v>123</v>
      </c>
      <c r="I2706">
        <v>60000</v>
      </c>
      <c r="J2706">
        <v>60000</v>
      </c>
      <c r="K2706">
        <v>60000</v>
      </c>
      <c r="L2706" t="s">
        <v>693</v>
      </c>
      <c r="M2706" t="s">
        <v>707</v>
      </c>
      <c r="N2706">
        <v>21241.59</v>
      </c>
      <c r="O2706">
        <v>1274495400</v>
      </c>
      <c r="P2706" t="str">
        <f>IF(T[[#This Row],[qty_ordered]]&lt;&gt;T[[#This Row],[qty_received]],IF(T[[#This Row],[qty_received]]&gt;0,"Partial Received","Not Receviced"),"FullyReceived")</f>
        <v>FullyReceived</v>
      </c>
      <c r="Q2706" t="str">
        <f>IF(T[[#This Row],[qty_received]]&lt;&gt;T[[#This Row],[qty_invoiced]],IF(T[[#This Row],[qty_invoiced]]&gt;0,"Partial Invoiced","Not Invoiced"),"Fully Invoiced")</f>
        <v>Fully Invoiced</v>
      </c>
      <c r="R2706" t="str">
        <f>IFERROR(VLOOKUP(T[[#This Row],[warehouse]],Table2[],2,FALSE),"--")</f>
        <v>Import Virtual Warehouse - PZU</v>
      </c>
    </row>
    <row r="2707" spans="1:18" x14ac:dyDescent="0.25">
      <c r="A2707" t="s">
        <v>1639</v>
      </c>
      <c r="B2707" s="1">
        <v>44804</v>
      </c>
      <c r="C2707" t="s">
        <v>2379</v>
      </c>
      <c r="D2707" t="s">
        <v>71</v>
      </c>
      <c r="E2707" t="s">
        <v>162</v>
      </c>
      <c r="F2707" t="s">
        <v>86</v>
      </c>
      <c r="G2707" t="s">
        <v>87</v>
      </c>
      <c r="H2707" t="s">
        <v>24</v>
      </c>
      <c r="I2707">
        <v>270</v>
      </c>
      <c r="J2707">
        <v>250.58</v>
      </c>
      <c r="K2707">
        <v>250.58</v>
      </c>
      <c r="L2707" t="s">
        <v>693</v>
      </c>
      <c r="M2707" t="s">
        <v>707</v>
      </c>
      <c r="N2707">
        <v>840000</v>
      </c>
      <c r="O2707">
        <v>210487200</v>
      </c>
      <c r="P2707" t="str">
        <f>IF(T[[#This Row],[qty_ordered]]&lt;&gt;T[[#This Row],[qty_received]],IF(T[[#This Row],[qty_received]]&gt;0,"Partial Received","Not Receviced"),"FullyReceived")</f>
        <v>Partial Received</v>
      </c>
      <c r="Q2707" t="str">
        <f>IF(T[[#This Row],[qty_received]]&lt;&gt;T[[#This Row],[qty_invoiced]],IF(T[[#This Row],[qty_invoiced]]&gt;0,"Partial Invoiced","Not Invoiced"),"Fully Invoiced")</f>
        <v>Fully Invoiced</v>
      </c>
      <c r="R2707" t="str">
        <f>IFERROR(VLOOKUP(T[[#This Row],[warehouse]],Table2[],2,FALSE),"--")</f>
        <v>Sifters Mahasilna</v>
      </c>
    </row>
    <row r="2708" spans="1:18" x14ac:dyDescent="0.25">
      <c r="A2708" t="s">
        <v>1639</v>
      </c>
      <c r="B2708" s="1">
        <v>44804</v>
      </c>
      <c r="C2708" t="s">
        <v>2379</v>
      </c>
      <c r="D2708" t="s">
        <v>100</v>
      </c>
      <c r="E2708" t="s">
        <v>908</v>
      </c>
      <c r="F2708" t="s">
        <v>86</v>
      </c>
      <c r="G2708" t="s">
        <v>87</v>
      </c>
      <c r="H2708" t="s">
        <v>24</v>
      </c>
      <c r="I2708">
        <v>32.869999999999997</v>
      </c>
      <c r="J2708">
        <v>32.869999999999997</v>
      </c>
      <c r="K2708">
        <v>32.869999999999997</v>
      </c>
      <c r="L2708" t="s">
        <v>693</v>
      </c>
      <c r="M2708" t="s">
        <v>707</v>
      </c>
      <c r="N2708">
        <v>639555.25</v>
      </c>
      <c r="O2708">
        <v>27610800</v>
      </c>
      <c r="P2708" t="str">
        <f>IF(T[[#This Row],[qty_ordered]]&lt;&gt;T[[#This Row],[qty_received]],IF(T[[#This Row],[qty_received]]&gt;0,"Partial Received","Not Receviced"),"FullyReceived")</f>
        <v>FullyReceived</v>
      </c>
      <c r="Q2708" t="str">
        <f>IF(T[[#This Row],[qty_received]]&lt;&gt;T[[#This Row],[qty_invoiced]],IF(T[[#This Row],[qty_invoiced]]&gt;0,"Partial Invoiced","Not Invoiced"),"Fully Invoiced")</f>
        <v>Fully Invoiced</v>
      </c>
      <c r="R2708" t="str">
        <f>IFERROR(VLOOKUP(T[[#This Row],[warehouse]],Table2[],2,FALSE),"--")</f>
        <v>SIFTER- ALNAZER-OMDU</v>
      </c>
    </row>
    <row r="2709" spans="1:18" x14ac:dyDescent="0.25">
      <c r="A2709" t="s">
        <v>1723</v>
      </c>
      <c r="B2709" s="1">
        <v>44725</v>
      </c>
      <c r="C2709" t="s">
        <v>1724</v>
      </c>
      <c r="D2709" t="s">
        <v>88</v>
      </c>
      <c r="E2709" t="s">
        <v>51</v>
      </c>
      <c r="F2709" t="s">
        <v>384</v>
      </c>
      <c r="G2709" t="s">
        <v>2380</v>
      </c>
      <c r="H2709" t="s">
        <v>54</v>
      </c>
      <c r="I2709">
        <v>35.088000000000001</v>
      </c>
      <c r="J2709">
        <v>0</v>
      </c>
      <c r="K2709">
        <v>1</v>
      </c>
      <c r="L2709" t="s">
        <v>693</v>
      </c>
      <c r="M2709" t="s">
        <v>533</v>
      </c>
      <c r="N2709">
        <v>6000</v>
      </c>
      <c r="O2709">
        <v>0</v>
      </c>
      <c r="P2709" t="str">
        <f>IF(T[[#This Row],[qty_ordered]]&lt;&gt;T[[#This Row],[qty_received]],IF(T[[#This Row],[qty_received]]&gt;0,"Partial Received","Not Receviced"),"FullyReceived")</f>
        <v>Not Receviced</v>
      </c>
      <c r="Q2709" t="str">
        <f>IF(T[[#This Row],[qty_received]]&lt;&gt;T[[#This Row],[qty_invoiced]],IF(T[[#This Row],[qty_invoiced]]&gt;0,"Partial Invoiced","Not Invoiced"),"Fully Invoiced")</f>
        <v>Partial Invoiced</v>
      </c>
      <c r="R2709" t="str">
        <f>IFERROR(VLOOKUP(T[[#This Row],[warehouse]],Table2[],2,FALSE),"--")</f>
        <v>--</v>
      </c>
    </row>
    <row r="2710" spans="1:18" x14ac:dyDescent="0.25">
      <c r="A2710" t="s">
        <v>303</v>
      </c>
      <c r="B2710" s="1">
        <v>44746</v>
      </c>
      <c r="C2710" t="s">
        <v>2226</v>
      </c>
      <c r="D2710" t="s">
        <v>100</v>
      </c>
      <c r="E2710" t="s">
        <v>66</v>
      </c>
      <c r="F2710" t="s">
        <v>529</v>
      </c>
      <c r="G2710" t="s">
        <v>530</v>
      </c>
      <c r="H2710" t="s">
        <v>531</v>
      </c>
      <c r="I2710">
        <v>1000</v>
      </c>
      <c r="J2710">
        <v>0</v>
      </c>
      <c r="K2710">
        <v>0</v>
      </c>
      <c r="L2710" t="s">
        <v>693</v>
      </c>
      <c r="M2710" t="s">
        <v>707</v>
      </c>
      <c r="N2710">
        <v>60000</v>
      </c>
      <c r="O2710">
        <v>0</v>
      </c>
      <c r="P2710" t="str">
        <f>IF(T[[#This Row],[qty_ordered]]&lt;&gt;T[[#This Row],[qty_received]],IF(T[[#This Row],[qty_received]]&gt;0,"Partial Received","Not Receviced"),"FullyReceived")</f>
        <v>Not Receviced</v>
      </c>
      <c r="Q2710" t="str">
        <f>IF(T[[#This Row],[qty_received]]&lt;&gt;T[[#This Row],[qty_invoiced]],IF(T[[#This Row],[qty_invoiced]]&gt;0,"Partial Invoiced","Not Invoiced"),"Fully Invoiced")</f>
        <v>Fully Invoiced</v>
      </c>
      <c r="R2710" t="str">
        <f>IFERROR(VLOOKUP(T[[#This Row],[warehouse]],Table2[],2,FALSE),"--")</f>
        <v>PZU Main Warehouse</v>
      </c>
    </row>
    <row r="2711" spans="1:18" x14ac:dyDescent="0.25">
      <c r="A2711" t="s">
        <v>201</v>
      </c>
      <c r="B2711" s="1">
        <v>44818</v>
      </c>
      <c r="C2711" t="s">
        <v>2383</v>
      </c>
      <c r="D2711" t="s">
        <v>20</v>
      </c>
      <c r="E2711" t="s">
        <v>1220</v>
      </c>
      <c r="F2711" t="s">
        <v>2384</v>
      </c>
      <c r="G2711" t="s">
        <v>2385</v>
      </c>
      <c r="H2711" t="s">
        <v>123</v>
      </c>
      <c r="I2711">
        <v>150000</v>
      </c>
      <c r="J2711">
        <v>150000</v>
      </c>
      <c r="K2711">
        <v>150000</v>
      </c>
      <c r="L2711" t="s">
        <v>693</v>
      </c>
      <c r="M2711" t="s">
        <v>707</v>
      </c>
      <c r="N2711">
        <v>20748.940055999999</v>
      </c>
      <c r="O2711">
        <v>3112341008.4000001</v>
      </c>
      <c r="P2711" t="str">
        <f>IF(T[[#This Row],[qty_ordered]]&lt;&gt;T[[#This Row],[qty_received]],IF(T[[#This Row],[qty_received]]&gt;0,"Partial Received","Not Receviced"),"FullyReceived")</f>
        <v>FullyReceived</v>
      </c>
      <c r="Q2711" t="str">
        <f>IF(T[[#This Row],[qty_received]]&lt;&gt;T[[#This Row],[qty_invoiced]],IF(T[[#This Row],[qty_invoiced]]&gt;0,"Partial Invoiced","Not Invoiced"),"Fully Invoiced")</f>
        <v>Fully Invoiced</v>
      </c>
      <c r="R2711" t="str">
        <f>IFERROR(VLOOKUP(T[[#This Row],[warehouse]],Table2[],2,FALSE),"--")</f>
        <v>Import Virtual Warehouse - PZU</v>
      </c>
    </row>
    <row r="2712" spans="1:18" x14ac:dyDescent="0.25">
      <c r="A2712" t="s">
        <v>201</v>
      </c>
      <c r="B2712" s="1">
        <v>44818</v>
      </c>
      <c r="C2712" t="s">
        <v>2383</v>
      </c>
      <c r="D2712" t="s">
        <v>71</v>
      </c>
      <c r="E2712" t="s">
        <v>1220</v>
      </c>
      <c r="F2712" t="s">
        <v>1307</v>
      </c>
      <c r="G2712" t="s">
        <v>1308</v>
      </c>
      <c r="H2712" t="s">
        <v>149</v>
      </c>
      <c r="I2712">
        <v>1500</v>
      </c>
      <c r="J2712">
        <v>0</v>
      </c>
      <c r="K2712">
        <v>0</v>
      </c>
      <c r="L2712" t="s">
        <v>693</v>
      </c>
      <c r="M2712" t="s">
        <v>707</v>
      </c>
      <c r="N2712">
        <v>0</v>
      </c>
      <c r="O2712">
        <v>0</v>
      </c>
      <c r="P2712" t="str">
        <f>IF(T[[#This Row],[qty_ordered]]&lt;&gt;T[[#This Row],[qty_received]],IF(T[[#This Row],[qty_received]]&gt;0,"Partial Received","Not Receviced"),"FullyReceived")</f>
        <v>Not Receviced</v>
      </c>
      <c r="Q2712" t="str">
        <f>IF(T[[#This Row],[qty_received]]&lt;&gt;T[[#This Row],[qty_invoiced]],IF(T[[#This Row],[qty_invoiced]]&gt;0,"Partial Invoiced","Not Invoiced"),"Fully Invoiced")</f>
        <v>Fully Invoiced</v>
      </c>
      <c r="R2712" t="str">
        <f>IFERROR(VLOOKUP(T[[#This Row],[warehouse]],Table2[],2,FALSE),"--")</f>
        <v>Import Virtual Warehouse - PZU</v>
      </c>
    </row>
    <row r="2713" spans="1:18" x14ac:dyDescent="0.25">
      <c r="A2713" t="s">
        <v>242</v>
      </c>
      <c r="B2713" s="1">
        <v>44794</v>
      </c>
      <c r="C2713" t="s">
        <v>1891</v>
      </c>
      <c r="D2713" t="s">
        <v>100</v>
      </c>
      <c r="E2713" t="s">
        <v>405</v>
      </c>
      <c r="F2713" t="s">
        <v>244</v>
      </c>
      <c r="G2713" t="s">
        <v>245</v>
      </c>
      <c r="H2713" t="s">
        <v>24</v>
      </c>
      <c r="I2713">
        <v>148</v>
      </c>
      <c r="J2713">
        <v>0</v>
      </c>
      <c r="K2713">
        <v>0</v>
      </c>
      <c r="L2713" t="s">
        <v>693</v>
      </c>
      <c r="M2713" t="s">
        <v>707</v>
      </c>
      <c r="N2713">
        <v>1351351.3513509999</v>
      </c>
      <c r="O2713">
        <v>0</v>
      </c>
      <c r="P2713" t="str">
        <f>IF(T[[#This Row],[qty_ordered]]&lt;&gt;T[[#This Row],[qty_received]],IF(T[[#This Row],[qty_received]]&gt;0,"Partial Received","Not Receviced"),"FullyReceived")</f>
        <v>Not Receviced</v>
      </c>
      <c r="Q2713" t="str">
        <f>IF(T[[#This Row],[qty_received]]&lt;&gt;T[[#This Row],[qty_invoiced]],IF(T[[#This Row],[qty_invoiced]]&gt;0,"Partial Invoiced","Not Invoiced"),"Fully Invoiced")</f>
        <v>Fully Invoiced</v>
      </c>
      <c r="R2713" t="str">
        <f>IFERROR(VLOOKUP(T[[#This Row],[warehouse]],Table2[],2,FALSE),"--")</f>
        <v>GINNING ISHRAG-MDNI</v>
      </c>
    </row>
    <row r="2714" spans="1:18" x14ac:dyDescent="0.25">
      <c r="A2714" t="s">
        <v>1059</v>
      </c>
      <c r="B2714" s="1">
        <v>44594</v>
      </c>
      <c r="C2714" t="s">
        <v>1560</v>
      </c>
      <c r="D2714" t="s">
        <v>568</v>
      </c>
      <c r="E2714" t="s">
        <v>51</v>
      </c>
      <c r="F2714" t="s">
        <v>2166</v>
      </c>
      <c r="G2714" t="s">
        <v>2386</v>
      </c>
      <c r="H2714" t="s">
        <v>54</v>
      </c>
      <c r="I2714">
        <v>8602</v>
      </c>
      <c r="J2714">
        <v>0</v>
      </c>
      <c r="K2714">
        <v>1</v>
      </c>
      <c r="L2714" t="s">
        <v>693</v>
      </c>
      <c r="M2714" t="s">
        <v>533</v>
      </c>
      <c r="N2714">
        <v>850</v>
      </c>
      <c r="O2714">
        <v>0</v>
      </c>
      <c r="P2714" t="str">
        <f>IF(T[[#This Row],[qty_ordered]]&lt;&gt;T[[#This Row],[qty_received]],IF(T[[#This Row],[qty_received]]&gt;0,"Partial Received","Not Receviced"),"FullyReceived")</f>
        <v>Not Receviced</v>
      </c>
      <c r="Q2714" t="str">
        <f>IF(T[[#This Row],[qty_received]]&lt;&gt;T[[#This Row],[qty_invoiced]],IF(T[[#This Row],[qty_invoiced]]&gt;0,"Partial Invoiced","Not Invoiced"),"Fully Invoiced")</f>
        <v>Partial Invoiced</v>
      </c>
      <c r="R2714" t="str">
        <f>IFERROR(VLOOKUP(T[[#This Row],[warehouse]],Table2[],2,FALSE),"--")</f>
        <v>--</v>
      </c>
    </row>
    <row r="2715" spans="1:18" x14ac:dyDescent="0.25">
      <c r="A2715" t="s">
        <v>1059</v>
      </c>
      <c r="B2715" s="1">
        <v>44594</v>
      </c>
      <c r="C2715" t="s">
        <v>1560</v>
      </c>
      <c r="D2715" t="s">
        <v>569</v>
      </c>
      <c r="E2715" t="s">
        <v>51</v>
      </c>
      <c r="F2715" t="s">
        <v>2228</v>
      </c>
      <c r="G2715" t="s">
        <v>2387</v>
      </c>
      <c r="H2715" t="s">
        <v>54</v>
      </c>
      <c r="I2715">
        <v>8602</v>
      </c>
      <c r="J2715">
        <v>0</v>
      </c>
      <c r="K2715">
        <v>1</v>
      </c>
      <c r="L2715" t="s">
        <v>693</v>
      </c>
      <c r="M2715" t="s">
        <v>533</v>
      </c>
      <c r="N2715">
        <v>1250</v>
      </c>
      <c r="O2715">
        <v>0</v>
      </c>
      <c r="P2715" t="str">
        <f>IF(T[[#This Row],[qty_ordered]]&lt;&gt;T[[#This Row],[qty_received]],IF(T[[#This Row],[qty_received]]&gt;0,"Partial Received","Not Receviced"),"FullyReceived")</f>
        <v>Not Receviced</v>
      </c>
      <c r="Q2715" t="str">
        <f>IF(T[[#This Row],[qty_received]]&lt;&gt;T[[#This Row],[qty_invoiced]],IF(T[[#This Row],[qty_invoiced]]&gt;0,"Partial Invoiced","Not Invoiced"),"Fully Invoiced")</f>
        <v>Partial Invoiced</v>
      </c>
      <c r="R2715" t="str">
        <f>IFERROR(VLOOKUP(T[[#This Row],[warehouse]],Table2[],2,FALSE),"--")</f>
        <v>--</v>
      </c>
    </row>
    <row r="2716" spans="1:18" x14ac:dyDescent="0.25">
      <c r="A2716" t="s">
        <v>505</v>
      </c>
      <c r="B2716" s="1">
        <v>44718</v>
      </c>
      <c r="C2716" t="s">
        <v>2257</v>
      </c>
      <c r="D2716" t="s">
        <v>88</v>
      </c>
      <c r="E2716" t="s">
        <v>51</v>
      </c>
      <c r="F2716" t="s">
        <v>247</v>
      </c>
      <c r="G2716" t="s">
        <v>2381</v>
      </c>
      <c r="H2716" t="s">
        <v>54</v>
      </c>
      <c r="I2716">
        <v>515.94000000000005</v>
      </c>
      <c r="J2716">
        <v>0</v>
      </c>
      <c r="K2716">
        <v>1</v>
      </c>
      <c r="L2716" t="s">
        <v>693</v>
      </c>
      <c r="M2716" t="s">
        <v>533</v>
      </c>
      <c r="N2716">
        <v>31000</v>
      </c>
      <c r="O2716">
        <v>0</v>
      </c>
      <c r="P2716" t="str">
        <f>IF(T[[#This Row],[qty_ordered]]&lt;&gt;T[[#This Row],[qty_received]],IF(T[[#This Row],[qty_received]]&gt;0,"Partial Received","Not Receviced"),"FullyReceived")</f>
        <v>Not Receviced</v>
      </c>
      <c r="Q2716" t="str">
        <f>IF(T[[#This Row],[qty_received]]&lt;&gt;T[[#This Row],[qty_invoiced]],IF(T[[#This Row],[qty_invoiced]]&gt;0,"Partial Invoiced","Not Invoiced"),"Fully Invoiced")</f>
        <v>Partial Invoiced</v>
      </c>
      <c r="R2716" t="str">
        <f>IFERROR(VLOOKUP(T[[#This Row],[warehouse]],Table2[],2,FALSE),"--")</f>
        <v>--</v>
      </c>
    </row>
    <row r="2717" spans="1:18" x14ac:dyDescent="0.25">
      <c r="A2717" t="s">
        <v>1316</v>
      </c>
      <c r="B2717" s="1">
        <v>44592</v>
      </c>
      <c r="C2717" t="s">
        <v>1824</v>
      </c>
      <c r="D2717" t="s">
        <v>325</v>
      </c>
      <c r="E2717" t="s">
        <v>51</v>
      </c>
      <c r="F2717" t="s">
        <v>1641</v>
      </c>
      <c r="G2717" t="s">
        <v>2382</v>
      </c>
      <c r="H2717" t="s">
        <v>54</v>
      </c>
      <c r="I2717">
        <v>828.6</v>
      </c>
      <c r="J2717">
        <v>0</v>
      </c>
      <c r="K2717">
        <v>1</v>
      </c>
      <c r="L2717" t="s">
        <v>693</v>
      </c>
      <c r="M2717" t="s">
        <v>533</v>
      </c>
      <c r="N2717">
        <v>10000</v>
      </c>
      <c r="O2717">
        <v>0</v>
      </c>
      <c r="P2717" t="str">
        <f>IF(T[[#This Row],[qty_ordered]]&lt;&gt;T[[#This Row],[qty_received]],IF(T[[#This Row],[qty_received]]&gt;0,"Partial Received","Not Receviced"),"FullyReceived")</f>
        <v>Not Receviced</v>
      </c>
      <c r="Q2717" t="str">
        <f>IF(T[[#This Row],[qty_received]]&lt;&gt;T[[#This Row],[qty_invoiced]],IF(T[[#This Row],[qty_invoiced]]&gt;0,"Partial Invoiced","Not Invoiced"),"Fully Invoiced")</f>
        <v>Partial Invoiced</v>
      </c>
      <c r="R2717" t="str">
        <f>IFERROR(VLOOKUP(T[[#This Row],[warehouse]],Table2[],2,FALSE),"--")</f>
        <v>--</v>
      </c>
    </row>
    <row r="2718" spans="1:18" x14ac:dyDescent="0.25">
      <c r="A2718" t="s">
        <v>1059</v>
      </c>
      <c r="B2718" s="1">
        <v>44594</v>
      </c>
      <c r="C2718" t="s">
        <v>1560</v>
      </c>
      <c r="D2718" t="s">
        <v>570</v>
      </c>
      <c r="E2718" t="s">
        <v>51</v>
      </c>
      <c r="F2718" t="s">
        <v>2166</v>
      </c>
      <c r="G2718" t="s">
        <v>2388</v>
      </c>
      <c r="H2718" t="s">
        <v>54</v>
      </c>
      <c r="I2718">
        <v>8602</v>
      </c>
      <c r="J2718">
        <v>0</v>
      </c>
      <c r="K2718">
        <v>1</v>
      </c>
      <c r="L2718" t="s">
        <v>693</v>
      </c>
      <c r="M2718" t="s">
        <v>533</v>
      </c>
      <c r="N2718">
        <v>850</v>
      </c>
      <c r="O2718">
        <v>0</v>
      </c>
      <c r="P2718" t="str">
        <f>IF(T[[#This Row],[qty_ordered]]&lt;&gt;T[[#This Row],[qty_received]],IF(T[[#This Row],[qty_received]]&gt;0,"Partial Received","Not Receviced"),"FullyReceived")</f>
        <v>Not Receviced</v>
      </c>
      <c r="Q2718" t="str">
        <f>IF(T[[#This Row],[qty_received]]&lt;&gt;T[[#This Row],[qty_invoiced]],IF(T[[#This Row],[qty_invoiced]]&gt;0,"Partial Invoiced","Not Invoiced"),"Fully Invoiced")</f>
        <v>Partial Invoiced</v>
      </c>
      <c r="R2718" t="str">
        <f>IFERROR(VLOOKUP(T[[#This Row],[warehouse]],Table2[],2,FALSE),"--")</f>
        <v>--</v>
      </c>
    </row>
    <row r="2719" spans="1:18" x14ac:dyDescent="0.25">
      <c r="A2719" t="s">
        <v>1059</v>
      </c>
      <c r="B2719" s="1">
        <v>44594</v>
      </c>
      <c r="C2719" t="s">
        <v>1560</v>
      </c>
      <c r="D2719" t="s">
        <v>571</v>
      </c>
      <c r="E2719" t="s">
        <v>51</v>
      </c>
      <c r="F2719" t="s">
        <v>753</v>
      </c>
      <c r="G2719" t="s">
        <v>2389</v>
      </c>
      <c r="H2719" t="s">
        <v>54</v>
      </c>
      <c r="I2719">
        <v>7311700</v>
      </c>
      <c r="J2719">
        <v>0</v>
      </c>
      <c r="K2719">
        <v>1</v>
      </c>
      <c r="L2719" t="s">
        <v>693</v>
      </c>
      <c r="M2719" t="s">
        <v>533</v>
      </c>
      <c r="N2719">
        <v>0.17</v>
      </c>
      <c r="O2719">
        <v>0</v>
      </c>
      <c r="P2719" t="str">
        <f>IF(T[[#This Row],[qty_ordered]]&lt;&gt;T[[#This Row],[qty_received]],IF(T[[#This Row],[qty_received]]&gt;0,"Partial Received","Not Receviced"),"FullyReceived")</f>
        <v>Not Receviced</v>
      </c>
      <c r="Q2719" t="str">
        <f>IF(T[[#This Row],[qty_received]]&lt;&gt;T[[#This Row],[qty_invoiced]],IF(T[[#This Row],[qty_invoiced]]&gt;0,"Partial Invoiced","Not Invoiced"),"Fully Invoiced")</f>
        <v>Partial Invoiced</v>
      </c>
      <c r="R2719" t="str">
        <f>IFERROR(VLOOKUP(T[[#This Row],[warehouse]],Table2[],2,FALSE),"--")</f>
        <v>--</v>
      </c>
    </row>
    <row r="2720" spans="1:18" x14ac:dyDescent="0.25">
      <c r="A2720" t="s">
        <v>1059</v>
      </c>
      <c r="B2720" s="1">
        <v>44594</v>
      </c>
      <c r="C2720" t="s">
        <v>1560</v>
      </c>
      <c r="D2720" t="s">
        <v>1210</v>
      </c>
      <c r="E2720" t="s">
        <v>51</v>
      </c>
      <c r="F2720" t="s">
        <v>2166</v>
      </c>
      <c r="G2720" t="s">
        <v>2390</v>
      </c>
      <c r="H2720" t="s">
        <v>54</v>
      </c>
      <c r="I2720">
        <v>8602</v>
      </c>
      <c r="J2720">
        <v>0</v>
      </c>
      <c r="K2720">
        <v>1</v>
      </c>
      <c r="L2720" t="s">
        <v>693</v>
      </c>
      <c r="M2720" t="s">
        <v>533</v>
      </c>
      <c r="N2720">
        <v>1000</v>
      </c>
      <c r="O2720">
        <v>0</v>
      </c>
      <c r="P2720" t="str">
        <f>IF(T[[#This Row],[qty_ordered]]&lt;&gt;T[[#This Row],[qty_received]],IF(T[[#This Row],[qty_received]]&gt;0,"Partial Received","Not Receviced"),"FullyReceived")</f>
        <v>Not Receviced</v>
      </c>
      <c r="Q2720" t="str">
        <f>IF(T[[#This Row],[qty_received]]&lt;&gt;T[[#This Row],[qty_invoiced]],IF(T[[#This Row],[qty_invoiced]]&gt;0,"Partial Invoiced","Not Invoiced"),"Fully Invoiced")</f>
        <v>Partial Invoiced</v>
      </c>
      <c r="R2720" t="str">
        <f>IFERROR(VLOOKUP(T[[#This Row],[warehouse]],Table2[],2,FALSE),"--")</f>
        <v>--</v>
      </c>
    </row>
    <row r="2721" spans="1:18" x14ac:dyDescent="0.25">
      <c r="A2721" t="s">
        <v>1059</v>
      </c>
      <c r="B2721" s="1">
        <v>44594</v>
      </c>
      <c r="C2721" t="s">
        <v>1560</v>
      </c>
      <c r="D2721" t="s">
        <v>702</v>
      </c>
      <c r="E2721" t="s">
        <v>51</v>
      </c>
      <c r="F2721" t="s">
        <v>753</v>
      </c>
      <c r="G2721" t="s">
        <v>2391</v>
      </c>
      <c r="H2721" t="s">
        <v>54</v>
      </c>
      <c r="I2721">
        <v>8602000</v>
      </c>
      <c r="J2721">
        <v>0</v>
      </c>
      <c r="K2721">
        <v>1</v>
      </c>
      <c r="L2721" t="s">
        <v>693</v>
      </c>
      <c r="M2721" t="s">
        <v>533</v>
      </c>
      <c r="N2721">
        <v>0.17</v>
      </c>
      <c r="O2721">
        <v>0</v>
      </c>
      <c r="P2721" t="str">
        <f>IF(T[[#This Row],[qty_ordered]]&lt;&gt;T[[#This Row],[qty_received]],IF(T[[#This Row],[qty_received]]&gt;0,"Partial Received","Not Receviced"),"FullyReceived")</f>
        <v>Not Receviced</v>
      </c>
      <c r="Q2721" t="str">
        <f>IF(T[[#This Row],[qty_received]]&lt;&gt;T[[#This Row],[qty_invoiced]],IF(T[[#This Row],[qty_invoiced]]&gt;0,"Partial Invoiced","Not Invoiced"),"Fully Invoiced")</f>
        <v>Partial Invoiced</v>
      </c>
      <c r="R2721" t="str">
        <f>IFERROR(VLOOKUP(T[[#This Row],[warehouse]],Table2[],2,FALSE),"--")</f>
        <v>--</v>
      </c>
    </row>
    <row r="2722" spans="1:18" x14ac:dyDescent="0.25">
      <c r="A2722" t="s">
        <v>1059</v>
      </c>
      <c r="B2722" s="1">
        <v>44594</v>
      </c>
      <c r="C2722" t="s">
        <v>1560</v>
      </c>
      <c r="D2722" t="s">
        <v>1321</v>
      </c>
      <c r="E2722" t="s">
        <v>51</v>
      </c>
      <c r="F2722" t="s">
        <v>254</v>
      </c>
      <c r="G2722" t="s">
        <v>2001</v>
      </c>
      <c r="H2722" t="s">
        <v>54</v>
      </c>
      <c r="I2722">
        <v>5000</v>
      </c>
      <c r="J2722">
        <v>0</v>
      </c>
      <c r="K2722">
        <v>1</v>
      </c>
      <c r="L2722" t="s">
        <v>693</v>
      </c>
      <c r="M2722" t="s">
        <v>533</v>
      </c>
      <c r="N2722">
        <v>1200</v>
      </c>
      <c r="O2722">
        <v>0</v>
      </c>
      <c r="P2722" t="str">
        <f>IF(T[[#This Row],[qty_ordered]]&lt;&gt;T[[#This Row],[qty_received]],IF(T[[#This Row],[qty_received]]&gt;0,"Partial Received","Not Receviced"),"FullyReceived")</f>
        <v>Not Receviced</v>
      </c>
      <c r="Q2722" t="str">
        <f>IF(T[[#This Row],[qty_received]]&lt;&gt;T[[#This Row],[qty_invoiced]],IF(T[[#This Row],[qty_invoiced]]&gt;0,"Partial Invoiced","Not Invoiced"),"Fully Invoiced")</f>
        <v>Partial Invoiced</v>
      </c>
      <c r="R2722" t="str">
        <f>IFERROR(VLOOKUP(T[[#This Row],[warehouse]],Table2[],2,FALSE),"--")</f>
        <v>--</v>
      </c>
    </row>
    <row r="2723" spans="1:18" x14ac:dyDescent="0.25">
      <c r="A2723" t="s">
        <v>985</v>
      </c>
      <c r="B2723" s="1">
        <v>44531</v>
      </c>
      <c r="C2723" t="s">
        <v>1489</v>
      </c>
      <c r="D2723" t="s">
        <v>614</v>
      </c>
      <c r="E2723" t="s">
        <v>51</v>
      </c>
      <c r="F2723" t="s">
        <v>183</v>
      </c>
      <c r="G2723" t="s">
        <v>2392</v>
      </c>
      <c r="H2723" t="s">
        <v>54</v>
      </c>
      <c r="I2723">
        <v>41.494999999999997</v>
      </c>
      <c r="J2723">
        <v>0</v>
      </c>
      <c r="K2723">
        <v>1</v>
      </c>
      <c r="L2723" t="s">
        <v>693</v>
      </c>
      <c r="M2723" t="s">
        <v>533</v>
      </c>
      <c r="N2723">
        <v>8000</v>
      </c>
      <c r="O2723">
        <v>0</v>
      </c>
      <c r="P2723" t="str">
        <f>IF(T[[#This Row],[qty_ordered]]&lt;&gt;T[[#This Row],[qty_received]],IF(T[[#This Row],[qty_received]]&gt;0,"Partial Received","Not Receviced"),"FullyReceived")</f>
        <v>Not Receviced</v>
      </c>
      <c r="Q2723" t="str">
        <f>IF(T[[#This Row],[qty_received]]&lt;&gt;T[[#This Row],[qty_invoiced]],IF(T[[#This Row],[qty_invoiced]]&gt;0,"Partial Invoiced","Not Invoiced"),"Fully Invoiced")</f>
        <v>Partial Invoiced</v>
      </c>
      <c r="R2723" t="str">
        <f>IFERROR(VLOOKUP(T[[#This Row],[warehouse]],Table2[],2,FALSE),"--")</f>
        <v>--</v>
      </c>
    </row>
    <row r="2724" spans="1:18" x14ac:dyDescent="0.25">
      <c r="A2724" t="s">
        <v>985</v>
      </c>
      <c r="B2724" s="1">
        <v>44511</v>
      </c>
      <c r="C2724" t="s">
        <v>1856</v>
      </c>
      <c r="D2724" t="s">
        <v>76</v>
      </c>
      <c r="E2724" t="s">
        <v>51</v>
      </c>
      <c r="F2724" t="s">
        <v>183</v>
      </c>
      <c r="G2724" t="s">
        <v>1774</v>
      </c>
      <c r="H2724" t="s">
        <v>54</v>
      </c>
      <c r="I2724">
        <v>32.707000000000001</v>
      </c>
      <c r="J2724">
        <v>0</v>
      </c>
      <c r="K2724">
        <v>1</v>
      </c>
      <c r="L2724" t="s">
        <v>693</v>
      </c>
      <c r="M2724" t="s">
        <v>533</v>
      </c>
      <c r="N2724">
        <v>8000</v>
      </c>
      <c r="O2724">
        <v>0</v>
      </c>
      <c r="P2724" t="str">
        <f>IF(T[[#This Row],[qty_ordered]]&lt;&gt;T[[#This Row],[qty_received]],IF(T[[#This Row],[qty_received]]&gt;0,"Partial Received","Not Receviced"),"FullyReceived")</f>
        <v>Not Receviced</v>
      </c>
      <c r="Q2724" t="str">
        <f>IF(T[[#This Row],[qty_received]]&lt;&gt;T[[#This Row],[qty_invoiced]],IF(T[[#This Row],[qty_invoiced]]&gt;0,"Partial Invoiced","Not Invoiced"),"Fully Invoiced")</f>
        <v>Partial Invoiced</v>
      </c>
      <c r="R2724" t="str">
        <f>IFERROR(VLOOKUP(T[[#This Row],[warehouse]],Table2[],2,FALSE),"--")</f>
        <v>--</v>
      </c>
    </row>
    <row r="2725" spans="1:18" x14ac:dyDescent="0.25">
      <c r="A2725" t="s">
        <v>1775</v>
      </c>
      <c r="B2725" s="1">
        <v>44759</v>
      </c>
      <c r="C2725" t="s">
        <v>1776</v>
      </c>
      <c r="D2725" t="s">
        <v>76</v>
      </c>
      <c r="E2725" t="s">
        <v>51</v>
      </c>
      <c r="F2725" t="s">
        <v>384</v>
      </c>
      <c r="G2725" t="s">
        <v>2393</v>
      </c>
      <c r="H2725" t="s">
        <v>54</v>
      </c>
      <c r="I2725">
        <v>4753</v>
      </c>
      <c r="J2725">
        <v>0</v>
      </c>
      <c r="K2725">
        <v>1</v>
      </c>
      <c r="L2725" t="s">
        <v>693</v>
      </c>
      <c r="M2725" t="s">
        <v>533</v>
      </c>
      <c r="N2725">
        <v>110</v>
      </c>
      <c r="O2725">
        <v>0</v>
      </c>
      <c r="P2725" t="str">
        <f>IF(T[[#This Row],[qty_ordered]]&lt;&gt;T[[#This Row],[qty_received]],IF(T[[#This Row],[qty_received]]&gt;0,"Partial Received","Not Receviced"),"FullyReceived")</f>
        <v>Not Receviced</v>
      </c>
      <c r="Q2725" t="str">
        <f>IF(T[[#This Row],[qty_received]]&lt;&gt;T[[#This Row],[qty_invoiced]],IF(T[[#This Row],[qty_invoiced]]&gt;0,"Partial Invoiced","Not Invoiced"),"Fully Invoiced")</f>
        <v>Partial Invoiced</v>
      </c>
      <c r="R2725" t="str">
        <f>IFERROR(VLOOKUP(T[[#This Row],[warehouse]],Table2[],2,FALSE),"--")</f>
        <v>--</v>
      </c>
    </row>
    <row r="2726" spans="1:18" x14ac:dyDescent="0.25">
      <c r="A2726" t="s">
        <v>252</v>
      </c>
      <c r="B2726" s="1">
        <v>44531</v>
      </c>
      <c r="C2726" t="s">
        <v>1491</v>
      </c>
      <c r="D2726" t="s">
        <v>452</v>
      </c>
      <c r="E2726" t="s">
        <v>51</v>
      </c>
      <c r="F2726" t="s">
        <v>183</v>
      </c>
      <c r="G2726" t="s">
        <v>2394</v>
      </c>
      <c r="H2726" t="s">
        <v>54</v>
      </c>
      <c r="I2726">
        <v>248.77600000000001</v>
      </c>
      <c r="J2726">
        <v>0</v>
      </c>
      <c r="K2726">
        <v>1</v>
      </c>
      <c r="L2726" t="s">
        <v>693</v>
      </c>
      <c r="M2726" t="s">
        <v>533</v>
      </c>
      <c r="N2726">
        <v>11000</v>
      </c>
      <c r="O2726">
        <v>0</v>
      </c>
      <c r="P2726" t="str">
        <f>IF(T[[#This Row],[qty_ordered]]&lt;&gt;T[[#This Row],[qty_received]],IF(T[[#This Row],[qty_received]]&gt;0,"Partial Received","Not Receviced"),"FullyReceived")</f>
        <v>Not Receviced</v>
      </c>
      <c r="Q2726" t="str">
        <f>IF(T[[#This Row],[qty_received]]&lt;&gt;T[[#This Row],[qty_invoiced]],IF(T[[#This Row],[qty_invoiced]]&gt;0,"Partial Invoiced","Not Invoiced"),"Fully Invoiced")</f>
        <v>Partial Invoiced</v>
      </c>
      <c r="R2726" t="str">
        <f>IFERROR(VLOOKUP(T[[#This Row],[warehouse]],Table2[],2,FALSE),"--")</f>
        <v>--</v>
      </c>
    </row>
    <row r="2727" spans="1:18" x14ac:dyDescent="0.25">
      <c r="A2727" t="s">
        <v>1059</v>
      </c>
      <c r="B2727" s="1">
        <v>44651</v>
      </c>
      <c r="C2727" t="s">
        <v>1578</v>
      </c>
      <c r="D2727" t="s">
        <v>615</v>
      </c>
      <c r="E2727" t="s">
        <v>51</v>
      </c>
      <c r="F2727" t="s">
        <v>262</v>
      </c>
      <c r="G2727" t="s">
        <v>2395</v>
      </c>
      <c r="H2727" t="s">
        <v>54</v>
      </c>
      <c r="I2727">
        <v>140</v>
      </c>
      <c r="J2727">
        <v>0</v>
      </c>
      <c r="K2727">
        <v>1</v>
      </c>
      <c r="L2727" t="s">
        <v>693</v>
      </c>
      <c r="M2727" t="s">
        <v>2836</v>
      </c>
      <c r="N2727">
        <v>887.4</v>
      </c>
      <c r="O2727">
        <v>0</v>
      </c>
      <c r="P2727" t="str">
        <f>IF(T[[#This Row],[qty_ordered]]&lt;&gt;T[[#This Row],[qty_received]],IF(T[[#This Row],[qty_received]]&gt;0,"Partial Received","Not Receviced"),"FullyReceived")</f>
        <v>Not Receviced</v>
      </c>
      <c r="Q2727" t="str">
        <f>IF(T[[#This Row],[qty_received]]&lt;&gt;T[[#This Row],[qty_invoiced]],IF(T[[#This Row],[qty_invoiced]]&gt;0,"Partial Invoiced","Not Invoiced"),"Fully Invoiced")</f>
        <v>Partial Invoiced</v>
      </c>
      <c r="R2727" t="str">
        <f>IFERROR(VLOOKUP(T[[#This Row],[warehouse]],Table2[],2,FALSE),"--")</f>
        <v>--</v>
      </c>
    </row>
    <row r="2728" spans="1:18" x14ac:dyDescent="0.25">
      <c r="A2728" t="s">
        <v>1723</v>
      </c>
      <c r="B2728" s="1">
        <v>44725</v>
      </c>
      <c r="C2728" t="s">
        <v>1724</v>
      </c>
      <c r="D2728" t="s">
        <v>74</v>
      </c>
      <c r="E2728" t="s">
        <v>51</v>
      </c>
      <c r="F2728" t="s">
        <v>384</v>
      </c>
      <c r="G2728" t="s">
        <v>2380</v>
      </c>
      <c r="H2728" t="s">
        <v>54</v>
      </c>
      <c r="I2728">
        <v>21.524000000000001</v>
      </c>
      <c r="J2728">
        <v>0</v>
      </c>
      <c r="K2728">
        <v>1</v>
      </c>
      <c r="L2728" t="s">
        <v>693</v>
      </c>
      <c r="M2728" t="s">
        <v>533</v>
      </c>
      <c r="N2728">
        <v>6000</v>
      </c>
      <c r="O2728">
        <v>0</v>
      </c>
      <c r="P2728" t="str">
        <f>IF(T[[#This Row],[qty_ordered]]&lt;&gt;T[[#This Row],[qty_received]],IF(T[[#This Row],[qty_received]]&gt;0,"Partial Received","Not Receviced"),"FullyReceived")</f>
        <v>Not Receviced</v>
      </c>
      <c r="Q2728" t="str">
        <f>IF(T[[#This Row],[qty_received]]&lt;&gt;T[[#This Row],[qty_invoiced]],IF(T[[#This Row],[qty_invoiced]]&gt;0,"Partial Invoiced","Not Invoiced"),"Fully Invoiced")</f>
        <v>Partial Invoiced</v>
      </c>
      <c r="R2728" t="str">
        <f>IFERROR(VLOOKUP(T[[#This Row],[warehouse]],Table2[],2,FALSE),"--")</f>
        <v>--</v>
      </c>
    </row>
    <row r="2729" spans="1:18" x14ac:dyDescent="0.25">
      <c r="A2729" t="s">
        <v>1059</v>
      </c>
      <c r="B2729" s="1">
        <v>44651</v>
      </c>
      <c r="C2729" t="s">
        <v>1578</v>
      </c>
      <c r="D2729" t="s">
        <v>752</v>
      </c>
      <c r="E2729" t="s">
        <v>51</v>
      </c>
      <c r="F2729" t="s">
        <v>933</v>
      </c>
      <c r="G2729" t="s">
        <v>2396</v>
      </c>
      <c r="H2729" t="s">
        <v>54</v>
      </c>
      <c r="I2729">
        <v>20</v>
      </c>
      <c r="J2729">
        <v>0</v>
      </c>
      <c r="K2729">
        <v>1</v>
      </c>
      <c r="L2729" t="s">
        <v>693</v>
      </c>
      <c r="M2729" t="s">
        <v>2836</v>
      </c>
      <c r="N2729">
        <v>1102.5</v>
      </c>
      <c r="O2729">
        <v>0</v>
      </c>
      <c r="P2729" t="str">
        <f>IF(T[[#This Row],[qty_ordered]]&lt;&gt;T[[#This Row],[qty_received]],IF(T[[#This Row],[qty_received]]&gt;0,"Partial Received","Not Receviced"),"FullyReceived")</f>
        <v>Not Receviced</v>
      </c>
      <c r="Q2729" t="str">
        <f>IF(T[[#This Row],[qty_received]]&lt;&gt;T[[#This Row],[qty_invoiced]],IF(T[[#This Row],[qty_invoiced]]&gt;0,"Partial Invoiced","Not Invoiced"),"Fully Invoiced")</f>
        <v>Partial Invoiced</v>
      </c>
      <c r="R2729" t="str">
        <f>IFERROR(VLOOKUP(T[[#This Row],[warehouse]],Table2[],2,FALSE),"--")</f>
        <v>--</v>
      </c>
    </row>
    <row r="2730" spans="1:18" x14ac:dyDescent="0.25">
      <c r="A2730" t="s">
        <v>1059</v>
      </c>
      <c r="B2730" s="1">
        <v>44651</v>
      </c>
      <c r="C2730" t="s">
        <v>1578</v>
      </c>
      <c r="D2730" t="s">
        <v>759</v>
      </c>
      <c r="E2730" t="s">
        <v>51</v>
      </c>
      <c r="F2730" t="s">
        <v>933</v>
      </c>
      <c r="G2730" t="s">
        <v>2396</v>
      </c>
      <c r="H2730" t="s">
        <v>54</v>
      </c>
      <c r="I2730">
        <v>120</v>
      </c>
      <c r="J2730">
        <v>0</v>
      </c>
      <c r="K2730">
        <v>1</v>
      </c>
      <c r="L2730" t="s">
        <v>693</v>
      </c>
      <c r="M2730" t="s">
        <v>2836</v>
      </c>
      <c r="N2730">
        <v>342.08333299999998</v>
      </c>
      <c r="O2730">
        <v>0</v>
      </c>
      <c r="P2730" t="str">
        <f>IF(T[[#This Row],[qty_ordered]]&lt;&gt;T[[#This Row],[qty_received]],IF(T[[#This Row],[qty_received]]&gt;0,"Partial Received","Not Receviced"),"FullyReceived")</f>
        <v>Not Receviced</v>
      </c>
      <c r="Q2730" t="str">
        <f>IF(T[[#This Row],[qty_received]]&lt;&gt;T[[#This Row],[qty_invoiced]],IF(T[[#This Row],[qty_invoiced]]&gt;0,"Partial Invoiced","Not Invoiced"),"Fully Invoiced")</f>
        <v>Partial Invoiced</v>
      </c>
      <c r="R2730" t="str">
        <f>IFERROR(VLOOKUP(T[[#This Row],[warehouse]],Table2[],2,FALSE),"--")</f>
        <v>--</v>
      </c>
    </row>
    <row r="2731" spans="1:18" x14ac:dyDescent="0.25">
      <c r="A2731" t="s">
        <v>1059</v>
      </c>
      <c r="B2731" s="1">
        <v>44782</v>
      </c>
      <c r="C2731" t="s">
        <v>1831</v>
      </c>
      <c r="D2731" t="s">
        <v>74</v>
      </c>
      <c r="E2731" t="s">
        <v>51</v>
      </c>
      <c r="F2731" t="s">
        <v>433</v>
      </c>
      <c r="G2731" t="s">
        <v>2397</v>
      </c>
      <c r="H2731" t="s">
        <v>54</v>
      </c>
      <c r="I2731">
        <v>5801</v>
      </c>
      <c r="J2731">
        <v>0</v>
      </c>
      <c r="K2731">
        <v>1</v>
      </c>
      <c r="L2731" t="s">
        <v>693</v>
      </c>
      <c r="M2731" t="s">
        <v>2836</v>
      </c>
      <c r="N2731">
        <v>100</v>
      </c>
      <c r="O2731">
        <v>0</v>
      </c>
      <c r="P2731" t="str">
        <f>IF(T[[#This Row],[qty_ordered]]&lt;&gt;T[[#This Row],[qty_received]],IF(T[[#This Row],[qty_received]]&gt;0,"Partial Received","Not Receviced"),"FullyReceived")</f>
        <v>Not Receviced</v>
      </c>
      <c r="Q2731" t="str">
        <f>IF(T[[#This Row],[qty_received]]&lt;&gt;T[[#This Row],[qty_invoiced]],IF(T[[#This Row],[qty_invoiced]]&gt;0,"Partial Invoiced","Not Invoiced"),"Fully Invoiced")</f>
        <v>Partial Invoiced</v>
      </c>
      <c r="R2731" t="str">
        <f>IFERROR(VLOOKUP(T[[#This Row],[warehouse]],Table2[],2,FALSE),"--")</f>
        <v>--</v>
      </c>
    </row>
    <row r="2732" spans="1:18" x14ac:dyDescent="0.25">
      <c r="A2732" t="s">
        <v>242</v>
      </c>
      <c r="B2732" s="1">
        <v>44824</v>
      </c>
      <c r="C2732" t="s">
        <v>2409</v>
      </c>
      <c r="D2732" t="s">
        <v>20</v>
      </c>
      <c r="E2732" t="s">
        <v>405</v>
      </c>
      <c r="F2732" t="s">
        <v>244</v>
      </c>
      <c r="G2732" t="s">
        <v>245</v>
      </c>
      <c r="H2732" t="s">
        <v>24</v>
      </c>
      <c r="I2732">
        <v>113.79</v>
      </c>
      <c r="J2732">
        <v>113.79</v>
      </c>
      <c r="K2732">
        <v>113.79</v>
      </c>
      <c r="L2732" t="s">
        <v>693</v>
      </c>
      <c r="M2732" t="s">
        <v>1485</v>
      </c>
      <c r="N2732">
        <v>1200000</v>
      </c>
      <c r="O2732">
        <v>136548000</v>
      </c>
      <c r="P2732" t="str">
        <f>IF(T[[#This Row],[qty_ordered]]&lt;&gt;T[[#This Row],[qty_received]],IF(T[[#This Row],[qty_received]]&gt;0,"Partial Received","Not Receviced"),"FullyReceived")</f>
        <v>FullyReceived</v>
      </c>
      <c r="Q2732" t="str">
        <f>IF(T[[#This Row],[qty_received]]&lt;&gt;T[[#This Row],[qty_invoiced]],IF(T[[#This Row],[qty_invoiced]]&gt;0,"Partial Invoiced","Not Invoiced"),"Fully Invoiced")</f>
        <v>Fully Invoiced</v>
      </c>
      <c r="R2732" t="str">
        <f>IFERROR(VLOOKUP(T[[#This Row],[warehouse]],Table2[],2,FALSE),"--")</f>
        <v>GINNING ISHRAG-MDNI</v>
      </c>
    </row>
    <row r="2733" spans="1:18" x14ac:dyDescent="0.25">
      <c r="A2733" t="s">
        <v>1114</v>
      </c>
      <c r="B2733" s="1">
        <v>44522</v>
      </c>
      <c r="C2733" t="s">
        <v>1733</v>
      </c>
      <c r="D2733" t="s">
        <v>88</v>
      </c>
      <c r="E2733" t="s">
        <v>660</v>
      </c>
      <c r="F2733" t="s">
        <v>1116</v>
      </c>
      <c r="G2733" t="s">
        <v>1117</v>
      </c>
      <c r="H2733" t="s">
        <v>54</v>
      </c>
      <c r="I2733">
        <v>1290</v>
      </c>
      <c r="J2733">
        <v>0</v>
      </c>
      <c r="K2733">
        <v>0</v>
      </c>
      <c r="L2733" t="s">
        <v>25</v>
      </c>
      <c r="M2733" t="s">
        <v>1485</v>
      </c>
      <c r="N2733">
        <v>0</v>
      </c>
      <c r="O2733">
        <v>0</v>
      </c>
      <c r="P2733" t="str">
        <f>IF(T[[#This Row],[qty_ordered]]&lt;&gt;T[[#This Row],[qty_received]],IF(T[[#This Row],[qty_received]]&gt;0,"Partial Received","Not Receviced"),"FullyReceived")</f>
        <v>Not Receviced</v>
      </c>
      <c r="Q2733" t="str">
        <f>IF(T[[#This Row],[qty_received]]&lt;&gt;T[[#This Row],[qty_invoiced]],IF(T[[#This Row],[qty_invoiced]]&gt;0,"Partial Invoiced","Not Invoiced"),"Fully Invoiced")</f>
        <v>Fully Invoiced</v>
      </c>
      <c r="R2733" t="str">
        <f>IFERROR(VLOOKUP(T[[#This Row],[warehouse]],Table2[],2,FALSE),"--")</f>
        <v>SLAUGHTER HOUSE</v>
      </c>
    </row>
    <row r="2734" spans="1:18" x14ac:dyDescent="0.25">
      <c r="A2734" t="s">
        <v>1114</v>
      </c>
      <c r="B2734" s="1">
        <v>44770</v>
      </c>
      <c r="C2734" t="s">
        <v>2260</v>
      </c>
      <c r="D2734" t="s">
        <v>88</v>
      </c>
      <c r="E2734" t="s">
        <v>1438</v>
      </c>
      <c r="F2734" t="s">
        <v>1439</v>
      </c>
      <c r="G2734" t="s">
        <v>1440</v>
      </c>
      <c r="H2734" t="s">
        <v>1087</v>
      </c>
      <c r="I2734">
        <v>1590</v>
      </c>
      <c r="J2734">
        <v>0</v>
      </c>
      <c r="K2734">
        <v>0</v>
      </c>
      <c r="L2734" t="s">
        <v>693</v>
      </c>
      <c r="M2734" t="s">
        <v>707</v>
      </c>
      <c r="N2734">
        <v>37421.383648000003</v>
      </c>
      <c r="O2734">
        <v>0</v>
      </c>
      <c r="P2734" t="str">
        <f>IF(T[[#This Row],[qty_ordered]]&lt;&gt;T[[#This Row],[qty_received]],IF(T[[#This Row],[qty_received]]&gt;0,"Partial Received","Not Receviced"),"FullyReceived")</f>
        <v>Not Receviced</v>
      </c>
      <c r="Q2734" t="str">
        <f>IF(T[[#This Row],[qty_received]]&lt;&gt;T[[#This Row],[qty_invoiced]],IF(T[[#This Row],[qty_invoiced]]&gt;0,"Partial Invoiced","Not Invoiced"),"Fully Invoiced")</f>
        <v>Fully Invoiced</v>
      </c>
      <c r="R2734" t="str">
        <f>IFERROR(VLOOKUP(T[[#This Row],[warehouse]],Table2[],2,FALSE),"--")</f>
        <v>Livestock Barn</v>
      </c>
    </row>
    <row r="2735" spans="1:18" x14ac:dyDescent="0.25">
      <c r="A2735" t="s">
        <v>235</v>
      </c>
      <c r="B2735" s="1">
        <v>44573</v>
      </c>
      <c r="C2735" t="s">
        <v>1951</v>
      </c>
      <c r="D2735" t="s">
        <v>614</v>
      </c>
      <c r="E2735" t="s">
        <v>51</v>
      </c>
      <c r="F2735" t="s">
        <v>546</v>
      </c>
      <c r="G2735" t="s">
        <v>2413</v>
      </c>
      <c r="H2735" t="s">
        <v>54</v>
      </c>
      <c r="I2735">
        <v>5200</v>
      </c>
      <c r="J2735">
        <v>0</v>
      </c>
      <c r="K2735">
        <v>1</v>
      </c>
      <c r="L2735" t="s">
        <v>693</v>
      </c>
      <c r="M2735" t="s">
        <v>533</v>
      </c>
      <c r="N2735">
        <v>17.961538000000001</v>
      </c>
      <c r="O2735">
        <v>0</v>
      </c>
      <c r="P2735" t="str">
        <f>IF(T[[#This Row],[qty_ordered]]&lt;&gt;T[[#This Row],[qty_received]],IF(T[[#This Row],[qty_received]]&gt;0,"Partial Received","Not Receviced"),"FullyReceived")</f>
        <v>Not Receviced</v>
      </c>
      <c r="Q2735" t="str">
        <f>IF(T[[#This Row],[qty_received]]&lt;&gt;T[[#This Row],[qty_invoiced]],IF(T[[#This Row],[qty_invoiced]]&gt;0,"Partial Invoiced","Not Invoiced"),"Fully Invoiced")</f>
        <v>Partial Invoiced</v>
      </c>
      <c r="R2735" t="str">
        <f>IFERROR(VLOOKUP(T[[#This Row],[warehouse]],Table2[],2,FALSE),"--")</f>
        <v>--</v>
      </c>
    </row>
    <row r="2736" spans="1:18" x14ac:dyDescent="0.25">
      <c r="A2736" t="s">
        <v>423</v>
      </c>
      <c r="B2736" s="1">
        <v>44546</v>
      </c>
      <c r="C2736" t="s">
        <v>1498</v>
      </c>
      <c r="D2736" t="s">
        <v>74</v>
      </c>
      <c r="E2736" t="s">
        <v>51</v>
      </c>
      <c r="F2736" t="s">
        <v>546</v>
      </c>
      <c r="G2736" t="s">
        <v>1955</v>
      </c>
      <c r="H2736" t="s">
        <v>54</v>
      </c>
      <c r="I2736">
        <v>4000</v>
      </c>
      <c r="J2736">
        <v>0</v>
      </c>
      <c r="K2736">
        <v>1</v>
      </c>
      <c r="L2736" t="s">
        <v>693</v>
      </c>
      <c r="M2736" t="s">
        <v>2836</v>
      </c>
      <c r="N2736">
        <v>16.5</v>
      </c>
      <c r="O2736">
        <v>0</v>
      </c>
      <c r="P2736" t="str">
        <f>IF(T[[#This Row],[qty_ordered]]&lt;&gt;T[[#This Row],[qty_received]],IF(T[[#This Row],[qty_received]]&gt;0,"Partial Received","Not Receviced"),"FullyReceived")</f>
        <v>Not Receviced</v>
      </c>
      <c r="Q2736" t="str">
        <f>IF(T[[#This Row],[qty_received]]&lt;&gt;T[[#This Row],[qty_invoiced]],IF(T[[#This Row],[qty_invoiced]]&gt;0,"Partial Invoiced","Not Invoiced"),"Fully Invoiced")</f>
        <v>Partial Invoiced</v>
      </c>
      <c r="R2736" t="str">
        <f>IFERROR(VLOOKUP(T[[#This Row],[warehouse]],Table2[],2,FALSE),"--")</f>
        <v>--</v>
      </c>
    </row>
    <row r="2737" spans="1:18" x14ac:dyDescent="0.25">
      <c r="A2737" t="s">
        <v>423</v>
      </c>
      <c r="B2737" s="1">
        <v>44649</v>
      </c>
      <c r="C2737" t="s">
        <v>1571</v>
      </c>
      <c r="D2737" t="s">
        <v>88</v>
      </c>
      <c r="E2737" t="s">
        <v>51</v>
      </c>
      <c r="F2737" t="s">
        <v>546</v>
      </c>
      <c r="G2737" t="s">
        <v>2414</v>
      </c>
      <c r="H2737" t="s">
        <v>54</v>
      </c>
      <c r="I2737">
        <v>20100</v>
      </c>
      <c r="J2737">
        <v>0</v>
      </c>
      <c r="K2737">
        <v>1</v>
      </c>
      <c r="L2737" t="s">
        <v>693</v>
      </c>
      <c r="M2737" t="s">
        <v>2836</v>
      </c>
      <c r="N2737">
        <v>15</v>
      </c>
      <c r="O2737">
        <v>0</v>
      </c>
      <c r="P2737" t="str">
        <f>IF(T[[#This Row],[qty_ordered]]&lt;&gt;T[[#This Row],[qty_received]],IF(T[[#This Row],[qty_received]]&gt;0,"Partial Received","Not Receviced"),"FullyReceived")</f>
        <v>Not Receviced</v>
      </c>
      <c r="Q2737" t="str">
        <f>IF(T[[#This Row],[qty_received]]&lt;&gt;T[[#This Row],[qty_invoiced]],IF(T[[#This Row],[qty_invoiced]]&gt;0,"Partial Invoiced","Not Invoiced"),"Fully Invoiced")</f>
        <v>Partial Invoiced</v>
      </c>
      <c r="R2737" t="str">
        <f>IFERROR(VLOOKUP(T[[#This Row],[warehouse]],Table2[],2,FALSE),"--")</f>
        <v>--</v>
      </c>
    </row>
    <row r="2738" spans="1:18" x14ac:dyDescent="0.25">
      <c r="A2738" t="s">
        <v>423</v>
      </c>
      <c r="B2738" s="1">
        <v>44783</v>
      </c>
      <c r="C2738" t="s">
        <v>2300</v>
      </c>
      <c r="D2738" t="s">
        <v>71</v>
      </c>
      <c r="E2738" t="s">
        <v>51</v>
      </c>
      <c r="F2738" t="s">
        <v>546</v>
      </c>
      <c r="G2738" t="s">
        <v>2415</v>
      </c>
      <c r="H2738" t="s">
        <v>54</v>
      </c>
      <c r="I2738">
        <v>3500</v>
      </c>
      <c r="J2738">
        <v>0</v>
      </c>
      <c r="K2738">
        <v>1</v>
      </c>
      <c r="L2738" t="s">
        <v>693</v>
      </c>
      <c r="M2738" t="s">
        <v>533</v>
      </c>
      <c r="N2738">
        <v>24</v>
      </c>
      <c r="O2738">
        <v>0</v>
      </c>
      <c r="P2738" t="str">
        <f>IF(T[[#This Row],[qty_ordered]]&lt;&gt;T[[#This Row],[qty_received]],IF(T[[#This Row],[qty_received]]&gt;0,"Partial Received","Not Receviced"),"FullyReceived")</f>
        <v>Not Receviced</v>
      </c>
      <c r="Q2738" t="str">
        <f>IF(T[[#This Row],[qty_received]]&lt;&gt;T[[#This Row],[qty_invoiced]],IF(T[[#This Row],[qty_invoiced]]&gt;0,"Partial Invoiced","Not Invoiced"),"Fully Invoiced")</f>
        <v>Partial Invoiced</v>
      </c>
      <c r="R2738" t="str">
        <f>IFERROR(VLOOKUP(T[[#This Row],[warehouse]],Table2[],2,FALSE),"--")</f>
        <v>--</v>
      </c>
    </row>
    <row r="2739" spans="1:18" x14ac:dyDescent="0.25">
      <c r="A2739" t="s">
        <v>303</v>
      </c>
      <c r="B2739" s="1">
        <v>44833</v>
      </c>
      <c r="C2739" t="s">
        <v>2416</v>
      </c>
      <c r="D2739" t="s">
        <v>20</v>
      </c>
      <c r="E2739" t="s">
        <v>66</v>
      </c>
      <c r="F2739" t="s">
        <v>697</v>
      </c>
      <c r="G2739" t="s">
        <v>698</v>
      </c>
      <c r="H2739" t="s">
        <v>531</v>
      </c>
      <c r="I2739">
        <v>223</v>
      </c>
      <c r="J2739">
        <v>223</v>
      </c>
      <c r="K2739">
        <v>223</v>
      </c>
      <c r="L2739" t="s">
        <v>693</v>
      </c>
      <c r="M2739" t="s">
        <v>707</v>
      </c>
      <c r="N2739">
        <v>57500</v>
      </c>
      <c r="O2739">
        <v>12822500</v>
      </c>
      <c r="P2739" t="str">
        <f>IF(T[[#This Row],[qty_ordered]]&lt;&gt;T[[#This Row],[qty_received]],IF(T[[#This Row],[qty_received]]&gt;0,"Partial Received","Not Receviced"),"FullyReceived")</f>
        <v>FullyReceived</v>
      </c>
      <c r="Q2739" t="str">
        <f>IF(T[[#This Row],[qty_received]]&lt;&gt;T[[#This Row],[qty_invoiced]],IF(T[[#This Row],[qty_invoiced]]&gt;0,"Partial Invoiced","Not Invoiced"),"Fully Invoiced")</f>
        <v>Fully Invoiced</v>
      </c>
      <c r="R2739" t="str">
        <f>IFERROR(VLOOKUP(T[[#This Row],[warehouse]],Table2[],2,FALSE),"--")</f>
        <v>PZU Main Warehouse</v>
      </c>
    </row>
    <row r="2740" spans="1:18" x14ac:dyDescent="0.25">
      <c r="A2740" t="s">
        <v>1218</v>
      </c>
      <c r="B2740" s="1">
        <v>44248</v>
      </c>
      <c r="C2740" t="s">
        <v>1219</v>
      </c>
      <c r="D2740" t="s">
        <v>100</v>
      </c>
      <c r="E2740" t="s">
        <v>1142</v>
      </c>
      <c r="F2740" t="s">
        <v>1221</v>
      </c>
      <c r="G2740" t="s">
        <v>1222</v>
      </c>
      <c r="H2740" t="s">
        <v>123</v>
      </c>
      <c r="I2740">
        <v>30300</v>
      </c>
      <c r="J2740">
        <v>30300</v>
      </c>
      <c r="K2740">
        <v>30300</v>
      </c>
      <c r="L2740" t="s">
        <v>693</v>
      </c>
      <c r="M2740" t="s">
        <v>1223</v>
      </c>
      <c r="N2740">
        <v>10103.66</v>
      </c>
      <c r="O2740">
        <v>306140898</v>
      </c>
      <c r="P2740" t="str">
        <f>IF(T[[#This Row],[qty_ordered]]&lt;&gt;T[[#This Row],[qty_received]],IF(T[[#This Row],[qty_received]]&gt;0,"Partial Received","Not Receviced"),"FullyReceived")</f>
        <v>FullyReceived</v>
      </c>
      <c r="Q2740" t="str">
        <f>IF(T[[#This Row],[qty_received]]&lt;&gt;T[[#This Row],[qty_invoiced]],IF(T[[#This Row],[qty_invoiced]]&gt;0,"Partial Invoiced","Not Invoiced"),"Fully Invoiced")</f>
        <v>Fully Invoiced</v>
      </c>
      <c r="R2740" t="str">
        <f>IFERROR(VLOOKUP(T[[#This Row],[warehouse]],Table2[],2,FALSE),"--")</f>
        <v>SAVOLA W/H FOR EXPOR</v>
      </c>
    </row>
    <row r="2741" spans="1:18" x14ac:dyDescent="0.25">
      <c r="A2741" t="s">
        <v>804</v>
      </c>
      <c r="B2741" s="1">
        <v>44286</v>
      </c>
      <c r="C2741" t="s">
        <v>1344</v>
      </c>
      <c r="D2741" t="s">
        <v>20</v>
      </c>
      <c r="E2741" t="s">
        <v>51</v>
      </c>
      <c r="F2741" t="s">
        <v>806</v>
      </c>
      <c r="G2741" t="s">
        <v>806</v>
      </c>
      <c r="H2741" t="s">
        <v>54</v>
      </c>
      <c r="I2741">
        <v>5000</v>
      </c>
      <c r="J2741">
        <v>0</v>
      </c>
      <c r="K2741">
        <v>1</v>
      </c>
      <c r="L2741" t="s">
        <v>25</v>
      </c>
      <c r="M2741" t="s">
        <v>132</v>
      </c>
      <c r="N2741">
        <v>2400</v>
      </c>
      <c r="O2741">
        <v>0</v>
      </c>
      <c r="P2741" t="str">
        <f>IF(T[[#This Row],[qty_ordered]]&lt;&gt;T[[#This Row],[qty_received]],IF(T[[#This Row],[qty_received]]&gt;0,"Partial Received","Not Receviced"),"FullyReceived")</f>
        <v>Not Receviced</v>
      </c>
      <c r="Q2741" t="str">
        <f>IF(T[[#This Row],[qty_received]]&lt;&gt;T[[#This Row],[qty_invoiced]],IF(T[[#This Row],[qty_invoiced]]&gt;0,"Partial Invoiced","Not Invoiced"),"Fully Invoiced")</f>
        <v>Partial Invoiced</v>
      </c>
      <c r="R2741" t="str">
        <f>IFERROR(VLOOKUP(T[[#This Row],[warehouse]],Table2[],2,FALSE),"--")</f>
        <v>--</v>
      </c>
    </row>
    <row r="2742" spans="1:18" x14ac:dyDescent="0.25">
      <c r="A2742" t="s">
        <v>242</v>
      </c>
      <c r="B2742" s="1">
        <v>44269</v>
      </c>
      <c r="C2742" t="s">
        <v>1266</v>
      </c>
      <c r="D2742" t="s">
        <v>71</v>
      </c>
      <c r="E2742" t="s">
        <v>66</v>
      </c>
      <c r="F2742" t="s">
        <v>86</v>
      </c>
      <c r="G2742" t="s">
        <v>87</v>
      </c>
      <c r="H2742" t="s">
        <v>24</v>
      </c>
      <c r="I2742">
        <v>1000</v>
      </c>
      <c r="J2742">
        <v>0</v>
      </c>
      <c r="K2742">
        <v>0</v>
      </c>
      <c r="L2742" t="s">
        <v>59</v>
      </c>
      <c r="M2742" t="s">
        <v>707</v>
      </c>
      <c r="N2742">
        <v>446000</v>
      </c>
      <c r="O2742">
        <v>0</v>
      </c>
      <c r="P2742" t="str">
        <f>IF(T[[#This Row],[qty_ordered]]&lt;&gt;T[[#This Row],[qty_received]],IF(T[[#This Row],[qty_received]]&gt;0,"Partial Received","Not Receviced"),"FullyReceived")</f>
        <v>Not Receviced</v>
      </c>
      <c r="Q2742" t="str">
        <f>IF(T[[#This Row],[qty_received]]&lt;&gt;T[[#This Row],[qty_invoiced]],IF(T[[#This Row],[qty_invoiced]]&gt;0,"Partial Invoiced","Not Invoiced"),"Fully Invoiced")</f>
        <v>Fully Invoiced</v>
      </c>
      <c r="R2742" t="str">
        <f>IFERROR(VLOOKUP(T[[#This Row],[warehouse]],Table2[],2,FALSE),"--")</f>
        <v>PZU Main Warehouse</v>
      </c>
    </row>
    <row r="2743" spans="1:18" x14ac:dyDescent="0.25">
      <c r="A2743" t="s">
        <v>242</v>
      </c>
      <c r="B2743" s="1">
        <v>44269</v>
      </c>
      <c r="C2743" t="s">
        <v>1266</v>
      </c>
      <c r="D2743" t="s">
        <v>100</v>
      </c>
      <c r="E2743" t="s">
        <v>66</v>
      </c>
      <c r="F2743" t="s">
        <v>86</v>
      </c>
      <c r="G2743" t="s">
        <v>87</v>
      </c>
      <c r="H2743" t="s">
        <v>24</v>
      </c>
      <c r="I2743">
        <v>541</v>
      </c>
      <c r="J2743">
        <v>0</v>
      </c>
      <c r="K2743">
        <v>0</v>
      </c>
      <c r="L2743" t="s">
        <v>59</v>
      </c>
      <c r="M2743" t="s">
        <v>707</v>
      </c>
      <c r="N2743">
        <v>380776.340111</v>
      </c>
      <c r="O2743">
        <v>0</v>
      </c>
      <c r="P2743" t="str">
        <f>IF(T[[#This Row],[qty_ordered]]&lt;&gt;T[[#This Row],[qty_received]],IF(T[[#This Row],[qty_received]]&gt;0,"Partial Received","Not Receviced"),"FullyReceived")</f>
        <v>Not Receviced</v>
      </c>
      <c r="Q2743" t="str">
        <f>IF(T[[#This Row],[qty_received]]&lt;&gt;T[[#This Row],[qty_invoiced]],IF(T[[#This Row],[qty_invoiced]]&gt;0,"Partial Invoiced","Not Invoiced"),"Fully Invoiced")</f>
        <v>Fully Invoiced</v>
      </c>
      <c r="R2743" t="str">
        <f>IFERROR(VLOOKUP(T[[#This Row],[warehouse]],Table2[],2,FALSE),"--")</f>
        <v>PZU Main Warehouse</v>
      </c>
    </row>
    <row r="2744" spans="1:18" x14ac:dyDescent="0.25">
      <c r="A2744" t="s">
        <v>739</v>
      </c>
      <c r="B2744" s="1">
        <v>44241</v>
      </c>
      <c r="C2744" t="s">
        <v>1225</v>
      </c>
      <c r="D2744" t="s">
        <v>323</v>
      </c>
      <c r="E2744" t="s">
        <v>660</v>
      </c>
      <c r="F2744" t="s">
        <v>705</v>
      </c>
      <c r="G2744" t="s">
        <v>706</v>
      </c>
      <c r="H2744" t="s">
        <v>663</v>
      </c>
      <c r="I2744">
        <v>2632.8</v>
      </c>
      <c r="J2744">
        <v>2632.8</v>
      </c>
      <c r="K2744">
        <v>2632.8</v>
      </c>
      <c r="L2744" t="s">
        <v>25</v>
      </c>
      <c r="M2744" t="s">
        <v>707</v>
      </c>
      <c r="N2744">
        <v>1620</v>
      </c>
      <c r="O2744">
        <v>4265136</v>
      </c>
      <c r="P2744" t="str">
        <f>IF(T[[#This Row],[qty_ordered]]&lt;&gt;T[[#This Row],[qty_received]],IF(T[[#This Row],[qty_received]]&gt;0,"Partial Received","Not Receviced"),"FullyReceived")</f>
        <v>FullyReceived</v>
      </c>
      <c r="Q2744" t="str">
        <f>IF(T[[#This Row],[qty_received]]&lt;&gt;T[[#This Row],[qty_invoiced]],IF(T[[#This Row],[qty_invoiced]]&gt;0,"Partial Invoiced","Not Invoiced"),"Fully Invoiced")</f>
        <v>Fully Invoiced</v>
      </c>
      <c r="R2744" t="str">
        <f>IFERROR(VLOOKUP(T[[#This Row],[warehouse]],Table2[],2,FALSE),"--")</f>
        <v>SLAUGHTER HOUSE</v>
      </c>
    </row>
    <row r="2745" spans="1:18" x14ac:dyDescent="0.25">
      <c r="A2745" t="s">
        <v>144</v>
      </c>
      <c r="B2745" s="1">
        <v>44293</v>
      </c>
      <c r="C2745" t="s">
        <v>1291</v>
      </c>
      <c r="D2745" t="s">
        <v>71</v>
      </c>
      <c r="E2745" t="s">
        <v>1142</v>
      </c>
      <c r="F2745" t="s">
        <v>151</v>
      </c>
      <c r="G2745" t="s">
        <v>152</v>
      </c>
      <c r="H2745" t="s">
        <v>149</v>
      </c>
      <c r="I2745">
        <v>63900</v>
      </c>
      <c r="J2745">
        <v>63900</v>
      </c>
      <c r="K2745">
        <v>63900</v>
      </c>
      <c r="L2745" t="s">
        <v>25</v>
      </c>
      <c r="M2745" t="s">
        <v>744</v>
      </c>
      <c r="N2745">
        <v>36.124560000000002</v>
      </c>
      <c r="O2745">
        <v>2308359.3840000001</v>
      </c>
      <c r="P2745" t="str">
        <f>IF(T[[#This Row],[qty_ordered]]&lt;&gt;T[[#This Row],[qty_received]],IF(T[[#This Row],[qty_received]]&gt;0,"Partial Received","Not Receviced"),"FullyReceived")</f>
        <v>FullyReceived</v>
      </c>
      <c r="Q2745" t="str">
        <f>IF(T[[#This Row],[qty_received]]&lt;&gt;T[[#This Row],[qty_invoiced]],IF(T[[#This Row],[qty_invoiced]]&gt;0,"Partial Invoiced","Not Invoiced"),"Fully Invoiced")</f>
        <v>Fully Invoiced</v>
      </c>
      <c r="R2745" t="str">
        <f>IFERROR(VLOOKUP(T[[#This Row],[warehouse]],Table2[],2,FALSE),"--")</f>
        <v>SAVOLA W/H FOR EXPOR</v>
      </c>
    </row>
    <row r="2746" spans="1:18" x14ac:dyDescent="0.25">
      <c r="A2746" t="s">
        <v>228</v>
      </c>
      <c r="B2746" s="1">
        <v>44294</v>
      </c>
      <c r="C2746" t="s">
        <v>1883</v>
      </c>
      <c r="D2746" t="s">
        <v>20</v>
      </c>
      <c r="E2746" t="s">
        <v>1289</v>
      </c>
      <c r="F2746" t="s">
        <v>406</v>
      </c>
      <c r="G2746" t="s">
        <v>407</v>
      </c>
      <c r="H2746" t="s">
        <v>24</v>
      </c>
      <c r="I2746">
        <v>2969.5479999999998</v>
      </c>
      <c r="J2746">
        <v>2969.5479999999998</v>
      </c>
      <c r="K2746">
        <v>2969.5479999999998</v>
      </c>
      <c r="L2746" t="s">
        <v>25</v>
      </c>
      <c r="M2746" t="s">
        <v>707</v>
      </c>
      <c r="N2746">
        <v>734250</v>
      </c>
      <c r="O2746">
        <v>2180390619</v>
      </c>
      <c r="P2746" t="str">
        <f>IF(T[[#This Row],[qty_ordered]]&lt;&gt;T[[#This Row],[qty_received]],IF(T[[#This Row],[qty_received]]&gt;0,"Partial Received","Not Receviced"),"FullyReceived")</f>
        <v>FullyReceived</v>
      </c>
      <c r="Q2746" t="str">
        <f>IF(T[[#This Row],[qty_received]]&lt;&gt;T[[#This Row],[qty_invoiced]],IF(T[[#This Row],[qty_invoiced]]&gt;0,"Partial Invoiced","Not Invoiced"),"Fully Invoiced")</f>
        <v>Fully Invoiced</v>
      </c>
      <c r="R2746" t="str">
        <f>IFERROR(VLOOKUP(T[[#This Row],[warehouse]],Table2[],2,FALSE),"--")</f>
        <v>MSG GINNING GDARIF</v>
      </c>
    </row>
    <row r="2747" spans="1:18" x14ac:dyDescent="0.25">
      <c r="A2747" t="s">
        <v>1287</v>
      </c>
      <c r="B2747" s="1">
        <v>44297</v>
      </c>
      <c r="C2747" t="s">
        <v>1309</v>
      </c>
      <c r="D2747" t="s">
        <v>20</v>
      </c>
      <c r="E2747" t="s">
        <v>1730</v>
      </c>
      <c r="F2747" t="s">
        <v>406</v>
      </c>
      <c r="G2747" t="s">
        <v>407</v>
      </c>
      <c r="H2747" t="s">
        <v>24</v>
      </c>
      <c r="I2747">
        <v>1420</v>
      </c>
      <c r="J2747">
        <v>27.2</v>
      </c>
      <c r="K2747">
        <v>27.2</v>
      </c>
      <c r="L2747" t="s">
        <v>25</v>
      </c>
      <c r="M2747" t="s">
        <v>132</v>
      </c>
      <c r="N2747">
        <v>756500</v>
      </c>
      <c r="O2747">
        <v>20576800</v>
      </c>
      <c r="P2747" t="str">
        <f>IF(T[[#This Row],[qty_ordered]]&lt;&gt;T[[#This Row],[qty_received]],IF(T[[#This Row],[qty_received]]&gt;0,"Partial Received","Not Receviced"),"FullyReceived")</f>
        <v>Partial Received</v>
      </c>
      <c r="Q2747" t="str">
        <f>IF(T[[#This Row],[qty_received]]&lt;&gt;T[[#This Row],[qty_invoiced]],IF(T[[#This Row],[qty_invoiced]]&gt;0,"Partial Invoiced","Not Invoiced"),"Fully Invoiced")</f>
        <v>Fully Invoiced</v>
      </c>
      <c r="R2747" t="str">
        <f>IFERROR(VLOOKUP(T[[#This Row],[warehouse]],Table2[],2,FALSE),"--")</f>
        <v>MSG GINNING MDANI</v>
      </c>
    </row>
    <row r="2748" spans="1:18" x14ac:dyDescent="0.25">
      <c r="A2748" t="s">
        <v>1059</v>
      </c>
      <c r="B2748" s="1">
        <v>44303</v>
      </c>
      <c r="C2748" t="s">
        <v>1895</v>
      </c>
      <c r="D2748" t="s">
        <v>20</v>
      </c>
      <c r="E2748" t="s">
        <v>51</v>
      </c>
      <c r="F2748" t="s">
        <v>265</v>
      </c>
      <c r="G2748" t="s">
        <v>1896</v>
      </c>
      <c r="H2748" t="s">
        <v>54</v>
      </c>
      <c r="I2748">
        <v>326</v>
      </c>
      <c r="J2748">
        <v>0</v>
      </c>
      <c r="K2748">
        <v>1</v>
      </c>
      <c r="L2748" t="s">
        <v>25</v>
      </c>
      <c r="M2748" t="s">
        <v>533</v>
      </c>
      <c r="N2748">
        <v>3500</v>
      </c>
      <c r="O2748">
        <v>0</v>
      </c>
      <c r="P2748" t="str">
        <f>IF(T[[#This Row],[qty_ordered]]&lt;&gt;T[[#This Row],[qty_received]],IF(T[[#This Row],[qty_received]]&gt;0,"Partial Received","Not Receviced"),"FullyReceived")</f>
        <v>Not Receviced</v>
      </c>
      <c r="Q2748" t="str">
        <f>IF(T[[#This Row],[qty_received]]&lt;&gt;T[[#This Row],[qty_invoiced]],IF(T[[#This Row],[qty_invoiced]]&gt;0,"Partial Invoiced","Not Invoiced"),"Fully Invoiced")</f>
        <v>Partial Invoiced</v>
      </c>
      <c r="R2748" t="str">
        <f>IFERROR(VLOOKUP(T[[#This Row],[warehouse]],Table2[],2,FALSE),"--")</f>
        <v>--</v>
      </c>
    </row>
    <row r="2749" spans="1:18" x14ac:dyDescent="0.25">
      <c r="A2749" t="s">
        <v>1059</v>
      </c>
      <c r="B2749" s="1">
        <v>44303</v>
      </c>
      <c r="C2749" t="s">
        <v>1895</v>
      </c>
      <c r="D2749" t="s">
        <v>71</v>
      </c>
      <c r="E2749" t="s">
        <v>51</v>
      </c>
      <c r="F2749" t="s">
        <v>265</v>
      </c>
      <c r="G2749" t="s">
        <v>1896</v>
      </c>
      <c r="H2749" t="s">
        <v>54</v>
      </c>
      <c r="I2749">
        <v>370</v>
      </c>
      <c r="J2749">
        <v>0</v>
      </c>
      <c r="K2749">
        <v>1</v>
      </c>
      <c r="L2749" t="s">
        <v>25</v>
      </c>
      <c r="M2749" t="s">
        <v>533</v>
      </c>
      <c r="N2749">
        <v>2975</v>
      </c>
      <c r="O2749">
        <v>0</v>
      </c>
      <c r="P2749" t="str">
        <f>IF(T[[#This Row],[qty_ordered]]&lt;&gt;T[[#This Row],[qty_received]],IF(T[[#This Row],[qty_received]]&gt;0,"Partial Received","Not Receviced"),"FullyReceived")</f>
        <v>Not Receviced</v>
      </c>
      <c r="Q2749" t="str">
        <f>IF(T[[#This Row],[qty_received]]&lt;&gt;T[[#This Row],[qty_invoiced]],IF(T[[#This Row],[qty_invoiced]]&gt;0,"Partial Invoiced","Not Invoiced"),"Fully Invoiced")</f>
        <v>Partial Invoiced</v>
      </c>
      <c r="R2749" t="str">
        <f>IFERROR(VLOOKUP(T[[#This Row],[warehouse]],Table2[],2,FALSE),"--")</f>
        <v>--</v>
      </c>
    </row>
    <row r="2750" spans="1:18" x14ac:dyDescent="0.25">
      <c r="A2750" t="s">
        <v>201</v>
      </c>
      <c r="B2750" s="1">
        <v>44306</v>
      </c>
      <c r="C2750" t="s">
        <v>1897</v>
      </c>
      <c r="D2750" t="s">
        <v>20</v>
      </c>
      <c r="E2750" t="s">
        <v>1220</v>
      </c>
      <c r="F2750" t="s">
        <v>1338</v>
      </c>
      <c r="G2750" t="s">
        <v>1339</v>
      </c>
      <c r="H2750" t="s">
        <v>123</v>
      </c>
      <c r="I2750">
        <v>90000</v>
      </c>
      <c r="J2750">
        <v>90000</v>
      </c>
      <c r="K2750">
        <v>90000</v>
      </c>
      <c r="L2750" t="s">
        <v>25</v>
      </c>
      <c r="M2750" t="s">
        <v>744</v>
      </c>
      <c r="N2750">
        <v>11606.821128</v>
      </c>
      <c r="O2750">
        <v>937016568.29396701</v>
      </c>
      <c r="P2750" t="str">
        <f>IF(T[[#This Row],[qty_ordered]]&lt;&gt;T[[#This Row],[qty_received]],IF(T[[#This Row],[qty_received]]&gt;0,"Partial Received","Not Receviced"),"FullyReceived")</f>
        <v>FullyReceived</v>
      </c>
      <c r="Q2750" t="str">
        <f>IF(T[[#This Row],[qty_received]]&lt;&gt;T[[#This Row],[qty_invoiced]],IF(T[[#This Row],[qty_invoiced]]&gt;0,"Partial Invoiced","Not Invoiced"),"Fully Invoiced")</f>
        <v>Fully Invoiced</v>
      </c>
      <c r="R2750" t="str">
        <f>IFERROR(VLOOKUP(T[[#This Row],[warehouse]],Table2[],2,FALSE),"--")</f>
        <v>Import Virtual Warehouse - PZU</v>
      </c>
    </row>
    <row r="2751" spans="1:18" x14ac:dyDescent="0.25">
      <c r="A2751" t="s">
        <v>201</v>
      </c>
      <c r="B2751" s="1">
        <v>44306</v>
      </c>
      <c r="C2751" t="s">
        <v>1897</v>
      </c>
      <c r="D2751" t="s">
        <v>71</v>
      </c>
      <c r="E2751" t="s">
        <v>1220</v>
      </c>
      <c r="F2751" t="s">
        <v>1338</v>
      </c>
      <c r="G2751" t="s">
        <v>1339</v>
      </c>
      <c r="H2751" t="s">
        <v>123</v>
      </c>
      <c r="I2751">
        <v>50000</v>
      </c>
      <c r="J2751">
        <v>50000</v>
      </c>
      <c r="K2751">
        <v>50000</v>
      </c>
      <c r="L2751" t="s">
        <v>25</v>
      </c>
      <c r="M2751" t="s">
        <v>744</v>
      </c>
      <c r="N2751">
        <v>9982.5480000000007</v>
      </c>
      <c r="O2751">
        <v>499127400</v>
      </c>
      <c r="P2751" t="str">
        <f>IF(T[[#This Row],[qty_ordered]]&lt;&gt;T[[#This Row],[qty_received]],IF(T[[#This Row],[qty_received]]&gt;0,"Partial Received","Not Receviced"),"FullyReceived")</f>
        <v>FullyReceived</v>
      </c>
      <c r="Q2751" t="str">
        <f>IF(T[[#This Row],[qty_received]]&lt;&gt;T[[#This Row],[qty_invoiced]],IF(T[[#This Row],[qty_invoiced]]&gt;0,"Partial Invoiced","Not Invoiced"),"Fully Invoiced")</f>
        <v>Fully Invoiced</v>
      </c>
      <c r="R2751" t="str">
        <f>IFERROR(VLOOKUP(T[[#This Row],[warehouse]],Table2[],2,FALSE),"--")</f>
        <v>Import Virtual Warehouse - PZU</v>
      </c>
    </row>
    <row r="2752" spans="1:18" x14ac:dyDescent="0.25">
      <c r="A2752" t="s">
        <v>560</v>
      </c>
      <c r="B2752" s="1">
        <v>44606</v>
      </c>
      <c r="C2752" t="s">
        <v>1544</v>
      </c>
      <c r="D2752" t="s">
        <v>324</v>
      </c>
      <c r="E2752" t="s">
        <v>51</v>
      </c>
      <c r="F2752" t="s">
        <v>164</v>
      </c>
      <c r="G2752" t="s">
        <v>2398</v>
      </c>
      <c r="H2752" t="s">
        <v>54</v>
      </c>
      <c r="I2752">
        <v>21</v>
      </c>
      <c r="J2752">
        <v>0</v>
      </c>
      <c r="K2752">
        <v>1</v>
      </c>
      <c r="L2752" t="s">
        <v>693</v>
      </c>
      <c r="M2752" t="s">
        <v>2836</v>
      </c>
      <c r="N2752">
        <v>9450</v>
      </c>
      <c r="O2752">
        <v>0</v>
      </c>
      <c r="P2752" t="str">
        <f>IF(T[[#This Row],[qty_ordered]]&lt;&gt;T[[#This Row],[qty_received]],IF(T[[#This Row],[qty_received]]&gt;0,"Partial Received","Not Receviced"),"FullyReceived")</f>
        <v>Not Receviced</v>
      </c>
      <c r="Q2752" t="str">
        <f>IF(T[[#This Row],[qty_received]]&lt;&gt;T[[#This Row],[qty_invoiced]],IF(T[[#This Row],[qty_invoiced]]&gt;0,"Partial Invoiced","Not Invoiced"),"Fully Invoiced")</f>
        <v>Partial Invoiced</v>
      </c>
      <c r="R2752" t="str">
        <f>IFERROR(VLOOKUP(T[[#This Row],[warehouse]],Table2[],2,FALSE),"--")</f>
        <v>--</v>
      </c>
    </row>
    <row r="2753" spans="1:18" x14ac:dyDescent="0.25">
      <c r="A2753" t="s">
        <v>560</v>
      </c>
      <c r="B2753" s="1">
        <v>44606</v>
      </c>
      <c r="C2753" t="s">
        <v>1544</v>
      </c>
      <c r="D2753" t="s">
        <v>325</v>
      </c>
      <c r="E2753" t="s">
        <v>51</v>
      </c>
      <c r="F2753" t="s">
        <v>164</v>
      </c>
      <c r="G2753" t="s">
        <v>2398</v>
      </c>
      <c r="H2753" t="s">
        <v>54</v>
      </c>
      <c r="I2753">
        <v>29.5</v>
      </c>
      <c r="J2753">
        <v>0</v>
      </c>
      <c r="K2753">
        <v>1</v>
      </c>
      <c r="L2753" t="s">
        <v>693</v>
      </c>
      <c r="M2753" t="s">
        <v>2836</v>
      </c>
      <c r="N2753">
        <v>9450</v>
      </c>
      <c r="O2753">
        <v>0</v>
      </c>
      <c r="P2753" t="str">
        <f>IF(T[[#This Row],[qty_ordered]]&lt;&gt;T[[#This Row],[qty_received]],IF(T[[#This Row],[qty_received]]&gt;0,"Partial Received","Not Receviced"),"FullyReceived")</f>
        <v>Not Receviced</v>
      </c>
      <c r="Q2753" t="str">
        <f>IF(T[[#This Row],[qty_received]]&lt;&gt;T[[#This Row],[qty_invoiced]],IF(T[[#This Row],[qty_invoiced]]&gt;0,"Partial Invoiced","Not Invoiced"),"Fully Invoiced")</f>
        <v>Partial Invoiced</v>
      </c>
      <c r="R2753" t="str">
        <f>IFERROR(VLOOKUP(T[[#This Row],[warehouse]],Table2[],2,FALSE),"--")</f>
        <v>--</v>
      </c>
    </row>
    <row r="2754" spans="1:18" x14ac:dyDescent="0.25">
      <c r="A2754" t="s">
        <v>560</v>
      </c>
      <c r="B2754" s="1">
        <v>44606</v>
      </c>
      <c r="C2754" t="s">
        <v>1544</v>
      </c>
      <c r="D2754" t="s">
        <v>451</v>
      </c>
      <c r="E2754" t="s">
        <v>51</v>
      </c>
      <c r="F2754" t="s">
        <v>164</v>
      </c>
      <c r="G2754" t="s">
        <v>2398</v>
      </c>
      <c r="H2754" t="s">
        <v>54</v>
      </c>
      <c r="I2754">
        <v>27.38</v>
      </c>
      <c r="J2754">
        <v>0</v>
      </c>
      <c r="K2754">
        <v>1</v>
      </c>
      <c r="L2754" t="s">
        <v>693</v>
      </c>
      <c r="M2754" t="s">
        <v>2836</v>
      </c>
      <c r="N2754">
        <v>9450</v>
      </c>
      <c r="O2754">
        <v>0</v>
      </c>
      <c r="P2754" t="str">
        <f>IF(T[[#This Row],[qty_ordered]]&lt;&gt;T[[#This Row],[qty_received]],IF(T[[#This Row],[qty_received]]&gt;0,"Partial Received","Not Receviced"),"FullyReceived")</f>
        <v>Not Receviced</v>
      </c>
      <c r="Q2754" t="str">
        <f>IF(T[[#This Row],[qty_received]]&lt;&gt;T[[#This Row],[qty_invoiced]],IF(T[[#This Row],[qty_invoiced]]&gt;0,"Partial Invoiced","Not Invoiced"),"Fully Invoiced")</f>
        <v>Partial Invoiced</v>
      </c>
      <c r="R2754" t="str">
        <f>IFERROR(VLOOKUP(T[[#This Row],[warehouse]],Table2[],2,FALSE),"--")</f>
        <v>--</v>
      </c>
    </row>
    <row r="2755" spans="1:18" x14ac:dyDescent="0.25">
      <c r="A2755" t="s">
        <v>560</v>
      </c>
      <c r="B2755" s="1">
        <v>44544</v>
      </c>
      <c r="C2755" t="s">
        <v>1522</v>
      </c>
      <c r="D2755" t="s">
        <v>863</v>
      </c>
      <c r="E2755" t="s">
        <v>51</v>
      </c>
      <c r="F2755" t="s">
        <v>164</v>
      </c>
      <c r="G2755" t="s">
        <v>2399</v>
      </c>
      <c r="H2755" t="s">
        <v>54</v>
      </c>
      <c r="I2755">
        <v>47.88</v>
      </c>
      <c r="J2755">
        <v>0</v>
      </c>
      <c r="K2755">
        <v>1</v>
      </c>
      <c r="L2755" t="s">
        <v>693</v>
      </c>
      <c r="M2755" t="s">
        <v>2836</v>
      </c>
      <c r="N2755">
        <v>9450</v>
      </c>
      <c r="O2755">
        <v>0</v>
      </c>
      <c r="P2755" t="str">
        <f>IF(T[[#This Row],[qty_ordered]]&lt;&gt;T[[#This Row],[qty_received]],IF(T[[#This Row],[qty_received]]&gt;0,"Partial Received","Not Receviced"),"FullyReceived")</f>
        <v>Not Receviced</v>
      </c>
      <c r="Q2755" t="str">
        <f>IF(T[[#This Row],[qty_received]]&lt;&gt;T[[#This Row],[qty_invoiced]],IF(T[[#This Row],[qty_invoiced]]&gt;0,"Partial Invoiced","Not Invoiced"),"Fully Invoiced")</f>
        <v>Partial Invoiced</v>
      </c>
      <c r="R2755" t="str">
        <f>IFERROR(VLOOKUP(T[[#This Row],[warehouse]],Table2[],2,FALSE),"--")</f>
        <v>--</v>
      </c>
    </row>
    <row r="2756" spans="1:18" x14ac:dyDescent="0.25">
      <c r="A2756" t="s">
        <v>560</v>
      </c>
      <c r="B2756" s="1">
        <v>44544</v>
      </c>
      <c r="C2756" t="s">
        <v>1522</v>
      </c>
      <c r="D2756" t="s">
        <v>864</v>
      </c>
      <c r="E2756" t="s">
        <v>51</v>
      </c>
      <c r="F2756" t="s">
        <v>164</v>
      </c>
      <c r="G2756" t="s">
        <v>2399</v>
      </c>
      <c r="H2756" t="s">
        <v>54</v>
      </c>
      <c r="I2756">
        <v>2</v>
      </c>
      <c r="J2756">
        <v>0</v>
      </c>
      <c r="K2756">
        <v>1</v>
      </c>
      <c r="L2756" t="s">
        <v>693</v>
      </c>
      <c r="M2756" t="s">
        <v>2836</v>
      </c>
      <c r="N2756">
        <v>9450</v>
      </c>
      <c r="O2756">
        <v>0</v>
      </c>
      <c r="P2756" t="str">
        <f>IF(T[[#This Row],[qty_ordered]]&lt;&gt;T[[#This Row],[qty_received]],IF(T[[#This Row],[qty_received]]&gt;0,"Partial Received","Not Receviced"),"FullyReceived")</f>
        <v>Not Receviced</v>
      </c>
      <c r="Q2756" t="str">
        <f>IF(T[[#This Row],[qty_received]]&lt;&gt;T[[#This Row],[qty_invoiced]],IF(T[[#This Row],[qty_invoiced]]&gt;0,"Partial Invoiced","Not Invoiced"),"Fully Invoiced")</f>
        <v>Partial Invoiced</v>
      </c>
      <c r="R2756" t="str">
        <f>IFERROR(VLOOKUP(T[[#This Row],[warehouse]],Table2[],2,FALSE),"--")</f>
        <v>--</v>
      </c>
    </row>
    <row r="2757" spans="1:18" x14ac:dyDescent="0.25">
      <c r="A2757" t="s">
        <v>560</v>
      </c>
      <c r="B2757" s="1">
        <v>44544</v>
      </c>
      <c r="C2757" t="s">
        <v>1522</v>
      </c>
      <c r="D2757" t="s">
        <v>566</v>
      </c>
      <c r="E2757" t="s">
        <v>51</v>
      </c>
      <c r="F2757" t="s">
        <v>164</v>
      </c>
      <c r="G2757" t="s">
        <v>2399</v>
      </c>
      <c r="H2757" t="s">
        <v>54</v>
      </c>
      <c r="I2757">
        <v>27.5</v>
      </c>
      <c r="J2757">
        <v>0</v>
      </c>
      <c r="K2757">
        <v>1</v>
      </c>
      <c r="L2757" t="s">
        <v>693</v>
      </c>
      <c r="M2757" t="s">
        <v>2836</v>
      </c>
      <c r="N2757">
        <v>9450</v>
      </c>
      <c r="O2757">
        <v>0</v>
      </c>
      <c r="P2757" t="str">
        <f>IF(T[[#This Row],[qty_ordered]]&lt;&gt;T[[#This Row],[qty_received]],IF(T[[#This Row],[qty_received]]&gt;0,"Partial Received","Not Receviced"),"FullyReceived")</f>
        <v>Not Receviced</v>
      </c>
      <c r="Q2757" t="str">
        <f>IF(T[[#This Row],[qty_received]]&lt;&gt;T[[#This Row],[qty_invoiced]],IF(T[[#This Row],[qty_invoiced]]&gt;0,"Partial Invoiced","Not Invoiced"),"Fully Invoiced")</f>
        <v>Partial Invoiced</v>
      </c>
      <c r="R2757" t="str">
        <f>IFERROR(VLOOKUP(T[[#This Row],[warehouse]],Table2[],2,FALSE),"--")</f>
        <v>--</v>
      </c>
    </row>
    <row r="2758" spans="1:18" x14ac:dyDescent="0.25">
      <c r="A2758" t="s">
        <v>560</v>
      </c>
      <c r="B2758" s="1">
        <v>44746</v>
      </c>
      <c r="C2758" t="s">
        <v>1771</v>
      </c>
      <c r="D2758" t="s">
        <v>74</v>
      </c>
      <c r="E2758" t="s">
        <v>51</v>
      </c>
      <c r="F2758" t="s">
        <v>164</v>
      </c>
      <c r="G2758" t="s">
        <v>2400</v>
      </c>
      <c r="H2758" t="s">
        <v>54</v>
      </c>
      <c r="I2758">
        <v>10.88</v>
      </c>
      <c r="J2758">
        <v>0</v>
      </c>
      <c r="K2758">
        <v>1</v>
      </c>
      <c r="L2758" t="s">
        <v>693</v>
      </c>
      <c r="M2758" t="s">
        <v>2836</v>
      </c>
      <c r="N2758">
        <v>9450</v>
      </c>
      <c r="O2758">
        <v>0</v>
      </c>
      <c r="P2758" t="str">
        <f>IF(T[[#This Row],[qty_ordered]]&lt;&gt;T[[#This Row],[qty_received]],IF(T[[#This Row],[qty_received]]&gt;0,"Partial Received","Not Receviced"),"FullyReceived")</f>
        <v>Not Receviced</v>
      </c>
      <c r="Q2758" t="str">
        <f>IF(T[[#This Row],[qty_received]]&lt;&gt;T[[#This Row],[qty_invoiced]],IF(T[[#This Row],[qty_invoiced]]&gt;0,"Partial Invoiced","Not Invoiced"),"Fully Invoiced")</f>
        <v>Partial Invoiced</v>
      </c>
      <c r="R2758" t="str">
        <f>IFERROR(VLOOKUP(T[[#This Row],[warehouse]],Table2[],2,FALSE),"--")</f>
        <v>--</v>
      </c>
    </row>
    <row r="2759" spans="1:18" x14ac:dyDescent="0.25">
      <c r="A2759" t="s">
        <v>560</v>
      </c>
      <c r="B2759" s="1">
        <v>44746</v>
      </c>
      <c r="C2759" t="s">
        <v>1771</v>
      </c>
      <c r="D2759" t="s">
        <v>76</v>
      </c>
      <c r="E2759" t="s">
        <v>51</v>
      </c>
      <c r="F2759" t="s">
        <v>164</v>
      </c>
      <c r="G2759" t="s">
        <v>2400</v>
      </c>
      <c r="H2759" t="s">
        <v>54</v>
      </c>
      <c r="I2759">
        <v>27</v>
      </c>
      <c r="J2759">
        <v>0</v>
      </c>
      <c r="K2759">
        <v>1</v>
      </c>
      <c r="L2759" t="s">
        <v>693</v>
      </c>
      <c r="M2759" t="s">
        <v>2836</v>
      </c>
      <c r="N2759">
        <v>9450</v>
      </c>
      <c r="O2759">
        <v>0</v>
      </c>
      <c r="P2759" t="str">
        <f>IF(T[[#This Row],[qty_ordered]]&lt;&gt;T[[#This Row],[qty_received]],IF(T[[#This Row],[qty_received]]&gt;0,"Partial Received","Not Receviced"),"FullyReceived")</f>
        <v>Not Receviced</v>
      </c>
      <c r="Q2759" t="str">
        <f>IF(T[[#This Row],[qty_received]]&lt;&gt;T[[#This Row],[qty_invoiced]],IF(T[[#This Row],[qty_invoiced]]&gt;0,"Partial Invoiced","Not Invoiced"),"Fully Invoiced")</f>
        <v>Partial Invoiced</v>
      </c>
      <c r="R2759" t="str">
        <f>IFERROR(VLOOKUP(T[[#This Row],[warehouse]],Table2[],2,FALSE),"--")</f>
        <v>--</v>
      </c>
    </row>
    <row r="2760" spans="1:18" x14ac:dyDescent="0.25">
      <c r="A2760" t="s">
        <v>560</v>
      </c>
      <c r="B2760" s="1">
        <v>44746</v>
      </c>
      <c r="C2760" t="s">
        <v>1771</v>
      </c>
      <c r="D2760" t="s">
        <v>212</v>
      </c>
      <c r="E2760" t="s">
        <v>51</v>
      </c>
      <c r="F2760" t="s">
        <v>164</v>
      </c>
      <c r="G2760" t="s">
        <v>2401</v>
      </c>
      <c r="H2760" t="s">
        <v>54</v>
      </c>
      <c r="I2760">
        <v>27</v>
      </c>
      <c r="J2760">
        <v>0</v>
      </c>
      <c r="K2760">
        <v>1</v>
      </c>
      <c r="L2760" t="s">
        <v>693</v>
      </c>
      <c r="M2760" t="s">
        <v>2836</v>
      </c>
      <c r="N2760">
        <v>9450</v>
      </c>
      <c r="O2760">
        <v>0</v>
      </c>
      <c r="P2760" t="str">
        <f>IF(T[[#This Row],[qty_ordered]]&lt;&gt;T[[#This Row],[qty_received]],IF(T[[#This Row],[qty_received]]&gt;0,"Partial Received","Not Receviced"),"FullyReceived")</f>
        <v>Not Receviced</v>
      </c>
      <c r="Q2760" t="str">
        <f>IF(T[[#This Row],[qty_received]]&lt;&gt;T[[#This Row],[qty_invoiced]],IF(T[[#This Row],[qty_invoiced]]&gt;0,"Partial Invoiced","Not Invoiced"),"Fully Invoiced")</f>
        <v>Partial Invoiced</v>
      </c>
      <c r="R2760" t="str">
        <f>IFERROR(VLOOKUP(T[[#This Row],[warehouse]],Table2[],2,FALSE),"--")</f>
        <v>--</v>
      </c>
    </row>
    <row r="2761" spans="1:18" x14ac:dyDescent="0.25">
      <c r="A2761" t="s">
        <v>560</v>
      </c>
      <c r="B2761" s="1">
        <v>44572</v>
      </c>
      <c r="C2761" t="s">
        <v>1651</v>
      </c>
      <c r="D2761" t="s">
        <v>759</v>
      </c>
      <c r="E2761" t="s">
        <v>51</v>
      </c>
      <c r="F2761" t="s">
        <v>164</v>
      </c>
      <c r="G2761" t="s">
        <v>2402</v>
      </c>
      <c r="H2761" t="s">
        <v>54</v>
      </c>
      <c r="I2761">
        <v>15.63</v>
      </c>
      <c r="J2761">
        <v>0</v>
      </c>
      <c r="K2761">
        <v>1</v>
      </c>
      <c r="L2761" t="s">
        <v>693</v>
      </c>
      <c r="M2761" t="s">
        <v>2836</v>
      </c>
      <c r="N2761">
        <v>9450</v>
      </c>
      <c r="O2761">
        <v>0</v>
      </c>
      <c r="P2761" t="str">
        <f>IF(T[[#This Row],[qty_ordered]]&lt;&gt;T[[#This Row],[qty_received]],IF(T[[#This Row],[qty_received]]&gt;0,"Partial Received","Not Receviced"),"FullyReceived")</f>
        <v>Not Receviced</v>
      </c>
      <c r="Q2761" t="str">
        <f>IF(T[[#This Row],[qty_received]]&lt;&gt;T[[#This Row],[qty_invoiced]],IF(T[[#This Row],[qty_invoiced]]&gt;0,"Partial Invoiced","Not Invoiced"),"Fully Invoiced")</f>
        <v>Partial Invoiced</v>
      </c>
      <c r="R2761" t="str">
        <f>IFERROR(VLOOKUP(T[[#This Row],[warehouse]],Table2[],2,FALSE),"--")</f>
        <v>--</v>
      </c>
    </row>
    <row r="2762" spans="1:18" x14ac:dyDescent="0.25">
      <c r="A2762" t="s">
        <v>560</v>
      </c>
      <c r="B2762" s="1">
        <v>44572</v>
      </c>
      <c r="C2762" t="s">
        <v>1651</v>
      </c>
      <c r="D2762" t="s">
        <v>694</v>
      </c>
      <c r="E2762" t="s">
        <v>51</v>
      </c>
      <c r="F2762" t="s">
        <v>164</v>
      </c>
      <c r="G2762" t="s">
        <v>2402</v>
      </c>
      <c r="H2762" t="s">
        <v>54</v>
      </c>
      <c r="I2762">
        <v>10</v>
      </c>
      <c r="J2762">
        <v>0</v>
      </c>
      <c r="K2762">
        <v>1</v>
      </c>
      <c r="L2762" t="s">
        <v>693</v>
      </c>
      <c r="M2762" t="s">
        <v>2836</v>
      </c>
      <c r="N2762">
        <v>9450</v>
      </c>
      <c r="O2762">
        <v>0</v>
      </c>
      <c r="P2762" t="str">
        <f>IF(T[[#This Row],[qty_ordered]]&lt;&gt;T[[#This Row],[qty_received]],IF(T[[#This Row],[qty_received]]&gt;0,"Partial Received","Not Receviced"),"FullyReceived")</f>
        <v>Not Receviced</v>
      </c>
      <c r="Q2762" t="str">
        <f>IF(T[[#This Row],[qty_received]]&lt;&gt;T[[#This Row],[qty_invoiced]],IF(T[[#This Row],[qty_invoiced]]&gt;0,"Partial Invoiced","Not Invoiced"),"Fully Invoiced")</f>
        <v>Partial Invoiced</v>
      </c>
      <c r="R2762" t="str">
        <f>IFERROR(VLOOKUP(T[[#This Row],[warehouse]],Table2[],2,FALSE),"--")</f>
        <v>--</v>
      </c>
    </row>
    <row r="2763" spans="1:18" x14ac:dyDescent="0.25">
      <c r="A2763" t="s">
        <v>560</v>
      </c>
      <c r="B2763" s="1">
        <v>44572</v>
      </c>
      <c r="C2763" t="s">
        <v>1651</v>
      </c>
      <c r="D2763" t="s">
        <v>760</v>
      </c>
      <c r="E2763" t="s">
        <v>51</v>
      </c>
      <c r="F2763" t="s">
        <v>164</v>
      </c>
      <c r="G2763" t="s">
        <v>2422</v>
      </c>
      <c r="H2763" t="s">
        <v>54</v>
      </c>
      <c r="I2763">
        <v>29.63</v>
      </c>
      <c r="J2763">
        <v>0</v>
      </c>
      <c r="K2763">
        <v>1</v>
      </c>
      <c r="L2763" t="s">
        <v>693</v>
      </c>
      <c r="M2763" t="s">
        <v>2836</v>
      </c>
      <c r="N2763">
        <v>9450</v>
      </c>
      <c r="O2763">
        <v>0</v>
      </c>
      <c r="P2763" t="str">
        <f>IF(T[[#This Row],[qty_ordered]]&lt;&gt;T[[#This Row],[qty_received]],IF(T[[#This Row],[qty_received]]&gt;0,"Partial Received","Not Receviced"),"FullyReceived")</f>
        <v>Not Receviced</v>
      </c>
      <c r="Q2763" t="str">
        <f>IF(T[[#This Row],[qty_received]]&lt;&gt;T[[#This Row],[qty_invoiced]],IF(T[[#This Row],[qty_invoiced]]&gt;0,"Partial Invoiced","Not Invoiced"),"Fully Invoiced")</f>
        <v>Partial Invoiced</v>
      </c>
      <c r="R2763" t="str">
        <f>IFERROR(VLOOKUP(T[[#This Row],[warehouse]],Table2[],2,FALSE),"--")</f>
        <v>--</v>
      </c>
    </row>
    <row r="2764" spans="1:18" x14ac:dyDescent="0.25">
      <c r="A2764" t="s">
        <v>303</v>
      </c>
      <c r="B2764" s="1">
        <v>44746</v>
      </c>
      <c r="C2764" t="s">
        <v>2226</v>
      </c>
      <c r="D2764" t="s">
        <v>88</v>
      </c>
      <c r="E2764" t="s">
        <v>66</v>
      </c>
      <c r="F2764" t="s">
        <v>529</v>
      </c>
      <c r="G2764" t="s">
        <v>530</v>
      </c>
      <c r="H2764" t="s">
        <v>531</v>
      </c>
      <c r="I2764">
        <v>2000</v>
      </c>
      <c r="J2764">
        <v>0</v>
      </c>
      <c r="K2764">
        <v>0</v>
      </c>
      <c r="L2764" t="s">
        <v>693</v>
      </c>
      <c r="M2764" t="s">
        <v>707</v>
      </c>
      <c r="N2764">
        <v>62500</v>
      </c>
      <c r="O2764">
        <v>0</v>
      </c>
      <c r="P2764" t="str">
        <f>IF(T[[#This Row],[qty_ordered]]&lt;&gt;T[[#This Row],[qty_received]],IF(T[[#This Row],[qty_received]]&gt;0,"Partial Received","Not Receviced"),"FullyReceived")</f>
        <v>Not Receviced</v>
      </c>
      <c r="Q2764" t="str">
        <f>IF(T[[#This Row],[qty_received]]&lt;&gt;T[[#This Row],[qty_invoiced]],IF(T[[#This Row],[qty_invoiced]]&gt;0,"Partial Invoiced","Not Invoiced"),"Fully Invoiced")</f>
        <v>Fully Invoiced</v>
      </c>
      <c r="R2764" t="str">
        <f>IFERROR(VLOOKUP(T[[#This Row],[warehouse]],Table2[],2,FALSE),"--")</f>
        <v>PZU Main Warehouse</v>
      </c>
    </row>
    <row r="2765" spans="1:18" x14ac:dyDescent="0.25">
      <c r="A2765" t="s">
        <v>1059</v>
      </c>
      <c r="B2765" s="1">
        <v>44594</v>
      </c>
      <c r="C2765" t="s">
        <v>1560</v>
      </c>
      <c r="D2765" t="s">
        <v>1322</v>
      </c>
      <c r="E2765" t="s">
        <v>51</v>
      </c>
      <c r="F2765" t="s">
        <v>2166</v>
      </c>
      <c r="G2765" t="s">
        <v>2442</v>
      </c>
      <c r="H2765" t="s">
        <v>54</v>
      </c>
      <c r="I2765">
        <v>3803</v>
      </c>
      <c r="J2765">
        <v>0</v>
      </c>
      <c r="K2765">
        <v>1</v>
      </c>
      <c r="L2765" t="s">
        <v>693</v>
      </c>
      <c r="M2765" t="s">
        <v>533</v>
      </c>
      <c r="N2765">
        <v>1000</v>
      </c>
      <c r="O2765">
        <v>0</v>
      </c>
      <c r="P2765" t="str">
        <f>IF(T[[#This Row],[qty_ordered]]&lt;&gt;T[[#This Row],[qty_received]],IF(T[[#This Row],[qty_received]]&gt;0,"Partial Received","Not Receviced"),"FullyReceived")</f>
        <v>Not Receviced</v>
      </c>
      <c r="Q2765" t="str">
        <f>IF(T[[#This Row],[qty_received]]&lt;&gt;T[[#This Row],[qty_invoiced]],IF(T[[#This Row],[qty_invoiced]]&gt;0,"Partial Invoiced","Not Invoiced"),"Fully Invoiced")</f>
        <v>Partial Invoiced</v>
      </c>
      <c r="R2765" t="str">
        <f>IFERROR(VLOOKUP(T[[#This Row],[warehouse]],Table2[],2,FALSE),"--")</f>
        <v>--</v>
      </c>
    </row>
    <row r="2766" spans="1:18" x14ac:dyDescent="0.25">
      <c r="A2766" t="s">
        <v>1059</v>
      </c>
      <c r="B2766" s="1">
        <v>44594</v>
      </c>
      <c r="C2766" t="s">
        <v>1560</v>
      </c>
      <c r="D2766" t="s">
        <v>1323</v>
      </c>
      <c r="E2766" t="s">
        <v>51</v>
      </c>
      <c r="F2766" t="s">
        <v>2228</v>
      </c>
      <c r="G2766" t="s">
        <v>2443</v>
      </c>
      <c r="H2766" t="s">
        <v>54</v>
      </c>
      <c r="I2766">
        <v>3803</v>
      </c>
      <c r="J2766">
        <v>0</v>
      </c>
      <c r="K2766">
        <v>1</v>
      </c>
      <c r="L2766" t="s">
        <v>693</v>
      </c>
      <c r="M2766" t="s">
        <v>533</v>
      </c>
      <c r="N2766">
        <v>1500</v>
      </c>
      <c r="O2766">
        <v>0</v>
      </c>
      <c r="P2766" t="str">
        <f>IF(T[[#This Row],[qty_ordered]]&lt;&gt;T[[#This Row],[qty_received]],IF(T[[#This Row],[qty_received]]&gt;0,"Partial Received","Not Receviced"),"FullyReceived")</f>
        <v>Not Receviced</v>
      </c>
      <c r="Q2766" t="str">
        <f>IF(T[[#This Row],[qty_received]]&lt;&gt;T[[#This Row],[qty_invoiced]],IF(T[[#This Row],[qty_invoiced]]&gt;0,"Partial Invoiced","Not Invoiced"),"Fully Invoiced")</f>
        <v>Partial Invoiced</v>
      </c>
      <c r="R2766" t="str">
        <f>IFERROR(VLOOKUP(T[[#This Row],[warehouse]],Table2[],2,FALSE),"--")</f>
        <v>--</v>
      </c>
    </row>
    <row r="2767" spans="1:18" x14ac:dyDescent="0.25">
      <c r="A2767" t="s">
        <v>1059</v>
      </c>
      <c r="B2767" s="1">
        <v>44594</v>
      </c>
      <c r="C2767" t="s">
        <v>1560</v>
      </c>
      <c r="D2767" t="s">
        <v>1471</v>
      </c>
      <c r="E2767" t="s">
        <v>51</v>
      </c>
      <c r="F2767" t="s">
        <v>753</v>
      </c>
      <c r="G2767" t="s">
        <v>2444</v>
      </c>
      <c r="H2767" t="s">
        <v>54</v>
      </c>
      <c r="I2767">
        <v>9507500</v>
      </c>
      <c r="J2767">
        <v>0</v>
      </c>
      <c r="K2767">
        <v>1</v>
      </c>
      <c r="L2767" t="s">
        <v>693</v>
      </c>
      <c r="M2767" t="s">
        <v>533</v>
      </c>
      <c r="N2767">
        <v>0.17</v>
      </c>
      <c r="O2767">
        <v>0</v>
      </c>
      <c r="P2767" t="str">
        <f>IF(T[[#This Row],[qty_ordered]]&lt;&gt;T[[#This Row],[qty_received]],IF(T[[#This Row],[qty_received]]&gt;0,"Partial Received","Not Receviced"),"FullyReceived")</f>
        <v>Not Receviced</v>
      </c>
      <c r="Q2767" t="str">
        <f>IF(T[[#This Row],[qty_received]]&lt;&gt;T[[#This Row],[qty_invoiced]],IF(T[[#This Row],[qty_invoiced]]&gt;0,"Partial Invoiced","Not Invoiced"),"Fully Invoiced")</f>
        <v>Partial Invoiced</v>
      </c>
      <c r="R2767" t="str">
        <f>IFERROR(VLOOKUP(T[[#This Row],[warehouse]],Table2[],2,FALSE),"--")</f>
        <v>--</v>
      </c>
    </row>
    <row r="2768" spans="1:18" x14ac:dyDescent="0.25">
      <c r="A2768" t="s">
        <v>1059</v>
      </c>
      <c r="B2768" s="1">
        <v>44594</v>
      </c>
      <c r="C2768" t="s">
        <v>1560</v>
      </c>
      <c r="D2768" t="s">
        <v>1873</v>
      </c>
      <c r="E2768" t="s">
        <v>51</v>
      </c>
      <c r="F2768" t="s">
        <v>2166</v>
      </c>
      <c r="G2768" t="s">
        <v>2445</v>
      </c>
      <c r="H2768" t="s">
        <v>54</v>
      </c>
      <c r="I2768">
        <v>1465.81</v>
      </c>
      <c r="J2768">
        <v>0</v>
      </c>
      <c r="K2768">
        <v>1</v>
      </c>
      <c r="L2768" t="s">
        <v>693</v>
      </c>
      <c r="M2768" t="s">
        <v>533</v>
      </c>
      <c r="N2768">
        <v>750</v>
      </c>
      <c r="O2768">
        <v>0</v>
      </c>
      <c r="P2768" t="str">
        <f>IF(T[[#This Row],[qty_ordered]]&lt;&gt;T[[#This Row],[qty_received]],IF(T[[#This Row],[qty_received]]&gt;0,"Partial Received","Not Receviced"),"FullyReceived")</f>
        <v>Not Receviced</v>
      </c>
      <c r="Q2768" t="str">
        <f>IF(T[[#This Row],[qty_received]]&lt;&gt;T[[#This Row],[qty_invoiced]],IF(T[[#This Row],[qty_invoiced]]&gt;0,"Partial Invoiced","Not Invoiced"),"Fully Invoiced")</f>
        <v>Partial Invoiced</v>
      </c>
      <c r="R2768" t="str">
        <f>IFERROR(VLOOKUP(T[[#This Row],[warehouse]],Table2[],2,FALSE),"--")</f>
        <v>--</v>
      </c>
    </row>
    <row r="2769" spans="1:18" x14ac:dyDescent="0.25">
      <c r="A2769" t="s">
        <v>1059</v>
      </c>
      <c r="B2769" s="1">
        <v>44594</v>
      </c>
      <c r="C2769" t="s">
        <v>1560</v>
      </c>
      <c r="D2769" t="s">
        <v>1874</v>
      </c>
      <c r="E2769" t="s">
        <v>51</v>
      </c>
      <c r="F2769" t="s">
        <v>2166</v>
      </c>
      <c r="G2769" t="s">
        <v>2386</v>
      </c>
      <c r="H2769" t="s">
        <v>54</v>
      </c>
      <c r="I2769">
        <v>1465.81</v>
      </c>
      <c r="J2769">
        <v>0</v>
      </c>
      <c r="K2769">
        <v>1</v>
      </c>
      <c r="L2769" t="s">
        <v>693</v>
      </c>
      <c r="M2769" t="s">
        <v>533</v>
      </c>
      <c r="N2769">
        <v>1500</v>
      </c>
      <c r="O2769">
        <v>0</v>
      </c>
      <c r="P2769" t="str">
        <f>IF(T[[#This Row],[qty_ordered]]&lt;&gt;T[[#This Row],[qty_received]],IF(T[[#This Row],[qty_received]]&gt;0,"Partial Received","Not Receviced"),"FullyReceived")</f>
        <v>Not Receviced</v>
      </c>
      <c r="Q2769" t="str">
        <f>IF(T[[#This Row],[qty_received]]&lt;&gt;T[[#This Row],[qty_invoiced]],IF(T[[#This Row],[qty_invoiced]]&gt;0,"Partial Invoiced","Not Invoiced"),"Fully Invoiced")</f>
        <v>Partial Invoiced</v>
      </c>
      <c r="R2769" t="str">
        <f>IFERROR(VLOOKUP(T[[#This Row],[warehouse]],Table2[],2,FALSE),"--")</f>
        <v>--</v>
      </c>
    </row>
    <row r="2770" spans="1:18" x14ac:dyDescent="0.25">
      <c r="A2770" t="s">
        <v>1059</v>
      </c>
      <c r="B2770" s="1">
        <v>44594</v>
      </c>
      <c r="C2770" t="s">
        <v>1560</v>
      </c>
      <c r="D2770" t="s">
        <v>1875</v>
      </c>
      <c r="E2770" t="s">
        <v>51</v>
      </c>
      <c r="F2770" t="s">
        <v>2166</v>
      </c>
      <c r="G2770" t="s">
        <v>2446</v>
      </c>
      <c r="H2770" t="s">
        <v>54</v>
      </c>
      <c r="I2770">
        <v>1465.81</v>
      </c>
      <c r="J2770">
        <v>0</v>
      </c>
      <c r="K2770">
        <v>1</v>
      </c>
      <c r="L2770" t="s">
        <v>693</v>
      </c>
      <c r="M2770" t="s">
        <v>533</v>
      </c>
      <c r="N2770">
        <v>1500</v>
      </c>
      <c r="O2770">
        <v>0</v>
      </c>
      <c r="P2770" t="str">
        <f>IF(T[[#This Row],[qty_ordered]]&lt;&gt;T[[#This Row],[qty_received]],IF(T[[#This Row],[qty_received]]&gt;0,"Partial Received","Not Receviced"),"FullyReceived")</f>
        <v>Not Receviced</v>
      </c>
      <c r="Q2770" t="str">
        <f>IF(T[[#This Row],[qty_received]]&lt;&gt;T[[#This Row],[qty_invoiced]],IF(T[[#This Row],[qty_invoiced]]&gt;0,"Partial Invoiced","Not Invoiced"),"Fully Invoiced")</f>
        <v>Partial Invoiced</v>
      </c>
      <c r="R2770" t="str">
        <f>IFERROR(VLOOKUP(T[[#This Row],[warehouse]],Table2[],2,FALSE),"--")</f>
        <v>--</v>
      </c>
    </row>
    <row r="2771" spans="1:18" x14ac:dyDescent="0.25">
      <c r="A2771" t="s">
        <v>1059</v>
      </c>
      <c r="B2771" s="1">
        <v>44594</v>
      </c>
      <c r="C2771" t="s">
        <v>1560</v>
      </c>
      <c r="D2771" t="s">
        <v>1876</v>
      </c>
      <c r="E2771" t="s">
        <v>51</v>
      </c>
      <c r="F2771" t="s">
        <v>2166</v>
      </c>
      <c r="G2771" t="s">
        <v>2390</v>
      </c>
      <c r="H2771" t="s">
        <v>54</v>
      </c>
      <c r="I2771">
        <v>1465.81</v>
      </c>
      <c r="J2771">
        <v>0</v>
      </c>
      <c r="K2771">
        <v>1</v>
      </c>
      <c r="L2771" t="s">
        <v>693</v>
      </c>
      <c r="M2771" t="s">
        <v>533</v>
      </c>
      <c r="N2771">
        <v>1500</v>
      </c>
      <c r="O2771">
        <v>0</v>
      </c>
      <c r="P2771" t="str">
        <f>IF(T[[#This Row],[qty_ordered]]&lt;&gt;T[[#This Row],[qty_received]],IF(T[[#This Row],[qty_received]]&gt;0,"Partial Received","Not Receviced"),"FullyReceived")</f>
        <v>Not Receviced</v>
      </c>
      <c r="Q2771" t="str">
        <f>IF(T[[#This Row],[qty_received]]&lt;&gt;T[[#This Row],[qty_invoiced]],IF(T[[#This Row],[qty_invoiced]]&gt;0,"Partial Invoiced","Not Invoiced"),"Fully Invoiced")</f>
        <v>Partial Invoiced</v>
      </c>
      <c r="R2771" t="str">
        <f>IFERROR(VLOOKUP(T[[#This Row],[warehouse]],Table2[],2,FALSE),"--")</f>
        <v>--</v>
      </c>
    </row>
    <row r="2772" spans="1:18" x14ac:dyDescent="0.25">
      <c r="A2772" t="s">
        <v>1059</v>
      </c>
      <c r="B2772" s="1">
        <v>44594</v>
      </c>
      <c r="C2772" t="s">
        <v>1560</v>
      </c>
      <c r="D2772" t="s">
        <v>1877</v>
      </c>
      <c r="E2772" t="s">
        <v>51</v>
      </c>
      <c r="F2772" t="s">
        <v>2228</v>
      </c>
      <c r="G2772" t="s">
        <v>2447</v>
      </c>
      <c r="H2772" t="s">
        <v>54</v>
      </c>
      <c r="I2772">
        <v>1465.81</v>
      </c>
      <c r="J2772">
        <v>0</v>
      </c>
      <c r="K2772">
        <v>1</v>
      </c>
      <c r="L2772" t="s">
        <v>693</v>
      </c>
      <c r="M2772" t="s">
        <v>533</v>
      </c>
      <c r="N2772">
        <v>2000</v>
      </c>
      <c r="O2772">
        <v>0</v>
      </c>
      <c r="P2772" t="str">
        <f>IF(T[[#This Row],[qty_ordered]]&lt;&gt;T[[#This Row],[qty_received]],IF(T[[#This Row],[qty_received]]&gt;0,"Partial Received","Not Receviced"),"FullyReceived")</f>
        <v>Not Receviced</v>
      </c>
      <c r="Q2772" t="str">
        <f>IF(T[[#This Row],[qty_received]]&lt;&gt;T[[#This Row],[qty_invoiced]],IF(T[[#This Row],[qty_invoiced]]&gt;0,"Partial Invoiced","Not Invoiced"),"Fully Invoiced")</f>
        <v>Partial Invoiced</v>
      </c>
      <c r="R2772" t="str">
        <f>IFERROR(VLOOKUP(T[[#This Row],[warehouse]],Table2[],2,FALSE),"--")</f>
        <v>--</v>
      </c>
    </row>
    <row r="2773" spans="1:18" x14ac:dyDescent="0.25">
      <c r="A2773" t="s">
        <v>1059</v>
      </c>
      <c r="B2773" s="1">
        <v>44594</v>
      </c>
      <c r="C2773" t="s">
        <v>1560</v>
      </c>
      <c r="D2773" t="s">
        <v>1878</v>
      </c>
      <c r="E2773" t="s">
        <v>51</v>
      </c>
      <c r="F2773" t="s">
        <v>2166</v>
      </c>
      <c r="G2773" t="s">
        <v>2442</v>
      </c>
      <c r="H2773" t="s">
        <v>54</v>
      </c>
      <c r="I2773">
        <v>1465.81</v>
      </c>
      <c r="J2773">
        <v>0</v>
      </c>
      <c r="K2773">
        <v>1</v>
      </c>
      <c r="L2773" t="s">
        <v>693</v>
      </c>
      <c r="M2773" t="s">
        <v>533</v>
      </c>
      <c r="N2773">
        <v>1500</v>
      </c>
      <c r="O2773">
        <v>0</v>
      </c>
      <c r="P2773" t="str">
        <f>IF(T[[#This Row],[qty_ordered]]&lt;&gt;T[[#This Row],[qty_received]],IF(T[[#This Row],[qty_received]]&gt;0,"Partial Received","Not Receviced"),"FullyReceived")</f>
        <v>Not Receviced</v>
      </c>
      <c r="Q2773" t="str">
        <f>IF(T[[#This Row],[qty_received]]&lt;&gt;T[[#This Row],[qty_invoiced]],IF(T[[#This Row],[qty_invoiced]]&gt;0,"Partial Invoiced","Not Invoiced"),"Fully Invoiced")</f>
        <v>Partial Invoiced</v>
      </c>
      <c r="R2773" t="str">
        <f>IFERROR(VLOOKUP(T[[#This Row],[warehouse]],Table2[],2,FALSE),"--")</f>
        <v>--</v>
      </c>
    </row>
    <row r="2774" spans="1:18" x14ac:dyDescent="0.25">
      <c r="A2774" t="s">
        <v>1059</v>
      </c>
      <c r="B2774" s="1">
        <v>44651</v>
      </c>
      <c r="C2774" t="s">
        <v>1578</v>
      </c>
      <c r="D2774" t="s">
        <v>694</v>
      </c>
      <c r="E2774" t="s">
        <v>51</v>
      </c>
      <c r="F2774" t="s">
        <v>262</v>
      </c>
      <c r="G2774" t="s">
        <v>2448</v>
      </c>
      <c r="H2774" t="s">
        <v>54</v>
      </c>
      <c r="I2774">
        <v>1000</v>
      </c>
      <c r="J2774">
        <v>0</v>
      </c>
      <c r="K2774">
        <v>1</v>
      </c>
      <c r="L2774" t="s">
        <v>693</v>
      </c>
      <c r="M2774" t="s">
        <v>2836</v>
      </c>
      <c r="N2774">
        <v>692.47299999999996</v>
      </c>
      <c r="O2774">
        <v>0</v>
      </c>
      <c r="P2774" t="str">
        <f>IF(T[[#This Row],[qty_ordered]]&lt;&gt;T[[#This Row],[qty_received]],IF(T[[#This Row],[qty_received]]&gt;0,"Partial Received","Not Receviced"),"FullyReceived")</f>
        <v>Not Receviced</v>
      </c>
      <c r="Q2774" t="str">
        <f>IF(T[[#This Row],[qty_received]]&lt;&gt;T[[#This Row],[qty_invoiced]],IF(T[[#This Row],[qty_invoiced]]&gt;0,"Partial Invoiced","Not Invoiced"),"Fully Invoiced")</f>
        <v>Partial Invoiced</v>
      </c>
      <c r="R2774" t="str">
        <f>IFERROR(VLOOKUP(T[[#This Row],[warehouse]],Table2[],2,FALSE),"--")</f>
        <v>--</v>
      </c>
    </row>
    <row r="2775" spans="1:18" x14ac:dyDescent="0.25">
      <c r="A2775" t="s">
        <v>1059</v>
      </c>
      <c r="B2775" s="1">
        <v>44651</v>
      </c>
      <c r="C2775" t="s">
        <v>1578</v>
      </c>
      <c r="D2775" t="s">
        <v>760</v>
      </c>
      <c r="E2775" t="s">
        <v>51</v>
      </c>
      <c r="F2775" t="s">
        <v>933</v>
      </c>
      <c r="G2775" t="s">
        <v>2449</v>
      </c>
      <c r="H2775" t="s">
        <v>54</v>
      </c>
      <c r="I2775">
        <v>900</v>
      </c>
      <c r="J2775">
        <v>0</v>
      </c>
      <c r="K2775">
        <v>1</v>
      </c>
      <c r="L2775" t="s">
        <v>693</v>
      </c>
      <c r="M2775" t="s">
        <v>2836</v>
      </c>
      <c r="N2775">
        <v>193.66666699999999</v>
      </c>
      <c r="O2775">
        <v>0</v>
      </c>
      <c r="P2775" t="str">
        <f>IF(T[[#This Row],[qty_ordered]]&lt;&gt;T[[#This Row],[qty_received]],IF(T[[#This Row],[qty_received]]&gt;0,"Partial Received","Not Receviced"),"FullyReceived")</f>
        <v>Not Receviced</v>
      </c>
      <c r="Q2775" t="str">
        <f>IF(T[[#This Row],[qty_received]]&lt;&gt;T[[#This Row],[qty_invoiced]],IF(T[[#This Row],[qty_invoiced]]&gt;0,"Partial Invoiced","Not Invoiced"),"Fully Invoiced")</f>
        <v>Partial Invoiced</v>
      </c>
      <c r="R2775" t="str">
        <f>IFERROR(VLOOKUP(T[[#This Row],[warehouse]],Table2[],2,FALSE),"--")</f>
        <v>--</v>
      </c>
    </row>
    <row r="2776" spans="1:18" x14ac:dyDescent="0.25">
      <c r="A2776" t="s">
        <v>560</v>
      </c>
      <c r="B2776" s="1">
        <v>44544</v>
      </c>
      <c r="C2776" t="s">
        <v>1522</v>
      </c>
      <c r="D2776" t="s">
        <v>567</v>
      </c>
      <c r="E2776" t="s">
        <v>51</v>
      </c>
      <c r="F2776" t="s">
        <v>164</v>
      </c>
      <c r="G2776" t="s">
        <v>2423</v>
      </c>
      <c r="H2776" t="s">
        <v>54</v>
      </c>
      <c r="I2776">
        <v>26.25</v>
      </c>
      <c r="J2776">
        <v>0</v>
      </c>
      <c r="K2776">
        <v>1</v>
      </c>
      <c r="L2776" t="s">
        <v>693</v>
      </c>
      <c r="M2776" t="s">
        <v>2836</v>
      </c>
      <c r="N2776">
        <v>9450</v>
      </c>
      <c r="O2776">
        <v>0</v>
      </c>
      <c r="P2776" t="str">
        <f>IF(T[[#This Row],[qty_ordered]]&lt;&gt;T[[#This Row],[qty_received]],IF(T[[#This Row],[qty_received]]&gt;0,"Partial Received","Not Receviced"),"FullyReceived")</f>
        <v>Not Receviced</v>
      </c>
      <c r="Q2776" t="str">
        <f>IF(T[[#This Row],[qty_received]]&lt;&gt;T[[#This Row],[qty_invoiced]],IF(T[[#This Row],[qty_invoiced]]&gt;0,"Partial Invoiced","Not Invoiced"),"Fully Invoiced")</f>
        <v>Partial Invoiced</v>
      </c>
      <c r="R2776" t="str">
        <f>IFERROR(VLOOKUP(T[[#This Row],[warehouse]],Table2[],2,FALSE),"--")</f>
        <v>--</v>
      </c>
    </row>
    <row r="2777" spans="1:18" x14ac:dyDescent="0.25">
      <c r="A2777" t="s">
        <v>560</v>
      </c>
      <c r="B2777" s="1">
        <v>44544</v>
      </c>
      <c r="C2777" t="s">
        <v>1522</v>
      </c>
      <c r="D2777" t="s">
        <v>568</v>
      </c>
      <c r="E2777" t="s">
        <v>51</v>
      </c>
      <c r="F2777" t="s">
        <v>164</v>
      </c>
      <c r="G2777" t="s">
        <v>2424</v>
      </c>
      <c r="H2777" t="s">
        <v>54</v>
      </c>
      <c r="I2777">
        <v>25</v>
      </c>
      <c r="J2777">
        <v>0</v>
      </c>
      <c r="K2777">
        <v>1</v>
      </c>
      <c r="L2777" t="s">
        <v>693</v>
      </c>
      <c r="M2777" t="s">
        <v>2836</v>
      </c>
      <c r="N2777">
        <v>9450</v>
      </c>
      <c r="O2777">
        <v>0</v>
      </c>
      <c r="P2777" t="str">
        <f>IF(T[[#This Row],[qty_ordered]]&lt;&gt;T[[#This Row],[qty_received]],IF(T[[#This Row],[qty_received]]&gt;0,"Partial Received","Not Receviced"),"FullyReceived")</f>
        <v>Not Receviced</v>
      </c>
      <c r="Q2777" t="str">
        <f>IF(T[[#This Row],[qty_received]]&lt;&gt;T[[#This Row],[qty_invoiced]],IF(T[[#This Row],[qty_invoiced]]&gt;0,"Partial Invoiced","Not Invoiced"),"Fully Invoiced")</f>
        <v>Partial Invoiced</v>
      </c>
      <c r="R2777" t="str">
        <f>IFERROR(VLOOKUP(T[[#This Row],[warehouse]],Table2[],2,FALSE),"--")</f>
        <v>--</v>
      </c>
    </row>
    <row r="2778" spans="1:18" x14ac:dyDescent="0.25">
      <c r="A2778" t="s">
        <v>560</v>
      </c>
      <c r="B2778" s="1">
        <v>44606</v>
      </c>
      <c r="C2778" t="s">
        <v>1546</v>
      </c>
      <c r="D2778" t="s">
        <v>1210</v>
      </c>
      <c r="E2778" t="s">
        <v>51</v>
      </c>
      <c r="F2778" t="s">
        <v>164</v>
      </c>
      <c r="G2778" t="s">
        <v>2425</v>
      </c>
      <c r="H2778" t="s">
        <v>54</v>
      </c>
      <c r="I2778">
        <v>25</v>
      </c>
      <c r="J2778">
        <v>0</v>
      </c>
      <c r="K2778">
        <v>1</v>
      </c>
      <c r="L2778" t="s">
        <v>693</v>
      </c>
      <c r="M2778" t="s">
        <v>2836</v>
      </c>
      <c r="N2778">
        <v>9450</v>
      </c>
      <c r="O2778">
        <v>0</v>
      </c>
      <c r="P2778" t="str">
        <f>IF(T[[#This Row],[qty_ordered]]&lt;&gt;T[[#This Row],[qty_received]],IF(T[[#This Row],[qty_received]]&gt;0,"Partial Received","Not Receviced"),"FullyReceived")</f>
        <v>Not Receviced</v>
      </c>
      <c r="Q2778" t="str">
        <f>IF(T[[#This Row],[qty_received]]&lt;&gt;T[[#This Row],[qty_invoiced]],IF(T[[#This Row],[qty_invoiced]]&gt;0,"Partial Invoiced","Not Invoiced"),"Fully Invoiced")</f>
        <v>Partial Invoiced</v>
      </c>
      <c r="R2778" t="str">
        <f>IFERROR(VLOOKUP(T[[#This Row],[warehouse]],Table2[],2,FALSE),"--")</f>
        <v>--</v>
      </c>
    </row>
    <row r="2779" spans="1:18" x14ac:dyDescent="0.25">
      <c r="A2779" t="s">
        <v>560</v>
      </c>
      <c r="B2779" s="1">
        <v>44606</v>
      </c>
      <c r="C2779" t="s">
        <v>1546</v>
      </c>
      <c r="D2779" t="s">
        <v>702</v>
      </c>
      <c r="E2779" t="s">
        <v>51</v>
      </c>
      <c r="F2779" t="s">
        <v>164</v>
      </c>
      <c r="G2779" t="s">
        <v>2425</v>
      </c>
      <c r="H2779" t="s">
        <v>54</v>
      </c>
      <c r="I2779">
        <v>28.63</v>
      </c>
      <c r="J2779">
        <v>0</v>
      </c>
      <c r="K2779">
        <v>1</v>
      </c>
      <c r="L2779" t="s">
        <v>693</v>
      </c>
      <c r="M2779" t="s">
        <v>2836</v>
      </c>
      <c r="N2779">
        <v>9450</v>
      </c>
      <c r="O2779">
        <v>0</v>
      </c>
      <c r="P2779" t="str">
        <f>IF(T[[#This Row],[qty_ordered]]&lt;&gt;T[[#This Row],[qty_received]],IF(T[[#This Row],[qty_received]]&gt;0,"Partial Received","Not Receviced"),"FullyReceived")</f>
        <v>Not Receviced</v>
      </c>
      <c r="Q2779" t="str">
        <f>IF(T[[#This Row],[qty_received]]&lt;&gt;T[[#This Row],[qty_invoiced]],IF(T[[#This Row],[qty_invoiced]]&gt;0,"Partial Invoiced","Not Invoiced"),"Fully Invoiced")</f>
        <v>Partial Invoiced</v>
      </c>
      <c r="R2779" t="str">
        <f>IFERROR(VLOOKUP(T[[#This Row],[warehouse]],Table2[],2,FALSE),"--")</f>
        <v>--</v>
      </c>
    </row>
    <row r="2780" spans="1:18" x14ac:dyDescent="0.25">
      <c r="A2780" t="s">
        <v>560</v>
      </c>
      <c r="B2780" s="1">
        <v>44606</v>
      </c>
      <c r="C2780" t="s">
        <v>1546</v>
      </c>
      <c r="D2780" t="s">
        <v>1321</v>
      </c>
      <c r="E2780" t="s">
        <v>51</v>
      </c>
      <c r="F2780" t="s">
        <v>164</v>
      </c>
      <c r="G2780" t="s">
        <v>2425</v>
      </c>
      <c r="H2780" t="s">
        <v>54</v>
      </c>
      <c r="I2780">
        <v>25</v>
      </c>
      <c r="J2780">
        <v>0</v>
      </c>
      <c r="K2780">
        <v>1</v>
      </c>
      <c r="L2780" t="s">
        <v>693</v>
      </c>
      <c r="M2780" t="s">
        <v>2836</v>
      </c>
      <c r="N2780">
        <v>9450</v>
      </c>
      <c r="O2780">
        <v>0</v>
      </c>
      <c r="P2780" t="str">
        <f>IF(T[[#This Row],[qty_ordered]]&lt;&gt;T[[#This Row],[qty_received]],IF(T[[#This Row],[qty_received]]&gt;0,"Partial Received","Not Receviced"),"FullyReceived")</f>
        <v>Not Receviced</v>
      </c>
      <c r="Q2780" t="str">
        <f>IF(T[[#This Row],[qty_received]]&lt;&gt;T[[#This Row],[qty_invoiced]],IF(T[[#This Row],[qty_invoiced]]&gt;0,"Partial Invoiced","Not Invoiced"),"Fully Invoiced")</f>
        <v>Partial Invoiced</v>
      </c>
      <c r="R2780" t="str">
        <f>IFERROR(VLOOKUP(T[[#This Row],[warehouse]],Table2[],2,FALSE),"--")</f>
        <v>--</v>
      </c>
    </row>
    <row r="2781" spans="1:18" x14ac:dyDescent="0.25">
      <c r="A2781" t="s">
        <v>560</v>
      </c>
      <c r="B2781" s="1">
        <v>44606</v>
      </c>
      <c r="C2781" t="s">
        <v>1546</v>
      </c>
      <c r="D2781" t="s">
        <v>1322</v>
      </c>
      <c r="E2781" t="s">
        <v>51</v>
      </c>
      <c r="F2781" t="s">
        <v>164</v>
      </c>
      <c r="G2781" t="s">
        <v>2425</v>
      </c>
      <c r="H2781" t="s">
        <v>54</v>
      </c>
      <c r="I2781">
        <v>18</v>
      </c>
      <c r="J2781">
        <v>0</v>
      </c>
      <c r="K2781">
        <v>1</v>
      </c>
      <c r="L2781" t="s">
        <v>693</v>
      </c>
      <c r="M2781" t="s">
        <v>2836</v>
      </c>
      <c r="N2781">
        <v>9450</v>
      </c>
      <c r="O2781">
        <v>0</v>
      </c>
      <c r="P2781" t="str">
        <f>IF(T[[#This Row],[qty_ordered]]&lt;&gt;T[[#This Row],[qty_received]],IF(T[[#This Row],[qty_received]]&gt;0,"Partial Received","Not Receviced"),"FullyReceived")</f>
        <v>Not Receviced</v>
      </c>
      <c r="Q2781" t="str">
        <f>IF(T[[#This Row],[qty_received]]&lt;&gt;T[[#This Row],[qty_invoiced]],IF(T[[#This Row],[qty_invoiced]]&gt;0,"Partial Invoiced","Not Invoiced"),"Fully Invoiced")</f>
        <v>Partial Invoiced</v>
      </c>
      <c r="R2781" t="str">
        <f>IFERROR(VLOOKUP(T[[#This Row],[warehouse]],Table2[],2,FALSE),"--")</f>
        <v>--</v>
      </c>
    </row>
    <row r="2782" spans="1:18" x14ac:dyDescent="0.25">
      <c r="A2782" t="s">
        <v>560</v>
      </c>
      <c r="B2782" s="1">
        <v>44606</v>
      </c>
      <c r="C2782" t="s">
        <v>1544</v>
      </c>
      <c r="D2782" t="s">
        <v>452</v>
      </c>
      <c r="E2782" t="s">
        <v>51</v>
      </c>
      <c r="F2782" t="s">
        <v>164</v>
      </c>
      <c r="G2782" t="s">
        <v>2426</v>
      </c>
      <c r="H2782" t="s">
        <v>54</v>
      </c>
      <c r="I2782">
        <v>28.26</v>
      </c>
      <c r="J2782">
        <v>0</v>
      </c>
      <c r="K2782">
        <v>1</v>
      </c>
      <c r="L2782" t="s">
        <v>693</v>
      </c>
      <c r="M2782" t="s">
        <v>2836</v>
      </c>
      <c r="N2782">
        <v>9450</v>
      </c>
      <c r="O2782">
        <v>0</v>
      </c>
      <c r="P2782" t="str">
        <f>IF(T[[#This Row],[qty_ordered]]&lt;&gt;T[[#This Row],[qty_received]],IF(T[[#This Row],[qty_received]]&gt;0,"Partial Received","Not Receviced"),"FullyReceived")</f>
        <v>Not Receviced</v>
      </c>
      <c r="Q2782" t="str">
        <f>IF(T[[#This Row],[qty_received]]&lt;&gt;T[[#This Row],[qty_invoiced]],IF(T[[#This Row],[qty_invoiced]]&gt;0,"Partial Invoiced","Not Invoiced"),"Fully Invoiced")</f>
        <v>Partial Invoiced</v>
      </c>
      <c r="R2782" t="str">
        <f>IFERROR(VLOOKUP(T[[#This Row],[warehouse]],Table2[],2,FALSE),"--")</f>
        <v>--</v>
      </c>
    </row>
    <row r="2783" spans="1:18" x14ac:dyDescent="0.25">
      <c r="A2783" t="s">
        <v>560</v>
      </c>
      <c r="B2783" s="1">
        <v>44606</v>
      </c>
      <c r="C2783" t="s">
        <v>1544</v>
      </c>
      <c r="D2783" t="s">
        <v>614</v>
      </c>
      <c r="E2783" t="s">
        <v>51</v>
      </c>
      <c r="F2783" t="s">
        <v>164</v>
      </c>
      <c r="G2783" t="s">
        <v>2426</v>
      </c>
      <c r="H2783" t="s">
        <v>54</v>
      </c>
      <c r="I2783">
        <v>29.75</v>
      </c>
      <c r="J2783">
        <v>0</v>
      </c>
      <c r="K2783">
        <v>1</v>
      </c>
      <c r="L2783" t="s">
        <v>693</v>
      </c>
      <c r="M2783" t="s">
        <v>2836</v>
      </c>
      <c r="N2783">
        <v>9450</v>
      </c>
      <c r="O2783">
        <v>0</v>
      </c>
      <c r="P2783" t="str">
        <f>IF(T[[#This Row],[qty_ordered]]&lt;&gt;T[[#This Row],[qty_received]],IF(T[[#This Row],[qty_received]]&gt;0,"Partial Received","Not Receviced"),"FullyReceived")</f>
        <v>Not Receviced</v>
      </c>
      <c r="Q2783" t="str">
        <f>IF(T[[#This Row],[qty_received]]&lt;&gt;T[[#This Row],[qty_invoiced]],IF(T[[#This Row],[qty_invoiced]]&gt;0,"Partial Invoiced","Not Invoiced"),"Fully Invoiced")</f>
        <v>Partial Invoiced</v>
      </c>
      <c r="R2783" t="str">
        <f>IFERROR(VLOOKUP(T[[#This Row],[warehouse]],Table2[],2,FALSE),"--")</f>
        <v>--</v>
      </c>
    </row>
    <row r="2784" spans="1:18" x14ac:dyDescent="0.25">
      <c r="A2784" t="s">
        <v>560</v>
      </c>
      <c r="B2784" s="1">
        <v>44606</v>
      </c>
      <c r="C2784" t="s">
        <v>1544</v>
      </c>
      <c r="D2784" t="s">
        <v>615</v>
      </c>
      <c r="E2784" t="s">
        <v>51</v>
      </c>
      <c r="F2784" t="s">
        <v>164</v>
      </c>
      <c r="G2784" t="s">
        <v>2426</v>
      </c>
      <c r="H2784" t="s">
        <v>54</v>
      </c>
      <c r="I2784">
        <v>5</v>
      </c>
      <c r="J2784">
        <v>0</v>
      </c>
      <c r="K2784">
        <v>1</v>
      </c>
      <c r="L2784" t="s">
        <v>693</v>
      </c>
      <c r="M2784" t="s">
        <v>2836</v>
      </c>
      <c r="N2784">
        <v>9450</v>
      </c>
      <c r="O2784">
        <v>0</v>
      </c>
      <c r="P2784" t="str">
        <f>IF(T[[#This Row],[qty_ordered]]&lt;&gt;T[[#This Row],[qty_received]],IF(T[[#This Row],[qty_received]]&gt;0,"Partial Received","Not Receviced"),"FullyReceived")</f>
        <v>Not Receviced</v>
      </c>
      <c r="Q2784" t="str">
        <f>IF(T[[#This Row],[qty_received]]&lt;&gt;T[[#This Row],[qty_invoiced]],IF(T[[#This Row],[qty_invoiced]]&gt;0,"Partial Invoiced","Not Invoiced"),"Fully Invoiced")</f>
        <v>Partial Invoiced</v>
      </c>
      <c r="R2784" t="str">
        <f>IFERROR(VLOOKUP(T[[#This Row],[warehouse]],Table2[],2,FALSE),"--")</f>
        <v>--</v>
      </c>
    </row>
    <row r="2785" spans="1:18" x14ac:dyDescent="0.25">
      <c r="A2785" t="s">
        <v>560</v>
      </c>
      <c r="B2785" s="1">
        <v>44572</v>
      </c>
      <c r="C2785" t="s">
        <v>1651</v>
      </c>
      <c r="D2785" t="s">
        <v>591</v>
      </c>
      <c r="E2785" t="s">
        <v>51</v>
      </c>
      <c r="F2785" t="s">
        <v>164</v>
      </c>
      <c r="G2785" t="s">
        <v>2427</v>
      </c>
      <c r="H2785" t="s">
        <v>54</v>
      </c>
      <c r="I2785">
        <v>19.75</v>
      </c>
      <c r="J2785">
        <v>0</v>
      </c>
      <c r="K2785">
        <v>1</v>
      </c>
      <c r="L2785" t="s">
        <v>693</v>
      </c>
      <c r="M2785" t="s">
        <v>2836</v>
      </c>
      <c r="N2785">
        <v>9450</v>
      </c>
      <c r="O2785">
        <v>0</v>
      </c>
      <c r="P2785" t="str">
        <f>IF(T[[#This Row],[qty_ordered]]&lt;&gt;T[[#This Row],[qty_received]],IF(T[[#This Row],[qty_received]]&gt;0,"Partial Received","Not Receviced"),"FullyReceived")</f>
        <v>Not Receviced</v>
      </c>
      <c r="Q2785" t="str">
        <f>IF(T[[#This Row],[qty_received]]&lt;&gt;T[[#This Row],[qty_invoiced]],IF(T[[#This Row],[qty_invoiced]]&gt;0,"Partial Invoiced","Not Invoiced"),"Fully Invoiced")</f>
        <v>Partial Invoiced</v>
      </c>
      <c r="R2785" t="str">
        <f>IFERROR(VLOOKUP(T[[#This Row],[warehouse]],Table2[],2,FALSE),"--")</f>
        <v>--</v>
      </c>
    </row>
    <row r="2786" spans="1:18" x14ac:dyDescent="0.25">
      <c r="A2786" t="s">
        <v>560</v>
      </c>
      <c r="B2786" s="1">
        <v>44572</v>
      </c>
      <c r="C2786" t="s">
        <v>1651</v>
      </c>
      <c r="D2786" t="s">
        <v>592</v>
      </c>
      <c r="E2786" t="s">
        <v>51</v>
      </c>
      <c r="F2786" t="s">
        <v>164</v>
      </c>
      <c r="G2786" t="s">
        <v>2427</v>
      </c>
      <c r="H2786" t="s">
        <v>54</v>
      </c>
      <c r="I2786">
        <v>32.26</v>
      </c>
      <c r="J2786">
        <v>0</v>
      </c>
      <c r="K2786">
        <v>1</v>
      </c>
      <c r="L2786" t="s">
        <v>693</v>
      </c>
      <c r="M2786" t="s">
        <v>2836</v>
      </c>
      <c r="N2786">
        <v>9450</v>
      </c>
      <c r="O2786">
        <v>0</v>
      </c>
      <c r="P2786" t="str">
        <f>IF(T[[#This Row],[qty_ordered]]&lt;&gt;T[[#This Row],[qty_received]],IF(T[[#This Row],[qty_received]]&gt;0,"Partial Received","Not Receviced"),"FullyReceived")</f>
        <v>Not Receviced</v>
      </c>
      <c r="Q2786" t="str">
        <f>IF(T[[#This Row],[qty_received]]&lt;&gt;T[[#This Row],[qty_invoiced]],IF(T[[#This Row],[qty_invoiced]]&gt;0,"Partial Invoiced","Not Invoiced"),"Fully Invoiced")</f>
        <v>Partial Invoiced</v>
      </c>
      <c r="R2786" t="str">
        <f>IFERROR(VLOOKUP(T[[#This Row],[warehouse]],Table2[],2,FALSE),"--")</f>
        <v>--</v>
      </c>
    </row>
    <row r="2787" spans="1:18" x14ac:dyDescent="0.25">
      <c r="A2787" t="s">
        <v>560</v>
      </c>
      <c r="B2787" s="1">
        <v>44572</v>
      </c>
      <c r="C2787" t="s">
        <v>1651</v>
      </c>
      <c r="D2787" t="s">
        <v>593</v>
      </c>
      <c r="E2787" t="s">
        <v>51</v>
      </c>
      <c r="F2787" t="s">
        <v>164</v>
      </c>
      <c r="G2787" t="s">
        <v>2428</v>
      </c>
      <c r="H2787" t="s">
        <v>54</v>
      </c>
      <c r="I2787">
        <v>21</v>
      </c>
      <c r="J2787">
        <v>0</v>
      </c>
      <c r="K2787">
        <v>1</v>
      </c>
      <c r="L2787" t="s">
        <v>693</v>
      </c>
      <c r="M2787" t="s">
        <v>2836</v>
      </c>
      <c r="N2787">
        <v>9450</v>
      </c>
      <c r="O2787">
        <v>0</v>
      </c>
      <c r="P2787" t="str">
        <f>IF(T[[#This Row],[qty_ordered]]&lt;&gt;T[[#This Row],[qty_received]],IF(T[[#This Row],[qty_received]]&gt;0,"Partial Received","Not Receviced"),"FullyReceived")</f>
        <v>Not Receviced</v>
      </c>
      <c r="Q2787" t="str">
        <f>IF(T[[#This Row],[qty_received]]&lt;&gt;T[[#This Row],[qty_invoiced]],IF(T[[#This Row],[qty_invoiced]]&gt;0,"Partial Invoiced","Not Invoiced"),"Fully Invoiced")</f>
        <v>Partial Invoiced</v>
      </c>
      <c r="R2787" t="str">
        <f>IFERROR(VLOOKUP(T[[#This Row],[warehouse]],Table2[],2,FALSE),"--")</f>
        <v>--</v>
      </c>
    </row>
    <row r="2788" spans="1:18" x14ac:dyDescent="0.25">
      <c r="A2788" t="s">
        <v>560</v>
      </c>
      <c r="B2788" s="1">
        <v>44746</v>
      </c>
      <c r="C2788" t="s">
        <v>1771</v>
      </c>
      <c r="D2788" t="s">
        <v>322</v>
      </c>
      <c r="E2788" t="s">
        <v>51</v>
      </c>
      <c r="F2788" t="s">
        <v>164</v>
      </c>
      <c r="G2788" t="s">
        <v>2429</v>
      </c>
      <c r="H2788" t="s">
        <v>54</v>
      </c>
      <c r="I2788">
        <v>24</v>
      </c>
      <c r="J2788">
        <v>0</v>
      </c>
      <c r="K2788">
        <v>1</v>
      </c>
      <c r="L2788" t="s">
        <v>693</v>
      </c>
      <c r="M2788" t="s">
        <v>2836</v>
      </c>
      <c r="N2788">
        <v>9450</v>
      </c>
      <c r="O2788">
        <v>0</v>
      </c>
      <c r="P2788" t="str">
        <f>IF(T[[#This Row],[qty_ordered]]&lt;&gt;T[[#This Row],[qty_received]],IF(T[[#This Row],[qty_received]]&gt;0,"Partial Received","Not Receviced"),"FullyReceived")</f>
        <v>Not Receviced</v>
      </c>
      <c r="Q2788" t="str">
        <f>IF(T[[#This Row],[qty_received]]&lt;&gt;T[[#This Row],[qty_invoiced]],IF(T[[#This Row],[qty_invoiced]]&gt;0,"Partial Invoiced","Not Invoiced"),"Fully Invoiced")</f>
        <v>Partial Invoiced</v>
      </c>
      <c r="R2788" t="str">
        <f>IFERROR(VLOOKUP(T[[#This Row],[warehouse]],Table2[],2,FALSE),"--")</f>
        <v>--</v>
      </c>
    </row>
    <row r="2789" spans="1:18" x14ac:dyDescent="0.25">
      <c r="A2789" t="s">
        <v>560</v>
      </c>
      <c r="B2789" s="1">
        <v>44544</v>
      </c>
      <c r="C2789" t="s">
        <v>2056</v>
      </c>
      <c r="D2789" t="s">
        <v>212</v>
      </c>
      <c r="E2789" t="s">
        <v>51</v>
      </c>
      <c r="F2789" t="s">
        <v>164</v>
      </c>
      <c r="G2789" t="s">
        <v>2430</v>
      </c>
      <c r="H2789" t="s">
        <v>54</v>
      </c>
      <c r="I2789">
        <v>26.25</v>
      </c>
      <c r="J2789">
        <v>0</v>
      </c>
      <c r="K2789">
        <v>1</v>
      </c>
      <c r="L2789" t="s">
        <v>693</v>
      </c>
      <c r="M2789" t="s">
        <v>2836</v>
      </c>
      <c r="N2789">
        <v>9450</v>
      </c>
      <c r="O2789">
        <v>0</v>
      </c>
      <c r="P2789" t="str">
        <f>IF(T[[#This Row],[qty_ordered]]&lt;&gt;T[[#This Row],[qty_received]],IF(T[[#This Row],[qty_received]]&gt;0,"Partial Received","Not Receviced"),"FullyReceived")</f>
        <v>Not Receviced</v>
      </c>
      <c r="Q2789" t="str">
        <f>IF(T[[#This Row],[qty_received]]&lt;&gt;T[[#This Row],[qty_invoiced]],IF(T[[#This Row],[qty_invoiced]]&gt;0,"Partial Invoiced","Not Invoiced"),"Fully Invoiced")</f>
        <v>Partial Invoiced</v>
      </c>
      <c r="R2789" t="str">
        <f>IFERROR(VLOOKUP(T[[#This Row],[warehouse]],Table2[],2,FALSE),"--")</f>
        <v>--</v>
      </c>
    </row>
    <row r="2790" spans="1:18" x14ac:dyDescent="0.25">
      <c r="A2790" t="s">
        <v>560</v>
      </c>
      <c r="B2790" s="1">
        <v>44544</v>
      </c>
      <c r="C2790" t="s">
        <v>2056</v>
      </c>
      <c r="D2790" t="s">
        <v>322</v>
      </c>
      <c r="E2790" t="s">
        <v>51</v>
      </c>
      <c r="F2790" t="s">
        <v>164</v>
      </c>
      <c r="G2790" t="s">
        <v>2431</v>
      </c>
      <c r="H2790" t="s">
        <v>54</v>
      </c>
      <c r="I2790">
        <v>25</v>
      </c>
      <c r="J2790">
        <v>0</v>
      </c>
      <c r="K2790">
        <v>1</v>
      </c>
      <c r="L2790" t="s">
        <v>693</v>
      </c>
      <c r="M2790" t="s">
        <v>2836</v>
      </c>
      <c r="N2790">
        <v>9450</v>
      </c>
      <c r="O2790">
        <v>0</v>
      </c>
      <c r="P2790" t="str">
        <f>IF(T[[#This Row],[qty_ordered]]&lt;&gt;T[[#This Row],[qty_received]],IF(T[[#This Row],[qty_received]]&gt;0,"Partial Received","Not Receviced"),"FullyReceived")</f>
        <v>Not Receviced</v>
      </c>
      <c r="Q2790" t="str">
        <f>IF(T[[#This Row],[qty_received]]&lt;&gt;T[[#This Row],[qty_invoiced]],IF(T[[#This Row],[qty_invoiced]]&gt;0,"Partial Invoiced","Not Invoiced"),"Fully Invoiced")</f>
        <v>Partial Invoiced</v>
      </c>
      <c r="R2790" t="str">
        <f>IFERROR(VLOOKUP(T[[#This Row],[warehouse]],Table2[],2,FALSE),"--")</f>
        <v>--</v>
      </c>
    </row>
    <row r="2791" spans="1:18" x14ac:dyDescent="0.25">
      <c r="A2791" t="s">
        <v>560</v>
      </c>
      <c r="B2791" s="1">
        <v>44544</v>
      </c>
      <c r="C2791" t="s">
        <v>1542</v>
      </c>
      <c r="D2791" t="s">
        <v>511</v>
      </c>
      <c r="E2791" t="s">
        <v>51</v>
      </c>
      <c r="F2791" t="s">
        <v>164</v>
      </c>
      <c r="G2791" t="s">
        <v>2432</v>
      </c>
      <c r="H2791" t="s">
        <v>54</v>
      </c>
      <c r="I2791">
        <v>25</v>
      </c>
      <c r="J2791">
        <v>0</v>
      </c>
      <c r="K2791">
        <v>1</v>
      </c>
      <c r="L2791" t="s">
        <v>693</v>
      </c>
      <c r="M2791" t="s">
        <v>533</v>
      </c>
      <c r="N2791">
        <v>9450</v>
      </c>
      <c r="O2791">
        <v>0</v>
      </c>
      <c r="P2791" t="str">
        <f>IF(T[[#This Row],[qty_ordered]]&lt;&gt;T[[#This Row],[qty_received]],IF(T[[#This Row],[qty_received]]&gt;0,"Partial Received","Not Receviced"),"FullyReceived")</f>
        <v>Not Receviced</v>
      </c>
      <c r="Q2791" t="str">
        <f>IF(T[[#This Row],[qty_received]]&lt;&gt;T[[#This Row],[qty_invoiced]],IF(T[[#This Row],[qty_invoiced]]&gt;0,"Partial Invoiced","Not Invoiced"),"Fully Invoiced")</f>
        <v>Partial Invoiced</v>
      </c>
      <c r="R2791" t="str">
        <f>IFERROR(VLOOKUP(T[[#This Row],[warehouse]],Table2[],2,FALSE),"--")</f>
        <v>--</v>
      </c>
    </row>
    <row r="2792" spans="1:18" x14ac:dyDescent="0.25">
      <c r="A2792" t="s">
        <v>560</v>
      </c>
      <c r="B2792" s="1">
        <v>44544</v>
      </c>
      <c r="C2792" t="s">
        <v>1542</v>
      </c>
      <c r="D2792" t="s">
        <v>512</v>
      </c>
      <c r="E2792" t="s">
        <v>51</v>
      </c>
      <c r="F2792" t="s">
        <v>164</v>
      </c>
      <c r="G2792" t="s">
        <v>2432</v>
      </c>
      <c r="H2792" t="s">
        <v>54</v>
      </c>
      <c r="I2792">
        <v>25</v>
      </c>
      <c r="J2792">
        <v>0</v>
      </c>
      <c r="K2792">
        <v>1</v>
      </c>
      <c r="L2792" t="s">
        <v>693</v>
      </c>
      <c r="M2792" t="s">
        <v>533</v>
      </c>
      <c r="N2792">
        <v>9450</v>
      </c>
      <c r="O2792">
        <v>0</v>
      </c>
      <c r="P2792" t="str">
        <f>IF(T[[#This Row],[qty_ordered]]&lt;&gt;T[[#This Row],[qty_received]],IF(T[[#This Row],[qty_received]]&gt;0,"Partial Received","Not Receviced"),"FullyReceived")</f>
        <v>Not Receviced</v>
      </c>
      <c r="Q2792" t="str">
        <f>IF(T[[#This Row],[qty_received]]&lt;&gt;T[[#This Row],[qty_invoiced]],IF(T[[#This Row],[qty_invoiced]]&gt;0,"Partial Invoiced","Not Invoiced"),"Fully Invoiced")</f>
        <v>Partial Invoiced</v>
      </c>
      <c r="R2792" t="str">
        <f>IFERROR(VLOOKUP(T[[#This Row],[warehouse]],Table2[],2,FALSE),"--")</f>
        <v>--</v>
      </c>
    </row>
    <row r="2793" spans="1:18" x14ac:dyDescent="0.25">
      <c r="A2793" t="s">
        <v>560</v>
      </c>
      <c r="B2793" s="1">
        <v>44544</v>
      </c>
      <c r="C2793" t="s">
        <v>1542</v>
      </c>
      <c r="D2793" t="s">
        <v>513</v>
      </c>
      <c r="E2793" t="s">
        <v>51</v>
      </c>
      <c r="F2793" t="s">
        <v>164</v>
      </c>
      <c r="G2793" t="s">
        <v>2432</v>
      </c>
      <c r="H2793" t="s">
        <v>54</v>
      </c>
      <c r="I2793">
        <v>26.88</v>
      </c>
      <c r="J2793">
        <v>0</v>
      </c>
      <c r="K2793">
        <v>1</v>
      </c>
      <c r="L2793" t="s">
        <v>693</v>
      </c>
      <c r="M2793" t="s">
        <v>533</v>
      </c>
      <c r="N2793">
        <v>9450</v>
      </c>
      <c r="O2793">
        <v>0</v>
      </c>
      <c r="P2793" t="str">
        <f>IF(T[[#This Row],[qty_ordered]]&lt;&gt;T[[#This Row],[qty_received]],IF(T[[#This Row],[qty_received]]&gt;0,"Partial Received","Not Receviced"),"FullyReceived")</f>
        <v>Not Receviced</v>
      </c>
      <c r="Q2793" t="str">
        <f>IF(T[[#This Row],[qty_received]]&lt;&gt;T[[#This Row],[qty_invoiced]],IF(T[[#This Row],[qty_invoiced]]&gt;0,"Partial Invoiced","Not Invoiced"),"Fully Invoiced")</f>
        <v>Partial Invoiced</v>
      </c>
      <c r="R2793" t="str">
        <f>IFERROR(VLOOKUP(T[[#This Row],[warehouse]],Table2[],2,FALSE),"--")</f>
        <v>--</v>
      </c>
    </row>
    <row r="2794" spans="1:18" x14ac:dyDescent="0.25">
      <c r="A2794" t="s">
        <v>1059</v>
      </c>
      <c r="B2794" s="1">
        <v>44651</v>
      </c>
      <c r="C2794" t="s">
        <v>1578</v>
      </c>
      <c r="D2794" t="s">
        <v>591</v>
      </c>
      <c r="E2794" t="s">
        <v>51</v>
      </c>
      <c r="F2794" t="s">
        <v>933</v>
      </c>
      <c r="G2794" t="s">
        <v>2449</v>
      </c>
      <c r="H2794" t="s">
        <v>54</v>
      </c>
      <c r="I2794">
        <v>100</v>
      </c>
      <c r="J2794">
        <v>0</v>
      </c>
      <c r="K2794">
        <v>1</v>
      </c>
      <c r="L2794" t="s">
        <v>693</v>
      </c>
      <c r="M2794" t="s">
        <v>2836</v>
      </c>
      <c r="N2794">
        <v>190.5</v>
      </c>
      <c r="O2794">
        <v>0</v>
      </c>
      <c r="P2794" t="str">
        <f>IF(T[[#This Row],[qty_ordered]]&lt;&gt;T[[#This Row],[qty_received]],IF(T[[#This Row],[qty_received]]&gt;0,"Partial Received","Not Receviced"),"FullyReceived")</f>
        <v>Not Receviced</v>
      </c>
      <c r="Q2794" t="str">
        <f>IF(T[[#This Row],[qty_received]]&lt;&gt;T[[#This Row],[qty_invoiced]],IF(T[[#This Row],[qty_invoiced]]&gt;0,"Partial Invoiced","Not Invoiced"),"Fully Invoiced")</f>
        <v>Partial Invoiced</v>
      </c>
      <c r="R2794" t="str">
        <f>IFERROR(VLOOKUP(T[[#This Row],[warehouse]],Table2[],2,FALSE),"--")</f>
        <v>--</v>
      </c>
    </row>
    <row r="2795" spans="1:18" x14ac:dyDescent="0.25">
      <c r="A2795" t="s">
        <v>400</v>
      </c>
      <c r="B2795" s="1">
        <v>44594</v>
      </c>
      <c r="C2795" t="s">
        <v>1700</v>
      </c>
      <c r="D2795" t="s">
        <v>591</v>
      </c>
      <c r="E2795" t="s">
        <v>51</v>
      </c>
      <c r="F2795" t="s">
        <v>254</v>
      </c>
      <c r="G2795" t="s">
        <v>2450</v>
      </c>
      <c r="H2795" t="s">
        <v>54</v>
      </c>
      <c r="I2795">
        <v>5668</v>
      </c>
      <c r="J2795">
        <v>0</v>
      </c>
      <c r="K2795">
        <v>1</v>
      </c>
      <c r="L2795" t="s">
        <v>693</v>
      </c>
      <c r="M2795" t="s">
        <v>533</v>
      </c>
      <c r="N2795">
        <v>30</v>
      </c>
      <c r="O2795">
        <v>0</v>
      </c>
      <c r="P2795" t="str">
        <f>IF(T[[#This Row],[qty_ordered]]&lt;&gt;T[[#This Row],[qty_received]],IF(T[[#This Row],[qty_received]]&gt;0,"Partial Received","Not Receviced"),"FullyReceived")</f>
        <v>Not Receviced</v>
      </c>
      <c r="Q2795" t="str">
        <f>IF(T[[#This Row],[qty_received]]&lt;&gt;T[[#This Row],[qty_invoiced]],IF(T[[#This Row],[qty_invoiced]]&gt;0,"Partial Invoiced","Not Invoiced"),"Fully Invoiced")</f>
        <v>Partial Invoiced</v>
      </c>
      <c r="R2795" t="str">
        <f>IFERROR(VLOOKUP(T[[#This Row],[warehouse]],Table2[],2,FALSE),"--")</f>
        <v>--</v>
      </c>
    </row>
    <row r="2796" spans="1:18" x14ac:dyDescent="0.25">
      <c r="A2796" t="s">
        <v>400</v>
      </c>
      <c r="B2796" s="1">
        <v>44594</v>
      </c>
      <c r="C2796" t="s">
        <v>1700</v>
      </c>
      <c r="D2796" t="s">
        <v>592</v>
      </c>
      <c r="E2796" t="s">
        <v>51</v>
      </c>
      <c r="F2796" t="s">
        <v>384</v>
      </c>
      <c r="G2796" t="s">
        <v>2451</v>
      </c>
      <c r="H2796" t="s">
        <v>54</v>
      </c>
      <c r="I2796">
        <v>5668</v>
      </c>
      <c r="J2796">
        <v>0</v>
      </c>
      <c r="K2796">
        <v>1</v>
      </c>
      <c r="L2796" t="s">
        <v>693</v>
      </c>
      <c r="M2796" t="s">
        <v>533</v>
      </c>
      <c r="N2796">
        <v>20</v>
      </c>
      <c r="O2796">
        <v>0</v>
      </c>
      <c r="P2796" t="str">
        <f>IF(T[[#This Row],[qty_ordered]]&lt;&gt;T[[#This Row],[qty_received]],IF(T[[#This Row],[qty_received]]&gt;0,"Partial Received","Not Receviced"),"FullyReceived")</f>
        <v>Not Receviced</v>
      </c>
      <c r="Q2796" t="str">
        <f>IF(T[[#This Row],[qty_received]]&lt;&gt;T[[#This Row],[qty_invoiced]],IF(T[[#This Row],[qty_invoiced]]&gt;0,"Partial Invoiced","Not Invoiced"),"Fully Invoiced")</f>
        <v>Partial Invoiced</v>
      </c>
      <c r="R2796" t="str">
        <f>IFERROR(VLOOKUP(T[[#This Row],[warehouse]],Table2[],2,FALSE),"--")</f>
        <v>--</v>
      </c>
    </row>
    <row r="2797" spans="1:18" x14ac:dyDescent="0.25">
      <c r="A2797" t="s">
        <v>400</v>
      </c>
      <c r="B2797" s="1">
        <v>44594</v>
      </c>
      <c r="C2797" t="s">
        <v>1700</v>
      </c>
      <c r="D2797" t="s">
        <v>593</v>
      </c>
      <c r="E2797" t="s">
        <v>51</v>
      </c>
      <c r="F2797" t="s">
        <v>254</v>
      </c>
      <c r="G2797" t="s">
        <v>2450</v>
      </c>
      <c r="H2797" t="s">
        <v>54</v>
      </c>
      <c r="I2797">
        <v>5668</v>
      </c>
      <c r="J2797">
        <v>0</v>
      </c>
      <c r="K2797">
        <v>1</v>
      </c>
      <c r="L2797" t="s">
        <v>693</v>
      </c>
      <c r="M2797" t="s">
        <v>533</v>
      </c>
      <c r="N2797">
        <v>20</v>
      </c>
      <c r="O2797">
        <v>0</v>
      </c>
      <c r="P2797" t="str">
        <f>IF(T[[#This Row],[qty_ordered]]&lt;&gt;T[[#This Row],[qty_received]],IF(T[[#This Row],[qty_received]]&gt;0,"Partial Received","Not Receviced"),"FullyReceived")</f>
        <v>Not Receviced</v>
      </c>
      <c r="Q2797" t="str">
        <f>IF(T[[#This Row],[qty_received]]&lt;&gt;T[[#This Row],[qty_invoiced]],IF(T[[#This Row],[qty_invoiced]]&gt;0,"Partial Invoiced","Not Invoiced"),"Fully Invoiced")</f>
        <v>Partial Invoiced</v>
      </c>
      <c r="R2797" t="str">
        <f>IFERROR(VLOOKUP(T[[#This Row],[warehouse]],Table2[],2,FALSE),"--")</f>
        <v>--</v>
      </c>
    </row>
    <row r="2798" spans="1:18" x14ac:dyDescent="0.25">
      <c r="A2798" t="s">
        <v>400</v>
      </c>
      <c r="B2798" s="1">
        <v>44594</v>
      </c>
      <c r="C2798" t="s">
        <v>1700</v>
      </c>
      <c r="D2798" t="s">
        <v>594</v>
      </c>
      <c r="E2798" t="s">
        <v>51</v>
      </c>
      <c r="F2798" t="s">
        <v>433</v>
      </c>
      <c r="G2798" t="s">
        <v>2452</v>
      </c>
      <c r="H2798" t="s">
        <v>54</v>
      </c>
      <c r="I2798">
        <v>5668</v>
      </c>
      <c r="J2798">
        <v>0</v>
      </c>
      <c r="K2798">
        <v>1</v>
      </c>
      <c r="L2798" t="s">
        <v>693</v>
      </c>
      <c r="M2798" t="s">
        <v>533</v>
      </c>
      <c r="N2798">
        <v>30</v>
      </c>
      <c r="O2798">
        <v>0</v>
      </c>
      <c r="P2798" t="str">
        <f>IF(T[[#This Row],[qty_ordered]]&lt;&gt;T[[#This Row],[qty_received]],IF(T[[#This Row],[qty_received]]&gt;0,"Partial Received","Not Receviced"),"FullyReceived")</f>
        <v>Not Receviced</v>
      </c>
      <c r="Q2798" t="str">
        <f>IF(T[[#This Row],[qty_received]]&lt;&gt;T[[#This Row],[qty_invoiced]],IF(T[[#This Row],[qty_invoiced]]&gt;0,"Partial Invoiced","Not Invoiced"),"Fully Invoiced")</f>
        <v>Partial Invoiced</v>
      </c>
      <c r="R2798" t="str">
        <f>IFERROR(VLOOKUP(T[[#This Row],[warehouse]],Table2[],2,FALSE),"--")</f>
        <v>--</v>
      </c>
    </row>
    <row r="2799" spans="1:18" x14ac:dyDescent="0.25">
      <c r="A2799" t="s">
        <v>400</v>
      </c>
      <c r="B2799" s="1">
        <v>44594</v>
      </c>
      <c r="C2799" t="s">
        <v>1700</v>
      </c>
      <c r="D2799" t="s">
        <v>595</v>
      </c>
      <c r="E2799" t="s">
        <v>51</v>
      </c>
      <c r="F2799" t="s">
        <v>373</v>
      </c>
      <c r="G2799" t="s">
        <v>2453</v>
      </c>
      <c r="H2799" t="s">
        <v>54</v>
      </c>
      <c r="I2799">
        <v>5668</v>
      </c>
      <c r="J2799">
        <v>0</v>
      </c>
      <c r="K2799">
        <v>1</v>
      </c>
      <c r="L2799" t="s">
        <v>693</v>
      </c>
      <c r="M2799" t="s">
        <v>533</v>
      </c>
      <c r="N2799">
        <v>50</v>
      </c>
      <c r="O2799">
        <v>0</v>
      </c>
      <c r="P2799" t="str">
        <f>IF(T[[#This Row],[qty_ordered]]&lt;&gt;T[[#This Row],[qty_received]],IF(T[[#This Row],[qty_received]]&gt;0,"Partial Received","Not Receviced"),"FullyReceived")</f>
        <v>Not Receviced</v>
      </c>
      <c r="Q2799" t="str">
        <f>IF(T[[#This Row],[qty_received]]&lt;&gt;T[[#This Row],[qty_invoiced]],IF(T[[#This Row],[qty_invoiced]]&gt;0,"Partial Invoiced","Not Invoiced"),"Fully Invoiced")</f>
        <v>Partial Invoiced</v>
      </c>
      <c r="R2799" t="str">
        <f>IFERROR(VLOOKUP(T[[#This Row],[warehouse]],Table2[],2,FALSE),"--")</f>
        <v>--</v>
      </c>
    </row>
    <row r="2800" spans="1:18" x14ac:dyDescent="0.25">
      <c r="A2800" t="s">
        <v>2411</v>
      </c>
      <c r="B2800" s="1">
        <v>44866</v>
      </c>
      <c r="C2800" t="s">
        <v>2559</v>
      </c>
      <c r="D2800" t="s">
        <v>20</v>
      </c>
      <c r="E2800" t="s">
        <v>51</v>
      </c>
      <c r="F2800" t="s">
        <v>52</v>
      </c>
      <c r="G2800" t="s">
        <v>2560</v>
      </c>
      <c r="H2800" t="s">
        <v>54</v>
      </c>
      <c r="I2800">
        <v>1</v>
      </c>
      <c r="J2800">
        <v>0</v>
      </c>
      <c r="K2800">
        <v>0</v>
      </c>
      <c r="L2800" t="s">
        <v>693</v>
      </c>
      <c r="M2800" t="s">
        <v>1485</v>
      </c>
      <c r="N2800">
        <v>1596000</v>
      </c>
      <c r="O2800">
        <v>0</v>
      </c>
      <c r="P2800" t="str">
        <f>IF(T[[#This Row],[qty_ordered]]&lt;&gt;T[[#This Row],[qty_received]],IF(T[[#This Row],[qty_received]]&gt;0,"Partial Received","Not Receviced"),"FullyReceived")</f>
        <v>Not Receviced</v>
      </c>
      <c r="Q2800" t="str">
        <f>IF(T[[#This Row],[qty_received]]&lt;&gt;T[[#This Row],[qty_invoiced]],IF(T[[#This Row],[qty_invoiced]]&gt;0,"Partial Invoiced","Not Invoiced"),"Fully Invoiced")</f>
        <v>Fully Invoiced</v>
      </c>
      <c r="R2800" t="str">
        <f>IFERROR(VLOOKUP(T[[#This Row],[warehouse]],Table2[],2,FALSE),"--")</f>
        <v>--</v>
      </c>
    </row>
    <row r="2801" spans="1:18" x14ac:dyDescent="0.25">
      <c r="A2801" t="s">
        <v>303</v>
      </c>
      <c r="B2801" s="1">
        <v>44783</v>
      </c>
      <c r="C2801" t="s">
        <v>1859</v>
      </c>
      <c r="D2801" t="s">
        <v>100</v>
      </c>
      <c r="E2801" t="s">
        <v>66</v>
      </c>
      <c r="F2801" t="s">
        <v>1860</v>
      </c>
      <c r="G2801" t="s">
        <v>1861</v>
      </c>
      <c r="H2801" t="s">
        <v>531</v>
      </c>
      <c r="I2801">
        <v>1000</v>
      </c>
      <c r="J2801">
        <v>1000</v>
      </c>
      <c r="K2801">
        <v>1000</v>
      </c>
      <c r="L2801" t="s">
        <v>693</v>
      </c>
      <c r="M2801" t="s">
        <v>707</v>
      </c>
      <c r="N2801">
        <v>114000</v>
      </c>
      <c r="O2801">
        <v>114000000</v>
      </c>
      <c r="P2801" t="str">
        <f>IF(T[[#This Row],[qty_ordered]]&lt;&gt;T[[#This Row],[qty_received]],IF(T[[#This Row],[qty_received]]&gt;0,"Partial Received","Not Receviced"),"FullyReceived")</f>
        <v>FullyReceived</v>
      </c>
      <c r="Q2801" t="str">
        <f>IF(T[[#This Row],[qty_received]]&lt;&gt;T[[#This Row],[qty_invoiced]],IF(T[[#This Row],[qty_invoiced]]&gt;0,"Partial Invoiced","Not Invoiced"),"Fully Invoiced")</f>
        <v>Fully Invoiced</v>
      </c>
      <c r="R2801" t="str">
        <f>IFERROR(VLOOKUP(T[[#This Row],[warehouse]],Table2[],2,FALSE),"--")</f>
        <v>PZU Main Warehouse</v>
      </c>
    </row>
    <row r="2802" spans="1:18" x14ac:dyDescent="0.25">
      <c r="A2802" t="s">
        <v>228</v>
      </c>
      <c r="B2802" s="1">
        <v>44871</v>
      </c>
      <c r="C2802" t="s">
        <v>2577</v>
      </c>
      <c r="D2802" t="s">
        <v>20</v>
      </c>
      <c r="E2802" t="s">
        <v>239</v>
      </c>
      <c r="F2802" t="s">
        <v>230</v>
      </c>
      <c r="G2802" t="s">
        <v>231</v>
      </c>
      <c r="H2802" t="s">
        <v>24</v>
      </c>
      <c r="I2802">
        <v>5705.21</v>
      </c>
      <c r="J2802">
        <v>4583.97</v>
      </c>
      <c r="K2802">
        <v>4583.97</v>
      </c>
      <c r="L2802" t="s">
        <v>693</v>
      </c>
      <c r="M2802" t="s">
        <v>1485</v>
      </c>
      <c r="N2802">
        <v>745376.43000399997</v>
      </c>
      <c r="O2802">
        <v>3416783193.8454399</v>
      </c>
      <c r="P2802" t="str">
        <f>IF(T[[#This Row],[qty_ordered]]&lt;&gt;T[[#This Row],[qty_received]],IF(T[[#This Row],[qty_received]]&gt;0,"Partial Received","Not Receviced"),"FullyReceived")</f>
        <v>Partial Received</v>
      </c>
      <c r="Q2802" t="str">
        <f>IF(T[[#This Row],[qty_received]]&lt;&gt;T[[#This Row],[qty_invoiced]],IF(T[[#This Row],[qty_invoiced]]&gt;0,"Partial Invoiced","Not Invoiced"),"Fully Invoiced")</f>
        <v>Fully Invoiced</v>
      </c>
      <c r="R2802" t="str">
        <f>IFERROR(VLOOKUP(T[[#This Row],[warehouse]],Table2[],2,FALSE),"--")</f>
        <v xml:space="preserve">Gadarif Main Store </v>
      </c>
    </row>
    <row r="2803" spans="1:18" x14ac:dyDescent="0.25">
      <c r="A2803" t="s">
        <v>228</v>
      </c>
      <c r="B2803" s="1">
        <v>44873</v>
      </c>
      <c r="C2803" t="s">
        <v>2580</v>
      </c>
      <c r="D2803" t="s">
        <v>20</v>
      </c>
      <c r="E2803" t="s">
        <v>239</v>
      </c>
      <c r="F2803" t="s">
        <v>230</v>
      </c>
      <c r="G2803" t="s">
        <v>231</v>
      </c>
      <c r="H2803" t="s">
        <v>24</v>
      </c>
      <c r="I2803">
        <v>1000</v>
      </c>
      <c r="J2803">
        <v>640.11</v>
      </c>
      <c r="K2803">
        <v>640.11</v>
      </c>
      <c r="L2803" t="s">
        <v>693</v>
      </c>
      <c r="M2803" t="s">
        <v>1485</v>
      </c>
      <c r="N2803">
        <v>700000</v>
      </c>
      <c r="O2803">
        <v>448077000</v>
      </c>
      <c r="P2803" t="str">
        <f>IF(T[[#This Row],[qty_ordered]]&lt;&gt;T[[#This Row],[qty_received]],IF(T[[#This Row],[qty_received]]&gt;0,"Partial Received","Not Receviced"),"FullyReceived")</f>
        <v>Partial Received</v>
      </c>
      <c r="Q2803" t="str">
        <f>IF(T[[#This Row],[qty_received]]&lt;&gt;T[[#This Row],[qty_invoiced]],IF(T[[#This Row],[qty_invoiced]]&gt;0,"Partial Invoiced","Not Invoiced"),"Fully Invoiced")</f>
        <v>Fully Invoiced</v>
      </c>
      <c r="R2803" t="str">
        <f>IFERROR(VLOOKUP(T[[#This Row],[warehouse]],Table2[],2,FALSE),"--")</f>
        <v xml:space="preserve">Gadarif Main Store </v>
      </c>
    </row>
    <row r="2804" spans="1:18" x14ac:dyDescent="0.25">
      <c r="A2804" t="s">
        <v>1745</v>
      </c>
      <c r="B2804" s="1">
        <v>44874</v>
      </c>
      <c r="C2804" t="s">
        <v>2581</v>
      </c>
      <c r="D2804" t="s">
        <v>20</v>
      </c>
      <c r="E2804" t="s">
        <v>146</v>
      </c>
      <c r="F2804" t="s">
        <v>147</v>
      </c>
      <c r="G2804" t="s">
        <v>148</v>
      </c>
      <c r="H2804" t="s">
        <v>149</v>
      </c>
      <c r="I2804">
        <v>100000</v>
      </c>
      <c r="J2804">
        <v>100000</v>
      </c>
      <c r="K2804">
        <v>100000</v>
      </c>
      <c r="L2804" t="s">
        <v>693</v>
      </c>
      <c r="M2804" t="s">
        <v>1404</v>
      </c>
      <c r="N2804">
        <v>220</v>
      </c>
      <c r="O2804">
        <v>22000000</v>
      </c>
      <c r="P2804" t="str">
        <f>IF(T[[#This Row],[qty_ordered]]&lt;&gt;T[[#This Row],[qty_received]],IF(T[[#This Row],[qty_received]]&gt;0,"Partial Received","Not Receviced"),"FullyReceived")</f>
        <v>FullyReceived</v>
      </c>
      <c r="Q2804" t="str">
        <f>IF(T[[#This Row],[qty_received]]&lt;&gt;T[[#This Row],[qty_invoiced]],IF(T[[#This Row],[qty_invoiced]]&gt;0,"Partial Invoiced","Not Invoiced"),"Fully Invoiced")</f>
        <v>Fully Invoiced</v>
      </c>
      <c r="R2804" t="str">
        <f>IFERROR(VLOOKUP(T[[#This Row],[warehouse]],Table2[],2,FALSE),"--")</f>
        <v>Khtoum Main Warehouse</v>
      </c>
    </row>
    <row r="2805" spans="1:18" x14ac:dyDescent="0.25">
      <c r="A2805" t="s">
        <v>1745</v>
      </c>
      <c r="B2805" s="1">
        <v>44874</v>
      </c>
      <c r="C2805" t="s">
        <v>2581</v>
      </c>
      <c r="D2805" t="s">
        <v>71</v>
      </c>
      <c r="E2805" t="s">
        <v>146</v>
      </c>
      <c r="F2805" t="s">
        <v>151</v>
      </c>
      <c r="G2805" t="s">
        <v>152</v>
      </c>
      <c r="H2805" t="s">
        <v>149</v>
      </c>
      <c r="I2805">
        <v>70000</v>
      </c>
      <c r="J2805">
        <v>70000</v>
      </c>
      <c r="K2805">
        <v>70000</v>
      </c>
      <c r="L2805" t="s">
        <v>693</v>
      </c>
      <c r="M2805" t="s">
        <v>1404</v>
      </c>
      <c r="N2805">
        <v>220</v>
      </c>
      <c r="O2805">
        <v>15400000</v>
      </c>
      <c r="P2805" t="str">
        <f>IF(T[[#This Row],[qty_ordered]]&lt;&gt;T[[#This Row],[qty_received]],IF(T[[#This Row],[qty_received]]&gt;0,"Partial Received","Not Receviced"),"FullyReceived")</f>
        <v>FullyReceived</v>
      </c>
      <c r="Q2805" t="str">
        <f>IF(T[[#This Row],[qty_received]]&lt;&gt;T[[#This Row],[qty_invoiced]],IF(T[[#This Row],[qty_invoiced]]&gt;0,"Partial Invoiced","Not Invoiced"),"Fully Invoiced")</f>
        <v>Fully Invoiced</v>
      </c>
      <c r="R2805" t="str">
        <f>IFERROR(VLOOKUP(T[[#This Row],[warehouse]],Table2[],2,FALSE),"--")</f>
        <v>Khtoum Main Warehouse</v>
      </c>
    </row>
    <row r="2806" spans="1:18" x14ac:dyDescent="0.25">
      <c r="A2806" t="s">
        <v>2582</v>
      </c>
      <c r="B2806" s="1">
        <v>44874</v>
      </c>
      <c r="C2806" t="s">
        <v>2583</v>
      </c>
      <c r="D2806" t="s">
        <v>20</v>
      </c>
      <c r="E2806" t="s">
        <v>146</v>
      </c>
      <c r="F2806" t="s">
        <v>943</v>
      </c>
      <c r="G2806" t="s">
        <v>944</v>
      </c>
      <c r="H2806" t="s">
        <v>149</v>
      </c>
      <c r="I2806">
        <v>500000</v>
      </c>
      <c r="J2806">
        <v>0</v>
      </c>
      <c r="K2806">
        <v>0</v>
      </c>
      <c r="L2806" t="s">
        <v>693</v>
      </c>
      <c r="M2806" t="s">
        <v>1404</v>
      </c>
      <c r="N2806">
        <v>525</v>
      </c>
      <c r="O2806">
        <v>0</v>
      </c>
      <c r="P2806" t="str">
        <f>IF(T[[#This Row],[qty_ordered]]&lt;&gt;T[[#This Row],[qty_received]],IF(T[[#This Row],[qty_received]]&gt;0,"Partial Received","Not Receviced"),"FullyReceived")</f>
        <v>Not Receviced</v>
      </c>
      <c r="Q2806" t="str">
        <f>IF(T[[#This Row],[qty_received]]&lt;&gt;T[[#This Row],[qty_invoiced]],IF(T[[#This Row],[qty_invoiced]]&gt;0,"Partial Invoiced","Not Invoiced"),"Fully Invoiced")</f>
        <v>Fully Invoiced</v>
      </c>
      <c r="R2806" t="str">
        <f>IFERROR(VLOOKUP(T[[#This Row],[warehouse]],Table2[],2,FALSE),"--")</f>
        <v>Khtoum Main Warehouse</v>
      </c>
    </row>
    <row r="2807" spans="1:18" x14ac:dyDescent="0.25">
      <c r="A2807" t="s">
        <v>1025</v>
      </c>
      <c r="B2807" s="1">
        <v>44767</v>
      </c>
      <c r="C2807" t="s">
        <v>1793</v>
      </c>
      <c r="D2807" t="s">
        <v>71</v>
      </c>
      <c r="E2807" t="s">
        <v>146</v>
      </c>
      <c r="F2807" t="s">
        <v>415</v>
      </c>
      <c r="G2807" t="s">
        <v>1794</v>
      </c>
      <c r="H2807" t="s">
        <v>417</v>
      </c>
      <c r="I2807">
        <v>17</v>
      </c>
      <c r="J2807">
        <v>17</v>
      </c>
      <c r="K2807">
        <v>17</v>
      </c>
      <c r="L2807" t="s">
        <v>25</v>
      </c>
      <c r="M2807" t="s">
        <v>418</v>
      </c>
      <c r="N2807">
        <v>7750</v>
      </c>
      <c r="O2807">
        <v>131750</v>
      </c>
      <c r="P2807" t="str">
        <f>IF(T[[#This Row],[qty_ordered]]&lt;&gt;T[[#This Row],[qty_received]],IF(T[[#This Row],[qty_received]]&gt;0,"Partial Received","Not Receviced"),"FullyReceived")</f>
        <v>FullyReceived</v>
      </c>
      <c r="Q2807" t="str">
        <f>IF(T[[#This Row],[qty_received]]&lt;&gt;T[[#This Row],[qty_invoiced]],IF(T[[#This Row],[qty_invoiced]]&gt;0,"Partial Invoiced","Not Invoiced"),"Fully Invoiced")</f>
        <v>Fully Invoiced</v>
      </c>
      <c r="R2807" t="str">
        <f>IFERROR(VLOOKUP(T[[#This Row],[warehouse]],Table2[],2,FALSE),"--")</f>
        <v>Khtoum Main Warehouse</v>
      </c>
    </row>
    <row r="2808" spans="1:18" x14ac:dyDescent="0.25">
      <c r="A2808" t="s">
        <v>1170</v>
      </c>
      <c r="B2808" s="1">
        <v>44878</v>
      </c>
      <c r="C2808" t="s">
        <v>2585</v>
      </c>
      <c r="D2808" t="s">
        <v>20</v>
      </c>
      <c r="E2808" t="s">
        <v>2915</v>
      </c>
      <c r="F2808" t="s">
        <v>406</v>
      </c>
      <c r="G2808" t="s">
        <v>407</v>
      </c>
      <c r="H2808" t="s">
        <v>24</v>
      </c>
      <c r="I2808">
        <v>1012.21</v>
      </c>
      <c r="J2808">
        <v>1012.21</v>
      </c>
      <c r="K2808">
        <v>1012.21</v>
      </c>
      <c r="L2808" t="s">
        <v>693</v>
      </c>
      <c r="M2808" t="s">
        <v>707</v>
      </c>
      <c r="N2808">
        <v>314070.35175899998</v>
      </c>
      <c r="O2808">
        <v>317905150.753977</v>
      </c>
      <c r="P2808" t="str">
        <f>IF(T[[#This Row],[qty_ordered]]&lt;&gt;T[[#This Row],[qty_received]],IF(T[[#This Row],[qty_received]]&gt;0,"Partial Received","Not Receviced"),"FullyReceived")</f>
        <v>FullyReceived</v>
      </c>
      <c r="Q2808" t="str">
        <f>IF(T[[#This Row],[qty_received]]&lt;&gt;T[[#This Row],[qty_invoiced]],IF(T[[#This Row],[qty_invoiced]]&gt;0,"Partial Invoiced","Not Invoiced"),"Fully Invoiced")</f>
        <v>Fully Invoiced</v>
      </c>
      <c r="R2808" t="str">
        <f>IFERROR(VLOOKUP(T[[#This Row],[warehouse]],Table2[],2,FALSE),"--")</f>
        <v xml:space="preserve">MSG Ginning New Halfa </v>
      </c>
    </row>
    <row r="2809" spans="1:18" x14ac:dyDescent="0.25">
      <c r="A2809" t="s">
        <v>303</v>
      </c>
      <c r="B2809" s="1">
        <v>44878</v>
      </c>
      <c r="C2809" t="s">
        <v>2586</v>
      </c>
      <c r="D2809" t="s">
        <v>20</v>
      </c>
      <c r="E2809" t="s">
        <v>66</v>
      </c>
      <c r="F2809" t="s">
        <v>529</v>
      </c>
      <c r="G2809" t="s">
        <v>530</v>
      </c>
      <c r="H2809" t="s">
        <v>531</v>
      </c>
      <c r="I2809">
        <v>2000</v>
      </c>
      <c r="J2809">
        <v>0</v>
      </c>
      <c r="K2809">
        <v>0</v>
      </c>
      <c r="L2809" t="s">
        <v>693</v>
      </c>
      <c r="M2809" t="s">
        <v>707</v>
      </c>
      <c r="N2809">
        <v>65000</v>
      </c>
      <c r="O2809">
        <v>0</v>
      </c>
      <c r="P2809" t="str">
        <f>IF(T[[#This Row],[qty_ordered]]&lt;&gt;T[[#This Row],[qty_received]],IF(T[[#This Row],[qty_received]]&gt;0,"Partial Received","Not Receviced"),"FullyReceived")</f>
        <v>Not Receviced</v>
      </c>
      <c r="Q2809" t="str">
        <f>IF(T[[#This Row],[qty_received]]&lt;&gt;T[[#This Row],[qty_invoiced]],IF(T[[#This Row],[qty_invoiced]]&gt;0,"Partial Invoiced","Not Invoiced"),"Fully Invoiced")</f>
        <v>Fully Invoiced</v>
      </c>
      <c r="R2809" t="str">
        <f>IFERROR(VLOOKUP(T[[#This Row],[warehouse]],Table2[],2,FALSE),"--")</f>
        <v>PZU Main Warehouse</v>
      </c>
    </row>
    <row r="2810" spans="1:18" x14ac:dyDescent="0.25">
      <c r="A2810" t="s">
        <v>303</v>
      </c>
      <c r="B2810" s="1">
        <v>44878</v>
      </c>
      <c r="C2810" t="s">
        <v>2587</v>
      </c>
      <c r="D2810" t="s">
        <v>20</v>
      </c>
      <c r="E2810" t="s">
        <v>66</v>
      </c>
      <c r="F2810" t="s">
        <v>1860</v>
      </c>
      <c r="G2810" t="s">
        <v>1861</v>
      </c>
      <c r="H2810" t="s">
        <v>531</v>
      </c>
      <c r="I2810">
        <v>2000</v>
      </c>
      <c r="J2810">
        <v>0</v>
      </c>
      <c r="K2810">
        <v>0</v>
      </c>
      <c r="L2810" t="s">
        <v>693</v>
      </c>
      <c r="M2810" t="s">
        <v>707</v>
      </c>
      <c r="N2810">
        <v>115000</v>
      </c>
      <c r="O2810">
        <v>0</v>
      </c>
      <c r="P2810" t="str">
        <f>IF(T[[#This Row],[qty_ordered]]&lt;&gt;T[[#This Row],[qty_received]],IF(T[[#This Row],[qty_received]]&gt;0,"Partial Received","Not Receviced"),"FullyReceived")</f>
        <v>Not Receviced</v>
      </c>
      <c r="Q2810" t="str">
        <f>IF(T[[#This Row],[qty_received]]&lt;&gt;T[[#This Row],[qty_invoiced]],IF(T[[#This Row],[qty_invoiced]]&gt;0,"Partial Invoiced","Not Invoiced"),"Fully Invoiced")</f>
        <v>Fully Invoiced</v>
      </c>
      <c r="R2810" t="str">
        <f>IFERROR(VLOOKUP(T[[#This Row],[warehouse]],Table2[],2,FALSE),"--")</f>
        <v>PZU Main Warehouse</v>
      </c>
    </row>
    <row r="2811" spans="1:18" x14ac:dyDescent="0.25">
      <c r="A2811" t="s">
        <v>84</v>
      </c>
      <c r="B2811" s="1">
        <v>44878</v>
      </c>
      <c r="C2811" t="s">
        <v>2588</v>
      </c>
      <c r="D2811" t="s">
        <v>20</v>
      </c>
      <c r="E2811" t="s">
        <v>214</v>
      </c>
      <c r="F2811" t="s">
        <v>167</v>
      </c>
      <c r="G2811" t="s">
        <v>156</v>
      </c>
      <c r="H2811" t="s">
        <v>24</v>
      </c>
      <c r="I2811">
        <v>500</v>
      </c>
      <c r="J2811">
        <v>0</v>
      </c>
      <c r="K2811">
        <v>0</v>
      </c>
      <c r="L2811" t="s">
        <v>693</v>
      </c>
      <c r="M2811" t="s">
        <v>1485</v>
      </c>
      <c r="N2811">
        <v>1120000</v>
      </c>
      <c r="O2811">
        <v>0</v>
      </c>
      <c r="P2811" t="str">
        <f>IF(T[[#This Row],[qty_ordered]]&lt;&gt;T[[#This Row],[qty_received]],IF(T[[#This Row],[qty_received]]&gt;0,"Partial Received","Not Receviced"),"FullyReceived")</f>
        <v>Not Receviced</v>
      </c>
      <c r="Q2811" t="str">
        <f>IF(T[[#This Row],[qty_received]]&lt;&gt;T[[#This Row],[qty_invoiced]],IF(T[[#This Row],[qty_invoiced]]&gt;0,"Partial Invoiced","Not Invoiced"),"Fully Invoiced")</f>
        <v>Fully Invoiced</v>
      </c>
      <c r="R2811" t="str">
        <f>IFERROR(VLOOKUP(T[[#This Row],[warehouse]],Table2[],2,FALSE),"--")</f>
        <v>CRUSHER ELBALOLA</v>
      </c>
    </row>
    <row r="2812" spans="1:18" x14ac:dyDescent="0.25">
      <c r="A2812" t="s">
        <v>303</v>
      </c>
      <c r="B2812" s="1">
        <v>44783</v>
      </c>
      <c r="C2812" t="s">
        <v>1859</v>
      </c>
      <c r="D2812" t="s">
        <v>88</v>
      </c>
      <c r="E2812" t="s">
        <v>66</v>
      </c>
      <c r="F2812" t="s">
        <v>1860</v>
      </c>
      <c r="G2812" t="s">
        <v>1861</v>
      </c>
      <c r="H2812" t="s">
        <v>531</v>
      </c>
      <c r="I2812">
        <v>4126</v>
      </c>
      <c r="J2812">
        <v>4126</v>
      </c>
      <c r="K2812">
        <v>1974</v>
      </c>
      <c r="L2812" t="s">
        <v>693</v>
      </c>
      <c r="M2812" t="s">
        <v>707</v>
      </c>
      <c r="N2812">
        <v>114000</v>
      </c>
      <c r="O2812">
        <v>470364000</v>
      </c>
      <c r="P2812" t="str">
        <f>IF(T[[#This Row],[qty_ordered]]&lt;&gt;T[[#This Row],[qty_received]],IF(T[[#This Row],[qty_received]]&gt;0,"Partial Received","Not Receviced"),"FullyReceived")</f>
        <v>FullyReceived</v>
      </c>
      <c r="Q2812" t="str">
        <f>IF(T[[#This Row],[qty_received]]&lt;&gt;T[[#This Row],[qty_invoiced]],IF(T[[#This Row],[qty_invoiced]]&gt;0,"Partial Invoiced","Not Invoiced"),"Fully Invoiced")</f>
        <v>Partial Invoiced</v>
      </c>
      <c r="R2812" t="str">
        <f>IFERROR(VLOOKUP(T[[#This Row],[warehouse]],Table2[],2,FALSE),"--")</f>
        <v>PZU Main Warehouse</v>
      </c>
    </row>
    <row r="2813" spans="1:18" x14ac:dyDescent="0.25">
      <c r="A2813" t="s">
        <v>303</v>
      </c>
      <c r="B2813" s="1">
        <v>44746</v>
      </c>
      <c r="C2813" t="s">
        <v>2226</v>
      </c>
      <c r="D2813" t="s">
        <v>74</v>
      </c>
      <c r="E2813" t="s">
        <v>66</v>
      </c>
      <c r="F2813" t="s">
        <v>529</v>
      </c>
      <c r="G2813" t="s">
        <v>530</v>
      </c>
      <c r="H2813" t="s">
        <v>531</v>
      </c>
      <c r="I2813">
        <v>500</v>
      </c>
      <c r="J2813">
        <v>0</v>
      </c>
      <c r="K2813">
        <v>0</v>
      </c>
      <c r="L2813" t="s">
        <v>693</v>
      </c>
      <c r="M2813" t="s">
        <v>707</v>
      </c>
      <c r="N2813">
        <v>60000</v>
      </c>
      <c r="O2813">
        <v>0</v>
      </c>
      <c r="P2813" t="str">
        <f>IF(T[[#This Row],[qty_ordered]]&lt;&gt;T[[#This Row],[qty_received]],IF(T[[#This Row],[qty_received]]&gt;0,"Partial Received","Not Receviced"),"FullyReceived")</f>
        <v>Not Receviced</v>
      </c>
      <c r="Q2813" t="str">
        <f>IF(T[[#This Row],[qty_received]]&lt;&gt;T[[#This Row],[qty_invoiced]],IF(T[[#This Row],[qty_invoiced]]&gt;0,"Partial Invoiced","Not Invoiced"),"Fully Invoiced")</f>
        <v>Fully Invoiced</v>
      </c>
      <c r="R2813" t="str">
        <f>IFERROR(VLOOKUP(T[[#This Row],[warehouse]],Table2[],2,FALSE),"--")</f>
        <v>PZU Main Warehouse</v>
      </c>
    </row>
    <row r="2814" spans="1:18" x14ac:dyDescent="0.25">
      <c r="A2814" t="s">
        <v>84</v>
      </c>
      <c r="B2814" s="1">
        <v>44854</v>
      </c>
      <c r="C2814" t="s">
        <v>2463</v>
      </c>
      <c r="D2814" t="s">
        <v>71</v>
      </c>
      <c r="E2814" t="s">
        <v>982</v>
      </c>
      <c r="F2814" t="s">
        <v>108</v>
      </c>
      <c r="G2814" t="s">
        <v>109</v>
      </c>
      <c r="H2814" t="s">
        <v>24</v>
      </c>
      <c r="I2814">
        <v>571.20000000000005</v>
      </c>
      <c r="J2814">
        <v>414.86</v>
      </c>
      <c r="K2814">
        <v>414.86</v>
      </c>
      <c r="L2814" t="s">
        <v>693</v>
      </c>
      <c r="M2814" t="s">
        <v>1485</v>
      </c>
      <c r="N2814">
        <v>700280.11204399995</v>
      </c>
      <c r="O2814">
        <v>290518207.282574</v>
      </c>
      <c r="P2814" t="str">
        <f>IF(T[[#This Row],[qty_ordered]]&lt;&gt;T[[#This Row],[qty_received]],IF(T[[#This Row],[qty_received]]&gt;0,"Partial Received","Not Receviced"),"FullyReceived")</f>
        <v>Partial Received</v>
      </c>
      <c r="Q2814" t="str">
        <f>IF(T[[#This Row],[qty_received]]&lt;&gt;T[[#This Row],[qty_invoiced]],IF(T[[#This Row],[qty_invoiced]]&gt;0,"Partial Invoiced","Not Invoiced"),"Fully Invoiced")</f>
        <v>Fully Invoiced</v>
      </c>
      <c r="R2814" t="str">
        <f>IFERROR(VLOOKUP(T[[#This Row],[warehouse]],Table2[],2,FALSE),"--")</f>
        <v>SIFTER - SAMELOMDRMA</v>
      </c>
    </row>
    <row r="2815" spans="1:18" x14ac:dyDescent="0.25">
      <c r="A2815" t="s">
        <v>2593</v>
      </c>
      <c r="B2815" s="1">
        <v>44879</v>
      </c>
      <c r="C2815" t="s">
        <v>2594</v>
      </c>
      <c r="D2815" t="s">
        <v>20</v>
      </c>
      <c r="E2815" t="s">
        <v>51</v>
      </c>
      <c r="F2815" t="s">
        <v>262</v>
      </c>
      <c r="G2815" t="s">
        <v>2832</v>
      </c>
      <c r="H2815" t="s">
        <v>54</v>
      </c>
      <c r="I2815">
        <v>9</v>
      </c>
      <c r="J2815">
        <v>0</v>
      </c>
      <c r="K2815">
        <v>1</v>
      </c>
      <c r="L2815" t="s">
        <v>693</v>
      </c>
      <c r="M2815" t="s">
        <v>1485</v>
      </c>
      <c r="N2815">
        <v>30000</v>
      </c>
      <c r="O2815">
        <v>0</v>
      </c>
      <c r="P2815" t="str">
        <f>IF(T[[#This Row],[qty_ordered]]&lt;&gt;T[[#This Row],[qty_received]],IF(T[[#This Row],[qty_received]]&gt;0,"Partial Received","Not Receviced"),"FullyReceived")</f>
        <v>Not Receviced</v>
      </c>
      <c r="Q2815" t="str">
        <f>IF(T[[#This Row],[qty_received]]&lt;&gt;T[[#This Row],[qty_invoiced]],IF(T[[#This Row],[qty_invoiced]]&gt;0,"Partial Invoiced","Not Invoiced"),"Fully Invoiced")</f>
        <v>Partial Invoiced</v>
      </c>
      <c r="R2815" t="str">
        <f>IFERROR(VLOOKUP(T[[#This Row],[warehouse]],Table2[],2,FALSE),"--")</f>
        <v>--</v>
      </c>
    </row>
    <row r="2816" spans="1:18" x14ac:dyDescent="0.25">
      <c r="A2816" t="s">
        <v>973</v>
      </c>
      <c r="B2816" s="1">
        <v>44880</v>
      </c>
      <c r="C2816" t="s">
        <v>2833</v>
      </c>
      <c r="D2816" t="s">
        <v>20</v>
      </c>
      <c r="E2816" t="s">
        <v>281</v>
      </c>
      <c r="F2816" t="s">
        <v>167</v>
      </c>
      <c r="G2816" t="s">
        <v>156</v>
      </c>
      <c r="H2816" t="s">
        <v>24</v>
      </c>
      <c r="I2816">
        <v>200</v>
      </c>
      <c r="J2816">
        <v>200</v>
      </c>
      <c r="K2816">
        <v>200</v>
      </c>
      <c r="L2816" t="s">
        <v>693</v>
      </c>
      <c r="M2816" t="s">
        <v>707</v>
      </c>
      <c r="N2816">
        <v>1080000</v>
      </c>
      <c r="O2816">
        <v>216000000</v>
      </c>
      <c r="P2816" t="str">
        <f>IF(T[[#This Row],[qty_ordered]]&lt;&gt;T[[#This Row],[qty_received]],IF(T[[#This Row],[qty_received]]&gt;0,"Partial Received","Not Receviced"),"FullyReceived")</f>
        <v>FullyReceived</v>
      </c>
      <c r="Q2816" t="str">
        <f>IF(T[[#This Row],[qty_received]]&lt;&gt;T[[#This Row],[qty_invoiced]],IF(T[[#This Row],[qty_invoiced]]&gt;0,"Partial Invoiced","Not Invoiced"),"Fully Invoiced")</f>
        <v>Fully Invoiced</v>
      </c>
      <c r="R2816" t="str">
        <f>IFERROR(VLOOKUP(T[[#This Row],[warehouse]],Table2[],2,FALSE),"--")</f>
        <v>Crusher Alm Eldin-KH</v>
      </c>
    </row>
    <row r="2817" spans="1:18" x14ac:dyDescent="0.25">
      <c r="A2817" t="s">
        <v>201</v>
      </c>
      <c r="B2817" s="1">
        <v>44881</v>
      </c>
      <c r="C2817" t="s">
        <v>2834</v>
      </c>
      <c r="D2817" t="s">
        <v>20</v>
      </c>
      <c r="E2817" t="s">
        <v>203</v>
      </c>
      <c r="F2817" t="s">
        <v>204</v>
      </c>
      <c r="G2817" t="s">
        <v>205</v>
      </c>
      <c r="H2817" t="s">
        <v>206</v>
      </c>
      <c r="I2817">
        <v>320</v>
      </c>
      <c r="J2817">
        <v>320</v>
      </c>
      <c r="K2817">
        <v>320</v>
      </c>
      <c r="L2817" t="s">
        <v>693</v>
      </c>
      <c r="M2817" t="s">
        <v>1404</v>
      </c>
      <c r="N2817">
        <v>166101.01118199999</v>
      </c>
      <c r="O2817">
        <v>53152323.57824</v>
      </c>
      <c r="P2817" t="str">
        <f>IF(T[[#This Row],[qty_ordered]]&lt;&gt;T[[#This Row],[qty_received]],IF(T[[#This Row],[qty_received]]&gt;0,"Partial Received","Not Receviced"),"FullyReceived")</f>
        <v>FullyReceived</v>
      </c>
      <c r="Q2817" t="str">
        <f>IF(T[[#This Row],[qty_received]]&lt;&gt;T[[#This Row],[qty_invoiced]],IF(T[[#This Row],[qty_invoiced]]&gt;0,"Partial Invoiced","Not Invoiced"),"Fully Invoiced")</f>
        <v>Fully Invoiced</v>
      </c>
      <c r="R2817" t="str">
        <f>IFERROR(VLOOKUP(T[[#This Row],[warehouse]],Table2[],2,FALSE),"--")</f>
        <v>PZU Packaging Warehouse</v>
      </c>
    </row>
    <row r="2818" spans="1:18" x14ac:dyDescent="0.25">
      <c r="A2818" t="s">
        <v>201</v>
      </c>
      <c r="B2818" s="1">
        <v>44881</v>
      </c>
      <c r="C2818" t="s">
        <v>2834</v>
      </c>
      <c r="D2818" t="s">
        <v>71</v>
      </c>
      <c r="E2818" t="s">
        <v>51</v>
      </c>
      <c r="F2818" t="s">
        <v>933</v>
      </c>
      <c r="G2818" t="s">
        <v>933</v>
      </c>
      <c r="H2818" t="s">
        <v>54</v>
      </c>
      <c r="I2818">
        <v>3</v>
      </c>
      <c r="J2818">
        <v>0</v>
      </c>
      <c r="K2818">
        <v>0</v>
      </c>
      <c r="L2818" t="s">
        <v>693</v>
      </c>
      <c r="M2818" t="s">
        <v>1404</v>
      </c>
      <c r="N2818">
        <v>513074.22423599998</v>
      </c>
      <c r="O2818">
        <v>0</v>
      </c>
      <c r="P2818" t="str">
        <f>IF(T[[#This Row],[qty_ordered]]&lt;&gt;T[[#This Row],[qty_received]],IF(T[[#This Row],[qty_received]]&gt;0,"Partial Received","Not Receviced"),"FullyReceived")</f>
        <v>Not Receviced</v>
      </c>
      <c r="Q2818" t="str">
        <f>IF(T[[#This Row],[qty_received]]&lt;&gt;T[[#This Row],[qty_invoiced]],IF(T[[#This Row],[qty_invoiced]]&gt;0,"Partial Invoiced","Not Invoiced"),"Fully Invoiced")</f>
        <v>Fully Invoiced</v>
      </c>
      <c r="R2818" t="str">
        <f>IFERROR(VLOOKUP(T[[#This Row],[warehouse]],Table2[],2,FALSE),"--")</f>
        <v>--</v>
      </c>
    </row>
    <row r="2819" spans="1:18" x14ac:dyDescent="0.25">
      <c r="A2819" t="s">
        <v>201</v>
      </c>
      <c r="B2819" s="1">
        <v>44881</v>
      </c>
      <c r="C2819" t="s">
        <v>2834</v>
      </c>
      <c r="D2819" t="s">
        <v>100</v>
      </c>
      <c r="E2819" t="s">
        <v>51</v>
      </c>
      <c r="F2819" t="s">
        <v>933</v>
      </c>
      <c r="G2819" t="s">
        <v>933</v>
      </c>
      <c r="H2819" t="s">
        <v>54</v>
      </c>
      <c r="I2819">
        <v>2</v>
      </c>
      <c r="J2819">
        <v>0</v>
      </c>
      <c r="K2819">
        <v>0</v>
      </c>
      <c r="L2819" t="s">
        <v>693</v>
      </c>
      <c r="M2819" t="s">
        <v>1404</v>
      </c>
      <c r="N2819">
        <v>1511803.842288</v>
      </c>
      <c r="O2819">
        <v>0</v>
      </c>
      <c r="P2819" t="str">
        <f>IF(T[[#This Row],[qty_ordered]]&lt;&gt;T[[#This Row],[qty_received]],IF(T[[#This Row],[qty_received]]&gt;0,"Partial Received","Not Receviced"),"FullyReceived")</f>
        <v>Not Receviced</v>
      </c>
      <c r="Q2819" t="str">
        <f>IF(T[[#This Row],[qty_received]]&lt;&gt;T[[#This Row],[qty_invoiced]],IF(T[[#This Row],[qty_invoiced]]&gt;0,"Partial Invoiced","Not Invoiced"),"Fully Invoiced")</f>
        <v>Fully Invoiced</v>
      </c>
      <c r="R2819" t="str">
        <f>IFERROR(VLOOKUP(T[[#This Row],[warehouse]],Table2[],2,FALSE),"--")</f>
        <v>--</v>
      </c>
    </row>
    <row r="2820" spans="1:18" x14ac:dyDescent="0.25">
      <c r="A2820" t="s">
        <v>201</v>
      </c>
      <c r="B2820" s="1">
        <v>44881</v>
      </c>
      <c r="C2820" t="s">
        <v>2834</v>
      </c>
      <c r="D2820" t="s">
        <v>88</v>
      </c>
      <c r="E2820" t="s">
        <v>51</v>
      </c>
      <c r="F2820" t="s">
        <v>933</v>
      </c>
      <c r="G2820" t="s">
        <v>933</v>
      </c>
      <c r="H2820" t="s">
        <v>54</v>
      </c>
      <c r="I2820">
        <v>1</v>
      </c>
      <c r="J2820">
        <v>0</v>
      </c>
      <c r="K2820">
        <v>0</v>
      </c>
      <c r="L2820" t="s">
        <v>693</v>
      </c>
      <c r="M2820" t="s">
        <v>1404</v>
      </c>
      <c r="N2820">
        <v>1506382.0219439999</v>
      </c>
      <c r="O2820">
        <v>0</v>
      </c>
      <c r="P2820" t="str">
        <f>IF(T[[#This Row],[qty_ordered]]&lt;&gt;T[[#This Row],[qty_received]],IF(T[[#This Row],[qty_received]]&gt;0,"Partial Received","Not Receviced"),"FullyReceived")</f>
        <v>Not Receviced</v>
      </c>
      <c r="Q2820" t="str">
        <f>IF(T[[#This Row],[qty_received]]&lt;&gt;T[[#This Row],[qty_invoiced]],IF(T[[#This Row],[qty_invoiced]]&gt;0,"Partial Invoiced","Not Invoiced"),"Fully Invoiced")</f>
        <v>Fully Invoiced</v>
      </c>
      <c r="R2820" t="str">
        <f>IFERROR(VLOOKUP(T[[#This Row],[warehouse]],Table2[],2,FALSE),"--")</f>
        <v>--</v>
      </c>
    </row>
    <row r="2821" spans="1:18" x14ac:dyDescent="0.25">
      <c r="A2821" t="s">
        <v>2551</v>
      </c>
      <c r="B2821" s="1">
        <v>44881</v>
      </c>
      <c r="C2821" t="s">
        <v>2835</v>
      </c>
      <c r="D2821" t="s">
        <v>20</v>
      </c>
      <c r="E2821" t="s">
        <v>51</v>
      </c>
      <c r="F2821" t="s">
        <v>1073</v>
      </c>
      <c r="G2821" t="s">
        <v>1073</v>
      </c>
      <c r="H2821" t="s">
        <v>54</v>
      </c>
      <c r="I2821">
        <v>6</v>
      </c>
      <c r="J2821">
        <v>0</v>
      </c>
      <c r="K2821">
        <v>1</v>
      </c>
      <c r="L2821" t="s">
        <v>693</v>
      </c>
      <c r="M2821" t="s">
        <v>707</v>
      </c>
      <c r="N2821">
        <v>187397.68799999999</v>
      </c>
      <c r="O2821">
        <v>0</v>
      </c>
      <c r="P2821" t="str">
        <f>IF(T[[#This Row],[qty_ordered]]&lt;&gt;T[[#This Row],[qty_received]],IF(T[[#This Row],[qty_received]]&gt;0,"Partial Received","Not Receviced"),"FullyReceived")</f>
        <v>Not Receviced</v>
      </c>
      <c r="Q2821" t="str">
        <f>IF(T[[#This Row],[qty_received]]&lt;&gt;T[[#This Row],[qty_invoiced]],IF(T[[#This Row],[qty_invoiced]]&gt;0,"Partial Invoiced","Not Invoiced"),"Fully Invoiced")</f>
        <v>Partial Invoiced</v>
      </c>
      <c r="R2821" t="str">
        <f>IFERROR(VLOOKUP(T[[#This Row],[warehouse]],Table2[],2,FALSE),"--")</f>
        <v>--</v>
      </c>
    </row>
    <row r="2822" spans="1:18" x14ac:dyDescent="0.25">
      <c r="A2822" t="s">
        <v>84</v>
      </c>
      <c r="B2822" s="1">
        <v>44854</v>
      </c>
      <c r="C2822" t="s">
        <v>2463</v>
      </c>
      <c r="D2822" t="s">
        <v>100</v>
      </c>
      <c r="E2822" t="s">
        <v>162</v>
      </c>
      <c r="F2822" t="s">
        <v>108</v>
      </c>
      <c r="G2822" t="s">
        <v>109</v>
      </c>
      <c r="H2822" t="s">
        <v>24</v>
      </c>
      <c r="I2822">
        <v>50</v>
      </c>
      <c r="J2822">
        <v>39.299999999999997</v>
      </c>
      <c r="K2822">
        <v>39.299999999999997</v>
      </c>
      <c r="L2822" t="s">
        <v>693</v>
      </c>
      <c r="M2822" t="s">
        <v>1485</v>
      </c>
      <c r="N2822">
        <v>700280</v>
      </c>
      <c r="O2822">
        <v>27521004</v>
      </c>
      <c r="P2822" t="str">
        <f>IF(T[[#This Row],[qty_ordered]]&lt;&gt;T[[#This Row],[qty_received]],IF(T[[#This Row],[qty_received]]&gt;0,"Partial Received","Not Receviced"),"FullyReceived")</f>
        <v>Partial Received</v>
      </c>
      <c r="Q2822" t="str">
        <f>IF(T[[#This Row],[qty_received]]&lt;&gt;T[[#This Row],[qty_invoiced]],IF(T[[#This Row],[qty_invoiced]]&gt;0,"Partial Invoiced","Not Invoiced"),"Fully Invoiced")</f>
        <v>Fully Invoiced</v>
      </c>
      <c r="R2822" t="str">
        <f>IFERROR(VLOOKUP(T[[#This Row],[warehouse]],Table2[],2,FALSE),"--")</f>
        <v>Sifters Mahasilna</v>
      </c>
    </row>
    <row r="2823" spans="1:18" x14ac:dyDescent="0.25">
      <c r="A2823" t="s">
        <v>228</v>
      </c>
      <c r="B2823" s="1">
        <v>44873</v>
      </c>
      <c r="C2823" t="s">
        <v>2580</v>
      </c>
      <c r="D2823" t="s">
        <v>100</v>
      </c>
      <c r="E2823" t="s">
        <v>239</v>
      </c>
      <c r="F2823" t="s">
        <v>230</v>
      </c>
      <c r="G2823" t="s">
        <v>231</v>
      </c>
      <c r="H2823" t="s">
        <v>24</v>
      </c>
      <c r="I2823">
        <v>944</v>
      </c>
      <c r="J2823">
        <v>0</v>
      </c>
      <c r="K2823">
        <v>0</v>
      </c>
      <c r="L2823" t="s">
        <v>693</v>
      </c>
      <c r="M2823" t="s">
        <v>1485</v>
      </c>
      <c r="N2823">
        <v>741525.42372800002</v>
      </c>
      <c r="O2823">
        <v>0</v>
      </c>
      <c r="P2823" t="str">
        <f>IF(T[[#This Row],[qty_ordered]]&lt;&gt;T[[#This Row],[qty_received]],IF(T[[#This Row],[qty_received]]&gt;0,"Partial Received","Not Receviced"),"FullyReceived")</f>
        <v>Not Receviced</v>
      </c>
      <c r="Q2823" t="str">
        <f>IF(T[[#This Row],[qty_received]]&lt;&gt;T[[#This Row],[qty_invoiced]],IF(T[[#This Row],[qty_invoiced]]&gt;0,"Partial Invoiced","Not Invoiced"),"Fully Invoiced")</f>
        <v>Fully Invoiced</v>
      </c>
      <c r="R2823" t="str">
        <f>IFERROR(VLOOKUP(T[[#This Row],[warehouse]],Table2[],2,FALSE),"--")</f>
        <v xml:space="preserve">Gadarif Main Store </v>
      </c>
    </row>
    <row r="2824" spans="1:18" x14ac:dyDescent="0.25">
      <c r="A2824" t="s">
        <v>1226</v>
      </c>
      <c r="B2824" s="1">
        <v>44726</v>
      </c>
      <c r="C2824" t="s">
        <v>1726</v>
      </c>
      <c r="D2824" t="s">
        <v>71</v>
      </c>
      <c r="E2824" t="s">
        <v>51</v>
      </c>
      <c r="F2824" t="s">
        <v>52</v>
      </c>
      <c r="G2824" t="s">
        <v>2584</v>
      </c>
      <c r="H2824" t="s">
        <v>54</v>
      </c>
      <c r="I2824">
        <v>12</v>
      </c>
      <c r="J2824">
        <v>0</v>
      </c>
      <c r="K2824">
        <v>1</v>
      </c>
      <c r="L2824" t="s">
        <v>693</v>
      </c>
      <c r="M2824" t="s">
        <v>707</v>
      </c>
      <c r="N2824">
        <v>20000</v>
      </c>
      <c r="O2824">
        <v>0</v>
      </c>
      <c r="P2824" t="str">
        <f>IF(T[[#This Row],[qty_ordered]]&lt;&gt;T[[#This Row],[qty_received]],IF(T[[#This Row],[qty_received]]&gt;0,"Partial Received","Not Receviced"),"FullyReceived")</f>
        <v>Not Receviced</v>
      </c>
      <c r="Q2824" t="str">
        <f>IF(T[[#This Row],[qty_received]]&lt;&gt;T[[#This Row],[qty_invoiced]],IF(T[[#This Row],[qty_invoiced]]&gt;0,"Partial Invoiced","Not Invoiced"),"Fully Invoiced")</f>
        <v>Partial Invoiced</v>
      </c>
      <c r="R2824" t="str">
        <f>IFERROR(VLOOKUP(T[[#This Row],[warehouse]],Table2[],2,FALSE),"--")</f>
        <v>--</v>
      </c>
    </row>
    <row r="2825" spans="1:18" x14ac:dyDescent="0.25">
      <c r="A2825" t="s">
        <v>959</v>
      </c>
      <c r="B2825" s="1">
        <v>44886</v>
      </c>
      <c r="C2825" t="s">
        <v>2855</v>
      </c>
      <c r="D2825" t="s">
        <v>20</v>
      </c>
      <c r="E2825" t="s">
        <v>214</v>
      </c>
      <c r="F2825" t="s">
        <v>167</v>
      </c>
      <c r="G2825" t="s">
        <v>156</v>
      </c>
      <c r="H2825" t="s">
        <v>24</v>
      </c>
      <c r="I2825">
        <v>700</v>
      </c>
      <c r="J2825">
        <v>700</v>
      </c>
      <c r="K2825">
        <v>700</v>
      </c>
      <c r="L2825" t="s">
        <v>693</v>
      </c>
      <c r="M2825" t="s">
        <v>707</v>
      </c>
      <c r="N2825">
        <v>1090000</v>
      </c>
      <c r="O2825">
        <v>763000000</v>
      </c>
      <c r="P2825" t="str">
        <f>IF(T[[#This Row],[qty_ordered]]&lt;&gt;T[[#This Row],[qty_received]],IF(T[[#This Row],[qty_received]]&gt;0,"Partial Received","Not Receviced"),"FullyReceived")</f>
        <v>FullyReceived</v>
      </c>
      <c r="Q2825" t="str">
        <f>IF(T[[#This Row],[qty_received]]&lt;&gt;T[[#This Row],[qty_invoiced]],IF(T[[#This Row],[qty_invoiced]]&gt;0,"Partial Invoiced","Not Invoiced"),"Fully Invoiced")</f>
        <v>Fully Invoiced</v>
      </c>
      <c r="R2825" t="str">
        <f>IFERROR(VLOOKUP(T[[#This Row],[warehouse]],Table2[],2,FALSE),"--")</f>
        <v>CRUSHER ELBALOLA</v>
      </c>
    </row>
    <row r="2826" spans="1:18" x14ac:dyDescent="0.25">
      <c r="A2826" t="s">
        <v>235</v>
      </c>
      <c r="B2826" s="1">
        <v>44350</v>
      </c>
      <c r="C2826" t="s">
        <v>1889</v>
      </c>
      <c r="D2826" t="s">
        <v>71</v>
      </c>
      <c r="E2826" t="s">
        <v>51</v>
      </c>
      <c r="F2826" t="s">
        <v>546</v>
      </c>
      <c r="G2826" t="s">
        <v>2856</v>
      </c>
      <c r="H2826" t="s">
        <v>54</v>
      </c>
      <c r="I2826">
        <v>4400</v>
      </c>
      <c r="J2826">
        <v>0</v>
      </c>
      <c r="K2826">
        <v>1</v>
      </c>
      <c r="L2826" t="s">
        <v>25</v>
      </c>
      <c r="M2826" t="s">
        <v>2836</v>
      </c>
      <c r="N2826">
        <v>7</v>
      </c>
      <c r="O2826">
        <v>0</v>
      </c>
      <c r="P2826" t="str">
        <f>IF(T[[#This Row],[qty_ordered]]&lt;&gt;T[[#This Row],[qty_received]],IF(T[[#This Row],[qty_received]]&gt;0,"Partial Received","Not Receviced"),"FullyReceived")</f>
        <v>Not Receviced</v>
      </c>
      <c r="Q2826" t="str">
        <f>IF(T[[#This Row],[qty_received]]&lt;&gt;T[[#This Row],[qty_invoiced]],IF(T[[#This Row],[qty_invoiced]]&gt;0,"Partial Invoiced","Not Invoiced"),"Fully Invoiced")</f>
        <v>Partial Invoiced</v>
      </c>
      <c r="R2826" t="str">
        <f>IFERROR(VLOOKUP(T[[#This Row],[warehouse]],Table2[],2,FALSE),"--")</f>
        <v>--</v>
      </c>
    </row>
    <row r="2827" spans="1:18" x14ac:dyDescent="0.25">
      <c r="A2827" t="s">
        <v>235</v>
      </c>
      <c r="B2827" s="1">
        <v>44350</v>
      </c>
      <c r="C2827" t="s">
        <v>1889</v>
      </c>
      <c r="D2827" t="s">
        <v>100</v>
      </c>
      <c r="E2827" t="s">
        <v>51</v>
      </c>
      <c r="F2827" t="s">
        <v>546</v>
      </c>
      <c r="G2827" t="s">
        <v>2860</v>
      </c>
      <c r="H2827" t="s">
        <v>54</v>
      </c>
      <c r="I2827">
        <v>10000</v>
      </c>
      <c r="J2827">
        <v>0</v>
      </c>
      <c r="K2827">
        <v>1</v>
      </c>
      <c r="L2827" t="s">
        <v>25</v>
      </c>
      <c r="M2827" t="s">
        <v>2836</v>
      </c>
      <c r="N2827">
        <v>7.2</v>
      </c>
      <c r="O2827">
        <v>0</v>
      </c>
      <c r="P2827" t="str">
        <f>IF(T[[#This Row],[qty_ordered]]&lt;&gt;T[[#This Row],[qty_received]],IF(T[[#This Row],[qty_received]]&gt;0,"Partial Received","Not Receviced"),"FullyReceived")</f>
        <v>Not Receviced</v>
      </c>
      <c r="Q2827" t="str">
        <f>IF(T[[#This Row],[qty_received]]&lt;&gt;T[[#This Row],[qty_invoiced]],IF(T[[#This Row],[qty_invoiced]]&gt;0,"Partial Invoiced","Not Invoiced"),"Fully Invoiced")</f>
        <v>Partial Invoiced</v>
      </c>
      <c r="R2827" t="str">
        <f>IFERROR(VLOOKUP(T[[#This Row],[warehouse]],Table2[],2,FALSE),"--")</f>
        <v>--</v>
      </c>
    </row>
    <row r="2828" spans="1:18" x14ac:dyDescent="0.25">
      <c r="A2828" t="s">
        <v>235</v>
      </c>
      <c r="B2828" s="1">
        <v>44199</v>
      </c>
      <c r="C2828" t="s">
        <v>1134</v>
      </c>
      <c r="D2828" t="s">
        <v>323</v>
      </c>
      <c r="E2828" t="s">
        <v>51</v>
      </c>
      <c r="F2828" t="s">
        <v>546</v>
      </c>
      <c r="G2828" t="s">
        <v>2861</v>
      </c>
      <c r="H2828" t="s">
        <v>54</v>
      </c>
      <c r="I2828">
        <v>10000</v>
      </c>
      <c r="J2828">
        <v>0</v>
      </c>
      <c r="K2828">
        <v>1</v>
      </c>
      <c r="L2828" t="s">
        <v>25</v>
      </c>
      <c r="M2828" t="s">
        <v>2836</v>
      </c>
      <c r="N2828">
        <v>7.2</v>
      </c>
      <c r="O2828">
        <v>0</v>
      </c>
      <c r="P2828" t="str">
        <f>IF(T[[#This Row],[qty_ordered]]&lt;&gt;T[[#This Row],[qty_received]],IF(T[[#This Row],[qty_received]]&gt;0,"Partial Received","Not Receviced"),"FullyReceived")</f>
        <v>Not Receviced</v>
      </c>
      <c r="Q2828" t="str">
        <f>IF(T[[#This Row],[qty_received]]&lt;&gt;T[[#This Row],[qty_invoiced]],IF(T[[#This Row],[qty_invoiced]]&gt;0,"Partial Invoiced","Not Invoiced"),"Fully Invoiced")</f>
        <v>Partial Invoiced</v>
      </c>
      <c r="R2828" t="str">
        <f>IFERROR(VLOOKUP(T[[#This Row],[warehouse]],Table2[],2,FALSE),"--")</f>
        <v>--</v>
      </c>
    </row>
    <row r="2829" spans="1:18" x14ac:dyDescent="0.25">
      <c r="A2829" t="s">
        <v>235</v>
      </c>
      <c r="B2829" s="1">
        <v>44886</v>
      </c>
      <c r="C2829" t="s">
        <v>2862</v>
      </c>
      <c r="D2829" t="s">
        <v>20</v>
      </c>
      <c r="E2829" t="s">
        <v>51</v>
      </c>
      <c r="F2829" t="s">
        <v>546</v>
      </c>
      <c r="G2829" t="s">
        <v>2259</v>
      </c>
      <c r="H2829" t="s">
        <v>54</v>
      </c>
      <c r="I2829">
        <v>5000</v>
      </c>
      <c r="J2829">
        <v>0</v>
      </c>
      <c r="K2829">
        <v>1</v>
      </c>
      <c r="L2829" t="s">
        <v>693</v>
      </c>
      <c r="M2829" t="s">
        <v>2836</v>
      </c>
      <c r="N2829">
        <v>5.24</v>
      </c>
      <c r="O2829">
        <v>0</v>
      </c>
      <c r="P2829" t="str">
        <f>IF(T[[#This Row],[qty_ordered]]&lt;&gt;T[[#This Row],[qty_received]],IF(T[[#This Row],[qty_received]]&gt;0,"Partial Received","Not Receviced"),"FullyReceived")</f>
        <v>Not Receviced</v>
      </c>
      <c r="Q2829" t="str">
        <f>IF(T[[#This Row],[qty_received]]&lt;&gt;T[[#This Row],[qty_invoiced]],IF(T[[#This Row],[qty_invoiced]]&gt;0,"Partial Invoiced","Not Invoiced"),"Fully Invoiced")</f>
        <v>Partial Invoiced</v>
      </c>
      <c r="R2829" t="str">
        <f>IFERROR(VLOOKUP(T[[#This Row],[warehouse]],Table2[],2,FALSE),"--")</f>
        <v>--</v>
      </c>
    </row>
    <row r="2830" spans="1:18" x14ac:dyDescent="0.25">
      <c r="A2830" t="s">
        <v>1603</v>
      </c>
      <c r="B2830" s="1">
        <v>44665</v>
      </c>
      <c r="C2830" t="s">
        <v>1604</v>
      </c>
      <c r="D2830" t="s">
        <v>452</v>
      </c>
      <c r="E2830" t="s">
        <v>51</v>
      </c>
      <c r="F2830" t="s">
        <v>164</v>
      </c>
      <c r="G2830" t="s">
        <v>2863</v>
      </c>
      <c r="H2830" t="s">
        <v>54</v>
      </c>
      <c r="I2830">
        <v>1000</v>
      </c>
      <c r="J2830">
        <v>0</v>
      </c>
      <c r="K2830">
        <v>1</v>
      </c>
      <c r="L2830" t="s">
        <v>693</v>
      </c>
      <c r="M2830" t="s">
        <v>2836</v>
      </c>
      <c r="N2830">
        <v>145</v>
      </c>
      <c r="O2830">
        <v>0</v>
      </c>
      <c r="P2830" t="str">
        <f>IF(T[[#This Row],[qty_ordered]]&lt;&gt;T[[#This Row],[qty_received]],IF(T[[#This Row],[qty_received]]&gt;0,"Partial Received","Not Receviced"),"FullyReceived")</f>
        <v>Not Receviced</v>
      </c>
      <c r="Q2830" t="str">
        <f>IF(T[[#This Row],[qty_received]]&lt;&gt;T[[#This Row],[qty_invoiced]],IF(T[[#This Row],[qty_invoiced]]&gt;0,"Partial Invoiced","Not Invoiced"),"Fully Invoiced")</f>
        <v>Partial Invoiced</v>
      </c>
      <c r="R2830" t="str">
        <f>IFERROR(VLOOKUP(T[[#This Row],[warehouse]],Table2[],2,FALSE),"--")</f>
        <v>--</v>
      </c>
    </row>
    <row r="2831" spans="1:18" x14ac:dyDescent="0.25">
      <c r="A2831" t="s">
        <v>1603</v>
      </c>
      <c r="B2831" s="1">
        <v>44665</v>
      </c>
      <c r="C2831" t="s">
        <v>1604</v>
      </c>
      <c r="D2831" t="s">
        <v>614</v>
      </c>
      <c r="E2831" t="s">
        <v>51</v>
      </c>
      <c r="F2831" t="s">
        <v>164</v>
      </c>
      <c r="G2831" t="s">
        <v>2864</v>
      </c>
      <c r="H2831" t="s">
        <v>54</v>
      </c>
      <c r="I2831">
        <v>500</v>
      </c>
      <c r="J2831">
        <v>0</v>
      </c>
      <c r="K2831">
        <v>1</v>
      </c>
      <c r="L2831" t="s">
        <v>693</v>
      </c>
      <c r="M2831" t="s">
        <v>2836</v>
      </c>
      <c r="N2831">
        <v>145</v>
      </c>
      <c r="O2831">
        <v>0</v>
      </c>
      <c r="P2831" t="str">
        <f>IF(T[[#This Row],[qty_ordered]]&lt;&gt;T[[#This Row],[qty_received]],IF(T[[#This Row],[qty_received]]&gt;0,"Partial Received","Not Receviced"),"FullyReceived")</f>
        <v>Not Receviced</v>
      </c>
      <c r="Q2831" t="str">
        <f>IF(T[[#This Row],[qty_received]]&lt;&gt;T[[#This Row],[qty_invoiced]],IF(T[[#This Row],[qty_invoiced]]&gt;0,"Partial Invoiced","Not Invoiced"),"Fully Invoiced")</f>
        <v>Partial Invoiced</v>
      </c>
      <c r="R2831" t="str">
        <f>IFERROR(VLOOKUP(T[[#This Row],[warehouse]],Table2[],2,FALSE),"--")</f>
        <v>--</v>
      </c>
    </row>
    <row r="2832" spans="1:18" x14ac:dyDescent="0.25">
      <c r="A2832" t="s">
        <v>1603</v>
      </c>
      <c r="B2832" s="1">
        <v>44665</v>
      </c>
      <c r="C2832" t="s">
        <v>1604</v>
      </c>
      <c r="D2832" t="s">
        <v>615</v>
      </c>
      <c r="E2832" t="s">
        <v>51</v>
      </c>
      <c r="F2832" t="s">
        <v>164</v>
      </c>
      <c r="G2832" t="s">
        <v>2865</v>
      </c>
      <c r="H2832" t="s">
        <v>54</v>
      </c>
      <c r="I2832">
        <v>5286</v>
      </c>
      <c r="J2832">
        <v>0</v>
      </c>
      <c r="K2832">
        <v>1</v>
      </c>
      <c r="L2832" t="s">
        <v>693</v>
      </c>
      <c r="M2832" t="s">
        <v>2836</v>
      </c>
      <c r="N2832">
        <v>145</v>
      </c>
      <c r="O2832">
        <v>0</v>
      </c>
      <c r="P2832" t="str">
        <f>IF(T[[#This Row],[qty_ordered]]&lt;&gt;T[[#This Row],[qty_received]],IF(T[[#This Row],[qty_received]]&gt;0,"Partial Received","Not Receviced"),"FullyReceived")</f>
        <v>Not Receviced</v>
      </c>
      <c r="Q2832" t="str">
        <f>IF(T[[#This Row],[qty_received]]&lt;&gt;T[[#This Row],[qty_invoiced]],IF(T[[#This Row],[qty_invoiced]]&gt;0,"Partial Invoiced","Not Invoiced"),"Fully Invoiced")</f>
        <v>Partial Invoiced</v>
      </c>
      <c r="R2832" t="str">
        <f>IFERROR(VLOOKUP(T[[#This Row],[warehouse]],Table2[],2,FALSE),"--")</f>
        <v>--</v>
      </c>
    </row>
    <row r="2833" spans="1:18" x14ac:dyDescent="0.25">
      <c r="A2833" t="s">
        <v>1603</v>
      </c>
      <c r="B2833" s="1">
        <v>44665</v>
      </c>
      <c r="C2833" t="s">
        <v>1604</v>
      </c>
      <c r="D2833" t="s">
        <v>752</v>
      </c>
      <c r="E2833" t="s">
        <v>51</v>
      </c>
      <c r="F2833" t="s">
        <v>164</v>
      </c>
      <c r="G2833" t="s">
        <v>2866</v>
      </c>
      <c r="H2833" t="s">
        <v>54</v>
      </c>
      <c r="I2833">
        <v>2755</v>
      </c>
      <c r="J2833">
        <v>0</v>
      </c>
      <c r="K2833">
        <v>1</v>
      </c>
      <c r="L2833" t="s">
        <v>693</v>
      </c>
      <c r="M2833" t="s">
        <v>2836</v>
      </c>
      <c r="N2833">
        <v>145</v>
      </c>
      <c r="O2833">
        <v>0</v>
      </c>
      <c r="P2833" t="str">
        <f>IF(T[[#This Row],[qty_ordered]]&lt;&gt;T[[#This Row],[qty_received]],IF(T[[#This Row],[qty_received]]&gt;0,"Partial Received","Not Receviced"),"FullyReceived")</f>
        <v>Not Receviced</v>
      </c>
      <c r="Q2833" t="str">
        <f>IF(T[[#This Row],[qty_received]]&lt;&gt;T[[#This Row],[qty_invoiced]],IF(T[[#This Row],[qty_invoiced]]&gt;0,"Partial Invoiced","Not Invoiced"),"Fully Invoiced")</f>
        <v>Partial Invoiced</v>
      </c>
      <c r="R2833" t="str">
        <f>IFERROR(VLOOKUP(T[[#This Row],[warehouse]],Table2[],2,FALSE),"--")</f>
        <v>--</v>
      </c>
    </row>
    <row r="2834" spans="1:18" x14ac:dyDescent="0.25">
      <c r="A2834" t="s">
        <v>1603</v>
      </c>
      <c r="B2834" s="1">
        <v>44665</v>
      </c>
      <c r="C2834" t="s">
        <v>1604</v>
      </c>
      <c r="D2834" t="s">
        <v>759</v>
      </c>
      <c r="E2834" t="s">
        <v>51</v>
      </c>
      <c r="F2834" t="s">
        <v>164</v>
      </c>
      <c r="G2834" t="s">
        <v>2867</v>
      </c>
      <c r="H2834" t="s">
        <v>54</v>
      </c>
      <c r="I2834">
        <v>2050</v>
      </c>
      <c r="J2834">
        <v>0</v>
      </c>
      <c r="K2834">
        <v>1</v>
      </c>
      <c r="L2834" t="s">
        <v>693</v>
      </c>
      <c r="M2834" t="s">
        <v>2836</v>
      </c>
      <c r="N2834">
        <v>145</v>
      </c>
      <c r="O2834">
        <v>0</v>
      </c>
      <c r="P2834" t="str">
        <f>IF(T[[#This Row],[qty_ordered]]&lt;&gt;T[[#This Row],[qty_received]],IF(T[[#This Row],[qty_received]]&gt;0,"Partial Received","Not Receviced"),"FullyReceived")</f>
        <v>Not Receviced</v>
      </c>
      <c r="Q2834" t="str">
        <f>IF(T[[#This Row],[qty_received]]&lt;&gt;T[[#This Row],[qty_invoiced]],IF(T[[#This Row],[qty_invoiced]]&gt;0,"Partial Invoiced","Not Invoiced"),"Fully Invoiced")</f>
        <v>Partial Invoiced</v>
      </c>
      <c r="R2834" t="str">
        <f>IFERROR(VLOOKUP(T[[#This Row],[warehouse]],Table2[],2,FALSE),"--")</f>
        <v>--</v>
      </c>
    </row>
    <row r="2835" spans="1:18" x14ac:dyDescent="0.25">
      <c r="A2835" t="s">
        <v>1603</v>
      </c>
      <c r="B2835" s="1">
        <v>44665</v>
      </c>
      <c r="C2835" t="s">
        <v>1604</v>
      </c>
      <c r="D2835" t="s">
        <v>694</v>
      </c>
      <c r="E2835" t="s">
        <v>51</v>
      </c>
      <c r="F2835" t="s">
        <v>164</v>
      </c>
      <c r="G2835" t="s">
        <v>2868</v>
      </c>
      <c r="H2835" t="s">
        <v>54</v>
      </c>
      <c r="I2835">
        <v>1602</v>
      </c>
      <c r="J2835">
        <v>0</v>
      </c>
      <c r="K2835">
        <v>1</v>
      </c>
      <c r="L2835" t="s">
        <v>693</v>
      </c>
      <c r="M2835" t="s">
        <v>2836</v>
      </c>
      <c r="N2835">
        <v>145</v>
      </c>
      <c r="O2835">
        <v>0</v>
      </c>
      <c r="P2835" t="str">
        <f>IF(T[[#This Row],[qty_ordered]]&lt;&gt;T[[#This Row],[qty_received]],IF(T[[#This Row],[qty_received]]&gt;0,"Partial Received","Not Receviced"),"FullyReceived")</f>
        <v>Not Receviced</v>
      </c>
      <c r="Q2835" t="str">
        <f>IF(T[[#This Row],[qty_received]]&lt;&gt;T[[#This Row],[qty_invoiced]],IF(T[[#This Row],[qty_invoiced]]&gt;0,"Partial Invoiced","Not Invoiced"),"Fully Invoiced")</f>
        <v>Partial Invoiced</v>
      </c>
      <c r="R2835" t="str">
        <f>IFERROR(VLOOKUP(T[[#This Row],[warehouse]],Table2[],2,FALSE),"--")</f>
        <v>--</v>
      </c>
    </row>
    <row r="2836" spans="1:18" x14ac:dyDescent="0.25">
      <c r="A2836" t="s">
        <v>804</v>
      </c>
      <c r="B2836" s="1">
        <v>44286</v>
      </c>
      <c r="C2836" t="s">
        <v>1344</v>
      </c>
      <c r="D2836" t="s">
        <v>100</v>
      </c>
      <c r="E2836" t="s">
        <v>51</v>
      </c>
      <c r="F2836" t="s">
        <v>806</v>
      </c>
      <c r="G2836" t="s">
        <v>806</v>
      </c>
      <c r="H2836" t="s">
        <v>54</v>
      </c>
      <c r="I2836">
        <v>1</v>
      </c>
      <c r="J2836">
        <v>0</v>
      </c>
      <c r="K2836">
        <v>1</v>
      </c>
      <c r="L2836" t="s">
        <v>25</v>
      </c>
      <c r="M2836" t="s">
        <v>132</v>
      </c>
      <c r="N2836">
        <v>45768900</v>
      </c>
      <c r="O2836">
        <v>0</v>
      </c>
      <c r="P2836" t="str">
        <f>IF(T[[#This Row],[qty_ordered]]&lt;&gt;T[[#This Row],[qty_received]],IF(T[[#This Row],[qty_received]]&gt;0,"Partial Received","Not Receviced"),"FullyReceived")</f>
        <v>Not Receviced</v>
      </c>
      <c r="Q2836" t="str">
        <f>IF(T[[#This Row],[qty_received]]&lt;&gt;T[[#This Row],[qty_invoiced]],IF(T[[#This Row],[qty_invoiced]]&gt;0,"Partial Invoiced","Not Invoiced"),"Fully Invoiced")</f>
        <v>Partial Invoiced</v>
      </c>
      <c r="R2836" t="str">
        <f>IFERROR(VLOOKUP(T[[#This Row],[warehouse]],Table2[],2,FALSE),"--")</f>
        <v>--</v>
      </c>
    </row>
    <row r="2837" spans="1:18" x14ac:dyDescent="0.25">
      <c r="A2837" t="s">
        <v>1114</v>
      </c>
      <c r="B2837" s="1">
        <v>44347</v>
      </c>
      <c r="C2837" t="s">
        <v>1336</v>
      </c>
      <c r="D2837" t="s">
        <v>88</v>
      </c>
      <c r="E2837" t="s">
        <v>660</v>
      </c>
      <c r="F2837" t="s">
        <v>1042</v>
      </c>
      <c r="G2837" t="s">
        <v>1043</v>
      </c>
      <c r="H2837" t="s">
        <v>663</v>
      </c>
      <c r="I2837">
        <v>10045.4</v>
      </c>
      <c r="J2837">
        <v>10045.4</v>
      </c>
      <c r="K2837">
        <v>10045.4</v>
      </c>
      <c r="L2837" t="s">
        <v>25</v>
      </c>
      <c r="M2837" t="s">
        <v>132</v>
      </c>
      <c r="N2837">
        <v>1609.2270000000001</v>
      </c>
      <c r="O2837">
        <v>25113500</v>
      </c>
      <c r="P2837" t="str">
        <f>IF(T[[#This Row],[qty_ordered]]&lt;&gt;T[[#This Row],[qty_received]],IF(T[[#This Row],[qty_received]]&gt;0,"Partial Received","Not Receviced"),"FullyReceived")</f>
        <v>FullyReceived</v>
      </c>
      <c r="Q2837" t="str">
        <f>IF(T[[#This Row],[qty_received]]&lt;&gt;T[[#This Row],[qty_invoiced]],IF(T[[#This Row],[qty_invoiced]]&gt;0,"Partial Invoiced","Not Invoiced"),"Fully Invoiced")</f>
        <v>Fully Invoiced</v>
      </c>
      <c r="R2837" t="str">
        <f>IFERROR(VLOOKUP(T[[#This Row],[warehouse]],Table2[],2,FALSE),"--")</f>
        <v>SLAUGHTER HOUSE</v>
      </c>
    </row>
    <row r="2838" spans="1:18" x14ac:dyDescent="0.25">
      <c r="A2838" t="s">
        <v>1114</v>
      </c>
      <c r="B2838" s="1">
        <v>44250</v>
      </c>
      <c r="C2838" t="s">
        <v>1242</v>
      </c>
      <c r="D2838" t="s">
        <v>74</v>
      </c>
      <c r="E2838" t="s">
        <v>660</v>
      </c>
      <c r="F2838" t="s">
        <v>1042</v>
      </c>
      <c r="G2838" t="s">
        <v>1043</v>
      </c>
      <c r="H2838" t="s">
        <v>663</v>
      </c>
      <c r="I2838">
        <v>25600</v>
      </c>
      <c r="J2838">
        <v>0</v>
      </c>
      <c r="K2838">
        <v>0</v>
      </c>
      <c r="L2838" t="s">
        <v>25</v>
      </c>
      <c r="M2838" t="s">
        <v>132</v>
      </c>
      <c r="N2838">
        <v>2500</v>
      </c>
      <c r="O2838">
        <v>0</v>
      </c>
      <c r="P2838" t="str">
        <f>IF(T[[#This Row],[qty_ordered]]&lt;&gt;T[[#This Row],[qty_received]],IF(T[[#This Row],[qty_received]]&gt;0,"Partial Received","Not Receviced"),"FullyReceived")</f>
        <v>Not Receviced</v>
      </c>
      <c r="Q2838" t="str">
        <f>IF(T[[#This Row],[qty_received]]&lt;&gt;T[[#This Row],[qty_invoiced]],IF(T[[#This Row],[qty_invoiced]]&gt;0,"Partial Invoiced","Not Invoiced"),"Fully Invoiced")</f>
        <v>Fully Invoiced</v>
      </c>
      <c r="R2838" t="str">
        <f>IFERROR(VLOOKUP(T[[#This Row],[warehouse]],Table2[],2,FALSE),"--")</f>
        <v>SLAUGHTER HOUSE</v>
      </c>
    </row>
    <row r="2839" spans="1:18" x14ac:dyDescent="0.25">
      <c r="A2839" t="s">
        <v>1349</v>
      </c>
      <c r="B2839" s="1">
        <v>44360</v>
      </c>
      <c r="C2839" t="s">
        <v>1350</v>
      </c>
      <c r="D2839" t="s">
        <v>20</v>
      </c>
      <c r="E2839" t="s">
        <v>660</v>
      </c>
      <c r="F2839" t="s">
        <v>1042</v>
      </c>
      <c r="G2839" t="s">
        <v>1043</v>
      </c>
      <c r="H2839" t="s">
        <v>663</v>
      </c>
      <c r="I2839">
        <v>3197.3</v>
      </c>
      <c r="J2839">
        <v>3197.3</v>
      </c>
      <c r="K2839">
        <v>3197.3</v>
      </c>
      <c r="L2839" t="s">
        <v>25</v>
      </c>
      <c r="M2839" t="s">
        <v>132</v>
      </c>
      <c r="N2839">
        <v>2395.055202</v>
      </c>
      <c r="O2839">
        <v>7657709.9973545996</v>
      </c>
      <c r="P2839" t="str">
        <f>IF(T[[#This Row],[qty_ordered]]&lt;&gt;T[[#This Row],[qty_received]],IF(T[[#This Row],[qty_received]]&gt;0,"Partial Received","Not Receviced"),"FullyReceived")</f>
        <v>FullyReceived</v>
      </c>
      <c r="Q2839" t="str">
        <f>IF(T[[#This Row],[qty_received]]&lt;&gt;T[[#This Row],[qty_invoiced]],IF(T[[#This Row],[qty_invoiced]]&gt;0,"Partial Invoiced","Not Invoiced"),"Fully Invoiced")</f>
        <v>Fully Invoiced</v>
      </c>
      <c r="R2839" t="str">
        <f>IFERROR(VLOOKUP(T[[#This Row],[warehouse]],Table2[],2,FALSE),"--")</f>
        <v>SLAUGHTER HOUSE</v>
      </c>
    </row>
    <row r="2840" spans="1:18" x14ac:dyDescent="0.25">
      <c r="A2840" t="s">
        <v>658</v>
      </c>
      <c r="B2840" s="1">
        <v>44363</v>
      </c>
      <c r="C2840" t="s">
        <v>1397</v>
      </c>
      <c r="D2840" t="s">
        <v>20</v>
      </c>
      <c r="E2840" t="s">
        <v>660</v>
      </c>
      <c r="F2840" t="s">
        <v>661</v>
      </c>
      <c r="G2840" t="s">
        <v>662</v>
      </c>
      <c r="H2840" t="s">
        <v>663</v>
      </c>
      <c r="I2840">
        <v>3044</v>
      </c>
      <c r="J2840">
        <v>3044</v>
      </c>
      <c r="K2840">
        <v>3044</v>
      </c>
      <c r="L2840" t="s">
        <v>25</v>
      </c>
      <c r="M2840" t="s">
        <v>132</v>
      </c>
      <c r="N2840">
        <v>1100.826</v>
      </c>
      <c r="O2840">
        <v>6088000</v>
      </c>
      <c r="P2840" t="str">
        <f>IF(T[[#This Row],[qty_ordered]]&lt;&gt;T[[#This Row],[qty_received]],IF(T[[#This Row],[qty_received]]&gt;0,"Partial Received","Not Receviced"),"FullyReceived")</f>
        <v>FullyReceived</v>
      </c>
      <c r="Q2840" t="str">
        <f>IF(T[[#This Row],[qty_received]]&lt;&gt;T[[#This Row],[qty_invoiced]],IF(T[[#This Row],[qty_invoiced]]&gt;0,"Partial Invoiced","Not Invoiced"),"Fully Invoiced")</f>
        <v>Fully Invoiced</v>
      </c>
      <c r="R2840" t="str">
        <f>IFERROR(VLOOKUP(T[[#This Row],[warehouse]],Table2[],2,FALSE),"--")</f>
        <v>SLAUGHTER HOUSE</v>
      </c>
    </row>
    <row r="2841" spans="1:18" x14ac:dyDescent="0.25">
      <c r="A2841" t="s">
        <v>201</v>
      </c>
      <c r="B2841" s="1">
        <v>44306</v>
      </c>
      <c r="C2841" t="s">
        <v>1897</v>
      </c>
      <c r="D2841" t="s">
        <v>100</v>
      </c>
      <c r="E2841" t="s">
        <v>1220</v>
      </c>
      <c r="F2841" t="s">
        <v>1307</v>
      </c>
      <c r="G2841" t="s">
        <v>1308</v>
      </c>
      <c r="H2841" t="s">
        <v>149</v>
      </c>
      <c r="I2841">
        <v>2800</v>
      </c>
      <c r="J2841">
        <v>0</v>
      </c>
      <c r="K2841">
        <v>0</v>
      </c>
      <c r="L2841" t="s">
        <v>25</v>
      </c>
      <c r="M2841" t="s">
        <v>744</v>
      </c>
      <c r="N2841">
        <v>0</v>
      </c>
      <c r="O2841">
        <v>0</v>
      </c>
      <c r="P2841" t="str">
        <f>IF(T[[#This Row],[qty_ordered]]&lt;&gt;T[[#This Row],[qty_received]],IF(T[[#This Row],[qty_received]]&gt;0,"Partial Received","Not Receviced"),"FullyReceived")</f>
        <v>Not Receviced</v>
      </c>
      <c r="Q2841" t="str">
        <f>IF(T[[#This Row],[qty_received]]&lt;&gt;T[[#This Row],[qty_invoiced]],IF(T[[#This Row],[qty_invoiced]]&gt;0,"Partial Invoiced","Not Invoiced"),"Fully Invoiced")</f>
        <v>Fully Invoiced</v>
      </c>
      <c r="R2841" t="str">
        <f>IFERROR(VLOOKUP(T[[#This Row],[warehouse]],Table2[],2,FALSE),"--")</f>
        <v>Import Virtual Warehouse - PZU</v>
      </c>
    </row>
    <row r="2842" spans="1:18" x14ac:dyDescent="0.25">
      <c r="A2842" t="s">
        <v>303</v>
      </c>
      <c r="B2842" s="1">
        <v>44368</v>
      </c>
      <c r="C2842" t="s">
        <v>1399</v>
      </c>
      <c r="D2842" t="s">
        <v>20</v>
      </c>
      <c r="E2842" t="s">
        <v>66</v>
      </c>
      <c r="F2842" t="s">
        <v>529</v>
      </c>
      <c r="G2842" t="s">
        <v>530</v>
      </c>
      <c r="H2842" t="s">
        <v>531</v>
      </c>
      <c r="I2842">
        <v>2000</v>
      </c>
      <c r="J2842">
        <v>1186</v>
      </c>
      <c r="K2842">
        <v>1186</v>
      </c>
      <c r="L2842" t="s">
        <v>25</v>
      </c>
      <c r="M2842" t="s">
        <v>132</v>
      </c>
      <c r="N2842">
        <v>35000</v>
      </c>
      <c r="O2842">
        <v>41510000</v>
      </c>
      <c r="P2842" t="str">
        <f>IF(T[[#This Row],[qty_ordered]]&lt;&gt;T[[#This Row],[qty_received]],IF(T[[#This Row],[qty_received]]&gt;0,"Partial Received","Not Receviced"),"FullyReceived")</f>
        <v>Partial Received</v>
      </c>
      <c r="Q2842" t="str">
        <f>IF(T[[#This Row],[qty_received]]&lt;&gt;T[[#This Row],[qty_invoiced]],IF(T[[#This Row],[qty_invoiced]]&gt;0,"Partial Invoiced","Not Invoiced"),"Fully Invoiced")</f>
        <v>Fully Invoiced</v>
      </c>
      <c r="R2842" t="str">
        <f>IFERROR(VLOOKUP(T[[#This Row],[warehouse]],Table2[],2,FALSE),"--")</f>
        <v>PZU Main Warehouse</v>
      </c>
    </row>
    <row r="2843" spans="1:18" x14ac:dyDescent="0.25">
      <c r="A2843" t="s">
        <v>1235</v>
      </c>
      <c r="B2843" s="1">
        <v>44368</v>
      </c>
      <c r="C2843" t="s">
        <v>1398</v>
      </c>
      <c r="D2843" t="s">
        <v>20</v>
      </c>
      <c r="E2843" t="s">
        <v>660</v>
      </c>
      <c r="F2843" t="s">
        <v>705</v>
      </c>
      <c r="G2843" t="s">
        <v>706</v>
      </c>
      <c r="H2843" t="s">
        <v>663</v>
      </c>
      <c r="I2843">
        <v>4754.1000000000004</v>
      </c>
      <c r="J2843">
        <v>4754.1000000000004</v>
      </c>
      <c r="K2843">
        <v>4754.1000000000004</v>
      </c>
      <c r="L2843" t="s">
        <v>25</v>
      </c>
      <c r="M2843" t="s">
        <v>132</v>
      </c>
      <c r="N2843">
        <v>1609.2270000000001</v>
      </c>
      <c r="O2843">
        <v>12163754.9999706</v>
      </c>
      <c r="P2843" t="str">
        <f>IF(T[[#This Row],[qty_ordered]]&lt;&gt;T[[#This Row],[qty_received]],IF(T[[#This Row],[qty_received]]&gt;0,"Partial Received","Not Receviced"),"FullyReceived")</f>
        <v>FullyReceived</v>
      </c>
      <c r="Q2843" t="str">
        <f>IF(T[[#This Row],[qty_received]]&lt;&gt;T[[#This Row],[qty_invoiced]],IF(T[[#This Row],[qty_invoiced]]&gt;0,"Partial Invoiced","Not Invoiced"),"Fully Invoiced")</f>
        <v>Fully Invoiced</v>
      </c>
      <c r="R2843" t="str">
        <f>IFERROR(VLOOKUP(T[[#This Row],[warehouse]],Table2[],2,FALSE),"--")</f>
        <v>SLAUGHTER HOUSE</v>
      </c>
    </row>
    <row r="2844" spans="1:18" x14ac:dyDescent="0.25">
      <c r="A2844" t="s">
        <v>1040</v>
      </c>
      <c r="B2844" s="1">
        <v>44369</v>
      </c>
      <c r="C2844" t="s">
        <v>1420</v>
      </c>
      <c r="D2844" t="s">
        <v>20</v>
      </c>
      <c r="E2844" t="s">
        <v>660</v>
      </c>
      <c r="F2844" t="s">
        <v>1042</v>
      </c>
      <c r="G2844" t="s">
        <v>1043</v>
      </c>
      <c r="H2844" t="s">
        <v>663</v>
      </c>
      <c r="I2844">
        <v>2798.3</v>
      </c>
      <c r="J2844">
        <v>2798.3</v>
      </c>
      <c r="K2844">
        <v>2798.3</v>
      </c>
      <c r="L2844" t="s">
        <v>25</v>
      </c>
      <c r="M2844" t="s">
        <v>132</v>
      </c>
      <c r="N2844">
        <v>2200.3440000000001</v>
      </c>
      <c r="O2844">
        <v>6830650.2999999998</v>
      </c>
      <c r="P2844" t="str">
        <f>IF(T[[#This Row],[qty_ordered]]&lt;&gt;T[[#This Row],[qty_received]],IF(T[[#This Row],[qty_received]]&gt;0,"Partial Received","Not Receviced"),"FullyReceived")</f>
        <v>FullyReceived</v>
      </c>
      <c r="Q2844" t="str">
        <f>IF(T[[#This Row],[qty_received]]&lt;&gt;T[[#This Row],[qty_invoiced]],IF(T[[#This Row],[qty_invoiced]]&gt;0,"Partial Invoiced","Not Invoiced"),"Fully Invoiced")</f>
        <v>Fully Invoiced</v>
      </c>
      <c r="R2844" t="str">
        <f>IFERROR(VLOOKUP(T[[#This Row],[warehouse]],Table2[],2,FALSE),"--")</f>
        <v>SLAUGHTER HOUSE</v>
      </c>
    </row>
    <row r="2845" spans="1:18" x14ac:dyDescent="0.25">
      <c r="A2845" t="s">
        <v>201</v>
      </c>
      <c r="B2845" s="1">
        <v>44334</v>
      </c>
      <c r="C2845" t="s">
        <v>1382</v>
      </c>
      <c r="D2845" t="s">
        <v>88</v>
      </c>
      <c r="E2845" t="s">
        <v>51</v>
      </c>
      <c r="F2845" t="s">
        <v>933</v>
      </c>
      <c r="G2845" t="s">
        <v>1898</v>
      </c>
      <c r="H2845" t="s">
        <v>54</v>
      </c>
      <c r="I2845">
        <v>1</v>
      </c>
      <c r="J2845">
        <v>0</v>
      </c>
      <c r="K2845">
        <v>0</v>
      </c>
      <c r="L2845" t="s">
        <v>693</v>
      </c>
      <c r="M2845" t="s">
        <v>744</v>
      </c>
      <c r="N2845">
        <v>1279484.9909999999</v>
      </c>
      <c r="O2845">
        <v>0</v>
      </c>
      <c r="P2845" t="str">
        <f>IF(T[[#This Row],[qty_ordered]]&lt;&gt;T[[#This Row],[qty_received]],IF(T[[#This Row],[qty_received]]&gt;0,"Partial Received","Not Receviced"),"FullyReceived")</f>
        <v>Not Receviced</v>
      </c>
      <c r="Q2845" t="str">
        <f>IF(T[[#This Row],[qty_received]]&lt;&gt;T[[#This Row],[qty_invoiced]],IF(T[[#This Row],[qty_invoiced]]&gt;0,"Partial Invoiced","Not Invoiced"),"Fully Invoiced")</f>
        <v>Fully Invoiced</v>
      </c>
      <c r="R2845" t="str">
        <f>IFERROR(VLOOKUP(T[[#This Row],[warehouse]],Table2[],2,FALSE),"--")</f>
        <v>--</v>
      </c>
    </row>
    <row r="2846" spans="1:18" x14ac:dyDescent="0.25">
      <c r="A2846" t="s">
        <v>201</v>
      </c>
      <c r="B2846" s="1">
        <v>44334</v>
      </c>
      <c r="C2846" t="s">
        <v>1382</v>
      </c>
      <c r="D2846" t="s">
        <v>74</v>
      </c>
      <c r="E2846" t="s">
        <v>51</v>
      </c>
      <c r="F2846" t="s">
        <v>933</v>
      </c>
      <c r="G2846" t="s">
        <v>1898</v>
      </c>
      <c r="H2846" t="s">
        <v>54</v>
      </c>
      <c r="I2846">
        <v>1</v>
      </c>
      <c r="J2846">
        <v>0</v>
      </c>
      <c r="K2846">
        <v>0</v>
      </c>
      <c r="L2846" t="s">
        <v>693</v>
      </c>
      <c r="M2846" t="s">
        <v>744</v>
      </c>
      <c r="N2846">
        <v>-50579532.693000004</v>
      </c>
      <c r="O2846">
        <v>0</v>
      </c>
      <c r="P2846" t="str">
        <f>IF(T[[#This Row],[qty_ordered]]&lt;&gt;T[[#This Row],[qty_received]],IF(T[[#This Row],[qty_received]]&gt;0,"Partial Received","Not Receviced"),"FullyReceived")</f>
        <v>Not Receviced</v>
      </c>
      <c r="Q2846" t="str">
        <f>IF(T[[#This Row],[qty_received]]&lt;&gt;T[[#This Row],[qty_invoiced]],IF(T[[#This Row],[qty_invoiced]]&gt;0,"Partial Invoiced","Not Invoiced"),"Fully Invoiced")</f>
        <v>Fully Invoiced</v>
      </c>
      <c r="R2846" t="str">
        <f>IFERROR(VLOOKUP(T[[#This Row],[warehouse]],Table2[],2,FALSE),"--")</f>
        <v>--</v>
      </c>
    </row>
    <row r="2847" spans="1:18" x14ac:dyDescent="0.25">
      <c r="A2847" t="s">
        <v>462</v>
      </c>
      <c r="B2847" s="1">
        <v>44221</v>
      </c>
      <c r="C2847" t="s">
        <v>1200</v>
      </c>
      <c r="D2847" t="s">
        <v>1899</v>
      </c>
      <c r="E2847" t="s">
        <v>51</v>
      </c>
      <c r="F2847" t="s">
        <v>373</v>
      </c>
      <c r="G2847" t="s">
        <v>373</v>
      </c>
      <c r="H2847" t="s">
        <v>54</v>
      </c>
      <c r="I2847">
        <v>6865</v>
      </c>
      <c r="J2847">
        <v>0</v>
      </c>
      <c r="K2847">
        <v>1</v>
      </c>
      <c r="L2847" t="s">
        <v>25</v>
      </c>
      <c r="M2847" t="s">
        <v>533</v>
      </c>
      <c r="N2847">
        <v>13</v>
      </c>
      <c r="O2847">
        <v>0</v>
      </c>
      <c r="P2847" t="str">
        <f>IF(T[[#This Row],[qty_ordered]]&lt;&gt;T[[#This Row],[qty_received]],IF(T[[#This Row],[qty_received]]&gt;0,"Partial Received","Not Receviced"),"FullyReceived")</f>
        <v>Not Receviced</v>
      </c>
      <c r="Q2847" t="str">
        <f>IF(T[[#This Row],[qty_received]]&lt;&gt;T[[#This Row],[qty_invoiced]],IF(T[[#This Row],[qty_invoiced]]&gt;0,"Partial Invoiced","Not Invoiced"),"Fully Invoiced")</f>
        <v>Partial Invoiced</v>
      </c>
      <c r="R2847" t="str">
        <f>IFERROR(VLOOKUP(T[[#This Row],[warehouse]],Table2[],2,FALSE),"--")</f>
        <v>--</v>
      </c>
    </row>
    <row r="2848" spans="1:18" x14ac:dyDescent="0.25">
      <c r="A2848" t="s">
        <v>228</v>
      </c>
      <c r="B2848" s="1">
        <v>44873</v>
      </c>
      <c r="C2848" t="s">
        <v>2580</v>
      </c>
      <c r="D2848" t="s">
        <v>71</v>
      </c>
      <c r="E2848" t="s">
        <v>239</v>
      </c>
      <c r="F2848" t="s">
        <v>230</v>
      </c>
      <c r="G2848" t="s">
        <v>231</v>
      </c>
      <c r="H2848" t="s">
        <v>24</v>
      </c>
      <c r="I2848">
        <v>1057.501</v>
      </c>
      <c r="J2848">
        <v>0</v>
      </c>
      <c r="K2848">
        <v>0</v>
      </c>
      <c r="L2848" t="s">
        <v>693</v>
      </c>
      <c r="M2848" t="s">
        <v>1485</v>
      </c>
      <c r="N2848">
        <v>756500.46666599996</v>
      </c>
      <c r="O2848">
        <v>0</v>
      </c>
      <c r="P2848" t="str">
        <f>IF(T[[#This Row],[qty_ordered]]&lt;&gt;T[[#This Row],[qty_received]],IF(T[[#This Row],[qty_received]]&gt;0,"Partial Received","Not Receviced"),"FullyReceived")</f>
        <v>Not Receviced</v>
      </c>
      <c r="Q2848" t="str">
        <f>IF(T[[#This Row],[qty_received]]&lt;&gt;T[[#This Row],[qty_invoiced]],IF(T[[#This Row],[qty_invoiced]]&gt;0,"Partial Invoiced","Not Invoiced"),"Fully Invoiced")</f>
        <v>Fully Invoiced</v>
      </c>
      <c r="R2848" t="str">
        <f>IFERROR(VLOOKUP(T[[#This Row],[warehouse]],Table2[],2,FALSE),"--")</f>
        <v xml:space="preserve">Gadarif Main Store </v>
      </c>
    </row>
    <row r="2849" spans="1:18" x14ac:dyDescent="0.25">
      <c r="A2849" t="s">
        <v>1745</v>
      </c>
      <c r="B2849" s="1">
        <v>44879</v>
      </c>
      <c r="C2849" t="s">
        <v>2589</v>
      </c>
      <c r="D2849" t="s">
        <v>20</v>
      </c>
      <c r="E2849" t="s">
        <v>146</v>
      </c>
      <c r="F2849" t="s">
        <v>147</v>
      </c>
      <c r="G2849" t="s">
        <v>148</v>
      </c>
      <c r="H2849" t="s">
        <v>149</v>
      </c>
      <c r="I2849">
        <v>34000</v>
      </c>
      <c r="J2849">
        <v>34000</v>
      </c>
      <c r="K2849">
        <v>34000</v>
      </c>
      <c r="L2849" t="s">
        <v>693</v>
      </c>
      <c r="M2849" t="s">
        <v>1404</v>
      </c>
      <c r="N2849">
        <v>220</v>
      </c>
      <c r="O2849">
        <v>7480000</v>
      </c>
      <c r="P2849" t="str">
        <f>IF(T[[#This Row],[qty_ordered]]&lt;&gt;T[[#This Row],[qty_received]],IF(T[[#This Row],[qty_received]]&gt;0,"Partial Received","Not Receviced"),"FullyReceived")</f>
        <v>FullyReceived</v>
      </c>
      <c r="Q2849" t="str">
        <f>IF(T[[#This Row],[qty_received]]&lt;&gt;T[[#This Row],[qty_invoiced]],IF(T[[#This Row],[qty_invoiced]]&gt;0,"Partial Invoiced","Not Invoiced"),"Fully Invoiced")</f>
        <v>Fully Invoiced</v>
      </c>
      <c r="R2849" t="str">
        <f>IFERROR(VLOOKUP(T[[#This Row],[warehouse]],Table2[],2,FALSE),"--")</f>
        <v>Khtoum Main Warehouse</v>
      </c>
    </row>
    <row r="2850" spans="1:18" x14ac:dyDescent="0.25">
      <c r="A2850" t="s">
        <v>795</v>
      </c>
      <c r="B2850" s="1">
        <v>44880</v>
      </c>
      <c r="C2850" t="s">
        <v>2831</v>
      </c>
      <c r="D2850" t="s">
        <v>20</v>
      </c>
      <c r="E2850" t="s">
        <v>629</v>
      </c>
      <c r="F2850" t="s">
        <v>287</v>
      </c>
      <c r="G2850" t="s">
        <v>288</v>
      </c>
      <c r="H2850" t="s">
        <v>24</v>
      </c>
      <c r="I2850">
        <v>4550.29</v>
      </c>
      <c r="J2850">
        <v>4550.29</v>
      </c>
      <c r="K2850">
        <v>4550.29</v>
      </c>
      <c r="L2850" t="s">
        <v>693</v>
      </c>
      <c r="M2850" t="s">
        <v>707</v>
      </c>
      <c r="N2850">
        <v>500000</v>
      </c>
      <c r="O2850">
        <v>2275145000</v>
      </c>
      <c r="P2850" t="str">
        <f>IF(T[[#This Row],[qty_ordered]]&lt;&gt;T[[#This Row],[qty_received]],IF(T[[#This Row],[qty_received]]&gt;0,"Partial Received","Not Receviced"),"FullyReceived")</f>
        <v>FullyReceived</v>
      </c>
      <c r="Q2850" t="str">
        <f>IF(T[[#This Row],[qty_received]]&lt;&gt;T[[#This Row],[qty_invoiced]],IF(T[[#This Row],[qty_invoiced]]&gt;0,"Partial Invoiced","Not Invoiced"),"Fully Invoiced")</f>
        <v>Fully Invoiced</v>
      </c>
      <c r="R2850" t="str">
        <f>IFERROR(VLOOKUP(T[[#This Row],[warehouse]],Table2[],2,FALSE),"--")</f>
        <v>SOPC Sifting &amp; Sorting</v>
      </c>
    </row>
    <row r="2851" spans="1:18" x14ac:dyDescent="0.25">
      <c r="A2851" t="s">
        <v>84</v>
      </c>
      <c r="B2851" s="1">
        <v>44854</v>
      </c>
      <c r="C2851" t="s">
        <v>2463</v>
      </c>
      <c r="D2851" t="s">
        <v>88</v>
      </c>
      <c r="E2851" t="s">
        <v>908</v>
      </c>
      <c r="F2851" t="s">
        <v>108</v>
      </c>
      <c r="G2851" t="s">
        <v>109</v>
      </c>
      <c r="H2851" t="s">
        <v>24</v>
      </c>
      <c r="I2851">
        <v>500</v>
      </c>
      <c r="J2851">
        <v>253.97</v>
      </c>
      <c r="K2851">
        <v>253.97</v>
      </c>
      <c r="L2851" t="s">
        <v>693</v>
      </c>
      <c r="M2851" t="s">
        <v>1485</v>
      </c>
      <c r="N2851">
        <v>700280</v>
      </c>
      <c r="O2851">
        <v>177850111.59999999</v>
      </c>
      <c r="P2851" t="str">
        <f>IF(T[[#This Row],[qty_ordered]]&lt;&gt;T[[#This Row],[qty_received]],IF(T[[#This Row],[qty_received]]&gt;0,"Partial Received","Not Receviced"),"FullyReceived")</f>
        <v>Partial Received</v>
      </c>
      <c r="Q2851" t="str">
        <f>IF(T[[#This Row],[qty_received]]&lt;&gt;T[[#This Row],[qty_invoiced]],IF(T[[#This Row],[qty_invoiced]]&gt;0,"Partial Invoiced","Not Invoiced"),"Fully Invoiced")</f>
        <v>Fully Invoiced</v>
      </c>
      <c r="R2851" t="str">
        <f>IFERROR(VLOOKUP(T[[#This Row],[warehouse]],Table2[],2,FALSE),"--")</f>
        <v>SIFTER- ALNAZER-OMDU</v>
      </c>
    </row>
    <row r="2852" spans="1:18" x14ac:dyDescent="0.25">
      <c r="A2852" t="s">
        <v>2837</v>
      </c>
      <c r="B2852" s="1">
        <v>44885</v>
      </c>
      <c r="C2852" t="s">
        <v>2838</v>
      </c>
      <c r="D2852" t="s">
        <v>20</v>
      </c>
      <c r="E2852" t="s">
        <v>51</v>
      </c>
      <c r="F2852" t="s">
        <v>2166</v>
      </c>
      <c r="G2852" t="s">
        <v>2178</v>
      </c>
      <c r="H2852" t="s">
        <v>54</v>
      </c>
      <c r="I2852">
        <v>4</v>
      </c>
      <c r="J2852">
        <v>0</v>
      </c>
      <c r="K2852">
        <v>0</v>
      </c>
      <c r="L2852" t="s">
        <v>693</v>
      </c>
      <c r="M2852" t="s">
        <v>2836</v>
      </c>
      <c r="N2852">
        <v>300000</v>
      </c>
      <c r="O2852">
        <v>0</v>
      </c>
      <c r="P2852" t="str">
        <f>IF(T[[#This Row],[qty_ordered]]&lt;&gt;T[[#This Row],[qty_received]],IF(T[[#This Row],[qty_received]]&gt;0,"Partial Received","Not Receviced"),"FullyReceived")</f>
        <v>Not Receviced</v>
      </c>
      <c r="Q2852" t="str">
        <f>IF(T[[#This Row],[qty_received]]&lt;&gt;T[[#This Row],[qty_invoiced]],IF(T[[#This Row],[qty_invoiced]]&gt;0,"Partial Invoiced","Not Invoiced"),"Fully Invoiced")</f>
        <v>Fully Invoiced</v>
      </c>
      <c r="R2852" t="str">
        <f>IFERROR(VLOOKUP(T[[#This Row],[warehouse]],Table2[],2,FALSE),"--")</f>
        <v>--</v>
      </c>
    </row>
    <row r="2853" spans="1:18" x14ac:dyDescent="0.25">
      <c r="A2853" t="s">
        <v>252</v>
      </c>
      <c r="B2853" s="1">
        <v>44885</v>
      </c>
      <c r="C2853" t="s">
        <v>2839</v>
      </c>
      <c r="D2853" t="s">
        <v>20</v>
      </c>
      <c r="E2853" t="s">
        <v>51</v>
      </c>
      <c r="F2853" t="s">
        <v>183</v>
      </c>
      <c r="G2853" t="s">
        <v>1991</v>
      </c>
      <c r="H2853" t="s">
        <v>54</v>
      </c>
      <c r="I2853">
        <v>38.99</v>
      </c>
      <c r="J2853">
        <v>0</v>
      </c>
      <c r="K2853">
        <v>1</v>
      </c>
      <c r="L2853" t="s">
        <v>693</v>
      </c>
      <c r="M2853" t="s">
        <v>2836</v>
      </c>
      <c r="N2853">
        <v>13000</v>
      </c>
      <c r="O2853">
        <v>0</v>
      </c>
      <c r="P2853" t="str">
        <f>IF(T[[#This Row],[qty_ordered]]&lt;&gt;T[[#This Row],[qty_received]],IF(T[[#This Row],[qty_received]]&gt;0,"Partial Received","Not Receviced"),"FullyReceived")</f>
        <v>Not Receviced</v>
      </c>
      <c r="Q2853" t="str">
        <f>IF(T[[#This Row],[qty_received]]&lt;&gt;T[[#This Row],[qty_invoiced]],IF(T[[#This Row],[qty_invoiced]]&gt;0,"Partial Invoiced","Not Invoiced"),"Fully Invoiced")</f>
        <v>Partial Invoiced</v>
      </c>
      <c r="R2853" t="str">
        <f>IFERROR(VLOOKUP(T[[#This Row],[warehouse]],Table2[],2,FALSE),"--")</f>
        <v>--</v>
      </c>
    </row>
    <row r="2854" spans="1:18" x14ac:dyDescent="0.25">
      <c r="A2854" t="s">
        <v>560</v>
      </c>
      <c r="B2854" s="1">
        <v>44544</v>
      </c>
      <c r="C2854" t="s">
        <v>1522</v>
      </c>
      <c r="D2854" t="s">
        <v>569</v>
      </c>
      <c r="E2854" t="s">
        <v>51</v>
      </c>
      <c r="F2854" t="s">
        <v>164</v>
      </c>
      <c r="G2854" t="s">
        <v>2840</v>
      </c>
      <c r="H2854" t="s">
        <v>54</v>
      </c>
      <c r="I2854">
        <v>24</v>
      </c>
      <c r="J2854">
        <v>0</v>
      </c>
      <c r="K2854">
        <v>0</v>
      </c>
      <c r="L2854" t="s">
        <v>693</v>
      </c>
      <c r="M2854" t="s">
        <v>2836</v>
      </c>
      <c r="N2854">
        <v>9450</v>
      </c>
      <c r="O2854">
        <v>0</v>
      </c>
      <c r="P2854" t="str">
        <f>IF(T[[#This Row],[qty_ordered]]&lt;&gt;T[[#This Row],[qty_received]],IF(T[[#This Row],[qty_received]]&gt;0,"Partial Received","Not Receviced"),"FullyReceived")</f>
        <v>Not Receviced</v>
      </c>
      <c r="Q2854" t="str">
        <f>IF(T[[#This Row],[qty_received]]&lt;&gt;T[[#This Row],[qty_invoiced]],IF(T[[#This Row],[qty_invoiced]]&gt;0,"Partial Invoiced","Not Invoiced"),"Fully Invoiced")</f>
        <v>Fully Invoiced</v>
      </c>
      <c r="R2854" t="str">
        <f>IFERROR(VLOOKUP(T[[#This Row],[warehouse]],Table2[],2,FALSE),"--")</f>
        <v>--</v>
      </c>
    </row>
    <row r="2855" spans="1:18" x14ac:dyDescent="0.25">
      <c r="A2855" t="s">
        <v>560</v>
      </c>
      <c r="B2855" s="1">
        <v>44885</v>
      </c>
      <c r="C2855" t="s">
        <v>2841</v>
      </c>
      <c r="D2855" t="s">
        <v>20</v>
      </c>
      <c r="E2855" t="s">
        <v>51</v>
      </c>
      <c r="F2855" t="s">
        <v>2842</v>
      </c>
      <c r="G2855" t="s">
        <v>2843</v>
      </c>
      <c r="H2855" t="s">
        <v>54</v>
      </c>
      <c r="I2855">
        <v>3</v>
      </c>
      <c r="J2855">
        <v>0</v>
      </c>
      <c r="K2855">
        <v>1</v>
      </c>
      <c r="L2855" t="s">
        <v>693</v>
      </c>
      <c r="M2855" t="s">
        <v>2836</v>
      </c>
      <c r="N2855">
        <v>9450</v>
      </c>
      <c r="O2855">
        <v>0</v>
      </c>
      <c r="P2855" t="str">
        <f>IF(T[[#This Row],[qty_ordered]]&lt;&gt;T[[#This Row],[qty_received]],IF(T[[#This Row],[qty_received]]&gt;0,"Partial Received","Not Receviced"),"FullyReceived")</f>
        <v>Not Receviced</v>
      </c>
      <c r="Q2855" t="str">
        <f>IF(T[[#This Row],[qty_received]]&lt;&gt;T[[#This Row],[qty_invoiced]],IF(T[[#This Row],[qty_invoiced]]&gt;0,"Partial Invoiced","Not Invoiced"),"Fully Invoiced")</f>
        <v>Partial Invoiced</v>
      </c>
      <c r="R2855" t="str">
        <f>IFERROR(VLOOKUP(T[[#This Row],[warehouse]],Table2[],2,FALSE),"--")</f>
        <v>--</v>
      </c>
    </row>
    <row r="2856" spans="1:18" x14ac:dyDescent="0.25">
      <c r="A2856" t="s">
        <v>153</v>
      </c>
      <c r="B2856" s="1">
        <v>44885</v>
      </c>
      <c r="C2856" t="s">
        <v>2844</v>
      </c>
      <c r="D2856" t="s">
        <v>20</v>
      </c>
      <c r="E2856" t="s">
        <v>51</v>
      </c>
      <c r="F2856" t="s">
        <v>2845</v>
      </c>
      <c r="G2856" t="s">
        <v>2846</v>
      </c>
      <c r="H2856" t="s">
        <v>54</v>
      </c>
      <c r="I2856">
        <v>1469</v>
      </c>
      <c r="J2856">
        <v>0</v>
      </c>
      <c r="K2856">
        <v>1</v>
      </c>
      <c r="L2856" t="s">
        <v>693</v>
      </c>
      <c r="M2856" t="s">
        <v>2836</v>
      </c>
      <c r="N2856">
        <v>6053.2405239999998</v>
      </c>
      <c r="O2856">
        <v>0</v>
      </c>
      <c r="P2856" t="str">
        <f>IF(T[[#This Row],[qty_ordered]]&lt;&gt;T[[#This Row],[qty_received]],IF(T[[#This Row],[qty_received]]&gt;0,"Partial Received","Not Receviced"),"FullyReceived")</f>
        <v>Not Receviced</v>
      </c>
      <c r="Q2856" t="str">
        <f>IF(T[[#This Row],[qty_received]]&lt;&gt;T[[#This Row],[qty_invoiced]],IF(T[[#This Row],[qty_invoiced]]&gt;0,"Partial Invoiced","Not Invoiced"),"Fully Invoiced")</f>
        <v>Partial Invoiced</v>
      </c>
      <c r="R2856" t="str">
        <f>IFERROR(VLOOKUP(T[[#This Row],[warehouse]],Table2[],2,FALSE),"--")</f>
        <v>--</v>
      </c>
    </row>
    <row r="2857" spans="1:18" x14ac:dyDescent="0.25">
      <c r="A2857" t="s">
        <v>560</v>
      </c>
      <c r="B2857" s="1">
        <v>44634</v>
      </c>
      <c r="C2857" t="s">
        <v>1539</v>
      </c>
      <c r="D2857" t="s">
        <v>322</v>
      </c>
      <c r="E2857" t="s">
        <v>51</v>
      </c>
      <c r="F2857" t="s">
        <v>164</v>
      </c>
      <c r="G2857" t="s">
        <v>2847</v>
      </c>
      <c r="H2857" t="s">
        <v>54</v>
      </c>
      <c r="I2857">
        <v>27</v>
      </c>
      <c r="J2857">
        <v>0</v>
      </c>
      <c r="K2857">
        <v>0</v>
      </c>
      <c r="L2857" t="s">
        <v>693</v>
      </c>
      <c r="M2857" t="s">
        <v>2836</v>
      </c>
      <c r="N2857">
        <v>9450</v>
      </c>
      <c r="O2857">
        <v>0</v>
      </c>
      <c r="P2857" t="str">
        <f>IF(T[[#This Row],[qty_ordered]]&lt;&gt;T[[#This Row],[qty_received]],IF(T[[#This Row],[qty_received]]&gt;0,"Partial Received","Not Receviced"),"FullyReceived")</f>
        <v>Not Receviced</v>
      </c>
      <c r="Q2857" t="str">
        <f>IF(T[[#This Row],[qty_received]]&lt;&gt;T[[#This Row],[qty_invoiced]],IF(T[[#This Row],[qty_invoiced]]&gt;0,"Partial Invoiced","Not Invoiced"),"Fully Invoiced")</f>
        <v>Fully Invoiced</v>
      </c>
      <c r="R2857" t="str">
        <f>IFERROR(VLOOKUP(T[[#This Row],[warehouse]],Table2[],2,FALSE),"--")</f>
        <v>--</v>
      </c>
    </row>
    <row r="2858" spans="1:18" x14ac:dyDescent="0.25">
      <c r="A2858" t="s">
        <v>560</v>
      </c>
      <c r="B2858" s="1">
        <v>44606</v>
      </c>
      <c r="C2858" t="s">
        <v>1544</v>
      </c>
      <c r="D2858" t="s">
        <v>752</v>
      </c>
      <c r="E2858" t="s">
        <v>51</v>
      </c>
      <c r="F2858" t="s">
        <v>164</v>
      </c>
      <c r="G2858" t="s">
        <v>2848</v>
      </c>
      <c r="H2858" t="s">
        <v>54</v>
      </c>
      <c r="I2858">
        <v>19</v>
      </c>
      <c r="J2858">
        <v>0</v>
      </c>
      <c r="K2858">
        <v>0</v>
      </c>
      <c r="L2858" t="s">
        <v>693</v>
      </c>
      <c r="M2858" t="s">
        <v>2836</v>
      </c>
      <c r="N2858">
        <v>9450</v>
      </c>
      <c r="O2858">
        <v>0</v>
      </c>
      <c r="P2858" t="str">
        <f>IF(T[[#This Row],[qty_ordered]]&lt;&gt;T[[#This Row],[qty_received]],IF(T[[#This Row],[qty_received]]&gt;0,"Partial Received","Not Receviced"),"FullyReceived")</f>
        <v>Not Receviced</v>
      </c>
      <c r="Q2858" t="str">
        <f>IF(T[[#This Row],[qty_received]]&lt;&gt;T[[#This Row],[qty_invoiced]],IF(T[[#This Row],[qty_invoiced]]&gt;0,"Partial Invoiced","Not Invoiced"),"Fully Invoiced")</f>
        <v>Fully Invoiced</v>
      </c>
      <c r="R2858" t="str">
        <f>IFERROR(VLOOKUP(T[[#This Row],[warehouse]],Table2[],2,FALSE),"--")</f>
        <v>--</v>
      </c>
    </row>
    <row r="2859" spans="1:18" x14ac:dyDescent="0.25">
      <c r="A2859" t="s">
        <v>560</v>
      </c>
      <c r="B2859" s="1">
        <v>44572</v>
      </c>
      <c r="C2859" t="s">
        <v>1651</v>
      </c>
      <c r="D2859" t="s">
        <v>594</v>
      </c>
      <c r="E2859" t="s">
        <v>51</v>
      </c>
      <c r="F2859" t="s">
        <v>164</v>
      </c>
      <c r="G2859" t="s">
        <v>2849</v>
      </c>
      <c r="H2859" t="s">
        <v>54</v>
      </c>
      <c r="I2859">
        <v>11</v>
      </c>
      <c r="J2859">
        <v>0</v>
      </c>
      <c r="K2859">
        <v>0</v>
      </c>
      <c r="L2859" t="s">
        <v>693</v>
      </c>
      <c r="M2859" t="s">
        <v>2836</v>
      </c>
      <c r="N2859">
        <v>9450</v>
      </c>
      <c r="O2859">
        <v>0</v>
      </c>
      <c r="P2859" t="str">
        <f>IF(T[[#This Row],[qty_ordered]]&lt;&gt;T[[#This Row],[qty_received]],IF(T[[#This Row],[qty_received]]&gt;0,"Partial Received","Not Receviced"),"FullyReceived")</f>
        <v>Not Receviced</v>
      </c>
      <c r="Q2859" t="str">
        <f>IF(T[[#This Row],[qty_received]]&lt;&gt;T[[#This Row],[qty_invoiced]],IF(T[[#This Row],[qty_invoiced]]&gt;0,"Partial Invoiced","Not Invoiced"),"Fully Invoiced")</f>
        <v>Fully Invoiced</v>
      </c>
      <c r="R2859" t="str">
        <f>IFERROR(VLOOKUP(T[[#This Row],[warehouse]],Table2[],2,FALSE),"--")</f>
        <v>--</v>
      </c>
    </row>
    <row r="2860" spans="1:18" x14ac:dyDescent="0.25">
      <c r="A2860" t="s">
        <v>989</v>
      </c>
      <c r="B2860" s="1">
        <v>44879</v>
      </c>
      <c r="C2860" t="s">
        <v>2590</v>
      </c>
      <c r="D2860" t="s">
        <v>20</v>
      </c>
      <c r="E2860" t="s">
        <v>51</v>
      </c>
      <c r="F2860" t="s">
        <v>183</v>
      </c>
      <c r="G2860" t="s">
        <v>1991</v>
      </c>
      <c r="H2860" t="s">
        <v>54</v>
      </c>
      <c r="I2860">
        <v>350</v>
      </c>
      <c r="J2860">
        <v>0</v>
      </c>
      <c r="K2860">
        <v>1</v>
      </c>
      <c r="L2860" t="s">
        <v>693</v>
      </c>
      <c r="M2860" t="s">
        <v>2836</v>
      </c>
      <c r="N2860">
        <v>13000</v>
      </c>
      <c r="O2860">
        <v>0</v>
      </c>
      <c r="P2860" t="str">
        <f>IF(T[[#This Row],[qty_ordered]]&lt;&gt;T[[#This Row],[qty_received]],IF(T[[#This Row],[qty_received]]&gt;0,"Partial Received","Not Receviced"),"FullyReceived")</f>
        <v>Not Receviced</v>
      </c>
      <c r="Q2860" t="str">
        <f>IF(T[[#This Row],[qty_received]]&lt;&gt;T[[#This Row],[qty_invoiced]],IF(T[[#This Row],[qty_invoiced]]&gt;0,"Partial Invoiced","Not Invoiced"),"Fully Invoiced")</f>
        <v>Partial Invoiced</v>
      </c>
      <c r="R2860" t="str">
        <f>IFERROR(VLOOKUP(T[[#This Row],[warehouse]],Table2[],2,FALSE),"--")</f>
        <v>--</v>
      </c>
    </row>
    <row r="2861" spans="1:18" x14ac:dyDescent="0.25">
      <c r="A2861" t="s">
        <v>560</v>
      </c>
      <c r="B2861" s="1">
        <v>44572</v>
      </c>
      <c r="C2861" t="s">
        <v>1651</v>
      </c>
      <c r="D2861" t="s">
        <v>595</v>
      </c>
      <c r="E2861" t="s">
        <v>51</v>
      </c>
      <c r="F2861" t="s">
        <v>164</v>
      </c>
      <c r="G2861" t="s">
        <v>2849</v>
      </c>
      <c r="H2861" t="s">
        <v>54</v>
      </c>
      <c r="I2861">
        <v>27</v>
      </c>
      <c r="J2861">
        <v>0</v>
      </c>
      <c r="K2861">
        <v>0</v>
      </c>
      <c r="L2861" t="s">
        <v>693</v>
      </c>
      <c r="M2861" t="s">
        <v>2836</v>
      </c>
      <c r="N2861">
        <v>9450</v>
      </c>
      <c r="O2861">
        <v>0</v>
      </c>
      <c r="P2861" t="str">
        <f>IF(T[[#This Row],[qty_ordered]]&lt;&gt;T[[#This Row],[qty_received]],IF(T[[#This Row],[qty_received]]&gt;0,"Partial Received","Not Receviced"),"FullyReceived")</f>
        <v>Not Receviced</v>
      </c>
      <c r="Q2861" t="str">
        <f>IF(T[[#This Row],[qty_received]]&lt;&gt;T[[#This Row],[qty_invoiced]],IF(T[[#This Row],[qty_invoiced]]&gt;0,"Partial Invoiced","Not Invoiced"),"Fully Invoiced")</f>
        <v>Fully Invoiced</v>
      </c>
      <c r="R2861" t="str">
        <f>IFERROR(VLOOKUP(T[[#This Row],[warehouse]],Table2[],2,FALSE),"--")</f>
        <v>--</v>
      </c>
    </row>
    <row r="2862" spans="1:18" x14ac:dyDescent="0.25">
      <c r="A2862" t="s">
        <v>560</v>
      </c>
      <c r="B2862" s="1">
        <v>44572</v>
      </c>
      <c r="C2862" t="s">
        <v>1651</v>
      </c>
      <c r="D2862" t="s">
        <v>596</v>
      </c>
      <c r="E2862" t="s">
        <v>51</v>
      </c>
      <c r="F2862" t="s">
        <v>164</v>
      </c>
      <c r="G2862" t="s">
        <v>2849</v>
      </c>
      <c r="H2862" t="s">
        <v>54</v>
      </c>
      <c r="I2862">
        <v>27</v>
      </c>
      <c r="J2862">
        <v>0</v>
      </c>
      <c r="K2862">
        <v>0</v>
      </c>
      <c r="L2862" t="s">
        <v>693</v>
      </c>
      <c r="M2862" t="s">
        <v>2836</v>
      </c>
      <c r="N2862">
        <v>9450</v>
      </c>
      <c r="O2862">
        <v>0</v>
      </c>
      <c r="P2862" t="str">
        <f>IF(T[[#This Row],[qty_ordered]]&lt;&gt;T[[#This Row],[qty_received]],IF(T[[#This Row],[qty_received]]&gt;0,"Partial Received","Not Receviced"),"FullyReceived")</f>
        <v>Not Receviced</v>
      </c>
      <c r="Q2862" t="str">
        <f>IF(T[[#This Row],[qty_received]]&lt;&gt;T[[#This Row],[qty_invoiced]],IF(T[[#This Row],[qty_invoiced]]&gt;0,"Partial Invoiced","Not Invoiced"),"Fully Invoiced")</f>
        <v>Fully Invoiced</v>
      </c>
      <c r="R2862" t="str">
        <f>IFERROR(VLOOKUP(T[[#This Row],[warehouse]],Table2[],2,FALSE),"--")</f>
        <v>--</v>
      </c>
    </row>
    <row r="2863" spans="1:18" x14ac:dyDescent="0.25">
      <c r="A2863" t="s">
        <v>560</v>
      </c>
      <c r="B2863" s="1">
        <v>44746</v>
      </c>
      <c r="C2863" t="s">
        <v>1771</v>
      </c>
      <c r="D2863" t="s">
        <v>323</v>
      </c>
      <c r="E2863" t="s">
        <v>51</v>
      </c>
      <c r="F2863" t="s">
        <v>164</v>
      </c>
      <c r="G2863" t="s">
        <v>2850</v>
      </c>
      <c r="H2863" t="s">
        <v>54</v>
      </c>
      <c r="I2863">
        <v>11</v>
      </c>
      <c r="J2863">
        <v>0</v>
      </c>
      <c r="K2863">
        <v>0</v>
      </c>
      <c r="L2863" t="s">
        <v>693</v>
      </c>
      <c r="M2863" t="s">
        <v>2836</v>
      </c>
      <c r="N2863">
        <v>9450</v>
      </c>
      <c r="O2863">
        <v>0</v>
      </c>
      <c r="P2863" t="str">
        <f>IF(T[[#This Row],[qty_ordered]]&lt;&gt;T[[#This Row],[qty_received]],IF(T[[#This Row],[qty_received]]&gt;0,"Partial Received","Not Receviced"),"FullyReceived")</f>
        <v>Not Receviced</v>
      </c>
      <c r="Q2863" t="str">
        <f>IF(T[[#This Row],[qty_received]]&lt;&gt;T[[#This Row],[qty_invoiced]],IF(T[[#This Row],[qty_invoiced]]&gt;0,"Partial Invoiced","Not Invoiced"),"Fully Invoiced")</f>
        <v>Fully Invoiced</v>
      </c>
      <c r="R2863" t="str">
        <f>IFERROR(VLOOKUP(T[[#This Row],[warehouse]],Table2[],2,FALSE),"--")</f>
        <v>--</v>
      </c>
    </row>
    <row r="2864" spans="1:18" x14ac:dyDescent="0.25">
      <c r="A2864" t="s">
        <v>560</v>
      </c>
      <c r="B2864" s="1">
        <v>44544</v>
      </c>
      <c r="C2864" t="s">
        <v>2056</v>
      </c>
      <c r="D2864" t="s">
        <v>323</v>
      </c>
      <c r="E2864" t="s">
        <v>51</v>
      </c>
      <c r="F2864" t="s">
        <v>164</v>
      </c>
      <c r="G2864" t="s">
        <v>2851</v>
      </c>
      <c r="H2864" t="s">
        <v>54</v>
      </c>
      <c r="I2864">
        <v>29.63</v>
      </c>
      <c r="J2864">
        <v>0</v>
      </c>
      <c r="K2864">
        <v>0</v>
      </c>
      <c r="L2864" t="s">
        <v>693</v>
      </c>
      <c r="M2864" t="s">
        <v>2836</v>
      </c>
      <c r="N2864">
        <v>9450</v>
      </c>
      <c r="O2864">
        <v>0</v>
      </c>
      <c r="P2864" t="str">
        <f>IF(T[[#This Row],[qty_ordered]]&lt;&gt;T[[#This Row],[qty_received]],IF(T[[#This Row],[qty_received]]&gt;0,"Partial Received","Not Receviced"),"FullyReceived")</f>
        <v>Not Receviced</v>
      </c>
      <c r="Q2864" t="str">
        <f>IF(T[[#This Row],[qty_received]]&lt;&gt;T[[#This Row],[qty_invoiced]],IF(T[[#This Row],[qty_invoiced]]&gt;0,"Partial Invoiced","Not Invoiced"),"Fully Invoiced")</f>
        <v>Fully Invoiced</v>
      </c>
      <c r="R2864" t="str">
        <f>IFERROR(VLOOKUP(T[[#This Row],[warehouse]],Table2[],2,FALSE),"--")</f>
        <v>--</v>
      </c>
    </row>
    <row r="2865" spans="1:18" x14ac:dyDescent="0.25">
      <c r="A2865" t="s">
        <v>560</v>
      </c>
      <c r="B2865" s="1">
        <v>44544</v>
      </c>
      <c r="C2865" t="s">
        <v>2056</v>
      </c>
      <c r="D2865" t="s">
        <v>324</v>
      </c>
      <c r="E2865" t="s">
        <v>51</v>
      </c>
      <c r="F2865" t="s">
        <v>164</v>
      </c>
      <c r="G2865" t="s">
        <v>2852</v>
      </c>
      <c r="H2865" t="s">
        <v>54</v>
      </c>
      <c r="I2865">
        <v>27</v>
      </c>
      <c r="J2865">
        <v>0</v>
      </c>
      <c r="K2865">
        <v>0</v>
      </c>
      <c r="L2865" t="s">
        <v>693</v>
      </c>
      <c r="M2865" t="s">
        <v>2836</v>
      </c>
      <c r="N2865">
        <v>9450</v>
      </c>
      <c r="O2865">
        <v>0</v>
      </c>
      <c r="P2865" t="str">
        <f>IF(T[[#This Row],[qty_ordered]]&lt;&gt;T[[#This Row],[qty_received]],IF(T[[#This Row],[qty_received]]&gt;0,"Partial Received","Not Receviced"),"FullyReceived")</f>
        <v>Not Receviced</v>
      </c>
      <c r="Q2865" t="str">
        <f>IF(T[[#This Row],[qty_received]]&lt;&gt;T[[#This Row],[qty_invoiced]],IF(T[[#This Row],[qty_invoiced]]&gt;0,"Partial Invoiced","Not Invoiced"),"Fully Invoiced")</f>
        <v>Fully Invoiced</v>
      </c>
      <c r="R2865" t="str">
        <f>IFERROR(VLOOKUP(T[[#This Row],[warehouse]],Table2[],2,FALSE),"--")</f>
        <v>--</v>
      </c>
    </row>
    <row r="2866" spans="1:18" x14ac:dyDescent="0.25">
      <c r="A2866" t="s">
        <v>560</v>
      </c>
      <c r="B2866" s="1">
        <v>44544</v>
      </c>
      <c r="C2866" t="s">
        <v>1524</v>
      </c>
      <c r="D2866" t="s">
        <v>510</v>
      </c>
      <c r="E2866" t="s">
        <v>51</v>
      </c>
      <c r="F2866" t="s">
        <v>164</v>
      </c>
      <c r="G2866" t="s">
        <v>2853</v>
      </c>
      <c r="H2866" t="s">
        <v>54</v>
      </c>
      <c r="I2866">
        <v>18.13</v>
      </c>
      <c r="J2866">
        <v>0</v>
      </c>
      <c r="K2866">
        <v>0</v>
      </c>
      <c r="L2866" t="s">
        <v>693</v>
      </c>
      <c r="M2866" t="s">
        <v>2836</v>
      </c>
      <c r="N2866">
        <v>9450</v>
      </c>
      <c r="O2866">
        <v>0</v>
      </c>
      <c r="P2866" t="str">
        <f>IF(T[[#This Row],[qty_ordered]]&lt;&gt;T[[#This Row],[qty_received]],IF(T[[#This Row],[qty_received]]&gt;0,"Partial Received","Not Receviced"),"FullyReceived")</f>
        <v>Not Receviced</v>
      </c>
      <c r="Q2866" t="str">
        <f>IF(T[[#This Row],[qty_received]]&lt;&gt;T[[#This Row],[qty_invoiced]],IF(T[[#This Row],[qty_invoiced]]&gt;0,"Partial Invoiced","Not Invoiced"),"Fully Invoiced")</f>
        <v>Fully Invoiced</v>
      </c>
      <c r="R2866" t="str">
        <f>IFERROR(VLOOKUP(T[[#This Row],[warehouse]],Table2[],2,FALSE),"--")</f>
        <v>--</v>
      </c>
    </row>
    <row r="2867" spans="1:18" x14ac:dyDescent="0.25">
      <c r="A2867" t="s">
        <v>560</v>
      </c>
      <c r="B2867" s="1">
        <v>44544</v>
      </c>
      <c r="C2867" t="s">
        <v>1524</v>
      </c>
      <c r="D2867" t="s">
        <v>511</v>
      </c>
      <c r="E2867" t="s">
        <v>51</v>
      </c>
      <c r="F2867" t="s">
        <v>164</v>
      </c>
      <c r="G2867" t="s">
        <v>2853</v>
      </c>
      <c r="H2867" t="s">
        <v>54</v>
      </c>
      <c r="I2867">
        <v>27</v>
      </c>
      <c r="J2867">
        <v>0</v>
      </c>
      <c r="K2867">
        <v>0</v>
      </c>
      <c r="L2867" t="s">
        <v>693</v>
      </c>
      <c r="M2867" t="s">
        <v>2836</v>
      </c>
      <c r="N2867">
        <v>9450</v>
      </c>
      <c r="O2867">
        <v>0</v>
      </c>
      <c r="P2867" t="str">
        <f>IF(T[[#This Row],[qty_ordered]]&lt;&gt;T[[#This Row],[qty_received]],IF(T[[#This Row],[qty_received]]&gt;0,"Partial Received","Not Receviced"),"FullyReceived")</f>
        <v>Not Receviced</v>
      </c>
      <c r="Q2867" t="str">
        <f>IF(T[[#This Row],[qty_received]]&lt;&gt;T[[#This Row],[qty_invoiced]],IF(T[[#This Row],[qty_invoiced]]&gt;0,"Partial Invoiced","Not Invoiced"),"Fully Invoiced")</f>
        <v>Fully Invoiced</v>
      </c>
      <c r="R2867" t="str">
        <f>IFERROR(VLOOKUP(T[[#This Row],[warehouse]],Table2[],2,FALSE),"--")</f>
        <v>--</v>
      </c>
    </row>
    <row r="2868" spans="1:18" x14ac:dyDescent="0.25">
      <c r="A2868" t="s">
        <v>560</v>
      </c>
      <c r="B2868" s="1">
        <v>44544</v>
      </c>
      <c r="C2868" t="s">
        <v>1524</v>
      </c>
      <c r="D2868" t="s">
        <v>512</v>
      </c>
      <c r="E2868" t="s">
        <v>51</v>
      </c>
      <c r="F2868" t="s">
        <v>164</v>
      </c>
      <c r="G2868" t="s">
        <v>2853</v>
      </c>
      <c r="H2868" t="s">
        <v>54</v>
      </c>
      <c r="I2868">
        <v>30.75</v>
      </c>
      <c r="J2868">
        <v>0</v>
      </c>
      <c r="K2868">
        <v>0</v>
      </c>
      <c r="L2868" t="s">
        <v>693</v>
      </c>
      <c r="M2868" t="s">
        <v>2836</v>
      </c>
      <c r="N2868">
        <v>9450</v>
      </c>
      <c r="O2868">
        <v>0</v>
      </c>
      <c r="P2868" t="str">
        <f>IF(T[[#This Row],[qty_ordered]]&lt;&gt;T[[#This Row],[qty_received]],IF(T[[#This Row],[qty_received]]&gt;0,"Partial Received","Not Receviced"),"FullyReceived")</f>
        <v>Not Receviced</v>
      </c>
      <c r="Q2868" t="str">
        <f>IF(T[[#This Row],[qty_received]]&lt;&gt;T[[#This Row],[qty_invoiced]],IF(T[[#This Row],[qty_invoiced]]&gt;0,"Partial Invoiced","Not Invoiced"),"Fully Invoiced")</f>
        <v>Fully Invoiced</v>
      </c>
      <c r="R2868" t="str">
        <f>IFERROR(VLOOKUP(T[[#This Row],[warehouse]],Table2[],2,FALSE),"--")</f>
        <v>--</v>
      </c>
    </row>
    <row r="2869" spans="1:18" x14ac:dyDescent="0.25">
      <c r="A2869" t="s">
        <v>985</v>
      </c>
      <c r="B2869" s="1">
        <v>44885</v>
      </c>
      <c r="C2869" t="s">
        <v>2854</v>
      </c>
      <c r="D2869" t="s">
        <v>20</v>
      </c>
      <c r="E2869" t="s">
        <v>51</v>
      </c>
      <c r="F2869" t="s">
        <v>183</v>
      </c>
      <c r="G2869" t="s">
        <v>1991</v>
      </c>
      <c r="H2869" t="s">
        <v>54</v>
      </c>
      <c r="I2869">
        <v>250</v>
      </c>
      <c r="J2869">
        <v>0</v>
      </c>
      <c r="K2869">
        <v>1</v>
      </c>
      <c r="L2869" t="s">
        <v>693</v>
      </c>
      <c r="M2869" t="s">
        <v>2836</v>
      </c>
      <c r="N2869">
        <v>13000</v>
      </c>
      <c r="O2869">
        <v>0</v>
      </c>
      <c r="P2869" t="str">
        <f>IF(T[[#This Row],[qty_ordered]]&lt;&gt;T[[#This Row],[qty_received]],IF(T[[#This Row],[qty_received]]&gt;0,"Partial Received","Not Receviced"),"FullyReceived")</f>
        <v>Not Receviced</v>
      </c>
      <c r="Q2869" t="str">
        <f>IF(T[[#This Row],[qty_received]]&lt;&gt;T[[#This Row],[qty_invoiced]],IF(T[[#This Row],[qty_invoiced]]&gt;0,"Partial Invoiced","Not Invoiced"),"Fully Invoiced")</f>
        <v>Partial Invoiced</v>
      </c>
      <c r="R2869" t="str">
        <f>IFERROR(VLOOKUP(T[[#This Row],[warehouse]],Table2[],2,FALSE),"--")</f>
        <v>--</v>
      </c>
    </row>
    <row r="2870" spans="1:18" x14ac:dyDescent="0.25">
      <c r="A2870" t="s">
        <v>235</v>
      </c>
      <c r="B2870" s="1">
        <v>44160</v>
      </c>
      <c r="C2870" t="s">
        <v>998</v>
      </c>
      <c r="D2870" t="s">
        <v>593</v>
      </c>
      <c r="E2870" t="s">
        <v>51</v>
      </c>
      <c r="F2870" t="s">
        <v>546</v>
      </c>
      <c r="G2870" t="s">
        <v>2869</v>
      </c>
      <c r="H2870" t="s">
        <v>54</v>
      </c>
      <c r="I2870">
        <v>15000</v>
      </c>
      <c r="J2870">
        <v>0</v>
      </c>
      <c r="K2870">
        <v>1</v>
      </c>
      <c r="L2870" t="s">
        <v>25</v>
      </c>
      <c r="M2870" t="s">
        <v>2836</v>
      </c>
      <c r="N2870">
        <v>4.5</v>
      </c>
      <c r="O2870">
        <v>0</v>
      </c>
      <c r="P2870" t="str">
        <f>IF(T[[#This Row],[qty_ordered]]&lt;&gt;T[[#This Row],[qty_received]],IF(T[[#This Row],[qty_received]]&gt;0,"Partial Received","Not Receviced"),"FullyReceived")</f>
        <v>Not Receviced</v>
      </c>
      <c r="Q2870" t="str">
        <f>IF(T[[#This Row],[qty_received]]&lt;&gt;T[[#This Row],[qty_invoiced]],IF(T[[#This Row],[qty_invoiced]]&gt;0,"Partial Invoiced","Not Invoiced"),"Fully Invoiced")</f>
        <v>Partial Invoiced</v>
      </c>
      <c r="R2870" t="str">
        <f>IFERROR(VLOOKUP(T[[#This Row],[warehouse]],Table2[],2,FALSE),"--")</f>
        <v>--</v>
      </c>
    </row>
    <row r="2871" spans="1:18" x14ac:dyDescent="0.25">
      <c r="A2871" t="s">
        <v>235</v>
      </c>
      <c r="B2871" s="1">
        <v>44160</v>
      </c>
      <c r="C2871" t="s">
        <v>998</v>
      </c>
      <c r="D2871" t="s">
        <v>594</v>
      </c>
      <c r="E2871" t="s">
        <v>51</v>
      </c>
      <c r="F2871" t="s">
        <v>546</v>
      </c>
      <c r="G2871" t="s">
        <v>2870</v>
      </c>
      <c r="H2871" t="s">
        <v>54</v>
      </c>
      <c r="I2871">
        <v>5500</v>
      </c>
      <c r="J2871">
        <v>0</v>
      </c>
      <c r="K2871">
        <v>1</v>
      </c>
      <c r="L2871" t="s">
        <v>25</v>
      </c>
      <c r="M2871" t="s">
        <v>2836</v>
      </c>
      <c r="N2871">
        <v>7.4545450000000004</v>
      </c>
      <c r="O2871">
        <v>0</v>
      </c>
      <c r="P2871" t="str">
        <f>IF(T[[#This Row],[qty_ordered]]&lt;&gt;T[[#This Row],[qty_received]],IF(T[[#This Row],[qty_received]]&gt;0,"Partial Received","Not Receviced"),"FullyReceived")</f>
        <v>Not Receviced</v>
      </c>
      <c r="Q2871" t="str">
        <f>IF(T[[#This Row],[qty_received]]&lt;&gt;T[[#This Row],[qty_invoiced]],IF(T[[#This Row],[qty_invoiced]]&gt;0,"Partial Invoiced","Not Invoiced"),"Fully Invoiced")</f>
        <v>Partial Invoiced</v>
      </c>
      <c r="R2871" t="str">
        <f>IFERROR(VLOOKUP(T[[#This Row],[warehouse]],Table2[],2,FALSE),"--")</f>
        <v>--</v>
      </c>
    </row>
    <row r="2872" spans="1:18" x14ac:dyDescent="0.25">
      <c r="A2872" t="s">
        <v>235</v>
      </c>
      <c r="B2872" s="1">
        <v>44160</v>
      </c>
      <c r="C2872" t="s">
        <v>998</v>
      </c>
      <c r="D2872" t="s">
        <v>595</v>
      </c>
      <c r="E2872" t="s">
        <v>51</v>
      </c>
      <c r="F2872" t="s">
        <v>546</v>
      </c>
      <c r="G2872" t="s">
        <v>2871</v>
      </c>
      <c r="H2872" t="s">
        <v>54</v>
      </c>
      <c r="I2872">
        <v>21600</v>
      </c>
      <c r="J2872">
        <v>0</v>
      </c>
      <c r="K2872">
        <v>1</v>
      </c>
      <c r="L2872" t="s">
        <v>25</v>
      </c>
      <c r="M2872" t="s">
        <v>2836</v>
      </c>
      <c r="N2872">
        <v>11.092593000000001</v>
      </c>
      <c r="O2872">
        <v>0</v>
      </c>
      <c r="P2872" t="str">
        <f>IF(T[[#This Row],[qty_ordered]]&lt;&gt;T[[#This Row],[qty_received]],IF(T[[#This Row],[qty_received]]&gt;0,"Partial Received","Not Receviced"),"FullyReceived")</f>
        <v>Not Receviced</v>
      </c>
      <c r="Q2872" t="str">
        <f>IF(T[[#This Row],[qty_received]]&lt;&gt;T[[#This Row],[qty_invoiced]],IF(T[[#This Row],[qty_invoiced]]&gt;0,"Partial Invoiced","Not Invoiced"),"Fully Invoiced")</f>
        <v>Partial Invoiced</v>
      </c>
      <c r="R2872" t="str">
        <f>IFERROR(VLOOKUP(T[[#This Row],[warehouse]],Table2[],2,FALSE),"--")</f>
        <v>--</v>
      </c>
    </row>
    <row r="2873" spans="1:18" x14ac:dyDescent="0.25">
      <c r="A2873" t="s">
        <v>1114</v>
      </c>
      <c r="B2873" s="1">
        <v>44889</v>
      </c>
      <c r="C2873" t="s">
        <v>2882</v>
      </c>
      <c r="D2873" t="s">
        <v>20</v>
      </c>
      <c r="E2873" t="s">
        <v>1438</v>
      </c>
      <c r="F2873" t="s">
        <v>1439</v>
      </c>
      <c r="G2873" t="s">
        <v>1440</v>
      </c>
      <c r="H2873" t="s">
        <v>1087</v>
      </c>
      <c r="I2873">
        <v>560</v>
      </c>
      <c r="J2873">
        <v>0</v>
      </c>
      <c r="K2873">
        <v>0</v>
      </c>
      <c r="L2873" t="s">
        <v>693</v>
      </c>
      <c r="M2873" t="s">
        <v>707</v>
      </c>
      <c r="N2873">
        <v>45000</v>
      </c>
      <c r="O2873">
        <v>0</v>
      </c>
      <c r="P2873" t="str">
        <f>IF(T[[#This Row],[qty_ordered]]&lt;&gt;T[[#This Row],[qty_received]],IF(T[[#This Row],[qty_received]]&gt;0,"Partial Received","Not Receviced"),"FullyReceived")</f>
        <v>Not Receviced</v>
      </c>
      <c r="Q2873" t="str">
        <f>IF(T[[#This Row],[qty_received]]&lt;&gt;T[[#This Row],[qty_invoiced]],IF(T[[#This Row],[qty_invoiced]]&gt;0,"Partial Invoiced","Not Invoiced"),"Fully Invoiced")</f>
        <v>Fully Invoiced</v>
      </c>
      <c r="R2873" t="str">
        <f>IFERROR(VLOOKUP(T[[#This Row],[warehouse]],Table2[],2,FALSE),"--")</f>
        <v>Livestock Barn</v>
      </c>
    </row>
    <row r="2874" spans="1:18" x14ac:dyDescent="0.25">
      <c r="A2874" t="s">
        <v>1118</v>
      </c>
      <c r="B2874" s="1">
        <v>44889</v>
      </c>
      <c r="C2874" t="s">
        <v>2883</v>
      </c>
      <c r="D2874" t="s">
        <v>20</v>
      </c>
      <c r="E2874" t="s">
        <v>1438</v>
      </c>
      <c r="F2874" t="s">
        <v>1439</v>
      </c>
      <c r="G2874" t="s">
        <v>1440</v>
      </c>
      <c r="H2874" t="s">
        <v>1087</v>
      </c>
      <c r="I2874">
        <v>560</v>
      </c>
      <c r="J2874">
        <v>0</v>
      </c>
      <c r="K2874">
        <v>0</v>
      </c>
      <c r="L2874" t="s">
        <v>693</v>
      </c>
      <c r="M2874" t="s">
        <v>707</v>
      </c>
      <c r="N2874">
        <v>45000</v>
      </c>
      <c r="O2874">
        <v>0</v>
      </c>
      <c r="P2874" t="str">
        <f>IF(T[[#This Row],[qty_ordered]]&lt;&gt;T[[#This Row],[qty_received]],IF(T[[#This Row],[qty_received]]&gt;0,"Partial Received","Not Receviced"),"FullyReceived")</f>
        <v>Not Receviced</v>
      </c>
      <c r="Q2874" t="str">
        <f>IF(T[[#This Row],[qty_received]]&lt;&gt;T[[#This Row],[qty_invoiced]],IF(T[[#This Row],[qty_invoiced]]&gt;0,"Partial Invoiced","Not Invoiced"),"Fully Invoiced")</f>
        <v>Fully Invoiced</v>
      </c>
      <c r="R2874" t="str">
        <f>IFERROR(VLOOKUP(T[[#This Row],[warehouse]],Table2[],2,FALSE),"--")</f>
        <v>Livestock Barn</v>
      </c>
    </row>
    <row r="2875" spans="1:18" x14ac:dyDescent="0.25">
      <c r="A2875" t="s">
        <v>2377</v>
      </c>
      <c r="B2875" s="1">
        <v>44893</v>
      </c>
      <c r="C2875" t="s">
        <v>2891</v>
      </c>
      <c r="D2875" t="s">
        <v>20</v>
      </c>
      <c r="E2875" t="s">
        <v>1220</v>
      </c>
      <c r="F2875" t="s">
        <v>1802</v>
      </c>
      <c r="G2875" t="s">
        <v>1803</v>
      </c>
      <c r="H2875" t="s">
        <v>123</v>
      </c>
      <c r="I2875">
        <v>36195</v>
      </c>
      <c r="J2875">
        <v>36195</v>
      </c>
      <c r="K2875">
        <v>36195</v>
      </c>
      <c r="L2875" t="s">
        <v>693</v>
      </c>
      <c r="M2875" t="s">
        <v>707</v>
      </c>
      <c r="N2875">
        <v>19669.830000000002</v>
      </c>
      <c r="O2875">
        <v>711949496.85000002</v>
      </c>
      <c r="P2875" t="str">
        <f>IF(T[[#This Row],[qty_ordered]]&lt;&gt;T[[#This Row],[qty_received]],IF(T[[#This Row],[qty_received]]&gt;0,"Partial Received","Not Receviced"),"FullyReceived")</f>
        <v>FullyReceived</v>
      </c>
      <c r="Q2875" t="str">
        <f>IF(T[[#This Row],[qty_received]]&lt;&gt;T[[#This Row],[qty_invoiced]],IF(T[[#This Row],[qty_invoiced]]&gt;0,"Partial Invoiced","Not Invoiced"),"Fully Invoiced")</f>
        <v>Fully Invoiced</v>
      </c>
      <c r="R2875" t="str">
        <f>IFERROR(VLOOKUP(T[[#This Row],[warehouse]],Table2[],2,FALSE),"--")</f>
        <v>Import Virtual Warehouse - PZU</v>
      </c>
    </row>
    <row r="2876" spans="1:18" x14ac:dyDescent="0.25">
      <c r="A2876" t="s">
        <v>2377</v>
      </c>
      <c r="B2876" s="1">
        <v>44893</v>
      </c>
      <c r="C2876" t="s">
        <v>2891</v>
      </c>
      <c r="D2876" t="s">
        <v>71</v>
      </c>
      <c r="E2876" t="s">
        <v>1220</v>
      </c>
      <c r="F2876" t="s">
        <v>1307</v>
      </c>
      <c r="G2876" t="s">
        <v>1308</v>
      </c>
      <c r="H2876" t="s">
        <v>149</v>
      </c>
      <c r="I2876">
        <v>1000</v>
      </c>
      <c r="J2876">
        <v>1000</v>
      </c>
      <c r="K2876">
        <v>0</v>
      </c>
      <c r="L2876" t="s">
        <v>693</v>
      </c>
      <c r="M2876" t="s">
        <v>707</v>
      </c>
      <c r="N2876">
        <v>0</v>
      </c>
      <c r="O2876">
        <v>0</v>
      </c>
      <c r="P2876" t="str">
        <f>IF(T[[#This Row],[qty_ordered]]&lt;&gt;T[[#This Row],[qty_received]],IF(T[[#This Row],[qty_received]]&gt;0,"Partial Received","Not Receviced"),"FullyReceived")</f>
        <v>FullyReceived</v>
      </c>
      <c r="Q2876" t="str">
        <f>IF(T[[#This Row],[qty_received]]&lt;&gt;T[[#This Row],[qty_invoiced]],IF(T[[#This Row],[qty_invoiced]]&gt;0,"Partial Invoiced","Not Invoiced"),"Fully Invoiced")</f>
        <v>Not Invoiced</v>
      </c>
      <c r="R2876" t="str">
        <f>IFERROR(VLOOKUP(T[[#This Row],[warehouse]],Table2[],2,FALSE),"--")</f>
        <v>Import Virtual Warehouse - PZU</v>
      </c>
    </row>
    <row r="2877" spans="1:18" x14ac:dyDescent="0.25">
      <c r="A2877" t="s">
        <v>201</v>
      </c>
      <c r="B2877" s="1">
        <v>44894</v>
      </c>
      <c r="C2877" t="s">
        <v>2892</v>
      </c>
      <c r="D2877" t="s">
        <v>20</v>
      </c>
      <c r="E2877" t="s">
        <v>1220</v>
      </c>
      <c r="F2877" t="s">
        <v>2893</v>
      </c>
      <c r="G2877" t="s">
        <v>2894</v>
      </c>
      <c r="H2877" t="s">
        <v>711</v>
      </c>
      <c r="I2877">
        <v>25000</v>
      </c>
      <c r="J2877">
        <v>25000</v>
      </c>
      <c r="K2877">
        <v>25000</v>
      </c>
      <c r="L2877" t="s">
        <v>693</v>
      </c>
      <c r="M2877" t="s">
        <v>1485</v>
      </c>
      <c r="N2877">
        <v>12327.14296096</v>
      </c>
      <c r="O2877">
        <v>307885908.86879998</v>
      </c>
      <c r="P2877" t="str">
        <f>IF(T[[#This Row],[qty_ordered]]&lt;&gt;T[[#This Row],[qty_received]],IF(T[[#This Row],[qty_received]]&gt;0,"Partial Received","Not Receviced"),"FullyReceived")</f>
        <v>FullyReceived</v>
      </c>
      <c r="Q2877" t="str">
        <f>IF(T[[#This Row],[qty_received]]&lt;&gt;T[[#This Row],[qty_invoiced]],IF(T[[#This Row],[qty_invoiced]]&gt;0,"Partial Invoiced","Not Invoiced"),"Fully Invoiced")</f>
        <v>Fully Invoiced</v>
      </c>
      <c r="R2877" t="str">
        <f>IFERROR(VLOOKUP(T[[#This Row],[warehouse]],Table2[],2,FALSE),"--")</f>
        <v>Import Virtual Warehouse - PZU</v>
      </c>
    </row>
    <row r="2878" spans="1:18" x14ac:dyDescent="0.25">
      <c r="A2878" t="s">
        <v>201</v>
      </c>
      <c r="B2878" s="1">
        <v>44894</v>
      </c>
      <c r="C2878" t="s">
        <v>2892</v>
      </c>
      <c r="D2878" t="s">
        <v>71</v>
      </c>
      <c r="E2878" t="s">
        <v>1220</v>
      </c>
      <c r="F2878" t="s">
        <v>2895</v>
      </c>
      <c r="G2878" t="s">
        <v>2896</v>
      </c>
      <c r="H2878" t="s">
        <v>711</v>
      </c>
      <c r="I2878">
        <v>25000</v>
      </c>
      <c r="J2878">
        <v>25000</v>
      </c>
      <c r="K2878">
        <v>25000</v>
      </c>
      <c r="L2878" t="s">
        <v>693</v>
      </c>
      <c r="M2878" t="s">
        <v>1485</v>
      </c>
      <c r="N2878">
        <v>12327.14296096</v>
      </c>
      <c r="O2878">
        <v>307726273.32959998</v>
      </c>
      <c r="P2878" t="str">
        <f>IF(T[[#This Row],[qty_ordered]]&lt;&gt;T[[#This Row],[qty_received]],IF(T[[#This Row],[qty_received]]&gt;0,"Partial Received","Not Receviced"),"FullyReceived")</f>
        <v>FullyReceived</v>
      </c>
      <c r="Q2878" t="str">
        <f>IF(T[[#This Row],[qty_received]]&lt;&gt;T[[#This Row],[qty_invoiced]],IF(T[[#This Row],[qty_invoiced]]&gt;0,"Partial Invoiced","Not Invoiced"),"Fully Invoiced")</f>
        <v>Fully Invoiced</v>
      </c>
      <c r="R2878" t="str">
        <f>IFERROR(VLOOKUP(T[[#This Row],[warehouse]],Table2[],2,FALSE),"--")</f>
        <v>Import Virtual Warehouse - PZU</v>
      </c>
    </row>
    <row r="2879" spans="1:18" x14ac:dyDescent="0.25">
      <c r="A2879" t="s">
        <v>955</v>
      </c>
      <c r="B2879" s="1">
        <v>44894</v>
      </c>
      <c r="C2879" t="s">
        <v>2897</v>
      </c>
      <c r="D2879" t="s">
        <v>20</v>
      </c>
      <c r="E2879" t="s">
        <v>629</v>
      </c>
      <c r="F2879" t="s">
        <v>287</v>
      </c>
      <c r="G2879" t="s">
        <v>288</v>
      </c>
      <c r="H2879" t="s">
        <v>24</v>
      </c>
      <c r="I2879">
        <v>574.01</v>
      </c>
      <c r="J2879">
        <v>574.01</v>
      </c>
      <c r="K2879">
        <v>574.01</v>
      </c>
      <c r="L2879" t="s">
        <v>693</v>
      </c>
      <c r="M2879" t="s">
        <v>707</v>
      </c>
      <c r="N2879">
        <v>536672.62969600002</v>
      </c>
      <c r="O2879">
        <v>308055456.17180097</v>
      </c>
      <c r="P2879" t="str">
        <f>IF(T[[#This Row],[qty_ordered]]&lt;&gt;T[[#This Row],[qty_received]],IF(T[[#This Row],[qty_received]]&gt;0,"Partial Received","Not Receviced"),"FullyReceived")</f>
        <v>FullyReceived</v>
      </c>
      <c r="Q2879" t="str">
        <f>IF(T[[#This Row],[qty_received]]&lt;&gt;T[[#This Row],[qty_invoiced]],IF(T[[#This Row],[qty_invoiced]]&gt;0,"Partial Invoiced","Not Invoiced"),"Fully Invoiced")</f>
        <v>Fully Invoiced</v>
      </c>
      <c r="R2879" t="str">
        <f>IFERROR(VLOOKUP(T[[#This Row],[warehouse]],Table2[],2,FALSE),"--")</f>
        <v>SOPC Sifting &amp; Sorting</v>
      </c>
    </row>
    <row r="2880" spans="1:18" x14ac:dyDescent="0.25">
      <c r="A2880" t="s">
        <v>84</v>
      </c>
      <c r="B2880" s="1">
        <v>44894</v>
      </c>
      <c r="C2880" t="s">
        <v>2898</v>
      </c>
      <c r="D2880" t="s">
        <v>20</v>
      </c>
      <c r="E2880" t="s">
        <v>908</v>
      </c>
      <c r="F2880" t="s">
        <v>108</v>
      </c>
      <c r="G2880" t="s">
        <v>109</v>
      </c>
      <c r="H2880" t="s">
        <v>24</v>
      </c>
      <c r="I2880">
        <v>443</v>
      </c>
      <c r="J2880">
        <v>0</v>
      </c>
      <c r="K2880">
        <v>0</v>
      </c>
      <c r="L2880" t="s">
        <v>693</v>
      </c>
      <c r="M2880" t="s">
        <v>1485</v>
      </c>
      <c r="N2880">
        <v>677200.90293500002</v>
      </c>
      <c r="O2880">
        <v>0</v>
      </c>
      <c r="P2880" t="str">
        <f>IF(T[[#This Row],[qty_ordered]]&lt;&gt;T[[#This Row],[qty_received]],IF(T[[#This Row],[qty_received]]&gt;0,"Partial Received","Not Receviced"),"FullyReceived")</f>
        <v>Not Receviced</v>
      </c>
      <c r="Q2880" t="str">
        <f>IF(T[[#This Row],[qty_received]]&lt;&gt;T[[#This Row],[qty_invoiced]],IF(T[[#This Row],[qty_invoiced]]&gt;0,"Partial Invoiced","Not Invoiced"),"Fully Invoiced")</f>
        <v>Fully Invoiced</v>
      </c>
      <c r="R2880" t="str">
        <f>IFERROR(VLOOKUP(T[[#This Row],[warehouse]],Table2[],2,FALSE),"--")</f>
        <v>SIFTER- ALNAZER-OMDU</v>
      </c>
    </row>
    <row r="2881" spans="1:18" x14ac:dyDescent="0.25">
      <c r="A2881" t="s">
        <v>228</v>
      </c>
      <c r="B2881" s="1">
        <v>44894</v>
      </c>
      <c r="C2881" t="s">
        <v>2899</v>
      </c>
      <c r="D2881" t="s">
        <v>20</v>
      </c>
      <c r="E2881" t="s">
        <v>239</v>
      </c>
      <c r="F2881" t="s">
        <v>230</v>
      </c>
      <c r="G2881" t="s">
        <v>231</v>
      </c>
      <c r="H2881" t="s">
        <v>24</v>
      </c>
      <c r="I2881">
        <v>260</v>
      </c>
      <c r="J2881">
        <v>0</v>
      </c>
      <c r="K2881">
        <v>0</v>
      </c>
      <c r="L2881" t="s">
        <v>693</v>
      </c>
      <c r="M2881" t="s">
        <v>1485</v>
      </c>
      <c r="N2881">
        <v>769230.76922999998</v>
      </c>
      <c r="O2881">
        <v>0</v>
      </c>
      <c r="P2881" t="str">
        <f>IF(T[[#This Row],[qty_ordered]]&lt;&gt;T[[#This Row],[qty_received]],IF(T[[#This Row],[qty_received]]&gt;0,"Partial Received","Not Receviced"),"FullyReceived")</f>
        <v>Not Receviced</v>
      </c>
      <c r="Q2881" t="str">
        <f>IF(T[[#This Row],[qty_received]]&lt;&gt;T[[#This Row],[qty_invoiced]],IF(T[[#This Row],[qty_invoiced]]&gt;0,"Partial Invoiced","Not Invoiced"),"Fully Invoiced")</f>
        <v>Fully Invoiced</v>
      </c>
      <c r="R2881" t="str">
        <f>IFERROR(VLOOKUP(T[[#This Row],[warehouse]],Table2[],2,FALSE),"--")</f>
        <v xml:space="preserve">Gadarif Main Store </v>
      </c>
    </row>
    <row r="2882" spans="1:18" x14ac:dyDescent="0.25">
      <c r="A2882" t="s">
        <v>973</v>
      </c>
      <c r="B2882" s="1">
        <v>44895</v>
      </c>
      <c r="C2882" t="s">
        <v>2900</v>
      </c>
      <c r="D2882" t="s">
        <v>20</v>
      </c>
      <c r="E2882" t="s">
        <v>281</v>
      </c>
      <c r="F2882" t="s">
        <v>526</v>
      </c>
      <c r="G2882" t="s">
        <v>472</v>
      </c>
      <c r="H2882" t="s">
        <v>123</v>
      </c>
      <c r="I2882">
        <v>9800</v>
      </c>
      <c r="J2882">
        <v>9800</v>
      </c>
      <c r="K2882">
        <v>9800</v>
      </c>
      <c r="L2882" t="s">
        <v>693</v>
      </c>
      <c r="M2882" t="s">
        <v>707</v>
      </c>
      <c r="N2882">
        <v>30448.979592</v>
      </c>
      <c r="O2882">
        <v>298400000.00160003</v>
      </c>
      <c r="P2882" t="str">
        <f>IF(T[[#This Row],[qty_ordered]]&lt;&gt;T[[#This Row],[qty_received]],IF(T[[#This Row],[qty_received]]&gt;0,"Partial Received","Not Receviced"),"FullyReceived")</f>
        <v>FullyReceived</v>
      </c>
      <c r="Q2882" t="str">
        <f>IF(T[[#This Row],[qty_received]]&lt;&gt;T[[#This Row],[qty_invoiced]],IF(T[[#This Row],[qty_invoiced]]&gt;0,"Partial Invoiced","Not Invoiced"),"Fully Invoiced")</f>
        <v>Fully Invoiced</v>
      </c>
      <c r="R2882" t="str">
        <f>IFERROR(VLOOKUP(T[[#This Row],[warehouse]],Table2[],2,FALSE),"--")</f>
        <v>Crusher Alm Eldin-KH</v>
      </c>
    </row>
    <row r="2883" spans="1:18" x14ac:dyDescent="0.25">
      <c r="A2883" t="s">
        <v>1413</v>
      </c>
      <c r="B2883" s="1">
        <v>44871</v>
      </c>
      <c r="C2883" t="s">
        <v>2578</v>
      </c>
      <c r="D2883" t="s">
        <v>100</v>
      </c>
      <c r="E2883" t="s">
        <v>2857</v>
      </c>
      <c r="F2883" t="s">
        <v>406</v>
      </c>
      <c r="G2883" t="s">
        <v>407</v>
      </c>
      <c r="H2883" t="s">
        <v>24</v>
      </c>
      <c r="I2883">
        <v>796.25</v>
      </c>
      <c r="J2883">
        <v>0</v>
      </c>
      <c r="K2883">
        <v>0</v>
      </c>
      <c r="L2883" t="s">
        <v>693</v>
      </c>
      <c r="M2883" t="s">
        <v>707</v>
      </c>
      <c r="N2883">
        <v>313971.74254299997</v>
      </c>
      <c r="O2883">
        <v>0</v>
      </c>
      <c r="P2883" t="str">
        <f>IF(T[[#This Row],[qty_ordered]]&lt;&gt;T[[#This Row],[qty_received]],IF(T[[#This Row],[qty_received]]&gt;0,"Partial Received","Not Receviced"),"FullyReceived")</f>
        <v>Not Receviced</v>
      </c>
      <c r="Q2883" t="str">
        <f>IF(T[[#This Row],[qty_received]]&lt;&gt;T[[#This Row],[qty_invoiced]],IF(T[[#This Row],[qty_invoiced]]&gt;0,"Partial Invoiced","Not Invoiced"),"Fully Invoiced")</f>
        <v>Fully Invoiced</v>
      </c>
      <c r="R2883" t="str">
        <f>IFERROR(VLOOKUP(T[[#This Row],[warehouse]],Table2[],2,FALSE),"--")</f>
        <v>Alfager Ginning</v>
      </c>
    </row>
    <row r="2884" spans="1:18" x14ac:dyDescent="0.25">
      <c r="A2884" t="s">
        <v>423</v>
      </c>
      <c r="B2884" s="1">
        <v>44546</v>
      </c>
      <c r="C2884" t="s">
        <v>1498</v>
      </c>
      <c r="D2884" t="s">
        <v>76</v>
      </c>
      <c r="E2884" t="s">
        <v>51</v>
      </c>
      <c r="F2884" t="s">
        <v>546</v>
      </c>
      <c r="G2884" t="s">
        <v>1956</v>
      </c>
      <c r="H2884" t="s">
        <v>54</v>
      </c>
      <c r="I2884">
        <v>5000</v>
      </c>
      <c r="J2884">
        <v>0</v>
      </c>
      <c r="K2884">
        <v>1</v>
      </c>
      <c r="L2884" t="s">
        <v>693</v>
      </c>
      <c r="M2884" t="s">
        <v>2836</v>
      </c>
      <c r="N2884">
        <v>16.5</v>
      </c>
      <c r="O2884">
        <v>0</v>
      </c>
      <c r="P2884" t="str">
        <f>IF(T[[#This Row],[qty_ordered]]&lt;&gt;T[[#This Row],[qty_received]],IF(T[[#This Row],[qty_received]]&gt;0,"Partial Received","Not Receviced"),"FullyReceived")</f>
        <v>Not Receviced</v>
      </c>
      <c r="Q2884" t="str">
        <f>IF(T[[#This Row],[qty_received]]&lt;&gt;T[[#This Row],[qty_invoiced]],IF(T[[#This Row],[qty_invoiced]]&gt;0,"Partial Invoiced","Not Invoiced"),"Fully Invoiced")</f>
        <v>Partial Invoiced</v>
      </c>
      <c r="R2884" t="str">
        <f>IFERROR(VLOOKUP(T[[#This Row],[warehouse]],Table2[],2,FALSE),"--")</f>
        <v>--</v>
      </c>
    </row>
    <row r="2885" spans="1:18" x14ac:dyDescent="0.25">
      <c r="A2885" t="s">
        <v>423</v>
      </c>
      <c r="B2885" s="1">
        <v>44546</v>
      </c>
      <c r="C2885" t="s">
        <v>1502</v>
      </c>
      <c r="D2885" t="s">
        <v>694</v>
      </c>
      <c r="E2885" t="s">
        <v>51</v>
      </c>
      <c r="F2885" t="s">
        <v>546</v>
      </c>
      <c r="G2885" t="s">
        <v>2872</v>
      </c>
      <c r="H2885" t="s">
        <v>54</v>
      </c>
      <c r="I2885">
        <v>10000</v>
      </c>
      <c r="J2885">
        <v>0</v>
      </c>
      <c r="K2885">
        <v>0</v>
      </c>
      <c r="L2885" t="s">
        <v>693</v>
      </c>
      <c r="M2885" t="s">
        <v>2836</v>
      </c>
      <c r="N2885">
        <v>16.5</v>
      </c>
      <c r="O2885">
        <v>0</v>
      </c>
      <c r="P2885" t="str">
        <f>IF(T[[#This Row],[qty_ordered]]&lt;&gt;T[[#This Row],[qty_received]],IF(T[[#This Row],[qty_received]]&gt;0,"Partial Received","Not Receviced"),"FullyReceived")</f>
        <v>Not Receviced</v>
      </c>
      <c r="Q2885" t="str">
        <f>IF(T[[#This Row],[qty_received]]&lt;&gt;T[[#This Row],[qty_invoiced]],IF(T[[#This Row],[qty_invoiced]]&gt;0,"Partial Invoiced","Not Invoiced"),"Fully Invoiced")</f>
        <v>Fully Invoiced</v>
      </c>
      <c r="R2885" t="str">
        <f>IFERROR(VLOOKUP(T[[#This Row],[warehouse]],Table2[],2,FALSE),"--")</f>
        <v>--</v>
      </c>
    </row>
    <row r="2886" spans="1:18" x14ac:dyDescent="0.25">
      <c r="A2886" t="s">
        <v>423</v>
      </c>
      <c r="B2886" s="1">
        <v>44649</v>
      </c>
      <c r="C2886" t="s">
        <v>1571</v>
      </c>
      <c r="D2886" t="s">
        <v>74</v>
      </c>
      <c r="E2886" t="s">
        <v>51</v>
      </c>
      <c r="F2886" t="s">
        <v>2873</v>
      </c>
      <c r="G2886" t="s">
        <v>2874</v>
      </c>
      <c r="H2886" t="s">
        <v>54</v>
      </c>
      <c r="I2886">
        <v>1200</v>
      </c>
      <c r="J2886">
        <v>0</v>
      </c>
      <c r="K2886">
        <v>1</v>
      </c>
      <c r="L2886" t="s">
        <v>693</v>
      </c>
      <c r="M2886" t="s">
        <v>2836</v>
      </c>
      <c r="N2886">
        <v>15</v>
      </c>
      <c r="O2886">
        <v>0</v>
      </c>
      <c r="P2886" t="str">
        <f>IF(T[[#This Row],[qty_ordered]]&lt;&gt;T[[#This Row],[qty_received]],IF(T[[#This Row],[qty_received]]&gt;0,"Partial Received","Not Receviced"),"FullyReceived")</f>
        <v>Not Receviced</v>
      </c>
      <c r="Q2886" t="str">
        <f>IF(T[[#This Row],[qty_received]]&lt;&gt;T[[#This Row],[qty_invoiced]],IF(T[[#This Row],[qty_invoiced]]&gt;0,"Partial Invoiced","Not Invoiced"),"Fully Invoiced")</f>
        <v>Partial Invoiced</v>
      </c>
      <c r="R2886" t="str">
        <f>IFERROR(VLOOKUP(T[[#This Row],[warehouse]],Table2[],2,FALSE),"--")</f>
        <v>--</v>
      </c>
    </row>
    <row r="2887" spans="1:18" x14ac:dyDescent="0.25">
      <c r="A2887" t="s">
        <v>423</v>
      </c>
      <c r="B2887" s="1">
        <v>44649</v>
      </c>
      <c r="C2887" t="s">
        <v>1571</v>
      </c>
      <c r="D2887" t="s">
        <v>76</v>
      </c>
      <c r="E2887" t="s">
        <v>51</v>
      </c>
      <c r="F2887" t="s">
        <v>2873</v>
      </c>
      <c r="G2887" t="s">
        <v>2875</v>
      </c>
      <c r="H2887" t="s">
        <v>54</v>
      </c>
      <c r="I2887">
        <v>900</v>
      </c>
      <c r="J2887">
        <v>0</v>
      </c>
      <c r="K2887">
        <v>1</v>
      </c>
      <c r="L2887" t="s">
        <v>693</v>
      </c>
      <c r="M2887" t="s">
        <v>2836</v>
      </c>
      <c r="N2887">
        <v>15</v>
      </c>
      <c r="O2887">
        <v>0</v>
      </c>
      <c r="P2887" t="str">
        <f>IF(T[[#This Row],[qty_ordered]]&lt;&gt;T[[#This Row],[qty_received]],IF(T[[#This Row],[qty_received]]&gt;0,"Partial Received","Not Receviced"),"FullyReceived")</f>
        <v>Not Receviced</v>
      </c>
      <c r="Q2887" t="str">
        <f>IF(T[[#This Row],[qty_received]]&lt;&gt;T[[#This Row],[qty_invoiced]],IF(T[[#This Row],[qty_invoiced]]&gt;0,"Partial Invoiced","Not Invoiced"),"Fully Invoiced")</f>
        <v>Partial Invoiced</v>
      </c>
      <c r="R2887" t="str">
        <f>IFERROR(VLOOKUP(T[[#This Row],[warehouse]],Table2[],2,FALSE),"--")</f>
        <v>--</v>
      </c>
    </row>
    <row r="2888" spans="1:18" x14ac:dyDescent="0.25">
      <c r="A2888" t="s">
        <v>1413</v>
      </c>
      <c r="B2888" s="1">
        <v>44871</v>
      </c>
      <c r="C2888" t="s">
        <v>2578</v>
      </c>
      <c r="D2888" t="s">
        <v>71</v>
      </c>
      <c r="E2888" t="s">
        <v>2857</v>
      </c>
      <c r="F2888" t="s">
        <v>406</v>
      </c>
      <c r="G2888" t="s">
        <v>407</v>
      </c>
      <c r="H2888" t="s">
        <v>24</v>
      </c>
      <c r="I2888">
        <v>831.64</v>
      </c>
      <c r="J2888">
        <v>831.64</v>
      </c>
      <c r="K2888">
        <v>503.23599999999999</v>
      </c>
      <c r="L2888" t="s">
        <v>693</v>
      </c>
      <c r="M2888" t="s">
        <v>707</v>
      </c>
      <c r="N2888">
        <v>346057.2</v>
      </c>
      <c r="O2888">
        <v>261618592.91999999</v>
      </c>
      <c r="P2888" t="str">
        <f>IF(T[[#This Row],[qty_ordered]]&lt;&gt;T[[#This Row],[qty_received]],IF(T[[#This Row],[qty_received]]&gt;0,"Partial Received","Not Receviced"),"FullyReceived")</f>
        <v>FullyReceived</v>
      </c>
      <c r="Q2888" t="str">
        <f>IF(T[[#This Row],[qty_received]]&lt;&gt;T[[#This Row],[qty_invoiced]],IF(T[[#This Row],[qty_invoiced]]&gt;0,"Partial Invoiced","Not Invoiced"),"Fully Invoiced")</f>
        <v>Partial Invoiced</v>
      </c>
      <c r="R2888" t="str">
        <f>IFERROR(VLOOKUP(T[[#This Row],[warehouse]],Table2[],2,FALSE),"--")</f>
        <v>Alfager Ginning</v>
      </c>
    </row>
    <row r="2889" spans="1:18" x14ac:dyDescent="0.25">
      <c r="A2889" t="s">
        <v>423</v>
      </c>
      <c r="B2889" s="1">
        <v>44886</v>
      </c>
      <c r="C2889" t="s">
        <v>2879</v>
      </c>
      <c r="D2889" t="s">
        <v>20</v>
      </c>
      <c r="E2889" t="s">
        <v>51</v>
      </c>
      <c r="F2889" t="s">
        <v>546</v>
      </c>
      <c r="G2889" t="s">
        <v>1499</v>
      </c>
      <c r="H2889" t="s">
        <v>54</v>
      </c>
      <c r="I2889">
        <v>5000</v>
      </c>
      <c r="J2889">
        <v>0</v>
      </c>
      <c r="K2889">
        <v>1</v>
      </c>
      <c r="L2889" t="s">
        <v>693</v>
      </c>
      <c r="M2889" t="s">
        <v>2836</v>
      </c>
      <c r="N2889">
        <v>16.5</v>
      </c>
      <c r="O2889">
        <v>0</v>
      </c>
      <c r="P2889" t="str">
        <f>IF(T[[#This Row],[qty_ordered]]&lt;&gt;T[[#This Row],[qty_received]],IF(T[[#This Row],[qty_received]]&gt;0,"Partial Received","Not Receviced"),"FullyReceived")</f>
        <v>Not Receviced</v>
      </c>
      <c r="Q2889" t="str">
        <f>IF(T[[#This Row],[qty_received]]&lt;&gt;T[[#This Row],[qty_invoiced]],IF(T[[#This Row],[qty_invoiced]]&gt;0,"Partial Invoiced","Not Invoiced"),"Fully Invoiced")</f>
        <v>Partial Invoiced</v>
      </c>
      <c r="R2889" t="str">
        <f>IFERROR(VLOOKUP(T[[#This Row],[warehouse]],Table2[],2,FALSE),"--")</f>
        <v>--</v>
      </c>
    </row>
    <row r="2890" spans="1:18" x14ac:dyDescent="0.25">
      <c r="A2890" t="s">
        <v>423</v>
      </c>
      <c r="B2890" s="1">
        <v>44886</v>
      </c>
      <c r="C2890" t="s">
        <v>2879</v>
      </c>
      <c r="D2890" t="s">
        <v>71</v>
      </c>
      <c r="E2890" t="s">
        <v>51</v>
      </c>
      <c r="F2890" t="s">
        <v>546</v>
      </c>
      <c r="G2890" t="s">
        <v>2333</v>
      </c>
      <c r="H2890" t="s">
        <v>54</v>
      </c>
      <c r="I2890">
        <v>10000</v>
      </c>
      <c r="J2890">
        <v>0</v>
      </c>
      <c r="K2890">
        <v>1</v>
      </c>
      <c r="L2890" t="s">
        <v>693</v>
      </c>
      <c r="M2890" t="s">
        <v>2836</v>
      </c>
      <c r="N2890">
        <v>24</v>
      </c>
      <c r="O2890">
        <v>0</v>
      </c>
      <c r="P2890" t="str">
        <f>IF(T[[#This Row],[qty_ordered]]&lt;&gt;T[[#This Row],[qty_received]],IF(T[[#This Row],[qty_received]]&gt;0,"Partial Received","Not Receviced"),"FullyReceived")</f>
        <v>Not Receviced</v>
      </c>
      <c r="Q2890" t="str">
        <f>IF(T[[#This Row],[qty_received]]&lt;&gt;T[[#This Row],[qty_invoiced]],IF(T[[#This Row],[qty_invoiced]]&gt;0,"Partial Invoiced","Not Invoiced"),"Fully Invoiced")</f>
        <v>Partial Invoiced</v>
      </c>
      <c r="R2890" t="str">
        <f>IFERROR(VLOOKUP(T[[#This Row],[warehouse]],Table2[],2,FALSE),"--")</f>
        <v>--</v>
      </c>
    </row>
    <row r="2891" spans="1:18" x14ac:dyDescent="0.25">
      <c r="A2891" t="s">
        <v>1059</v>
      </c>
      <c r="B2891" s="1">
        <v>44761</v>
      </c>
      <c r="C2891" t="s">
        <v>1783</v>
      </c>
      <c r="D2891" t="s">
        <v>1879</v>
      </c>
      <c r="E2891" t="s">
        <v>51</v>
      </c>
      <c r="F2891" t="s">
        <v>933</v>
      </c>
      <c r="G2891" t="s">
        <v>2884</v>
      </c>
      <c r="H2891" t="s">
        <v>54</v>
      </c>
      <c r="I2891">
        <v>50</v>
      </c>
      <c r="J2891">
        <v>0</v>
      </c>
      <c r="K2891">
        <v>1</v>
      </c>
      <c r="L2891" t="s">
        <v>693</v>
      </c>
      <c r="M2891" t="s">
        <v>2836</v>
      </c>
      <c r="N2891">
        <v>2400</v>
      </c>
      <c r="O2891">
        <v>0</v>
      </c>
      <c r="P2891" t="str">
        <f>IF(T[[#This Row],[qty_ordered]]&lt;&gt;T[[#This Row],[qty_received]],IF(T[[#This Row],[qty_received]]&gt;0,"Partial Received","Not Receviced"),"FullyReceived")</f>
        <v>Not Receviced</v>
      </c>
      <c r="Q2891" t="str">
        <f>IF(T[[#This Row],[qty_received]]&lt;&gt;T[[#This Row],[qty_invoiced]],IF(T[[#This Row],[qty_invoiced]]&gt;0,"Partial Invoiced","Not Invoiced"),"Fully Invoiced")</f>
        <v>Partial Invoiced</v>
      </c>
      <c r="R2891" t="str">
        <f>IFERROR(VLOOKUP(T[[#This Row],[warehouse]],Table2[],2,FALSE),"--")</f>
        <v>--</v>
      </c>
    </row>
    <row r="2892" spans="1:18" x14ac:dyDescent="0.25">
      <c r="A2892" t="s">
        <v>1059</v>
      </c>
      <c r="B2892" s="1">
        <v>44761</v>
      </c>
      <c r="C2892" t="s">
        <v>1783</v>
      </c>
      <c r="D2892" t="s">
        <v>1880</v>
      </c>
      <c r="E2892" t="s">
        <v>51</v>
      </c>
      <c r="F2892" t="s">
        <v>433</v>
      </c>
      <c r="G2892" t="s">
        <v>2885</v>
      </c>
      <c r="H2892" t="s">
        <v>54</v>
      </c>
      <c r="I2892">
        <v>1</v>
      </c>
      <c r="J2892">
        <v>0</v>
      </c>
      <c r="K2892">
        <v>1</v>
      </c>
      <c r="L2892" t="s">
        <v>693</v>
      </c>
      <c r="M2892" t="s">
        <v>2836</v>
      </c>
      <c r="N2892">
        <v>4000</v>
      </c>
      <c r="O2892">
        <v>0</v>
      </c>
      <c r="P2892" t="str">
        <f>IF(T[[#This Row],[qty_ordered]]&lt;&gt;T[[#This Row],[qty_received]],IF(T[[#This Row],[qty_received]]&gt;0,"Partial Received","Not Receviced"),"FullyReceived")</f>
        <v>Not Receviced</v>
      </c>
      <c r="Q2892" t="str">
        <f>IF(T[[#This Row],[qty_received]]&lt;&gt;T[[#This Row],[qty_invoiced]],IF(T[[#This Row],[qty_invoiced]]&gt;0,"Partial Invoiced","Not Invoiced"),"Fully Invoiced")</f>
        <v>Partial Invoiced</v>
      </c>
      <c r="R2892" t="str">
        <f>IFERROR(VLOOKUP(T[[#This Row],[warehouse]],Table2[],2,FALSE),"--")</f>
        <v>--</v>
      </c>
    </row>
    <row r="2893" spans="1:18" x14ac:dyDescent="0.25">
      <c r="A2893" t="s">
        <v>1059</v>
      </c>
      <c r="B2893" s="1">
        <v>44761</v>
      </c>
      <c r="C2893" t="s">
        <v>1783</v>
      </c>
      <c r="D2893" t="s">
        <v>1881</v>
      </c>
      <c r="E2893" t="s">
        <v>51</v>
      </c>
      <c r="F2893" t="s">
        <v>933</v>
      </c>
      <c r="G2893" t="s">
        <v>2886</v>
      </c>
      <c r="H2893" t="s">
        <v>54</v>
      </c>
      <c r="I2893">
        <v>1</v>
      </c>
      <c r="J2893">
        <v>0</v>
      </c>
      <c r="K2893">
        <v>1</v>
      </c>
      <c r="L2893" t="s">
        <v>693</v>
      </c>
      <c r="M2893" t="s">
        <v>2836</v>
      </c>
      <c r="N2893">
        <v>10000</v>
      </c>
      <c r="O2893">
        <v>0</v>
      </c>
      <c r="P2893" t="str">
        <f>IF(T[[#This Row],[qty_ordered]]&lt;&gt;T[[#This Row],[qty_received]],IF(T[[#This Row],[qty_received]]&gt;0,"Partial Received","Not Receviced"),"FullyReceived")</f>
        <v>Not Receviced</v>
      </c>
      <c r="Q2893" t="str">
        <f>IF(T[[#This Row],[qty_received]]&lt;&gt;T[[#This Row],[qty_invoiced]],IF(T[[#This Row],[qty_invoiced]]&gt;0,"Partial Invoiced","Not Invoiced"),"Fully Invoiced")</f>
        <v>Partial Invoiced</v>
      </c>
      <c r="R2893" t="str">
        <f>IFERROR(VLOOKUP(T[[#This Row],[warehouse]],Table2[],2,FALSE),"--")</f>
        <v>--</v>
      </c>
    </row>
    <row r="2894" spans="1:18" x14ac:dyDescent="0.25">
      <c r="A2894" t="s">
        <v>1059</v>
      </c>
      <c r="B2894" s="1">
        <v>44761</v>
      </c>
      <c r="C2894" t="s">
        <v>1783</v>
      </c>
      <c r="D2894" t="s">
        <v>1351</v>
      </c>
      <c r="E2894" t="s">
        <v>51</v>
      </c>
      <c r="F2894" t="s">
        <v>384</v>
      </c>
      <c r="G2894" t="s">
        <v>2887</v>
      </c>
      <c r="H2894" t="s">
        <v>54</v>
      </c>
      <c r="I2894">
        <v>24</v>
      </c>
      <c r="J2894">
        <v>0</v>
      </c>
      <c r="K2894">
        <v>1</v>
      </c>
      <c r="L2894" t="s">
        <v>693</v>
      </c>
      <c r="M2894" t="s">
        <v>2836</v>
      </c>
      <c r="N2894">
        <v>83.333332999999996</v>
      </c>
      <c r="O2894">
        <v>0</v>
      </c>
      <c r="P2894" t="str">
        <f>IF(T[[#This Row],[qty_ordered]]&lt;&gt;T[[#This Row],[qty_received]],IF(T[[#This Row],[qty_received]]&gt;0,"Partial Received","Not Receviced"),"FullyReceived")</f>
        <v>Not Receviced</v>
      </c>
      <c r="Q2894" t="str">
        <f>IF(T[[#This Row],[qty_received]]&lt;&gt;T[[#This Row],[qty_invoiced]],IF(T[[#This Row],[qty_invoiced]]&gt;0,"Partial Invoiced","Not Invoiced"),"Fully Invoiced")</f>
        <v>Partial Invoiced</v>
      </c>
      <c r="R2894" t="str">
        <f>IFERROR(VLOOKUP(T[[#This Row],[warehouse]],Table2[],2,FALSE),"--")</f>
        <v>--</v>
      </c>
    </row>
    <row r="2895" spans="1:18" x14ac:dyDescent="0.25">
      <c r="A2895" t="s">
        <v>1059</v>
      </c>
      <c r="B2895" s="1">
        <v>44761</v>
      </c>
      <c r="C2895" t="s">
        <v>1783</v>
      </c>
      <c r="D2895" t="s">
        <v>1353</v>
      </c>
      <c r="E2895" t="s">
        <v>51</v>
      </c>
      <c r="F2895" t="s">
        <v>254</v>
      </c>
      <c r="G2895" t="s">
        <v>2888</v>
      </c>
      <c r="H2895" t="s">
        <v>54</v>
      </c>
      <c r="I2895">
        <v>20056</v>
      </c>
      <c r="J2895">
        <v>0</v>
      </c>
      <c r="K2895">
        <v>1</v>
      </c>
      <c r="L2895" t="s">
        <v>693</v>
      </c>
      <c r="M2895" t="s">
        <v>2836</v>
      </c>
      <c r="N2895">
        <v>0.93737599999999999</v>
      </c>
      <c r="O2895">
        <v>0</v>
      </c>
      <c r="P2895" t="str">
        <f>IF(T[[#This Row],[qty_ordered]]&lt;&gt;T[[#This Row],[qty_received]],IF(T[[#This Row],[qty_received]]&gt;0,"Partial Received","Not Receviced"),"FullyReceived")</f>
        <v>Not Receviced</v>
      </c>
      <c r="Q2895" t="str">
        <f>IF(T[[#This Row],[qty_received]]&lt;&gt;T[[#This Row],[qty_invoiced]],IF(T[[#This Row],[qty_invoiced]]&gt;0,"Partial Invoiced","Not Invoiced"),"Fully Invoiced")</f>
        <v>Partial Invoiced</v>
      </c>
      <c r="R2895" t="str">
        <f>IFERROR(VLOOKUP(T[[#This Row],[warehouse]],Table2[],2,FALSE),"--")</f>
        <v>--</v>
      </c>
    </row>
    <row r="2896" spans="1:18" x14ac:dyDescent="0.25">
      <c r="A2896" t="s">
        <v>2411</v>
      </c>
      <c r="B2896" s="1">
        <v>44887</v>
      </c>
      <c r="C2896" t="s">
        <v>2880</v>
      </c>
      <c r="D2896" t="s">
        <v>20</v>
      </c>
      <c r="E2896" t="s">
        <v>51</v>
      </c>
      <c r="F2896" t="s">
        <v>52</v>
      </c>
      <c r="G2896" t="s">
        <v>2881</v>
      </c>
      <c r="H2896" t="s">
        <v>54</v>
      </c>
      <c r="I2896">
        <v>1</v>
      </c>
      <c r="J2896">
        <v>0</v>
      </c>
      <c r="K2896">
        <v>0</v>
      </c>
      <c r="L2896" t="s">
        <v>693</v>
      </c>
      <c r="M2896" t="s">
        <v>1485</v>
      </c>
      <c r="N2896">
        <v>2876000</v>
      </c>
      <c r="O2896">
        <v>0</v>
      </c>
      <c r="P2896" t="str">
        <f>IF(T[[#This Row],[qty_ordered]]&lt;&gt;T[[#This Row],[qty_received]],IF(T[[#This Row],[qty_received]]&gt;0,"Partial Received","Not Receviced"),"FullyReceived")</f>
        <v>Not Receviced</v>
      </c>
      <c r="Q2896" t="str">
        <f>IF(T[[#This Row],[qty_received]]&lt;&gt;T[[#This Row],[qty_invoiced]],IF(T[[#This Row],[qty_invoiced]]&gt;0,"Partial Invoiced","Not Invoiced"),"Fully Invoiced")</f>
        <v>Fully Invoiced</v>
      </c>
      <c r="R2896" t="str">
        <f>IFERROR(VLOOKUP(T[[#This Row],[warehouse]],Table2[],2,FALSE),"--")</f>
        <v>--</v>
      </c>
    </row>
    <row r="2897" spans="1:18" x14ac:dyDescent="0.25">
      <c r="A2897" t="s">
        <v>1059</v>
      </c>
      <c r="B2897" s="1">
        <v>44761</v>
      </c>
      <c r="C2897" t="s">
        <v>1783</v>
      </c>
      <c r="D2897" t="s">
        <v>1354</v>
      </c>
      <c r="E2897" t="s">
        <v>51</v>
      </c>
      <c r="F2897" t="s">
        <v>254</v>
      </c>
      <c r="G2897" t="s">
        <v>2889</v>
      </c>
      <c r="H2897" t="s">
        <v>54</v>
      </c>
      <c r="I2897">
        <v>24</v>
      </c>
      <c r="J2897">
        <v>0</v>
      </c>
      <c r="K2897">
        <v>1</v>
      </c>
      <c r="L2897" t="s">
        <v>693</v>
      </c>
      <c r="M2897" t="s">
        <v>2836</v>
      </c>
      <c r="N2897">
        <v>708.33333300000004</v>
      </c>
      <c r="O2897">
        <v>0</v>
      </c>
      <c r="P2897" t="str">
        <f>IF(T[[#This Row],[qty_ordered]]&lt;&gt;T[[#This Row],[qty_received]],IF(T[[#This Row],[qty_received]]&gt;0,"Partial Received","Not Receviced"),"FullyReceived")</f>
        <v>Not Receviced</v>
      </c>
      <c r="Q2897" t="str">
        <f>IF(T[[#This Row],[qty_received]]&lt;&gt;T[[#This Row],[qty_invoiced]],IF(T[[#This Row],[qty_invoiced]]&gt;0,"Partial Invoiced","Not Invoiced"),"Fully Invoiced")</f>
        <v>Partial Invoiced</v>
      </c>
      <c r="R2897" t="str">
        <f>IFERROR(VLOOKUP(T[[#This Row],[warehouse]],Table2[],2,FALSE),"--")</f>
        <v>--</v>
      </c>
    </row>
    <row r="2898" spans="1:18" x14ac:dyDescent="0.25">
      <c r="A2898" t="s">
        <v>201</v>
      </c>
      <c r="B2898" s="1">
        <v>44889</v>
      </c>
      <c r="C2898" t="s">
        <v>2890</v>
      </c>
      <c r="D2898" t="s">
        <v>20</v>
      </c>
      <c r="E2898" t="s">
        <v>1220</v>
      </c>
      <c r="F2898" t="s">
        <v>1802</v>
      </c>
      <c r="G2898" t="s">
        <v>1803</v>
      </c>
      <c r="H2898" t="s">
        <v>123</v>
      </c>
      <c r="I2898">
        <v>163805</v>
      </c>
      <c r="J2898">
        <v>163805</v>
      </c>
      <c r="K2898">
        <v>163805</v>
      </c>
      <c r="L2898" t="s">
        <v>693</v>
      </c>
      <c r="M2898" t="s">
        <v>707</v>
      </c>
      <c r="N2898">
        <v>19723.584557999999</v>
      </c>
      <c r="O2898">
        <v>3230821768.52319</v>
      </c>
      <c r="P2898" t="str">
        <f>IF(T[[#This Row],[qty_ordered]]&lt;&gt;T[[#This Row],[qty_received]],IF(T[[#This Row],[qty_received]]&gt;0,"Partial Received","Not Receviced"),"FullyReceived")</f>
        <v>FullyReceived</v>
      </c>
      <c r="Q2898" t="str">
        <f>IF(T[[#This Row],[qty_received]]&lt;&gt;T[[#This Row],[qty_invoiced]],IF(T[[#This Row],[qty_invoiced]]&gt;0,"Partial Invoiced","Not Invoiced"),"Fully Invoiced")</f>
        <v>Fully Invoiced</v>
      </c>
      <c r="R2898" t="str">
        <f>IFERROR(VLOOKUP(T[[#This Row],[warehouse]],Table2[],2,FALSE),"--")</f>
        <v>Import Virtual Warehouse - PZU</v>
      </c>
    </row>
    <row r="2899" spans="1:18" x14ac:dyDescent="0.25">
      <c r="A2899" t="s">
        <v>201</v>
      </c>
      <c r="B2899" s="1">
        <v>44889</v>
      </c>
      <c r="C2899" t="s">
        <v>2890</v>
      </c>
      <c r="D2899" t="s">
        <v>71</v>
      </c>
      <c r="E2899" t="s">
        <v>1220</v>
      </c>
      <c r="F2899" t="s">
        <v>1307</v>
      </c>
      <c r="G2899" t="s">
        <v>1308</v>
      </c>
      <c r="H2899" t="s">
        <v>149</v>
      </c>
      <c r="I2899">
        <v>1000</v>
      </c>
      <c r="J2899">
        <v>1000</v>
      </c>
      <c r="K2899">
        <v>0</v>
      </c>
      <c r="L2899" t="s">
        <v>693</v>
      </c>
      <c r="M2899" t="s">
        <v>707</v>
      </c>
      <c r="N2899">
        <v>0</v>
      </c>
      <c r="O2899">
        <v>0</v>
      </c>
      <c r="P2899" t="str">
        <f>IF(T[[#This Row],[qty_ordered]]&lt;&gt;T[[#This Row],[qty_received]],IF(T[[#This Row],[qty_received]]&gt;0,"Partial Received","Not Receviced"),"FullyReceived")</f>
        <v>FullyReceived</v>
      </c>
      <c r="Q2899" t="str">
        <f>IF(T[[#This Row],[qty_received]]&lt;&gt;T[[#This Row],[qty_invoiced]],IF(T[[#This Row],[qty_invoiced]]&gt;0,"Partial Invoiced","Not Invoiced"),"Fully Invoiced")</f>
        <v>Not Invoiced</v>
      </c>
      <c r="R2899" t="str">
        <f>IFERROR(VLOOKUP(T[[#This Row],[warehouse]],Table2[],2,FALSE),"--")</f>
        <v>Import Virtual Warehouse - PZU</v>
      </c>
    </row>
    <row r="2900" spans="1:18" x14ac:dyDescent="0.25">
      <c r="A2900" t="s">
        <v>2548</v>
      </c>
      <c r="B2900" s="1">
        <v>44895</v>
      </c>
      <c r="C2900" t="s">
        <v>2901</v>
      </c>
      <c r="D2900" t="s">
        <v>20</v>
      </c>
      <c r="E2900" t="s">
        <v>51</v>
      </c>
      <c r="F2900" t="s">
        <v>52</v>
      </c>
      <c r="G2900" t="s">
        <v>53</v>
      </c>
      <c r="H2900" t="s">
        <v>54</v>
      </c>
      <c r="I2900">
        <v>1</v>
      </c>
      <c r="J2900">
        <v>0</v>
      </c>
      <c r="K2900">
        <v>1</v>
      </c>
      <c r="L2900" t="s">
        <v>693</v>
      </c>
      <c r="M2900" t="s">
        <v>1485</v>
      </c>
      <c r="N2900">
        <v>935000</v>
      </c>
      <c r="O2900">
        <v>0</v>
      </c>
      <c r="P2900" t="str">
        <f>IF(T[[#This Row],[qty_ordered]]&lt;&gt;T[[#This Row],[qty_received]],IF(T[[#This Row],[qty_received]]&gt;0,"Partial Received","Not Receviced"),"FullyReceived")</f>
        <v>Not Receviced</v>
      </c>
      <c r="Q2900" t="str">
        <f>IF(T[[#This Row],[qty_received]]&lt;&gt;T[[#This Row],[qty_invoiced]],IF(T[[#This Row],[qty_invoiced]]&gt;0,"Partial Invoiced","Not Invoiced"),"Fully Invoiced")</f>
        <v>Partial Invoiced</v>
      </c>
      <c r="R2900" t="str">
        <f>IFERROR(VLOOKUP(T[[#This Row],[warehouse]],Table2[],2,FALSE),"--")</f>
        <v>--</v>
      </c>
    </row>
    <row r="2901" spans="1:18" x14ac:dyDescent="0.25">
      <c r="A2901" t="s">
        <v>423</v>
      </c>
      <c r="B2901" s="1">
        <v>44899</v>
      </c>
      <c r="C2901" t="s">
        <v>2904</v>
      </c>
      <c r="D2901" t="s">
        <v>20</v>
      </c>
      <c r="E2901" t="s">
        <v>146</v>
      </c>
      <c r="F2901" t="s">
        <v>943</v>
      </c>
      <c r="G2901" t="s">
        <v>944</v>
      </c>
      <c r="H2901" t="s">
        <v>149</v>
      </c>
      <c r="I2901">
        <v>250000</v>
      </c>
      <c r="J2901">
        <v>15000</v>
      </c>
      <c r="K2901">
        <v>0</v>
      </c>
      <c r="L2901" t="s">
        <v>693</v>
      </c>
      <c r="M2901" t="s">
        <v>1404</v>
      </c>
      <c r="N2901">
        <v>290</v>
      </c>
      <c r="O2901">
        <v>4350000</v>
      </c>
      <c r="P2901" t="str">
        <f>IF(T[[#This Row],[qty_ordered]]&lt;&gt;T[[#This Row],[qty_received]],IF(T[[#This Row],[qty_received]]&gt;0,"Partial Received","Not Receviced"),"FullyReceived")</f>
        <v>Partial Received</v>
      </c>
      <c r="Q2901" t="str">
        <f>IF(T[[#This Row],[qty_received]]&lt;&gt;T[[#This Row],[qty_invoiced]],IF(T[[#This Row],[qty_invoiced]]&gt;0,"Partial Invoiced","Not Invoiced"),"Fully Invoiced")</f>
        <v>Not Invoiced</v>
      </c>
      <c r="R2901" t="str">
        <f>IFERROR(VLOOKUP(T[[#This Row],[warehouse]],Table2[],2,FALSE),"--")</f>
        <v>Khtoum Main Warehouse</v>
      </c>
    </row>
    <row r="2902" spans="1:18" x14ac:dyDescent="0.25">
      <c r="A2902" t="s">
        <v>1170</v>
      </c>
      <c r="B2902" s="1">
        <v>44878</v>
      </c>
      <c r="C2902" t="s">
        <v>2585</v>
      </c>
      <c r="D2902" t="s">
        <v>71</v>
      </c>
      <c r="E2902" t="s">
        <v>2915</v>
      </c>
      <c r="F2902" t="s">
        <v>406</v>
      </c>
      <c r="G2902" t="s">
        <v>407</v>
      </c>
      <c r="H2902" t="s">
        <v>24</v>
      </c>
      <c r="I2902">
        <v>796</v>
      </c>
      <c r="J2902">
        <v>746.09</v>
      </c>
      <c r="K2902">
        <v>746.09</v>
      </c>
      <c r="L2902" t="s">
        <v>693</v>
      </c>
      <c r="M2902" t="s">
        <v>707</v>
      </c>
      <c r="N2902">
        <v>314070.35175899998</v>
      </c>
      <c r="O2902">
        <v>234324748.74387199</v>
      </c>
      <c r="P2902" t="str">
        <f>IF(T[[#This Row],[qty_ordered]]&lt;&gt;T[[#This Row],[qty_received]],IF(T[[#This Row],[qty_received]]&gt;0,"Partial Received","Not Receviced"),"FullyReceived")</f>
        <v>Partial Received</v>
      </c>
      <c r="Q2902" t="str">
        <f>IF(T[[#This Row],[qty_received]]&lt;&gt;T[[#This Row],[qty_invoiced]],IF(T[[#This Row],[qty_invoiced]]&gt;0,"Partial Invoiced","Not Invoiced"),"Fully Invoiced")</f>
        <v>Fully Invoiced</v>
      </c>
      <c r="R2902" t="str">
        <f>IFERROR(VLOOKUP(T[[#This Row],[warehouse]],Table2[],2,FALSE),"--")</f>
        <v xml:space="preserve">MSG Ginning New Halfa </v>
      </c>
    </row>
    <row r="2903" spans="1:18" x14ac:dyDescent="0.25">
      <c r="A2903" t="s">
        <v>2304</v>
      </c>
      <c r="B2903" s="1">
        <v>44901</v>
      </c>
      <c r="C2903" t="s">
        <v>2918</v>
      </c>
      <c r="D2903" t="s">
        <v>20</v>
      </c>
      <c r="E2903" t="s">
        <v>51</v>
      </c>
      <c r="F2903" t="s">
        <v>164</v>
      </c>
      <c r="G2903" t="s">
        <v>2919</v>
      </c>
      <c r="H2903" t="s">
        <v>54</v>
      </c>
      <c r="I2903">
        <v>382.49</v>
      </c>
      <c r="J2903">
        <v>0</v>
      </c>
      <c r="K2903">
        <v>0</v>
      </c>
      <c r="L2903" t="s">
        <v>693</v>
      </c>
      <c r="M2903" t="s">
        <v>2836</v>
      </c>
      <c r="N2903">
        <v>200</v>
      </c>
      <c r="O2903">
        <v>0</v>
      </c>
      <c r="P2903" t="str">
        <f>IF(T[[#This Row],[qty_ordered]]&lt;&gt;T[[#This Row],[qty_received]],IF(T[[#This Row],[qty_received]]&gt;0,"Partial Received","Not Receviced"),"FullyReceived")</f>
        <v>Not Receviced</v>
      </c>
      <c r="Q2903" t="str">
        <f>IF(T[[#This Row],[qty_received]]&lt;&gt;T[[#This Row],[qty_invoiced]],IF(T[[#This Row],[qty_invoiced]]&gt;0,"Partial Invoiced","Not Invoiced"),"Fully Invoiced")</f>
        <v>Fully Invoiced</v>
      </c>
      <c r="R2903" t="str">
        <f>IFERROR(VLOOKUP(T[[#This Row],[warehouse]],Table2[],2,FALSE),"--")</f>
        <v>--</v>
      </c>
    </row>
    <row r="2904" spans="1:18" x14ac:dyDescent="0.25">
      <c r="A2904" t="s">
        <v>560</v>
      </c>
      <c r="B2904" s="1">
        <v>44885</v>
      </c>
      <c r="C2904" t="s">
        <v>2841</v>
      </c>
      <c r="D2904" t="s">
        <v>71</v>
      </c>
      <c r="E2904" t="s">
        <v>51</v>
      </c>
      <c r="F2904" t="s">
        <v>2842</v>
      </c>
      <c r="G2904" t="s">
        <v>2930</v>
      </c>
      <c r="H2904" t="s">
        <v>54</v>
      </c>
      <c r="I2904">
        <v>29.13</v>
      </c>
      <c r="J2904">
        <v>0</v>
      </c>
      <c r="K2904">
        <v>1</v>
      </c>
      <c r="L2904" t="s">
        <v>693</v>
      </c>
      <c r="M2904" t="s">
        <v>2836</v>
      </c>
      <c r="N2904">
        <v>9450</v>
      </c>
      <c r="O2904">
        <v>0</v>
      </c>
      <c r="P2904" t="str">
        <f>IF(T[[#This Row],[qty_ordered]]&lt;&gt;T[[#This Row],[qty_received]],IF(T[[#This Row],[qty_received]]&gt;0,"Partial Received","Not Receviced"),"FullyReceived")</f>
        <v>Not Receviced</v>
      </c>
      <c r="Q2904" t="str">
        <f>IF(T[[#This Row],[qty_received]]&lt;&gt;T[[#This Row],[qty_invoiced]],IF(T[[#This Row],[qty_invoiced]]&gt;0,"Partial Invoiced","Not Invoiced"),"Fully Invoiced")</f>
        <v>Partial Invoiced</v>
      </c>
      <c r="R2904" t="str">
        <f>IFERROR(VLOOKUP(T[[#This Row],[warehouse]],Table2[],2,FALSE),"--")</f>
        <v>--</v>
      </c>
    </row>
    <row r="2905" spans="1:18" x14ac:dyDescent="0.25">
      <c r="A2905" t="s">
        <v>560</v>
      </c>
      <c r="B2905" s="1">
        <v>44885</v>
      </c>
      <c r="C2905" t="s">
        <v>2841</v>
      </c>
      <c r="D2905" t="s">
        <v>100</v>
      </c>
      <c r="E2905" t="s">
        <v>51</v>
      </c>
      <c r="F2905" t="s">
        <v>2842</v>
      </c>
      <c r="G2905" t="s">
        <v>2930</v>
      </c>
      <c r="H2905" t="s">
        <v>54</v>
      </c>
      <c r="I2905">
        <v>32.630000000000003</v>
      </c>
      <c r="J2905">
        <v>0</v>
      </c>
      <c r="K2905">
        <v>1</v>
      </c>
      <c r="L2905" t="s">
        <v>693</v>
      </c>
      <c r="M2905" t="s">
        <v>2836</v>
      </c>
      <c r="N2905">
        <v>9450</v>
      </c>
      <c r="O2905">
        <v>0</v>
      </c>
      <c r="P2905" t="str">
        <f>IF(T[[#This Row],[qty_ordered]]&lt;&gt;T[[#This Row],[qty_received]],IF(T[[#This Row],[qty_received]]&gt;0,"Partial Received","Not Receviced"),"FullyReceived")</f>
        <v>Not Receviced</v>
      </c>
      <c r="Q2905" t="str">
        <f>IF(T[[#This Row],[qty_received]]&lt;&gt;T[[#This Row],[qty_invoiced]],IF(T[[#This Row],[qty_invoiced]]&gt;0,"Partial Invoiced","Not Invoiced"),"Fully Invoiced")</f>
        <v>Partial Invoiced</v>
      </c>
      <c r="R2905" t="str">
        <f>IFERROR(VLOOKUP(T[[#This Row],[warehouse]],Table2[],2,FALSE),"--")</f>
        <v>--</v>
      </c>
    </row>
    <row r="2906" spans="1:18" x14ac:dyDescent="0.25">
      <c r="A2906" t="s">
        <v>560</v>
      </c>
      <c r="B2906" s="1">
        <v>44885</v>
      </c>
      <c r="C2906" t="s">
        <v>2841</v>
      </c>
      <c r="D2906" t="s">
        <v>88</v>
      </c>
      <c r="E2906" t="s">
        <v>51</v>
      </c>
      <c r="F2906" t="s">
        <v>2842</v>
      </c>
      <c r="G2906" t="s">
        <v>2930</v>
      </c>
      <c r="H2906" t="s">
        <v>54</v>
      </c>
      <c r="I2906">
        <v>31.75</v>
      </c>
      <c r="J2906">
        <v>0</v>
      </c>
      <c r="K2906">
        <v>1</v>
      </c>
      <c r="L2906" t="s">
        <v>693</v>
      </c>
      <c r="M2906" t="s">
        <v>2836</v>
      </c>
      <c r="N2906">
        <v>9450</v>
      </c>
      <c r="O2906">
        <v>0</v>
      </c>
      <c r="P2906" t="str">
        <f>IF(T[[#This Row],[qty_ordered]]&lt;&gt;T[[#This Row],[qty_received]],IF(T[[#This Row],[qty_received]]&gt;0,"Partial Received","Not Receviced"),"FullyReceived")</f>
        <v>Not Receviced</v>
      </c>
      <c r="Q2906" t="str">
        <f>IF(T[[#This Row],[qty_received]]&lt;&gt;T[[#This Row],[qty_invoiced]],IF(T[[#This Row],[qty_invoiced]]&gt;0,"Partial Invoiced","Not Invoiced"),"Fully Invoiced")</f>
        <v>Partial Invoiced</v>
      </c>
      <c r="R2906" t="str">
        <f>IFERROR(VLOOKUP(T[[#This Row],[warehouse]],Table2[],2,FALSE),"--")</f>
        <v>--</v>
      </c>
    </row>
    <row r="2907" spans="1:18" x14ac:dyDescent="0.25">
      <c r="A2907" t="s">
        <v>560</v>
      </c>
      <c r="B2907" s="1">
        <v>44885</v>
      </c>
      <c r="C2907" t="s">
        <v>2841</v>
      </c>
      <c r="D2907" t="s">
        <v>74</v>
      </c>
      <c r="E2907" t="s">
        <v>51</v>
      </c>
      <c r="F2907" t="s">
        <v>2842</v>
      </c>
      <c r="G2907" t="s">
        <v>2930</v>
      </c>
      <c r="H2907" t="s">
        <v>54</v>
      </c>
      <c r="I2907">
        <v>26.75</v>
      </c>
      <c r="J2907">
        <v>0</v>
      </c>
      <c r="K2907">
        <v>1</v>
      </c>
      <c r="L2907" t="s">
        <v>693</v>
      </c>
      <c r="M2907" t="s">
        <v>2836</v>
      </c>
      <c r="N2907">
        <v>9450</v>
      </c>
      <c r="O2907">
        <v>0</v>
      </c>
      <c r="P2907" t="str">
        <f>IF(T[[#This Row],[qty_ordered]]&lt;&gt;T[[#This Row],[qty_received]],IF(T[[#This Row],[qty_received]]&gt;0,"Partial Received","Not Receviced"),"FullyReceived")</f>
        <v>Not Receviced</v>
      </c>
      <c r="Q2907" t="str">
        <f>IF(T[[#This Row],[qty_received]]&lt;&gt;T[[#This Row],[qty_invoiced]],IF(T[[#This Row],[qty_invoiced]]&gt;0,"Partial Invoiced","Not Invoiced"),"Fully Invoiced")</f>
        <v>Partial Invoiced</v>
      </c>
      <c r="R2907" t="str">
        <f>IFERROR(VLOOKUP(T[[#This Row],[warehouse]],Table2[],2,FALSE),"--")</f>
        <v>--</v>
      </c>
    </row>
    <row r="2908" spans="1:18" x14ac:dyDescent="0.25">
      <c r="A2908" t="s">
        <v>955</v>
      </c>
      <c r="B2908" s="1">
        <v>44907</v>
      </c>
      <c r="C2908" t="s">
        <v>2946</v>
      </c>
      <c r="D2908" t="s">
        <v>71</v>
      </c>
      <c r="E2908" t="s">
        <v>629</v>
      </c>
      <c r="F2908" t="s">
        <v>287</v>
      </c>
      <c r="G2908" t="s">
        <v>288</v>
      </c>
      <c r="H2908" t="s">
        <v>24</v>
      </c>
      <c r="I2908">
        <v>1353.9649999999999</v>
      </c>
      <c r="J2908">
        <v>0</v>
      </c>
      <c r="K2908">
        <v>0</v>
      </c>
      <c r="L2908" t="s">
        <v>693</v>
      </c>
      <c r="M2908" t="s">
        <v>707</v>
      </c>
      <c r="N2908">
        <v>517000.07016399998</v>
      </c>
      <c r="O2908">
        <v>0</v>
      </c>
      <c r="P2908" t="str">
        <f>IF(T[[#This Row],[qty_ordered]]&lt;&gt;T[[#This Row],[qty_received]],IF(T[[#This Row],[qty_received]]&gt;0,"Partial Received","Not Receviced"),"FullyReceived")</f>
        <v>Not Receviced</v>
      </c>
      <c r="Q2908" t="str">
        <f>IF(T[[#This Row],[qty_received]]&lt;&gt;T[[#This Row],[qty_invoiced]],IF(T[[#This Row],[qty_invoiced]]&gt;0,"Partial Invoiced","Not Invoiced"),"Fully Invoiced")</f>
        <v>Fully Invoiced</v>
      </c>
      <c r="R2908" t="str">
        <f>IFERROR(VLOOKUP(T[[#This Row],[warehouse]],Table2[],2,FALSE),"--")</f>
        <v>SOPC Sifting &amp; Sorting</v>
      </c>
    </row>
    <row r="2909" spans="1:18" x14ac:dyDescent="0.25">
      <c r="A2909" t="s">
        <v>84</v>
      </c>
      <c r="B2909" s="1">
        <v>44878</v>
      </c>
      <c r="C2909" t="s">
        <v>2588</v>
      </c>
      <c r="D2909" t="s">
        <v>71</v>
      </c>
      <c r="E2909" t="s">
        <v>214</v>
      </c>
      <c r="F2909" t="s">
        <v>167</v>
      </c>
      <c r="G2909" t="s">
        <v>156</v>
      </c>
      <c r="H2909" t="s">
        <v>24</v>
      </c>
      <c r="I2909">
        <v>1500</v>
      </c>
      <c r="J2909">
        <v>0</v>
      </c>
      <c r="K2909">
        <v>0</v>
      </c>
      <c r="L2909" t="s">
        <v>693</v>
      </c>
      <c r="M2909" t="s">
        <v>1485</v>
      </c>
      <c r="N2909">
        <v>1090800</v>
      </c>
      <c r="O2909">
        <v>0</v>
      </c>
      <c r="P2909" t="str">
        <f>IF(T[[#This Row],[qty_ordered]]&lt;&gt;T[[#This Row],[qty_received]],IF(T[[#This Row],[qty_received]]&gt;0,"Partial Received","Not Receviced"),"FullyReceived")</f>
        <v>Not Receviced</v>
      </c>
      <c r="Q2909" t="str">
        <f>IF(T[[#This Row],[qty_received]]&lt;&gt;T[[#This Row],[qty_invoiced]],IF(T[[#This Row],[qty_invoiced]]&gt;0,"Partial Invoiced","Not Invoiced"),"Fully Invoiced")</f>
        <v>Fully Invoiced</v>
      </c>
      <c r="R2909" t="str">
        <f>IFERROR(VLOOKUP(T[[#This Row],[warehouse]],Table2[],2,FALSE),"--")</f>
        <v>CRUSHER ELBALOLA</v>
      </c>
    </row>
    <row r="2910" spans="1:18" x14ac:dyDescent="0.25">
      <c r="A2910" t="s">
        <v>2411</v>
      </c>
      <c r="B2910" s="1">
        <v>44917</v>
      </c>
      <c r="C2910" t="s">
        <v>2973</v>
      </c>
      <c r="D2910" t="s">
        <v>20</v>
      </c>
      <c r="E2910" t="s">
        <v>51</v>
      </c>
      <c r="F2910" t="s">
        <v>52</v>
      </c>
      <c r="G2910" t="s">
        <v>2974</v>
      </c>
      <c r="H2910" t="s">
        <v>54</v>
      </c>
      <c r="I2910">
        <v>1</v>
      </c>
      <c r="J2910">
        <v>0</v>
      </c>
      <c r="K2910">
        <v>0</v>
      </c>
      <c r="L2910" t="s">
        <v>693</v>
      </c>
      <c r="M2910" t="s">
        <v>1485</v>
      </c>
      <c r="N2910">
        <v>25371920</v>
      </c>
      <c r="O2910">
        <v>0</v>
      </c>
      <c r="P2910" t="str">
        <f>IF(T[[#This Row],[qty_ordered]]&lt;&gt;T[[#This Row],[qty_received]],IF(T[[#This Row],[qty_received]]&gt;0,"Partial Received","Not Receviced"),"FullyReceived")</f>
        <v>Not Receviced</v>
      </c>
      <c r="Q2910" t="str">
        <f>IF(T[[#This Row],[qty_received]]&lt;&gt;T[[#This Row],[qty_invoiced]],IF(T[[#This Row],[qty_invoiced]]&gt;0,"Partial Invoiced","Not Invoiced"),"Fully Invoiced")</f>
        <v>Fully Invoiced</v>
      </c>
      <c r="R2910" t="str">
        <f>IFERROR(VLOOKUP(T[[#This Row],[warehouse]],Table2[],2,FALSE),"--")</f>
        <v>--</v>
      </c>
    </row>
    <row r="2911" spans="1:18" x14ac:dyDescent="0.25">
      <c r="A2911" t="s">
        <v>955</v>
      </c>
      <c r="B2911" s="1">
        <v>44921</v>
      </c>
      <c r="C2911" t="s">
        <v>2976</v>
      </c>
      <c r="D2911" t="s">
        <v>20</v>
      </c>
      <c r="E2911" t="s">
        <v>3033</v>
      </c>
      <c r="F2911" t="s">
        <v>2069</v>
      </c>
      <c r="G2911" t="s">
        <v>2070</v>
      </c>
      <c r="H2911" t="s">
        <v>24</v>
      </c>
      <c r="I2911">
        <v>500</v>
      </c>
      <c r="J2911">
        <v>413.52</v>
      </c>
      <c r="K2911">
        <v>413.52</v>
      </c>
      <c r="L2911" t="s">
        <v>693</v>
      </c>
      <c r="M2911" t="s">
        <v>707</v>
      </c>
      <c r="N2911">
        <v>433875</v>
      </c>
      <c r="O2911">
        <v>179415990</v>
      </c>
      <c r="P2911" t="str">
        <f>IF(T[[#This Row],[qty_ordered]]&lt;&gt;T[[#This Row],[qty_received]],IF(T[[#This Row],[qty_received]]&gt;0,"Partial Received","Not Receviced"),"FullyReceived")</f>
        <v>Partial Received</v>
      </c>
      <c r="Q2911" t="str">
        <f>IF(T[[#This Row],[qty_received]]&lt;&gt;T[[#This Row],[qty_invoiced]],IF(T[[#This Row],[qty_invoiced]]&gt;0,"Partial Invoiced","Not Invoiced"),"Fully Invoiced")</f>
        <v>Fully Invoiced</v>
      </c>
      <c r="R2911" t="str">
        <f>IFERROR(VLOOKUP(T[[#This Row],[warehouse]],Table2[],2,FALSE),"--")</f>
        <v>--</v>
      </c>
    </row>
    <row r="2912" spans="1:18" x14ac:dyDescent="0.25">
      <c r="A2912" t="s">
        <v>423</v>
      </c>
      <c r="B2912" s="1">
        <v>44922</v>
      </c>
      <c r="C2912" t="s">
        <v>2980</v>
      </c>
      <c r="D2912" t="s">
        <v>20</v>
      </c>
      <c r="E2912" t="s">
        <v>146</v>
      </c>
      <c r="F2912" t="s">
        <v>2981</v>
      </c>
      <c r="G2912" t="s">
        <v>2982</v>
      </c>
      <c r="H2912" t="s">
        <v>149</v>
      </c>
      <c r="I2912">
        <v>50000</v>
      </c>
      <c r="J2912">
        <v>27000</v>
      </c>
      <c r="K2912">
        <v>0</v>
      </c>
      <c r="L2912" t="s">
        <v>693</v>
      </c>
      <c r="M2912" t="s">
        <v>1223</v>
      </c>
      <c r="N2912">
        <v>290</v>
      </c>
      <c r="O2912">
        <v>7830000</v>
      </c>
      <c r="P2912" t="str">
        <f>IF(T[[#This Row],[qty_ordered]]&lt;&gt;T[[#This Row],[qty_received]],IF(T[[#This Row],[qty_received]]&gt;0,"Partial Received","Not Receviced"),"FullyReceived")</f>
        <v>Partial Received</v>
      </c>
      <c r="Q2912" t="str">
        <f>IF(T[[#This Row],[qty_received]]&lt;&gt;T[[#This Row],[qty_invoiced]],IF(T[[#This Row],[qty_invoiced]]&gt;0,"Partial Invoiced","Not Invoiced"),"Fully Invoiced")</f>
        <v>Not Invoiced</v>
      </c>
      <c r="R2912" t="str">
        <f>IFERROR(VLOOKUP(T[[#This Row],[warehouse]],Table2[],2,FALSE),"--")</f>
        <v>Khtoum Main Warehouse</v>
      </c>
    </row>
    <row r="2913" spans="1:18" x14ac:dyDescent="0.25">
      <c r="A2913" t="s">
        <v>1975</v>
      </c>
      <c r="B2913" s="1">
        <v>44923</v>
      </c>
      <c r="C2913" t="s">
        <v>2983</v>
      </c>
      <c r="D2913" t="s">
        <v>20</v>
      </c>
      <c r="E2913" t="s">
        <v>3034</v>
      </c>
      <c r="F2913" t="s">
        <v>2069</v>
      </c>
      <c r="G2913" t="s">
        <v>2070</v>
      </c>
      <c r="H2913" t="s">
        <v>24</v>
      </c>
      <c r="I2913">
        <v>354</v>
      </c>
      <c r="J2913">
        <v>134.36000000000001</v>
      </c>
      <c r="K2913">
        <v>134.36099999999999</v>
      </c>
      <c r="L2913" t="s">
        <v>693</v>
      </c>
      <c r="M2913" t="s">
        <v>707</v>
      </c>
      <c r="N2913">
        <v>480225.98869999999</v>
      </c>
      <c r="O2913">
        <v>64523163.841732003</v>
      </c>
      <c r="P2913" t="str">
        <f>IF(T[[#This Row],[qty_ordered]]&lt;&gt;T[[#This Row],[qty_received]],IF(T[[#This Row],[qty_received]]&gt;0,"Partial Received","Not Receviced"),"FullyReceived")</f>
        <v>Partial Received</v>
      </c>
      <c r="Q2913" t="str">
        <f>IF(T[[#This Row],[qty_received]]&lt;&gt;T[[#This Row],[qty_invoiced]],IF(T[[#This Row],[qty_invoiced]]&gt;0,"Partial Invoiced","Not Invoiced"),"Fully Invoiced")</f>
        <v>Partial Invoiced</v>
      </c>
      <c r="R2913" t="str">
        <f>IFERROR(VLOOKUP(T[[#This Row],[warehouse]],Table2[],2,FALSE),"--")</f>
        <v>--</v>
      </c>
    </row>
    <row r="2914" spans="1:18" x14ac:dyDescent="0.25">
      <c r="A2914" t="s">
        <v>201</v>
      </c>
      <c r="B2914" s="1">
        <v>44923</v>
      </c>
      <c r="C2914" t="s">
        <v>2985</v>
      </c>
      <c r="D2914" t="s">
        <v>20</v>
      </c>
      <c r="E2914" t="s">
        <v>1220</v>
      </c>
      <c r="F2914" t="s">
        <v>1221</v>
      </c>
      <c r="G2914" t="s">
        <v>1634</v>
      </c>
      <c r="H2914" t="s">
        <v>123</v>
      </c>
      <c r="I2914">
        <v>655000</v>
      </c>
      <c r="J2914">
        <v>655000</v>
      </c>
      <c r="K2914">
        <v>655000</v>
      </c>
      <c r="L2914" t="s">
        <v>693</v>
      </c>
      <c r="M2914" t="s">
        <v>707</v>
      </c>
      <c r="N2914">
        <v>17532.110519999998</v>
      </c>
      <c r="O2914">
        <v>11483532390.6</v>
      </c>
      <c r="P2914" t="str">
        <f>IF(T[[#This Row],[qty_ordered]]&lt;&gt;T[[#This Row],[qty_received]],IF(T[[#This Row],[qty_received]]&gt;0,"Partial Received","Not Receviced"),"FullyReceived")</f>
        <v>FullyReceived</v>
      </c>
      <c r="Q2914" t="str">
        <f>IF(T[[#This Row],[qty_received]]&lt;&gt;T[[#This Row],[qty_invoiced]],IF(T[[#This Row],[qty_invoiced]]&gt;0,"Partial Invoiced","Not Invoiced"),"Fully Invoiced")</f>
        <v>Fully Invoiced</v>
      </c>
      <c r="R2914" t="str">
        <f>IFERROR(VLOOKUP(T[[#This Row],[warehouse]],Table2[],2,FALSE),"--")</f>
        <v>Import Virtual Warehouse - PZU</v>
      </c>
    </row>
    <row r="2915" spans="1:18" x14ac:dyDescent="0.25">
      <c r="A2915" t="s">
        <v>2986</v>
      </c>
      <c r="B2915" s="1">
        <v>44923</v>
      </c>
      <c r="C2915" t="s">
        <v>2987</v>
      </c>
      <c r="D2915" t="s">
        <v>20</v>
      </c>
      <c r="E2915" t="s">
        <v>51</v>
      </c>
      <c r="F2915" t="s">
        <v>369</v>
      </c>
      <c r="G2915" t="s">
        <v>369</v>
      </c>
      <c r="H2915" t="s">
        <v>54</v>
      </c>
      <c r="I2915">
        <v>1</v>
      </c>
      <c r="J2915">
        <v>0</v>
      </c>
      <c r="K2915">
        <v>1</v>
      </c>
      <c r="L2915" t="s">
        <v>693</v>
      </c>
      <c r="M2915" t="s">
        <v>1485</v>
      </c>
      <c r="N2915">
        <v>700000</v>
      </c>
      <c r="O2915">
        <v>0</v>
      </c>
      <c r="P2915" t="str">
        <f>IF(T[[#This Row],[qty_ordered]]&lt;&gt;T[[#This Row],[qty_received]],IF(T[[#This Row],[qty_received]]&gt;0,"Partial Received","Not Receviced"),"FullyReceived")</f>
        <v>Not Receviced</v>
      </c>
      <c r="Q2915" t="str">
        <f>IF(T[[#This Row],[qty_received]]&lt;&gt;T[[#This Row],[qty_invoiced]],IF(T[[#This Row],[qty_invoiced]]&gt;0,"Partial Invoiced","Not Invoiced"),"Fully Invoiced")</f>
        <v>Partial Invoiced</v>
      </c>
      <c r="R2915" t="str">
        <f>IFERROR(VLOOKUP(T[[#This Row],[warehouse]],Table2[],2,FALSE),"--")</f>
        <v>--</v>
      </c>
    </row>
    <row r="2916" spans="1:18" x14ac:dyDescent="0.25">
      <c r="A2916" t="s">
        <v>955</v>
      </c>
      <c r="B2916" s="1">
        <v>44924</v>
      </c>
      <c r="C2916" t="s">
        <v>2988</v>
      </c>
      <c r="D2916" t="s">
        <v>20</v>
      </c>
      <c r="E2916" t="s">
        <v>1430</v>
      </c>
      <c r="F2916" t="s">
        <v>691</v>
      </c>
      <c r="G2916" t="s">
        <v>478</v>
      </c>
      <c r="H2916" t="s">
        <v>24</v>
      </c>
      <c r="I2916">
        <v>566.62</v>
      </c>
      <c r="J2916">
        <v>566.62</v>
      </c>
      <c r="K2916">
        <v>566.62</v>
      </c>
      <c r="L2916" t="s">
        <v>693</v>
      </c>
      <c r="M2916" t="s">
        <v>1485</v>
      </c>
      <c r="N2916">
        <v>694200</v>
      </c>
      <c r="O2916">
        <v>393347604</v>
      </c>
      <c r="P2916" t="str">
        <f>IF(T[[#This Row],[qty_ordered]]&lt;&gt;T[[#This Row],[qty_received]],IF(T[[#This Row],[qty_received]]&gt;0,"Partial Received","Not Receviced"),"FullyReceived")</f>
        <v>FullyReceived</v>
      </c>
      <c r="Q2916" t="str">
        <f>IF(T[[#This Row],[qty_received]]&lt;&gt;T[[#This Row],[qty_invoiced]],IF(T[[#This Row],[qty_invoiced]]&gt;0,"Partial Invoiced","Not Invoiced"),"Fully Invoiced")</f>
        <v>Fully Invoiced</v>
      </c>
      <c r="R2916" t="str">
        <f>IFERROR(VLOOKUP(T[[#This Row],[warehouse]],Table2[],2,FALSE),"--")</f>
        <v>Obaid Gum Arabic Centre</v>
      </c>
    </row>
    <row r="2917" spans="1:18" x14ac:dyDescent="0.25">
      <c r="A2917" t="s">
        <v>400</v>
      </c>
      <c r="B2917" s="1">
        <v>44924</v>
      </c>
      <c r="C2917" t="s">
        <v>2989</v>
      </c>
      <c r="D2917" t="s">
        <v>20</v>
      </c>
      <c r="E2917" t="s">
        <v>51</v>
      </c>
      <c r="F2917" t="s">
        <v>183</v>
      </c>
      <c r="G2917" t="s">
        <v>1575</v>
      </c>
      <c r="H2917" t="s">
        <v>54</v>
      </c>
      <c r="I2917">
        <v>165.18</v>
      </c>
      <c r="J2917">
        <v>0</v>
      </c>
      <c r="K2917">
        <v>1</v>
      </c>
      <c r="L2917" t="s">
        <v>693</v>
      </c>
      <c r="M2917" t="s">
        <v>2836</v>
      </c>
      <c r="N2917">
        <v>15000</v>
      </c>
      <c r="O2917">
        <v>0</v>
      </c>
      <c r="P2917" t="str">
        <f>IF(T[[#This Row],[qty_ordered]]&lt;&gt;T[[#This Row],[qty_received]],IF(T[[#This Row],[qty_received]]&gt;0,"Partial Received","Not Receviced"),"FullyReceived")</f>
        <v>Not Receviced</v>
      </c>
      <c r="Q2917" t="str">
        <f>IF(T[[#This Row],[qty_received]]&lt;&gt;T[[#This Row],[qty_invoiced]],IF(T[[#This Row],[qty_invoiced]]&gt;0,"Partial Invoiced","Not Invoiced"),"Fully Invoiced")</f>
        <v>Partial Invoiced</v>
      </c>
      <c r="R2917" t="str">
        <f>IFERROR(VLOOKUP(T[[#This Row],[warehouse]],Table2[],2,FALSE),"--")</f>
        <v>--</v>
      </c>
    </row>
    <row r="2918" spans="1:18" x14ac:dyDescent="0.25">
      <c r="A2918" t="s">
        <v>400</v>
      </c>
      <c r="B2918" s="1">
        <v>44924</v>
      </c>
      <c r="C2918" t="s">
        <v>2989</v>
      </c>
      <c r="D2918" t="s">
        <v>71</v>
      </c>
      <c r="E2918" t="s">
        <v>51</v>
      </c>
      <c r="F2918" t="s">
        <v>278</v>
      </c>
      <c r="G2918" t="s">
        <v>2990</v>
      </c>
      <c r="H2918" t="s">
        <v>54</v>
      </c>
      <c r="I2918">
        <v>167.08</v>
      </c>
      <c r="J2918">
        <v>0</v>
      </c>
      <c r="K2918">
        <v>1</v>
      </c>
      <c r="L2918" t="s">
        <v>693</v>
      </c>
      <c r="M2918" t="s">
        <v>2836</v>
      </c>
      <c r="N2918">
        <v>3840.1065359999998</v>
      </c>
      <c r="O2918">
        <v>0</v>
      </c>
      <c r="P2918" t="str">
        <f>IF(T[[#This Row],[qty_ordered]]&lt;&gt;T[[#This Row],[qty_received]],IF(T[[#This Row],[qty_received]]&gt;0,"Partial Received","Not Receviced"),"FullyReceived")</f>
        <v>Not Receviced</v>
      </c>
      <c r="Q2918" t="str">
        <f>IF(T[[#This Row],[qty_received]]&lt;&gt;T[[#This Row],[qty_invoiced]],IF(T[[#This Row],[qty_invoiced]]&gt;0,"Partial Invoiced","Not Invoiced"),"Fully Invoiced")</f>
        <v>Partial Invoiced</v>
      </c>
      <c r="R2918" t="str">
        <f>IFERROR(VLOOKUP(T[[#This Row],[warehouse]],Table2[],2,FALSE),"--")</f>
        <v>--</v>
      </c>
    </row>
    <row r="2919" spans="1:18" x14ac:dyDescent="0.25">
      <c r="A2919" t="s">
        <v>400</v>
      </c>
      <c r="B2919" s="1">
        <v>44924</v>
      </c>
      <c r="C2919" t="s">
        <v>2989</v>
      </c>
      <c r="D2919" t="s">
        <v>100</v>
      </c>
      <c r="E2919" t="s">
        <v>51</v>
      </c>
      <c r="F2919" t="s">
        <v>1703</v>
      </c>
      <c r="G2919" t="s">
        <v>1779</v>
      </c>
      <c r="H2919" t="s">
        <v>54</v>
      </c>
      <c r="I2919">
        <v>37</v>
      </c>
      <c r="J2919">
        <v>0</v>
      </c>
      <c r="K2919">
        <v>1</v>
      </c>
      <c r="L2919" t="s">
        <v>693</v>
      </c>
      <c r="M2919" t="s">
        <v>2836</v>
      </c>
      <c r="N2919">
        <v>2000</v>
      </c>
      <c r="O2919">
        <v>0</v>
      </c>
      <c r="P2919" t="str">
        <f>IF(T[[#This Row],[qty_ordered]]&lt;&gt;T[[#This Row],[qty_received]],IF(T[[#This Row],[qty_received]]&gt;0,"Partial Received","Not Receviced"),"FullyReceived")</f>
        <v>Not Receviced</v>
      </c>
      <c r="Q2919" t="str">
        <f>IF(T[[#This Row],[qty_received]]&lt;&gt;T[[#This Row],[qty_invoiced]],IF(T[[#This Row],[qty_invoiced]]&gt;0,"Partial Invoiced","Not Invoiced"),"Fully Invoiced")</f>
        <v>Partial Invoiced</v>
      </c>
      <c r="R2919" t="str">
        <f>IFERROR(VLOOKUP(T[[#This Row],[warehouse]],Table2[],2,FALSE),"--")</f>
        <v>--</v>
      </c>
    </row>
    <row r="2920" spans="1:18" x14ac:dyDescent="0.25">
      <c r="A2920" t="s">
        <v>423</v>
      </c>
      <c r="B2920" s="1">
        <v>44921</v>
      </c>
      <c r="C2920" t="s">
        <v>2977</v>
      </c>
      <c r="D2920" t="s">
        <v>20</v>
      </c>
      <c r="E2920" t="s">
        <v>51</v>
      </c>
      <c r="F2920" t="s">
        <v>546</v>
      </c>
      <c r="G2920" t="s">
        <v>1959</v>
      </c>
      <c r="H2920" t="s">
        <v>54</v>
      </c>
      <c r="I2920">
        <v>10000</v>
      </c>
      <c r="J2920">
        <v>0</v>
      </c>
      <c r="K2920">
        <v>1</v>
      </c>
      <c r="L2920" t="s">
        <v>693</v>
      </c>
      <c r="M2920" t="s">
        <v>2836</v>
      </c>
      <c r="N2920">
        <v>26</v>
      </c>
      <c r="O2920">
        <v>0</v>
      </c>
      <c r="P2920" t="str">
        <f>IF(T[[#This Row],[qty_ordered]]&lt;&gt;T[[#This Row],[qty_received]],IF(T[[#This Row],[qty_received]]&gt;0,"Partial Received","Not Receviced"),"FullyReceived")</f>
        <v>Not Receviced</v>
      </c>
      <c r="Q2920" t="str">
        <f>IF(T[[#This Row],[qty_received]]&lt;&gt;T[[#This Row],[qty_invoiced]],IF(T[[#This Row],[qty_invoiced]]&gt;0,"Partial Invoiced","Not Invoiced"),"Fully Invoiced")</f>
        <v>Partial Invoiced</v>
      </c>
      <c r="R2920" t="str">
        <f>IFERROR(VLOOKUP(T[[#This Row],[warehouse]],Table2[],2,FALSE),"--")</f>
        <v>--</v>
      </c>
    </row>
    <row r="2921" spans="1:18" x14ac:dyDescent="0.25">
      <c r="A2921" t="s">
        <v>423</v>
      </c>
      <c r="B2921" s="1">
        <v>44921</v>
      </c>
      <c r="C2921" t="s">
        <v>2977</v>
      </c>
      <c r="D2921" t="s">
        <v>71</v>
      </c>
      <c r="E2921" t="s">
        <v>51</v>
      </c>
      <c r="F2921" t="s">
        <v>546</v>
      </c>
      <c r="G2921" t="s">
        <v>1568</v>
      </c>
      <c r="H2921" t="s">
        <v>54</v>
      </c>
      <c r="I2921">
        <v>4000</v>
      </c>
      <c r="J2921">
        <v>0</v>
      </c>
      <c r="K2921">
        <v>1</v>
      </c>
      <c r="L2921" t="s">
        <v>693</v>
      </c>
      <c r="M2921" t="s">
        <v>2836</v>
      </c>
      <c r="N2921">
        <v>26</v>
      </c>
      <c r="O2921">
        <v>0</v>
      </c>
      <c r="P2921" t="str">
        <f>IF(T[[#This Row],[qty_ordered]]&lt;&gt;T[[#This Row],[qty_received]],IF(T[[#This Row],[qty_received]]&gt;0,"Partial Received","Not Receviced"),"FullyReceived")</f>
        <v>Not Receviced</v>
      </c>
      <c r="Q2921" t="str">
        <f>IF(T[[#This Row],[qty_received]]&lt;&gt;T[[#This Row],[qty_invoiced]],IF(T[[#This Row],[qty_invoiced]]&gt;0,"Partial Invoiced","Not Invoiced"),"Fully Invoiced")</f>
        <v>Partial Invoiced</v>
      </c>
      <c r="R2921" t="str">
        <f>IFERROR(VLOOKUP(T[[#This Row],[warehouse]],Table2[],2,FALSE),"--")</f>
        <v>--</v>
      </c>
    </row>
    <row r="2922" spans="1:18" x14ac:dyDescent="0.25">
      <c r="A2922" t="s">
        <v>423</v>
      </c>
      <c r="B2922" s="1">
        <v>44921</v>
      </c>
      <c r="C2922" t="s">
        <v>2977</v>
      </c>
      <c r="D2922" t="s">
        <v>100</v>
      </c>
      <c r="E2922" t="s">
        <v>51</v>
      </c>
      <c r="F2922" t="s">
        <v>546</v>
      </c>
      <c r="G2922" t="s">
        <v>1569</v>
      </c>
      <c r="H2922" t="s">
        <v>54</v>
      </c>
      <c r="I2922">
        <v>10000</v>
      </c>
      <c r="J2922">
        <v>0</v>
      </c>
      <c r="K2922">
        <v>1</v>
      </c>
      <c r="L2922" t="s">
        <v>693</v>
      </c>
      <c r="M2922" t="s">
        <v>2836</v>
      </c>
      <c r="N2922">
        <v>26</v>
      </c>
      <c r="O2922">
        <v>0</v>
      </c>
      <c r="P2922" t="str">
        <f>IF(T[[#This Row],[qty_ordered]]&lt;&gt;T[[#This Row],[qty_received]],IF(T[[#This Row],[qty_received]]&gt;0,"Partial Received","Not Receviced"),"FullyReceived")</f>
        <v>Not Receviced</v>
      </c>
      <c r="Q2922" t="str">
        <f>IF(T[[#This Row],[qty_received]]&lt;&gt;T[[#This Row],[qty_invoiced]],IF(T[[#This Row],[qty_invoiced]]&gt;0,"Partial Invoiced","Not Invoiced"),"Fully Invoiced")</f>
        <v>Partial Invoiced</v>
      </c>
      <c r="R2922" t="str">
        <f>IFERROR(VLOOKUP(T[[#This Row],[warehouse]],Table2[],2,FALSE),"--")</f>
        <v>--</v>
      </c>
    </row>
    <row r="2923" spans="1:18" x14ac:dyDescent="0.25">
      <c r="A2923" t="s">
        <v>423</v>
      </c>
      <c r="B2923" s="1">
        <v>44921</v>
      </c>
      <c r="C2923" t="s">
        <v>2977</v>
      </c>
      <c r="D2923" t="s">
        <v>88</v>
      </c>
      <c r="E2923" t="s">
        <v>51</v>
      </c>
      <c r="F2923" t="s">
        <v>546</v>
      </c>
      <c r="G2923" t="s">
        <v>1594</v>
      </c>
      <c r="H2923" t="s">
        <v>54</v>
      </c>
      <c r="I2923">
        <v>20000</v>
      </c>
      <c r="J2923">
        <v>0</v>
      </c>
      <c r="K2923">
        <v>1</v>
      </c>
      <c r="L2923" t="s">
        <v>693</v>
      </c>
      <c r="M2923" t="s">
        <v>2836</v>
      </c>
      <c r="N2923">
        <v>26</v>
      </c>
      <c r="O2923">
        <v>0</v>
      </c>
      <c r="P2923" t="str">
        <f>IF(T[[#This Row],[qty_ordered]]&lt;&gt;T[[#This Row],[qty_received]],IF(T[[#This Row],[qty_received]]&gt;0,"Partial Received","Not Receviced"),"FullyReceived")</f>
        <v>Not Receviced</v>
      </c>
      <c r="Q2923" t="str">
        <f>IF(T[[#This Row],[qty_received]]&lt;&gt;T[[#This Row],[qty_invoiced]],IF(T[[#This Row],[qty_invoiced]]&gt;0,"Partial Invoiced","Not Invoiced"),"Fully Invoiced")</f>
        <v>Partial Invoiced</v>
      </c>
      <c r="R2923" t="str">
        <f>IFERROR(VLOOKUP(T[[#This Row],[warehouse]],Table2[],2,FALSE),"--")</f>
        <v>--</v>
      </c>
    </row>
    <row r="2924" spans="1:18" x14ac:dyDescent="0.25">
      <c r="A2924" t="s">
        <v>400</v>
      </c>
      <c r="B2924" s="1">
        <v>44924</v>
      </c>
      <c r="C2924" t="s">
        <v>2989</v>
      </c>
      <c r="D2924" t="s">
        <v>88</v>
      </c>
      <c r="E2924" t="s">
        <v>51</v>
      </c>
      <c r="F2924" t="s">
        <v>793</v>
      </c>
      <c r="G2924" t="s">
        <v>2991</v>
      </c>
      <c r="H2924" t="s">
        <v>54</v>
      </c>
      <c r="I2924">
        <v>4</v>
      </c>
      <c r="J2924">
        <v>0</v>
      </c>
      <c r="K2924">
        <v>1</v>
      </c>
      <c r="L2924" t="s">
        <v>693</v>
      </c>
      <c r="M2924" t="s">
        <v>2836</v>
      </c>
      <c r="N2924">
        <v>2250</v>
      </c>
      <c r="O2924">
        <v>0</v>
      </c>
      <c r="P2924" t="str">
        <f>IF(T[[#This Row],[qty_ordered]]&lt;&gt;T[[#This Row],[qty_received]],IF(T[[#This Row],[qty_received]]&gt;0,"Partial Received","Not Receviced"),"FullyReceived")</f>
        <v>Not Receviced</v>
      </c>
      <c r="Q2924" t="str">
        <f>IF(T[[#This Row],[qty_received]]&lt;&gt;T[[#This Row],[qty_invoiced]],IF(T[[#This Row],[qty_invoiced]]&gt;0,"Partial Invoiced","Not Invoiced"),"Fully Invoiced")</f>
        <v>Partial Invoiced</v>
      </c>
      <c r="R2924" t="str">
        <f>IFERROR(VLOOKUP(T[[#This Row],[warehouse]],Table2[],2,FALSE),"--")</f>
        <v>--</v>
      </c>
    </row>
    <row r="2925" spans="1:18" x14ac:dyDescent="0.25">
      <c r="A2925" t="s">
        <v>989</v>
      </c>
      <c r="B2925" s="1">
        <v>44924</v>
      </c>
      <c r="C2925" t="s">
        <v>2992</v>
      </c>
      <c r="D2925" t="s">
        <v>20</v>
      </c>
      <c r="E2925" t="s">
        <v>51</v>
      </c>
      <c r="F2925" t="s">
        <v>183</v>
      </c>
      <c r="G2925" t="s">
        <v>1632</v>
      </c>
      <c r="H2925" t="s">
        <v>54</v>
      </c>
      <c r="I2925">
        <v>300</v>
      </c>
      <c r="J2925">
        <v>0</v>
      </c>
      <c r="K2925">
        <v>1</v>
      </c>
      <c r="L2925" t="s">
        <v>693</v>
      </c>
      <c r="M2925" t="s">
        <v>51</v>
      </c>
      <c r="N2925">
        <v>13000</v>
      </c>
      <c r="O2925">
        <v>0</v>
      </c>
      <c r="P2925" t="str">
        <f>IF(T[[#This Row],[qty_ordered]]&lt;&gt;T[[#This Row],[qty_received]],IF(T[[#This Row],[qty_received]]&gt;0,"Partial Received","Not Receviced"),"FullyReceived")</f>
        <v>Not Receviced</v>
      </c>
      <c r="Q2925" t="str">
        <f>IF(T[[#This Row],[qty_received]]&lt;&gt;T[[#This Row],[qty_invoiced]],IF(T[[#This Row],[qty_invoiced]]&gt;0,"Partial Invoiced","Not Invoiced"),"Fully Invoiced")</f>
        <v>Partial Invoiced</v>
      </c>
      <c r="R2925" t="str">
        <f>IFERROR(VLOOKUP(T[[#This Row],[warehouse]],Table2[],2,FALSE),"--")</f>
        <v>--</v>
      </c>
    </row>
    <row r="2926" spans="1:18" x14ac:dyDescent="0.25">
      <c r="A2926" t="s">
        <v>2986</v>
      </c>
      <c r="B2926" s="1">
        <v>44924</v>
      </c>
      <c r="C2926" t="s">
        <v>2993</v>
      </c>
      <c r="D2926" t="s">
        <v>20</v>
      </c>
      <c r="E2926" t="s">
        <v>51</v>
      </c>
      <c r="F2926" t="s">
        <v>369</v>
      </c>
      <c r="G2926" t="s">
        <v>369</v>
      </c>
      <c r="H2926" t="s">
        <v>54</v>
      </c>
      <c r="I2926">
        <v>1</v>
      </c>
      <c r="J2926">
        <v>0</v>
      </c>
      <c r="K2926">
        <v>1</v>
      </c>
      <c r="L2926" t="s">
        <v>693</v>
      </c>
      <c r="M2926" t="s">
        <v>1485</v>
      </c>
      <c r="N2926">
        <v>700000</v>
      </c>
      <c r="O2926">
        <v>0</v>
      </c>
      <c r="P2926" t="str">
        <f>IF(T[[#This Row],[qty_ordered]]&lt;&gt;T[[#This Row],[qty_received]],IF(T[[#This Row],[qty_received]]&gt;0,"Partial Received","Not Receviced"),"FullyReceived")</f>
        <v>Not Receviced</v>
      </c>
      <c r="Q2926" t="str">
        <f>IF(T[[#This Row],[qty_received]]&lt;&gt;T[[#This Row],[qty_invoiced]],IF(T[[#This Row],[qty_invoiced]]&gt;0,"Partial Invoiced","Not Invoiced"),"Fully Invoiced")</f>
        <v>Partial Invoiced</v>
      </c>
      <c r="R2926" t="str">
        <f>IFERROR(VLOOKUP(T[[#This Row],[warehouse]],Table2[],2,FALSE),"--")</f>
        <v>--</v>
      </c>
    </row>
    <row r="2927" spans="1:18" x14ac:dyDescent="0.25">
      <c r="A2927" t="s">
        <v>235</v>
      </c>
      <c r="B2927" s="1">
        <v>44924</v>
      </c>
      <c r="C2927" t="s">
        <v>2994</v>
      </c>
      <c r="D2927" t="s">
        <v>20</v>
      </c>
      <c r="E2927" t="s">
        <v>51</v>
      </c>
      <c r="F2927" t="s">
        <v>546</v>
      </c>
      <c r="G2927" t="s">
        <v>2995</v>
      </c>
      <c r="H2927" t="s">
        <v>54</v>
      </c>
      <c r="I2927">
        <v>5000</v>
      </c>
      <c r="J2927">
        <v>0</v>
      </c>
      <c r="K2927">
        <v>1</v>
      </c>
      <c r="L2927" t="s">
        <v>693</v>
      </c>
      <c r="M2927" t="s">
        <v>2836</v>
      </c>
      <c r="N2927">
        <v>17.5</v>
      </c>
      <c r="O2927">
        <v>0</v>
      </c>
      <c r="P2927" t="str">
        <f>IF(T[[#This Row],[qty_ordered]]&lt;&gt;T[[#This Row],[qty_received]],IF(T[[#This Row],[qty_received]]&gt;0,"Partial Received","Not Receviced"),"FullyReceived")</f>
        <v>Not Receviced</v>
      </c>
      <c r="Q2927" t="str">
        <f>IF(T[[#This Row],[qty_received]]&lt;&gt;T[[#This Row],[qty_invoiced]],IF(T[[#This Row],[qty_invoiced]]&gt;0,"Partial Invoiced","Not Invoiced"),"Fully Invoiced")</f>
        <v>Partial Invoiced</v>
      </c>
      <c r="R2927" t="str">
        <f>IFERROR(VLOOKUP(T[[#This Row],[warehouse]],Table2[],2,FALSE),"--")</f>
        <v>--</v>
      </c>
    </row>
    <row r="2928" spans="1:18" x14ac:dyDescent="0.25">
      <c r="A2928" t="s">
        <v>235</v>
      </c>
      <c r="B2928" s="1">
        <v>44924</v>
      </c>
      <c r="C2928" t="s">
        <v>2994</v>
      </c>
      <c r="D2928" t="s">
        <v>71</v>
      </c>
      <c r="E2928" t="s">
        <v>51</v>
      </c>
      <c r="F2928" t="s">
        <v>546</v>
      </c>
      <c r="G2928" t="s">
        <v>2996</v>
      </c>
      <c r="H2928" t="s">
        <v>54</v>
      </c>
      <c r="I2928">
        <v>5000</v>
      </c>
      <c r="J2928">
        <v>0</v>
      </c>
      <c r="K2928">
        <v>1</v>
      </c>
      <c r="L2928" t="s">
        <v>693</v>
      </c>
      <c r="M2928" t="s">
        <v>2836</v>
      </c>
      <c r="N2928">
        <v>17</v>
      </c>
      <c r="O2928">
        <v>0</v>
      </c>
      <c r="P2928" t="str">
        <f>IF(T[[#This Row],[qty_ordered]]&lt;&gt;T[[#This Row],[qty_received]],IF(T[[#This Row],[qty_received]]&gt;0,"Partial Received","Not Receviced"),"FullyReceived")</f>
        <v>Not Receviced</v>
      </c>
      <c r="Q2928" t="str">
        <f>IF(T[[#This Row],[qty_received]]&lt;&gt;T[[#This Row],[qty_invoiced]],IF(T[[#This Row],[qty_invoiced]]&gt;0,"Partial Invoiced","Not Invoiced"),"Fully Invoiced")</f>
        <v>Partial Invoiced</v>
      </c>
      <c r="R2928" t="str">
        <f>IFERROR(VLOOKUP(T[[#This Row],[warehouse]],Table2[],2,FALSE),"--")</f>
        <v>--</v>
      </c>
    </row>
    <row r="2929" spans="1:18" x14ac:dyDescent="0.25">
      <c r="A2929" t="s">
        <v>235</v>
      </c>
      <c r="B2929" s="1">
        <v>44924</v>
      </c>
      <c r="C2929" t="s">
        <v>2997</v>
      </c>
      <c r="D2929" t="s">
        <v>20</v>
      </c>
      <c r="E2929" t="s">
        <v>51</v>
      </c>
      <c r="F2929" t="s">
        <v>546</v>
      </c>
      <c r="G2929" t="s">
        <v>2998</v>
      </c>
      <c r="H2929" t="s">
        <v>54</v>
      </c>
      <c r="I2929">
        <v>10000</v>
      </c>
      <c r="J2929">
        <v>0</v>
      </c>
      <c r="K2929">
        <v>1</v>
      </c>
      <c r="L2929" t="s">
        <v>693</v>
      </c>
      <c r="M2929" t="s">
        <v>2836</v>
      </c>
      <c r="N2929">
        <v>17</v>
      </c>
      <c r="O2929">
        <v>0</v>
      </c>
      <c r="P2929" t="str">
        <f>IF(T[[#This Row],[qty_ordered]]&lt;&gt;T[[#This Row],[qty_received]],IF(T[[#This Row],[qty_received]]&gt;0,"Partial Received","Not Receviced"),"FullyReceived")</f>
        <v>Not Receviced</v>
      </c>
      <c r="Q2929" t="str">
        <f>IF(T[[#This Row],[qty_received]]&lt;&gt;T[[#This Row],[qty_invoiced]],IF(T[[#This Row],[qty_invoiced]]&gt;0,"Partial Invoiced","Not Invoiced"),"Fully Invoiced")</f>
        <v>Partial Invoiced</v>
      </c>
      <c r="R2929" t="str">
        <f>IFERROR(VLOOKUP(T[[#This Row],[warehouse]],Table2[],2,FALSE),"--")</f>
        <v>--</v>
      </c>
    </row>
    <row r="2930" spans="1:18" x14ac:dyDescent="0.25">
      <c r="A2930" t="s">
        <v>2999</v>
      </c>
      <c r="B2930" s="1">
        <v>44924</v>
      </c>
      <c r="C2930" t="s">
        <v>3000</v>
      </c>
      <c r="D2930" t="s">
        <v>20</v>
      </c>
      <c r="E2930" t="s">
        <v>51</v>
      </c>
      <c r="F2930" t="s">
        <v>806</v>
      </c>
      <c r="G2930" t="s">
        <v>806</v>
      </c>
      <c r="H2930" t="s">
        <v>54</v>
      </c>
      <c r="I2930">
        <v>1</v>
      </c>
      <c r="J2930">
        <v>0</v>
      </c>
      <c r="K2930">
        <v>1</v>
      </c>
      <c r="L2930" t="s">
        <v>693</v>
      </c>
      <c r="M2930" t="s">
        <v>132</v>
      </c>
      <c r="N2930">
        <v>2094500</v>
      </c>
      <c r="O2930">
        <v>0</v>
      </c>
      <c r="P2930" t="str">
        <f>IF(T[[#This Row],[qty_ordered]]&lt;&gt;T[[#This Row],[qty_received]],IF(T[[#This Row],[qty_received]]&gt;0,"Partial Received","Not Receviced"),"FullyReceived")</f>
        <v>Not Receviced</v>
      </c>
      <c r="Q2930" t="str">
        <f>IF(T[[#This Row],[qty_received]]&lt;&gt;T[[#This Row],[qty_invoiced]],IF(T[[#This Row],[qty_invoiced]]&gt;0,"Partial Invoiced","Not Invoiced"),"Fully Invoiced")</f>
        <v>Partial Invoiced</v>
      </c>
      <c r="R2930" t="str">
        <f>IFERROR(VLOOKUP(T[[#This Row],[warehouse]],Table2[],2,FALSE),"--")</f>
        <v>--</v>
      </c>
    </row>
    <row r="2931" spans="1:18" x14ac:dyDescent="0.25">
      <c r="A2931" t="s">
        <v>423</v>
      </c>
      <c r="B2931" s="1">
        <v>44630</v>
      </c>
      <c r="C2931" t="s">
        <v>1734</v>
      </c>
      <c r="D2931" t="s">
        <v>88</v>
      </c>
      <c r="E2931" t="s">
        <v>146</v>
      </c>
      <c r="F2931" t="s">
        <v>943</v>
      </c>
      <c r="G2931" t="s">
        <v>944</v>
      </c>
      <c r="H2931" t="s">
        <v>149</v>
      </c>
      <c r="I2931">
        <v>26000</v>
      </c>
      <c r="J2931">
        <v>0</v>
      </c>
      <c r="K2931">
        <v>26000</v>
      </c>
      <c r="L2931" t="s">
        <v>693</v>
      </c>
      <c r="M2931" t="s">
        <v>1404</v>
      </c>
      <c r="N2931">
        <v>240</v>
      </c>
      <c r="O2931">
        <v>0</v>
      </c>
      <c r="P2931" t="str">
        <f>IF(T[[#This Row],[qty_ordered]]&lt;&gt;T[[#This Row],[qty_received]],IF(T[[#This Row],[qty_received]]&gt;0,"Partial Received","Not Receviced"),"FullyReceived")</f>
        <v>Not Receviced</v>
      </c>
      <c r="Q2931" t="str">
        <f>IF(T[[#This Row],[qty_received]]&lt;&gt;T[[#This Row],[qty_invoiced]],IF(T[[#This Row],[qty_invoiced]]&gt;0,"Partial Invoiced","Not Invoiced"),"Fully Invoiced")</f>
        <v>Partial Invoiced</v>
      </c>
      <c r="R2931" t="str">
        <f>IFERROR(VLOOKUP(T[[#This Row],[warehouse]],Table2[],2,FALSE),"--")</f>
        <v>Khtoum Main Warehouse</v>
      </c>
    </row>
    <row r="2932" spans="1:18" x14ac:dyDescent="0.25">
      <c r="A2932" t="s">
        <v>1345</v>
      </c>
      <c r="B2932" s="1">
        <v>44354</v>
      </c>
      <c r="C2932" t="s">
        <v>1346</v>
      </c>
      <c r="D2932" t="s">
        <v>71</v>
      </c>
      <c r="E2932" t="s">
        <v>51</v>
      </c>
      <c r="F2932" t="s">
        <v>52</v>
      </c>
      <c r="G2932" t="s">
        <v>53</v>
      </c>
      <c r="H2932" t="s">
        <v>54</v>
      </c>
      <c r="I2932">
        <v>50</v>
      </c>
      <c r="J2932">
        <v>0</v>
      </c>
      <c r="K2932">
        <v>1</v>
      </c>
      <c r="L2932" t="s">
        <v>25</v>
      </c>
      <c r="M2932" t="s">
        <v>132</v>
      </c>
      <c r="N2932">
        <v>7500</v>
      </c>
      <c r="O2932">
        <v>0</v>
      </c>
      <c r="P2932" t="str">
        <f>IF(T[[#This Row],[qty_ordered]]&lt;&gt;T[[#This Row],[qty_received]],IF(T[[#This Row],[qty_received]]&gt;0,"Partial Received","Not Receviced"),"FullyReceived")</f>
        <v>Not Receviced</v>
      </c>
      <c r="Q2932" t="str">
        <f>IF(T[[#This Row],[qty_received]]&lt;&gt;T[[#This Row],[qty_invoiced]],IF(T[[#This Row],[qty_invoiced]]&gt;0,"Partial Invoiced","Not Invoiced"),"Fully Invoiced")</f>
        <v>Partial Invoiced</v>
      </c>
      <c r="R2932" t="str">
        <f>IFERROR(VLOOKUP(T[[#This Row],[warehouse]],Table2[],2,FALSE),"--")</f>
        <v>--</v>
      </c>
    </row>
    <row r="2933" spans="1:18" x14ac:dyDescent="0.25">
      <c r="A2933" t="s">
        <v>1868</v>
      </c>
      <c r="B2933" s="1">
        <v>44339</v>
      </c>
      <c r="C2933" t="s">
        <v>1869</v>
      </c>
      <c r="D2933" t="s">
        <v>71</v>
      </c>
      <c r="E2933" t="s">
        <v>239</v>
      </c>
      <c r="F2933" t="s">
        <v>294</v>
      </c>
      <c r="G2933" t="s">
        <v>295</v>
      </c>
      <c r="H2933" t="s">
        <v>149</v>
      </c>
      <c r="I2933">
        <v>1000</v>
      </c>
      <c r="J2933">
        <v>1000</v>
      </c>
      <c r="K2933">
        <v>1000</v>
      </c>
      <c r="L2933" t="s">
        <v>25</v>
      </c>
      <c r="M2933" t="s">
        <v>1404</v>
      </c>
      <c r="N2933">
        <v>184</v>
      </c>
      <c r="O2933">
        <v>184000</v>
      </c>
      <c r="P2933" t="str">
        <f>IF(T[[#This Row],[qty_ordered]]&lt;&gt;T[[#This Row],[qty_received]],IF(T[[#This Row],[qty_received]]&gt;0,"Partial Received","Not Receviced"),"FullyReceived")</f>
        <v>FullyReceived</v>
      </c>
      <c r="Q2933" t="str">
        <f>IF(T[[#This Row],[qty_received]]&lt;&gt;T[[#This Row],[qty_invoiced]],IF(T[[#This Row],[qty_invoiced]]&gt;0,"Partial Invoiced","Not Invoiced"),"Fully Invoiced")</f>
        <v>Fully Invoiced</v>
      </c>
      <c r="R2933" t="str">
        <f>IFERROR(VLOOKUP(T[[#This Row],[warehouse]],Table2[],2,FALSE),"--")</f>
        <v xml:space="preserve">Gadarif Main Store </v>
      </c>
    </row>
    <row r="2934" spans="1:18" x14ac:dyDescent="0.25">
      <c r="A2934" t="s">
        <v>658</v>
      </c>
      <c r="B2934" s="1">
        <v>44363</v>
      </c>
      <c r="C2934" t="s">
        <v>1397</v>
      </c>
      <c r="D2934" t="s">
        <v>74</v>
      </c>
      <c r="E2934" t="s">
        <v>660</v>
      </c>
      <c r="F2934" t="s">
        <v>661</v>
      </c>
      <c r="G2934" t="s">
        <v>662</v>
      </c>
      <c r="H2934" t="s">
        <v>663</v>
      </c>
      <c r="I2934">
        <v>3006.6</v>
      </c>
      <c r="J2934">
        <v>3006.6</v>
      </c>
      <c r="K2934">
        <v>3006.6</v>
      </c>
      <c r="L2934" t="s">
        <v>25</v>
      </c>
      <c r="M2934" t="s">
        <v>132</v>
      </c>
      <c r="N2934">
        <v>1100.826</v>
      </c>
      <c r="O2934">
        <v>3530393.01504</v>
      </c>
      <c r="P2934" t="str">
        <f>IF(T[[#This Row],[qty_ordered]]&lt;&gt;T[[#This Row],[qty_received]],IF(T[[#This Row],[qty_received]]&gt;0,"Partial Received","Not Receviced"),"FullyReceived")</f>
        <v>FullyReceived</v>
      </c>
      <c r="Q2934" t="str">
        <f>IF(T[[#This Row],[qty_received]]&lt;&gt;T[[#This Row],[qty_invoiced]],IF(T[[#This Row],[qty_invoiced]]&gt;0,"Partial Invoiced","Not Invoiced"),"Fully Invoiced")</f>
        <v>Fully Invoiced</v>
      </c>
      <c r="R2934" t="str">
        <f>IFERROR(VLOOKUP(T[[#This Row],[warehouse]],Table2[],2,FALSE),"--")</f>
        <v>SLAUGHTER HOUSE</v>
      </c>
    </row>
    <row r="2935" spans="1:18" x14ac:dyDescent="0.25">
      <c r="A2935" t="s">
        <v>973</v>
      </c>
      <c r="B2935" s="1">
        <v>44921</v>
      </c>
      <c r="C2935" t="s">
        <v>2978</v>
      </c>
      <c r="D2935" t="s">
        <v>20</v>
      </c>
      <c r="E2935" t="s">
        <v>281</v>
      </c>
      <c r="F2935" t="s">
        <v>526</v>
      </c>
      <c r="G2935" t="s">
        <v>472</v>
      </c>
      <c r="H2935" t="s">
        <v>123</v>
      </c>
      <c r="I2935">
        <v>10000</v>
      </c>
      <c r="J2935">
        <v>10000</v>
      </c>
      <c r="K2935">
        <v>10000</v>
      </c>
      <c r="L2935" t="s">
        <v>693</v>
      </c>
      <c r="M2935" t="s">
        <v>707</v>
      </c>
      <c r="N2935">
        <v>30141.414100000002</v>
      </c>
      <c r="O2935">
        <v>301414141</v>
      </c>
      <c r="P2935" t="str">
        <f>IF(T[[#This Row],[qty_ordered]]&lt;&gt;T[[#This Row],[qty_received]],IF(T[[#This Row],[qty_received]]&gt;0,"Partial Received","Not Receviced"),"FullyReceived")</f>
        <v>FullyReceived</v>
      </c>
      <c r="Q2935" t="str">
        <f>IF(T[[#This Row],[qty_received]]&lt;&gt;T[[#This Row],[qty_invoiced]],IF(T[[#This Row],[qty_invoiced]]&gt;0,"Partial Invoiced","Not Invoiced"),"Fully Invoiced")</f>
        <v>Fully Invoiced</v>
      </c>
      <c r="R2935" t="str">
        <f>IFERROR(VLOOKUP(T[[#This Row],[warehouse]],Table2[],2,FALSE),"--")</f>
        <v>Crusher Alm Eldin-KH</v>
      </c>
    </row>
    <row r="2936" spans="1:18" x14ac:dyDescent="0.25">
      <c r="A2936" t="s">
        <v>795</v>
      </c>
      <c r="B2936" s="1">
        <v>44907</v>
      </c>
      <c r="C2936" t="s">
        <v>2945</v>
      </c>
      <c r="D2936" t="s">
        <v>100</v>
      </c>
      <c r="E2936" t="s">
        <v>28</v>
      </c>
      <c r="F2936" t="s">
        <v>287</v>
      </c>
      <c r="G2936" t="s">
        <v>288</v>
      </c>
      <c r="H2936" t="s">
        <v>24</v>
      </c>
      <c r="I2936">
        <v>1138</v>
      </c>
      <c r="J2936">
        <v>0</v>
      </c>
      <c r="K2936">
        <v>0</v>
      </c>
      <c r="L2936" t="s">
        <v>693</v>
      </c>
      <c r="M2936" t="s">
        <v>707</v>
      </c>
      <c r="N2936">
        <v>615114.23550099996</v>
      </c>
      <c r="O2936">
        <v>0</v>
      </c>
      <c r="P2936" t="str">
        <f>IF(T[[#This Row],[qty_ordered]]&lt;&gt;T[[#This Row],[qty_received]],IF(T[[#This Row],[qty_received]]&gt;0,"Partial Received","Not Receviced"),"FullyReceived")</f>
        <v>Not Receviced</v>
      </c>
      <c r="Q2936" t="str">
        <f>IF(T[[#This Row],[qty_received]]&lt;&gt;T[[#This Row],[qty_invoiced]],IF(T[[#This Row],[qty_invoiced]]&gt;0,"Partial Invoiced","Not Invoiced"),"Fully Invoiced")</f>
        <v>Fully Invoiced</v>
      </c>
      <c r="R2936" t="str">
        <f>IFERROR(VLOOKUP(T[[#This Row],[warehouse]],Table2[],2,FALSE),"--")</f>
        <v>Crusher KHN -ASVOC</v>
      </c>
    </row>
    <row r="2937" spans="1:18" x14ac:dyDescent="0.25">
      <c r="A2937" t="s">
        <v>955</v>
      </c>
      <c r="B2937" s="1">
        <v>44907</v>
      </c>
      <c r="C2937" t="s">
        <v>2946</v>
      </c>
      <c r="D2937" t="s">
        <v>100</v>
      </c>
      <c r="E2937" t="s">
        <v>629</v>
      </c>
      <c r="F2937" t="s">
        <v>287</v>
      </c>
      <c r="G2937" t="s">
        <v>288</v>
      </c>
      <c r="H2937" t="s">
        <v>24</v>
      </c>
      <c r="I2937">
        <v>975.42899999999997</v>
      </c>
      <c r="J2937">
        <v>0</v>
      </c>
      <c r="K2937">
        <v>0</v>
      </c>
      <c r="L2937" t="s">
        <v>693</v>
      </c>
      <c r="M2937" t="s">
        <v>707</v>
      </c>
      <c r="N2937">
        <v>615113.96524000005</v>
      </c>
      <c r="O2937">
        <v>0</v>
      </c>
      <c r="P2937" t="str">
        <f>IF(T[[#This Row],[qty_ordered]]&lt;&gt;T[[#This Row],[qty_received]],IF(T[[#This Row],[qty_received]]&gt;0,"Partial Received","Not Receviced"),"FullyReceived")</f>
        <v>Not Receviced</v>
      </c>
      <c r="Q2937" t="str">
        <f>IF(T[[#This Row],[qty_received]]&lt;&gt;T[[#This Row],[qty_invoiced]],IF(T[[#This Row],[qty_invoiced]]&gt;0,"Partial Invoiced","Not Invoiced"),"Fully Invoiced")</f>
        <v>Fully Invoiced</v>
      </c>
      <c r="R2937" t="str">
        <f>IFERROR(VLOOKUP(T[[#This Row],[warehouse]],Table2[],2,FALSE),"--")</f>
        <v>SOPC Sifting &amp; Sorting</v>
      </c>
    </row>
    <row r="2938" spans="1:18" x14ac:dyDescent="0.25">
      <c r="A2938" t="s">
        <v>235</v>
      </c>
      <c r="B2938" s="1">
        <v>44924</v>
      </c>
      <c r="C2938" t="s">
        <v>2994</v>
      </c>
      <c r="D2938" t="s">
        <v>88</v>
      </c>
      <c r="E2938" t="s">
        <v>51</v>
      </c>
      <c r="F2938" t="s">
        <v>546</v>
      </c>
      <c r="G2938" t="s">
        <v>1955</v>
      </c>
      <c r="H2938" t="s">
        <v>54</v>
      </c>
      <c r="I2938">
        <v>5000</v>
      </c>
      <c r="J2938">
        <v>0</v>
      </c>
      <c r="K2938">
        <v>1</v>
      </c>
      <c r="L2938" t="s">
        <v>693</v>
      </c>
      <c r="M2938" t="s">
        <v>2836</v>
      </c>
      <c r="N2938">
        <v>17</v>
      </c>
      <c r="O2938">
        <v>0</v>
      </c>
      <c r="P2938" t="str">
        <f>IF(T[[#This Row],[qty_ordered]]&lt;&gt;T[[#This Row],[qty_received]],IF(T[[#This Row],[qty_received]]&gt;0,"Partial Received","Not Receviced"),"FullyReceived")</f>
        <v>Not Receviced</v>
      </c>
      <c r="Q2938" t="str">
        <f>IF(T[[#This Row],[qty_received]]&lt;&gt;T[[#This Row],[qty_invoiced]],IF(T[[#This Row],[qty_invoiced]]&gt;0,"Partial Invoiced","Not Invoiced"),"Fully Invoiced")</f>
        <v>Partial Invoiced</v>
      </c>
      <c r="R2938" t="str">
        <f>IFERROR(VLOOKUP(T[[#This Row],[warehouse]],Table2[],2,FALSE),"--")</f>
        <v>--</v>
      </c>
    </row>
    <row r="2939" spans="1:18" x14ac:dyDescent="0.25">
      <c r="A2939" t="s">
        <v>235</v>
      </c>
      <c r="B2939" s="1">
        <v>44935</v>
      </c>
      <c r="C2939" t="s">
        <v>3035</v>
      </c>
      <c r="D2939" t="s">
        <v>20</v>
      </c>
      <c r="E2939" t="s">
        <v>51</v>
      </c>
      <c r="F2939" t="s">
        <v>546</v>
      </c>
      <c r="G2939" t="s">
        <v>1572</v>
      </c>
      <c r="H2939" t="s">
        <v>54</v>
      </c>
      <c r="I2939">
        <v>23500</v>
      </c>
      <c r="J2939">
        <v>0</v>
      </c>
      <c r="K2939">
        <v>1</v>
      </c>
      <c r="L2939" t="s">
        <v>693</v>
      </c>
      <c r="M2939" t="s">
        <v>2836</v>
      </c>
      <c r="N2939">
        <v>17.212765999999998</v>
      </c>
      <c r="O2939">
        <v>0</v>
      </c>
      <c r="P2939" t="str">
        <f>IF(T[[#This Row],[qty_ordered]]&lt;&gt;T[[#This Row],[qty_received]],IF(T[[#This Row],[qty_received]]&gt;0,"Partial Received","Not Receviced"),"FullyReceived")</f>
        <v>Not Receviced</v>
      </c>
      <c r="Q2939" t="str">
        <f>IF(T[[#This Row],[qty_received]]&lt;&gt;T[[#This Row],[qty_invoiced]],IF(T[[#This Row],[qty_invoiced]]&gt;0,"Partial Invoiced","Not Invoiced"),"Fully Invoiced")</f>
        <v>Partial Invoiced</v>
      </c>
      <c r="R2939" t="str">
        <f>IFERROR(VLOOKUP(T[[#This Row],[warehouse]],Table2[],2,FALSE),"--")</f>
        <v>--</v>
      </c>
    </row>
    <row r="2940" spans="1:18" x14ac:dyDescent="0.25">
      <c r="A2940" t="s">
        <v>795</v>
      </c>
      <c r="B2940" s="1">
        <v>44880</v>
      </c>
      <c r="C2940" t="s">
        <v>2831</v>
      </c>
      <c r="D2940" t="s">
        <v>71</v>
      </c>
      <c r="E2940" t="s">
        <v>629</v>
      </c>
      <c r="F2940" t="s">
        <v>287</v>
      </c>
      <c r="G2940" t="s">
        <v>288</v>
      </c>
      <c r="H2940" t="s">
        <v>24</v>
      </c>
      <c r="I2940">
        <v>297.62</v>
      </c>
      <c r="J2940">
        <v>297.62</v>
      </c>
      <c r="K2940">
        <v>297.62</v>
      </c>
      <c r="L2940" t="s">
        <v>693</v>
      </c>
      <c r="M2940" t="s">
        <v>707</v>
      </c>
      <c r="N2940">
        <v>534759.358289</v>
      </c>
      <c r="O2940">
        <v>159155080.213972</v>
      </c>
      <c r="P2940" t="str">
        <f>IF(T[[#This Row],[qty_ordered]]&lt;&gt;T[[#This Row],[qty_received]],IF(T[[#This Row],[qty_received]]&gt;0,"Partial Received","Not Receviced"),"FullyReceived")</f>
        <v>FullyReceived</v>
      </c>
      <c r="Q2940" t="str">
        <f>IF(T[[#This Row],[qty_received]]&lt;&gt;T[[#This Row],[qty_invoiced]],IF(T[[#This Row],[qty_invoiced]]&gt;0,"Partial Invoiced","Not Invoiced"),"Fully Invoiced")</f>
        <v>Fully Invoiced</v>
      </c>
      <c r="R2940" t="str">
        <f>IFERROR(VLOOKUP(T[[#This Row],[warehouse]],Table2[],2,FALSE),"--")</f>
        <v>SOPC Sifting &amp; Sorting</v>
      </c>
    </row>
    <row r="2941" spans="1:18" x14ac:dyDescent="0.25">
      <c r="A2941" t="s">
        <v>3036</v>
      </c>
      <c r="B2941" s="1">
        <v>44936</v>
      </c>
      <c r="C2941" t="s">
        <v>3037</v>
      </c>
      <c r="D2941" t="s">
        <v>20</v>
      </c>
      <c r="E2941" t="s">
        <v>51</v>
      </c>
      <c r="F2941" t="s">
        <v>1555</v>
      </c>
      <c r="G2941" t="s">
        <v>3038</v>
      </c>
      <c r="H2941" t="s">
        <v>54</v>
      </c>
      <c r="I2941">
        <v>434.78300000000002</v>
      </c>
      <c r="J2941">
        <v>0</v>
      </c>
      <c r="K2941">
        <v>0</v>
      </c>
      <c r="L2941" t="s">
        <v>693</v>
      </c>
      <c r="M2941" t="s">
        <v>2836</v>
      </c>
      <c r="N2941">
        <v>23000</v>
      </c>
      <c r="O2941">
        <v>0</v>
      </c>
      <c r="P2941" t="str">
        <f>IF(T[[#This Row],[qty_ordered]]&lt;&gt;T[[#This Row],[qty_received]],IF(T[[#This Row],[qty_received]]&gt;0,"Partial Received","Not Receviced"),"FullyReceived")</f>
        <v>Not Receviced</v>
      </c>
      <c r="Q2941" t="str">
        <f>IF(T[[#This Row],[qty_received]]&lt;&gt;T[[#This Row],[qty_invoiced]],IF(T[[#This Row],[qty_invoiced]]&gt;0,"Partial Invoiced","Not Invoiced"),"Fully Invoiced")</f>
        <v>Fully Invoiced</v>
      </c>
      <c r="R2941" t="str">
        <f>IFERROR(VLOOKUP(T[[#This Row],[warehouse]],Table2[],2,FALSE),"--")</f>
        <v>--</v>
      </c>
    </row>
    <row r="2942" spans="1:18" x14ac:dyDescent="0.25">
      <c r="A2942" t="s">
        <v>597</v>
      </c>
      <c r="B2942" s="1">
        <v>44936</v>
      </c>
      <c r="C2942" t="s">
        <v>3039</v>
      </c>
      <c r="D2942" t="s">
        <v>20</v>
      </c>
      <c r="E2942" t="s">
        <v>51</v>
      </c>
      <c r="F2942" t="s">
        <v>183</v>
      </c>
      <c r="G2942" t="s">
        <v>1575</v>
      </c>
      <c r="H2942" t="s">
        <v>54</v>
      </c>
      <c r="I2942">
        <v>390</v>
      </c>
      <c r="J2942">
        <v>0</v>
      </c>
      <c r="K2942">
        <v>1</v>
      </c>
      <c r="L2942" t="s">
        <v>693</v>
      </c>
      <c r="M2942" t="s">
        <v>2836</v>
      </c>
      <c r="N2942">
        <v>14500</v>
      </c>
      <c r="O2942">
        <v>0</v>
      </c>
      <c r="P2942" t="str">
        <f>IF(T[[#This Row],[qty_ordered]]&lt;&gt;T[[#This Row],[qty_received]],IF(T[[#This Row],[qty_received]]&gt;0,"Partial Received","Not Receviced"),"FullyReceived")</f>
        <v>Not Receviced</v>
      </c>
      <c r="Q2942" t="str">
        <f>IF(T[[#This Row],[qty_received]]&lt;&gt;T[[#This Row],[qty_invoiced]],IF(T[[#This Row],[qty_invoiced]]&gt;0,"Partial Invoiced","Not Invoiced"),"Fully Invoiced")</f>
        <v>Partial Invoiced</v>
      </c>
      <c r="R2942" t="str">
        <f>IFERROR(VLOOKUP(T[[#This Row],[warehouse]],Table2[],2,FALSE),"--")</f>
        <v>--</v>
      </c>
    </row>
    <row r="2943" spans="1:18" x14ac:dyDescent="0.25">
      <c r="A2943" t="s">
        <v>795</v>
      </c>
      <c r="B2943" s="1">
        <v>44880</v>
      </c>
      <c r="C2943" t="s">
        <v>2831</v>
      </c>
      <c r="D2943" t="s">
        <v>100</v>
      </c>
      <c r="E2943" t="s">
        <v>629</v>
      </c>
      <c r="F2943" t="s">
        <v>287</v>
      </c>
      <c r="G2943" t="s">
        <v>288</v>
      </c>
      <c r="H2943" t="s">
        <v>24</v>
      </c>
      <c r="I2943">
        <v>827</v>
      </c>
      <c r="J2943">
        <v>827</v>
      </c>
      <c r="K2943">
        <v>827</v>
      </c>
      <c r="L2943" t="s">
        <v>693</v>
      </c>
      <c r="M2943" t="s">
        <v>707</v>
      </c>
      <c r="N2943">
        <v>534759.358289</v>
      </c>
      <c r="O2943">
        <v>442245989.30500299</v>
      </c>
      <c r="P2943" t="str">
        <f>IF(T[[#This Row],[qty_ordered]]&lt;&gt;T[[#This Row],[qty_received]],IF(T[[#This Row],[qty_received]]&gt;0,"Partial Received","Not Receviced"),"FullyReceived")</f>
        <v>FullyReceived</v>
      </c>
      <c r="Q2943" t="str">
        <f>IF(T[[#This Row],[qty_received]]&lt;&gt;T[[#This Row],[qty_invoiced]],IF(T[[#This Row],[qty_invoiced]]&gt;0,"Partial Invoiced","Not Invoiced"),"Fully Invoiced")</f>
        <v>Fully Invoiced</v>
      </c>
      <c r="R2943" t="str">
        <f>IFERROR(VLOOKUP(T[[#This Row],[warehouse]],Table2[],2,FALSE),"--")</f>
        <v>SOPC Sifting &amp; Sorting</v>
      </c>
    </row>
    <row r="2944" spans="1:18" x14ac:dyDescent="0.25">
      <c r="A2944" t="s">
        <v>3040</v>
      </c>
      <c r="B2944" s="1">
        <v>44937</v>
      </c>
      <c r="C2944" t="s">
        <v>3041</v>
      </c>
      <c r="D2944" t="s">
        <v>20</v>
      </c>
      <c r="E2944" t="s">
        <v>239</v>
      </c>
      <c r="F2944" t="s">
        <v>196</v>
      </c>
      <c r="G2944" t="s">
        <v>197</v>
      </c>
      <c r="H2944" t="s">
        <v>24</v>
      </c>
      <c r="I2944">
        <v>9200</v>
      </c>
      <c r="J2944">
        <v>2999.944</v>
      </c>
      <c r="K2944">
        <v>2999.94</v>
      </c>
      <c r="L2944" t="s">
        <v>693</v>
      </c>
      <c r="M2944" t="s">
        <v>132</v>
      </c>
      <c r="N2944">
        <v>235600</v>
      </c>
      <c r="O2944">
        <v>706786806.39999998</v>
      </c>
      <c r="P2944" t="str">
        <f>IF(T[[#This Row],[qty_ordered]]&lt;&gt;T[[#This Row],[qty_received]],IF(T[[#This Row],[qty_received]]&gt;0,"Partial Received","Not Receviced"),"FullyReceived")</f>
        <v>Partial Received</v>
      </c>
      <c r="Q2944" t="str">
        <f>IF(T[[#This Row],[qty_received]]&lt;&gt;T[[#This Row],[qty_invoiced]],IF(T[[#This Row],[qty_invoiced]]&gt;0,"Partial Invoiced","Not Invoiced"),"Fully Invoiced")</f>
        <v>Partial Invoiced</v>
      </c>
      <c r="R2944" t="str">
        <f>IFERROR(VLOOKUP(T[[#This Row],[warehouse]],Table2[],2,FALSE),"--")</f>
        <v xml:space="preserve">Gadarif Main Store </v>
      </c>
    </row>
    <row r="2945" spans="1:18" x14ac:dyDescent="0.25">
      <c r="A2945" t="s">
        <v>3040</v>
      </c>
      <c r="B2945" s="1">
        <v>44941</v>
      </c>
      <c r="C2945" t="s">
        <v>3042</v>
      </c>
      <c r="D2945" t="s">
        <v>20</v>
      </c>
      <c r="E2945" t="s">
        <v>620</v>
      </c>
      <c r="F2945" t="s">
        <v>196</v>
      </c>
      <c r="G2945" t="s">
        <v>197</v>
      </c>
      <c r="H2945" t="s">
        <v>24</v>
      </c>
      <c r="I2945">
        <v>9000</v>
      </c>
      <c r="J2945">
        <v>9000</v>
      </c>
      <c r="K2945">
        <v>9000</v>
      </c>
      <c r="L2945" t="s">
        <v>693</v>
      </c>
      <c r="M2945" t="s">
        <v>132</v>
      </c>
      <c r="N2945">
        <v>222825.72</v>
      </c>
      <c r="O2945">
        <v>1800000000</v>
      </c>
      <c r="P2945" t="str">
        <f>IF(T[[#This Row],[qty_ordered]]&lt;&gt;T[[#This Row],[qty_received]],IF(T[[#This Row],[qty_received]]&gt;0,"Partial Received","Not Receviced"),"FullyReceived")</f>
        <v>FullyReceived</v>
      </c>
      <c r="Q2945" t="str">
        <f>IF(T[[#This Row],[qty_received]]&lt;&gt;T[[#This Row],[qty_invoiced]],IF(T[[#This Row],[qty_invoiced]]&gt;0,"Partial Invoiced","Not Invoiced"),"Fully Invoiced")</f>
        <v>Fully Invoiced</v>
      </c>
      <c r="R2945" t="str">
        <f>IFERROR(VLOOKUP(T[[#This Row],[warehouse]],Table2[],2,FALSE),"--")</f>
        <v>SIFTER METALIC SILO</v>
      </c>
    </row>
    <row r="2946" spans="1:18" x14ac:dyDescent="0.25">
      <c r="A2946" t="s">
        <v>959</v>
      </c>
      <c r="B2946" s="1">
        <v>44941</v>
      </c>
      <c r="C2946" t="s">
        <v>3043</v>
      </c>
      <c r="D2946" t="s">
        <v>20</v>
      </c>
      <c r="E2946" t="s">
        <v>214</v>
      </c>
      <c r="F2946" t="s">
        <v>526</v>
      </c>
      <c r="G2946" t="s">
        <v>472</v>
      </c>
      <c r="H2946" t="s">
        <v>123</v>
      </c>
      <c r="I2946">
        <v>4000</v>
      </c>
      <c r="J2946">
        <v>4000</v>
      </c>
      <c r="K2946">
        <v>201.05</v>
      </c>
      <c r="L2946" t="s">
        <v>693</v>
      </c>
      <c r="M2946" t="s">
        <v>1485</v>
      </c>
      <c r="N2946">
        <v>30500</v>
      </c>
      <c r="O2946">
        <v>122000000</v>
      </c>
      <c r="P2946" t="str">
        <f>IF(T[[#This Row],[qty_ordered]]&lt;&gt;T[[#This Row],[qty_received]],IF(T[[#This Row],[qty_received]]&gt;0,"Partial Received","Not Receviced"),"FullyReceived")</f>
        <v>FullyReceived</v>
      </c>
      <c r="Q2946" t="str">
        <f>IF(T[[#This Row],[qty_received]]&lt;&gt;T[[#This Row],[qty_invoiced]],IF(T[[#This Row],[qty_invoiced]]&gt;0,"Partial Invoiced","Not Invoiced"),"Fully Invoiced")</f>
        <v>Partial Invoiced</v>
      </c>
      <c r="R2946" t="str">
        <f>IFERROR(VLOOKUP(T[[#This Row],[warehouse]],Table2[],2,FALSE),"--")</f>
        <v>CRUSHER ELBALOLA</v>
      </c>
    </row>
    <row r="2947" spans="1:18" x14ac:dyDescent="0.25">
      <c r="A2947" t="s">
        <v>973</v>
      </c>
      <c r="B2947" s="1">
        <v>44942</v>
      </c>
      <c r="C2947" t="s">
        <v>3044</v>
      </c>
      <c r="D2947" t="s">
        <v>20</v>
      </c>
      <c r="E2947" t="s">
        <v>281</v>
      </c>
      <c r="F2947" t="s">
        <v>526</v>
      </c>
      <c r="G2947" t="s">
        <v>472</v>
      </c>
      <c r="H2947" t="s">
        <v>123</v>
      </c>
      <c r="I2947">
        <v>10000</v>
      </c>
      <c r="J2947">
        <v>10000</v>
      </c>
      <c r="K2947">
        <v>10000</v>
      </c>
      <c r="L2947" t="s">
        <v>693</v>
      </c>
      <c r="M2947" t="s">
        <v>1485</v>
      </c>
      <c r="N2947">
        <v>31250</v>
      </c>
      <c r="O2947">
        <v>312500000</v>
      </c>
      <c r="P2947" t="str">
        <f>IF(T[[#This Row],[qty_ordered]]&lt;&gt;T[[#This Row],[qty_received]],IF(T[[#This Row],[qty_received]]&gt;0,"Partial Received","Not Receviced"),"FullyReceived")</f>
        <v>FullyReceived</v>
      </c>
      <c r="Q2947" t="str">
        <f>IF(T[[#This Row],[qty_received]]&lt;&gt;T[[#This Row],[qty_invoiced]],IF(T[[#This Row],[qty_invoiced]]&gt;0,"Partial Invoiced","Not Invoiced"),"Fully Invoiced")</f>
        <v>Fully Invoiced</v>
      </c>
      <c r="R2947" t="str">
        <f>IFERROR(VLOOKUP(T[[#This Row],[warehouse]],Table2[],2,FALSE),"--")</f>
        <v>Crusher Alm Eldin-KH</v>
      </c>
    </row>
    <row r="2948" spans="1:18" x14ac:dyDescent="0.25">
      <c r="A2948" t="s">
        <v>228</v>
      </c>
      <c r="B2948" s="1">
        <v>44942</v>
      </c>
      <c r="C2948" t="s">
        <v>3045</v>
      </c>
      <c r="D2948" t="s">
        <v>20</v>
      </c>
      <c r="E2948" t="s">
        <v>239</v>
      </c>
      <c r="F2948" t="s">
        <v>196</v>
      </c>
      <c r="G2948" t="s">
        <v>197</v>
      </c>
      <c r="H2948" t="s">
        <v>24</v>
      </c>
      <c r="I2948">
        <v>3000</v>
      </c>
      <c r="J2948">
        <v>1047.7</v>
      </c>
      <c r="K2948">
        <v>1047.7</v>
      </c>
      <c r="L2948" t="s">
        <v>693</v>
      </c>
      <c r="M2948" t="s">
        <v>1485</v>
      </c>
      <c r="N2948">
        <v>240000</v>
      </c>
      <c r="O2948">
        <v>251448000</v>
      </c>
      <c r="P2948" t="str">
        <f>IF(T[[#This Row],[qty_ordered]]&lt;&gt;T[[#This Row],[qty_received]],IF(T[[#This Row],[qty_received]]&gt;0,"Partial Received","Not Receviced"),"FullyReceived")</f>
        <v>Partial Received</v>
      </c>
      <c r="Q2948" t="str">
        <f>IF(T[[#This Row],[qty_received]]&lt;&gt;T[[#This Row],[qty_invoiced]],IF(T[[#This Row],[qty_invoiced]]&gt;0,"Partial Invoiced","Not Invoiced"),"Fully Invoiced")</f>
        <v>Fully Invoiced</v>
      </c>
      <c r="R2948" t="str">
        <f>IFERROR(VLOOKUP(T[[#This Row],[warehouse]],Table2[],2,FALSE),"--")</f>
        <v xml:space="preserve">Gadarif Main Store </v>
      </c>
    </row>
    <row r="2949" spans="1:18" x14ac:dyDescent="0.25">
      <c r="A2949" t="s">
        <v>84</v>
      </c>
      <c r="B2949" s="1">
        <v>44908</v>
      </c>
      <c r="C2949" t="s">
        <v>2950</v>
      </c>
      <c r="D2949" t="s">
        <v>100</v>
      </c>
      <c r="E2949" t="s">
        <v>982</v>
      </c>
      <c r="F2949" t="s">
        <v>86</v>
      </c>
      <c r="G2949" t="s">
        <v>87</v>
      </c>
      <c r="H2949" t="s">
        <v>24</v>
      </c>
      <c r="I2949">
        <v>562.99900000000002</v>
      </c>
      <c r="J2949">
        <v>292.3</v>
      </c>
      <c r="K2949">
        <v>292.3</v>
      </c>
      <c r="L2949" t="s">
        <v>693</v>
      </c>
      <c r="M2949" t="s">
        <v>1485</v>
      </c>
      <c r="N2949">
        <v>1039078.222163</v>
      </c>
      <c r="O2949">
        <v>303722564.33824497</v>
      </c>
      <c r="P2949" t="str">
        <f>IF(T[[#This Row],[qty_ordered]]&lt;&gt;T[[#This Row],[qty_received]],IF(T[[#This Row],[qty_received]]&gt;0,"Partial Received","Not Receviced"),"FullyReceived")</f>
        <v>Partial Received</v>
      </c>
      <c r="Q2949" t="str">
        <f>IF(T[[#This Row],[qty_received]]&lt;&gt;T[[#This Row],[qty_invoiced]],IF(T[[#This Row],[qty_invoiced]]&gt;0,"Partial Invoiced","Not Invoiced"),"Fully Invoiced")</f>
        <v>Fully Invoiced</v>
      </c>
      <c r="R2949" t="str">
        <f>IFERROR(VLOOKUP(T[[#This Row],[warehouse]],Table2[],2,FALSE),"--")</f>
        <v>SIFTER - SAMELOMDRMA</v>
      </c>
    </row>
    <row r="2950" spans="1:18" x14ac:dyDescent="0.25">
      <c r="A2950" t="s">
        <v>955</v>
      </c>
      <c r="B2950" s="1">
        <v>44930</v>
      </c>
      <c r="C2950" t="s">
        <v>3011</v>
      </c>
      <c r="D2950" t="s">
        <v>71</v>
      </c>
      <c r="E2950" t="s">
        <v>1139</v>
      </c>
      <c r="F2950" t="s">
        <v>108</v>
      </c>
      <c r="G2950" t="s">
        <v>109</v>
      </c>
      <c r="H2950" t="s">
        <v>24</v>
      </c>
      <c r="I2950">
        <v>419</v>
      </c>
      <c r="J2950">
        <v>228.98</v>
      </c>
      <c r="K2950">
        <v>228.98</v>
      </c>
      <c r="L2950" t="s">
        <v>693</v>
      </c>
      <c r="M2950" t="s">
        <v>1485</v>
      </c>
      <c r="N2950">
        <v>715990.453461</v>
      </c>
      <c r="O2950">
        <v>163947494.03349999</v>
      </c>
      <c r="P2950" t="str">
        <f>IF(T[[#This Row],[qty_ordered]]&lt;&gt;T[[#This Row],[qty_received]],IF(T[[#This Row],[qty_received]]&gt;0,"Partial Received","Not Receviced"),"FullyReceived")</f>
        <v>Partial Received</v>
      </c>
      <c r="Q2950" t="str">
        <f>IF(T[[#This Row],[qty_received]]&lt;&gt;T[[#This Row],[qty_invoiced]],IF(T[[#This Row],[qty_invoiced]]&gt;0,"Partial Invoiced","Not Invoiced"),"Fully Invoiced")</f>
        <v>Fully Invoiced</v>
      </c>
      <c r="R2950" t="str">
        <f>IFERROR(VLOOKUP(T[[#This Row],[warehouse]],Table2[],2,FALSE),"--")</f>
        <v>Magzoub Sorting - OMD</v>
      </c>
    </row>
    <row r="2951" spans="1:18" x14ac:dyDescent="0.25">
      <c r="A2951" t="s">
        <v>201</v>
      </c>
      <c r="B2951" s="1">
        <v>44881</v>
      </c>
      <c r="C2951" t="s">
        <v>2834</v>
      </c>
      <c r="D2951" t="s">
        <v>74</v>
      </c>
      <c r="E2951" t="s">
        <v>51</v>
      </c>
      <c r="F2951" t="s">
        <v>933</v>
      </c>
      <c r="G2951" t="s">
        <v>933</v>
      </c>
      <c r="H2951" t="s">
        <v>54</v>
      </c>
      <c r="I2951">
        <v>3</v>
      </c>
      <c r="J2951">
        <v>0</v>
      </c>
      <c r="K2951">
        <v>0</v>
      </c>
      <c r="L2951" t="s">
        <v>693</v>
      </c>
      <c r="M2951" t="s">
        <v>1404</v>
      </c>
      <c r="N2951">
        <v>1.5938319999999999</v>
      </c>
      <c r="O2951">
        <v>0</v>
      </c>
      <c r="P2951" t="str">
        <f>IF(T[[#This Row],[qty_ordered]]&lt;&gt;T[[#This Row],[qty_received]],IF(T[[#This Row],[qty_received]]&gt;0,"Partial Received","Not Receviced"),"FullyReceived")</f>
        <v>Not Receviced</v>
      </c>
      <c r="Q2951" t="str">
        <f>IF(T[[#This Row],[qty_received]]&lt;&gt;T[[#This Row],[qty_invoiced]],IF(T[[#This Row],[qty_invoiced]]&gt;0,"Partial Invoiced","Not Invoiced"),"Fully Invoiced")</f>
        <v>Fully Invoiced</v>
      </c>
      <c r="R2951" t="str">
        <f>IFERROR(VLOOKUP(T[[#This Row],[warehouse]],Table2[],2,FALSE),"--")</f>
        <v>--</v>
      </c>
    </row>
    <row r="2952" spans="1:18" x14ac:dyDescent="0.25">
      <c r="A2952" t="s">
        <v>201</v>
      </c>
      <c r="B2952" s="1">
        <v>44881</v>
      </c>
      <c r="C2952" t="s">
        <v>2834</v>
      </c>
      <c r="D2952" t="s">
        <v>76</v>
      </c>
      <c r="E2952" t="s">
        <v>51</v>
      </c>
      <c r="F2952" t="s">
        <v>933</v>
      </c>
      <c r="G2952" t="s">
        <v>933</v>
      </c>
      <c r="H2952" t="s">
        <v>54</v>
      </c>
      <c r="I2952">
        <v>1</v>
      </c>
      <c r="J2952">
        <v>0</v>
      </c>
      <c r="K2952">
        <v>0</v>
      </c>
      <c r="L2952" t="s">
        <v>693</v>
      </c>
      <c r="M2952" t="s">
        <v>1404</v>
      </c>
      <c r="N2952">
        <v>5706723.4451599997</v>
      </c>
      <c r="O2952">
        <v>0</v>
      </c>
      <c r="P2952" t="str">
        <f>IF(T[[#This Row],[qty_ordered]]&lt;&gt;T[[#This Row],[qty_received]],IF(T[[#This Row],[qty_received]]&gt;0,"Partial Received","Not Receviced"),"FullyReceived")</f>
        <v>Not Receviced</v>
      </c>
      <c r="Q2952" t="str">
        <f>IF(T[[#This Row],[qty_received]]&lt;&gt;T[[#This Row],[qty_invoiced]],IF(T[[#This Row],[qty_invoiced]]&gt;0,"Partial Invoiced","Not Invoiced"),"Fully Invoiced")</f>
        <v>Fully Invoiced</v>
      </c>
      <c r="R2952" t="str">
        <f>IFERROR(VLOOKUP(T[[#This Row],[warehouse]],Table2[],2,FALSE),"--")</f>
        <v>--</v>
      </c>
    </row>
    <row r="2953" spans="1:18" x14ac:dyDescent="0.25">
      <c r="A2953" t="s">
        <v>201</v>
      </c>
      <c r="B2953" s="1">
        <v>44881</v>
      </c>
      <c r="C2953" t="s">
        <v>2834</v>
      </c>
      <c r="D2953" t="s">
        <v>212</v>
      </c>
      <c r="E2953" t="s">
        <v>51</v>
      </c>
      <c r="F2953" t="s">
        <v>933</v>
      </c>
      <c r="G2953" t="s">
        <v>933</v>
      </c>
      <c r="H2953" t="s">
        <v>54</v>
      </c>
      <c r="I2953">
        <v>1</v>
      </c>
      <c r="J2953">
        <v>0</v>
      </c>
      <c r="K2953">
        <v>0</v>
      </c>
      <c r="L2953" t="s">
        <v>693</v>
      </c>
      <c r="M2953" t="s">
        <v>1404</v>
      </c>
      <c r="N2953">
        <v>1214946.2569599999</v>
      </c>
      <c r="O2953">
        <v>0</v>
      </c>
      <c r="P2953" t="str">
        <f>IF(T[[#This Row],[qty_ordered]]&lt;&gt;T[[#This Row],[qty_received]],IF(T[[#This Row],[qty_received]]&gt;0,"Partial Received","Not Receviced"),"FullyReceived")</f>
        <v>Not Receviced</v>
      </c>
      <c r="Q2953" t="str">
        <f>IF(T[[#This Row],[qty_received]]&lt;&gt;T[[#This Row],[qty_invoiced]],IF(T[[#This Row],[qty_invoiced]]&gt;0,"Partial Invoiced","Not Invoiced"),"Fully Invoiced")</f>
        <v>Fully Invoiced</v>
      </c>
      <c r="R2953" t="str">
        <f>IFERROR(VLOOKUP(T[[#This Row],[warehouse]],Table2[],2,FALSE),"--")</f>
        <v>--</v>
      </c>
    </row>
    <row r="2954" spans="1:18" x14ac:dyDescent="0.25">
      <c r="A2954" t="s">
        <v>201</v>
      </c>
      <c r="B2954" s="1">
        <v>44881</v>
      </c>
      <c r="C2954" t="s">
        <v>2834</v>
      </c>
      <c r="D2954" t="s">
        <v>322</v>
      </c>
      <c r="E2954" t="s">
        <v>51</v>
      </c>
      <c r="F2954" t="s">
        <v>933</v>
      </c>
      <c r="G2954" t="s">
        <v>933</v>
      </c>
      <c r="H2954" t="s">
        <v>54</v>
      </c>
      <c r="I2954">
        <v>1</v>
      </c>
      <c r="J2954">
        <v>0</v>
      </c>
      <c r="K2954">
        <v>0</v>
      </c>
      <c r="L2954" t="s">
        <v>693</v>
      </c>
      <c r="M2954" t="s">
        <v>1404</v>
      </c>
      <c r="N2954">
        <v>30089.954328</v>
      </c>
      <c r="O2954">
        <v>0</v>
      </c>
      <c r="P2954" t="str">
        <f>IF(T[[#This Row],[qty_ordered]]&lt;&gt;T[[#This Row],[qty_received]],IF(T[[#This Row],[qty_received]]&gt;0,"Partial Received","Not Receviced"),"FullyReceived")</f>
        <v>Not Receviced</v>
      </c>
      <c r="Q2954" t="str">
        <f>IF(T[[#This Row],[qty_received]]&lt;&gt;T[[#This Row],[qty_invoiced]],IF(T[[#This Row],[qty_invoiced]]&gt;0,"Partial Invoiced","Not Invoiced"),"Fully Invoiced")</f>
        <v>Fully Invoiced</v>
      </c>
      <c r="R2954" t="str">
        <f>IFERROR(VLOOKUP(T[[#This Row],[warehouse]],Table2[],2,FALSE),"--")</f>
        <v>--</v>
      </c>
    </row>
    <row r="2955" spans="1:18" x14ac:dyDescent="0.25">
      <c r="A2955" t="s">
        <v>201</v>
      </c>
      <c r="B2955" s="1">
        <v>44937</v>
      </c>
      <c r="C2955" t="s">
        <v>3046</v>
      </c>
      <c r="D2955" t="s">
        <v>20</v>
      </c>
      <c r="E2955" t="s">
        <v>1220</v>
      </c>
      <c r="F2955" t="s">
        <v>3047</v>
      </c>
      <c r="G2955" t="s">
        <v>3048</v>
      </c>
      <c r="H2955" t="s">
        <v>711</v>
      </c>
      <c r="I2955">
        <v>252200</v>
      </c>
      <c r="J2955">
        <v>252200</v>
      </c>
      <c r="K2955">
        <v>252200</v>
      </c>
      <c r="L2955" t="s">
        <v>693</v>
      </c>
      <c r="M2955" t="s">
        <v>707</v>
      </c>
      <c r="N2955">
        <v>6189.9972150399999</v>
      </c>
      <c r="O2955">
        <v>1561117297.63309</v>
      </c>
      <c r="P2955" t="str">
        <f>IF(T[[#This Row],[qty_ordered]]&lt;&gt;T[[#This Row],[qty_received]],IF(T[[#This Row],[qty_received]]&gt;0,"Partial Received","Not Receviced"),"FullyReceived")</f>
        <v>FullyReceived</v>
      </c>
      <c r="Q2955" t="str">
        <f>IF(T[[#This Row],[qty_received]]&lt;&gt;T[[#This Row],[qty_invoiced]],IF(T[[#This Row],[qty_invoiced]]&gt;0,"Partial Invoiced","Not Invoiced"),"Fully Invoiced")</f>
        <v>Fully Invoiced</v>
      </c>
      <c r="R2955" t="str">
        <f>IFERROR(VLOOKUP(T[[#This Row],[warehouse]],Table2[],2,FALSE),"--")</f>
        <v>Import Virtual Warehouse - PZU</v>
      </c>
    </row>
    <row r="2956" spans="1:18" x14ac:dyDescent="0.25">
      <c r="A2956" t="s">
        <v>201</v>
      </c>
      <c r="B2956" s="1">
        <v>44937</v>
      </c>
      <c r="C2956" t="s">
        <v>3046</v>
      </c>
      <c r="D2956" t="s">
        <v>71</v>
      </c>
      <c r="E2956" t="s">
        <v>1220</v>
      </c>
      <c r="F2956" t="s">
        <v>3049</v>
      </c>
      <c r="G2956" t="s">
        <v>3050</v>
      </c>
      <c r="H2956" t="s">
        <v>149</v>
      </c>
      <c r="I2956">
        <v>7566</v>
      </c>
      <c r="J2956">
        <v>3000</v>
      </c>
      <c r="K2956">
        <v>0</v>
      </c>
      <c r="L2956" t="s">
        <v>693</v>
      </c>
      <c r="M2956" t="s">
        <v>707</v>
      </c>
      <c r="N2956">
        <v>0</v>
      </c>
      <c r="O2956">
        <v>0</v>
      </c>
      <c r="P2956" t="str">
        <f>IF(T[[#This Row],[qty_ordered]]&lt;&gt;T[[#This Row],[qty_received]],IF(T[[#This Row],[qty_received]]&gt;0,"Partial Received","Not Receviced"),"FullyReceived")</f>
        <v>Partial Received</v>
      </c>
      <c r="Q2956" t="str">
        <f>IF(T[[#This Row],[qty_received]]&lt;&gt;T[[#This Row],[qty_invoiced]],IF(T[[#This Row],[qty_invoiced]]&gt;0,"Partial Invoiced","Not Invoiced"),"Fully Invoiced")</f>
        <v>Not Invoiced</v>
      </c>
      <c r="R2956" t="str">
        <f>IFERROR(VLOOKUP(T[[#This Row],[warehouse]],Table2[],2,FALSE),"--")</f>
        <v>Import Virtual Warehouse - PZU</v>
      </c>
    </row>
    <row r="2957" spans="1:18" x14ac:dyDescent="0.25">
      <c r="A2957" t="s">
        <v>235</v>
      </c>
      <c r="B2957" s="1">
        <v>44899</v>
      </c>
      <c r="C2957" t="s">
        <v>2912</v>
      </c>
      <c r="D2957" t="s">
        <v>71</v>
      </c>
      <c r="E2957" t="s">
        <v>51</v>
      </c>
      <c r="F2957" t="s">
        <v>546</v>
      </c>
      <c r="G2957" t="s">
        <v>2333</v>
      </c>
      <c r="H2957" t="s">
        <v>54</v>
      </c>
      <c r="I2957">
        <v>10000</v>
      </c>
      <c r="J2957">
        <v>0</v>
      </c>
      <c r="K2957">
        <v>1</v>
      </c>
      <c r="L2957" t="s">
        <v>693</v>
      </c>
      <c r="M2957" t="s">
        <v>2836</v>
      </c>
      <c r="N2957">
        <v>17.25</v>
      </c>
      <c r="O2957">
        <v>0</v>
      </c>
      <c r="P2957" t="str">
        <f>IF(T[[#This Row],[qty_ordered]]&lt;&gt;T[[#This Row],[qty_received]],IF(T[[#This Row],[qty_received]]&gt;0,"Partial Received","Not Receviced"),"FullyReceived")</f>
        <v>Not Receviced</v>
      </c>
      <c r="Q2957" t="str">
        <f>IF(T[[#This Row],[qty_received]]&lt;&gt;T[[#This Row],[qty_invoiced]],IF(T[[#This Row],[qty_invoiced]]&gt;0,"Partial Invoiced","Not Invoiced"),"Fully Invoiced")</f>
        <v>Partial Invoiced</v>
      </c>
      <c r="R2957" t="str">
        <f>IFERROR(VLOOKUP(T[[#This Row],[warehouse]],Table2[],2,FALSE),"--")</f>
        <v>--</v>
      </c>
    </row>
    <row r="2958" spans="1:18" x14ac:dyDescent="0.25">
      <c r="A2958" t="s">
        <v>235</v>
      </c>
      <c r="B2958" s="1">
        <v>44924</v>
      </c>
      <c r="C2958" t="s">
        <v>2994</v>
      </c>
      <c r="D2958" t="s">
        <v>74</v>
      </c>
      <c r="E2958" t="s">
        <v>51</v>
      </c>
      <c r="F2958" t="s">
        <v>546</v>
      </c>
      <c r="G2958" t="s">
        <v>1956</v>
      </c>
      <c r="H2958" t="s">
        <v>54</v>
      </c>
      <c r="I2958">
        <v>10000</v>
      </c>
      <c r="J2958">
        <v>0</v>
      </c>
      <c r="K2958">
        <v>1</v>
      </c>
      <c r="L2958" t="s">
        <v>693</v>
      </c>
      <c r="M2958" t="s">
        <v>2836</v>
      </c>
      <c r="N2958">
        <v>17</v>
      </c>
      <c r="O2958">
        <v>0</v>
      </c>
      <c r="P2958" t="str">
        <f>IF(T[[#This Row],[qty_ordered]]&lt;&gt;T[[#This Row],[qty_received]],IF(T[[#This Row],[qty_received]]&gt;0,"Partial Received","Not Receviced"),"FullyReceived")</f>
        <v>Not Receviced</v>
      </c>
      <c r="Q2958" t="str">
        <f>IF(T[[#This Row],[qty_received]]&lt;&gt;T[[#This Row],[qty_invoiced]],IF(T[[#This Row],[qty_invoiced]]&gt;0,"Partial Invoiced","Not Invoiced"),"Fully Invoiced")</f>
        <v>Partial Invoiced</v>
      </c>
      <c r="R2958" t="str">
        <f>IFERROR(VLOOKUP(T[[#This Row],[warehouse]],Table2[],2,FALSE),"--")</f>
        <v>--</v>
      </c>
    </row>
    <row r="2959" spans="1:18" x14ac:dyDescent="0.25">
      <c r="A2959" t="s">
        <v>235</v>
      </c>
      <c r="B2959" s="1">
        <v>44935</v>
      </c>
      <c r="C2959" t="s">
        <v>3035</v>
      </c>
      <c r="D2959" t="s">
        <v>71</v>
      </c>
      <c r="E2959" t="s">
        <v>51</v>
      </c>
      <c r="F2959" t="s">
        <v>546</v>
      </c>
      <c r="G2959" t="s">
        <v>1573</v>
      </c>
      <c r="H2959" t="s">
        <v>54</v>
      </c>
      <c r="I2959">
        <v>7800</v>
      </c>
      <c r="J2959">
        <v>0</v>
      </c>
      <c r="K2959">
        <v>1</v>
      </c>
      <c r="L2959" t="s">
        <v>693</v>
      </c>
      <c r="M2959" t="s">
        <v>2836</v>
      </c>
      <c r="N2959">
        <v>17.256409999999999</v>
      </c>
      <c r="O2959">
        <v>0</v>
      </c>
      <c r="P2959" t="str">
        <f>IF(T[[#This Row],[qty_ordered]]&lt;&gt;T[[#This Row],[qty_received]],IF(T[[#This Row],[qty_received]]&gt;0,"Partial Received","Not Receviced"),"FullyReceived")</f>
        <v>Not Receviced</v>
      </c>
      <c r="Q2959" t="str">
        <f>IF(T[[#This Row],[qty_received]]&lt;&gt;T[[#This Row],[qty_invoiced]],IF(T[[#This Row],[qty_invoiced]]&gt;0,"Partial Invoiced","Not Invoiced"),"Fully Invoiced")</f>
        <v>Partial Invoiced</v>
      </c>
      <c r="R2959" t="str">
        <f>IFERROR(VLOOKUP(T[[#This Row],[warehouse]],Table2[],2,FALSE),"--")</f>
        <v>--</v>
      </c>
    </row>
    <row r="2960" spans="1:18" x14ac:dyDescent="0.25">
      <c r="A2960" t="s">
        <v>201</v>
      </c>
      <c r="B2960" s="1">
        <v>44938</v>
      </c>
      <c r="C2960" t="s">
        <v>3051</v>
      </c>
      <c r="D2960" t="s">
        <v>20</v>
      </c>
      <c r="E2960" t="s">
        <v>1220</v>
      </c>
      <c r="F2960" t="s">
        <v>2893</v>
      </c>
      <c r="G2960" t="s">
        <v>2894</v>
      </c>
      <c r="H2960" t="s">
        <v>711</v>
      </c>
      <c r="I2960">
        <v>25000</v>
      </c>
      <c r="J2960">
        <v>25000</v>
      </c>
      <c r="K2960">
        <v>25000</v>
      </c>
      <c r="L2960" t="s">
        <v>693</v>
      </c>
      <c r="M2960" t="s">
        <v>1485</v>
      </c>
      <c r="N2960">
        <v>13584.27534452</v>
      </c>
      <c r="O2960">
        <v>339606883.61299998</v>
      </c>
      <c r="P2960" t="str">
        <f>IF(T[[#This Row],[qty_ordered]]&lt;&gt;T[[#This Row],[qty_received]],IF(T[[#This Row],[qty_received]]&gt;0,"Partial Received","Not Receviced"),"FullyReceived")</f>
        <v>FullyReceived</v>
      </c>
      <c r="Q2960" t="str">
        <f>IF(T[[#This Row],[qty_received]]&lt;&gt;T[[#This Row],[qty_invoiced]],IF(T[[#This Row],[qty_invoiced]]&gt;0,"Partial Invoiced","Not Invoiced"),"Fully Invoiced")</f>
        <v>Fully Invoiced</v>
      </c>
      <c r="R2960" t="str">
        <f>IFERROR(VLOOKUP(T[[#This Row],[warehouse]],Table2[],2,FALSE),"--")</f>
        <v>Import Virtual Warehouse - PZU</v>
      </c>
    </row>
    <row r="2961" spans="1:18" x14ac:dyDescent="0.25">
      <c r="A2961" t="s">
        <v>201</v>
      </c>
      <c r="B2961" s="1">
        <v>44938</v>
      </c>
      <c r="C2961" t="s">
        <v>3051</v>
      </c>
      <c r="D2961" t="s">
        <v>71</v>
      </c>
      <c r="E2961" t="s">
        <v>1220</v>
      </c>
      <c r="F2961" t="s">
        <v>2895</v>
      </c>
      <c r="G2961" t="s">
        <v>2896</v>
      </c>
      <c r="H2961" t="s">
        <v>711</v>
      </c>
      <c r="I2961">
        <v>25000</v>
      </c>
      <c r="J2961">
        <v>25000</v>
      </c>
      <c r="K2961">
        <v>25000</v>
      </c>
      <c r="L2961" t="s">
        <v>693</v>
      </c>
      <c r="M2961" t="s">
        <v>1485</v>
      </c>
      <c r="N2961">
        <v>13584.27534452</v>
      </c>
      <c r="O2961">
        <v>339606883.61299998</v>
      </c>
      <c r="P2961" t="str">
        <f>IF(T[[#This Row],[qty_ordered]]&lt;&gt;T[[#This Row],[qty_received]],IF(T[[#This Row],[qty_received]]&gt;0,"Partial Received","Not Receviced"),"FullyReceived")</f>
        <v>FullyReceived</v>
      </c>
      <c r="Q2961" t="str">
        <f>IF(T[[#This Row],[qty_received]]&lt;&gt;T[[#This Row],[qty_invoiced]],IF(T[[#This Row],[qty_invoiced]]&gt;0,"Partial Invoiced","Not Invoiced"),"Fully Invoiced")</f>
        <v>Fully Invoiced</v>
      </c>
      <c r="R2961" t="str">
        <f>IFERROR(VLOOKUP(T[[#This Row],[warehouse]],Table2[],2,FALSE),"--")</f>
        <v>Import Virtual Warehouse - PZU</v>
      </c>
    </row>
    <row r="2962" spans="1:18" x14ac:dyDescent="0.25">
      <c r="A2962" t="s">
        <v>224</v>
      </c>
      <c r="B2962" s="1">
        <v>44941</v>
      </c>
      <c r="C2962" t="s">
        <v>3052</v>
      </c>
      <c r="D2962" t="s">
        <v>20</v>
      </c>
      <c r="E2962" t="s">
        <v>51</v>
      </c>
      <c r="F2962" t="s">
        <v>183</v>
      </c>
      <c r="G2962" t="s">
        <v>1632</v>
      </c>
      <c r="H2962" t="s">
        <v>54</v>
      </c>
      <c r="I2962">
        <v>413.85</v>
      </c>
      <c r="J2962">
        <v>0</v>
      </c>
      <c r="K2962">
        <v>1</v>
      </c>
      <c r="L2962" t="s">
        <v>693</v>
      </c>
      <c r="M2962" t="s">
        <v>51</v>
      </c>
      <c r="N2962">
        <v>13000</v>
      </c>
      <c r="O2962">
        <v>0</v>
      </c>
      <c r="P2962" t="str">
        <f>IF(T[[#This Row],[qty_ordered]]&lt;&gt;T[[#This Row],[qty_received]],IF(T[[#This Row],[qty_received]]&gt;0,"Partial Received","Not Receviced"),"FullyReceived")</f>
        <v>Not Receviced</v>
      </c>
      <c r="Q2962" t="str">
        <f>IF(T[[#This Row],[qty_received]]&lt;&gt;T[[#This Row],[qty_invoiced]],IF(T[[#This Row],[qty_invoiced]]&gt;0,"Partial Invoiced","Not Invoiced"),"Fully Invoiced")</f>
        <v>Partial Invoiced</v>
      </c>
      <c r="R2962" t="str">
        <f>IFERROR(VLOOKUP(T[[#This Row],[warehouse]],Table2[],2,FALSE),"--")</f>
        <v>--</v>
      </c>
    </row>
    <row r="2963" spans="1:18" x14ac:dyDescent="0.25">
      <c r="A2963" t="s">
        <v>989</v>
      </c>
      <c r="B2963" s="1">
        <v>44924</v>
      </c>
      <c r="C2963" t="s">
        <v>2992</v>
      </c>
      <c r="D2963" t="s">
        <v>71</v>
      </c>
      <c r="E2963" t="s">
        <v>51</v>
      </c>
      <c r="F2963" t="s">
        <v>183</v>
      </c>
      <c r="G2963" t="s">
        <v>1488</v>
      </c>
      <c r="H2963" t="s">
        <v>54</v>
      </c>
      <c r="I2963">
        <v>300</v>
      </c>
      <c r="J2963">
        <v>0</v>
      </c>
      <c r="K2963">
        <v>1</v>
      </c>
      <c r="L2963" t="s">
        <v>693</v>
      </c>
      <c r="M2963" t="s">
        <v>51</v>
      </c>
      <c r="N2963">
        <v>13000</v>
      </c>
      <c r="O2963">
        <v>0</v>
      </c>
      <c r="P2963" t="str">
        <f>IF(T[[#This Row],[qty_ordered]]&lt;&gt;T[[#This Row],[qty_received]],IF(T[[#This Row],[qty_received]]&gt;0,"Partial Received","Not Receviced"),"FullyReceived")</f>
        <v>Not Receviced</v>
      </c>
      <c r="Q2963" t="str">
        <f>IF(T[[#This Row],[qty_received]]&lt;&gt;T[[#This Row],[qty_invoiced]],IF(T[[#This Row],[qty_invoiced]]&gt;0,"Partial Invoiced","Not Invoiced"),"Fully Invoiced")</f>
        <v>Partial Invoiced</v>
      </c>
      <c r="R2963" t="str">
        <f>IFERROR(VLOOKUP(T[[#This Row],[warehouse]],Table2[],2,FALSE),"--")</f>
        <v>--</v>
      </c>
    </row>
    <row r="2964" spans="1:18" x14ac:dyDescent="0.25">
      <c r="A2964" t="s">
        <v>955</v>
      </c>
      <c r="B2964" s="1">
        <v>44944</v>
      </c>
      <c r="C2964" t="s">
        <v>3053</v>
      </c>
      <c r="D2964" t="s">
        <v>20</v>
      </c>
      <c r="E2964" t="s">
        <v>2915</v>
      </c>
      <c r="F2964" t="s">
        <v>406</v>
      </c>
      <c r="G2964" t="s">
        <v>407</v>
      </c>
      <c r="H2964" t="s">
        <v>24</v>
      </c>
      <c r="I2964">
        <v>64.119</v>
      </c>
      <c r="J2964">
        <v>19.88</v>
      </c>
      <c r="K2964">
        <v>19.88</v>
      </c>
      <c r="L2964" t="s">
        <v>693</v>
      </c>
      <c r="M2964" t="s">
        <v>707</v>
      </c>
      <c r="N2964">
        <v>99999.766059999994</v>
      </c>
      <c r="O2964">
        <v>1987995.3492727999</v>
      </c>
      <c r="P2964" t="str">
        <f>IF(T[[#This Row],[qty_ordered]]&lt;&gt;T[[#This Row],[qty_received]],IF(T[[#This Row],[qty_received]]&gt;0,"Partial Received","Not Receviced"),"FullyReceived")</f>
        <v>Partial Received</v>
      </c>
      <c r="Q2964" t="str">
        <f>IF(T[[#This Row],[qty_received]]&lt;&gt;T[[#This Row],[qty_invoiced]],IF(T[[#This Row],[qty_invoiced]]&gt;0,"Partial Invoiced","Not Invoiced"),"Fully Invoiced")</f>
        <v>Fully Invoiced</v>
      </c>
      <c r="R2964" t="str">
        <f>IFERROR(VLOOKUP(T[[#This Row],[warehouse]],Table2[],2,FALSE),"--")</f>
        <v xml:space="preserve">MSG Ginning New Halfa </v>
      </c>
    </row>
    <row r="2965" spans="1:18" x14ac:dyDescent="0.25">
      <c r="A2965" t="s">
        <v>303</v>
      </c>
      <c r="B2965" s="1">
        <v>44945</v>
      </c>
      <c r="C2965" t="s">
        <v>3054</v>
      </c>
      <c r="D2965" t="s">
        <v>20</v>
      </c>
      <c r="E2965" t="s">
        <v>66</v>
      </c>
      <c r="F2965" t="s">
        <v>529</v>
      </c>
      <c r="G2965" t="s">
        <v>530</v>
      </c>
      <c r="H2965" t="s">
        <v>531</v>
      </c>
      <c r="I2965">
        <v>2000</v>
      </c>
      <c r="J2965">
        <v>1074</v>
      </c>
      <c r="K2965">
        <v>1074</v>
      </c>
      <c r="L2965" t="s">
        <v>693</v>
      </c>
      <c r="M2965" t="s">
        <v>51</v>
      </c>
      <c r="N2965">
        <v>54000</v>
      </c>
      <c r="O2965">
        <v>57996000</v>
      </c>
      <c r="P2965" t="str">
        <f>IF(T[[#This Row],[qty_ordered]]&lt;&gt;T[[#This Row],[qty_received]],IF(T[[#This Row],[qty_received]]&gt;0,"Partial Received","Not Receviced"),"FullyReceived")</f>
        <v>Partial Received</v>
      </c>
      <c r="Q2965" t="str">
        <f>IF(T[[#This Row],[qty_received]]&lt;&gt;T[[#This Row],[qty_invoiced]],IF(T[[#This Row],[qty_invoiced]]&gt;0,"Partial Invoiced","Not Invoiced"),"Fully Invoiced")</f>
        <v>Fully Invoiced</v>
      </c>
      <c r="R2965" t="str">
        <f>IFERROR(VLOOKUP(T[[#This Row],[warehouse]],Table2[],2,FALSE),"--")</f>
        <v>PZU Main Warehouse</v>
      </c>
    </row>
    <row r="2966" spans="1:18" x14ac:dyDescent="0.25">
      <c r="A2966" t="s">
        <v>2377</v>
      </c>
      <c r="B2966" s="1">
        <v>44944</v>
      </c>
      <c r="C2966" t="s">
        <v>3055</v>
      </c>
      <c r="D2966" t="s">
        <v>100</v>
      </c>
      <c r="E2966" t="s">
        <v>1220</v>
      </c>
      <c r="F2966" t="s">
        <v>1690</v>
      </c>
      <c r="G2966" t="s">
        <v>3056</v>
      </c>
      <c r="H2966" t="s">
        <v>123</v>
      </c>
      <c r="I2966">
        <v>222000</v>
      </c>
      <c r="J2966">
        <v>222000</v>
      </c>
      <c r="K2966">
        <v>222000</v>
      </c>
      <c r="L2966" t="s">
        <v>693</v>
      </c>
      <c r="M2966" t="s">
        <v>1485</v>
      </c>
      <c r="N2966">
        <v>17011.490000000002</v>
      </c>
      <c r="O2966">
        <v>3776550780</v>
      </c>
      <c r="P2966" t="str">
        <f>IF(T[[#This Row],[qty_ordered]]&lt;&gt;T[[#This Row],[qty_received]],IF(T[[#This Row],[qty_received]]&gt;0,"Partial Received","Not Receviced"),"FullyReceived")</f>
        <v>FullyReceived</v>
      </c>
      <c r="Q2966" t="str">
        <f>IF(T[[#This Row],[qty_received]]&lt;&gt;T[[#This Row],[qty_invoiced]],IF(T[[#This Row],[qty_invoiced]]&gt;0,"Partial Invoiced","Not Invoiced"),"Fully Invoiced")</f>
        <v>Fully Invoiced</v>
      </c>
      <c r="R2966" t="str">
        <f>IFERROR(VLOOKUP(T[[#This Row],[warehouse]],Table2[],2,FALSE),"--")</f>
        <v>Import Virtual Warehouse - PZU</v>
      </c>
    </row>
    <row r="2967" spans="1:18" x14ac:dyDescent="0.25">
      <c r="A2967" t="s">
        <v>3057</v>
      </c>
      <c r="B2967" s="1">
        <v>44943</v>
      </c>
      <c r="C2967" t="s">
        <v>3058</v>
      </c>
      <c r="D2967" t="s">
        <v>20</v>
      </c>
      <c r="E2967" t="s">
        <v>51</v>
      </c>
      <c r="F2967" t="s">
        <v>674</v>
      </c>
      <c r="G2967" t="s">
        <v>3059</v>
      </c>
      <c r="H2967" t="s">
        <v>54</v>
      </c>
      <c r="I2967">
        <v>5815.89</v>
      </c>
      <c r="J2967">
        <v>0</v>
      </c>
      <c r="K2967">
        <v>1</v>
      </c>
      <c r="L2967" t="s">
        <v>693</v>
      </c>
      <c r="M2967" t="s">
        <v>2836</v>
      </c>
      <c r="N2967">
        <v>10000</v>
      </c>
      <c r="O2967">
        <v>0</v>
      </c>
      <c r="P2967" t="str">
        <f>IF(T[[#This Row],[qty_ordered]]&lt;&gt;T[[#This Row],[qty_received]],IF(T[[#This Row],[qty_received]]&gt;0,"Partial Received","Not Receviced"),"FullyReceived")</f>
        <v>Not Receviced</v>
      </c>
      <c r="Q2967" t="str">
        <f>IF(T[[#This Row],[qty_received]]&lt;&gt;T[[#This Row],[qty_invoiced]],IF(T[[#This Row],[qty_invoiced]]&gt;0,"Partial Invoiced","Not Invoiced"),"Fully Invoiced")</f>
        <v>Partial Invoiced</v>
      </c>
      <c r="R2967" t="str">
        <f>IFERROR(VLOOKUP(T[[#This Row],[warehouse]],Table2[],2,FALSE),"--")</f>
        <v>--</v>
      </c>
    </row>
    <row r="2968" spans="1:18" x14ac:dyDescent="0.25">
      <c r="A2968" t="s">
        <v>3057</v>
      </c>
      <c r="B2968" s="1">
        <v>44943</v>
      </c>
      <c r="C2968" t="s">
        <v>3058</v>
      </c>
      <c r="D2968" t="s">
        <v>71</v>
      </c>
      <c r="E2968" t="s">
        <v>51</v>
      </c>
      <c r="F2968" t="s">
        <v>278</v>
      </c>
      <c r="G2968" t="s">
        <v>3060</v>
      </c>
      <c r="H2968" t="s">
        <v>54</v>
      </c>
      <c r="I2968">
        <v>5815.89</v>
      </c>
      <c r="J2968">
        <v>0</v>
      </c>
      <c r="K2968">
        <v>1</v>
      </c>
      <c r="L2968" t="s">
        <v>693</v>
      </c>
      <c r="M2968" t="s">
        <v>2836</v>
      </c>
      <c r="N2968">
        <v>39.999896999999997</v>
      </c>
      <c r="O2968">
        <v>0</v>
      </c>
      <c r="P2968" t="str">
        <f>IF(T[[#This Row],[qty_ordered]]&lt;&gt;T[[#This Row],[qty_received]],IF(T[[#This Row],[qty_received]]&gt;0,"Partial Received","Not Receviced"),"FullyReceived")</f>
        <v>Not Receviced</v>
      </c>
      <c r="Q2968" t="str">
        <f>IF(T[[#This Row],[qty_received]]&lt;&gt;T[[#This Row],[qty_invoiced]],IF(T[[#This Row],[qty_invoiced]]&gt;0,"Partial Invoiced","Not Invoiced"),"Fully Invoiced")</f>
        <v>Partial Invoiced</v>
      </c>
      <c r="R2968" t="str">
        <f>IFERROR(VLOOKUP(T[[#This Row],[warehouse]],Table2[],2,FALSE),"--")</f>
        <v>--</v>
      </c>
    </row>
    <row r="2969" spans="1:18" x14ac:dyDescent="0.25">
      <c r="A2969" t="s">
        <v>303</v>
      </c>
      <c r="B2969" s="1">
        <v>44943</v>
      </c>
      <c r="C2969" t="s">
        <v>3061</v>
      </c>
      <c r="D2969" t="s">
        <v>20</v>
      </c>
      <c r="E2969" t="s">
        <v>66</v>
      </c>
      <c r="F2969" t="s">
        <v>1860</v>
      </c>
      <c r="G2969" t="s">
        <v>1861</v>
      </c>
      <c r="H2969" t="s">
        <v>531</v>
      </c>
      <c r="I2969">
        <v>1600</v>
      </c>
      <c r="J2969">
        <v>621</v>
      </c>
      <c r="K2969">
        <v>621</v>
      </c>
      <c r="L2969" t="s">
        <v>693</v>
      </c>
      <c r="M2969" t="s">
        <v>1485</v>
      </c>
      <c r="N2969">
        <v>98000</v>
      </c>
      <c r="O2969">
        <v>60858000</v>
      </c>
      <c r="P2969" t="str">
        <f>IF(T[[#This Row],[qty_ordered]]&lt;&gt;T[[#This Row],[qty_received]],IF(T[[#This Row],[qty_received]]&gt;0,"Partial Received","Not Receviced"),"FullyReceived")</f>
        <v>Partial Received</v>
      </c>
      <c r="Q2969" t="str">
        <f>IF(T[[#This Row],[qty_received]]&lt;&gt;T[[#This Row],[qty_invoiced]],IF(T[[#This Row],[qty_invoiced]]&gt;0,"Partial Invoiced","Not Invoiced"),"Fully Invoiced")</f>
        <v>Fully Invoiced</v>
      </c>
      <c r="R2969" t="str">
        <f>IFERROR(VLOOKUP(T[[#This Row],[warehouse]],Table2[],2,FALSE),"--")</f>
        <v>PZU Main Warehouse</v>
      </c>
    </row>
    <row r="2970" spans="1:18" x14ac:dyDescent="0.25">
      <c r="A2970" t="s">
        <v>2377</v>
      </c>
      <c r="B2970" s="1">
        <v>44944</v>
      </c>
      <c r="C2970" t="s">
        <v>3055</v>
      </c>
      <c r="D2970" t="s">
        <v>20</v>
      </c>
      <c r="E2970" t="s">
        <v>1220</v>
      </c>
      <c r="F2970" t="s">
        <v>1221</v>
      </c>
      <c r="G2970" t="s">
        <v>1634</v>
      </c>
      <c r="H2970" t="s">
        <v>123</v>
      </c>
      <c r="I2970">
        <v>238000</v>
      </c>
      <c r="J2970">
        <v>238000</v>
      </c>
      <c r="K2970">
        <v>238000</v>
      </c>
      <c r="L2970" t="s">
        <v>693</v>
      </c>
      <c r="M2970" t="s">
        <v>1485</v>
      </c>
      <c r="N2970">
        <v>18715.28</v>
      </c>
      <c r="O2970">
        <v>4454236640</v>
      </c>
      <c r="P2970" t="str">
        <f>IF(T[[#This Row],[qty_ordered]]&lt;&gt;T[[#This Row],[qty_received]],IF(T[[#This Row],[qty_received]]&gt;0,"Partial Received","Not Receviced"),"FullyReceived")</f>
        <v>FullyReceived</v>
      </c>
      <c r="Q2970" t="str">
        <f>IF(T[[#This Row],[qty_received]]&lt;&gt;T[[#This Row],[qty_invoiced]],IF(T[[#This Row],[qty_invoiced]]&gt;0,"Partial Invoiced","Not Invoiced"),"Fully Invoiced")</f>
        <v>Fully Invoiced</v>
      </c>
      <c r="R2970" t="str">
        <f>IFERROR(VLOOKUP(T[[#This Row],[warehouse]],Table2[],2,FALSE),"--")</f>
        <v>Import Virtual Warehouse - PZU</v>
      </c>
    </row>
    <row r="2971" spans="1:18" x14ac:dyDescent="0.25">
      <c r="A2971" t="s">
        <v>989</v>
      </c>
      <c r="B2971" s="1">
        <v>44924</v>
      </c>
      <c r="C2971" t="s">
        <v>2992</v>
      </c>
      <c r="D2971" t="s">
        <v>100</v>
      </c>
      <c r="E2971" t="s">
        <v>51</v>
      </c>
      <c r="F2971" t="s">
        <v>183</v>
      </c>
      <c r="G2971" t="s">
        <v>1968</v>
      </c>
      <c r="H2971" t="s">
        <v>54</v>
      </c>
      <c r="I2971">
        <v>300</v>
      </c>
      <c r="J2971">
        <v>0</v>
      </c>
      <c r="K2971">
        <v>1</v>
      </c>
      <c r="L2971" t="s">
        <v>693</v>
      </c>
      <c r="M2971" t="s">
        <v>51</v>
      </c>
      <c r="N2971">
        <v>13000</v>
      </c>
      <c r="O2971">
        <v>0</v>
      </c>
      <c r="P2971" t="str">
        <f>IF(T[[#This Row],[qty_ordered]]&lt;&gt;T[[#This Row],[qty_received]],IF(T[[#This Row],[qty_received]]&gt;0,"Partial Received","Not Receviced"),"FullyReceived")</f>
        <v>Not Receviced</v>
      </c>
      <c r="Q2971" t="str">
        <f>IF(T[[#This Row],[qty_received]]&lt;&gt;T[[#This Row],[qty_invoiced]],IF(T[[#This Row],[qty_invoiced]]&gt;0,"Partial Invoiced","Not Invoiced"),"Fully Invoiced")</f>
        <v>Partial Invoiced</v>
      </c>
      <c r="R2971" t="str">
        <f>IFERROR(VLOOKUP(T[[#This Row],[warehouse]],Table2[],2,FALSE),"--")</f>
        <v>--</v>
      </c>
    </row>
    <row r="2972" spans="1:18" x14ac:dyDescent="0.25">
      <c r="A2972" t="s">
        <v>597</v>
      </c>
      <c r="B2972" s="1">
        <v>44936</v>
      </c>
      <c r="C2972" t="s">
        <v>3039</v>
      </c>
      <c r="D2972" t="s">
        <v>71</v>
      </c>
      <c r="E2972" t="s">
        <v>51</v>
      </c>
      <c r="F2972" t="s">
        <v>183</v>
      </c>
      <c r="G2972" t="s">
        <v>1628</v>
      </c>
      <c r="H2972" t="s">
        <v>54</v>
      </c>
      <c r="I2972">
        <v>700</v>
      </c>
      <c r="J2972">
        <v>0</v>
      </c>
      <c r="K2972">
        <v>1</v>
      </c>
      <c r="L2972" t="s">
        <v>693</v>
      </c>
      <c r="M2972" t="s">
        <v>2836</v>
      </c>
      <c r="N2972">
        <v>14500</v>
      </c>
      <c r="O2972">
        <v>0</v>
      </c>
      <c r="P2972" t="str">
        <f>IF(T[[#This Row],[qty_ordered]]&lt;&gt;T[[#This Row],[qty_received]],IF(T[[#This Row],[qty_received]]&gt;0,"Partial Received","Not Receviced"),"FullyReceived")</f>
        <v>Not Receviced</v>
      </c>
      <c r="Q2972" t="str">
        <f>IF(T[[#This Row],[qty_received]]&lt;&gt;T[[#This Row],[qty_invoiced]],IF(T[[#This Row],[qty_invoiced]]&gt;0,"Partial Invoiced","Not Invoiced"),"Fully Invoiced")</f>
        <v>Partial Invoiced</v>
      </c>
      <c r="R2972" t="str">
        <f>IFERROR(VLOOKUP(T[[#This Row],[warehouse]],Table2[],2,FALSE),"--")</f>
        <v>--</v>
      </c>
    </row>
    <row r="2973" spans="1:18" x14ac:dyDescent="0.25">
      <c r="A2973" t="s">
        <v>423</v>
      </c>
      <c r="B2973" s="1">
        <v>44921</v>
      </c>
      <c r="C2973" t="s">
        <v>2977</v>
      </c>
      <c r="D2973" t="s">
        <v>74</v>
      </c>
      <c r="E2973" t="s">
        <v>51</v>
      </c>
      <c r="F2973" t="s">
        <v>546</v>
      </c>
      <c r="G2973" t="s">
        <v>3062</v>
      </c>
      <c r="H2973" t="s">
        <v>54</v>
      </c>
      <c r="I2973">
        <v>20000</v>
      </c>
      <c r="J2973">
        <v>0</v>
      </c>
      <c r="K2973">
        <v>1</v>
      </c>
      <c r="L2973" t="s">
        <v>693</v>
      </c>
      <c r="M2973" t="s">
        <v>2836</v>
      </c>
      <c r="N2973">
        <v>26</v>
      </c>
      <c r="O2973">
        <v>0</v>
      </c>
      <c r="P2973" t="str">
        <f>IF(T[[#This Row],[qty_ordered]]&lt;&gt;T[[#This Row],[qty_received]],IF(T[[#This Row],[qty_received]]&gt;0,"Partial Received","Not Receviced"),"FullyReceived")</f>
        <v>Not Receviced</v>
      </c>
      <c r="Q2973" t="str">
        <f>IF(T[[#This Row],[qty_received]]&lt;&gt;T[[#This Row],[qty_invoiced]],IF(T[[#This Row],[qty_invoiced]]&gt;0,"Partial Invoiced","Not Invoiced"),"Fully Invoiced")</f>
        <v>Partial Invoiced</v>
      </c>
      <c r="R2973" t="str">
        <f>IFERROR(VLOOKUP(T[[#This Row],[warehouse]],Table2[],2,FALSE),"--")</f>
        <v>--</v>
      </c>
    </row>
    <row r="2974" spans="1:18" x14ac:dyDescent="0.25">
      <c r="A2974" t="s">
        <v>423</v>
      </c>
      <c r="B2974" s="1">
        <v>44921</v>
      </c>
      <c r="C2974" t="s">
        <v>2977</v>
      </c>
      <c r="D2974" t="s">
        <v>76</v>
      </c>
      <c r="E2974" t="s">
        <v>51</v>
      </c>
      <c r="F2974" t="s">
        <v>546</v>
      </c>
      <c r="G2974" t="s">
        <v>1993</v>
      </c>
      <c r="H2974" t="s">
        <v>54</v>
      </c>
      <c r="I2974">
        <v>2000</v>
      </c>
      <c r="J2974">
        <v>0</v>
      </c>
      <c r="K2974">
        <v>1</v>
      </c>
      <c r="L2974" t="s">
        <v>693</v>
      </c>
      <c r="M2974" t="s">
        <v>2836</v>
      </c>
      <c r="N2974">
        <v>26</v>
      </c>
      <c r="O2974">
        <v>0</v>
      </c>
      <c r="P2974" t="str">
        <f>IF(T[[#This Row],[qty_ordered]]&lt;&gt;T[[#This Row],[qty_received]],IF(T[[#This Row],[qty_received]]&gt;0,"Partial Received","Not Receviced"),"FullyReceived")</f>
        <v>Not Receviced</v>
      </c>
      <c r="Q2974" t="str">
        <f>IF(T[[#This Row],[qty_received]]&lt;&gt;T[[#This Row],[qty_invoiced]],IF(T[[#This Row],[qty_invoiced]]&gt;0,"Partial Invoiced","Not Invoiced"),"Fully Invoiced")</f>
        <v>Partial Invoiced</v>
      </c>
      <c r="R2974" t="str">
        <f>IFERROR(VLOOKUP(T[[#This Row],[warehouse]],Table2[],2,FALSE),"--")</f>
        <v>--</v>
      </c>
    </row>
    <row r="2975" spans="1:18" x14ac:dyDescent="0.25">
      <c r="A2975" t="s">
        <v>423</v>
      </c>
      <c r="B2975" s="1">
        <v>44899</v>
      </c>
      <c r="C2975" t="s">
        <v>2908</v>
      </c>
      <c r="D2975" t="s">
        <v>100</v>
      </c>
      <c r="E2975" t="s">
        <v>51</v>
      </c>
      <c r="F2975" t="s">
        <v>818</v>
      </c>
      <c r="G2975" t="s">
        <v>3063</v>
      </c>
      <c r="H2975" t="s">
        <v>54</v>
      </c>
      <c r="I2975">
        <v>10</v>
      </c>
      <c r="J2975">
        <v>0</v>
      </c>
      <c r="K2975">
        <v>1</v>
      </c>
      <c r="L2975" t="s">
        <v>693</v>
      </c>
      <c r="M2975" t="s">
        <v>2836</v>
      </c>
      <c r="N2975">
        <v>8000</v>
      </c>
      <c r="O2975">
        <v>0</v>
      </c>
      <c r="P2975" t="str">
        <f>IF(T[[#This Row],[qty_ordered]]&lt;&gt;T[[#This Row],[qty_received]],IF(T[[#This Row],[qty_received]]&gt;0,"Partial Received","Not Receviced"),"FullyReceived")</f>
        <v>Not Receviced</v>
      </c>
      <c r="Q2975" t="str">
        <f>IF(T[[#This Row],[qty_received]]&lt;&gt;T[[#This Row],[qty_invoiced]],IF(T[[#This Row],[qty_invoiced]]&gt;0,"Partial Invoiced","Not Invoiced"),"Fully Invoiced")</f>
        <v>Partial Invoiced</v>
      </c>
      <c r="R2975" t="str">
        <f>IFERROR(VLOOKUP(T[[#This Row],[warehouse]],Table2[],2,FALSE),"--")</f>
        <v>--</v>
      </c>
    </row>
    <row r="2976" spans="1:18" x14ac:dyDescent="0.25">
      <c r="A2976" t="s">
        <v>423</v>
      </c>
      <c r="B2976" s="1">
        <v>44949</v>
      </c>
      <c r="C2976" t="s">
        <v>3064</v>
      </c>
      <c r="D2976" t="s">
        <v>20</v>
      </c>
      <c r="E2976" t="s">
        <v>51</v>
      </c>
      <c r="F2976" t="s">
        <v>2873</v>
      </c>
      <c r="G2976" t="s">
        <v>3065</v>
      </c>
      <c r="H2976" t="s">
        <v>54</v>
      </c>
      <c r="I2976">
        <v>25000</v>
      </c>
      <c r="J2976">
        <v>0</v>
      </c>
      <c r="K2976">
        <v>1</v>
      </c>
      <c r="L2976" t="s">
        <v>693</v>
      </c>
      <c r="M2976" t="s">
        <v>2836</v>
      </c>
      <c r="N2976">
        <v>15</v>
      </c>
      <c r="O2976">
        <v>0</v>
      </c>
      <c r="P2976" t="str">
        <f>IF(T[[#This Row],[qty_ordered]]&lt;&gt;T[[#This Row],[qty_received]],IF(T[[#This Row],[qty_received]]&gt;0,"Partial Received","Not Receviced"),"FullyReceived")</f>
        <v>Not Receviced</v>
      </c>
      <c r="Q2976" t="str">
        <f>IF(T[[#This Row],[qty_received]]&lt;&gt;T[[#This Row],[qty_invoiced]],IF(T[[#This Row],[qty_invoiced]]&gt;0,"Partial Invoiced","Not Invoiced"),"Fully Invoiced")</f>
        <v>Partial Invoiced</v>
      </c>
      <c r="R2976" t="str">
        <f>IFERROR(VLOOKUP(T[[#This Row],[warehouse]],Table2[],2,FALSE),"--")</f>
        <v>--</v>
      </c>
    </row>
    <row r="2977" spans="1:18" x14ac:dyDescent="0.25">
      <c r="A2977" t="s">
        <v>423</v>
      </c>
      <c r="B2977" s="1">
        <v>44949</v>
      </c>
      <c r="C2977" t="s">
        <v>3066</v>
      </c>
      <c r="D2977" t="s">
        <v>20</v>
      </c>
      <c r="E2977" t="s">
        <v>51</v>
      </c>
      <c r="F2977" t="s">
        <v>2873</v>
      </c>
      <c r="G2977" t="s">
        <v>3067</v>
      </c>
      <c r="H2977" t="s">
        <v>54</v>
      </c>
      <c r="I2977">
        <v>12000</v>
      </c>
      <c r="J2977">
        <v>0</v>
      </c>
      <c r="K2977">
        <v>1</v>
      </c>
      <c r="L2977" t="s">
        <v>693</v>
      </c>
      <c r="M2977" t="s">
        <v>2836</v>
      </c>
      <c r="N2977">
        <v>15</v>
      </c>
      <c r="O2977">
        <v>0</v>
      </c>
      <c r="P2977" t="str">
        <f>IF(T[[#This Row],[qty_ordered]]&lt;&gt;T[[#This Row],[qty_received]],IF(T[[#This Row],[qty_received]]&gt;0,"Partial Received","Not Receviced"),"FullyReceived")</f>
        <v>Not Receviced</v>
      </c>
      <c r="Q2977" t="str">
        <f>IF(T[[#This Row],[qty_received]]&lt;&gt;T[[#This Row],[qty_invoiced]],IF(T[[#This Row],[qty_invoiced]]&gt;0,"Partial Invoiced","Not Invoiced"),"Fully Invoiced")</f>
        <v>Partial Invoiced</v>
      </c>
      <c r="R2977" t="str">
        <f>IFERROR(VLOOKUP(T[[#This Row],[warehouse]],Table2[],2,FALSE),"--")</f>
        <v>--</v>
      </c>
    </row>
    <row r="2978" spans="1:18" x14ac:dyDescent="0.25">
      <c r="A2978" t="s">
        <v>252</v>
      </c>
      <c r="B2978" s="1">
        <v>44949</v>
      </c>
      <c r="C2978" t="s">
        <v>3068</v>
      </c>
      <c r="D2978" t="s">
        <v>20</v>
      </c>
      <c r="E2978" t="s">
        <v>51</v>
      </c>
      <c r="F2978" t="s">
        <v>183</v>
      </c>
      <c r="G2978" t="s">
        <v>1632</v>
      </c>
      <c r="H2978" t="s">
        <v>54</v>
      </c>
      <c r="I2978">
        <v>111.622</v>
      </c>
      <c r="J2978">
        <v>0</v>
      </c>
      <c r="K2978">
        <v>1</v>
      </c>
      <c r="L2978" t="s">
        <v>693</v>
      </c>
      <c r="M2978" t="s">
        <v>2836</v>
      </c>
      <c r="N2978">
        <v>13000</v>
      </c>
      <c r="O2978">
        <v>0</v>
      </c>
      <c r="P2978" t="str">
        <f>IF(T[[#This Row],[qty_ordered]]&lt;&gt;T[[#This Row],[qty_received]],IF(T[[#This Row],[qty_received]]&gt;0,"Partial Received","Not Receviced"),"FullyReceived")</f>
        <v>Not Receviced</v>
      </c>
      <c r="Q2978" t="str">
        <f>IF(T[[#This Row],[qty_received]]&lt;&gt;T[[#This Row],[qty_invoiced]],IF(T[[#This Row],[qty_invoiced]]&gt;0,"Partial Invoiced","Not Invoiced"),"Fully Invoiced")</f>
        <v>Partial Invoiced</v>
      </c>
      <c r="R2978" t="str">
        <f>IFERROR(VLOOKUP(T[[#This Row],[warehouse]],Table2[],2,FALSE),"--")</f>
        <v>--</v>
      </c>
    </row>
    <row r="2979" spans="1:18" x14ac:dyDescent="0.25">
      <c r="A2979" t="s">
        <v>732</v>
      </c>
      <c r="B2979" s="1">
        <v>44234</v>
      </c>
      <c r="C2979" t="s">
        <v>1297</v>
      </c>
      <c r="D2979" t="s">
        <v>74</v>
      </c>
      <c r="E2979" t="s">
        <v>51</v>
      </c>
      <c r="F2979" t="s">
        <v>164</v>
      </c>
      <c r="G2979" t="s">
        <v>1900</v>
      </c>
      <c r="H2979" t="s">
        <v>54</v>
      </c>
      <c r="I2979">
        <v>2388.7199999999998</v>
      </c>
      <c r="J2979">
        <v>0</v>
      </c>
      <c r="K2979">
        <v>1</v>
      </c>
      <c r="L2979" t="s">
        <v>25</v>
      </c>
      <c r="M2979" t="s">
        <v>533</v>
      </c>
      <c r="N2979">
        <v>40</v>
      </c>
      <c r="O2979">
        <v>0</v>
      </c>
      <c r="P2979" t="str">
        <f>IF(T[[#This Row],[qty_ordered]]&lt;&gt;T[[#This Row],[qty_received]],IF(T[[#This Row],[qty_received]]&gt;0,"Partial Received","Not Receviced"),"FullyReceived")</f>
        <v>Not Receviced</v>
      </c>
      <c r="Q2979" t="str">
        <f>IF(T[[#This Row],[qty_received]]&lt;&gt;T[[#This Row],[qty_invoiced]],IF(T[[#This Row],[qty_invoiced]]&gt;0,"Partial Invoiced","Not Invoiced"),"Fully Invoiced")</f>
        <v>Partial Invoiced</v>
      </c>
      <c r="R2979" t="str">
        <f>IFERROR(VLOOKUP(T[[#This Row],[warehouse]],Table2[],2,FALSE),"--")</f>
        <v>--</v>
      </c>
    </row>
    <row r="2980" spans="1:18" x14ac:dyDescent="0.25">
      <c r="A2980" t="s">
        <v>732</v>
      </c>
      <c r="B2980" s="1">
        <v>44307</v>
      </c>
      <c r="C2980" t="s">
        <v>1310</v>
      </c>
      <c r="D2980" t="s">
        <v>71</v>
      </c>
      <c r="E2980" t="s">
        <v>51</v>
      </c>
      <c r="F2980" t="s">
        <v>164</v>
      </c>
      <c r="G2980" t="s">
        <v>1901</v>
      </c>
      <c r="H2980" t="s">
        <v>54</v>
      </c>
      <c r="I2980">
        <v>2509.6999999999998</v>
      </c>
      <c r="J2980">
        <v>0</v>
      </c>
      <c r="K2980">
        <v>1</v>
      </c>
      <c r="L2980" t="s">
        <v>25</v>
      </c>
      <c r="M2980" t="s">
        <v>533</v>
      </c>
      <c r="N2980">
        <v>40</v>
      </c>
      <c r="O2980">
        <v>0</v>
      </c>
      <c r="P2980" t="str">
        <f>IF(T[[#This Row],[qty_ordered]]&lt;&gt;T[[#This Row],[qty_received]],IF(T[[#This Row],[qty_received]]&gt;0,"Partial Received","Not Receviced"),"FullyReceived")</f>
        <v>Not Receviced</v>
      </c>
      <c r="Q2980" t="str">
        <f>IF(T[[#This Row],[qty_received]]&lt;&gt;T[[#This Row],[qty_invoiced]],IF(T[[#This Row],[qty_invoiced]]&gt;0,"Partial Invoiced","Not Invoiced"),"Fully Invoiced")</f>
        <v>Partial Invoiced</v>
      </c>
      <c r="R2980" t="str">
        <f>IFERROR(VLOOKUP(T[[#This Row],[warehouse]],Table2[],2,FALSE),"--")</f>
        <v>--</v>
      </c>
    </row>
    <row r="2981" spans="1:18" x14ac:dyDescent="0.25">
      <c r="A2981" t="s">
        <v>955</v>
      </c>
      <c r="B2981" s="1">
        <v>44440</v>
      </c>
      <c r="C2981" t="s">
        <v>1902</v>
      </c>
      <c r="D2981" t="s">
        <v>20</v>
      </c>
      <c r="E2981" t="s">
        <v>162</v>
      </c>
      <c r="F2981" t="s">
        <v>86</v>
      </c>
      <c r="G2981" t="s">
        <v>87</v>
      </c>
      <c r="H2981" t="s">
        <v>24</v>
      </c>
      <c r="I2981">
        <v>500</v>
      </c>
      <c r="J2981">
        <v>0</v>
      </c>
      <c r="K2981">
        <v>0</v>
      </c>
      <c r="L2981" t="s">
        <v>693</v>
      </c>
      <c r="M2981" t="s">
        <v>132</v>
      </c>
      <c r="N2981">
        <v>500000</v>
      </c>
      <c r="O2981">
        <v>0</v>
      </c>
      <c r="P2981" t="str">
        <f>IF(T[[#This Row],[qty_ordered]]&lt;&gt;T[[#This Row],[qty_received]],IF(T[[#This Row],[qty_received]]&gt;0,"Partial Received","Not Receviced"),"FullyReceived")</f>
        <v>Not Receviced</v>
      </c>
      <c r="Q2981" t="str">
        <f>IF(T[[#This Row],[qty_received]]&lt;&gt;T[[#This Row],[qty_invoiced]],IF(T[[#This Row],[qty_invoiced]]&gt;0,"Partial Invoiced","Not Invoiced"),"Fully Invoiced")</f>
        <v>Fully Invoiced</v>
      </c>
      <c r="R2981" t="str">
        <f>IFERROR(VLOOKUP(T[[#This Row],[warehouse]],Table2[],2,FALSE),"--")</f>
        <v>Sifters Mahasilna</v>
      </c>
    </row>
    <row r="2982" spans="1:18" x14ac:dyDescent="0.25">
      <c r="A2982" t="s">
        <v>618</v>
      </c>
      <c r="B2982" s="1">
        <v>44417</v>
      </c>
      <c r="C2982" t="s">
        <v>1432</v>
      </c>
      <c r="D2982" t="s">
        <v>88</v>
      </c>
      <c r="E2982" t="s">
        <v>553</v>
      </c>
      <c r="F2982" t="s">
        <v>86</v>
      </c>
      <c r="G2982" t="s">
        <v>87</v>
      </c>
      <c r="H2982" t="s">
        <v>24</v>
      </c>
      <c r="I2982">
        <v>110</v>
      </c>
      <c r="J2982">
        <v>0</v>
      </c>
      <c r="K2982">
        <v>0</v>
      </c>
      <c r="L2982" t="s">
        <v>25</v>
      </c>
      <c r="M2982" t="s">
        <v>132</v>
      </c>
      <c r="N2982">
        <v>545454.54545500001</v>
      </c>
      <c r="O2982">
        <v>0</v>
      </c>
      <c r="P2982" t="str">
        <f>IF(T[[#This Row],[qty_ordered]]&lt;&gt;T[[#This Row],[qty_received]],IF(T[[#This Row],[qty_received]]&gt;0,"Partial Received","Not Receviced"),"FullyReceived")</f>
        <v>Not Receviced</v>
      </c>
      <c r="Q2982" t="str">
        <f>IF(T[[#This Row],[qty_received]]&lt;&gt;T[[#This Row],[qty_invoiced]],IF(T[[#This Row],[qty_invoiced]]&gt;0,"Partial Invoiced","Not Invoiced"),"Fully Invoiced")</f>
        <v>Fully Invoiced</v>
      </c>
      <c r="R2982" t="str">
        <f>IFERROR(VLOOKUP(T[[#This Row],[warehouse]],Table2[],2,FALSE),"--")</f>
        <v>SIFTING HMA-SOBA</v>
      </c>
    </row>
    <row r="2983" spans="1:18" x14ac:dyDescent="0.25">
      <c r="A2983" t="s">
        <v>757</v>
      </c>
      <c r="B2983" s="1">
        <v>44451</v>
      </c>
      <c r="C2983" t="s">
        <v>1480</v>
      </c>
      <c r="D2983" t="s">
        <v>20</v>
      </c>
      <c r="E2983" t="s">
        <v>51</v>
      </c>
      <c r="F2983" t="s">
        <v>183</v>
      </c>
      <c r="G2983" t="s">
        <v>937</v>
      </c>
      <c r="H2983" t="s">
        <v>54</v>
      </c>
      <c r="I2983">
        <v>500</v>
      </c>
      <c r="J2983">
        <v>0</v>
      </c>
      <c r="K2983">
        <v>1</v>
      </c>
      <c r="L2983" t="s">
        <v>25</v>
      </c>
      <c r="M2983" t="s">
        <v>533</v>
      </c>
      <c r="N2983">
        <v>4000</v>
      </c>
      <c r="O2983">
        <v>0</v>
      </c>
      <c r="P2983" t="str">
        <f>IF(T[[#This Row],[qty_ordered]]&lt;&gt;T[[#This Row],[qty_received]],IF(T[[#This Row],[qty_received]]&gt;0,"Partial Received","Not Receviced"),"FullyReceived")</f>
        <v>Not Receviced</v>
      </c>
      <c r="Q2983" t="str">
        <f>IF(T[[#This Row],[qty_received]]&lt;&gt;T[[#This Row],[qty_invoiced]],IF(T[[#This Row],[qty_invoiced]]&gt;0,"Partial Invoiced","Not Invoiced"),"Fully Invoiced")</f>
        <v>Partial Invoiced</v>
      </c>
      <c r="R2983" t="str">
        <f>IFERROR(VLOOKUP(T[[#This Row],[warehouse]],Table2[],2,FALSE),"--")</f>
        <v>--</v>
      </c>
    </row>
    <row r="2984" spans="1:18" x14ac:dyDescent="0.25">
      <c r="A2984" t="s">
        <v>1496</v>
      </c>
      <c r="B2984" s="1">
        <v>44453</v>
      </c>
      <c r="C2984" t="s">
        <v>1903</v>
      </c>
      <c r="D2984" t="s">
        <v>20</v>
      </c>
      <c r="E2984" t="s">
        <v>410</v>
      </c>
      <c r="F2984" t="s">
        <v>442</v>
      </c>
      <c r="G2984" t="s">
        <v>443</v>
      </c>
      <c r="H2984" t="s">
        <v>123</v>
      </c>
      <c r="I2984">
        <v>100</v>
      </c>
      <c r="J2984">
        <v>0</v>
      </c>
      <c r="K2984">
        <v>0</v>
      </c>
      <c r="L2984" t="s">
        <v>25</v>
      </c>
      <c r="M2984" t="s">
        <v>707</v>
      </c>
      <c r="N2984">
        <v>250000</v>
      </c>
      <c r="O2984">
        <v>0</v>
      </c>
      <c r="P2984" t="str">
        <f>IF(T[[#This Row],[qty_ordered]]&lt;&gt;T[[#This Row],[qty_received]],IF(T[[#This Row],[qty_received]]&gt;0,"Partial Received","Not Receviced"),"FullyReceived")</f>
        <v>Not Receviced</v>
      </c>
      <c r="Q2984" t="str">
        <f>IF(T[[#This Row],[qty_received]]&lt;&gt;T[[#This Row],[qty_invoiced]],IF(T[[#This Row],[qty_invoiced]]&gt;0,"Partial Invoiced","Not Invoiced"),"Fully Invoiced")</f>
        <v>Fully Invoiced</v>
      </c>
      <c r="R2984" t="str">
        <f>IFERROR(VLOOKUP(T[[#This Row],[warehouse]],Table2[],2,FALSE),"--")</f>
        <v>SFITER GUM Masaaie</v>
      </c>
    </row>
    <row r="2985" spans="1:18" x14ac:dyDescent="0.25">
      <c r="A2985" t="s">
        <v>1312</v>
      </c>
      <c r="B2985" s="1">
        <v>44453</v>
      </c>
      <c r="C2985" t="s">
        <v>1904</v>
      </c>
      <c r="D2985" t="s">
        <v>20</v>
      </c>
      <c r="E2985" t="s">
        <v>146</v>
      </c>
      <c r="F2985" t="s">
        <v>1314</v>
      </c>
      <c r="G2985" t="s">
        <v>1315</v>
      </c>
      <c r="H2985" t="s">
        <v>54</v>
      </c>
      <c r="I2985">
        <v>8950</v>
      </c>
      <c r="J2985">
        <v>8850</v>
      </c>
      <c r="K2985">
        <v>8850</v>
      </c>
      <c r="L2985" t="s">
        <v>25</v>
      </c>
      <c r="M2985" t="s">
        <v>1407</v>
      </c>
      <c r="N2985">
        <v>277.23599999999999</v>
      </c>
      <c r="O2985">
        <v>2453538.6</v>
      </c>
      <c r="P2985" t="str">
        <f>IF(T[[#This Row],[qty_ordered]]&lt;&gt;T[[#This Row],[qty_received]],IF(T[[#This Row],[qty_received]]&gt;0,"Partial Received","Not Receviced"),"FullyReceived")</f>
        <v>Partial Received</v>
      </c>
      <c r="Q2985" t="str">
        <f>IF(T[[#This Row],[qty_received]]&lt;&gt;T[[#This Row],[qty_invoiced]],IF(T[[#This Row],[qty_invoiced]]&gt;0,"Partial Invoiced","Not Invoiced"),"Fully Invoiced")</f>
        <v>Fully Invoiced</v>
      </c>
      <c r="R2985" t="str">
        <f>IFERROR(VLOOKUP(T[[#This Row],[warehouse]],Table2[],2,FALSE),"--")</f>
        <v>Khtoum Main Warehouse</v>
      </c>
    </row>
    <row r="2986" spans="1:18" x14ac:dyDescent="0.25">
      <c r="A2986" t="s">
        <v>1454</v>
      </c>
      <c r="B2986" s="1">
        <v>44455</v>
      </c>
      <c r="C2986" t="s">
        <v>1905</v>
      </c>
      <c r="D2986" t="s">
        <v>20</v>
      </c>
      <c r="E2986" t="s">
        <v>146</v>
      </c>
      <c r="F2986" t="s">
        <v>1456</v>
      </c>
      <c r="G2986" t="s">
        <v>1457</v>
      </c>
      <c r="H2986" t="s">
        <v>417</v>
      </c>
      <c r="I2986">
        <v>510</v>
      </c>
      <c r="J2986">
        <v>510</v>
      </c>
      <c r="K2986">
        <v>510</v>
      </c>
      <c r="L2986" t="s">
        <v>25</v>
      </c>
      <c r="M2986" t="s">
        <v>1407</v>
      </c>
      <c r="N2986">
        <v>750</v>
      </c>
      <c r="O2986">
        <v>382500</v>
      </c>
      <c r="P2986" t="str">
        <f>IF(T[[#This Row],[qty_ordered]]&lt;&gt;T[[#This Row],[qty_received]],IF(T[[#This Row],[qty_received]]&gt;0,"Partial Received","Not Receviced"),"FullyReceived")</f>
        <v>FullyReceived</v>
      </c>
      <c r="Q2986" t="str">
        <f>IF(T[[#This Row],[qty_received]]&lt;&gt;T[[#This Row],[qty_invoiced]],IF(T[[#This Row],[qty_invoiced]]&gt;0,"Partial Invoiced","Not Invoiced"),"Fully Invoiced")</f>
        <v>Fully Invoiced</v>
      </c>
      <c r="R2986" t="str">
        <f>IFERROR(VLOOKUP(T[[#This Row],[warehouse]],Table2[],2,FALSE),"--")</f>
        <v>Khtoum Main Warehouse</v>
      </c>
    </row>
    <row r="2987" spans="1:18" x14ac:dyDescent="0.25">
      <c r="A2987" t="s">
        <v>201</v>
      </c>
      <c r="B2987" s="1">
        <v>44455</v>
      </c>
      <c r="C2987" t="s">
        <v>1906</v>
      </c>
      <c r="D2987" t="s">
        <v>20</v>
      </c>
      <c r="E2987" t="s">
        <v>1220</v>
      </c>
      <c r="F2987" t="s">
        <v>1221</v>
      </c>
      <c r="G2987" t="s">
        <v>1634</v>
      </c>
      <c r="H2987" t="s">
        <v>123</v>
      </c>
      <c r="I2987">
        <v>630000</v>
      </c>
      <c r="J2987">
        <v>570000</v>
      </c>
      <c r="K2987">
        <v>570000</v>
      </c>
      <c r="L2987" t="s">
        <v>693</v>
      </c>
      <c r="M2987" t="s">
        <v>744</v>
      </c>
      <c r="N2987">
        <v>9290.0326800000003</v>
      </c>
      <c r="O2987">
        <v>5297068389.6000004</v>
      </c>
      <c r="P2987" t="str">
        <f>IF(T[[#This Row],[qty_ordered]]&lt;&gt;T[[#This Row],[qty_received]],IF(T[[#This Row],[qty_received]]&gt;0,"Partial Received","Not Receviced"),"FullyReceived")</f>
        <v>Partial Received</v>
      </c>
      <c r="Q2987" t="str">
        <f>IF(T[[#This Row],[qty_received]]&lt;&gt;T[[#This Row],[qty_invoiced]],IF(T[[#This Row],[qty_invoiced]]&gt;0,"Partial Invoiced","Not Invoiced"),"Fully Invoiced")</f>
        <v>Fully Invoiced</v>
      </c>
      <c r="R2987" t="str">
        <f>IFERROR(VLOOKUP(T[[#This Row],[warehouse]],Table2[],2,FALSE),"--")</f>
        <v>Import Virtual Warehouse - PZU</v>
      </c>
    </row>
    <row r="2988" spans="1:18" x14ac:dyDescent="0.25">
      <c r="A2988" t="s">
        <v>1868</v>
      </c>
      <c r="B2988" s="1">
        <v>44460</v>
      </c>
      <c r="C2988" t="s">
        <v>1907</v>
      </c>
      <c r="D2988" t="s">
        <v>20</v>
      </c>
      <c r="E2988" t="s">
        <v>51</v>
      </c>
      <c r="F2988" t="s">
        <v>933</v>
      </c>
      <c r="G2988" t="s">
        <v>933</v>
      </c>
      <c r="H2988" t="s">
        <v>54</v>
      </c>
      <c r="I2988">
        <v>3000</v>
      </c>
      <c r="J2988">
        <v>0</v>
      </c>
      <c r="K2988">
        <v>1</v>
      </c>
      <c r="L2988" t="s">
        <v>25</v>
      </c>
      <c r="M2988" t="s">
        <v>1404</v>
      </c>
      <c r="N2988">
        <v>140</v>
      </c>
      <c r="O2988">
        <v>0</v>
      </c>
      <c r="P2988" t="str">
        <f>IF(T[[#This Row],[qty_ordered]]&lt;&gt;T[[#This Row],[qty_received]],IF(T[[#This Row],[qty_received]]&gt;0,"Partial Received","Not Receviced"),"FullyReceived")</f>
        <v>Not Receviced</v>
      </c>
      <c r="Q2988" t="str">
        <f>IF(T[[#This Row],[qty_received]]&lt;&gt;T[[#This Row],[qty_invoiced]],IF(T[[#This Row],[qty_invoiced]]&gt;0,"Partial Invoiced","Not Invoiced"),"Fully Invoiced")</f>
        <v>Partial Invoiced</v>
      </c>
      <c r="R2988" t="str">
        <f>IFERROR(VLOOKUP(T[[#This Row],[warehouse]],Table2[],2,FALSE),"--")</f>
        <v>--</v>
      </c>
    </row>
    <row r="2989" spans="1:18" x14ac:dyDescent="0.25">
      <c r="A2989" t="s">
        <v>1118</v>
      </c>
      <c r="B2989" s="1">
        <v>44430</v>
      </c>
      <c r="C2989" t="s">
        <v>1119</v>
      </c>
      <c r="D2989" t="s">
        <v>71</v>
      </c>
      <c r="E2989" t="s">
        <v>660</v>
      </c>
      <c r="F2989" t="s">
        <v>1042</v>
      </c>
      <c r="G2989" t="s">
        <v>1043</v>
      </c>
      <c r="H2989" t="s">
        <v>663</v>
      </c>
      <c r="I2989">
        <v>0</v>
      </c>
      <c r="J2989">
        <v>0</v>
      </c>
      <c r="K2989">
        <v>0</v>
      </c>
      <c r="L2989" t="s">
        <v>693</v>
      </c>
      <c r="M2989" t="s">
        <v>132</v>
      </c>
      <c r="N2989">
        <v>3725.9959800000001</v>
      </c>
      <c r="O2989">
        <v>0</v>
      </c>
      <c r="P2989" t="str">
        <f>IF(T[[#This Row],[qty_ordered]]&lt;&gt;T[[#This Row],[qty_received]],IF(T[[#This Row],[qty_received]]&gt;0,"Partial Received","Not Receviced"),"FullyReceived")</f>
        <v>FullyReceived</v>
      </c>
      <c r="Q2989" t="str">
        <f>IF(T[[#This Row],[qty_received]]&lt;&gt;T[[#This Row],[qty_invoiced]],IF(T[[#This Row],[qty_invoiced]]&gt;0,"Partial Invoiced","Not Invoiced"),"Fully Invoiced")</f>
        <v>Fully Invoiced</v>
      </c>
      <c r="R2989" t="str">
        <f>IFERROR(VLOOKUP(T[[#This Row],[warehouse]],Table2[],2,FALSE),"--")</f>
        <v>SLAUGHTER HOUSE</v>
      </c>
    </row>
    <row r="2990" spans="1:18" x14ac:dyDescent="0.25">
      <c r="A2990" t="s">
        <v>1114</v>
      </c>
      <c r="B2990" s="1">
        <v>44460</v>
      </c>
      <c r="C2990" t="s">
        <v>1115</v>
      </c>
      <c r="D2990" t="s">
        <v>20</v>
      </c>
      <c r="E2990" t="s">
        <v>660</v>
      </c>
      <c r="F2990" t="s">
        <v>1439</v>
      </c>
      <c r="G2990" t="s">
        <v>1440</v>
      </c>
      <c r="H2990" t="s">
        <v>1087</v>
      </c>
      <c r="I2990">
        <v>0</v>
      </c>
      <c r="J2990">
        <v>0</v>
      </c>
      <c r="K2990">
        <v>0</v>
      </c>
      <c r="L2990" t="s">
        <v>25</v>
      </c>
      <c r="M2990" t="s">
        <v>132</v>
      </c>
      <c r="N2990">
        <v>33000</v>
      </c>
      <c r="O2990">
        <v>0</v>
      </c>
      <c r="P2990" t="str">
        <f>IF(T[[#This Row],[qty_ordered]]&lt;&gt;T[[#This Row],[qty_received]],IF(T[[#This Row],[qty_received]]&gt;0,"Partial Received","Not Receviced"),"FullyReceived")</f>
        <v>FullyReceived</v>
      </c>
      <c r="Q2990" t="str">
        <f>IF(T[[#This Row],[qty_received]]&lt;&gt;T[[#This Row],[qty_invoiced]],IF(T[[#This Row],[qty_invoiced]]&gt;0,"Partial Invoiced","Not Invoiced"),"Fully Invoiced")</f>
        <v>Fully Invoiced</v>
      </c>
      <c r="R2990" t="str">
        <f>IFERROR(VLOOKUP(T[[#This Row],[warehouse]],Table2[],2,FALSE),"--")</f>
        <v>SLAUGHTER HOUSE</v>
      </c>
    </row>
    <row r="2991" spans="1:18" x14ac:dyDescent="0.25">
      <c r="A2991" t="s">
        <v>560</v>
      </c>
      <c r="B2991" s="1">
        <v>44251</v>
      </c>
      <c r="C2991" t="s">
        <v>1248</v>
      </c>
      <c r="D2991" t="s">
        <v>596</v>
      </c>
      <c r="E2991" t="s">
        <v>51</v>
      </c>
      <c r="F2991" t="s">
        <v>164</v>
      </c>
      <c r="G2991" t="s">
        <v>1445</v>
      </c>
      <c r="H2991" t="s">
        <v>54</v>
      </c>
      <c r="I2991">
        <v>17</v>
      </c>
      <c r="J2991">
        <v>0</v>
      </c>
      <c r="K2991">
        <v>1</v>
      </c>
      <c r="L2991" t="s">
        <v>25</v>
      </c>
      <c r="M2991" t="s">
        <v>533</v>
      </c>
      <c r="N2991">
        <v>4130.1764700000003</v>
      </c>
      <c r="O2991">
        <v>0</v>
      </c>
      <c r="P2991" t="str">
        <f>IF(T[[#This Row],[qty_ordered]]&lt;&gt;T[[#This Row],[qty_received]],IF(T[[#This Row],[qty_received]]&gt;0,"Partial Received","Not Receviced"),"FullyReceived")</f>
        <v>Not Receviced</v>
      </c>
      <c r="Q2991" t="str">
        <f>IF(T[[#This Row],[qty_received]]&lt;&gt;T[[#This Row],[qty_invoiced]],IF(T[[#This Row],[qty_invoiced]]&gt;0,"Partial Invoiced","Not Invoiced"),"Fully Invoiced")</f>
        <v>Partial Invoiced</v>
      </c>
      <c r="R2991" t="str">
        <f>IFERROR(VLOOKUP(T[[#This Row],[warehouse]],Table2[],2,FALSE),"--")</f>
        <v>--</v>
      </c>
    </row>
    <row r="2992" spans="1:18" x14ac:dyDescent="0.25">
      <c r="A2992" t="s">
        <v>560</v>
      </c>
      <c r="B2992" s="1">
        <v>44251</v>
      </c>
      <c r="C2992" t="s">
        <v>1247</v>
      </c>
      <c r="D2992" t="s">
        <v>759</v>
      </c>
      <c r="E2992" t="s">
        <v>51</v>
      </c>
      <c r="F2992" t="s">
        <v>164</v>
      </c>
      <c r="G2992" t="s">
        <v>1908</v>
      </c>
      <c r="H2992" t="s">
        <v>54</v>
      </c>
      <c r="I2992">
        <v>28.75</v>
      </c>
      <c r="J2992">
        <v>0</v>
      </c>
      <c r="K2992">
        <v>1</v>
      </c>
      <c r="L2992" t="s">
        <v>25</v>
      </c>
      <c r="M2992" t="s">
        <v>533</v>
      </c>
      <c r="N2992">
        <v>4130.1565209999999</v>
      </c>
      <c r="O2992">
        <v>0</v>
      </c>
      <c r="P2992" t="str">
        <f>IF(T[[#This Row],[qty_ordered]]&lt;&gt;T[[#This Row],[qty_received]],IF(T[[#This Row],[qty_received]]&gt;0,"Partial Received","Not Receviced"),"FullyReceived")</f>
        <v>Not Receviced</v>
      </c>
      <c r="Q2992" t="str">
        <f>IF(T[[#This Row],[qty_received]]&lt;&gt;T[[#This Row],[qty_invoiced]],IF(T[[#This Row],[qty_invoiced]]&gt;0,"Partial Invoiced","Not Invoiced"),"Fully Invoiced")</f>
        <v>Partial Invoiced</v>
      </c>
      <c r="R2992" t="str">
        <f>IFERROR(VLOOKUP(T[[#This Row],[warehouse]],Table2[],2,FALSE),"--")</f>
        <v>--</v>
      </c>
    </row>
    <row r="2993" spans="1:18" x14ac:dyDescent="0.25">
      <c r="A2993" t="s">
        <v>560</v>
      </c>
      <c r="B2993" s="1">
        <v>44251</v>
      </c>
      <c r="C2993" t="s">
        <v>1247</v>
      </c>
      <c r="D2993" t="s">
        <v>694</v>
      </c>
      <c r="E2993" t="s">
        <v>51</v>
      </c>
      <c r="F2993" t="s">
        <v>164</v>
      </c>
      <c r="G2993" t="s">
        <v>1908</v>
      </c>
      <c r="H2993" t="s">
        <v>54</v>
      </c>
      <c r="I2993">
        <v>22.75</v>
      </c>
      <c r="J2993">
        <v>0</v>
      </c>
      <c r="K2993">
        <v>1</v>
      </c>
      <c r="L2993" t="s">
        <v>25</v>
      </c>
      <c r="M2993" t="s">
        <v>533</v>
      </c>
      <c r="N2993">
        <v>4130.1538460000002</v>
      </c>
      <c r="O2993">
        <v>0</v>
      </c>
      <c r="P2993" t="str">
        <f>IF(T[[#This Row],[qty_ordered]]&lt;&gt;T[[#This Row],[qty_received]],IF(T[[#This Row],[qty_received]]&gt;0,"Partial Received","Not Receviced"),"FullyReceived")</f>
        <v>Not Receviced</v>
      </c>
      <c r="Q2993" t="str">
        <f>IF(T[[#This Row],[qty_received]]&lt;&gt;T[[#This Row],[qty_invoiced]],IF(T[[#This Row],[qty_invoiced]]&gt;0,"Partial Invoiced","Not Invoiced"),"Fully Invoiced")</f>
        <v>Partial Invoiced</v>
      </c>
      <c r="R2993" t="str">
        <f>IFERROR(VLOOKUP(T[[#This Row],[warehouse]],Table2[],2,FALSE),"--")</f>
        <v>--</v>
      </c>
    </row>
    <row r="2994" spans="1:18" x14ac:dyDescent="0.25">
      <c r="A2994" t="s">
        <v>560</v>
      </c>
      <c r="B2994" s="1">
        <v>44251</v>
      </c>
      <c r="C2994" t="s">
        <v>1247</v>
      </c>
      <c r="D2994" t="s">
        <v>760</v>
      </c>
      <c r="E2994" t="s">
        <v>51</v>
      </c>
      <c r="F2994" t="s">
        <v>164</v>
      </c>
      <c r="G2994" t="s">
        <v>1908</v>
      </c>
      <c r="H2994" t="s">
        <v>54</v>
      </c>
      <c r="I2994">
        <v>6</v>
      </c>
      <c r="J2994">
        <v>0</v>
      </c>
      <c r="K2994">
        <v>1</v>
      </c>
      <c r="L2994" t="s">
        <v>25</v>
      </c>
      <c r="M2994" t="s">
        <v>533</v>
      </c>
      <c r="N2994">
        <v>4130.1666660000001</v>
      </c>
      <c r="O2994">
        <v>0</v>
      </c>
      <c r="P2994" t="str">
        <f>IF(T[[#This Row],[qty_ordered]]&lt;&gt;T[[#This Row],[qty_received]],IF(T[[#This Row],[qty_received]]&gt;0,"Partial Received","Not Receviced"),"FullyReceived")</f>
        <v>Not Receviced</v>
      </c>
      <c r="Q2994" t="str">
        <f>IF(T[[#This Row],[qty_received]]&lt;&gt;T[[#This Row],[qty_invoiced]],IF(T[[#This Row],[qty_invoiced]]&gt;0,"Partial Invoiced","Not Invoiced"),"Fully Invoiced")</f>
        <v>Partial Invoiced</v>
      </c>
      <c r="R2994" t="str">
        <f>IFERROR(VLOOKUP(T[[#This Row],[warehouse]],Table2[],2,FALSE),"--")</f>
        <v>--</v>
      </c>
    </row>
    <row r="2995" spans="1:18" x14ac:dyDescent="0.25">
      <c r="A2995" t="s">
        <v>560</v>
      </c>
      <c r="B2995" s="1">
        <v>44251</v>
      </c>
      <c r="C2995" t="s">
        <v>1238</v>
      </c>
      <c r="D2995" t="s">
        <v>325</v>
      </c>
      <c r="E2995" t="s">
        <v>51</v>
      </c>
      <c r="F2995" t="s">
        <v>164</v>
      </c>
      <c r="G2995" t="s">
        <v>1909</v>
      </c>
      <c r="H2995" t="s">
        <v>54</v>
      </c>
      <c r="I2995">
        <v>37</v>
      </c>
      <c r="J2995">
        <v>0</v>
      </c>
      <c r="K2995">
        <v>1</v>
      </c>
      <c r="L2995" t="s">
        <v>25</v>
      </c>
      <c r="M2995" t="s">
        <v>533</v>
      </c>
      <c r="N2995">
        <v>4130.1351350000004</v>
      </c>
      <c r="O2995">
        <v>0</v>
      </c>
      <c r="P2995" t="str">
        <f>IF(T[[#This Row],[qty_ordered]]&lt;&gt;T[[#This Row],[qty_received]],IF(T[[#This Row],[qty_received]]&gt;0,"Partial Received","Not Receviced"),"FullyReceived")</f>
        <v>Not Receviced</v>
      </c>
      <c r="Q2995" t="str">
        <f>IF(T[[#This Row],[qty_received]]&lt;&gt;T[[#This Row],[qty_invoiced]],IF(T[[#This Row],[qty_invoiced]]&gt;0,"Partial Invoiced","Not Invoiced"),"Fully Invoiced")</f>
        <v>Partial Invoiced</v>
      </c>
      <c r="R2995" t="str">
        <f>IFERROR(VLOOKUP(T[[#This Row],[warehouse]],Table2[],2,FALSE),"--")</f>
        <v>--</v>
      </c>
    </row>
    <row r="2996" spans="1:18" x14ac:dyDescent="0.25">
      <c r="A2996" t="s">
        <v>560</v>
      </c>
      <c r="B2996" s="1">
        <v>44251</v>
      </c>
      <c r="C2996" t="s">
        <v>1238</v>
      </c>
      <c r="D2996" t="s">
        <v>451</v>
      </c>
      <c r="E2996" t="s">
        <v>51</v>
      </c>
      <c r="F2996" t="s">
        <v>164</v>
      </c>
      <c r="G2996" t="s">
        <v>1909</v>
      </c>
      <c r="H2996" t="s">
        <v>54</v>
      </c>
      <c r="I2996">
        <v>27</v>
      </c>
      <c r="J2996">
        <v>0</v>
      </c>
      <c r="K2996">
        <v>1</v>
      </c>
      <c r="L2996" t="s">
        <v>25</v>
      </c>
      <c r="M2996" t="s">
        <v>533</v>
      </c>
      <c r="N2996">
        <v>4130.1481480000002</v>
      </c>
      <c r="O2996">
        <v>0</v>
      </c>
      <c r="P2996" t="str">
        <f>IF(T[[#This Row],[qty_ordered]]&lt;&gt;T[[#This Row],[qty_received]],IF(T[[#This Row],[qty_received]]&gt;0,"Partial Received","Not Receviced"),"FullyReceived")</f>
        <v>Not Receviced</v>
      </c>
      <c r="Q2996" t="str">
        <f>IF(T[[#This Row],[qty_received]]&lt;&gt;T[[#This Row],[qty_invoiced]],IF(T[[#This Row],[qty_invoiced]]&gt;0,"Partial Invoiced","Not Invoiced"),"Fully Invoiced")</f>
        <v>Partial Invoiced</v>
      </c>
      <c r="R2996" t="str">
        <f>IFERROR(VLOOKUP(T[[#This Row],[warehouse]],Table2[],2,FALSE),"--")</f>
        <v>--</v>
      </c>
    </row>
    <row r="2997" spans="1:18" x14ac:dyDescent="0.25">
      <c r="A2997" t="s">
        <v>560</v>
      </c>
      <c r="B2997" s="1">
        <v>44251</v>
      </c>
      <c r="C2997" t="s">
        <v>1245</v>
      </c>
      <c r="D2997" t="s">
        <v>592</v>
      </c>
      <c r="E2997" t="s">
        <v>51</v>
      </c>
      <c r="F2997" t="s">
        <v>164</v>
      </c>
      <c r="G2997" t="s">
        <v>1384</v>
      </c>
      <c r="H2997" t="s">
        <v>54</v>
      </c>
      <c r="I2997">
        <v>27</v>
      </c>
      <c r="J2997">
        <v>0</v>
      </c>
      <c r="K2997">
        <v>1</v>
      </c>
      <c r="L2997" t="s">
        <v>25</v>
      </c>
      <c r="M2997" t="s">
        <v>533</v>
      </c>
      <c r="N2997">
        <v>4130.1481480000002</v>
      </c>
      <c r="O2997">
        <v>0</v>
      </c>
      <c r="P2997" t="str">
        <f>IF(T[[#This Row],[qty_ordered]]&lt;&gt;T[[#This Row],[qty_received]],IF(T[[#This Row],[qty_received]]&gt;0,"Partial Received","Not Receviced"),"FullyReceived")</f>
        <v>Not Receviced</v>
      </c>
      <c r="Q2997" t="str">
        <f>IF(T[[#This Row],[qty_received]]&lt;&gt;T[[#This Row],[qty_invoiced]],IF(T[[#This Row],[qty_invoiced]]&gt;0,"Partial Invoiced","Not Invoiced"),"Fully Invoiced")</f>
        <v>Partial Invoiced</v>
      </c>
      <c r="R2997" t="str">
        <f>IFERROR(VLOOKUP(T[[#This Row],[warehouse]],Table2[],2,FALSE),"--")</f>
        <v>--</v>
      </c>
    </row>
    <row r="2998" spans="1:18" x14ac:dyDescent="0.25">
      <c r="A2998" t="s">
        <v>560</v>
      </c>
      <c r="B2998" s="1">
        <v>44251</v>
      </c>
      <c r="C2998" t="s">
        <v>1245</v>
      </c>
      <c r="D2998" t="s">
        <v>593</v>
      </c>
      <c r="E2998" t="s">
        <v>51</v>
      </c>
      <c r="F2998" t="s">
        <v>164</v>
      </c>
      <c r="G2998" t="s">
        <v>1384</v>
      </c>
      <c r="H2998" t="s">
        <v>54</v>
      </c>
      <c r="I2998">
        <v>35</v>
      </c>
      <c r="J2998">
        <v>0</v>
      </c>
      <c r="K2998">
        <v>1</v>
      </c>
      <c r="L2998" t="s">
        <v>25</v>
      </c>
      <c r="M2998" t="s">
        <v>533</v>
      </c>
      <c r="N2998">
        <v>4130.1714279999997</v>
      </c>
      <c r="O2998">
        <v>0</v>
      </c>
      <c r="P2998" t="str">
        <f>IF(T[[#This Row],[qty_ordered]]&lt;&gt;T[[#This Row],[qty_received]],IF(T[[#This Row],[qty_received]]&gt;0,"Partial Received","Not Receviced"),"FullyReceived")</f>
        <v>Not Receviced</v>
      </c>
      <c r="Q2998" t="str">
        <f>IF(T[[#This Row],[qty_received]]&lt;&gt;T[[#This Row],[qty_invoiced]],IF(T[[#This Row],[qty_invoiced]]&gt;0,"Partial Invoiced","Not Invoiced"),"Fully Invoiced")</f>
        <v>Partial Invoiced</v>
      </c>
      <c r="R2998" t="str">
        <f>IFERROR(VLOOKUP(T[[#This Row],[warehouse]],Table2[],2,FALSE),"--")</f>
        <v>--</v>
      </c>
    </row>
    <row r="2999" spans="1:18" x14ac:dyDescent="0.25">
      <c r="A2999" t="s">
        <v>1114</v>
      </c>
      <c r="B2999" s="1">
        <v>44460</v>
      </c>
      <c r="C2999" t="s">
        <v>1115</v>
      </c>
      <c r="D2999" t="s">
        <v>71</v>
      </c>
      <c r="E2999" t="s">
        <v>660</v>
      </c>
      <c r="F2999" t="s">
        <v>1451</v>
      </c>
      <c r="G2999" t="s">
        <v>1452</v>
      </c>
      <c r="H2999" t="s">
        <v>1087</v>
      </c>
      <c r="I2999">
        <v>704</v>
      </c>
      <c r="J2999">
        <v>704</v>
      </c>
      <c r="K2999">
        <v>704</v>
      </c>
      <c r="L2999" t="s">
        <v>25</v>
      </c>
      <c r="M2999" t="s">
        <v>132</v>
      </c>
      <c r="N2999">
        <v>25134.524000000001</v>
      </c>
      <c r="O2999">
        <v>17694704.896000002</v>
      </c>
      <c r="P2999" t="str">
        <f>IF(T[[#This Row],[qty_ordered]]&lt;&gt;T[[#This Row],[qty_received]],IF(T[[#This Row],[qty_received]]&gt;0,"Partial Received","Not Receviced"),"FullyReceived")</f>
        <v>FullyReceived</v>
      </c>
      <c r="Q2999" t="str">
        <f>IF(T[[#This Row],[qty_received]]&lt;&gt;T[[#This Row],[qty_invoiced]],IF(T[[#This Row],[qty_invoiced]]&gt;0,"Partial Invoiced","Not Invoiced"),"Fully Invoiced")</f>
        <v>Fully Invoiced</v>
      </c>
      <c r="R2999" t="str">
        <f>IFERROR(VLOOKUP(T[[#This Row],[warehouse]],Table2[],2,FALSE),"--")</f>
        <v>SLAUGHTER HOUSE</v>
      </c>
    </row>
    <row r="3000" spans="1:18" x14ac:dyDescent="0.25">
      <c r="A3000" t="s">
        <v>1475</v>
      </c>
      <c r="B3000" s="1">
        <v>44313</v>
      </c>
      <c r="C3000" t="s">
        <v>1476</v>
      </c>
      <c r="D3000" t="s">
        <v>614</v>
      </c>
      <c r="E3000" t="s">
        <v>51</v>
      </c>
      <c r="F3000" t="s">
        <v>278</v>
      </c>
      <c r="G3000" t="s">
        <v>279</v>
      </c>
      <c r="H3000" t="s">
        <v>54</v>
      </c>
      <c r="I3000">
        <v>7411</v>
      </c>
      <c r="J3000">
        <v>0</v>
      </c>
      <c r="K3000">
        <v>1</v>
      </c>
      <c r="L3000" t="s">
        <v>25</v>
      </c>
      <c r="M3000" t="s">
        <v>533</v>
      </c>
      <c r="N3000">
        <v>25</v>
      </c>
      <c r="O3000">
        <v>0</v>
      </c>
      <c r="P3000" t="str">
        <f>IF(T[[#This Row],[qty_ordered]]&lt;&gt;T[[#This Row],[qty_received]],IF(T[[#This Row],[qty_received]]&gt;0,"Partial Received","Not Receviced"),"FullyReceived")</f>
        <v>Not Receviced</v>
      </c>
      <c r="Q3000" t="str">
        <f>IF(T[[#This Row],[qty_received]]&lt;&gt;T[[#This Row],[qty_invoiced]],IF(T[[#This Row],[qty_invoiced]]&gt;0,"Partial Invoiced","Not Invoiced"),"Fully Invoiced")</f>
        <v>Partial Invoiced</v>
      </c>
      <c r="R3000" t="str">
        <f>IFERROR(VLOOKUP(T[[#This Row],[warehouse]],Table2[],2,FALSE),"--")</f>
        <v>--</v>
      </c>
    </row>
    <row r="3001" spans="1:18" x14ac:dyDescent="0.25">
      <c r="A3001" t="s">
        <v>1475</v>
      </c>
      <c r="B3001" s="1">
        <v>44313</v>
      </c>
      <c r="C3001" t="s">
        <v>1476</v>
      </c>
      <c r="D3001" t="s">
        <v>615</v>
      </c>
      <c r="E3001" t="s">
        <v>51</v>
      </c>
      <c r="F3001" t="s">
        <v>278</v>
      </c>
      <c r="G3001" t="s">
        <v>279</v>
      </c>
      <c r="H3001" t="s">
        <v>54</v>
      </c>
      <c r="I3001">
        <v>1200</v>
      </c>
      <c r="J3001">
        <v>0</v>
      </c>
      <c r="K3001">
        <v>1</v>
      </c>
      <c r="L3001" t="s">
        <v>25</v>
      </c>
      <c r="M3001" t="s">
        <v>533</v>
      </c>
      <c r="N3001">
        <v>500</v>
      </c>
      <c r="O3001">
        <v>0</v>
      </c>
      <c r="P3001" t="str">
        <f>IF(T[[#This Row],[qty_ordered]]&lt;&gt;T[[#This Row],[qty_received]],IF(T[[#This Row],[qty_received]]&gt;0,"Partial Received","Not Receviced"),"FullyReceived")</f>
        <v>Not Receviced</v>
      </c>
      <c r="Q3001" t="str">
        <f>IF(T[[#This Row],[qty_received]]&lt;&gt;T[[#This Row],[qty_invoiced]],IF(T[[#This Row],[qty_invoiced]]&gt;0,"Partial Invoiced","Not Invoiced"),"Fully Invoiced")</f>
        <v>Partial Invoiced</v>
      </c>
      <c r="R3001" t="str">
        <f>IFERROR(VLOOKUP(T[[#This Row],[warehouse]],Table2[],2,FALSE),"--")</f>
        <v>--</v>
      </c>
    </row>
    <row r="3002" spans="1:18" x14ac:dyDescent="0.25">
      <c r="A3002" t="s">
        <v>658</v>
      </c>
      <c r="B3002" s="1">
        <v>44363</v>
      </c>
      <c r="C3002" t="s">
        <v>1397</v>
      </c>
      <c r="D3002" t="s">
        <v>323</v>
      </c>
      <c r="E3002" t="s">
        <v>660</v>
      </c>
      <c r="F3002" t="s">
        <v>661</v>
      </c>
      <c r="G3002" t="s">
        <v>662</v>
      </c>
      <c r="H3002" t="s">
        <v>663</v>
      </c>
      <c r="I3002">
        <v>8165.2</v>
      </c>
      <c r="J3002">
        <v>8165.2</v>
      </c>
      <c r="K3002">
        <v>8165.2</v>
      </c>
      <c r="L3002" t="s">
        <v>25</v>
      </c>
      <c r="M3002" t="s">
        <v>132</v>
      </c>
      <c r="N3002">
        <v>1100.826</v>
      </c>
      <c r="O3002">
        <v>8988464.4551999997</v>
      </c>
      <c r="P3002" t="str">
        <f>IF(T[[#This Row],[qty_ordered]]&lt;&gt;T[[#This Row],[qty_received]],IF(T[[#This Row],[qty_received]]&gt;0,"Partial Received","Not Receviced"),"FullyReceived")</f>
        <v>FullyReceived</v>
      </c>
      <c r="Q3002" t="str">
        <f>IF(T[[#This Row],[qty_received]]&lt;&gt;T[[#This Row],[qty_invoiced]],IF(T[[#This Row],[qty_invoiced]]&gt;0,"Partial Invoiced","Not Invoiced"),"Fully Invoiced")</f>
        <v>Fully Invoiced</v>
      </c>
      <c r="R3002" t="str">
        <f>IFERROR(VLOOKUP(T[[#This Row],[warehouse]],Table2[],2,FALSE),"--")</f>
        <v>SLAUGHTER HOUSE</v>
      </c>
    </row>
    <row r="3003" spans="1:18" x14ac:dyDescent="0.25">
      <c r="A3003" t="s">
        <v>413</v>
      </c>
      <c r="B3003" s="1">
        <v>44424</v>
      </c>
      <c r="C3003" t="s">
        <v>1435</v>
      </c>
      <c r="D3003" t="s">
        <v>71</v>
      </c>
      <c r="E3003" t="s">
        <v>146</v>
      </c>
      <c r="F3003" t="s">
        <v>1027</v>
      </c>
      <c r="G3003" t="s">
        <v>1028</v>
      </c>
      <c r="H3003" t="s">
        <v>149</v>
      </c>
      <c r="I3003">
        <v>132</v>
      </c>
      <c r="J3003">
        <v>132</v>
      </c>
      <c r="K3003">
        <v>132</v>
      </c>
      <c r="L3003" t="s">
        <v>25</v>
      </c>
      <c r="M3003" t="s">
        <v>418</v>
      </c>
      <c r="N3003">
        <v>500</v>
      </c>
      <c r="O3003">
        <v>66000</v>
      </c>
      <c r="P3003" t="str">
        <f>IF(T[[#This Row],[qty_ordered]]&lt;&gt;T[[#This Row],[qty_received]],IF(T[[#This Row],[qty_received]]&gt;0,"Partial Received","Not Receviced"),"FullyReceived")</f>
        <v>FullyReceived</v>
      </c>
      <c r="Q3003" t="str">
        <f>IF(T[[#This Row],[qty_received]]&lt;&gt;T[[#This Row],[qty_invoiced]],IF(T[[#This Row],[qty_invoiced]]&gt;0,"Partial Invoiced","Not Invoiced"),"Fully Invoiced")</f>
        <v>Fully Invoiced</v>
      </c>
      <c r="R3003" t="str">
        <f>IFERROR(VLOOKUP(T[[#This Row],[warehouse]],Table2[],2,FALSE),"--")</f>
        <v>Khtoum Main Warehouse</v>
      </c>
    </row>
    <row r="3004" spans="1:18" x14ac:dyDescent="0.25">
      <c r="A3004" t="s">
        <v>1044</v>
      </c>
      <c r="B3004" s="1">
        <v>44346</v>
      </c>
      <c r="C3004" t="s">
        <v>1426</v>
      </c>
      <c r="D3004" t="s">
        <v>74</v>
      </c>
      <c r="E3004" t="s">
        <v>51</v>
      </c>
      <c r="F3004" t="s">
        <v>52</v>
      </c>
      <c r="G3004" t="s">
        <v>1427</v>
      </c>
      <c r="H3004" t="s">
        <v>54</v>
      </c>
      <c r="I3004">
        <v>15</v>
      </c>
      <c r="J3004">
        <v>0</v>
      </c>
      <c r="K3004">
        <v>1</v>
      </c>
      <c r="L3004" t="s">
        <v>25</v>
      </c>
      <c r="M3004" t="s">
        <v>132</v>
      </c>
      <c r="N3004">
        <v>20000</v>
      </c>
      <c r="O3004">
        <v>0</v>
      </c>
      <c r="P3004" t="str">
        <f>IF(T[[#This Row],[qty_ordered]]&lt;&gt;T[[#This Row],[qty_received]],IF(T[[#This Row],[qty_received]]&gt;0,"Partial Received","Not Receviced"),"FullyReceived")</f>
        <v>Not Receviced</v>
      </c>
      <c r="Q3004" t="str">
        <f>IF(T[[#This Row],[qty_received]]&lt;&gt;T[[#This Row],[qty_invoiced]],IF(T[[#This Row],[qty_invoiced]]&gt;0,"Partial Invoiced","Not Invoiced"),"Fully Invoiced")</f>
        <v>Partial Invoiced</v>
      </c>
      <c r="R3004" t="str">
        <f>IFERROR(VLOOKUP(T[[#This Row],[warehouse]],Table2[],2,FALSE),"--")</f>
        <v>--</v>
      </c>
    </row>
    <row r="3005" spans="1:18" x14ac:dyDescent="0.25">
      <c r="A3005" t="s">
        <v>1475</v>
      </c>
      <c r="B3005" s="1">
        <v>44313</v>
      </c>
      <c r="C3005" t="s">
        <v>1476</v>
      </c>
      <c r="D3005" t="s">
        <v>451</v>
      </c>
      <c r="E3005" t="s">
        <v>51</v>
      </c>
      <c r="F3005" t="s">
        <v>793</v>
      </c>
      <c r="G3005" t="s">
        <v>1283</v>
      </c>
      <c r="H3005" t="s">
        <v>54</v>
      </c>
      <c r="I3005">
        <v>40</v>
      </c>
      <c r="J3005">
        <v>0</v>
      </c>
      <c r="K3005">
        <v>1</v>
      </c>
      <c r="L3005" t="s">
        <v>25</v>
      </c>
      <c r="M3005" t="s">
        <v>533</v>
      </c>
      <c r="N3005">
        <v>300</v>
      </c>
      <c r="O3005">
        <v>0</v>
      </c>
      <c r="P3005" t="str">
        <f>IF(T[[#This Row],[qty_ordered]]&lt;&gt;T[[#This Row],[qty_received]],IF(T[[#This Row],[qty_received]]&gt;0,"Partial Received","Not Receviced"),"FullyReceived")</f>
        <v>Not Receviced</v>
      </c>
      <c r="Q3005" t="str">
        <f>IF(T[[#This Row],[qty_received]]&lt;&gt;T[[#This Row],[qty_invoiced]],IF(T[[#This Row],[qty_invoiced]]&gt;0,"Partial Invoiced","Not Invoiced"),"Fully Invoiced")</f>
        <v>Partial Invoiced</v>
      </c>
      <c r="R3005" t="str">
        <f>IFERROR(VLOOKUP(T[[#This Row],[warehouse]],Table2[],2,FALSE),"--")</f>
        <v>--</v>
      </c>
    </row>
    <row r="3006" spans="1:18" x14ac:dyDescent="0.25">
      <c r="A3006" t="s">
        <v>1475</v>
      </c>
      <c r="B3006" s="1">
        <v>44313</v>
      </c>
      <c r="C3006" t="s">
        <v>1476</v>
      </c>
      <c r="D3006" t="s">
        <v>452</v>
      </c>
      <c r="E3006" t="s">
        <v>51</v>
      </c>
      <c r="F3006" t="s">
        <v>254</v>
      </c>
      <c r="G3006" t="s">
        <v>255</v>
      </c>
      <c r="H3006" t="s">
        <v>54</v>
      </c>
      <c r="I3006">
        <v>7123</v>
      </c>
      <c r="J3006">
        <v>0</v>
      </c>
      <c r="K3006">
        <v>1</v>
      </c>
      <c r="L3006" t="s">
        <v>25</v>
      </c>
      <c r="M3006" t="s">
        <v>533</v>
      </c>
      <c r="N3006">
        <v>100</v>
      </c>
      <c r="O3006">
        <v>0</v>
      </c>
      <c r="P3006" t="str">
        <f>IF(T[[#This Row],[qty_ordered]]&lt;&gt;T[[#This Row],[qty_received]],IF(T[[#This Row],[qty_received]]&gt;0,"Partial Received","Not Receviced"),"FullyReceived")</f>
        <v>Not Receviced</v>
      </c>
      <c r="Q3006" t="str">
        <f>IF(T[[#This Row],[qty_received]]&lt;&gt;T[[#This Row],[qty_invoiced]],IF(T[[#This Row],[qty_invoiced]]&gt;0,"Partial Invoiced","Not Invoiced"),"Fully Invoiced")</f>
        <v>Partial Invoiced</v>
      </c>
      <c r="R3006" t="str">
        <f>IFERROR(VLOOKUP(T[[#This Row],[warehouse]],Table2[],2,FALSE),"--")</f>
        <v>--</v>
      </c>
    </row>
    <row r="3007" spans="1:18" x14ac:dyDescent="0.25">
      <c r="A3007" t="s">
        <v>201</v>
      </c>
      <c r="B3007" s="1">
        <v>44472</v>
      </c>
      <c r="C3007" t="s">
        <v>1910</v>
      </c>
      <c r="D3007" t="s">
        <v>20</v>
      </c>
      <c r="E3007" t="s">
        <v>1220</v>
      </c>
      <c r="F3007" t="s">
        <v>1221</v>
      </c>
      <c r="G3007" t="s">
        <v>1634</v>
      </c>
      <c r="H3007" t="s">
        <v>123</v>
      </c>
      <c r="I3007">
        <v>580000</v>
      </c>
      <c r="J3007">
        <v>0</v>
      </c>
      <c r="K3007">
        <v>0</v>
      </c>
      <c r="L3007" t="s">
        <v>25</v>
      </c>
      <c r="M3007" t="s">
        <v>744</v>
      </c>
      <c r="N3007">
        <v>9312.1978749999998</v>
      </c>
      <c r="O3007">
        <v>0</v>
      </c>
      <c r="P3007" t="str">
        <f>IF(T[[#This Row],[qty_ordered]]&lt;&gt;T[[#This Row],[qty_received]],IF(T[[#This Row],[qty_received]]&gt;0,"Partial Received","Not Receviced"),"FullyReceived")</f>
        <v>Not Receviced</v>
      </c>
      <c r="Q3007" t="str">
        <f>IF(T[[#This Row],[qty_received]]&lt;&gt;T[[#This Row],[qty_invoiced]],IF(T[[#This Row],[qty_invoiced]]&gt;0,"Partial Invoiced","Not Invoiced"),"Fully Invoiced")</f>
        <v>Fully Invoiced</v>
      </c>
      <c r="R3007" t="str">
        <f>IFERROR(VLOOKUP(T[[#This Row],[warehouse]],Table2[],2,FALSE),"--")</f>
        <v>Import Virtual Warehouse - PZU</v>
      </c>
    </row>
    <row r="3008" spans="1:18" x14ac:dyDescent="0.25">
      <c r="A3008" t="s">
        <v>1496</v>
      </c>
      <c r="B3008" s="1">
        <v>44453</v>
      </c>
      <c r="C3008" t="s">
        <v>1903</v>
      </c>
      <c r="D3008" t="s">
        <v>71</v>
      </c>
      <c r="E3008" t="s">
        <v>410</v>
      </c>
      <c r="F3008" t="s">
        <v>442</v>
      </c>
      <c r="G3008" t="s">
        <v>443</v>
      </c>
      <c r="H3008" t="s">
        <v>123</v>
      </c>
      <c r="I3008">
        <v>5000</v>
      </c>
      <c r="J3008">
        <v>4000</v>
      </c>
      <c r="K3008">
        <v>4000</v>
      </c>
      <c r="L3008" t="s">
        <v>25</v>
      </c>
      <c r="M3008" t="s">
        <v>707</v>
      </c>
      <c r="N3008">
        <v>12500</v>
      </c>
      <c r="O3008">
        <v>50000000</v>
      </c>
      <c r="P3008" t="str">
        <f>IF(T[[#This Row],[qty_ordered]]&lt;&gt;T[[#This Row],[qty_received]],IF(T[[#This Row],[qty_received]]&gt;0,"Partial Received","Not Receviced"),"FullyReceived")</f>
        <v>Partial Received</v>
      </c>
      <c r="Q3008" t="str">
        <f>IF(T[[#This Row],[qty_received]]&lt;&gt;T[[#This Row],[qty_invoiced]],IF(T[[#This Row],[qty_invoiced]]&gt;0,"Partial Invoiced","Not Invoiced"),"Fully Invoiced")</f>
        <v>Fully Invoiced</v>
      </c>
      <c r="R3008" t="str">
        <f>IFERROR(VLOOKUP(T[[#This Row],[warehouse]],Table2[],2,FALSE),"--")</f>
        <v>SFITER GUM Masaaie</v>
      </c>
    </row>
    <row r="3009" spans="1:18" x14ac:dyDescent="0.25">
      <c r="A3009" t="s">
        <v>935</v>
      </c>
      <c r="B3009" s="1">
        <v>44221</v>
      </c>
      <c r="C3009" t="s">
        <v>1203</v>
      </c>
      <c r="D3009" t="s">
        <v>71</v>
      </c>
      <c r="E3009" t="s">
        <v>51</v>
      </c>
      <c r="F3009" t="s">
        <v>183</v>
      </c>
      <c r="G3009" t="s">
        <v>1911</v>
      </c>
      <c r="H3009" t="s">
        <v>54</v>
      </c>
      <c r="I3009">
        <v>220.68</v>
      </c>
      <c r="J3009">
        <v>0</v>
      </c>
      <c r="K3009">
        <v>1</v>
      </c>
      <c r="L3009" t="s">
        <v>25</v>
      </c>
      <c r="M3009" t="s">
        <v>533</v>
      </c>
      <c r="N3009">
        <v>12000</v>
      </c>
      <c r="O3009">
        <v>0</v>
      </c>
      <c r="P3009" t="str">
        <f>IF(T[[#This Row],[qty_ordered]]&lt;&gt;T[[#This Row],[qty_received]],IF(T[[#This Row],[qty_received]]&gt;0,"Partial Received","Not Receviced"),"FullyReceived")</f>
        <v>Not Receviced</v>
      </c>
      <c r="Q3009" t="str">
        <f>IF(T[[#This Row],[qty_received]]&lt;&gt;T[[#This Row],[qty_invoiced]],IF(T[[#This Row],[qty_invoiced]]&gt;0,"Partial Invoiced","Not Invoiced"),"Fully Invoiced")</f>
        <v>Partial Invoiced</v>
      </c>
      <c r="R3009" t="str">
        <f>IFERROR(VLOOKUP(T[[#This Row],[warehouse]],Table2[],2,FALSE),"--")</f>
        <v>--</v>
      </c>
    </row>
    <row r="3010" spans="1:18" x14ac:dyDescent="0.25">
      <c r="A3010" t="s">
        <v>935</v>
      </c>
      <c r="B3010" s="1">
        <v>44221</v>
      </c>
      <c r="C3010" t="s">
        <v>1203</v>
      </c>
      <c r="D3010" t="s">
        <v>100</v>
      </c>
      <c r="E3010" t="s">
        <v>51</v>
      </c>
      <c r="F3010" t="s">
        <v>183</v>
      </c>
      <c r="G3010" t="s">
        <v>1912</v>
      </c>
      <c r="H3010" t="s">
        <v>54</v>
      </c>
      <c r="I3010">
        <v>0.97</v>
      </c>
      <c r="J3010">
        <v>0</v>
      </c>
      <c r="K3010">
        <v>1</v>
      </c>
      <c r="L3010" t="s">
        <v>25</v>
      </c>
      <c r="M3010" t="s">
        <v>533</v>
      </c>
      <c r="N3010">
        <v>13000</v>
      </c>
      <c r="O3010">
        <v>0</v>
      </c>
      <c r="P3010" t="str">
        <f>IF(T[[#This Row],[qty_ordered]]&lt;&gt;T[[#This Row],[qty_received]],IF(T[[#This Row],[qty_received]]&gt;0,"Partial Received","Not Receviced"),"FullyReceived")</f>
        <v>Not Receviced</v>
      </c>
      <c r="Q3010" t="str">
        <f>IF(T[[#This Row],[qty_received]]&lt;&gt;T[[#This Row],[qty_invoiced]],IF(T[[#This Row],[qty_invoiced]]&gt;0,"Partial Invoiced","Not Invoiced"),"Fully Invoiced")</f>
        <v>Partial Invoiced</v>
      </c>
      <c r="R3010" t="str">
        <f>IFERROR(VLOOKUP(T[[#This Row],[warehouse]],Table2[],2,FALSE),"--")</f>
        <v>--</v>
      </c>
    </row>
    <row r="3011" spans="1:18" x14ac:dyDescent="0.25">
      <c r="A3011" t="s">
        <v>228</v>
      </c>
      <c r="B3011" s="1">
        <v>44479</v>
      </c>
      <c r="C3011" t="s">
        <v>1913</v>
      </c>
      <c r="D3011" t="s">
        <v>20</v>
      </c>
      <c r="E3011" t="s">
        <v>239</v>
      </c>
      <c r="F3011" t="s">
        <v>244</v>
      </c>
      <c r="G3011" t="s">
        <v>245</v>
      </c>
      <c r="H3011" t="s">
        <v>24</v>
      </c>
      <c r="I3011">
        <v>200</v>
      </c>
      <c r="J3011">
        <v>0</v>
      </c>
      <c r="K3011">
        <v>0</v>
      </c>
      <c r="L3011" t="s">
        <v>51</v>
      </c>
      <c r="M3011" t="s">
        <v>1485</v>
      </c>
      <c r="N3011">
        <v>680000</v>
      </c>
      <c r="O3011">
        <v>0</v>
      </c>
      <c r="P3011" t="str">
        <f>IF(T[[#This Row],[qty_ordered]]&lt;&gt;T[[#This Row],[qty_received]],IF(T[[#This Row],[qty_received]]&gt;0,"Partial Received","Not Receviced"),"FullyReceived")</f>
        <v>Not Receviced</v>
      </c>
      <c r="Q3011" t="str">
        <f>IF(T[[#This Row],[qty_received]]&lt;&gt;T[[#This Row],[qty_invoiced]],IF(T[[#This Row],[qty_invoiced]]&gt;0,"Partial Invoiced","Not Invoiced"),"Fully Invoiced")</f>
        <v>Fully Invoiced</v>
      </c>
      <c r="R3011" t="str">
        <f>IFERROR(VLOOKUP(T[[#This Row],[warehouse]],Table2[],2,FALSE),"--")</f>
        <v xml:space="preserve">Gadarif Main Store </v>
      </c>
    </row>
    <row r="3012" spans="1:18" x14ac:dyDescent="0.25">
      <c r="A3012" t="s">
        <v>560</v>
      </c>
      <c r="B3012" s="1">
        <v>44251</v>
      </c>
      <c r="C3012" t="s">
        <v>1245</v>
      </c>
      <c r="D3012" t="s">
        <v>594</v>
      </c>
      <c r="E3012" t="s">
        <v>51</v>
      </c>
      <c r="F3012" t="s">
        <v>164</v>
      </c>
      <c r="G3012" t="s">
        <v>1914</v>
      </c>
      <c r="H3012" t="s">
        <v>54</v>
      </c>
      <c r="I3012">
        <v>26</v>
      </c>
      <c r="J3012">
        <v>0</v>
      </c>
      <c r="K3012">
        <v>1</v>
      </c>
      <c r="L3012" t="s">
        <v>25</v>
      </c>
      <c r="M3012" t="s">
        <v>533</v>
      </c>
      <c r="N3012">
        <v>4130.1538</v>
      </c>
      <c r="O3012">
        <v>0</v>
      </c>
      <c r="P3012" t="str">
        <f>IF(T[[#This Row],[qty_ordered]]&lt;&gt;T[[#This Row],[qty_received]],IF(T[[#This Row],[qty_received]]&gt;0,"Partial Received","Not Receviced"),"FullyReceived")</f>
        <v>Not Receviced</v>
      </c>
      <c r="Q3012" t="str">
        <f>IF(T[[#This Row],[qty_received]]&lt;&gt;T[[#This Row],[qty_invoiced]],IF(T[[#This Row],[qty_invoiced]]&gt;0,"Partial Invoiced","Not Invoiced"),"Fully Invoiced")</f>
        <v>Partial Invoiced</v>
      </c>
      <c r="R3012" t="str">
        <f>IFERROR(VLOOKUP(T[[#This Row],[warehouse]],Table2[],2,FALSE),"--")</f>
        <v>--</v>
      </c>
    </row>
    <row r="3013" spans="1:18" x14ac:dyDescent="0.25">
      <c r="A3013" t="s">
        <v>560</v>
      </c>
      <c r="B3013" s="1">
        <v>44251</v>
      </c>
      <c r="C3013" t="s">
        <v>1245</v>
      </c>
      <c r="D3013" t="s">
        <v>595</v>
      </c>
      <c r="E3013" t="s">
        <v>51</v>
      </c>
      <c r="F3013" t="s">
        <v>164</v>
      </c>
      <c r="G3013" t="s">
        <v>1914</v>
      </c>
      <c r="H3013" t="s">
        <v>54</v>
      </c>
      <c r="I3013">
        <v>6</v>
      </c>
      <c r="J3013">
        <v>0</v>
      </c>
      <c r="K3013">
        <v>1</v>
      </c>
      <c r="L3013" t="s">
        <v>25</v>
      </c>
      <c r="M3013" t="s">
        <v>533</v>
      </c>
      <c r="N3013">
        <v>4130.1666999999998</v>
      </c>
      <c r="O3013">
        <v>0</v>
      </c>
      <c r="P3013" t="str">
        <f>IF(T[[#This Row],[qty_ordered]]&lt;&gt;T[[#This Row],[qty_received]],IF(T[[#This Row],[qty_received]]&gt;0,"Partial Received","Not Receviced"),"FullyReceived")</f>
        <v>Not Receviced</v>
      </c>
      <c r="Q3013" t="str">
        <f>IF(T[[#This Row],[qty_received]]&lt;&gt;T[[#This Row],[qty_invoiced]],IF(T[[#This Row],[qty_invoiced]]&gt;0,"Partial Invoiced","Not Invoiced"),"Fully Invoiced")</f>
        <v>Partial Invoiced</v>
      </c>
      <c r="R3013" t="str">
        <f>IFERROR(VLOOKUP(T[[#This Row],[warehouse]],Table2[],2,FALSE),"--")</f>
        <v>--</v>
      </c>
    </row>
    <row r="3014" spans="1:18" x14ac:dyDescent="0.25">
      <c r="A3014" t="s">
        <v>560</v>
      </c>
      <c r="B3014" s="1">
        <v>44251</v>
      </c>
      <c r="C3014" t="s">
        <v>1276</v>
      </c>
      <c r="D3014" t="s">
        <v>451</v>
      </c>
      <c r="E3014" t="s">
        <v>51</v>
      </c>
      <c r="F3014" t="s">
        <v>164</v>
      </c>
      <c r="G3014" t="s">
        <v>1915</v>
      </c>
      <c r="H3014" t="s">
        <v>54</v>
      </c>
      <c r="I3014">
        <v>26</v>
      </c>
      <c r="J3014">
        <v>0</v>
      </c>
      <c r="K3014">
        <v>1</v>
      </c>
      <c r="L3014" t="s">
        <v>25</v>
      </c>
      <c r="M3014" t="s">
        <v>533</v>
      </c>
      <c r="N3014">
        <v>4130.1538</v>
      </c>
      <c r="O3014">
        <v>0</v>
      </c>
      <c r="P3014" t="str">
        <f>IF(T[[#This Row],[qty_ordered]]&lt;&gt;T[[#This Row],[qty_received]],IF(T[[#This Row],[qty_received]]&gt;0,"Partial Received","Not Receviced"),"FullyReceived")</f>
        <v>Not Receviced</v>
      </c>
      <c r="Q3014" t="str">
        <f>IF(T[[#This Row],[qty_received]]&lt;&gt;T[[#This Row],[qty_invoiced]],IF(T[[#This Row],[qty_invoiced]]&gt;0,"Partial Invoiced","Not Invoiced"),"Fully Invoiced")</f>
        <v>Partial Invoiced</v>
      </c>
      <c r="R3014" t="str">
        <f>IFERROR(VLOOKUP(T[[#This Row],[warehouse]],Table2[],2,FALSE),"--")</f>
        <v>--</v>
      </c>
    </row>
    <row r="3015" spans="1:18" x14ac:dyDescent="0.25">
      <c r="A3015" t="s">
        <v>560</v>
      </c>
      <c r="B3015" s="1">
        <v>44404</v>
      </c>
      <c r="C3015" t="s">
        <v>1424</v>
      </c>
      <c r="D3015" t="s">
        <v>88</v>
      </c>
      <c r="E3015" t="s">
        <v>51</v>
      </c>
      <c r="F3015" t="s">
        <v>52</v>
      </c>
      <c r="G3015" t="s">
        <v>1425</v>
      </c>
      <c r="H3015" t="s">
        <v>54</v>
      </c>
      <c r="I3015">
        <v>25</v>
      </c>
      <c r="J3015">
        <v>0</v>
      </c>
      <c r="K3015">
        <v>1</v>
      </c>
      <c r="L3015" t="s">
        <v>693</v>
      </c>
      <c r="M3015" t="s">
        <v>707</v>
      </c>
      <c r="N3015">
        <v>4130.16</v>
      </c>
      <c r="O3015">
        <v>0</v>
      </c>
      <c r="P3015" t="str">
        <f>IF(T[[#This Row],[qty_ordered]]&lt;&gt;T[[#This Row],[qty_received]],IF(T[[#This Row],[qty_received]]&gt;0,"Partial Received","Not Receviced"),"FullyReceived")</f>
        <v>Not Receviced</v>
      </c>
      <c r="Q3015" t="str">
        <f>IF(T[[#This Row],[qty_received]]&lt;&gt;T[[#This Row],[qty_invoiced]],IF(T[[#This Row],[qty_invoiced]]&gt;0,"Partial Invoiced","Not Invoiced"),"Fully Invoiced")</f>
        <v>Partial Invoiced</v>
      </c>
      <c r="R3015" t="str">
        <f>IFERROR(VLOOKUP(T[[#This Row],[warehouse]],Table2[],2,FALSE),"--")</f>
        <v>--</v>
      </c>
    </row>
    <row r="3016" spans="1:18" x14ac:dyDescent="0.25">
      <c r="A3016" t="s">
        <v>1120</v>
      </c>
      <c r="B3016" s="1">
        <v>44475</v>
      </c>
      <c r="C3016" t="s">
        <v>1916</v>
      </c>
      <c r="D3016" t="s">
        <v>20</v>
      </c>
      <c r="E3016" t="s">
        <v>1142</v>
      </c>
      <c r="F3016" t="s">
        <v>86</v>
      </c>
      <c r="G3016" t="s">
        <v>87</v>
      </c>
      <c r="H3016" t="s">
        <v>24</v>
      </c>
      <c r="I3016">
        <v>89.888000000000005</v>
      </c>
      <c r="J3016">
        <v>0</v>
      </c>
      <c r="K3016">
        <v>0</v>
      </c>
      <c r="L3016" t="s">
        <v>25</v>
      </c>
      <c r="M3016" t="s">
        <v>132</v>
      </c>
      <c r="N3016">
        <v>545125</v>
      </c>
      <c r="O3016">
        <v>0</v>
      </c>
      <c r="P3016" t="str">
        <f>IF(T[[#This Row],[qty_ordered]]&lt;&gt;T[[#This Row],[qty_received]],IF(T[[#This Row],[qty_received]]&gt;0,"Partial Received","Not Receviced"),"FullyReceived")</f>
        <v>Not Receviced</v>
      </c>
      <c r="Q3016" t="str">
        <f>IF(T[[#This Row],[qty_received]]&lt;&gt;T[[#This Row],[qty_invoiced]],IF(T[[#This Row],[qty_invoiced]]&gt;0,"Partial Invoiced","Not Invoiced"),"Fully Invoiced")</f>
        <v>Fully Invoiced</v>
      </c>
      <c r="R3016" t="str">
        <f>IFERROR(VLOOKUP(T[[#This Row],[warehouse]],Table2[],2,FALSE),"--")</f>
        <v>SAVOLA W/H FOR EXPOR</v>
      </c>
    </row>
    <row r="3017" spans="1:18" x14ac:dyDescent="0.25">
      <c r="A3017" t="s">
        <v>1433</v>
      </c>
      <c r="B3017" s="1">
        <v>44479</v>
      </c>
      <c r="C3017" t="s">
        <v>1917</v>
      </c>
      <c r="D3017" t="s">
        <v>20</v>
      </c>
      <c r="E3017" t="s">
        <v>1285</v>
      </c>
      <c r="F3017" t="s">
        <v>1338</v>
      </c>
      <c r="G3017" t="s">
        <v>1339</v>
      </c>
      <c r="H3017" t="s">
        <v>123</v>
      </c>
      <c r="I3017">
        <v>5000</v>
      </c>
      <c r="J3017">
        <v>5000</v>
      </c>
      <c r="K3017">
        <v>5000</v>
      </c>
      <c r="L3017" t="s">
        <v>25</v>
      </c>
      <c r="M3017" t="s">
        <v>707</v>
      </c>
      <c r="N3017">
        <v>21000</v>
      </c>
      <c r="O3017">
        <v>105000000</v>
      </c>
      <c r="P3017" t="str">
        <f>IF(T[[#This Row],[qty_ordered]]&lt;&gt;T[[#This Row],[qty_received]],IF(T[[#This Row],[qty_received]]&gt;0,"Partial Received","Not Receviced"),"FullyReceived")</f>
        <v>FullyReceived</v>
      </c>
      <c r="Q3017" t="str">
        <f>IF(T[[#This Row],[qty_received]]&lt;&gt;T[[#This Row],[qty_invoiced]],IF(T[[#This Row],[qty_invoiced]]&gt;0,"Partial Invoiced","Not Invoiced"),"Fully Invoiced")</f>
        <v>Fully Invoiced</v>
      </c>
      <c r="R3017" t="str">
        <f>IFERROR(VLOOKUP(T[[#This Row],[warehouse]],Table2[],2,FALSE),"--")</f>
        <v>Khartoum Import Warehouse</v>
      </c>
    </row>
    <row r="3018" spans="1:18" x14ac:dyDescent="0.25">
      <c r="A3018" t="s">
        <v>1918</v>
      </c>
      <c r="B3018" s="1">
        <v>44480</v>
      </c>
      <c r="C3018" t="s">
        <v>1919</v>
      </c>
      <c r="D3018" t="s">
        <v>20</v>
      </c>
      <c r="E3018" t="s">
        <v>1285</v>
      </c>
      <c r="F3018" t="s">
        <v>1920</v>
      </c>
      <c r="G3018" t="s">
        <v>1921</v>
      </c>
      <c r="H3018" t="s">
        <v>711</v>
      </c>
      <c r="I3018">
        <v>10000</v>
      </c>
      <c r="J3018">
        <v>10000</v>
      </c>
      <c r="K3018">
        <v>10000</v>
      </c>
      <c r="L3018" t="s">
        <v>25</v>
      </c>
      <c r="M3018" t="s">
        <v>1485</v>
      </c>
      <c r="N3018">
        <v>3750</v>
      </c>
      <c r="O3018">
        <v>37500000</v>
      </c>
      <c r="P3018" t="str">
        <f>IF(T[[#This Row],[qty_ordered]]&lt;&gt;T[[#This Row],[qty_received]],IF(T[[#This Row],[qty_received]]&gt;0,"Partial Received","Not Receviced"),"FullyReceived")</f>
        <v>FullyReceived</v>
      </c>
      <c r="Q3018" t="str">
        <f>IF(T[[#This Row],[qty_received]]&lt;&gt;T[[#This Row],[qty_invoiced]],IF(T[[#This Row],[qty_invoiced]]&gt;0,"Partial Invoiced","Not Invoiced"),"Fully Invoiced")</f>
        <v>Fully Invoiced</v>
      </c>
      <c r="R3018" t="str">
        <f>IFERROR(VLOOKUP(T[[#This Row],[warehouse]],Table2[],2,FALSE),"--")</f>
        <v>Khartoum Import Warehouse</v>
      </c>
    </row>
    <row r="3019" spans="1:18" x14ac:dyDescent="0.25">
      <c r="A3019" t="s">
        <v>560</v>
      </c>
      <c r="B3019" s="1">
        <v>44251</v>
      </c>
      <c r="C3019" t="s">
        <v>1276</v>
      </c>
      <c r="D3019" t="s">
        <v>452</v>
      </c>
      <c r="E3019" t="s">
        <v>51</v>
      </c>
      <c r="F3019" t="s">
        <v>164</v>
      </c>
      <c r="G3019" t="s">
        <v>1922</v>
      </c>
      <c r="H3019" t="s">
        <v>54</v>
      </c>
      <c r="I3019">
        <v>4</v>
      </c>
      <c r="J3019">
        <v>0</v>
      </c>
      <c r="K3019">
        <v>1</v>
      </c>
      <c r="L3019" t="s">
        <v>25</v>
      </c>
      <c r="M3019" t="s">
        <v>533</v>
      </c>
      <c r="N3019">
        <v>4130.25</v>
      </c>
      <c r="O3019">
        <v>0</v>
      </c>
      <c r="P3019" t="str">
        <f>IF(T[[#This Row],[qty_ordered]]&lt;&gt;T[[#This Row],[qty_received]],IF(T[[#This Row],[qty_received]]&gt;0,"Partial Received","Not Receviced"),"FullyReceived")</f>
        <v>Not Receviced</v>
      </c>
      <c r="Q3019" t="str">
        <f>IF(T[[#This Row],[qty_received]]&lt;&gt;T[[#This Row],[qty_invoiced]],IF(T[[#This Row],[qty_invoiced]]&gt;0,"Partial Invoiced","Not Invoiced"),"Fully Invoiced")</f>
        <v>Partial Invoiced</v>
      </c>
      <c r="R3019" t="str">
        <f>IFERROR(VLOOKUP(T[[#This Row],[warehouse]],Table2[],2,FALSE),"--")</f>
        <v>--</v>
      </c>
    </row>
    <row r="3020" spans="1:18" x14ac:dyDescent="0.25">
      <c r="A3020" t="s">
        <v>560</v>
      </c>
      <c r="B3020" s="1">
        <v>44251</v>
      </c>
      <c r="C3020" t="s">
        <v>1276</v>
      </c>
      <c r="D3020" t="s">
        <v>614</v>
      </c>
      <c r="E3020" t="s">
        <v>51</v>
      </c>
      <c r="F3020" t="s">
        <v>164</v>
      </c>
      <c r="G3020" t="s">
        <v>1923</v>
      </c>
      <c r="H3020" t="s">
        <v>54</v>
      </c>
      <c r="I3020">
        <v>7.25</v>
      </c>
      <c r="J3020">
        <v>0</v>
      </c>
      <c r="K3020">
        <v>1</v>
      </c>
      <c r="L3020" t="s">
        <v>25</v>
      </c>
      <c r="M3020" t="s">
        <v>533</v>
      </c>
      <c r="N3020">
        <v>4130.2069000000001</v>
      </c>
      <c r="O3020">
        <v>0</v>
      </c>
      <c r="P3020" t="str">
        <f>IF(T[[#This Row],[qty_ordered]]&lt;&gt;T[[#This Row],[qty_received]],IF(T[[#This Row],[qty_received]]&gt;0,"Partial Received","Not Receviced"),"FullyReceived")</f>
        <v>Not Receviced</v>
      </c>
      <c r="Q3020" t="str">
        <f>IF(T[[#This Row],[qty_received]]&lt;&gt;T[[#This Row],[qty_invoiced]],IF(T[[#This Row],[qty_invoiced]]&gt;0,"Partial Invoiced","Not Invoiced"),"Fully Invoiced")</f>
        <v>Partial Invoiced</v>
      </c>
      <c r="R3020" t="str">
        <f>IFERROR(VLOOKUP(T[[#This Row],[warehouse]],Table2[],2,FALSE),"--")</f>
        <v>--</v>
      </c>
    </row>
    <row r="3021" spans="1:18" x14ac:dyDescent="0.25">
      <c r="A3021" t="s">
        <v>560</v>
      </c>
      <c r="B3021" s="1">
        <v>44251</v>
      </c>
      <c r="C3021" t="s">
        <v>1276</v>
      </c>
      <c r="D3021" t="s">
        <v>615</v>
      </c>
      <c r="E3021" t="s">
        <v>51</v>
      </c>
      <c r="F3021" t="s">
        <v>164</v>
      </c>
      <c r="G3021" t="s">
        <v>1923</v>
      </c>
      <c r="H3021" t="s">
        <v>54</v>
      </c>
      <c r="I3021">
        <v>27.25</v>
      </c>
      <c r="J3021">
        <v>0</v>
      </c>
      <c r="K3021">
        <v>1</v>
      </c>
      <c r="L3021" t="s">
        <v>25</v>
      </c>
      <c r="M3021" t="s">
        <v>533</v>
      </c>
      <c r="N3021">
        <v>4130.1651000000002</v>
      </c>
      <c r="O3021">
        <v>0</v>
      </c>
      <c r="P3021" t="str">
        <f>IF(T[[#This Row],[qty_ordered]]&lt;&gt;T[[#This Row],[qty_received]],IF(T[[#This Row],[qty_received]]&gt;0,"Partial Received","Not Receviced"),"FullyReceived")</f>
        <v>Not Receviced</v>
      </c>
      <c r="Q3021" t="str">
        <f>IF(T[[#This Row],[qty_received]]&lt;&gt;T[[#This Row],[qty_invoiced]],IF(T[[#This Row],[qty_invoiced]]&gt;0,"Partial Invoiced","Not Invoiced"),"Fully Invoiced")</f>
        <v>Partial Invoiced</v>
      </c>
      <c r="R3021" t="str">
        <f>IFERROR(VLOOKUP(T[[#This Row],[warehouse]],Table2[],2,FALSE),"--")</f>
        <v>--</v>
      </c>
    </row>
    <row r="3022" spans="1:18" x14ac:dyDescent="0.25">
      <c r="A3022" t="s">
        <v>1685</v>
      </c>
      <c r="B3022" s="1">
        <v>44482</v>
      </c>
      <c r="C3022" t="s">
        <v>1924</v>
      </c>
      <c r="D3022" t="s">
        <v>20</v>
      </c>
      <c r="E3022" t="s">
        <v>51</v>
      </c>
      <c r="F3022" t="s">
        <v>52</v>
      </c>
      <c r="G3022" t="s">
        <v>75</v>
      </c>
      <c r="H3022" t="s">
        <v>54</v>
      </c>
      <c r="I3022">
        <v>1603.76</v>
      </c>
      <c r="J3022">
        <v>0</v>
      </c>
      <c r="K3022">
        <v>1</v>
      </c>
      <c r="L3022" t="s">
        <v>693</v>
      </c>
      <c r="M3022" t="s">
        <v>132</v>
      </c>
      <c r="N3022">
        <v>442.4</v>
      </c>
      <c r="O3022">
        <v>0</v>
      </c>
      <c r="P3022" t="str">
        <f>IF(T[[#This Row],[qty_ordered]]&lt;&gt;T[[#This Row],[qty_received]],IF(T[[#This Row],[qty_received]]&gt;0,"Partial Received","Not Receviced"),"FullyReceived")</f>
        <v>Not Receviced</v>
      </c>
      <c r="Q3022" t="str">
        <f>IF(T[[#This Row],[qty_received]]&lt;&gt;T[[#This Row],[qty_invoiced]],IF(T[[#This Row],[qty_invoiced]]&gt;0,"Partial Invoiced","Not Invoiced"),"Fully Invoiced")</f>
        <v>Partial Invoiced</v>
      </c>
      <c r="R3022" t="str">
        <f>IFERROR(VLOOKUP(T[[#This Row],[warehouse]],Table2[],2,FALSE),"--")</f>
        <v>--</v>
      </c>
    </row>
    <row r="3023" spans="1:18" x14ac:dyDescent="0.25">
      <c r="A3023" t="s">
        <v>1925</v>
      </c>
      <c r="B3023" s="1">
        <v>44482</v>
      </c>
      <c r="C3023" t="s">
        <v>1926</v>
      </c>
      <c r="D3023" t="s">
        <v>20</v>
      </c>
      <c r="E3023" t="s">
        <v>1285</v>
      </c>
      <c r="F3023" t="s">
        <v>1338</v>
      </c>
      <c r="G3023" t="s">
        <v>1339</v>
      </c>
      <c r="H3023" t="s">
        <v>123</v>
      </c>
      <c r="I3023">
        <v>10000</v>
      </c>
      <c r="J3023">
        <v>10000</v>
      </c>
      <c r="K3023">
        <v>10000</v>
      </c>
      <c r="L3023" t="s">
        <v>25</v>
      </c>
      <c r="M3023" t="s">
        <v>1485</v>
      </c>
      <c r="N3023">
        <v>3750</v>
      </c>
      <c r="O3023">
        <v>37500000</v>
      </c>
      <c r="P3023" t="str">
        <f>IF(T[[#This Row],[qty_ordered]]&lt;&gt;T[[#This Row],[qty_received]],IF(T[[#This Row],[qty_received]]&gt;0,"Partial Received","Not Receviced"),"FullyReceived")</f>
        <v>FullyReceived</v>
      </c>
      <c r="Q3023" t="str">
        <f>IF(T[[#This Row],[qty_received]]&lt;&gt;T[[#This Row],[qty_invoiced]],IF(T[[#This Row],[qty_invoiced]]&gt;0,"Partial Invoiced","Not Invoiced"),"Fully Invoiced")</f>
        <v>Fully Invoiced</v>
      </c>
      <c r="R3023" t="str">
        <f>IFERROR(VLOOKUP(T[[#This Row],[warehouse]],Table2[],2,FALSE),"--")</f>
        <v>Khartoum Import Warehouse</v>
      </c>
    </row>
    <row r="3024" spans="1:18" x14ac:dyDescent="0.25">
      <c r="A3024" t="s">
        <v>658</v>
      </c>
      <c r="B3024" s="1">
        <v>44363</v>
      </c>
      <c r="C3024" t="s">
        <v>1397</v>
      </c>
      <c r="D3024" t="s">
        <v>451</v>
      </c>
      <c r="E3024" t="s">
        <v>660</v>
      </c>
      <c r="F3024" t="s">
        <v>661</v>
      </c>
      <c r="G3024" t="s">
        <v>662</v>
      </c>
      <c r="H3024" t="s">
        <v>663</v>
      </c>
      <c r="I3024">
        <v>2002.5</v>
      </c>
      <c r="J3024">
        <v>2002.5</v>
      </c>
      <c r="K3024">
        <v>2002.4</v>
      </c>
      <c r="L3024" t="s">
        <v>25</v>
      </c>
      <c r="M3024" t="s">
        <v>132</v>
      </c>
      <c r="N3024">
        <v>1900</v>
      </c>
      <c r="O3024">
        <v>3804750</v>
      </c>
      <c r="P3024" t="str">
        <f>IF(T[[#This Row],[qty_ordered]]&lt;&gt;T[[#This Row],[qty_received]],IF(T[[#This Row],[qty_received]]&gt;0,"Partial Received","Not Receviced"),"FullyReceived")</f>
        <v>FullyReceived</v>
      </c>
      <c r="Q3024" t="str">
        <f>IF(T[[#This Row],[qty_received]]&lt;&gt;T[[#This Row],[qty_invoiced]],IF(T[[#This Row],[qty_invoiced]]&gt;0,"Partial Invoiced","Not Invoiced"),"Fully Invoiced")</f>
        <v>Partial Invoiced</v>
      </c>
      <c r="R3024" t="str">
        <f>IFERROR(VLOOKUP(T[[#This Row],[warehouse]],Table2[],2,FALSE),"--")</f>
        <v>SLAUGHTER HOUSE</v>
      </c>
    </row>
    <row r="3025" spans="1:18" x14ac:dyDescent="0.25">
      <c r="A3025" t="s">
        <v>560</v>
      </c>
      <c r="B3025" s="1">
        <v>44404</v>
      </c>
      <c r="C3025" t="s">
        <v>1424</v>
      </c>
      <c r="D3025" t="s">
        <v>74</v>
      </c>
      <c r="E3025" t="s">
        <v>51</v>
      </c>
      <c r="F3025" t="s">
        <v>52</v>
      </c>
      <c r="G3025" t="s">
        <v>1927</v>
      </c>
      <c r="H3025" t="s">
        <v>54</v>
      </c>
      <c r="I3025">
        <v>32.5</v>
      </c>
      <c r="J3025">
        <v>0</v>
      </c>
      <c r="K3025">
        <v>1</v>
      </c>
      <c r="L3025" t="s">
        <v>693</v>
      </c>
      <c r="M3025" t="s">
        <v>707</v>
      </c>
      <c r="N3025">
        <v>4130.1846150000001</v>
      </c>
      <c r="O3025">
        <v>0</v>
      </c>
      <c r="P3025" t="str">
        <f>IF(T[[#This Row],[qty_ordered]]&lt;&gt;T[[#This Row],[qty_received]],IF(T[[#This Row],[qty_received]]&gt;0,"Partial Received","Not Receviced"),"FullyReceived")</f>
        <v>Not Receviced</v>
      </c>
      <c r="Q3025" t="str">
        <f>IF(T[[#This Row],[qty_received]]&lt;&gt;T[[#This Row],[qty_invoiced]],IF(T[[#This Row],[qty_invoiced]]&gt;0,"Partial Invoiced","Not Invoiced"),"Fully Invoiced")</f>
        <v>Partial Invoiced</v>
      </c>
      <c r="R3025" t="str">
        <f>IFERROR(VLOOKUP(T[[#This Row],[warehouse]],Table2[],2,FALSE),"--")</f>
        <v>--</v>
      </c>
    </row>
    <row r="3026" spans="1:18" x14ac:dyDescent="0.25">
      <c r="A3026" t="s">
        <v>201</v>
      </c>
      <c r="B3026" s="1">
        <v>44419</v>
      </c>
      <c r="C3026" t="s">
        <v>1447</v>
      </c>
      <c r="D3026" t="s">
        <v>100</v>
      </c>
      <c r="E3026" t="s">
        <v>1220</v>
      </c>
      <c r="F3026" t="s">
        <v>1338</v>
      </c>
      <c r="G3026" t="s">
        <v>1339</v>
      </c>
      <c r="H3026" t="s">
        <v>123</v>
      </c>
      <c r="I3026">
        <v>10000</v>
      </c>
      <c r="J3026">
        <v>0</v>
      </c>
      <c r="K3026">
        <v>0</v>
      </c>
      <c r="L3026" t="s">
        <v>693</v>
      </c>
      <c r="M3026" t="s">
        <v>744</v>
      </c>
      <c r="N3026">
        <v>11099.632484</v>
      </c>
      <c r="O3026">
        <v>0</v>
      </c>
      <c r="P3026" t="str">
        <f>IF(T[[#This Row],[qty_ordered]]&lt;&gt;T[[#This Row],[qty_received]],IF(T[[#This Row],[qty_received]]&gt;0,"Partial Received","Not Receviced"),"FullyReceived")</f>
        <v>Not Receviced</v>
      </c>
      <c r="Q3026" t="str">
        <f>IF(T[[#This Row],[qty_received]]&lt;&gt;T[[#This Row],[qty_invoiced]],IF(T[[#This Row],[qty_invoiced]]&gt;0,"Partial Invoiced","Not Invoiced"),"Fully Invoiced")</f>
        <v>Fully Invoiced</v>
      </c>
      <c r="R3026" t="str">
        <f>IFERROR(VLOOKUP(T[[#This Row],[warehouse]],Table2[],2,FALSE),"--")</f>
        <v>Import Virtual Warehouse - PZU</v>
      </c>
    </row>
    <row r="3027" spans="1:18" x14ac:dyDescent="0.25">
      <c r="A3027" t="s">
        <v>1083</v>
      </c>
      <c r="B3027" s="1">
        <v>44266</v>
      </c>
      <c r="C3027" t="s">
        <v>1084</v>
      </c>
      <c r="D3027" t="s">
        <v>76</v>
      </c>
      <c r="E3027" t="s">
        <v>660</v>
      </c>
      <c r="F3027" t="s">
        <v>1928</v>
      </c>
      <c r="G3027" t="s">
        <v>1929</v>
      </c>
      <c r="H3027" t="s">
        <v>54</v>
      </c>
      <c r="I3027">
        <v>1340</v>
      </c>
      <c r="J3027">
        <v>0</v>
      </c>
      <c r="K3027">
        <v>0</v>
      </c>
      <c r="L3027" t="s">
        <v>25</v>
      </c>
      <c r="M3027" t="s">
        <v>132</v>
      </c>
      <c r="N3027">
        <v>0</v>
      </c>
      <c r="O3027">
        <v>0</v>
      </c>
      <c r="P3027" t="str">
        <f>IF(T[[#This Row],[qty_ordered]]&lt;&gt;T[[#This Row],[qty_received]],IF(T[[#This Row],[qty_received]]&gt;0,"Partial Received","Not Receviced"),"FullyReceived")</f>
        <v>Not Receviced</v>
      </c>
      <c r="Q3027" t="str">
        <f>IF(T[[#This Row],[qty_received]]&lt;&gt;T[[#This Row],[qty_invoiced]],IF(T[[#This Row],[qty_invoiced]]&gt;0,"Partial Invoiced","Not Invoiced"),"Fully Invoiced")</f>
        <v>Fully Invoiced</v>
      </c>
      <c r="R3027" t="str">
        <f>IFERROR(VLOOKUP(T[[#This Row],[warehouse]],Table2[],2,FALSE),"--")</f>
        <v>SLAUGHTER HOUSE</v>
      </c>
    </row>
    <row r="3028" spans="1:18" x14ac:dyDescent="0.25">
      <c r="A3028" t="s">
        <v>1118</v>
      </c>
      <c r="B3028" s="1">
        <v>44378</v>
      </c>
      <c r="C3028" t="s">
        <v>1405</v>
      </c>
      <c r="D3028" t="s">
        <v>212</v>
      </c>
      <c r="E3028" t="s">
        <v>660</v>
      </c>
      <c r="F3028" t="s">
        <v>1451</v>
      </c>
      <c r="G3028" t="s">
        <v>1452</v>
      </c>
      <c r="H3028" t="s">
        <v>1087</v>
      </c>
      <c r="I3028">
        <v>38</v>
      </c>
      <c r="J3028">
        <v>0</v>
      </c>
      <c r="K3028">
        <v>0</v>
      </c>
      <c r="L3028" t="s">
        <v>25</v>
      </c>
      <c r="M3028" t="s">
        <v>132</v>
      </c>
      <c r="N3028">
        <v>0</v>
      </c>
      <c r="O3028">
        <v>0</v>
      </c>
      <c r="P3028" t="str">
        <f>IF(T[[#This Row],[qty_ordered]]&lt;&gt;T[[#This Row],[qty_received]],IF(T[[#This Row],[qty_received]]&gt;0,"Partial Received","Not Receviced"),"FullyReceived")</f>
        <v>Not Receviced</v>
      </c>
      <c r="Q3028" t="str">
        <f>IF(T[[#This Row],[qty_received]]&lt;&gt;T[[#This Row],[qty_invoiced]],IF(T[[#This Row],[qty_invoiced]]&gt;0,"Partial Invoiced","Not Invoiced"),"Fully Invoiced")</f>
        <v>Fully Invoiced</v>
      </c>
      <c r="R3028" t="str">
        <f>IFERROR(VLOOKUP(T[[#This Row],[warehouse]],Table2[],2,FALSE),"--")</f>
        <v>SLAUGHTER HOUSE</v>
      </c>
    </row>
    <row r="3029" spans="1:18" x14ac:dyDescent="0.25">
      <c r="A3029" t="s">
        <v>1118</v>
      </c>
      <c r="B3029" s="1">
        <v>44378</v>
      </c>
      <c r="C3029" t="s">
        <v>1405</v>
      </c>
      <c r="D3029" t="s">
        <v>322</v>
      </c>
      <c r="E3029" t="s">
        <v>660</v>
      </c>
      <c r="F3029" t="s">
        <v>1116</v>
      </c>
      <c r="G3029" t="s">
        <v>1117</v>
      </c>
      <c r="H3029" t="s">
        <v>54</v>
      </c>
      <c r="I3029">
        <v>1027</v>
      </c>
      <c r="J3029">
        <v>0</v>
      </c>
      <c r="K3029">
        <v>0</v>
      </c>
      <c r="L3029" t="s">
        <v>25</v>
      </c>
      <c r="M3029" t="s">
        <v>132</v>
      </c>
      <c r="N3029">
        <v>0</v>
      </c>
      <c r="O3029">
        <v>0</v>
      </c>
      <c r="P3029" t="str">
        <f>IF(T[[#This Row],[qty_ordered]]&lt;&gt;T[[#This Row],[qty_received]],IF(T[[#This Row],[qty_received]]&gt;0,"Partial Received","Not Receviced"),"FullyReceived")</f>
        <v>Not Receviced</v>
      </c>
      <c r="Q3029" t="str">
        <f>IF(T[[#This Row],[qty_received]]&lt;&gt;T[[#This Row],[qty_invoiced]],IF(T[[#This Row],[qty_invoiced]]&gt;0,"Partial Invoiced","Not Invoiced"),"Fully Invoiced")</f>
        <v>Fully Invoiced</v>
      </c>
      <c r="R3029" t="str">
        <f>IFERROR(VLOOKUP(T[[#This Row],[warehouse]],Table2[],2,FALSE),"--")</f>
        <v>SLAUGHTER HOUSE</v>
      </c>
    </row>
    <row r="3030" spans="1:18" x14ac:dyDescent="0.25">
      <c r="A3030" t="s">
        <v>1040</v>
      </c>
      <c r="B3030" s="1">
        <v>44369</v>
      </c>
      <c r="C3030" t="s">
        <v>1420</v>
      </c>
      <c r="D3030" t="s">
        <v>76</v>
      </c>
      <c r="E3030" t="s">
        <v>660</v>
      </c>
      <c r="F3030" t="s">
        <v>1451</v>
      </c>
      <c r="G3030" t="s">
        <v>1452</v>
      </c>
      <c r="H3030" t="s">
        <v>1087</v>
      </c>
      <c r="I3030">
        <v>79</v>
      </c>
      <c r="J3030">
        <v>0</v>
      </c>
      <c r="K3030">
        <v>0</v>
      </c>
      <c r="L3030" t="s">
        <v>25</v>
      </c>
      <c r="M3030" t="s">
        <v>132</v>
      </c>
      <c r="N3030">
        <v>0</v>
      </c>
      <c r="O3030">
        <v>0</v>
      </c>
      <c r="P3030" t="str">
        <f>IF(T[[#This Row],[qty_ordered]]&lt;&gt;T[[#This Row],[qty_received]],IF(T[[#This Row],[qty_received]]&gt;0,"Partial Received","Not Receviced"),"FullyReceived")</f>
        <v>Not Receviced</v>
      </c>
      <c r="Q3030" t="str">
        <f>IF(T[[#This Row],[qty_received]]&lt;&gt;T[[#This Row],[qty_invoiced]],IF(T[[#This Row],[qty_invoiced]]&gt;0,"Partial Invoiced","Not Invoiced"),"Fully Invoiced")</f>
        <v>Fully Invoiced</v>
      </c>
      <c r="R3030" t="str">
        <f>IFERROR(VLOOKUP(T[[#This Row],[warehouse]],Table2[],2,FALSE),"--")</f>
        <v>SLAUGHTER HOUSE</v>
      </c>
    </row>
    <row r="3031" spans="1:18" x14ac:dyDescent="0.25">
      <c r="A3031" t="s">
        <v>1040</v>
      </c>
      <c r="B3031" s="1">
        <v>44369</v>
      </c>
      <c r="C3031" t="s">
        <v>1420</v>
      </c>
      <c r="D3031" t="s">
        <v>212</v>
      </c>
      <c r="E3031" t="s">
        <v>660</v>
      </c>
      <c r="F3031" t="s">
        <v>1116</v>
      </c>
      <c r="G3031" t="s">
        <v>1117</v>
      </c>
      <c r="H3031" t="s">
        <v>54</v>
      </c>
      <c r="I3031">
        <v>3359</v>
      </c>
      <c r="J3031">
        <v>0</v>
      </c>
      <c r="K3031">
        <v>0</v>
      </c>
      <c r="L3031" t="s">
        <v>25</v>
      </c>
      <c r="M3031" t="s">
        <v>132</v>
      </c>
      <c r="N3031">
        <v>0</v>
      </c>
      <c r="O3031">
        <v>0</v>
      </c>
      <c r="P3031" t="str">
        <f>IF(T[[#This Row],[qty_ordered]]&lt;&gt;T[[#This Row],[qty_received]],IF(T[[#This Row],[qty_received]]&gt;0,"Partial Received","Not Receviced"),"FullyReceived")</f>
        <v>Not Receviced</v>
      </c>
      <c r="Q3031" t="str">
        <f>IF(T[[#This Row],[qty_received]]&lt;&gt;T[[#This Row],[qty_invoiced]],IF(T[[#This Row],[qty_invoiced]]&gt;0,"Partial Invoiced","Not Invoiced"),"Fully Invoiced")</f>
        <v>Fully Invoiced</v>
      </c>
      <c r="R3031" t="str">
        <f>IFERROR(VLOOKUP(T[[#This Row],[warehouse]],Table2[],2,FALSE),"--")</f>
        <v>SLAUGHTER HOUSE</v>
      </c>
    </row>
    <row r="3032" spans="1:18" x14ac:dyDescent="0.25">
      <c r="A3032" t="s">
        <v>560</v>
      </c>
      <c r="B3032" s="1">
        <v>44251</v>
      </c>
      <c r="C3032" t="s">
        <v>1276</v>
      </c>
      <c r="D3032" t="s">
        <v>752</v>
      </c>
      <c r="E3032" t="s">
        <v>51</v>
      </c>
      <c r="F3032" t="s">
        <v>164</v>
      </c>
      <c r="G3032" t="s">
        <v>1930</v>
      </c>
      <c r="H3032" t="s">
        <v>54</v>
      </c>
      <c r="I3032">
        <v>5</v>
      </c>
      <c r="J3032">
        <v>0</v>
      </c>
      <c r="K3032">
        <v>1</v>
      </c>
      <c r="L3032" t="s">
        <v>25</v>
      </c>
      <c r="M3032" t="s">
        <v>533</v>
      </c>
      <c r="N3032">
        <v>4130.2</v>
      </c>
      <c r="O3032">
        <v>0</v>
      </c>
      <c r="P3032" t="str">
        <f>IF(T[[#This Row],[qty_ordered]]&lt;&gt;T[[#This Row],[qty_received]],IF(T[[#This Row],[qty_received]]&gt;0,"Partial Received","Not Receviced"),"FullyReceived")</f>
        <v>Not Receviced</v>
      </c>
      <c r="Q3032" t="str">
        <f>IF(T[[#This Row],[qty_received]]&lt;&gt;T[[#This Row],[qty_invoiced]],IF(T[[#This Row],[qty_invoiced]]&gt;0,"Partial Invoiced","Not Invoiced"),"Fully Invoiced")</f>
        <v>Partial Invoiced</v>
      </c>
      <c r="R3032" t="str">
        <f>IFERROR(VLOOKUP(T[[#This Row],[warehouse]],Table2[],2,FALSE),"--")</f>
        <v>--</v>
      </c>
    </row>
    <row r="3033" spans="1:18" x14ac:dyDescent="0.25">
      <c r="A3033" t="s">
        <v>1349</v>
      </c>
      <c r="B3033" s="1">
        <v>44360</v>
      </c>
      <c r="C3033" t="s">
        <v>1350</v>
      </c>
      <c r="D3033" t="s">
        <v>74</v>
      </c>
      <c r="E3033" t="s">
        <v>660</v>
      </c>
      <c r="F3033" t="s">
        <v>1116</v>
      </c>
      <c r="G3033" t="s">
        <v>1117</v>
      </c>
      <c r="H3033" t="s">
        <v>54</v>
      </c>
      <c r="I3033">
        <v>2202</v>
      </c>
      <c r="J3033">
        <v>0</v>
      </c>
      <c r="K3033">
        <v>0</v>
      </c>
      <c r="L3033" t="s">
        <v>25</v>
      </c>
      <c r="M3033" t="s">
        <v>132</v>
      </c>
      <c r="N3033">
        <v>0</v>
      </c>
      <c r="O3033">
        <v>0</v>
      </c>
      <c r="P3033" t="str">
        <f>IF(T[[#This Row],[qty_ordered]]&lt;&gt;T[[#This Row],[qty_received]],IF(T[[#This Row],[qty_received]]&gt;0,"Partial Received","Not Receviced"),"FullyReceived")</f>
        <v>Not Receviced</v>
      </c>
      <c r="Q3033" t="str">
        <f>IF(T[[#This Row],[qty_received]]&lt;&gt;T[[#This Row],[qty_invoiced]],IF(T[[#This Row],[qty_invoiced]]&gt;0,"Partial Invoiced","Not Invoiced"),"Fully Invoiced")</f>
        <v>Fully Invoiced</v>
      </c>
      <c r="R3033" t="str">
        <f>IFERROR(VLOOKUP(T[[#This Row],[warehouse]],Table2[],2,FALSE),"--")</f>
        <v>SLAUGHTER HOUSE</v>
      </c>
    </row>
    <row r="3034" spans="1:18" x14ac:dyDescent="0.25">
      <c r="A3034" t="s">
        <v>1114</v>
      </c>
      <c r="B3034" s="1">
        <v>44347</v>
      </c>
      <c r="C3034" t="s">
        <v>1336</v>
      </c>
      <c r="D3034" t="s">
        <v>323</v>
      </c>
      <c r="E3034" t="s">
        <v>660</v>
      </c>
      <c r="F3034" t="s">
        <v>1451</v>
      </c>
      <c r="G3034" t="s">
        <v>1452</v>
      </c>
      <c r="H3034" t="s">
        <v>1087</v>
      </c>
      <c r="I3034">
        <v>76</v>
      </c>
      <c r="J3034">
        <v>0</v>
      </c>
      <c r="K3034">
        <v>0</v>
      </c>
      <c r="L3034" t="s">
        <v>25</v>
      </c>
      <c r="M3034" t="s">
        <v>132</v>
      </c>
      <c r="N3034">
        <v>0</v>
      </c>
      <c r="O3034">
        <v>0</v>
      </c>
      <c r="P3034" t="str">
        <f>IF(T[[#This Row],[qty_ordered]]&lt;&gt;T[[#This Row],[qty_received]],IF(T[[#This Row],[qty_received]]&gt;0,"Partial Received","Not Receviced"),"FullyReceived")</f>
        <v>Not Receviced</v>
      </c>
      <c r="Q3034" t="str">
        <f>IF(T[[#This Row],[qty_received]]&lt;&gt;T[[#This Row],[qty_invoiced]],IF(T[[#This Row],[qty_invoiced]]&gt;0,"Partial Invoiced","Not Invoiced"),"Fully Invoiced")</f>
        <v>Fully Invoiced</v>
      </c>
      <c r="R3034" t="str">
        <f>IFERROR(VLOOKUP(T[[#This Row],[warehouse]],Table2[],2,FALSE),"--")</f>
        <v>SLAUGHTER HOUSE</v>
      </c>
    </row>
    <row r="3035" spans="1:18" x14ac:dyDescent="0.25">
      <c r="A3035" t="s">
        <v>1114</v>
      </c>
      <c r="B3035" s="1">
        <v>44347</v>
      </c>
      <c r="C3035" t="s">
        <v>1336</v>
      </c>
      <c r="D3035" t="s">
        <v>324</v>
      </c>
      <c r="E3035" t="s">
        <v>660</v>
      </c>
      <c r="F3035" t="s">
        <v>1116</v>
      </c>
      <c r="G3035" t="s">
        <v>1117</v>
      </c>
      <c r="H3035" t="s">
        <v>54</v>
      </c>
      <c r="I3035">
        <v>3848</v>
      </c>
      <c r="J3035">
        <v>0</v>
      </c>
      <c r="K3035">
        <v>0</v>
      </c>
      <c r="L3035" t="s">
        <v>25</v>
      </c>
      <c r="M3035" t="s">
        <v>132</v>
      </c>
      <c r="N3035">
        <v>0</v>
      </c>
      <c r="O3035">
        <v>0</v>
      </c>
      <c r="P3035" t="str">
        <f>IF(T[[#This Row],[qty_ordered]]&lt;&gt;T[[#This Row],[qty_received]],IF(T[[#This Row],[qty_received]]&gt;0,"Partial Received","Not Receviced"),"FullyReceived")</f>
        <v>Not Receviced</v>
      </c>
      <c r="Q3035" t="str">
        <f>IF(T[[#This Row],[qty_received]]&lt;&gt;T[[#This Row],[qty_invoiced]],IF(T[[#This Row],[qty_invoiced]]&gt;0,"Partial Invoiced","Not Invoiced"),"Fully Invoiced")</f>
        <v>Fully Invoiced</v>
      </c>
      <c r="R3035" t="str">
        <f>IFERROR(VLOOKUP(T[[#This Row],[warehouse]],Table2[],2,FALSE),"--")</f>
        <v>SLAUGHTER HOUSE</v>
      </c>
    </row>
    <row r="3036" spans="1:18" x14ac:dyDescent="0.25">
      <c r="A3036" t="s">
        <v>1114</v>
      </c>
      <c r="B3036" s="1">
        <v>44321</v>
      </c>
      <c r="C3036" t="s">
        <v>1335</v>
      </c>
      <c r="D3036" t="s">
        <v>591</v>
      </c>
      <c r="E3036" t="s">
        <v>660</v>
      </c>
      <c r="F3036" t="s">
        <v>1451</v>
      </c>
      <c r="G3036" t="s">
        <v>1452</v>
      </c>
      <c r="H3036" t="s">
        <v>1087</v>
      </c>
      <c r="I3036">
        <v>154</v>
      </c>
      <c r="J3036">
        <v>0</v>
      </c>
      <c r="K3036">
        <v>0</v>
      </c>
      <c r="L3036" t="s">
        <v>25</v>
      </c>
      <c r="M3036" t="s">
        <v>132</v>
      </c>
      <c r="N3036">
        <v>0</v>
      </c>
      <c r="O3036">
        <v>0</v>
      </c>
      <c r="P3036" t="str">
        <f>IF(T[[#This Row],[qty_ordered]]&lt;&gt;T[[#This Row],[qty_received]],IF(T[[#This Row],[qty_received]]&gt;0,"Partial Received","Not Receviced"),"FullyReceived")</f>
        <v>Not Receviced</v>
      </c>
      <c r="Q3036" t="str">
        <f>IF(T[[#This Row],[qty_received]]&lt;&gt;T[[#This Row],[qty_invoiced]],IF(T[[#This Row],[qty_invoiced]]&gt;0,"Partial Invoiced","Not Invoiced"),"Fully Invoiced")</f>
        <v>Fully Invoiced</v>
      </c>
      <c r="R3036" t="str">
        <f>IFERROR(VLOOKUP(T[[#This Row],[warehouse]],Table2[],2,FALSE),"--")</f>
        <v>SLAUGHTER HOUSE</v>
      </c>
    </row>
    <row r="3037" spans="1:18" x14ac:dyDescent="0.25">
      <c r="A3037" t="s">
        <v>1114</v>
      </c>
      <c r="B3037" s="1">
        <v>44321</v>
      </c>
      <c r="C3037" t="s">
        <v>1335</v>
      </c>
      <c r="D3037" t="s">
        <v>592</v>
      </c>
      <c r="E3037" t="s">
        <v>660</v>
      </c>
      <c r="F3037" t="s">
        <v>1116</v>
      </c>
      <c r="G3037" t="s">
        <v>1117</v>
      </c>
      <c r="H3037" t="s">
        <v>54</v>
      </c>
      <c r="I3037">
        <v>8621</v>
      </c>
      <c r="J3037">
        <v>0</v>
      </c>
      <c r="K3037">
        <v>0</v>
      </c>
      <c r="L3037" t="s">
        <v>25</v>
      </c>
      <c r="M3037" t="s">
        <v>132</v>
      </c>
      <c r="N3037">
        <v>0</v>
      </c>
      <c r="O3037">
        <v>0</v>
      </c>
      <c r="P3037" t="str">
        <f>IF(T[[#This Row],[qty_ordered]]&lt;&gt;T[[#This Row],[qty_received]],IF(T[[#This Row],[qty_received]]&gt;0,"Partial Received","Not Receviced"),"FullyReceived")</f>
        <v>Not Receviced</v>
      </c>
      <c r="Q3037" t="str">
        <f>IF(T[[#This Row],[qty_received]]&lt;&gt;T[[#This Row],[qty_invoiced]],IF(T[[#This Row],[qty_invoiced]]&gt;0,"Partial Invoiced","Not Invoiced"),"Fully Invoiced")</f>
        <v>Fully Invoiced</v>
      </c>
      <c r="R3037" t="str">
        <f>IFERROR(VLOOKUP(T[[#This Row],[warehouse]],Table2[],2,FALSE),"--")</f>
        <v>SLAUGHTER HOUSE</v>
      </c>
    </row>
    <row r="3038" spans="1:18" x14ac:dyDescent="0.25">
      <c r="A3038" t="s">
        <v>1931</v>
      </c>
      <c r="B3038" s="1">
        <v>44476</v>
      </c>
      <c r="C3038" t="s">
        <v>1932</v>
      </c>
      <c r="D3038" t="s">
        <v>20</v>
      </c>
      <c r="E3038" t="s">
        <v>1285</v>
      </c>
      <c r="F3038" t="s">
        <v>1338</v>
      </c>
      <c r="G3038" t="s">
        <v>1339</v>
      </c>
      <c r="H3038" t="s">
        <v>123</v>
      </c>
      <c r="I3038">
        <v>3800</v>
      </c>
      <c r="J3038">
        <v>3800</v>
      </c>
      <c r="K3038">
        <v>3800</v>
      </c>
      <c r="L3038" t="s">
        <v>25</v>
      </c>
      <c r="M3038" t="s">
        <v>707</v>
      </c>
      <c r="N3038">
        <v>20150</v>
      </c>
      <c r="O3038">
        <v>76570000</v>
      </c>
      <c r="P3038" t="str">
        <f>IF(T[[#This Row],[qty_ordered]]&lt;&gt;T[[#This Row],[qty_received]],IF(T[[#This Row],[qty_received]]&gt;0,"Partial Received","Not Receviced"),"FullyReceived")</f>
        <v>FullyReceived</v>
      </c>
      <c r="Q3038" t="str">
        <f>IF(T[[#This Row],[qty_received]]&lt;&gt;T[[#This Row],[qty_invoiced]],IF(T[[#This Row],[qty_invoiced]]&gt;0,"Partial Invoiced","Not Invoiced"),"Fully Invoiced")</f>
        <v>Fully Invoiced</v>
      </c>
      <c r="R3038" t="str">
        <f>IFERROR(VLOOKUP(T[[#This Row],[warehouse]],Table2[],2,FALSE),"--")</f>
        <v>Khartoum Import Warehouse</v>
      </c>
    </row>
    <row r="3039" spans="1:18" x14ac:dyDescent="0.25">
      <c r="A3039" t="s">
        <v>560</v>
      </c>
      <c r="B3039" s="1">
        <v>44606</v>
      </c>
      <c r="C3039" t="s">
        <v>1546</v>
      </c>
      <c r="D3039" t="s">
        <v>568</v>
      </c>
      <c r="E3039" t="s">
        <v>51</v>
      </c>
      <c r="F3039" t="s">
        <v>164</v>
      </c>
      <c r="G3039" t="s">
        <v>2403</v>
      </c>
      <c r="H3039" t="s">
        <v>54</v>
      </c>
      <c r="I3039">
        <v>28.75</v>
      </c>
      <c r="J3039">
        <v>0</v>
      </c>
      <c r="K3039">
        <v>1</v>
      </c>
      <c r="L3039" t="s">
        <v>693</v>
      </c>
      <c r="M3039" t="s">
        <v>2836</v>
      </c>
      <c r="N3039">
        <v>9450</v>
      </c>
      <c r="O3039">
        <v>0</v>
      </c>
      <c r="P3039" t="str">
        <f>IF(T[[#This Row],[qty_ordered]]&lt;&gt;T[[#This Row],[qty_received]],IF(T[[#This Row],[qty_received]]&gt;0,"Partial Received","Not Receviced"),"FullyReceived")</f>
        <v>Not Receviced</v>
      </c>
      <c r="Q3039" t="str">
        <f>IF(T[[#This Row],[qty_received]]&lt;&gt;T[[#This Row],[qty_invoiced]],IF(T[[#This Row],[qty_invoiced]]&gt;0,"Partial Invoiced","Not Invoiced"),"Fully Invoiced")</f>
        <v>Partial Invoiced</v>
      </c>
      <c r="R3039" t="str">
        <f>IFERROR(VLOOKUP(T[[#This Row],[warehouse]],Table2[],2,FALSE),"--")</f>
        <v>--</v>
      </c>
    </row>
    <row r="3040" spans="1:18" x14ac:dyDescent="0.25">
      <c r="A3040" t="s">
        <v>560</v>
      </c>
      <c r="B3040" s="1">
        <v>44606</v>
      </c>
      <c r="C3040" t="s">
        <v>1546</v>
      </c>
      <c r="D3040" t="s">
        <v>569</v>
      </c>
      <c r="E3040" t="s">
        <v>51</v>
      </c>
      <c r="F3040" t="s">
        <v>164</v>
      </c>
      <c r="G3040" t="s">
        <v>2403</v>
      </c>
      <c r="H3040" t="s">
        <v>54</v>
      </c>
      <c r="I3040">
        <v>28.88</v>
      </c>
      <c r="J3040">
        <v>0</v>
      </c>
      <c r="K3040">
        <v>1</v>
      </c>
      <c r="L3040" t="s">
        <v>693</v>
      </c>
      <c r="M3040" t="s">
        <v>2836</v>
      </c>
      <c r="N3040">
        <v>9450</v>
      </c>
      <c r="O3040">
        <v>0</v>
      </c>
      <c r="P3040" t="str">
        <f>IF(T[[#This Row],[qty_ordered]]&lt;&gt;T[[#This Row],[qty_received]],IF(T[[#This Row],[qty_received]]&gt;0,"Partial Received","Not Receviced"),"FullyReceived")</f>
        <v>Not Receviced</v>
      </c>
      <c r="Q3040" t="str">
        <f>IF(T[[#This Row],[qty_received]]&lt;&gt;T[[#This Row],[qty_invoiced]],IF(T[[#This Row],[qty_invoiced]]&gt;0,"Partial Invoiced","Not Invoiced"),"Fully Invoiced")</f>
        <v>Partial Invoiced</v>
      </c>
      <c r="R3040" t="str">
        <f>IFERROR(VLOOKUP(T[[#This Row],[warehouse]],Table2[],2,FALSE),"--")</f>
        <v>--</v>
      </c>
    </row>
    <row r="3041" spans="1:18" x14ac:dyDescent="0.25">
      <c r="A3041" t="s">
        <v>560</v>
      </c>
      <c r="B3041" s="1">
        <v>44606</v>
      </c>
      <c r="C3041" t="s">
        <v>1546</v>
      </c>
      <c r="D3041" t="s">
        <v>570</v>
      </c>
      <c r="E3041" t="s">
        <v>51</v>
      </c>
      <c r="F3041" t="s">
        <v>164</v>
      </c>
      <c r="G3041" t="s">
        <v>2403</v>
      </c>
      <c r="H3041" t="s">
        <v>54</v>
      </c>
      <c r="I3041">
        <v>22.25</v>
      </c>
      <c r="J3041">
        <v>0</v>
      </c>
      <c r="K3041">
        <v>1</v>
      </c>
      <c r="L3041" t="s">
        <v>693</v>
      </c>
      <c r="M3041" t="s">
        <v>2836</v>
      </c>
      <c r="N3041">
        <v>9450</v>
      </c>
      <c r="O3041">
        <v>0</v>
      </c>
      <c r="P3041" t="str">
        <f>IF(T[[#This Row],[qty_ordered]]&lt;&gt;T[[#This Row],[qty_received]],IF(T[[#This Row],[qty_received]]&gt;0,"Partial Received","Not Receviced"),"FullyReceived")</f>
        <v>Not Receviced</v>
      </c>
      <c r="Q3041" t="str">
        <f>IF(T[[#This Row],[qty_received]]&lt;&gt;T[[#This Row],[qty_invoiced]],IF(T[[#This Row],[qty_invoiced]]&gt;0,"Partial Invoiced","Not Invoiced"),"Fully Invoiced")</f>
        <v>Partial Invoiced</v>
      </c>
      <c r="R3041" t="str">
        <f>IFERROR(VLOOKUP(T[[#This Row],[warehouse]],Table2[],2,FALSE),"--")</f>
        <v>--</v>
      </c>
    </row>
    <row r="3042" spans="1:18" x14ac:dyDescent="0.25">
      <c r="A3042" t="s">
        <v>560</v>
      </c>
      <c r="B3042" s="1">
        <v>44783</v>
      </c>
      <c r="C3042" t="s">
        <v>2297</v>
      </c>
      <c r="D3042" t="s">
        <v>71</v>
      </c>
      <c r="E3042" t="s">
        <v>51</v>
      </c>
      <c r="F3042" t="s">
        <v>164</v>
      </c>
      <c r="G3042" t="s">
        <v>2404</v>
      </c>
      <c r="H3042" t="s">
        <v>54</v>
      </c>
      <c r="I3042">
        <v>41.5</v>
      </c>
      <c r="J3042">
        <v>0</v>
      </c>
      <c r="K3042">
        <v>1</v>
      </c>
      <c r="L3042" t="s">
        <v>693</v>
      </c>
      <c r="M3042" t="s">
        <v>533</v>
      </c>
      <c r="N3042">
        <v>9450</v>
      </c>
      <c r="O3042">
        <v>0</v>
      </c>
      <c r="P3042" t="str">
        <f>IF(T[[#This Row],[qty_ordered]]&lt;&gt;T[[#This Row],[qty_received]],IF(T[[#This Row],[qty_received]]&gt;0,"Partial Received","Not Receviced"),"FullyReceived")</f>
        <v>Not Receviced</v>
      </c>
      <c r="Q3042" t="str">
        <f>IF(T[[#This Row],[qty_received]]&lt;&gt;T[[#This Row],[qty_invoiced]],IF(T[[#This Row],[qty_invoiced]]&gt;0,"Partial Invoiced","Not Invoiced"),"Fully Invoiced")</f>
        <v>Partial Invoiced</v>
      </c>
      <c r="R3042" t="str">
        <f>IFERROR(VLOOKUP(T[[#This Row],[warehouse]],Table2[],2,FALSE),"--")</f>
        <v>--</v>
      </c>
    </row>
    <row r="3043" spans="1:18" x14ac:dyDescent="0.25">
      <c r="A3043" t="s">
        <v>560</v>
      </c>
      <c r="B3043" s="1">
        <v>44783</v>
      </c>
      <c r="C3043" t="s">
        <v>2297</v>
      </c>
      <c r="D3043" t="s">
        <v>100</v>
      </c>
      <c r="E3043" t="s">
        <v>51</v>
      </c>
      <c r="F3043" t="s">
        <v>164</v>
      </c>
      <c r="G3043" t="s">
        <v>2404</v>
      </c>
      <c r="H3043" t="s">
        <v>54</v>
      </c>
      <c r="I3043">
        <v>11.13</v>
      </c>
      <c r="J3043">
        <v>0</v>
      </c>
      <c r="K3043">
        <v>1</v>
      </c>
      <c r="L3043" t="s">
        <v>693</v>
      </c>
      <c r="M3043" t="s">
        <v>533</v>
      </c>
      <c r="N3043">
        <v>9450</v>
      </c>
      <c r="O3043">
        <v>0</v>
      </c>
      <c r="P3043" t="str">
        <f>IF(T[[#This Row],[qty_ordered]]&lt;&gt;T[[#This Row],[qty_received]],IF(T[[#This Row],[qty_received]]&gt;0,"Partial Received","Not Receviced"),"FullyReceived")</f>
        <v>Not Receviced</v>
      </c>
      <c r="Q3043" t="str">
        <f>IF(T[[#This Row],[qty_received]]&lt;&gt;T[[#This Row],[qty_invoiced]],IF(T[[#This Row],[qty_invoiced]]&gt;0,"Partial Invoiced","Not Invoiced"),"Fully Invoiced")</f>
        <v>Partial Invoiced</v>
      </c>
      <c r="R3043" t="str">
        <f>IFERROR(VLOOKUP(T[[#This Row],[warehouse]],Table2[],2,FALSE),"--")</f>
        <v>--</v>
      </c>
    </row>
    <row r="3044" spans="1:18" x14ac:dyDescent="0.25">
      <c r="A3044" t="s">
        <v>560</v>
      </c>
      <c r="B3044" s="1">
        <v>44783</v>
      </c>
      <c r="C3044" t="s">
        <v>2297</v>
      </c>
      <c r="D3044" t="s">
        <v>88</v>
      </c>
      <c r="E3044" t="s">
        <v>51</v>
      </c>
      <c r="F3044" t="s">
        <v>164</v>
      </c>
      <c r="G3044" t="s">
        <v>2404</v>
      </c>
      <c r="H3044" t="s">
        <v>54</v>
      </c>
      <c r="I3044">
        <v>33.130000000000003</v>
      </c>
      <c r="J3044">
        <v>0</v>
      </c>
      <c r="K3044">
        <v>1</v>
      </c>
      <c r="L3044" t="s">
        <v>693</v>
      </c>
      <c r="M3044" t="s">
        <v>533</v>
      </c>
      <c r="N3044">
        <v>9450</v>
      </c>
      <c r="O3044">
        <v>0</v>
      </c>
      <c r="P3044" t="str">
        <f>IF(T[[#This Row],[qty_ordered]]&lt;&gt;T[[#This Row],[qty_received]],IF(T[[#This Row],[qty_received]]&gt;0,"Partial Received","Not Receviced"),"FullyReceived")</f>
        <v>Not Receviced</v>
      </c>
      <c r="Q3044" t="str">
        <f>IF(T[[#This Row],[qty_received]]&lt;&gt;T[[#This Row],[qty_invoiced]],IF(T[[#This Row],[qty_invoiced]]&gt;0,"Partial Invoiced","Not Invoiced"),"Fully Invoiced")</f>
        <v>Partial Invoiced</v>
      </c>
      <c r="R3044" t="str">
        <f>IFERROR(VLOOKUP(T[[#This Row],[warehouse]],Table2[],2,FALSE),"--")</f>
        <v>--</v>
      </c>
    </row>
    <row r="3045" spans="1:18" x14ac:dyDescent="0.25">
      <c r="A3045" t="s">
        <v>560</v>
      </c>
      <c r="B3045" s="1">
        <v>44634</v>
      </c>
      <c r="C3045" t="s">
        <v>1539</v>
      </c>
      <c r="D3045" t="s">
        <v>212</v>
      </c>
      <c r="E3045" t="s">
        <v>51</v>
      </c>
      <c r="F3045" t="s">
        <v>164</v>
      </c>
      <c r="G3045" t="s">
        <v>2405</v>
      </c>
      <c r="H3045" t="s">
        <v>54</v>
      </c>
      <c r="I3045">
        <v>27</v>
      </c>
      <c r="J3045">
        <v>0</v>
      </c>
      <c r="K3045">
        <v>1</v>
      </c>
      <c r="L3045" t="s">
        <v>693</v>
      </c>
      <c r="M3045" t="s">
        <v>2836</v>
      </c>
      <c r="N3045">
        <v>9450</v>
      </c>
      <c r="O3045">
        <v>0</v>
      </c>
      <c r="P3045" t="str">
        <f>IF(T[[#This Row],[qty_ordered]]&lt;&gt;T[[#This Row],[qty_received]],IF(T[[#This Row],[qty_received]]&gt;0,"Partial Received","Not Receviced"),"FullyReceived")</f>
        <v>Not Receviced</v>
      </c>
      <c r="Q3045" t="str">
        <f>IF(T[[#This Row],[qty_received]]&lt;&gt;T[[#This Row],[qty_invoiced]],IF(T[[#This Row],[qty_invoiced]]&gt;0,"Partial Invoiced","Not Invoiced"),"Fully Invoiced")</f>
        <v>Partial Invoiced</v>
      </c>
      <c r="R3045" t="str">
        <f>IFERROR(VLOOKUP(T[[#This Row],[warehouse]],Table2[],2,FALSE),"--")</f>
        <v>--</v>
      </c>
    </row>
    <row r="3046" spans="1:18" x14ac:dyDescent="0.25">
      <c r="A3046" t="s">
        <v>560</v>
      </c>
      <c r="B3046" s="1">
        <v>44720</v>
      </c>
      <c r="C3046" t="s">
        <v>1693</v>
      </c>
      <c r="D3046" t="s">
        <v>76</v>
      </c>
      <c r="E3046" t="s">
        <v>51</v>
      </c>
      <c r="F3046" t="s">
        <v>164</v>
      </c>
      <c r="G3046" t="s">
        <v>2406</v>
      </c>
      <c r="H3046" t="s">
        <v>54</v>
      </c>
      <c r="I3046">
        <v>21</v>
      </c>
      <c r="J3046">
        <v>0</v>
      </c>
      <c r="K3046">
        <v>1</v>
      </c>
      <c r="L3046" t="s">
        <v>693</v>
      </c>
      <c r="M3046" t="s">
        <v>533</v>
      </c>
      <c r="N3046">
        <v>9450</v>
      </c>
      <c r="O3046">
        <v>0</v>
      </c>
      <c r="P3046" t="str">
        <f>IF(T[[#This Row],[qty_ordered]]&lt;&gt;T[[#This Row],[qty_received]],IF(T[[#This Row],[qty_received]]&gt;0,"Partial Received","Not Receviced"),"FullyReceived")</f>
        <v>Not Receviced</v>
      </c>
      <c r="Q3046" t="str">
        <f>IF(T[[#This Row],[qty_received]]&lt;&gt;T[[#This Row],[qty_invoiced]],IF(T[[#This Row],[qty_invoiced]]&gt;0,"Partial Invoiced","Not Invoiced"),"Fully Invoiced")</f>
        <v>Partial Invoiced</v>
      </c>
      <c r="R3046" t="str">
        <f>IFERROR(VLOOKUP(T[[#This Row],[warehouse]],Table2[],2,FALSE),"--")</f>
        <v>--</v>
      </c>
    </row>
    <row r="3047" spans="1:18" x14ac:dyDescent="0.25">
      <c r="A3047" t="s">
        <v>560</v>
      </c>
      <c r="B3047" s="1">
        <v>44606</v>
      </c>
      <c r="C3047" t="s">
        <v>1546</v>
      </c>
      <c r="D3047" t="s">
        <v>571</v>
      </c>
      <c r="E3047" t="s">
        <v>51</v>
      </c>
      <c r="F3047" t="s">
        <v>164</v>
      </c>
      <c r="G3047" t="s">
        <v>2403</v>
      </c>
      <c r="H3047" t="s">
        <v>54</v>
      </c>
      <c r="I3047">
        <v>32.25</v>
      </c>
      <c r="J3047">
        <v>0</v>
      </c>
      <c r="K3047">
        <v>1</v>
      </c>
      <c r="L3047" t="s">
        <v>693</v>
      </c>
      <c r="M3047" t="s">
        <v>2836</v>
      </c>
      <c r="N3047">
        <v>9450</v>
      </c>
      <c r="O3047">
        <v>0</v>
      </c>
      <c r="P3047" t="str">
        <f>IF(T[[#This Row],[qty_ordered]]&lt;&gt;T[[#This Row],[qty_received]],IF(T[[#This Row],[qty_received]]&gt;0,"Partial Received","Not Receviced"),"FullyReceived")</f>
        <v>Not Receviced</v>
      </c>
      <c r="Q3047" t="str">
        <f>IF(T[[#This Row],[qty_received]]&lt;&gt;T[[#This Row],[qty_invoiced]],IF(T[[#This Row],[qty_invoiced]]&gt;0,"Partial Invoiced","Not Invoiced"),"Fully Invoiced")</f>
        <v>Partial Invoiced</v>
      </c>
      <c r="R3047" t="str">
        <f>IFERROR(VLOOKUP(T[[#This Row],[warehouse]],Table2[],2,FALSE),"--")</f>
        <v>--</v>
      </c>
    </row>
    <row r="3048" spans="1:18" x14ac:dyDescent="0.25">
      <c r="A3048" t="s">
        <v>560</v>
      </c>
      <c r="B3048" s="1">
        <v>44544</v>
      </c>
      <c r="C3048" t="s">
        <v>2056</v>
      </c>
      <c r="D3048" t="s">
        <v>74</v>
      </c>
      <c r="E3048" t="s">
        <v>51</v>
      </c>
      <c r="F3048" t="s">
        <v>164</v>
      </c>
      <c r="G3048" t="s">
        <v>2407</v>
      </c>
      <c r="H3048" t="s">
        <v>54</v>
      </c>
      <c r="I3048">
        <v>32.75</v>
      </c>
      <c r="J3048">
        <v>0</v>
      </c>
      <c r="K3048">
        <v>1</v>
      </c>
      <c r="L3048" t="s">
        <v>693</v>
      </c>
      <c r="M3048" t="s">
        <v>2836</v>
      </c>
      <c r="N3048">
        <v>9450</v>
      </c>
      <c r="O3048">
        <v>0</v>
      </c>
      <c r="P3048" t="str">
        <f>IF(T[[#This Row],[qty_ordered]]&lt;&gt;T[[#This Row],[qty_received]],IF(T[[#This Row],[qty_received]]&gt;0,"Partial Received","Not Receviced"),"FullyReceived")</f>
        <v>Not Receviced</v>
      </c>
      <c r="Q3048" t="str">
        <f>IF(T[[#This Row],[qty_received]]&lt;&gt;T[[#This Row],[qty_invoiced]],IF(T[[#This Row],[qty_invoiced]]&gt;0,"Partial Invoiced","Not Invoiced"),"Fully Invoiced")</f>
        <v>Partial Invoiced</v>
      </c>
      <c r="R3048" t="str">
        <f>IFERROR(VLOOKUP(T[[#This Row],[warehouse]],Table2[],2,FALSE),"--")</f>
        <v>--</v>
      </c>
    </row>
    <row r="3049" spans="1:18" x14ac:dyDescent="0.25">
      <c r="A3049" t="s">
        <v>560</v>
      </c>
      <c r="B3049" s="1">
        <v>44544</v>
      </c>
      <c r="C3049" t="s">
        <v>2056</v>
      </c>
      <c r="D3049" t="s">
        <v>76</v>
      </c>
      <c r="E3049" t="s">
        <v>51</v>
      </c>
      <c r="F3049" t="s">
        <v>164</v>
      </c>
      <c r="G3049" t="s">
        <v>2433</v>
      </c>
      <c r="H3049" t="s">
        <v>54</v>
      </c>
      <c r="I3049">
        <v>23.25</v>
      </c>
      <c r="J3049">
        <v>0</v>
      </c>
      <c r="K3049">
        <v>1</v>
      </c>
      <c r="L3049" t="s">
        <v>693</v>
      </c>
      <c r="M3049" t="s">
        <v>2836</v>
      </c>
      <c r="N3049">
        <v>9450</v>
      </c>
      <c r="O3049">
        <v>0</v>
      </c>
      <c r="P3049" t="str">
        <f>IF(T[[#This Row],[qty_ordered]]&lt;&gt;T[[#This Row],[qty_received]],IF(T[[#This Row],[qty_received]]&gt;0,"Partial Received","Not Receviced"),"FullyReceived")</f>
        <v>Not Receviced</v>
      </c>
      <c r="Q3049" t="str">
        <f>IF(T[[#This Row],[qty_received]]&lt;&gt;T[[#This Row],[qty_invoiced]],IF(T[[#This Row],[qty_invoiced]]&gt;0,"Partial Invoiced","Not Invoiced"),"Fully Invoiced")</f>
        <v>Partial Invoiced</v>
      </c>
      <c r="R3049" t="str">
        <f>IFERROR(VLOOKUP(T[[#This Row],[warehouse]],Table2[],2,FALSE),"--")</f>
        <v>--</v>
      </c>
    </row>
    <row r="3050" spans="1:18" x14ac:dyDescent="0.25">
      <c r="A3050" t="s">
        <v>303</v>
      </c>
      <c r="B3050" s="1">
        <v>44783</v>
      </c>
      <c r="C3050" t="s">
        <v>1859</v>
      </c>
      <c r="D3050" t="s">
        <v>71</v>
      </c>
      <c r="E3050" t="s">
        <v>66</v>
      </c>
      <c r="F3050" t="s">
        <v>1860</v>
      </c>
      <c r="G3050" t="s">
        <v>1861</v>
      </c>
      <c r="H3050" t="s">
        <v>531</v>
      </c>
      <c r="I3050">
        <v>1000</v>
      </c>
      <c r="J3050">
        <v>1000</v>
      </c>
      <c r="K3050">
        <v>1000</v>
      </c>
      <c r="L3050" t="s">
        <v>693</v>
      </c>
      <c r="M3050" t="s">
        <v>707</v>
      </c>
      <c r="N3050">
        <v>115000</v>
      </c>
      <c r="O3050">
        <v>115000000</v>
      </c>
      <c r="P3050" t="str">
        <f>IF(T[[#This Row],[qty_ordered]]&lt;&gt;T[[#This Row],[qty_received]],IF(T[[#This Row],[qty_received]]&gt;0,"Partial Received","Not Receviced"),"FullyReceived")</f>
        <v>FullyReceived</v>
      </c>
      <c r="Q3050" t="str">
        <f>IF(T[[#This Row],[qty_received]]&lt;&gt;T[[#This Row],[qty_invoiced]],IF(T[[#This Row],[qty_invoiced]]&gt;0,"Partial Invoiced","Not Invoiced"),"Fully Invoiced")</f>
        <v>Fully Invoiced</v>
      </c>
      <c r="R3050" t="str">
        <f>IFERROR(VLOOKUP(T[[#This Row],[warehouse]],Table2[],2,FALSE),"--")</f>
        <v>PZU Main Warehouse</v>
      </c>
    </row>
    <row r="3051" spans="1:18" x14ac:dyDescent="0.25">
      <c r="A3051" t="s">
        <v>795</v>
      </c>
      <c r="B3051" s="1">
        <v>44880</v>
      </c>
      <c r="C3051" t="s">
        <v>2831</v>
      </c>
      <c r="D3051" t="s">
        <v>88</v>
      </c>
      <c r="E3051" t="s">
        <v>629</v>
      </c>
      <c r="F3051" t="s">
        <v>287</v>
      </c>
      <c r="G3051" t="s">
        <v>288</v>
      </c>
      <c r="H3051" t="s">
        <v>24</v>
      </c>
      <c r="I3051">
        <v>833</v>
      </c>
      <c r="J3051">
        <v>726.48</v>
      </c>
      <c r="K3051">
        <v>726.48</v>
      </c>
      <c r="L3051" t="s">
        <v>693</v>
      </c>
      <c r="M3051" t="s">
        <v>707</v>
      </c>
      <c r="N3051">
        <v>600240.09603799996</v>
      </c>
      <c r="O3051">
        <v>436062424.96968597</v>
      </c>
      <c r="P3051" t="str">
        <f>IF(T[[#This Row],[qty_ordered]]&lt;&gt;T[[#This Row],[qty_received]],IF(T[[#This Row],[qty_received]]&gt;0,"Partial Received","Not Receviced"),"FullyReceived")</f>
        <v>Partial Received</v>
      </c>
      <c r="Q3051" t="str">
        <f>IF(T[[#This Row],[qty_received]]&lt;&gt;T[[#This Row],[qty_invoiced]],IF(T[[#This Row],[qty_invoiced]]&gt;0,"Partial Invoiced","Not Invoiced"),"Fully Invoiced")</f>
        <v>Fully Invoiced</v>
      </c>
      <c r="R3051" t="str">
        <f>IFERROR(VLOOKUP(T[[#This Row],[warehouse]],Table2[],2,FALSE),"--")</f>
        <v>SOPC Sifting &amp; Sorting</v>
      </c>
    </row>
    <row r="3052" spans="1:18" x14ac:dyDescent="0.25">
      <c r="A3052" t="s">
        <v>955</v>
      </c>
      <c r="B3052" s="1">
        <v>44948</v>
      </c>
      <c r="C3052" t="s">
        <v>3069</v>
      </c>
      <c r="D3052" t="s">
        <v>20</v>
      </c>
      <c r="E3052" t="s">
        <v>1430</v>
      </c>
      <c r="F3052" t="s">
        <v>130</v>
      </c>
      <c r="G3052" t="s">
        <v>131</v>
      </c>
      <c r="H3052" t="s">
        <v>24</v>
      </c>
      <c r="I3052">
        <v>860.52</v>
      </c>
      <c r="J3052">
        <v>860.52</v>
      </c>
      <c r="K3052">
        <v>860.52</v>
      </c>
      <c r="L3052" t="s">
        <v>693</v>
      </c>
      <c r="M3052" t="s">
        <v>1485</v>
      </c>
      <c r="N3052">
        <v>338296.05232000002</v>
      </c>
      <c r="O3052">
        <v>288616190.95546901</v>
      </c>
      <c r="P3052" t="str">
        <f>IF(T[[#This Row],[qty_ordered]]&lt;&gt;T[[#This Row],[qty_received]],IF(T[[#This Row],[qty_received]]&gt;0,"Partial Received","Not Receviced"),"FullyReceived")</f>
        <v>FullyReceived</v>
      </c>
      <c r="Q3052" t="str">
        <f>IF(T[[#This Row],[qty_received]]&lt;&gt;T[[#This Row],[qty_invoiced]],IF(T[[#This Row],[qty_invoiced]]&gt;0,"Partial Invoiced","Not Invoiced"),"Fully Invoiced")</f>
        <v>Fully Invoiced</v>
      </c>
      <c r="R3052" t="str">
        <f>IFERROR(VLOOKUP(T[[#This Row],[warehouse]],Table2[],2,FALSE),"--")</f>
        <v>Obaid Gum Arabic Centre</v>
      </c>
    </row>
    <row r="3053" spans="1:18" x14ac:dyDescent="0.25">
      <c r="A3053" t="s">
        <v>1475</v>
      </c>
      <c r="B3053" s="1">
        <v>44929</v>
      </c>
      <c r="C3053" t="s">
        <v>3006</v>
      </c>
      <c r="D3053" t="s">
        <v>71</v>
      </c>
      <c r="E3053" t="s">
        <v>51</v>
      </c>
      <c r="F3053" t="s">
        <v>674</v>
      </c>
      <c r="G3053" t="s">
        <v>3070</v>
      </c>
      <c r="H3053" t="s">
        <v>54</v>
      </c>
      <c r="I3053">
        <v>2792.29</v>
      </c>
      <c r="J3053">
        <v>0</v>
      </c>
      <c r="K3053">
        <v>1</v>
      </c>
      <c r="L3053" t="s">
        <v>693</v>
      </c>
      <c r="M3053" t="s">
        <v>2836</v>
      </c>
      <c r="N3053">
        <v>11000</v>
      </c>
      <c r="O3053">
        <v>0</v>
      </c>
      <c r="P3053" t="str">
        <f>IF(T[[#This Row],[qty_ordered]]&lt;&gt;T[[#This Row],[qty_received]],IF(T[[#This Row],[qty_received]]&gt;0,"Partial Received","Not Receviced"),"FullyReceived")</f>
        <v>Not Receviced</v>
      </c>
      <c r="Q3053" t="str">
        <f>IF(T[[#This Row],[qty_received]]&lt;&gt;T[[#This Row],[qty_invoiced]],IF(T[[#This Row],[qty_invoiced]]&gt;0,"Partial Invoiced","Not Invoiced"),"Fully Invoiced")</f>
        <v>Partial Invoiced</v>
      </c>
      <c r="R3053" t="str">
        <f>IFERROR(VLOOKUP(T[[#This Row],[warehouse]],Table2[],2,FALSE),"--")</f>
        <v>--</v>
      </c>
    </row>
    <row r="3054" spans="1:18" x14ac:dyDescent="0.25">
      <c r="A3054" t="s">
        <v>1475</v>
      </c>
      <c r="B3054" s="1">
        <v>44929</v>
      </c>
      <c r="C3054" t="s">
        <v>3006</v>
      </c>
      <c r="D3054" t="s">
        <v>100</v>
      </c>
      <c r="E3054" t="s">
        <v>51</v>
      </c>
      <c r="F3054" t="s">
        <v>384</v>
      </c>
      <c r="G3054" t="s">
        <v>3071</v>
      </c>
      <c r="H3054" t="s">
        <v>54</v>
      </c>
      <c r="I3054">
        <v>1462</v>
      </c>
      <c r="J3054">
        <v>0</v>
      </c>
      <c r="K3054">
        <v>1</v>
      </c>
      <c r="L3054" t="s">
        <v>693</v>
      </c>
      <c r="M3054" t="s">
        <v>2836</v>
      </c>
      <c r="N3054">
        <v>100</v>
      </c>
      <c r="O3054">
        <v>0</v>
      </c>
      <c r="P3054" t="str">
        <f>IF(T[[#This Row],[qty_ordered]]&lt;&gt;T[[#This Row],[qty_received]],IF(T[[#This Row],[qty_received]]&gt;0,"Partial Received","Not Receviced"),"FullyReceived")</f>
        <v>Not Receviced</v>
      </c>
      <c r="Q3054" t="str">
        <f>IF(T[[#This Row],[qty_received]]&lt;&gt;T[[#This Row],[qty_invoiced]],IF(T[[#This Row],[qty_invoiced]]&gt;0,"Partial Invoiced","Not Invoiced"),"Fully Invoiced")</f>
        <v>Partial Invoiced</v>
      </c>
      <c r="R3054" t="str">
        <f>IFERROR(VLOOKUP(T[[#This Row],[warehouse]],Table2[],2,FALSE),"--")</f>
        <v>--</v>
      </c>
    </row>
    <row r="3055" spans="1:18" x14ac:dyDescent="0.25">
      <c r="A3055" t="s">
        <v>1475</v>
      </c>
      <c r="B3055" s="1">
        <v>44929</v>
      </c>
      <c r="C3055" t="s">
        <v>3006</v>
      </c>
      <c r="D3055" t="s">
        <v>88</v>
      </c>
      <c r="E3055" t="s">
        <v>51</v>
      </c>
      <c r="F3055" t="s">
        <v>164</v>
      </c>
      <c r="G3055" t="s">
        <v>3072</v>
      </c>
      <c r="H3055" t="s">
        <v>54</v>
      </c>
      <c r="I3055">
        <v>4</v>
      </c>
      <c r="J3055">
        <v>0</v>
      </c>
      <c r="K3055">
        <v>1</v>
      </c>
      <c r="L3055" t="s">
        <v>693</v>
      </c>
      <c r="M3055" t="s">
        <v>2836</v>
      </c>
      <c r="N3055">
        <v>30000</v>
      </c>
      <c r="O3055">
        <v>0</v>
      </c>
      <c r="P3055" t="str">
        <f>IF(T[[#This Row],[qty_ordered]]&lt;&gt;T[[#This Row],[qty_received]],IF(T[[#This Row],[qty_received]]&gt;0,"Partial Received","Not Receviced"),"FullyReceived")</f>
        <v>Not Receviced</v>
      </c>
      <c r="Q3055" t="str">
        <f>IF(T[[#This Row],[qty_received]]&lt;&gt;T[[#This Row],[qty_invoiced]],IF(T[[#This Row],[qty_invoiced]]&gt;0,"Partial Invoiced","Not Invoiced"),"Fully Invoiced")</f>
        <v>Partial Invoiced</v>
      </c>
      <c r="R3055" t="str">
        <f>IFERROR(VLOOKUP(T[[#This Row],[warehouse]],Table2[],2,FALSE),"--")</f>
        <v>--</v>
      </c>
    </row>
    <row r="3056" spans="1:18" x14ac:dyDescent="0.25">
      <c r="A3056" t="s">
        <v>955</v>
      </c>
      <c r="B3056" s="1">
        <v>44894</v>
      </c>
      <c r="C3056" t="s">
        <v>2897</v>
      </c>
      <c r="D3056" t="s">
        <v>100</v>
      </c>
      <c r="E3056" t="s">
        <v>629</v>
      </c>
      <c r="F3056" t="s">
        <v>287</v>
      </c>
      <c r="G3056" t="s">
        <v>288</v>
      </c>
      <c r="H3056" t="s">
        <v>24</v>
      </c>
      <c r="I3056">
        <v>515.46299999999997</v>
      </c>
      <c r="J3056">
        <v>333.14</v>
      </c>
      <c r="K3056">
        <v>333.14</v>
      </c>
      <c r="L3056" t="s">
        <v>693</v>
      </c>
      <c r="M3056" t="s">
        <v>707</v>
      </c>
      <c r="N3056">
        <v>582001.03596100002</v>
      </c>
      <c r="O3056">
        <v>193887825.12004799</v>
      </c>
      <c r="P3056" t="str">
        <f>IF(T[[#This Row],[qty_ordered]]&lt;&gt;T[[#This Row],[qty_received]],IF(T[[#This Row],[qty_received]]&gt;0,"Partial Received","Not Receviced"),"FullyReceived")</f>
        <v>Partial Received</v>
      </c>
      <c r="Q3056" t="str">
        <f>IF(T[[#This Row],[qty_received]]&lt;&gt;T[[#This Row],[qty_invoiced]],IF(T[[#This Row],[qty_invoiced]]&gt;0,"Partial Invoiced","Not Invoiced"),"Fully Invoiced")</f>
        <v>Fully Invoiced</v>
      </c>
      <c r="R3056" t="str">
        <f>IFERROR(VLOOKUP(T[[#This Row],[warehouse]],Table2[],2,FALSE),"--")</f>
        <v>SOPC Sifting &amp; Sorting</v>
      </c>
    </row>
    <row r="3057" spans="1:18" x14ac:dyDescent="0.25">
      <c r="A3057" t="s">
        <v>235</v>
      </c>
      <c r="B3057" s="1">
        <v>44935</v>
      </c>
      <c r="C3057" t="s">
        <v>3035</v>
      </c>
      <c r="D3057" t="s">
        <v>100</v>
      </c>
      <c r="E3057" t="s">
        <v>51</v>
      </c>
      <c r="F3057" t="s">
        <v>546</v>
      </c>
      <c r="G3057" t="s">
        <v>1716</v>
      </c>
      <c r="H3057" t="s">
        <v>54</v>
      </c>
      <c r="I3057">
        <v>16000</v>
      </c>
      <c r="J3057">
        <v>0</v>
      </c>
      <c r="K3057">
        <v>1</v>
      </c>
      <c r="L3057" t="s">
        <v>693</v>
      </c>
      <c r="M3057" t="s">
        <v>2836</v>
      </c>
      <c r="N3057">
        <v>17.1875</v>
      </c>
      <c r="O3057">
        <v>0</v>
      </c>
      <c r="P3057" t="str">
        <f>IF(T[[#This Row],[qty_ordered]]&lt;&gt;T[[#This Row],[qty_received]],IF(T[[#This Row],[qty_received]]&gt;0,"Partial Received","Not Receviced"),"FullyReceived")</f>
        <v>Not Receviced</v>
      </c>
      <c r="Q3057" t="str">
        <f>IF(T[[#This Row],[qty_received]]&lt;&gt;T[[#This Row],[qty_invoiced]],IF(T[[#This Row],[qty_invoiced]]&gt;0,"Partial Invoiced","Not Invoiced"),"Fully Invoiced")</f>
        <v>Partial Invoiced</v>
      </c>
      <c r="R3057" t="str">
        <f>IFERROR(VLOOKUP(T[[#This Row],[warehouse]],Table2[],2,FALSE),"--")</f>
        <v>--</v>
      </c>
    </row>
    <row r="3058" spans="1:18" x14ac:dyDescent="0.25">
      <c r="A3058" t="s">
        <v>235</v>
      </c>
      <c r="B3058" s="1">
        <v>44950</v>
      </c>
      <c r="C3058" t="s">
        <v>3073</v>
      </c>
      <c r="D3058" t="s">
        <v>20</v>
      </c>
      <c r="E3058" t="s">
        <v>51</v>
      </c>
      <c r="F3058" t="s">
        <v>546</v>
      </c>
      <c r="G3058" t="s">
        <v>1748</v>
      </c>
      <c r="H3058" t="s">
        <v>54</v>
      </c>
      <c r="I3058">
        <v>10000</v>
      </c>
      <c r="J3058">
        <v>0</v>
      </c>
      <c r="K3058">
        <v>1</v>
      </c>
      <c r="L3058" t="s">
        <v>693</v>
      </c>
      <c r="M3058" t="s">
        <v>2836</v>
      </c>
      <c r="N3058">
        <v>17.3</v>
      </c>
      <c r="O3058">
        <v>0</v>
      </c>
      <c r="P3058" t="str">
        <f>IF(T[[#This Row],[qty_ordered]]&lt;&gt;T[[#This Row],[qty_received]],IF(T[[#This Row],[qty_received]]&gt;0,"Partial Received","Not Receviced"),"FullyReceived")</f>
        <v>Not Receviced</v>
      </c>
      <c r="Q3058" t="str">
        <f>IF(T[[#This Row],[qty_received]]&lt;&gt;T[[#This Row],[qty_invoiced]],IF(T[[#This Row],[qty_invoiced]]&gt;0,"Partial Invoiced","Not Invoiced"),"Fully Invoiced")</f>
        <v>Partial Invoiced</v>
      </c>
      <c r="R3058" t="str">
        <f>IFERROR(VLOOKUP(T[[#This Row],[warehouse]],Table2[],2,FALSE),"--")</f>
        <v>--</v>
      </c>
    </row>
    <row r="3059" spans="1:18" x14ac:dyDescent="0.25">
      <c r="A3059" t="s">
        <v>235</v>
      </c>
      <c r="B3059" s="1">
        <v>44950</v>
      </c>
      <c r="C3059" t="s">
        <v>3074</v>
      </c>
      <c r="D3059" t="s">
        <v>20</v>
      </c>
      <c r="E3059" t="s">
        <v>51</v>
      </c>
      <c r="F3059" t="s">
        <v>546</v>
      </c>
      <c r="G3059" t="s">
        <v>1959</v>
      </c>
      <c r="H3059" t="s">
        <v>54</v>
      </c>
      <c r="I3059">
        <v>9000</v>
      </c>
      <c r="J3059">
        <v>0</v>
      </c>
      <c r="K3059">
        <v>1</v>
      </c>
      <c r="L3059" t="s">
        <v>693</v>
      </c>
      <c r="M3059" t="s">
        <v>2836</v>
      </c>
      <c r="N3059">
        <v>17.333333</v>
      </c>
      <c r="O3059">
        <v>0</v>
      </c>
      <c r="P3059" t="str">
        <f>IF(T[[#This Row],[qty_ordered]]&lt;&gt;T[[#This Row],[qty_received]],IF(T[[#This Row],[qty_received]]&gt;0,"Partial Received","Not Receviced"),"FullyReceived")</f>
        <v>Not Receviced</v>
      </c>
      <c r="Q3059" t="str">
        <f>IF(T[[#This Row],[qty_received]]&lt;&gt;T[[#This Row],[qty_invoiced]],IF(T[[#This Row],[qty_invoiced]]&gt;0,"Partial Invoiced","Not Invoiced"),"Fully Invoiced")</f>
        <v>Partial Invoiced</v>
      </c>
      <c r="R3059" t="str">
        <f>IFERROR(VLOOKUP(T[[#This Row],[warehouse]],Table2[],2,FALSE),"--")</f>
        <v>--</v>
      </c>
    </row>
    <row r="3060" spans="1:18" x14ac:dyDescent="0.25">
      <c r="A3060" t="s">
        <v>235</v>
      </c>
      <c r="B3060" s="1">
        <v>44950</v>
      </c>
      <c r="C3060" t="s">
        <v>3074</v>
      </c>
      <c r="D3060" t="s">
        <v>71</v>
      </c>
      <c r="E3060" t="s">
        <v>51</v>
      </c>
      <c r="F3060" t="s">
        <v>546</v>
      </c>
      <c r="G3060" t="s">
        <v>1568</v>
      </c>
      <c r="H3060" t="s">
        <v>54</v>
      </c>
      <c r="I3060">
        <v>10000</v>
      </c>
      <c r="J3060">
        <v>0</v>
      </c>
      <c r="K3060">
        <v>1</v>
      </c>
      <c r="L3060" t="s">
        <v>693</v>
      </c>
      <c r="M3060" t="s">
        <v>2836</v>
      </c>
      <c r="N3060">
        <v>17.3</v>
      </c>
      <c r="O3060">
        <v>0</v>
      </c>
      <c r="P3060" t="str">
        <f>IF(T[[#This Row],[qty_ordered]]&lt;&gt;T[[#This Row],[qty_received]],IF(T[[#This Row],[qty_received]]&gt;0,"Partial Received","Not Receviced"),"FullyReceived")</f>
        <v>Not Receviced</v>
      </c>
      <c r="Q3060" t="str">
        <f>IF(T[[#This Row],[qty_received]]&lt;&gt;T[[#This Row],[qty_invoiced]],IF(T[[#This Row],[qty_invoiced]]&gt;0,"Partial Invoiced","Not Invoiced"),"Fully Invoiced")</f>
        <v>Partial Invoiced</v>
      </c>
      <c r="R3060" t="str">
        <f>IFERROR(VLOOKUP(T[[#This Row],[warehouse]],Table2[],2,FALSE),"--")</f>
        <v>--</v>
      </c>
    </row>
    <row r="3061" spans="1:18" x14ac:dyDescent="0.25">
      <c r="A3061" t="s">
        <v>235</v>
      </c>
      <c r="B3061" s="1">
        <v>44950</v>
      </c>
      <c r="C3061" t="s">
        <v>3074</v>
      </c>
      <c r="D3061" t="s">
        <v>100</v>
      </c>
      <c r="E3061" t="s">
        <v>51</v>
      </c>
      <c r="F3061" t="s">
        <v>546</v>
      </c>
      <c r="G3061" t="s">
        <v>1569</v>
      </c>
      <c r="H3061" t="s">
        <v>54</v>
      </c>
      <c r="I3061">
        <v>20000</v>
      </c>
      <c r="J3061">
        <v>0</v>
      </c>
      <c r="K3061">
        <v>1</v>
      </c>
      <c r="L3061" t="s">
        <v>693</v>
      </c>
      <c r="M3061" t="s">
        <v>2836</v>
      </c>
      <c r="N3061">
        <v>17</v>
      </c>
      <c r="O3061">
        <v>0</v>
      </c>
      <c r="P3061" t="str">
        <f>IF(T[[#This Row],[qty_ordered]]&lt;&gt;T[[#This Row],[qty_received]],IF(T[[#This Row],[qty_received]]&gt;0,"Partial Received","Not Receviced"),"FullyReceived")</f>
        <v>Not Receviced</v>
      </c>
      <c r="Q3061" t="str">
        <f>IF(T[[#This Row],[qty_received]]&lt;&gt;T[[#This Row],[qty_invoiced]],IF(T[[#This Row],[qty_invoiced]]&gt;0,"Partial Invoiced","Not Invoiced"),"Fully Invoiced")</f>
        <v>Partial Invoiced</v>
      </c>
      <c r="R3061" t="str">
        <f>IFERROR(VLOOKUP(T[[#This Row],[warehouse]],Table2[],2,FALSE),"--")</f>
        <v>--</v>
      </c>
    </row>
    <row r="3062" spans="1:18" x14ac:dyDescent="0.25">
      <c r="A3062" t="s">
        <v>235</v>
      </c>
      <c r="B3062" s="1">
        <v>44950</v>
      </c>
      <c r="C3062" t="s">
        <v>3074</v>
      </c>
      <c r="D3062" t="s">
        <v>88</v>
      </c>
      <c r="E3062" t="s">
        <v>51</v>
      </c>
      <c r="F3062" t="s">
        <v>546</v>
      </c>
      <c r="G3062" t="s">
        <v>1594</v>
      </c>
      <c r="H3062" t="s">
        <v>54</v>
      </c>
      <c r="I3062">
        <v>10000</v>
      </c>
      <c r="J3062">
        <v>0</v>
      </c>
      <c r="K3062">
        <v>1</v>
      </c>
      <c r="L3062" t="s">
        <v>693</v>
      </c>
      <c r="M3062" t="s">
        <v>2836</v>
      </c>
      <c r="N3062">
        <v>17</v>
      </c>
      <c r="O3062">
        <v>0</v>
      </c>
      <c r="P3062" t="str">
        <f>IF(T[[#This Row],[qty_ordered]]&lt;&gt;T[[#This Row],[qty_received]],IF(T[[#This Row],[qty_received]]&gt;0,"Partial Received","Not Receviced"),"FullyReceived")</f>
        <v>Not Receviced</v>
      </c>
      <c r="Q3062" t="str">
        <f>IF(T[[#This Row],[qty_received]]&lt;&gt;T[[#This Row],[qty_invoiced]],IF(T[[#This Row],[qty_invoiced]]&gt;0,"Partial Invoiced","Not Invoiced"),"Fully Invoiced")</f>
        <v>Partial Invoiced</v>
      </c>
      <c r="R3062" t="str">
        <f>IFERROR(VLOOKUP(T[[#This Row],[warehouse]],Table2[],2,FALSE),"--")</f>
        <v>--</v>
      </c>
    </row>
    <row r="3063" spans="1:18" x14ac:dyDescent="0.25">
      <c r="A3063" t="s">
        <v>2377</v>
      </c>
      <c r="B3063" s="1">
        <v>44944</v>
      </c>
      <c r="C3063" t="s">
        <v>3055</v>
      </c>
      <c r="D3063" t="s">
        <v>88</v>
      </c>
      <c r="E3063" t="s">
        <v>1220</v>
      </c>
      <c r="F3063" t="s">
        <v>1221</v>
      </c>
      <c r="G3063" t="s">
        <v>1634</v>
      </c>
      <c r="H3063" t="s">
        <v>123</v>
      </c>
      <c r="I3063">
        <v>1</v>
      </c>
      <c r="J3063">
        <v>0</v>
      </c>
      <c r="K3063">
        <v>0</v>
      </c>
      <c r="L3063" t="s">
        <v>693</v>
      </c>
      <c r="M3063" t="s">
        <v>1485</v>
      </c>
      <c r="N3063">
        <v>72209200</v>
      </c>
      <c r="O3063">
        <v>0</v>
      </c>
      <c r="P3063" t="str">
        <f>IF(T[[#This Row],[qty_ordered]]&lt;&gt;T[[#This Row],[qty_received]],IF(T[[#This Row],[qty_received]]&gt;0,"Partial Received","Not Receviced"),"FullyReceived")</f>
        <v>Not Receviced</v>
      </c>
      <c r="Q3063" t="str">
        <f>IF(T[[#This Row],[qty_received]]&lt;&gt;T[[#This Row],[qty_invoiced]],IF(T[[#This Row],[qty_invoiced]]&gt;0,"Partial Invoiced","Not Invoiced"),"Fully Invoiced")</f>
        <v>Fully Invoiced</v>
      </c>
      <c r="R3063" t="str">
        <f>IFERROR(VLOOKUP(T[[#This Row],[warehouse]],Table2[],2,FALSE),"--")</f>
        <v>Import Virtual Warehouse - PZU</v>
      </c>
    </row>
    <row r="3064" spans="1:18" x14ac:dyDescent="0.25">
      <c r="A3064" t="s">
        <v>2377</v>
      </c>
      <c r="B3064" s="1">
        <v>44944</v>
      </c>
      <c r="C3064" t="s">
        <v>3055</v>
      </c>
      <c r="D3064" t="s">
        <v>74</v>
      </c>
      <c r="E3064" t="s">
        <v>1220</v>
      </c>
      <c r="F3064" t="s">
        <v>1690</v>
      </c>
      <c r="G3064" t="s">
        <v>3056</v>
      </c>
      <c r="H3064" t="s">
        <v>123</v>
      </c>
      <c r="I3064">
        <v>1</v>
      </c>
      <c r="J3064">
        <v>0</v>
      </c>
      <c r="K3064">
        <v>0</v>
      </c>
      <c r="L3064" t="s">
        <v>693</v>
      </c>
      <c r="M3064" t="s">
        <v>1485</v>
      </c>
      <c r="N3064">
        <v>494047680</v>
      </c>
      <c r="O3064">
        <v>0</v>
      </c>
      <c r="P3064" t="str">
        <f>IF(T[[#This Row],[qty_ordered]]&lt;&gt;T[[#This Row],[qty_received]],IF(T[[#This Row],[qty_received]]&gt;0,"Partial Received","Not Receviced"),"FullyReceived")</f>
        <v>Not Receviced</v>
      </c>
      <c r="Q3064" t="str">
        <f>IF(T[[#This Row],[qty_received]]&lt;&gt;T[[#This Row],[qty_invoiced]],IF(T[[#This Row],[qty_invoiced]]&gt;0,"Partial Invoiced","Not Invoiced"),"Fully Invoiced")</f>
        <v>Fully Invoiced</v>
      </c>
      <c r="R3064" t="str">
        <f>IFERROR(VLOOKUP(T[[#This Row],[warehouse]],Table2[],2,FALSE),"--")</f>
        <v>Import Virtual Warehouse - PZU</v>
      </c>
    </row>
    <row r="3065" spans="1:18" x14ac:dyDescent="0.25">
      <c r="A3065" t="s">
        <v>84</v>
      </c>
      <c r="B3065" s="1">
        <v>44908</v>
      </c>
      <c r="C3065" t="s">
        <v>2950</v>
      </c>
      <c r="D3065" t="s">
        <v>88</v>
      </c>
      <c r="E3065" t="s">
        <v>982</v>
      </c>
      <c r="F3065" t="s">
        <v>86</v>
      </c>
      <c r="G3065" t="s">
        <v>87</v>
      </c>
      <c r="H3065" t="s">
        <v>24</v>
      </c>
      <c r="I3065">
        <v>207.59200000000001</v>
      </c>
      <c r="J3065">
        <v>85.59</v>
      </c>
      <c r="K3065">
        <v>85.59</v>
      </c>
      <c r="L3065" t="s">
        <v>693</v>
      </c>
      <c r="M3065" t="s">
        <v>1485</v>
      </c>
      <c r="N3065">
        <v>963428.26313099999</v>
      </c>
      <c r="O3065">
        <v>82459825.041382298</v>
      </c>
      <c r="P3065" t="str">
        <f>IF(T[[#This Row],[qty_ordered]]&lt;&gt;T[[#This Row],[qty_received]],IF(T[[#This Row],[qty_received]]&gt;0,"Partial Received","Not Receviced"),"FullyReceived")</f>
        <v>Partial Received</v>
      </c>
      <c r="Q3065" t="str">
        <f>IF(T[[#This Row],[qty_received]]&lt;&gt;T[[#This Row],[qty_invoiced]],IF(T[[#This Row],[qty_invoiced]]&gt;0,"Partial Invoiced","Not Invoiced"),"Fully Invoiced")</f>
        <v>Fully Invoiced</v>
      </c>
      <c r="R3065" t="str">
        <f>IFERROR(VLOOKUP(T[[#This Row],[warehouse]],Table2[],2,FALSE),"--")</f>
        <v>SIFTER - SAMELOMDRMA</v>
      </c>
    </row>
    <row r="3066" spans="1:18" x14ac:dyDescent="0.25">
      <c r="A3066" t="s">
        <v>1316</v>
      </c>
      <c r="B3066" s="1">
        <v>44917</v>
      </c>
      <c r="C3066" t="s">
        <v>2975</v>
      </c>
      <c r="D3066" t="s">
        <v>88</v>
      </c>
      <c r="E3066" t="s">
        <v>51</v>
      </c>
      <c r="F3066" t="s">
        <v>183</v>
      </c>
      <c r="G3066" t="s">
        <v>1490</v>
      </c>
      <c r="H3066" t="s">
        <v>54</v>
      </c>
      <c r="I3066">
        <v>222.98</v>
      </c>
      <c r="J3066">
        <v>0</v>
      </c>
      <c r="K3066">
        <v>1</v>
      </c>
      <c r="L3066" t="s">
        <v>693</v>
      </c>
      <c r="M3066" t="s">
        <v>2836</v>
      </c>
      <c r="N3066">
        <v>13000</v>
      </c>
      <c r="O3066">
        <v>0</v>
      </c>
      <c r="P3066" t="str">
        <f>IF(T[[#This Row],[qty_ordered]]&lt;&gt;T[[#This Row],[qty_received]],IF(T[[#This Row],[qty_received]]&gt;0,"Partial Received","Not Receviced"),"FullyReceived")</f>
        <v>Not Receviced</v>
      </c>
      <c r="Q3066" t="str">
        <f>IF(T[[#This Row],[qty_received]]&lt;&gt;T[[#This Row],[qty_invoiced]],IF(T[[#This Row],[qty_invoiced]]&gt;0,"Partial Invoiced","Not Invoiced"),"Fully Invoiced")</f>
        <v>Partial Invoiced</v>
      </c>
      <c r="R3066" t="str">
        <f>IFERROR(VLOOKUP(T[[#This Row],[warehouse]],Table2[],2,FALSE),"--")</f>
        <v>--</v>
      </c>
    </row>
    <row r="3067" spans="1:18" x14ac:dyDescent="0.25">
      <c r="A3067" t="s">
        <v>2999</v>
      </c>
      <c r="B3067" s="1">
        <v>44993</v>
      </c>
      <c r="C3067" t="s">
        <v>3075</v>
      </c>
      <c r="D3067" t="s">
        <v>20</v>
      </c>
      <c r="E3067" t="s">
        <v>51</v>
      </c>
      <c r="F3067" t="s">
        <v>52</v>
      </c>
      <c r="G3067" t="s">
        <v>53</v>
      </c>
      <c r="H3067" t="s">
        <v>54</v>
      </c>
      <c r="I3067">
        <v>1</v>
      </c>
      <c r="J3067">
        <v>0</v>
      </c>
      <c r="K3067">
        <v>0</v>
      </c>
      <c r="L3067" t="s">
        <v>51</v>
      </c>
      <c r="M3067" t="s">
        <v>51</v>
      </c>
      <c r="N3067">
        <v>3456000</v>
      </c>
      <c r="O3067">
        <v>0</v>
      </c>
      <c r="P3067" t="str">
        <f>IF(T[[#This Row],[qty_ordered]]&lt;&gt;T[[#This Row],[qty_received]],IF(T[[#This Row],[qty_received]]&gt;0,"Partial Received","Not Receviced"),"FullyReceived")</f>
        <v>Not Receviced</v>
      </c>
      <c r="Q3067" t="str">
        <f>IF(T[[#This Row],[qty_received]]&lt;&gt;T[[#This Row],[qty_invoiced]],IF(T[[#This Row],[qty_invoiced]]&gt;0,"Partial Invoiced","Not Invoiced"),"Fully Invoiced")</f>
        <v>Fully Invoiced</v>
      </c>
      <c r="R3067" t="str">
        <f>IFERROR(VLOOKUP(T[[#This Row],[warehouse]],Table2[],2,FALSE),"--")</f>
        <v>--</v>
      </c>
    </row>
    <row r="3068" spans="1:18" x14ac:dyDescent="0.25">
      <c r="A3068" t="s">
        <v>560</v>
      </c>
      <c r="B3068" s="1">
        <v>44935</v>
      </c>
      <c r="C3068" t="s">
        <v>3076</v>
      </c>
      <c r="D3068" t="s">
        <v>451</v>
      </c>
      <c r="E3068" t="s">
        <v>51</v>
      </c>
      <c r="F3068" t="s">
        <v>2842</v>
      </c>
      <c r="G3068" t="s">
        <v>3077</v>
      </c>
      <c r="H3068" t="s">
        <v>54</v>
      </c>
      <c r="I3068">
        <v>27</v>
      </c>
      <c r="J3068">
        <v>0</v>
      </c>
      <c r="K3068">
        <v>0</v>
      </c>
      <c r="L3068" t="s">
        <v>693</v>
      </c>
      <c r="M3068" t="s">
        <v>2836</v>
      </c>
      <c r="N3068">
        <v>12285</v>
      </c>
      <c r="O3068">
        <v>0</v>
      </c>
      <c r="P3068" t="str">
        <f>IF(T[[#This Row],[qty_ordered]]&lt;&gt;T[[#This Row],[qty_received]],IF(T[[#This Row],[qty_received]]&gt;0,"Partial Received","Not Receviced"),"FullyReceived")</f>
        <v>Not Receviced</v>
      </c>
      <c r="Q3068" t="str">
        <f>IF(T[[#This Row],[qty_received]]&lt;&gt;T[[#This Row],[qty_invoiced]],IF(T[[#This Row],[qty_invoiced]]&gt;0,"Partial Invoiced","Not Invoiced"),"Fully Invoiced")</f>
        <v>Fully Invoiced</v>
      </c>
      <c r="R3068" t="str">
        <f>IFERROR(VLOOKUP(T[[#This Row],[warehouse]],Table2[],2,FALSE),"--")</f>
        <v>--</v>
      </c>
    </row>
    <row r="3069" spans="1:18" x14ac:dyDescent="0.25">
      <c r="A3069" t="s">
        <v>3040</v>
      </c>
      <c r="B3069" s="1">
        <v>44994</v>
      </c>
      <c r="C3069" t="s">
        <v>3078</v>
      </c>
      <c r="D3069" t="s">
        <v>20</v>
      </c>
      <c r="E3069" t="s">
        <v>620</v>
      </c>
      <c r="F3069" t="s">
        <v>196</v>
      </c>
      <c r="G3069" t="s">
        <v>197</v>
      </c>
      <c r="H3069" t="s">
        <v>24</v>
      </c>
      <c r="I3069">
        <v>4600</v>
      </c>
      <c r="J3069">
        <v>4513.7780000000002</v>
      </c>
      <c r="K3069">
        <v>4513.7780000000002</v>
      </c>
      <c r="L3069" t="s">
        <v>693</v>
      </c>
      <c r="M3069" t="s">
        <v>51</v>
      </c>
      <c r="N3069">
        <v>200000</v>
      </c>
      <c r="O3069">
        <v>902755600</v>
      </c>
      <c r="P3069" t="str">
        <f>IF(T[[#This Row],[qty_ordered]]&lt;&gt;T[[#This Row],[qty_received]],IF(T[[#This Row],[qty_received]]&gt;0,"Partial Received","Not Receviced"),"FullyReceived")</f>
        <v>Partial Received</v>
      </c>
      <c r="Q3069" t="str">
        <f>IF(T[[#This Row],[qty_received]]&lt;&gt;T[[#This Row],[qty_invoiced]],IF(T[[#This Row],[qty_invoiced]]&gt;0,"Partial Invoiced","Not Invoiced"),"Fully Invoiced")</f>
        <v>Fully Invoiced</v>
      </c>
      <c r="R3069" t="str">
        <f>IFERROR(VLOOKUP(T[[#This Row],[warehouse]],Table2[],2,FALSE),"--")</f>
        <v>SIFTER METALIC SILO</v>
      </c>
    </row>
    <row r="3070" spans="1:18" x14ac:dyDescent="0.25">
      <c r="A3070" t="s">
        <v>1639</v>
      </c>
      <c r="B3070" s="1">
        <v>44994</v>
      </c>
      <c r="C3070" t="s">
        <v>3079</v>
      </c>
      <c r="D3070" t="s">
        <v>20</v>
      </c>
      <c r="E3070" t="s">
        <v>908</v>
      </c>
      <c r="F3070" t="s">
        <v>86</v>
      </c>
      <c r="G3070" t="s">
        <v>87</v>
      </c>
      <c r="H3070" t="s">
        <v>24</v>
      </c>
      <c r="I3070">
        <v>1000</v>
      </c>
      <c r="J3070">
        <v>348.74</v>
      </c>
      <c r="K3070">
        <v>348.74</v>
      </c>
      <c r="L3070" t="s">
        <v>693</v>
      </c>
      <c r="M3070" t="s">
        <v>1485</v>
      </c>
      <c r="N3070">
        <v>963415</v>
      </c>
      <c r="O3070">
        <v>335981347.10000002</v>
      </c>
      <c r="P3070" t="str">
        <f>IF(T[[#This Row],[qty_ordered]]&lt;&gt;T[[#This Row],[qty_received]],IF(T[[#This Row],[qty_received]]&gt;0,"Partial Received","Not Receviced"),"FullyReceived")</f>
        <v>Partial Received</v>
      </c>
      <c r="Q3070" t="str">
        <f>IF(T[[#This Row],[qty_received]]&lt;&gt;T[[#This Row],[qty_invoiced]],IF(T[[#This Row],[qty_invoiced]]&gt;0,"Partial Invoiced","Not Invoiced"),"Fully Invoiced")</f>
        <v>Fully Invoiced</v>
      </c>
      <c r="R3070" t="str">
        <f>IFERROR(VLOOKUP(T[[#This Row],[warehouse]],Table2[],2,FALSE),"--")</f>
        <v>SIFTER- ALNAZER-OMDU</v>
      </c>
    </row>
    <row r="3071" spans="1:18" x14ac:dyDescent="0.25">
      <c r="A3071" t="s">
        <v>1170</v>
      </c>
      <c r="B3071" s="1">
        <v>44994</v>
      </c>
      <c r="C3071" t="s">
        <v>3080</v>
      </c>
      <c r="D3071" t="s">
        <v>20</v>
      </c>
      <c r="E3071" t="s">
        <v>2915</v>
      </c>
      <c r="F3071" t="s">
        <v>406</v>
      </c>
      <c r="G3071" t="s">
        <v>407</v>
      </c>
      <c r="H3071" t="s">
        <v>24</v>
      </c>
      <c r="I3071">
        <v>811</v>
      </c>
      <c r="J3071">
        <v>544.58000000000004</v>
      </c>
      <c r="K3071">
        <v>544.58000000000004</v>
      </c>
      <c r="L3071" t="s">
        <v>693</v>
      </c>
      <c r="M3071" t="s">
        <v>707</v>
      </c>
      <c r="N3071">
        <v>184956.84340300001</v>
      </c>
      <c r="O3071">
        <v>100723797.780406</v>
      </c>
      <c r="P3071" t="str">
        <f>IF(T[[#This Row],[qty_ordered]]&lt;&gt;T[[#This Row],[qty_received]],IF(T[[#This Row],[qty_received]]&gt;0,"Partial Received","Not Receviced"),"FullyReceived")</f>
        <v>Partial Received</v>
      </c>
      <c r="Q3071" t="str">
        <f>IF(T[[#This Row],[qty_received]]&lt;&gt;T[[#This Row],[qty_invoiced]],IF(T[[#This Row],[qty_invoiced]]&gt;0,"Partial Invoiced","Not Invoiced"),"Fully Invoiced")</f>
        <v>Fully Invoiced</v>
      </c>
      <c r="R3071" t="str">
        <f>IFERROR(VLOOKUP(T[[#This Row],[warehouse]],Table2[],2,FALSE),"--")</f>
        <v xml:space="preserve">MSG Ginning New Halfa </v>
      </c>
    </row>
    <row r="3072" spans="1:18" x14ac:dyDescent="0.25">
      <c r="A3072" t="s">
        <v>1413</v>
      </c>
      <c r="B3072" s="1">
        <v>44994</v>
      </c>
      <c r="C3072" t="s">
        <v>3081</v>
      </c>
      <c r="D3072" t="s">
        <v>20</v>
      </c>
      <c r="E3072" t="s">
        <v>2857</v>
      </c>
      <c r="F3072" t="s">
        <v>406</v>
      </c>
      <c r="G3072" t="s">
        <v>407</v>
      </c>
      <c r="H3072" t="s">
        <v>24</v>
      </c>
      <c r="I3072">
        <v>811</v>
      </c>
      <c r="J3072">
        <v>604.80999999999995</v>
      </c>
      <c r="K3072">
        <v>0</v>
      </c>
      <c r="L3072" t="s">
        <v>693</v>
      </c>
      <c r="M3072" t="s">
        <v>707</v>
      </c>
      <c r="N3072">
        <v>184956.84340300001</v>
      </c>
      <c r="O3072">
        <v>111863748.45856801</v>
      </c>
      <c r="P3072" t="str">
        <f>IF(T[[#This Row],[qty_ordered]]&lt;&gt;T[[#This Row],[qty_received]],IF(T[[#This Row],[qty_received]]&gt;0,"Partial Received","Not Receviced"),"FullyReceived")</f>
        <v>Partial Received</v>
      </c>
      <c r="Q3072" t="str">
        <f>IF(T[[#This Row],[qty_received]]&lt;&gt;T[[#This Row],[qty_invoiced]],IF(T[[#This Row],[qty_invoiced]]&gt;0,"Partial Invoiced","Not Invoiced"),"Fully Invoiced")</f>
        <v>Not Invoiced</v>
      </c>
      <c r="R3072" t="str">
        <f>IFERROR(VLOOKUP(T[[#This Row],[warehouse]],Table2[],2,FALSE),"--")</f>
        <v>Alfager Ginning</v>
      </c>
    </row>
    <row r="3073" spans="1:18" x14ac:dyDescent="0.25">
      <c r="A3073" t="s">
        <v>242</v>
      </c>
      <c r="B3073" s="1">
        <v>44994</v>
      </c>
      <c r="C3073" t="s">
        <v>3082</v>
      </c>
      <c r="D3073" t="s">
        <v>20</v>
      </c>
      <c r="E3073" t="s">
        <v>405</v>
      </c>
      <c r="F3073" t="s">
        <v>244</v>
      </c>
      <c r="G3073" t="s">
        <v>245</v>
      </c>
      <c r="H3073" t="s">
        <v>24</v>
      </c>
      <c r="I3073">
        <v>526</v>
      </c>
      <c r="J3073">
        <v>194.48</v>
      </c>
      <c r="K3073">
        <v>0</v>
      </c>
      <c r="L3073" t="s">
        <v>693</v>
      </c>
      <c r="M3073" t="s">
        <v>707</v>
      </c>
      <c r="N3073">
        <v>950570.34220499999</v>
      </c>
      <c r="O3073">
        <v>184866920.15202799</v>
      </c>
      <c r="P3073" t="str">
        <f>IF(T[[#This Row],[qty_ordered]]&lt;&gt;T[[#This Row],[qty_received]],IF(T[[#This Row],[qty_received]]&gt;0,"Partial Received","Not Receviced"),"FullyReceived")</f>
        <v>Partial Received</v>
      </c>
      <c r="Q3073" t="str">
        <f>IF(T[[#This Row],[qty_received]]&lt;&gt;T[[#This Row],[qty_invoiced]],IF(T[[#This Row],[qty_invoiced]]&gt;0,"Partial Invoiced","Not Invoiced"),"Fully Invoiced")</f>
        <v>Not Invoiced</v>
      </c>
      <c r="R3073" t="str">
        <f>IFERROR(VLOOKUP(T[[#This Row],[warehouse]],Table2[],2,FALSE),"--")</f>
        <v>GINNING ISHRAG-MDNI</v>
      </c>
    </row>
    <row r="3074" spans="1:18" x14ac:dyDescent="0.25">
      <c r="A3074" t="s">
        <v>2999</v>
      </c>
      <c r="B3074" s="1">
        <v>44997</v>
      </c>
      <c r="C3074" t="s">
        <v>3083</v>
      </c>
      <c r="D3074" t="s">
        <v>20</v>
      </c>
      <c r="E3074" t="s">
        <v>51</v>
      </c>
      <c r="F3074" t="s">
        <v>52</v>
      </c>
      <c r="G3074" t="s">
        <v>53</v>
      </c>
      <c r="H3074" t="s">
        <v>54</v>
      </c>
      <c r="I3074">
        <v>1</v>
      </c>
      <c r="J3074">
        <v>0</v>
      </c>
      <c r="K3074">
        <v>0</v>
      </c>
      <c r="L3074" t="s">
        <v>51</v>
      </c>
      <c r="M3074" t="s">
        <v>51</v>
      </c>
      <c r="N3074">
        <v>3456000</v>
      </c>
      <c r="O3074">
        <v>0</v>
      </c>
      <c r="P3074" t="str">
        <f>IF(T[[#This Row],[qty_ordered]]&lt;&gt;T[[#This Row],[qty_received]],IF(T[[#This Row],[qty_received]]&gt;0,"Partial Received","Not Receviced"),"FullyReceived")</f>
        <v>Not Receviced</v>
      </c>
      <c r="Q3074" t="str">
        <f>IF(T[[#This Row],[qty_received]]&lt;&gt;T[[#This Row],[qty_invoiced]],IF(T[[#This Row],[qty_invoiced]]&gt;0,"Partial Invoiced","Not Invoiced"),"Fully Invoiced")</f>
        <v>Fully Invoiced</v>
      </c>
      <c r="R3074" t="str">
        <f>IFERROR(VLOOKUP(T[[#This Row],[warehouse]],Table2[],2,FALSE),"--")</f>
        <v>--</v>
      </c>
    </row>
    <row r="3075" spans="1:18" x14ac:dyDescent="0.25">
      <c r="A3075" t="s">
        <v>560</v>
      </c>
      <c r="B3075" s="1">
        <v>44306</v>
      </c>
      <c r="C3075" t="s">
        <v>1341</v>
      </c>
      <c r="D3075" t="s">
        <v>322</v>
      </c>
      <c r="E3075" t="s">
        <v>51</v>
      </c>
      <c r="F3075" t="s">
        <v>164</v>
      </c>
      <c r="G3075" t="s">
        <v>1933</v>
      </c>
      <c r="H3075" t="s">
        <v>54</v>
      </c>
      <c r="I3075">
        <v>60</v>
      </c>
      <c r="J3075">
        <v>0</v>
      </c>
      <c r="K3075">
        <v>1</v>
      </c>
      <c r="L3075" t="s">
        <v>25</v>
      </c>
      <c r="M3075" t="s">
        <v>533</v>
      </c>
      <c r="N3075">
        <v>1657.5</v>
      </c>
      <c r="O3075">
        <v>0</v>
      </c>
      <c r="P3075" t="str">
        <f>IF(T[[#This Row],[qty_ordered]]&lt;&gt;T[[#This Row],[qty_received]],IF(T[[#This Row],[qty_received]]&gt;0,"Partial Received","Not Receviced"),"FullyReceived")</f>
        <v>Not Receviced</v>
      </c>
      <c r="Q3075" t="str">
        <f>IF(T[[#This Row],[qty_received]]&lt;&gt;T[[#This Row],[qty_invoiced]],IF(T[[#This Row],[qty_invoiced]]&gt;0,"Partial Invoiced","Not Invoiced"),"Fully Invoiced")</f>
        <v>Partial Invoiced</v>
      </c>
      <c r="R3075" t="str">
        <f>IFERROR(VLOOKUP(T[[#This Row],[warehouse]],Table2[],2,FALSE),"--")</f>
        <v>--</v>
      </c>
    </row>
    <row r="3076" spans="1:18" x14ac:dyDescent="0.25">
      <c r="A3076" t="s">
        <v>560</v>
      </c>
      <c r="B3076" s="1">
        <v>44306</v>
      </c>
      <c r="C3076" t="s">
        <v>1341</v>
      </c>
      <c r="D3076" t="s">
        <v>323</v>
      </c>
      <c r="E3076" t="s">
        <v>51</v>
      </c>
      <c r="F3076" t="s">
        <v>164</v>
      </c>
      <c r="G3076" t="s">
        <v>1933</v>
      </c>
      <c r="H3076" t="s">
        <v>54</v>
      </c>
      <c r="I3076">
        <v>47</v>
      </c>
      <c r="J3076">
        <v>0</v>
      </c>
      <c r="K3076">
        <v>1</v>
      </c>
      <c r="L3076" t="s">
        <v>25</v>
      </c>
      <c r="M3076" t="s">
        <v>533</v>
      </c>
      <c r="N3076">
        <v>1946.3829780000001</v>
      </c>
      <c r="O3076">
        <v>0</v>
      </c>
      <c r="P3076" t="str">
        <f>IF(T[[#This Row],[qty_ordered]]&lt;&gt;T[[#This Row],[qty_received]],IF(T[[#This Row],[qty_received]]&gt;0,"Partial Received","Not Receviced"),"FullyReceived")</f>
        <v>Not Receviced</v>
      </c>
      <c r="Q3076" t="str">
        <f>IF(T[[#This Row],[qty_received]]&lt;&gt;T[[#This Row],[qty_invoiced]],IF(T[[#This Row],[qty_invoiced]]&gt;0,"Partial Invoiced","Not Invoiced"),"Fully Invoiced")</f>
        <v>Partial Invoiced</v>
      </c>
      <c r="R3076" t="str">
        <f>IFERROR(VLOOKUP(T[[#This Row],[warehouse]],Table2[],2,FALSE),"--")</f>
        <v>--</v>
      </c>
    </row>
    <row r="3077" spans="1:18" x14ac:dyDescent="0.25">
      <c r="A3077" t="s">
        <v>560</v>
      </c>
      <c r="B3077" s="1">
        <v>44306</v>
      </c>
      <c r="C3077" t="s">
        <v>1341</v>
      </c>
      <c r="D3077" t="s">
        <v>324</v>
      </c>
      <c r="E3077" t="s">
        <v>51</v>
      </c>
      <c r="F3077" t="s">
        <v>164</v>
      </c>
      <c r="G3077" t="s">
        <v>1934</v>
      </c>
      <c r="H3077" t="s">
        <v>54</v>
      </c>
      <c r="I3077">
        <v>13</v>
      </c>
      <c r="J3077">
        <v>0</v>
      </c>
      <c r="K3077">
        <v>1</v>
      </c>
      <c r="L3077" t="s">
        <v>25</v>
      </c>
      <c r="M3077" t="s">
        <v>533</v>
      </c>
      <c r="N3077">
        <v>4525.3846149999999</v>
      </c>
      <c r="O3077">
        <v>0</v>
      </c>
      <c r="P3077" t="str">
        <f>IF(T[[#This Row],[qty_ordered]]&lt;&gt;T[[#This Row],[qty_received]],IF(T[[#This Row],[qty_received]]&gt;0,"Partial Received","Not Receviced"),"FullyReceived")</f>
        <v>Not Receviced</v>
      </c>
      <c r="Q3077" t="str">
        <f>IF(T[[#This Row],[qty_received]]&lt;&gt;T[[#This Row],[qty_invoiced]],IF(T[[#This Row],[qty_invoiced]]&gt;0,"Partial Invoiced","Not Invoiced"),"Fully Invoiced")</f>
        <v>Partial Invoiced</v>
      </c>
      <c r="R3077" t="str">
        <f>IFERROR(VLOOKUP(T[[#This Row],[warehouse]],Table2[],2,FALSE),"--")</f>
        <v>--</v>
      </c>
    </row>
    <row r="3078" spans="1:18" x14ac:dyDescent="0.25">
      <c r="A3078" t="s">
        <v>560</v>
      </c>
      <c r="B3078" s="1">
        <v>44306</v>
      </c>
      <c r="C3078" t="s">
        <v>1341</v>
      </c>
      <c r="D3078" t="s">
        <v>325</v>
      </c>
      <c r="E3078" t="s">
        <v>51</v>
      </c>
      <c r="F3078" t="s">
        <v>164</v>
      </c>
      <c r="G3078" t="s">
        <v>1934</v>
      </c>
      <c r="H3078" t="s">
        <v>54</v>
      </c>
      <c r="I3078">
        <v>29</v>
      </c>
      <c r="J3078">
        <v>0</v>
      </c>
      <c r="K3078">
        <v>1</v>
      </c>
      <c r="L3078" t="s">
        <v>25</v>
      </c>
      <c r="M3078" t="s">
        <v>533</v>
      </c>
      <c r="N3078">
        <v>1903.448275</v>
      </c>
      <c r="O3078">
        <v>0</v>
      </c>
      <c r="P3078" t="str">
        <f>IF(T[[#This Row],[qty_ordered]]&lt;&gt;T[[#This Row],[qty_received]],IF(T[[#This Row],[qty_received]]&gt;0,"Partial Received","Not Receviced"),"FullyReceived")</f>
        <v>Not Receviced</v>
      </c>
      <c r="Q3078" t="str">
        <f>IF(T[[#This Row],[qty_received]]&lt;&gt;T[[#This Row],[qty_invoiced]],IF(T[[#This Row],[qty_invoiced]]&gt;0,"Partial Invoiced","Not Invoiced"),"Fully Invoiced")</f>
        <v>Partial Invoiced</v>
      </c>
      <c r="R3078" t="str">
        <f>IFERROR(VLOOKUP(T[[#This Row],[warehouse]],Table2[],2,FALSE),"--")</f>
        <v>--</v>
      </c>
    </row>
    <row r="3079" spans="1:18" x14ac:dyDescent="0.25">
      <c r="A3079" t="s">
        <v>560</v>
      </c>
      <c r="B3079" s="1">
        <v>44306</v>
      </c>
      <c r="C3079" t="s">
        <v>1341</v>
      </c>
      <c r="D3079" t="s">
        <v>451</v>
      </c>
      <c r="E3079" t="s">
        <v>51</v>
      </c>
      <c r="F3079" t="s">
        <v>164</v>
      </c>
      <c r="G3079" t="s">
        <v>1934</v>
      </c>
      <c r="H3079" t="s">
        <v>54</v>
      </c>
      <c r="I3079">
        <v>46</v>
      </c>
      <c r="J3079">
        <v>0</v>
      </c>
      <c r="K3079">
        <v>1</v>
      </c>
      <c r="L3079" t="s">
        <v>25</v>
      </c>
      <c r="M3079" t="s">
        <v>533</v>
      </c>
      <c r="N3079">
        <v>1889.3478259999999</v>
      </c>
      <c r="O3079">
        <v>0</v>
      </c>
      <c r="P3079" t="str">
        <f>IF(T[[#This Row],[qty_ordered]]&lt;&gt;T[[#This Row],[qty_received]],IF(T[[#This Row],[qty_received]]&gt;0,"Partial Received","Not Receviced"),"FullyReceived")</f>
        <v>Not Receviced</v>
      </c>
      <c r="Q3079" t="str">
        <f>IF(T[[#This Row],[qty_received]]&lt;&gt;T[[#This Row],[qty_invoiced]],IF(T[[#This Row],[qty_invoiced]]&gt;0,"Partial Invoiced","Not Invoiced"),"Fully Invoiced")</f>
        <v>Partial Invoiced</v>
      </c>
      <c r="R3079" t="str">
        <f>IFERROR(VLOOKUP(T[[#This Row],[warehouse]],Table2[],2,FALSE),"--")</f>
        <v>--</v>
      </c>
    </row>
    <row r="3080" spans="1:18" x14ac:dyDescent="0.25">
      <c r="A3080" t="s">
        <v>560</v>
      </c>
      <c r="B3080" s="1">
        <v>44306</v>
      </c>
      <c r="C3080" t="s">
        <v>1341</v>
      </c>
      <c r="D3080" t="s">
        <v>452</v>
      </c>
      <c r="E3080" t="s">
        <v>51</v>
      </c>
      <c r="F3080" t="s">
        <v>164</v>
      </c>
      <c r="G3080" t="s">
        <v>1934</v>
      </c>
      <c r="H3080" t="s">
        <v>54</v>
      </c>
      <c r="I3080">
        <v>33</v>
      </c>
      <c r="J3080">
        <v>0</v>
      </c>
      <c r="K3080">
        <v>1</v>
      </c>
      <c r="L3080" t="s">
        <v>25</v>
      </c>
      <c r="M3080" t="s">
        <v>533</v>
      </c>
      <c r="N3080">
        <v>1910</v>
      </c>
      <c r="O3080">
        <v>0</v>
      </c>
      <c r="P3080" t="str">
        <f>IF(T[[#This Row],[qty_ordered]]&lt;&gt;T[[#This Row],[qty_received]],IF(T[[#This Row],[qty_received]]&gt;0,"Partial Received","Not Receviced"),"FullyReceived")</f>
        <v>Not Receviced</v>
      </c>
      <c r="Q3080" t="str">
        <f>IF(T[[#This Row],[qty_received]]&lt;&gt;T[[#This Row],[qty_invoiced]],IF(T[[#This Row],[qty_invoiced]]&gt;0,"Partial Invoiced","Not Invoiced"),"Fully Invoiced")</f>
        <v>Partial Invoiced</v>
      </c>
      <c r="R3080" t="str">
        <f>IFERROR(VLOOKUP(T[[#This Row],[warehouse]],Table2[],2,FALSE),"--")</f>
        <v>--</v>
      </c>
    </row>
    <row r="3081" spans="1:18" x14ac:dyDescent="0.25">
      <c r="A3081" t="s">
        <v>560</v>
      </c>
      <c r="B3081" s="1">
        <v>44306</v>
      </c>
      <c r="C3081" t="s">
        <v>1341</v>
      </c>
      <c r="D3081" t="s">
        <v>614</v>
      </c>
      <c r="E3081" t="s">
        <v>51</v>
      </c>
      <c r="F3081" t="s">
        <v>164</v>
      </c>
      <c r="G3081" t="s">
        <v>1934</v>
      </c>
      <c r="H3081" t="s">
        <v>54</v>
      </c>
      <c r="I3081">
        <v>11</v>
      </c>
      <c r="J3081">
        <v>0</v>
      </c>
      <c r="K3081">
        <v>1</v>
      </c>
      <c r="L3081" t="s">
        <v>25</v>
      </c>
      <c r="M3081" t="s">
        <v>533</v>
      </c>
      <c r="N3081">
        <v>1892.7272720000001</v>
      </c>
      <c r="O3081">
        <v>0</v>
      </c>
      <c r="P3081" t="str">
        <f>IF(T[[#This Row],[qty_ordered]]&lt;&gt;T[[#This Row],[qty_received]],IF(T[[#This Row],[qty_received]]&gt;0,"Partial Received","Not Receviced"),"FullyReceived")</f>
        <v>Not Receviced</v>
      </c>
      <c r="Q3081" t="str">
        <f>IF(T[[#This Row],[qty_received]]&lt;&gt;T[[#This Row],[qty_invoiced]],IF(T[[#This Row],[qty_invoiced]]&gt;0,"Partial Invoiced","Not Invoiced"),"Fully Invoiced")</f>
        <v>Partial Invoiced</v>
      </c>
      <c r="R3081" t="str">
        <f>IFERROR(VLOOKUP(T[[#This Row],[warehouse]],Table2[],2,FALSE),"--")</f>
        <v>--</v>
      </c>
    </row>
    <row r="3082" spans="1:18" x14ac:dyDescent="0.25">
      <c r="A3082" t="s">
        <v>560</v>
      </c>
      <c r="B3082" s="1">
        <v>44251</v>
      </c>
      <c r="C3082" t="s">
        <v>1245</v>
      </c>
      <c r="D3082" t="s">
        <v>615</v>
      </c>
      <c r="E3082" t="s">
        <v>51</v>
      </c>
      <c r="F3082" t="s">
        <v>164</v>
      </c>
      <c r="G3082" t="s">
        <v>1935</v>
      </c>
      <c r="H3082" t="s">
        <v>54</v>
      </c>
      <c r="I3082">
        <v>85</v>
      </c>
      <c r="J3082">
        <v>0</v>
      </c>
      <c r="K3082">
        <v>1</v>
      </c>
      <c r="L3082" t="s">
        <v>25</v>
      </c>
      <c r="M3082" t="s">
        <v>533</v>
      </c>
      <c r="N3082">
        <v>1632</v>
      </c>
      <c r="O3082">
        <v>0</v>
      </c>
      <c r="P3082" t="str">
        <f>IF(T[[#This Row],[qty_ordered]]&lt;&gt;T[[#This Row],[qty_received]],IF(T[[#This Row],[qty_received]]&gt;0,"Partial Received","Not Receviced"),"FullyReceived")</f>
        <v>Not Receviced</v>
      </c>
      <c r="Q3082" t="str">
        <f>IF(T[[#This Row],[qty_received]]&lt;&gt;T[[#This Row],[qty_invoiced]],IF(T[[#This Row],[qty_invoiced]]&gt;0,"Partial Invoiced","Not Invoiced"),"Fully Invoiced")</f>
        <v>Partial Invoiced</v>
      </c>
      <c r="R3082" t="str">
        <f>IFERROR(VLOOKUP(T[[#This Row],[warehouse]],Table2[],2,FALSE),"--")</f>
        <v>--</v>
      </c>
    </row>
    <row r="3083" spans="1:18" x14ac:dyDescent="0.25">
      <c r="A3083" t="s">
        <v>560</v>
      </c>
      <c r="B3083" s="1">
        <v>44251</v>
      </c>
      <c r="C3083" t="s">
        <v>1245</v>
      </c>
      <c r="D3083" t="s">
        <v>752</v>
      </c>
      <c r="E3083" t="s">
        <v>51</v>
      </c>
      <c r="F3083" t="s">
        <v>164</v>
      </c>
      <c r="G3083" t="s">
        <v>1384</v>
      </c>
      <c r="H3083" t="s">
        <v>54</v>
      </c>
      <c r="I3083">
        <v>30</v>
      </c>
      <c r="J3083">
        <v>0</v>
      </c>
      <c r="K3083">
        <v>1</v>
      </c>
      <c r="L3083" t="s">
        <v>25</v>
      </c>
      <c r="M3083" t="s">
        <v>533</v>
      </c>
      <c r="N3083">
        <v>3625.333333</v>
      </c>
      <c r="O3083">
        <v>0</v>
      </c>
      <c r="P3083" t="str">
        <f>IF(T[[#This Row],[qty_ordered]]&lt;&gt;T[[#This Row],[qty_received]],IF(T[[#This Row],[qty_received]]&gt;0,"Partial Received","Not Receviced"),"FullyReceived")</f>
        <v>Not Receviced</v>
      </c>
      <c r="Q3083" t="str">
        <f>IF(T[[#This Row],[qty_received]]&lt;&gt;T[[#This Row],[qty_invoiced]],IF(T[[#This Row],[qty_invoiced]]&gt;0,"Partial Invoiced","Not Invoiced"),"Fully Invoiced")</f>
        <v>Partial Invoiced</v>
      </c>
      <c r="R3083" t="str">
        <f>IFERROR(VLOOKUP(T[[#This Row],[warehouse]],Table2[],2,FALSE),"--")</f>
        <v>--</v>
      </c>
    </row>
    <row r="3084" spans="1:18" x14ac:dyDescent="0.25">
      <c r="A3084" t="s">
        <v>560</v>
      </c>
      <c r="B3084" s="1">
        <v>44251</v>
      </c>
      <c r="C3084" t="s">
        <v>1245</v>
      </c>
      <c r="D3084" t="s">
        <v>759</v>
      </c>
      <c r="E3084" t="s">
        <v>51</v>
      </c>
      <c r="F3084" t="s">
        <v>164</v>
      </c>
      <c r="G3084" t="s">
        <v>1384</v>
      </c>
      <c r="H3084" t="s">
        <v>54</v>
      </c>
      <c r="I3084">
        <v>34</v>
      </c>
      <c r="J3084">
        <v>0</v>
      </c>
      <c r="K3084">
        <v>1</v>
      </c>
      <c r="L3084" t="s">
        <v>25</v>
      </c>
      <c r="M3084" t="s">
        <v>533</v>
      </c>
      <c r="N3084">
        <v>1798.2352940000001</v>
      </c>
      <c r="O3084">
        <v>0</v>
      </c>
      <c r="P3084" t="str">
        <f>IF(T[[#This Row],[qty_ordered]]&lt;&gt;T[[#This Row],[qty_received]],IF(T[[#This Row],[qty_received]]&gt;0,"Partial Received","Not Receviced"),"FullyReceived")</f>
        <v>Not Receviced</v>
      </c>
      <c r="Q3084" t="str">
        <f>IF(T[[#This Row],[qty_received]]&lt;&gt;T[[#This Row],[qty_invoiced]],IF(T[[#This Row],[qty_invoiced]]&gt;0,"Partial Invoiced","Not Invoiced"),"Fully Invoiced")</f>
        <v>Partial Invoiced</v>
      </c>
      <c r="R3084" t="str">
        <f>IFERROR(VLOOKUP(T[[#This Row],[warehouse]],Table2[],2,FALSE),"--")</f>
        <v>--</v>
      </c>
    </row>
    <row r="3085" spans="1:18" x14ac:dyDescent="0.25">
      <c r="A3085" t="s">
        <v>560</v>
      </c>
      <c r="B3085" s="1">
        <v>44251</v>
      </c>
      <c r="C3085" t="s">
        <v>1237</v>
      </c>
      <c r="D3085" t="s">
        <v>324</v>
      </c>
      <c r="E3085" t="s">
        <v>51</v>
      </c>
      <c r="F3085" t="s">
        <v>164</v>
      </c>
      <c r="G3085" t="s">
        <v>1368</v>
      </c>
      <c r="H3085" t="s">
        <v>54</v>
      </c>
      <c r="I3085">
        <v>30</v>
      </c>
      <c r="J3085">
        <v>0</v>
      </c>
      <c r="K3085">
        <v>1</v>
      </c>
      <c r="L3085" t="s">
        <v>25</v>
      </c>
      <c r="M3085" t="s">
        <v>533</v>
      </c>
      <c r="N3085">
        <v>1631.333333</v>
      </c>
      <c r="O3085">
        <v>0</v>
      </c>
      <c r="P3085" t="str">
        <f>IF(T[[#This Row],[qty_ordered]]&lt;&gt;T[[#This Row],[qty_received]],IF(T[[#This Row],[qty_received]]&gt;0,"Partial Received","Not Receviced"),"FullyReceived")</f>
        <v>Not Receviced</v>
      </c>
      <c r="Q3085" t="str">
        <f>IF(T[[#This Row],[qty_received]]&lt;&gt;T[[#This Row],[qty_invoiced]],IF(T[[#This Row],[qty_invoiced]]&gt;0,"Partial Invoiced","Not Invoiced"),"Fully Invoiced")</f>
        <v>Partial Invoiced</v>
      </c>
      <c r="R3085" t="str">
        <f>IFERROR(VLOOKUP(T[[#This Row],[warehouse]],Table2[],2,FALSE),"--")</f>
        <v>--</v>
      </c>
    </row>
    <row r="3086" spans="1:18" x14ac:dyDescent="0.25">
      <c r="A3086" t="s">
        <v>560</v>
      </c>
      <c r="B3086" s="1">
        <v>44251</v>
      </c>
      <c r="C3086" t="s">
        <v>1237</v>
      </c>
      <c r="D3086" t="s">
        <v>325</v>
      </c>
      <c r="E3086" t="s">
        <v>51</v>
      </c>
      <c r="F3086" t="s">
        <v>164</v>
      </c>
      <c r="G3086" t="s">
        <v>1368</v>
      </c>
      <c r="H3086" t="s">
        <v>54</v>
      </c>
      <c r="I3086">
        <v>25</v>
      </c>
      <c r="J3086">
        <v>0</v>
      </c>
      <c r="K3086">
        <v>1</v>
      </c>
      <c r="L3086" t="s">
        <v>25</v>
      </c>
      <c r="M3086" t="s">
        <v>533</v>
      </c>
      <c r="N3086">
        <v>1666.8</v>
      </c>
      <c r="O3086">
        <v>0</v>
      </c>
      <c r="P3086" t="str">
        <f>IF(T[[#This Row],[qty_ordered]]&lt;&gt;T[[#This Row],[qty_received]],IF(T[[#This Row],[qty_received]]&gt;0,"Partial Received","Not Receviced"),"FullyReceived")</f>
        <v>Not Receviced</v>
      </c>
      <c r="Q3086" t="str">
        <f>IF(T[[#This Row],[qty_received]]&lt;&gt;T[[#This Row],[qty_invoiced]],IF(T[[#This Row],[qty_invoiced]]&gt;0,"Partial Invoiced","Not Invoiced"),"Fully Invoiced")</f>
        <v>Partial Invoiced</v>
      </c>
      <c r="R3086" t="str">
        <f>IFERROR(VLOOKUP(T[[#This Row],[warehouse]],Table2[],2,FALSE),"--")</f>
        <v>--</v>
      </c>
    </row>
    <row r="3087" spans="1:18" x14ac:dyDescent="0.25">
      <c r="A3087" t="s">
        <v>560</v>
      </c>
      <c r="B3087" s="1">
        <v>44251</v>
      </c>
      <c r="C3087" t="s">
        <v>1244</v>
      </c>
      <c r="D3087" t="s">
        <v>322</v>
      </c>
      <c r="E3087" t="s">
        <v>51</v>
      </c>
      <c r="F3087" t="s">
        <v>164</v>
      </c>
      <c r="G3087" t="s">
        <v>1383</v>
      </c>
      <c r="H3087" t="s">
        <v>54</v>
      </c>
      <c r="I3087">
        <v>30</v>
      </c>
      <c r="J3087">
        <v>0</v>
      </c>
      <c r="K3087">
        <v>1</v>
      </c>
      <c r="L3087" t="s">
        <v>25</v>
      </c>
      <c r="M3087" t="s">
        <v>533</v>
      </c>
      <c r="N3087">
        <v>1530</v>
      </c>
      <c r="O3087">
        <v>0</v>
      </c>
      <c r="P3087" t="str">
        <f>IF(T[[#This Row],[qty_ordered]]&lt;&gt;T[[#This Row],[qty_received]],IF(T[[#This Row],[qty_received]]&gt;0,"Partial Received","Not Receviced"),"FullyReceived")</f>
        <v>Not Receviced</v>
      </c>
      <c r="Q3087" t="str">
        <f>IF(T[[#This Row],[qty_received]]&lt;&gt;T[[#This Row],[qty_invoiced]],IF(T[[#This Row],[qty_invoiced]]&gt;0,"Partial Invoiced","Not Invoiced"),"Fully Invoiced")</f>
        <v>Partial Invoiced</v>
      </c>
      <c r="R3087" t="str">
        <f>IFERROR(VLOOKUP(T[[#This Row],[warehouse]],Table2[],2,FALSE),"--")</f>
        <v>--</v>
      </c>
    </row>
    <row r="3088" spans="1:18" x14ac:dyDescent="0.25">
      <c r="A3088" t="s">
        <v>560</v>
      </c>
      <c r="B3088" s="1">
        <v>44251</v>
      </c>
      <c r="C3088" t="s">
        <v>1246</v>
      </c>
      <c r="D3088" t="s">
        <v>591</v>
      </c>
      <c r="E3088" t="s">
        <v>51</v>
      </c>
      <c r="F3088" t="s">
        <v>164</v>
      </c>
      <c r="G3088" t="s">
        <v>1389</v>
      </c>
      <c r="H3088" t="s">
        <v>54</v>
      </c>
      <c r="I3088">
        <v>30</v>
      </c>
      <c r="J3088">
        <v>0</v>
      </c>
      <c r="K3088">
        <v>1</v>
      </c>
      <c r="L3088" t="s">
        <v>25</v>
      </c>
      <c r="M3088" t="s">
        <v>533</v>
      </c>
      <c r="N3088">
        <v>1632</v>
      </c>
      <c r="O3088">
        <v>0</v>
      </c>
      <c r="P3088" t="str">
        <f>IF(T[[#This Row],[qty_ordered]]&lt;&gt;T[[#This Row],[qty_received]],IF(T[[#This Row],[qty_received]]&gt;0,"Partial Received","Not Receviced"),"FullyReceived")</f>
        <v>Not Receviced</v>
      </c>
      <c r="Q3088" t="str">
        <f>IF(T[[#This Row],[qty_received]]&lt;&gt;T[[#This Row],[qty_invoiced]],IF(T[[#This Row],[qty_invoiced]]&gt;0,"Partial Invoiced","Not Invoiced"),"Fully Invoiced")</f>
        <v>Partial Invoiced</v>
      </c>
      <c r="R3088" t="str">
        <f>IFERROR(VLOOKUP(T[[#This Row],[warehouse]],Table2[],2,FALSE),"--")</f>
        <v>--</v>
      </c>
    </row>
    <row r="3089" spans="1:18" x14ac:dyDescent="0.25">
      <c r="A3089" t="s">
        <v>560</v>
      </c>
      <c r="B3089" s="1">
        <v>44362</v>
      </c>
      <c r="C3089" t="s">
        <v>1385</v>
      </c>
      <c r="D3089" t="s">
        <v>71</v>
      </c>
      <c r="E3089" t="s">
        <v>51</v>
      </c>
      <c r="F3089" t="s">
        <v>164</v>
      </c>
      <c r="G3089" t="s">
        <v>1386</v>
      </c>
      <c r="H3089" t="s">
        <v>54</v>
      </c>
      <c r="I3089">
        <v>30</v>
      </c>
      <c r="J3089">
        <v>0</v>
      </c>
      <c r="K3089">
        <v>1</v>
      </c>
      <c r="L3089" t="s">
        <v>25</v>
      </c>
      <c r="M3089" t="s">
        <v>533</v>
      </c>
      <c r="N3089">
        <v>1530</v>
      </c>
      <c r="O3089">
        <v>0</v>
      </c>
      <c r="P3089" t="str">
        <f>IF(T[[#This Row],[qty_ordered]]&lt;&gt;T[[#This Row],[qty_received]],IF(T[[#This Row],[qty_received]]&gt;0,"Partial Received","Not Receviced"),"FullyReceived")</f>
        <v>Not Receviced</v>
      </c>
      <c r="Q3089" t="str">
        <f>IF(T[[#This Row],[qty_received]]&lt;&gt;T[[#This Row],[qty_invoiced]],IF(T[[#This Row],[qty_invoiced]]&gt;0,"Partial Invoiced","Not Invoiced"),"Fully Invoiced")</f>
        <v>Partial Invoiced</v>
      </c>
      <c r="R3089" t="str">
        <f>IFERROR(VLOOKUP(T[[#This Row],[warehouse]],Table2[],2,FALSE),"--")</f>
        <v>--</v>
      </c>
    </row>
    <row r="3090" spans="1:18" x14ac:dyDescent="0.25">
      <c r="A3090" t="s">
        <v>560</v>
      </c>
      <c r="B3090" s="1">
        <v>44251</v>
      </c>
      <c r="C3090" t="s">
        <v>1256</v>
      </c>
      <c r="D3090" t="s">
        <v>1321</v>
      </c>
      <c r="E3090" t="s">
        <v>51</v>
      </c>
      <c r="F3090" t="s">
        <v>164</v>
      </c>
      <c r="G3090" t="s">
        <v>1400</v>
      </c>
      <c r="H3090" t="s">
        <v>54</v>
      </c>
      <c r="I3090">
        <v>118</v>
      </c>
      <c r="J3090">
        <v>0</v>
      </c>
      <c r="K3090">
        <v>1</v>
      </c>
      <c r="L3090" t="s">
        <v>25</v>
      </c>
      <c r="M3090" t="s">
        <v>533</v>
      </c>
      <c r="N3090">
        <v>1639.6186439999999</v>
      </c>
      <c r="O3090">
        <v>0</v>
      </c>
      <c r="P3090" t="str">
        <f>IF(T[[#This Row],[qty_ordered]]&lt;&gt;T[[#This Row],[qty_received]],IF(T[[#This Row],[qty_received]]&gt;0,"Partial Received","Not Receviced"),"FullyReceived")</f>
        <v>Not Receviced</v>
      </c>
      <c r="Q3090" t="str">
        <f>IF(T[[#This Row],[qty_received]]&lt;&gt;T[[#This Row],[qty_invoiced]],IF(T[[#This Row],[qty_invoiced]]&gt;0,"Partial Invoiced","Not Invoiced"),"Fully Invoiced")</f>
        <v>Partial Invoiced</v>
      </c>
      <c r="R3090" t="str">
        <f>IFERROR(VLOOKUP(T[[#This Row],[warehouse]],Table2[],2,FALSE),"--")</f>
        <v>--</v>
      </c>
    </row>
    <row r="3091" spans="1:18" x14ac:dyDescent="0.25">
      <c r="A3091" t="s">
        <v>560</v>
      </c>
      <c r="B3091" s="1">
        <v>44251</v>
      </c>
      <c r="C3091" t="s">
        <v>1276</v>
      </c>
      <c r="D3091" t="s">
        <v>322</v>
      </c>
      <c r="E3091" t="s">
        <v>51</v>
      </c>
      <c r="F3091" t="s">
        <v>164</v>
      </c>
      <c r="G3091" t="s">
        <v>1401</v>
      </c>
      <c r="H3091" t="s">
        <v>54</v>
      </c>
      <c r="I3091">
        <v>39</v>
      </c>
      <c r="J3091">
        <v>0</v>
      </c>
      <c r="K3091">
        <v>1</v>
      </c>
      <c r="L3091" t="s">
        <v>25</v>
      </c>
      <c r="M3091" t="s">
        <v>533</v>
      </c>
      <c r="N3091">
        <v>1530</v>
      </c>
      <c r="O3091">
        <v>0</v>
      </c>
      <c r="P3091" t="str">
        <f>IF(T[[#This Row],[qty_ordered]]&lt;&gt;T[[#This Row],[qty_received]],IF(T[[#This Row],[qty_received]]&gt;0,"Partial Received","Not Receviced"),"FullyReceived")</f>
        <v>Not Receviced</v>
      </c>
      <c r="Q3091" t="str">
        <f>IF(T[[#This Row],[qty_received]]&lt;&gt;T[[#This Row],[qty_invoiced]],IF(T[[#This Row],[qty_invoiced]]&gt;0,"Partial Invoiced","Not Invoiced"),"Fully Invoiced")</f>
        <v>Partial Invoiced</v>
      </c>
      <c r="R3091" t="str">
        <f>IFERROR(VLOOKUP(T[[#This Row],[warehouse]],Table2[],2,FALSE),"--")</f>
        <v>--</v>
      </c>
    </row>
    <row r="3092" spans="1:18" x14ac:dyDescent="0.25">
      <c r="A3092" t="s">
        <v>560</v>
      </c>
      <c r="B3092" s="1">
        <v>44402</v>
      </c>
      <c r="C3092" t="s">
        <v>1443</v>
      </c>
      <c r="D3092" t="s">
        <v>20</v>
      </c>
      <c r="E3092" t="s">
        <v>51</v>
      </c>
      <c r="F3092" t="s">
        <v>164</v>
      </c>
      <c r="G3092" t="s">
        <v>1936</v>
      </c>
      <c r="H3092" t="s">
        <v>54</v>
      </c>
      <c r="I3092">
        <v>30</v>
      </c>
      <c r="J3092">
        <v>0</v>
      </c>
      <c r="K3092">
        <v>1</v>
      </c>
      <c r="L3092" t="s">
        <v>25</v>
      </c>
      <c r="M3092" t="s">
        <v>533</v>
      </c>
      <c r="N3092">
        <v>1530</v>
      </c>
      <c r="O3092">
        <v>0</v>
      </c>
      <c r="P3092" t="str">
        <f>IF(T[[#This Row],[qty_ordered]]&lt;&gt;T[[#This Row],[qty_received]],IF(T[[#This Row],[qty_received]]&gt;0,"Partial Received","Not Receviced"),"FullyReceived")</f>
        <v>Not Receviced</v>
      </c>
      <c r="Q3092" t="str">
        <f>IF(T[[#This Row],[qty_received]]&lt;&gt;T[[#This Row],[qty_invoiced]],IF(T[[#This Row],[qty_invoiced]]&gt;0,"Partial Invoiced","Not Invoiced"),"Fully Invoiced")</f>
        <v>Partial Invoiced</v>
      </c>
      <c r="R3092" t="str">
        <f>IFERROR(VLOOKUP(T[[#This Row],[warehouse]],Table2[],2,FALSE),"--")</f>
        <v>--</v>
      </c>
    </row>
    <row r="3093" spans="1:18" x14ac:dyDescent="0.25">
      <c r="A3093" t="s">
        <v>735</v>
      </c>
      <c r="B3093" s="1">
        <v>44404</v>
      </c>
      <c r="C3093" t="s">
        <v>1937</v>
      </c>
      <c r="D3093" t="s">
        <v>20</v>
      </c>
      <c r="E3093" t="s">
        <v>51</v>
      </c>
      <c r="F3093" t="s">
        <v>183</v>
      </c>
      <c r="G3093" t="s">
        <v>1938</v>
      </c>
      <c r="H3093" t="s">
        <v>54</v>
      </c>
      <c r="I3093">
        <v>79.582999999999998</v>
      </c>
      <c r="J3093">
        <v>0</v>
      </c>
      <c r="K3093">
        <v>1</v>
      </c>
      <c r="L3093" t="s">
        <v>25</v>
      </c>
      <c r="M3093" t="s">
        <v>533</v>
      </c>
      <c r="N3093">
        <v>4500</v>
      </c>
      <c r="O3093">
        <v>0</v>
      </c>
      <c r="P3093" t="str">
        <f>IF(T[[#This Row],[qty_ordered]]&lt;&gt;T[[#This Row],[qty_received]],IF(T[[#This Row],[qty_received]]&gt;0,"Partial Received","Not Receviced"),"FullyReceived")</f>
        <v>Not Receviced</v>
      </c>
      <c r="Q3093" t="str">
        <f>IF(T[[#This Row],[qty_received]]&lt;&gt;T[[#This Row],[qty_invoiced]],IF(T[[#This Row],[qty_invoiced]]&gt;0,"Partial Invoiced","Not Invoiced"),"Fully Invoiced")</f>
        <v>Partial Invoiced</v>
      </c>
      <c r="R3093" t="str">
        <f>IFERROR(VLOOKUP(T[[#This Row],[warehouse]],Table2[],2,FALSE),"--")</f>
        <v>--</v>
      </c>
    </row>
    <row r="3094" spans="1:18" x14ac:dyDescent="0.25">
      <c r="A3094" t="s">
        <v>235</v>
      </c>
      <c r="B3094" s="1">
        <v>44199</v>
      </c>
      <c r="C3094" t="s">
        <v>1134</v>
      </c>
      <c r="D3094" t="s">
        <v>76</v>
      </c>
      <c r="E3094" t="s">
        <v>51</v>
      </c>
      <c r="F3094" t="s">
        <v>546</v>
      </c>
      <c r="G3094" t="s">
        <v>1217</v>
      </c>
      <c r="H3094" t="s">
        <v>54</v>
      </c>
      <c r="I3094">
        <v>3000</v>
      </c>
      <c r="J3094">
        <v>0</v>
      </c>
      <c r="K3094">
        <v>1</v>
      </c>
      <c r="L3094" t="s">
        <v>25</v>
      </c>
      <c r="M3094" t="s">
        <v>2836</v>
      </c>
      <c r="N3094">
        <v>13</v>
      </c>
      <c r="O3094">
        <v>0</v>
      </c>
      <c r="P3094" t="str">
        <f>IF(T[[#This Row],[qty_ordered]]&lt;&gt;T[[#This Row],[qty_received]],IF(T[[#This Row],[qty_received]]&gt;0,"Partial Received","Not Receviced"),"FullyReceived")</f>
        <v>Not Receviced</v>
      </c>
      <c r="Q3094" t="str">
        <f>IF(T[[#This Row],[qty_received]]&lt;&gt;T[[#This Row],[qty_invoiced]],IF(T[[#This Row],[qty_invoiced]]&gt;0,"Partial Invoiced","Not Invoiced"),"Fully Invoiced")</f>
        <v>Partial Invoiced</v>
      </c>
      <c r="R3094" t="str">
        <f>IFERROR(VLOOKUP(T[[#This Row],[warehouse]],Table2[],2,FALSE),"--")</f>
        <v>--</v>
      </c>
    </row>
    <row r="3095" spans="1:18" x14ac:dyDescent="0.25">
      <c r="A3095" t="s">
        <v>235</v>
      </c>
      <c r="B3095" s="1">
        <v>44199</v>
      </c>
      <c r="C3095" t="s">
        <v>1134</v>
      </c>
      <c r="D3095" t="s">
        <v>212</v>
      </c>
      <c r="E3095" t="s">
        <v>51</v>
      </c>
      <c r="F3095" t="s">
        <v>546</v>
      </c>
      <c r="G3095" t="s">
        <v>1217</v>
      </c>
      <c r="H3095" t="s">
        <v>54</v>
      </c>
      <c r="I3095">
        <v>7000</v>
      </c>
      <c r="J3095">
        <v>0</v>
      </c>
      <c r="K3095">
        <v>1</v>
      </c>
      <c r="L3095" t="s">
        <v>25</v>
      </c>
      <c r="M3095" t="s">
        <v>2836</v>
      </c>
      <c r="N3095">
        <v>13</v>
      </c>
      <c r="O3095">
        <v>0</v>
      </c>
      <c r="P3095" t="str">
        <f>IF(T[[#This Row],[qty_ordered]]&lt;&gt;T[[#This Row],[qty_received]],IF(T[[#This Row],[qty_received]]&gt;0,"Partial Received","Not Receviced"),"FullyReceived")</f>
        <v>Not Receviced</v>
      </c>
      <c r="Q3095" t="str">
        <f>IF(T[[#This Row],[qty_received]]&lt;&gt;T[[#This Row],[qty_invoiced]],IF(T[[#This Row],[qty_invoiced]]&gt;0,"Partial Invoiced","Not Invoiced"),"Fully Invoiced")</f>
        <v>Partial Invoiced</v>
      </c>
      <c r="R3095" t="str">
        <f>IFERROR(VLOOKUP(T[[#This Row],[warehouse]],Table2[],2,FALSE),"--")</f>
        <v>--</v>
      </c>
    </row>
    <row r="3096" spans="1:18" x14ac:dyDescent="0.25">
      <c r="A3096" t="s">
        <v>1114</v>
      </c>
      <c r="B3096" s="1">
        <v>44389</v>
      </c>
      <c r="C3096" t="s">
        <v>1408</v>
      </c>
      <c r="D3096" t="s">
        <v>71</v>
      </c>
      <c r="E3096" t="s">
        <v>660</v>
      </c>
      <c r="F3096" t="s">
        <v>1116</v>
      </c>
      <c r="G3096" t="s">
        <v>1117</v>
      </c>
      <c r="H3096" t="s">
        <v>54</v>
      </c>
      <c r="I3096">
        <v>15809</v>
      </c>
      <c r="J3096">
        <v>0</v>
      </c>
      <c r="K3096">
        <v>0</v>
      </c>
      <c r="L3096" t="s">
        <v>25</v>
      </c>
      <c r="M3096" t="s">
        <v>132</v>
      </c>
      <c r="N3096">
        <v>0</v>
      </c>
      <c r="O3096">
        <v>0</v>
      </c>
      <c r="P3096" t="str">
        <f>IF(T[[#This Row],[qty_ordered]]&lt;&gt;T[[#This Row],[qty_received]],IF(T[[#This Row],[qty_received]]&gt;0,"Partial Received","Not Receviced"),"FullyReceived")</f>
        <v>Not Receviced</v>
      </c>
      <c r="Q3096" t="str">
        <f>IF(T[[#This Row],[qty_received]]&lt;&gt;T[[#This Row],[qty_invoiced]],IF(T[[#This Row],[qty_invoiced]]&gt;0,"Partial Invoiced","Not Invoiced"),"Fully Invoiced")</f>
        <v>Fully Invoiced</v>
      </c>
      <c r="R3096" t="str">
        <f>IFERROR(VLOOKUP(T[[#This Row],[warehouse]],Table2[],2,FALSE),"--")</f>
        <v>SLAUGHTER HOUSE</v>
      </c>
    </row>
    <row r="3097" spans="1:18" x14ac:dyDescent="0.25">
      <c r="A3097" t="s">
        <v>1059</v>
      </c>
      <c r="B3097" s="1">
        <v>44303</v>
      </c>
      <c r="C3097" t="s">
        <v>1299</v>
      </c>
      <c r="D3097" t="s">
        <v>324</v>
      </c>
      <c r="E3097" t="s">
        <v>51</v>
      </c>
      <c r="F3097" t="s">
        <v>254</v>
      </c>
      <c r="G3097" t="s">
        <v>255</v>
      </c>
      <c r="H3097" t="s">
        <v>54</v>
      </c>
      <c r="I3097">
        <v>40000</v>
      </c>
      <c r="J3097">
        <v>0</v>
      </c>
      <c r="K3097">
        <v>1</v>
      </c>
      <c r="L3097" t="s">
        <v>25</v>
      </c>
      <c r="M3097" t="s">
        <v>533</v>
      </c>
      <c r="N3097">
        <v>1200</v>
      </c>
      <c r="O3097">
        <v>0</v>
      </c>
      <c r="P3097" t="str">
        <f>IF(T[[#This Row],[qty_ordered]]&lt;&gt;T[[#This Row],[qty_received]],IF(T[[#This Row],[qty_received]]&gt;0,"Partial Received","Not Receviced"),"FullyReceived")</f>
        <v>Not Receviced</v>
      </c>
      <c r="Q3097" t="str">
        <f>IF(T[[#This Row],[qty_received]]&lt;&gt;T[[#This Row],[qty_invoiced]],IF(T[[#This Row],[qty_invoiced]]&gt;0,"Partial Invoiced","Not Invoiced"),"Fully Invoiced")</f>
        <v>Partial Invoiced</v>
      </c>
      <c r="R3097" t="str">
        <f>IFERROR(VLOOKUP(T[[#This Row],[warehouse]],Table2[],2,FALSE),"--")</f>
        <v>--</v>
      </c>
    </row>
    <row r="3098" spans="1:18" x14ac:dyDescent="0.25">
      <c r="A3098" t="s">
        <v>1059</v>
      </c>
      <c r="B3098" s="1">
        <v>44303</v>
      </c>
      <c r="C3098" t="s">
        <v>1299</v>
      </c>
      <c r="D3098" t="s">
        <v>325</v>
      </c>
      <c r="E3098" t="s">
        <v>51</v>
      </c>
      <c r="F3098" t="s">
        <v>278</v>
      </c>
      <c r="G3098" t="s">
        <v>279</v>
      </c>
      <c r="H3098" t="s">
        <v>54</v>
      </c>
      <c r="I3098">
        <v>40000</v>
      </c>
      <c r="J3098">
        <v>0</v>
      </c>
      <c r="K3098">
        <v>1</v>
      </c>
      <c r="L3098" t="s">
        <v>25</v>
      </c>
      <c r="M3098" t="s">
        <v>533</v>
      </c>
      <c r="N3098">
        <v>400</v>
      </c>
      <c r="O3098">
        <v>0</v>
      </c>
      <c r="P3098" t="str">
        <f>IF(T[[#This Row],[qty_ordered]]&lt;&gt;T[[#This Row],[qty_received]],IF(T[[#This Row],[qty_received]]&gt;0,"Partial Received","Not Receviced"),"FullyReceived")</f>
        <v>Not Receviced</v>
      </c>
      <c r="Q3098" t="str">
        <f>IF(T[[#This Row],[qty_received]]&lt;&gt;T[[#This Row],[qty_invoiced]],IF(T[[#This Row],[qty_invoiced]]&gt;0,"Partial Invoiced","Not Invoiced"),"Fully Invoiced")</f>
        <v>Partial Invoiced</v>
      </c>
      <c r="R3098" t="str">
        <f>IFERROR(VLOOKUP(T[[#This Row],[warehouse]],Table2[],2,FALSE),"--")</f>
        <v>--</v>
      </c>
    </row>
    <row r="3099" spans="1:18" x14ac:dyDescent="0.25">
      <c r="A3099" t="s">
        <v>1044</v>
      </c>
      <c r="B3099" s="1">
        <v>44346</v>
      </c>
      <c r="C3099" t="s">
        <v>1426</v>
      </c>
      <c r="D3099" t="s">
        <v>88</v>
      </c>
      <c r="E3099" t="s">
        <v>51</v>
      </c>
      <c r="F3099" t="s">
        <v>52</v>
      </c>
      <c r="G3099" t="s">
        <v>1427</v>
      </c>
      <c r="H3099" t="s">
        <v>54</v>
      </c>
      <c r="I3099">
        <v>15</v>
      </c>
      <c r="J3099">
        <v>0</v>
      </c>
      <c r="K3099">
        <v>1</v>
      </c>
      <c r="L3099" t="s">
        <v>25</v>
      </c>
      <c r="M3099" t="s">
        <v>132</v>
      </c>
      <c r="N3099">
        <v>20000</v>
      </c>
      <c r="O3099">
        <v>0</v>
      </c>
      <c r="P3099" t="str">
        <f>IF(T[[#This Row],[qty_ordered]]&lt;&gt;T[[#This Row],[qty_received]],IF(T[[#This Row],[qty_received]]&gt;0,"Partial Received","Not Receviced"),"FullyReceived")</f>
        <v>Not Receviced</v>
      </c>
      <c r="Q3099" t="str">
        <f>IF(T[[#This Row],[qty_received]]&lt;&gt;T[[#This Row],[qty_invoiced]],IF(T[[#This Row],[qty_invoiced]]&gt;0,"Partial Invoiced","Not Invoiced"),"Fully Invoiced")</f>
        <v>Partial Invoiced</v>
      </c>
      <c r="R3099" t="str">
        <f>IFERROR(VLOOKUP(T[[#This Row],[warehouse]],Table2[],2,FALSE),"--")</f>
        <v>--</v>
      </c>
    </row>
    <row r="3100" spans="1:18" x14ac:dyDescent="0.25">
      <c r="A3100" t="s">
        <v>1218</v>
      </c>
      <c r="B3100" s="1">
        <v>44409</v>
      </c>
      <c r="C3100" t="s">
        <v>1939</v>
      </c>
      <c r="D3100" t="s">
        <v>20</v>
      </c>
      <c r="E3100" t="s">
        <v>1220</v>
      </c>
      <c r="F3100" t="s">
        <v>1802</v>
      </c>
      <c r="G3100" t="s">
        <v>1803</v>
      </c>
      <c r="H3100" t="s">
        <v>123</v>
      </c>
      <c r="I3100">
        <v>190000</v>
      </c>
      <c r="J3100">
        <v>190000</v>
      </c>
      <c r="K3100">
        <v>190000</v>
      </c>
      <c r="L3100" t="s">
        <v>25</v>
      </c>
      <c r="M3100" t="s">
        <v>744</v>
      </c>
      <c r="N3100">
        <v>9178.8269999999993</v>
      </c>
      <c r="O3100">
        <v>1743977130</v>
      </c>
      <c r="P3100" t="str">
        <f>IF(T[[#This Row],[qty_ordered]]&lt;&gt;T[[#This Row],[qty_received]],IF(T[[#This Row],[qty_received]]&gt;0,"Partial Received","Not Receviced"),"FullyReceived")</f>
        <v>FullyReceived</v>
      </c>
      <c r="Q3100" t="str">
        <f>IF(T[[#This Row],[qty_received]]&lt;&gt;T[[#This Row],[qty_invoiced]],IF(T[[#This Row],[qty_invoiced]]&gt;0,"Partial Invoiced","Not Invoiced"),"Fully Invoiced")</f>
        <v>Fully Invoiced</v>
      </c>
      <c r="R3100" t="str">
        <f>IFERROR(VLOOKUP(T[[#This Row],[warehouse]],Table2[],2,FALSE),"--")</f>
        <v>Import Virtual Warehouse - PZU</v>
      </c>
    </row>
    <row r="3101" spans="1:18" x14ac:dyDescent="0.25">
      <c r="A3101" t="s">
        <v>1218</v>
      </c>
      <c r="B3101" s="1">
        <v>44409</v>
      </c>
      <c r="C3101" t="s">
        <v>1939</v>
      </c>
      <c r="D3101" t="s">
        <v>71</v>
      </c>
      <c r="E3101" t="s">
        <v>1220</v>
      </c>
      <c r="F3101" t="s">
        <v>1307</v>
      </c>
      <c r="G3101" t="s">
        <v>1308</v>
      </c>
      <c r="H3101" t="s">
        <v>149</v>
      </c>
      <c r="I3101">
        <v>3800</v>
      </c>
      <c r="J3101">
        <v>0</v>
      </c>
      <c r="K3101">
        <v>0</v>
      </c>
      <c r="L3101" t="s">
        <v>25</v>
      </c>
      <c r="M3101" t="s">
        <v>744</v>
      </c>
      <c r="N3101">
        <v>0</v>
      </c>
      <c r="O3101">
        <v>0</v>
      </c>
      <c r="P3101" t="str">
        <f>IF(T[[#This Row],[qty_ordered]]&lt;&gt;T[[#This Row],[qty_received]],IF(T[[#This Row],[qty_received]]&gt;0,"Partial Received","Not Receviced"),"FullyReceived")</f>
        <v>Not Receviced</v>
      </c>
      <c r="Q3101" t="str">
        <f>IF(T[[#This Row],[qty_received]]&lt;&gt;T[[#This Row],[qty_invoiced]],IF(T[[#This Row],[qty_invoiced]]&gt;0,"Partial Invoiced","Not Invoiced"),"Fully Invoiced")</f>
        <v>Fully Invoiced</v>
      </c>
      <c r="R3101" t="str">
        <f>IFERROR(VLOOKUP(T[[#This Row],[warehouse]],Table2[],2,FALSE),"--")</f>
        <v>Import Virtual Warehouse - PZU</v>
      </c>
    </row>
    <row r="3102" spans="1:18" x14ac:dyDescent="0.25">
      <c r="A3102" t="s">
        <v>618</v>
      </c>
      <c r="B3102" s="1">
        <v>44417</v>
      </c>
      <c r="C3102" t="s">
        <v>1432</v>
      </c>
      <c r="D3102" t="s">
        <v>71</v>
      </c>
      <c r="E3102" t="s">
        <v>553</v>
      </c>
      <c r="F3102" t="s">
        <v>86</v>
      </c>
      <c r="G3102" t="s">
        <v>87</v>
      </c>
      <c r="H3102" t="s">
        <v>24</v>
      </c>
      <c r="I3102">
        <v>397.36</v>
      </c>
      <c r="J3102">
        <v>397.36</v>
      </c>
      <c r="K3102">
        <v>397.36</v>
      </c>
      <c r="L3102" t="s">
        <v>25</v>
      </c>
      <c r="M3102" t="s">
        <v>132</v>
      </c>
      <c r="N3102">
        <v>515349</v>
      </c>
      <c r="O3102">
        <v>212728460.82999799</v>
      </c>
      <c r="P3102" t="str">
        <f>IF(T[[#This Row],[qty_ordered]]&lt;&gt;T[[#This Row],[qty_received]],IF(T[[#This Row],[qty_received]]&gt;0,"Partial Received","Not Receviced"),"FullyReceived")</f>
        <v>FullyReceived</v>
      </c>
      <c r="Q3102" t="str">
        <f>IF(T[[#This Row],[qty_received]]&lt;&gt;T[[#This Row],[qty_invoiced]],IF(T[[#This Row],[qty_invoiced]]&gt;0,"Partial Invoiced","Not Invoiced"),"Fully Invoiced")</f>
        <v>Fully Invoiced</v>
      </c>
      <c r="R3102" t="str">
        <f>IFERROR(VLOOKUP(T[[#This Row],[warehouse]],Table2[],2,FALSE),"--")</f>
        <v>SIFTING HMA-SOBA</v>
      </c>
    </row>
    <row r="3103" spans="1:18" x14ac:dyDescent="0.25">
      <c r="A3103" t="s">
        <v>658</v>
      </c>
      <c r="B3103" s="1">
        <v>44363</v>
      </c>
      <c r="C3103" t="s">
        <v>1397</v>
      </c>
      <c r="D3103" t="s">
        <v>76</v>
      </c>
      <c r="E3103" t="s">
        <v>660</v>
      </c>
      <c r="F3103" t="s">
        <v>661</v>
      </c>
      <c r="G3103" t="s">
        <v>662</v>
      </c>
      <c r="H3103" t="s">
        <v>663</v>
      </c>
      <c r="I3103">
        <v>2003.7</v>
      </c>
      <c r="J3103">
        <v>2003.7</v>
      </c>
      <c r="K3103">
        <v>2003.7</v>
      </c>
      <c r="L3103" t="s">
        <v>25</v>
      </c>
      <c r="M3103" t="s">
        <v>132</v>
      </c>
      <c r="N3103">
        <v>1100.826</v>
      </c>
      <c r="O3103">
        <v>2436499.2000000002</v>
      </c>
      <c r="P3103" t="str">
        <f>IF(T[[#This Row],[qty_ordered]]&lt;&gt;T[[#This Row],[qty_received]],IF(T[[#This Row],[qty_received]]&gt;0,"Partial Received","Not Receviced"),"FullyReceived")</f>
        <v>FullyReceived</v>
      </c>
      <c r="Q3103" t="str">
        <f>IF(T[[#This Row],[qty_received]]&lt;&gt;T[[#This Row],[qty_invoiced]],IF(T[[#This Row],[qty_invoiced]]&gt;0,"Partial Invoiced","Not Invoiced"),"Fully Invoiced")</f>
        <v>Fully Invoiced</v>
      </c>
      <c r="R3103" t="str">
        <f>IFERROR(VLOOKUP(T[[#This Row],[warehouse]],Table2[],2,FALSE),"--")</f>
        <v>SLAUGHTER HOUSE</v>
      </c>
    </row>
    <row r="3104" spans="1:18" x14ac:dyDescent="0.25">
      <c r="A3104" t="s">
        <v>201</v>
      </c>
      <c r="B3104" s="1">
        <v>44419</v>
      </c>
      <c r="C3104" t="s">
        <v>1446</v>
      </c>
      <c r="D3104" t="s">
        <v>20</v>
      </c>
      <c r="E3104" t="s">
        <v>1220</v>
      </c>
      <c r="F3104" t="s">
        <v>1802</v>
      </c>
      <c r="G3104" t="s">
        <v>1803</v>
      </c>
      <c r="H3104" t="s">
        <v>123</v>
      </c>
      <c r="I3104">
        <v>540000</v>
      </c>
      <c r="J3104">
        <v>540000</v>
      </c>
      <c r="K3104">
        <v>540000</v>
      </c>
      <c r="L3104" t="s">
        <v>25</v>
      </c>
      <c r="M3104" t="s">
        <v>744</v>
      </c>
      <c r="N3104">
        <v>12636.371088</v>
      </c>
      <c r="O3104">
        <v>6899812154.9036503</v>
      </c>
      <c r="P3104" t="str">
        <f>IF(T[[#This Row],[qty_ordered]]&lt;&gt;T[[#This Row],[qty_received]],IF(T[[#This Row],[qty_received]]&gt;0,"Partial Received","Not Receviced"),"FullyReceived")</f>
        <v>FullyReceived</v>
      </c>
      <c r="Q3104" t="str">
        <f>IF(T[[#This Row],[qty_received]]&lt;&gt;T[[#This Row],[qty_invoiced]],IF(T[[#This Row],[qty_invoiced]]&gt;0,"Partial Invoiced","Not Invoiced"),"Fully Invoiced")</f>
        <v>Fully Invoiced</v>
      </c>
      <c r="R3104" t="str">
        <f>IFERROR(VLOOKUP(T[[#This Row],[warehouse]],Table2[],2,FALSE),"--")</f>
        <v>Import Virtual Warehouse - PZU</v>
      </c>
    </row>
    <row r="3105" spans="1:18" x14ac:dyDescent="0.25">
      <c r="A3105" t="s">
        <v>201</v>
      </c>
      <c r="B3105" s="1">
        <v>44419</v>
      </c>
      <c r="C3105" t="s">
        <v>1447</v>
      </c>
      <c r="D3105" t="s">
        <v>20</v>
      </c>
      <c r="E3105" t="s">
        <v>1220</v>
      </c>
      <c r="F3105" t="s">
        <v>1338</v>
      </c>
      <c r="G3105" t="s">
        <v>1339</v>
      </c>
      <c r="H3105" t="s">
        <v>123</v>
      </c>
      <c r="I3105">
        <v>60000</v>
      </c>
      <c r="J3105">
        <v>60000</v>
      </c>
      <c r="K3105">
        <v>60000</v>
      </c>
      <c r="L3105" t="s">
        <v>693</v>
      </c>
      <c r="M3105" t="s">
        <v>744</v>
      </c>
      <c r="N3105">
        <v>10977.049632</v>
      </c>
      <c r="O3105">
        <v>665950735.64685595</v>
      </c>
      <c r="P3105" t="str">
        <f>IF(T[[#This Row],[qty_ordered]]&lt;&gt;T[[#This Row],[qty_received]],IF(T[[#This Row],[qty_received]]&gt;0,"Partial Received","Not Receviced"),"FullyReceived")</f>
        <v>FullyReceived</v>
      </c>
      <c r="Q3105" t="str">
        <f>IF(T[[#This Row],[qty_received]]&lt;&gt;T[[#This Row],[qty_invoiced]],IF(T[[#This Row],[qty_invoiced]]&gt;0,"Partial Invoiced","Not Invoiced"),"Fully Invoiced")</f>
        <v>Fully Invoiced</v>
      </c>
      <c r="R3105" t="str">
        <f>IFERROR(VLOOKUP(T[[#This Row],[warehouse]],Table2[],2,FALSE),"--")</f>
        <v>Import Virtual Warehouse - PZU</v>
      </c>
    </row>
    <row r="3106" spans="1:18" x14ac:dyDescent="0.25">
      <c r="A3106" t="s">
        <v>1114</v>
      </c>
      <c r="B3106" s="1">
        <v>44389</v>
      </c>
      <c r="C3106" t="s">
        <v>1408</v>
      </c>
      <c r="D3106" t="s">
        <v>100</v>
      </c>
      <c r="E3106" t="s">
        <v>660</v>
      </c>
      <c r="F3106" t="s">
        <v>1116</v>
      </c>
      <c r="G3106" t="s">
        <v>1117</v>
      </c>
      <c r="H3106" t="s">
        <v>54</v>
      </c>
      <c r="I3106">
        <v>3018.8679999999999</v>
      </c>
      <c r="J3106">
        <v>0</v>
      </c>
      <c r="K3106">
        <v>0</v>
      </c>
      <c r="L3106" t="s">
        <v>25</v>
      </c>
      <c r="M3106" t="s">
        <v>132</v>
      </c>
      <c r="N3106">
        <v>2650</v>
      </c>
      <c r="O3106">
        <v>0</v>
      </c>
      <c r="P3106" t="str">
        <f>IF(T[[#This Row],[qty_ordered]]&lt;&gt;T[[#This Row],[qty_received]],IF(T[[#This Row],[qty_received]]&gt;0,"Partial Received","Not Receviced"),"FullyReceived")</f>
        <v>Not Receviced</v>
      </c>
      <c r="Q3106" t="str">
        <f>IF(T[[#This Row],[qty_received]]&lt;&gt;T[[#This Row],[qty_invoiced]],IF(T[[#This Row],[qty_invoiced]]&gt;0,"Partial Invoiced","Not Invoiced"),"Fully Invoiced")</f>
        <v>Fully Invoiced</v>
      </c>
      <c r="R3106" t="str">
        <f>IFERROR(VLOOKUP(T[[#This Row],[warehouse]],Table2[],2,FALSE),"--")</f>
        <v>SLAUGHTER HOUSE</v>
      </c>
    </row>
    <row r="3107" spans="1:18" x14ac:dyDescent="0.25">
      <c r="A3107" t="s">
        <v>1868</v>
      </c>
      <c r="B3107" s="1">
        <v>44339</v>
      </c>
      <c r="C3107" t="s">
        <v>1869</v>
      </c>
      <c r="D3107" t="s">
        <v>100</v>
      </c>
      <c r="E3107" t="s">
        <v>51</v>
      </c>
      <c r="F3107" t="s">
        <v>933</v>
      </c>
      <c r="G3107" t="s">
        <v>933</v>
      </c>
      <c r="H3107" t="s">
        <v>54</v>
      </c>
      <c r="I3107">
        <v>1</v>
      </c>
      <c r="J3107">
        <v>0</v>
      </c>
      <c r="K3107">
        <v>1</v>
      </c>
      <c r="L3107" t="s">
        <v>25</v>
      </c>
      <c r="M3107" t="s">
        <v>1404</v>
      </c>
      <c r="N3107">
        <v>1050000</v>
      </c>
      <c r="O3107">
        <v>0</v>
      </c>
      <c r="P3107" t="str">
        <f>IF(T[[#This Row],[qty_ordered]]&lt;&gt;T[[#This Row],[qty_received]],IF(T[[#This Row],[qty_received]]&gt;0,"Partial Received","Not Receviced"),"FullyReceived")</f>
        <v>Not Receviced</v>
      </c>
      <c r="Q3107" t="str">
        <f>IF(T[[#This Row],[qty_received]]&lt;&gt;T[[#This Row],[qty_invoiced]],IF(T[[#This Row],[qty_invoiced]]&gt;0,"Partial Invoiced","Not Invoiced"),"Fully Invoiced")</f>
        <v>Partial Invoiced</v>
      </c>
      <c r="R3107" t="str">
        <f>IFERROR(VLOOKUP(T[[#This Row],[warehouse]],Table2[],2,FALSE),"--")</f>
        <v>--</v>
      </c>
    </row>
    <row r="3108" spans="1:18" x14ac:dyDescent="0.25">
      <c r="A3108" t="s">
        <v>228</v>
      </c>
      <c r="B3108" s="1">
        <v>44341</v>
      </c>
      <c r="C3108" t="s">
        <v>1428</v>
      </c>
      <c r="D3108" t="s">
        <v>88</v>
      </c>
      <c r="E3108" t="s">
        <v>621</v>
      </c>
      <c r="F3108" t="s">
        <v>196</v>
      </c>
      <c r="G3108" t="s">
        <v>197</v>
      </c>
      <c r="H3108" t="s">
        <v>24</v>
      </c>
      <c r="I3108">
        <v>1118</v>
      </c>
      <c r="J3108">
        <v>0</v>
      </c>
      <c r="K3108">
        <v>0</v>
      </c>
      <c r="L3108" t="s">
        <v>25</v>
      </c>
      <c r="M3108" t="s">
        <v>132</v>
      </c>
      <c r="N3108">
        <v>98389.982111000005</v>
      </c>
      <c r="O3108">
        <v>0</v>
      </c>
      <c r="P3108" t="str">
        <f>IF(T[[#This Row],[qty_ordered]]&lt;&gt;T[[#This Row],[qty_received]],IF(T[[#This Row],[qty_received]]&gt;0,"Partial Received","Not Receviced"),"FullyReceived")</f>
        <v>Not Receviced</v>
      </c>
      <c r="Q3108" t="str">
        <f>IF(T[[#This Row],[qty_received]]&lt;&gt;T[[#This Row],[qty_invoiced]],IF(T[[#This Row],[qty_invoiced]]&gt;0,"Partial Invoiced","Not Invoiced"),"Fully Invoiced")</f>
        <v>Fully Invoiced</v>
      </c>
      <c r="R3108" t="str">
        <f>IFERROR(VLOOKUP(T[[#This Row],[warehouse]],Table2[],2,FALSE),"--")</f>
        <v>SIFTER CONCRETE SILO</v>
      </c>
    </row>
    <row r="3109" spans="1:18" x14ac:dyDescent="0.25">
      <c r="A3109" t="s">
        <v>804</v>
      </c>
      <c r="B3109" s="1">
        <v>44423</v>
      </c>
      <c r="C3109" t="s">
        <v>1940</v>
      </c>
      <c r="D3109" t="s">
        <v>20</v>
      </c>
      <c r="E3109" t="s">
        <v>51</v>
      </c>
      <c r="F3109" t="s">
        <v>806</v>
      </c>
      <c r="G3109" t="s">
        <v>806</v>
      </c>
      <c r="H3109" t="s">
        <v>54</v>
      </c>
      <c r="I3109">
        <v>12</v>
      </c>
      <c r="J3109">
        <v>0</v>
      </c>
      <c r="K3109">
        <v>1</v>
      </c>
      <c r="L3109" t="s">
        <v>693</v>
      </c>
      <c r="M3109" t="s">
        <v>132</v>
      </c>
      <c r="N3109">
        <v>4500000</v>
      </c>
      <c r="O3109">
        <v>0</v>
      </c>
      <c r="P3109" t="str">
        <f>IF(T[[#This Row],[qty_ordered]]&lt;&gt;T[[#This Row],[qty_received]],IF(T[[#This Row],[qty_received]]&gt;0,"Partial Received","Not Receviced"),"FullyReceived")</f>
        <v>Not Receviced</v>
      </c>
      <c r="Q3109" t="str">
        <f>IF(T[[#This Row],[qty_received]]&lt;&gt;T[[#This Row],[qty_invoiced]],IF(T[[#This Row],[qty_invoiced]]&gt;0,"Partial Invoiced","Not Invoiced"),"Fully Invoiced")</f>
        <v>Partial Invoiced</v>
      </c>
      <c r="R3109" t="str">
        <f>IFERROR(VLOOKUP(T[[#This Row],[warehouse]],Table2[],2,FALSE),"--")</f>
        <v>--</v>
      </c>
    </row>
    <row r="3110" spans="1:18" x14ac:dyDescent="0.25">
      <c r="A3110" t="s">
        <v>1025</v>
      </c>
      <c r="B3110" s="1">
        <v>44258</v>
      </c>
      <c r="C3110" t="s">
        <v>1731</v>
      </c>
      <c r="D3110" t="s">
        <v>71</v>
      </c>
      <c r="E3110" t="s">
        <v>146</v>
      </c>
      <c r="F3110" t="s">
        <v>415</v>
      </c>
      <c r="G3110" t="s">
        <v>416</v>
      </c>
      <c r="H3110" t="s">
        <v>417</v>
      </c>
      <c r="I3110">
        <v>14</v>
      </c>
      <c r="J3110">
        <v>14</v>
      </c>
      <c r="K3110">
        <v>14</v>
      </c>
      <c r="L3110" t="s">
        <v>25</v>
      </c>
      <c r="M3110" t="s">
        <v>418</v>
      </c>
      <c r="N3110">
        <v>4150</v>
      </c>
      <c r="O3110">
        <v>58100</v>
      </c>
      <c r="P3110" t="str">
        <f>IF(T[[#This Row],[qty_ordered]]&lt;&gt;T[[#This Row],[qty_received]],IF(T[[#This Row],[qty_received]]&gt;0,"Partial Received","Not Receviced"),"FullyReceived")</f>
        <v>FullyReceived</v>
      </c>
      <c r="Q3110" t="str">
        <f>IF(T[[#This Row],[qty_received]]&lt;&gt;T[[#This Row],[qty_invoiced]],IF(T[[#This Row],[qty_invoiced]]&gt;0,"Partial Invoiced","Not Invoiced"),"Fully Invoiced")</f>
        <v>Fully Invoiced</v>
      </c>
      <c r="R3110" t="str">
        <f>IFERROR(VLOOKUP(T[[#This Row],[warehouse]],Table2[],2,FALSE),"--")</f>
        <v>Khtoum Main Warehouse</v>
      </c>
    </row>
    <row r="3111" spans="1:18" x14ac:dyDescent="0.25">
      <c r="A3111" t="s">
        <v>2999</v>
      </c>
      <c r="B3111" s="1">
        <v>44992</v>
      </c>
      <c r="C3111" t="s">
        <v>3084</v>
      </c>
      <c r="D3111" t="s">
        <v>20</v>
      </c>
      <c r="E3111" t="s">
        <v>51</v>
      </c>
      <c r="F3111" t="s">
        <v>52</v>
      </c>
      <c r="G3111" t="s">
        <v>53</v>
      </c>
      <c r="H3111" t="s">
        <v>54</v>
      </c>
      <c r="I3111">
        <v>1</v>
      </c>
      <c r="J3111">
        <v>0</v>
      </c>
      <c r="K3111">
        <v>0</v>
      </c>
      <c r="L3111" t="s">
        <v>51</v>
      </c>
      <c r="M3111" t="s">
        <v>51</v>
      </c>
      <c r="N3111">
        <v>3456000</v>
      </c>
      <c r="O3111">
        <v>0</v>
      </c>
      <c r="P3111" t="str">
        <f>IF(T[[#This Row],[qty_ordered]]&lt;&gt;T[[#This Row],[qty_received]],IF(T[[#This Row],[qty_received]]&gt;0,"Partial Received","Not Receviced"),"FullyReceived")</f>
        <v>Not Receviced</v>
      </c>
      <c r="Q3111" t="str">
        <f>IF(T[[#This Row],[qty_received]]&lt;&gt;T[[#This Row],[qty_invoiced]],IF(T[[#This Row],[qty_invoiced]]&gt;0,"Partial Invoiced","Not Invoiced"),"Fully Invoiced")</f>
        <v>Fully Invoiced</v>
      </c>
      <c r="R3111" t="str">
        <f>IFERROR(VLOOKUP(T[[#This Row],[warehouse]],Table2[],2,FALSE),"--")</f>
        <v>--</v>
      </c>
    </row>
    <row r="3112" spans="1:18" x14ac:dyDescent="0.25">
      <c r="A3112" t="s">
        <v>235</v>
      </c>
      <c r="B3112" s="1">
        <v>44950</v>
      </c>
      <c r="C3112" t="s">
        <v>3074</v>
      </c>
      <c r="D3112" t="s">
        <v>76</v>
      </c>
      <c r="E3112" t="s">
        <v>51</v>
      </c>
      <c r="F3112" t="s">
        <v>546</v>
      </c>
      <c r="G3112" t="s">
        <v>1993</v>
      </c>
      <c r="H3112" t="s">
        <v>54</v>
      </c>
      <c r="I3112">
        <v>20000</v>
      </c>
      <c r="J3112">
        <v>0</v>
      </c>
      <c r="K3112">
        <v>1</v>
      </c>
      <c r="L3112" t="s">
        <v>693</v>
      </c>
      <c r="M3112" t="s">
        <v>2836</v>
      </c>
      <c r="N3112">
        <v>17</v>
      </c>
      <c r="O3112">
        <v>0</v>
      </c>
      <c r="P3112" t="str">
        <f>IF(T[[#This Row],[qty_ordered]]&lt;&gt;T[[#This Row],[qty_received]],IF(T[[#This Row],[qty_received]]&gt;0,"Partial Received","Not Receviced"),"FullyReceived")</f>
        <v>Not Receviced</v>
      </c>
      <c r="Q3112" t="str">
        <f>IF(T[[#This Row],[qty_received]]&lt;&gt;T[[#This Row],[qty_invoiced]],IF(T[[#This Row],[qty_invoiced]]&gt;0,"Partial Invoiced","Not Invoiced"),"Fully Invoiced")</f>
        <v>Partial Invoiced</v>
      </c>
      <c r="R3112" t="str">
        <f>IFERROR(VLOOKUP(T[[#This Row],[warehouse]],Table2[],2,FALSE),"--")</f>
        <v>--</v>
      </c>
    </row>
    <row r="3113" spans="1:18" x14ac:dyDescent="0.25">
      <c r="A3113" t="s">
        <v>235</v>
      </c>
      <c r="B3113" s="1">
        <v>44950</v>
      </c>
      <c r="C3113" t="s">
        <v>3074</v>
      </c>
      <c r="D3113" t="s">
        <v>212</v>
      </c>
      <c r="E3113" t="s">
        <v>51</v>
      </c>
      <c r="F3113" t="s">
        <v>546</v>
      </c>
      <c r="G3113" t="s">
        <v>2334</v>
      </c>
      <c r="H3113" t="s">
        <v>54</v>
      </c>
      <c r="I3113">
        <v>10000</v>
      </c>
      <c r="J3113">
        <v>0</v>
      </c>
      <c r="K3113">
        <v>1</v>
      </c>
      <c r="L3113" t="s">
        <v>693</v>
      </c>
      <c r="M3113" t="s">
        <v>2836</v>
      </c>
      <c r="N3113">
        <v>17</v>
      </c>
      <c r="O3113">
        <v>0</v>
      </c>
      <c r="P3113" t="str">
        <f>IF(T[[#This Row],[qty_ordered]]&lt;&gt;T[[#This Row],[qty_received]],IF(T[[#This Row],[qty_received]]&gt;0,"Partial Received","Not Receviced"),"FullyReceived")</f>
        <v>Not Receviced</v>
      </c>
      <c r="Q3113" t="str">
        <f>IF(T[[#This Row],[qty_received]]&lt;&gt;T[[#This Row],[qty_invoiced]],IF(T[[#This Row],[qty_invoiced]]&gt;0,"Partial Invoiced","Not Invoiced"),"Fully Invoiced")</f>
        <v>Partial Invoiced</v>
      </c>
      <c r="R3113" t="str">
        <f>IFERROR(VLOOKUP(T[[#This Row],[warehouse]],Table2[],2,FALSE),"--")</f>
        <v>--</v>
      </c>
    </row>
    <row r="3114" spans="1:18" x14ac:dyDescent="0.25">
      <c r="A3114" t="s">
        <v>235</v>
      </c>
      <c r="B3114" s="1">
        <v>44950</v>
      </c>
      <c r="C3114" t="s">
        <v>3074</v>
      </c>
      <c r="D3114" t="s">
        <v>322</v>
      </c>
      <c r="E3114" t="s">
        <v>51</v>
      </c>
      <c r="F3114" t="s">
        <v>546</v>
      </c>
      <c r="G3114" t="s">
        <v>2335</v>
      </c>
      <c r="H3114" t="s">
        <v>54</v>
      </c>
      <c r="I3114">
        <v>10000</v>
      </c>
      <c r="J3114">
        <v>0</v>
      </c>
      <c r="K3114">
        <v>1</v>
      </c>
      <c r="L3114" t="s">
        <v>693</v>
      </c>
      <c r="M3114" t="s">
        <v>2836</v>
      </c>
      <c r="N3114">
        <v>17</v>
      </c>
      <c r="O3114">
        <v>0</v>
      </c>
      <c r="P3114" t="str">
        <f>IF(T[[#This Row],[qty_ordered]]&lt;&gt;T[[#This Row],[qty_received]],IF(T[[#This Row],[qty_received]]&gt;0,"Partial Received","Not Receviced"),"FullyReceived")</f>
        <v>Not Receviced</v>
      </c>
      <c r="Q3114" t="str">
        <f>IF(T[[#This Row],[qty_received]]&lt;&gt;T[[#This Row],[qty_invoiced]],IF(T[[#This Row],[qty_invoiced]]&gt;0,"Partial Invoiced","Not Invoiced"),"Fully Invoiced")</f>
        <v>Partial Invoiced</v>
      </c>
      <c r="R3114" t="str">
        <f>IFERROR(VLOOKUP(T[[#This Row],[warehouse]],Table2[],2,FALSE),"--")</f>
        <v>--</v>
      </c>
    </row>
    <row r="3115" spans="1:18" x14ac:dyDescent="0.25">
      <c r="A3115" t="s">
        <v>235</v>
      </c>
      <c r="B3115" s="1">
        <v>44899</v>
      </c>
      <c r="C3115" t="s">
        <v>2912</v>
      </c>
      <c r="D3115" t="s">
        <v>100</v>
      </c>
      <c r="E3115" t="s">
        <v>51</v>
      </c>
      <c r="F3115" t="s">
        <v>546</v>
      </c>
      <c r="G3115" t="s">
        <v>1504</v>
      </c>
      <c r="H3115" t="s">
        <v>54</v>
      </c>
      <c r="I3115">
        <v>5000</v>
      </c>
      <c r="J3115">
        <v>0</v>
      </c>
      <c r="K3115">
        <v>1</v>
      </c>
      <c r="L3115" t="s">
        <v>693</v>
      </c>
      <c r="M3115" t="s">
        <v>2836</v>
      </c>
      <c r="N3115">
        <v>17.5</v>
      </c>
      <c r="O3115">
        <v>0</v>
      </c>
      <c r="P3115" t="str">
        <f>IF(T[[#This Row],[qty_ordered]]&lt;&gt;T[[#This Row],[qty_received]],IF(T[[#This Row],[qty_received]]&gt;0,"Partial Received","Not Receviced"),"FullyReceived")</f>
        <v>Not Receviced</v>
      </c>
      <c r="Q3115" t="str">
        <f>IF(T[[#This Row],[qty_received]]&lt;&gt;T[[#This Row],[qty_invoiced]],IF(T[[#This Row],[qty_invoiced]]&gt;0,"Partial Invoiced","Not Invoiced"),"Fully Invoiced")</f>
        <v>Partial Invoiced</v>
      </c>
      <c r="R3115" t="str">
        <f>IFERROR(VLOOKUP(T[[#This Row],[warehouse]],Table2[],2,FALSE),"--")</f>
        <v>--</v>
      </c>
    </row>
    <row r="3116" spans="1:18" x14ac:dyDescent="0.25">
      <c r="A3116" t="s">
        <v>235</v>
      </c>
      <c r="B3116" s="1">
        <v>44924</v>
      </c>
      <c r="C3116" t="s">
        <v>2994</v>
      </c>
      <c r="D3116" t="s">
        <v>76</v>
      </c>
      <c r="E3116" t="s">
        <v>51</v>
      </c>
      <c r="F3116" t="s">
        <v>546</v>
      </c>
      <c r="G3116" t="s">
        <v>1957</v>
      </c>
      <c r="H3116" t="s">
        <v>54</v>
      </c>
      <c r="I3116">
        <v>20000</v>
      </c>
      <c r="J3116">
        <v>0</v>
      </c>
      <c r="K3116">
        <v>1</v>
      </c>
      <c r="L3116" t="s">
        <v>693</v>
      </c>
      <c r="M3116" t="s">
        <v>2836</v>
      </c>
      <c r="N3116">
        <v>17.25</v>
      </c>
      <c r="O3116">
        <v>0</v>
      </c>
      <c r="P3116" t="str">
        <f>IF(T[[#This Row],[qty_ordered]]&lt;&gt;T[[#This Row],[qty_received]],IF(T[[#This Row],[qty_received]]&gt;0,"Partial Received","Not Receviced"),"FullyReceived")</f>
        <v>Not Receviced</v>
      </c>
      <c r="Q3116" t="str">
        <f>IF(T[[#This Row],[qty_received]]&lt;&gt;T[[#This Row],[qty_invoiced]],IF(T[[#This Row],[qty_invoiced]]&gt;0,"Partial Invoiced","Not Invoiced"),"Fully Invoiced")</f>
        <v>Partial Invoiced</v>
      </c>
      <c r="R3116" t="str">
        <f>IFERROR(VLOOKUP(T[[#This Row],[warehouse]],Table2[],2,FALSE),"--")</f>
        <v>--</v>
      </c>
    </row>
    <row r="3117" spans="1:18" x14ac:dyDescent="0.25">
      <c r="A3117" t="s">
        <v>560</v>
      </c>
      <c r="B3117" s="1">
        <v>44746</v>
      </c>
      <c r="C3117" t="s">
        <v>1771</v>
      </c>
      <c r="D3117" t="s">
        <v>614</v>
      </c>
      <c r="E3117" t="s">
        <v>51</v>
      </c>
      <c r="F3117" t="s">
        <v>164</v>
      </c>
      <c r="G3117" t="s">
        <v>3085</v>
      </c>
      <c r="H3117" t="s">
        <v>54</v>
      </c>
      <c r="I3117">
        <v>23.25</v>
      </c>
      <c r="J3117">
        <v>0</v>
      </c>
      <c r="K3117">
        <v>1</v>
      </c>
      <c r="L3117" t="s">
        <v>693</v>
      </c>
      <c r="M3117" t="s">
        <v>2836</v>
      </c>
      <c r="N3117">
        <v>12285</v>
      </c>
      <c r="O3117">
        <v>0</v>
      </c>
      <c r="P3117" t="str">
        <f>IF(T[[#This Row],[qty_ordered]]&lt;&gt;T[[#This Row],[qty_received]],IF(T[[#This Row],[qty_received]]&gt;0,"Partial Received","Not Receviced"),"FullyReceived")</f>
        <v>Not Receviced</v>
      </c>
      <c r="Q3117" t="str">
        <f>IF(T[[#This Row],[qty_received]]&lt;&gt;T[[#This Row],[qty_invoiced]],IF(T[[#This Row],[qty_invoiced]]&gt;0,"Partial Invoiced","Not Invoiced"),"Fully Invoiced")</f>
        <v>Partial Invoiced</v>
      </c>
      <c r="R3117" t="str">
        <f>IFERROR(VLOOKUP(T[[#This Row],[warehouse]],Table2[],2,FALSE),"--")</f>
        <v>--</v>
      </c>
    </row>
    <row r="3118" spans="1:18" x14ac:dyDescent="0.25">
      <c r="A3118" t="s">
        <v>560</v>
      </c>
      <c r="B3118" s="1">
        <v>44973</v>
      </c>
      <c r="C3118" t="s">
        <v>3086</v>
      </c>
      <c r="D3118" t="s">
        <v>71</v>
      </c>
      <c r="E3118" t="s">
        <v>51</v>
      </c>
      <c r="F3118" t="s">
        <v>2842</v>
      </c>
      <c r="G3118" t="s">
        <v>3087</v>
      </c>
      <c r="H3118" t="s">
        <v>54</v>
      </c>
      <c r="I3118">
        <v>25.88</v>
      </c>
      <c r="J3118">
        <v>0</v>
      </c>
      <c r="K3118">
        <v>1</v>
      </c>
      <c r="L3118" t="s">
        <v>693</v>
      </c>
      <c r="M3118" t="s">
        <v>2836</v>
      </c>
      <c r="N3118">
        <v>12285</v>
      </c>
      <c r="O3118">
        <v>0</v>
      </c>
      <c r="P3118" t="str">
        <f>IF(T[[#This Row],[qty_ordered]]&lt;&gt;T[[#This Row],[qty_received]],IF(T[[#This Row],[qty_received]]&gt;0,"Partial Received","Not Receviced"),"FullyReceived")</f>
        <v>Not Receviced</v>
      </c>
      <c r="Q3118" t="str">
        <f>IF(T[[#This Row],[qty_received]]&lt;&gt;T[[#This Row],[qty_invoiced]],IF(T[[#This Row],[qty_invoiced]]&gt;0,"Partial Invoiced","Not Invoiced"),"Fully Invoiced")</f>
        <v>Partial Invoiced</v>
      </c>
      <c r="R3118" t="str">
        <f>IFERROR(VLOOKUP(T[[#This Row],[warehouse]],Table2[],2,FALSE),"--")</f>
        <v>--</v>
      </c>
    </row>
    <row r="3119" spans="1:18" x14ac:dyDescent="0.25">
      <c r="A3119" t="s">
        <v>560</v>
      </c>
      <c r="B3119" s="1">
        <v>44885</v>
      </c>
      <c r="C3119" t="s">
        <v>2841</v>
      </c>
      <c r="D3119" t="s">
        <v>324</v>
      </c>
      <c r="E3119" t="s">
        <v>51</v>
      </c>
      <c r="F3119" t="s">
        <v>2842</v>
      </c>
      <c r="G3119" t="s">
        <v>3088</v>
      </c>
      <c r="H3119" t="s">
        <v>54</v>
      </c>
      <c r="I3119">
        <v>14.88</v>
      </c>
      <c r="J3119">
        <v>0</v>
      </c>
      <c r="K3119">
        <v>0</v>
      </c>
      <c r="L3119" t="s">
        <v>693</v>
      </c>
      <c r="M3119" t="s">
        <v>2836</v>
      </c>
      <c r="N3119">
        <v>12285</v>
      </c>
      <c r="O3119">
        <v>0</v>
      </c>
      <c r="P3119" t="str">
        <f>IF(T[[#This Row],[qty_ordered]]&lt;&gt;T[[#This Row],[qty_received]],IF(T[[#This Row],[qty_received]]&gt;0,"Partial Received","Not Receviced"),"FullyReceived")</f>
        <v>Not Receviced</v>
      </c>
      <c r="Q3119" t="str">
        <f>IF(T[[#This Row],[qty_received]]&lt;&gt;T[[#This Row],[qty_invoiced]],IF(T[[#This Row],[qty_invoiced]]&gt;0,"Partial Invoiced","Not Invoiced"),"Fully Invoiced")</f>
        <v>Fully Invoiced</v>
      </c>
      <c r="R3119" t="str">
        <f>IFERROR(VLOOKUP(T[[#This Row],[warehouse]],Table2[],2,FALSE),"--")</f>
        <v>--</v>
      </c>
    </row>
    <row r="3120" spans="1:18" x14ac:dyDescent="0.25">
      <c r="A3120" t="s">
        <v>560</v>
      </c>
      <c r="B3120" s="1">
        <v>44885</v>
      </c>
      <c r="C3120" t="s">
        <v>2841</v>
      </c>
      <c r="D3120" t="s">
        <v>325</v>
      </c>
      <c r="E3120" t="s">
        <v>51</v>
      </c>
      <c r="F3120" t="s">
        <v>2842</v>
      </c>
      <c r="G3120" t="s">
        <v>3088</v>
      </c>
      <c r="H3120" t="s">
        <v>54</v>
      </c>
      <c r="I3120">
        <v>31.63</v>
      </c>
      <c r="J3120">
        <v>0</v>
      </c>
      <c r="K3120">
        <v>0</v>
      </c>
      <c r="L3120" t="s">
        <v>693</v>
      </c>
      <c r="M3120" t="s">
        <v>2836</v>
      </c>
      <c r="N3120">
        <v>12285</v>
      </c>
      <c r="O3120">
        <v>0</v>
      </c>
      <c r="P3120" t="str">
        <f>IF(T[[#This Row],[qty_ordered]]&lt;&gt;T[[#This Row],[qty_received]],IF(T[[#This Row],[qty_received]]&gt;0,"Partial Received","Not Receviced"),"FullyReceived")</f>
        <v>Not Receviced</v>
      </c>
      <c r="Q3120" t="str">
        <f>IF(T[[#This Row],[qty_received]]&lt;&gt;T[[#This Row],[qty_invoiced]],IF(T[[#This Row],[qty_invoiced]]&gt;0,"Partial Invoiced","Not Invoiced"),"Fully Invoiced")</f>
        <v>Fully Invoiced</v>
      </c>
      <c r="R3120" t="str">
        <f>IFERROR(VLOOKUP(T[[#This Row],[warehouse]],Table2[],2,FALSE),"--")</f>
        <v>--</v>
      </c>
    </row>
    <row r="3121" spans="1:18" x14ac:dyDescent="0.25">
      <c r="A3121" t="s">
        <v>560</v>
      </c>
      <c r="B3121" s="1">
        <v>44935</v>
      </c>
      <c r="C3121" t="s">
        <v>3089</v>
      </c>
      <c r="D3121" t="s">
        <v>76</v>
      </c>
      <c r="E3121" t="s">
        <v>51</v>
      </c>
      <c r="F3121" t="s">
        <v>2842</v>
      </c>
      <c r="G3121" t="s">
        <v>3090</v>
      </c>
      <c r="H3121" t="s">
        <v>54</v>
      </c>
      <c r="I3121">
        <v>27</v>
      </c>
      <c r="J3121">
        <v>0</v>
      </c>
      <c r="K3121">
        <v>0</v>
      </c>
      <c r="L3121" t="s">
        <v>693</v>
      </c>
      <c r="M3121" t="s">
        <v>2836</v>
      </c>
      <c r="N3121">
        <v>12285</v>
      </c>
      <c r="O3121">
        <v>0</v>
      </c>
      <c r="P3121" t="str">
        <f>IF(T[[#This Row],[qty_ordered]]&lt;&gt;T[[#This Row],[qty_received]],IF(T[[#This Row],[qty_received]]&gt;0,"Partial Received","Not Receviced"),"FullyReceived")</f>
        <v>Not Receviced</v>
      </c>
      <c r="Q3121" t="str">
        <f>IF(T[[#This Row],[qty_received]]&lt;&gt;T[[#This Row],[qty_invoiced]],IF(T[[#This Row],[qty_invoiced]]&gt;0,"Partial Invoiced","Not Invoiced"),"Fully Invoiced")</f>
        <v>Fully Invoiced</v>
      </c>
      <c r="R3121" t="str">
        <f>IFERROR(VLOOKUP(T[[#This Row],[warehouse]],Table2[],2,FALSE),"--")</f>
        <v>--</v>
      </c>
    </row>
    <row r="3122" spans="1:18" x14ac:dyDescent="0.25">
      <c r="A3122" t="s">
        <v>560</v>
      </c>
      <c r="B3122" s="1">
        <v>44935</v>
      </c>
      <c r="C3122" t="s">
        <v>3089</v>
      </c>
      <c r="D3122" t="s">
        <v>212</v>
      </c>
      <c r="E3122" t="s">
        <v>51</v>
      </c>
      <c r="F3122" t="s">
        <v>2842</v>
      </c>
      <c r="G3122" t="s">
        <v>3090</v>
      </c>
      <c r="H3122" t="s">
        <v>54</v>
      </c>
      <c r="I3122">
        <v>33.25</v>
      </c>
      <c r="J3122">
        <v>0</v>
      </c>
      <c r="K3122">
        <v>0</v>
      </c>
      <c r="L3122" t="s">
        <v>693</v>
      </c>
      <c r="M3122" t="s">
        <v>2836</v>
      </c>
      <c r="N3122">
        <v>12285</v>
      </c>
      <c r="O3122">
        <v>0</v>
      </c>
      <c r="P3122" t="str">
        <f>IF(T[[#This Row],[qty_ordered]]&lt;&gt;T[[#This Row],[qty_received]],IF(T[[#This Row],[qty_received]]&gt;0,"Partial Received","Not Receviced"),"FullyReceived")</f>
        <v>Not Receviced</v>
      </c>
      <c r="Q3122" t="str">
        <f>IF(T[[#This Row],[qty_received]]&lt;&gt;T[[#This Row],[qty_invoiced]],IF(T[[#This Row],[qty_invoiced]]&gt;0,"Partial Invoiced","Not Invoiced"),"Fully Invoiced")</f>
        <v>Fully Invoiced</v>
      </c>
      <c r="R3122" t="str">
        <f>IFERROR(VLOOKUP(T[[#This Row],[warehouse]],Table2[],2,FALSE),"--")</f>
        <v>--</v>
      </c>
    </row>
    <row r="3123" spans="1:18" x14ac:dyDescent="0.25">
      <c r="A3123" t="s">
        <v>303</v>
      </c>
      <c r="B3123" s="1">
        <v>44998</v>
      </c>
      <c r="C3123" t="s">
        <v>3091</v>
      </c>
      <c r="D3123" t="s">
        <v>20</v>
      </c>
      <c r="E3123" t="s">
        <v>66</v>
      </c>
      <c r="F3123" t="s">
        <v>1860</v>
      </c>
      <c r="G3123" t="s">
        <v>1861</v>
      </c>
      <c r="H3123" t="s">
        <v>531</v>
      </c>
      <c r="I3123">
        <v>600</v>
      </c>
      <c r="J3123">
        <v>108</v>
      </c>
      <c r="K3123">
        <v>108</v>
      </c>
      <c r="L3123" t="s">
        <v>693</v>
      </c>
      <c r="M3123" t="s">
        <v>51</v>
      </c>
      <c r="N3123">
        <v>94500</v>
      </c>
      <c r="O3123">
        <v>10206000</v>
      </c>
      <c r="P3123" t="str">
        <f>IF(T[[#This Row],[qty_ordered]]&lt;&gt;T[[#This Row],[qty_received]],IF(T[[#This Row],[qty_received]]&gt;0,"Partial Received","Not Receviced"),"FullyReceived")</f>
        <v>Partial Received</v>
      </c>
      <c r="Q3123" t="str">
        <f>IF(T[[#This Row],[qty_received]]&lt;&gt;T[[#This Row],[qty_invoiced]],IF(T[[#This Row],[qty_invoiced]]&gt;0,"Partial Invoiced","Not Invoiced"),"Fully Invoiced")</f>
        <v>Fully Invoiced</v>
      </c>
      <c r="R3123" t="str">
        <f>IFERROR(VLOOKUP(T[[#This Row],[warehouse]],Table2[],2,FALSE),"--")</f>
        <v>PZU Main Warehouse</v>
      </c>
    </row>
    <row r="3124" spans="1:18" x14ac:dyDescent="0.25">
      <c r="A3124" t="s">
        <v>989</v>
      </c>
      <c r="B3124" s="1">
        <v>44924</v>
      </c>
      <c r="C3124" t="s">
        <v>2992</v>
      </c>
      <c r="D3124" t="s">
        <v>212</v>
      </c>
      <c r="E3124" t="s">
        <v>51</v>
      </c>
      <c r="F3124" t="s">
        <v>183</v>
      </c>
      <c r="G3124" t="s">
        <v>1828</v>
      </c>
      <c r="H3124" t="s">
        <v>54</v>
      </c>
      <c r="I3124">
        <v>300</v>
      </c>
      <c r="J3124">
        <v>0</v>
      </c>
      <c r="K3124">
        <v>1</v>
      </c>
      <c r="L3124" t="s">
        <v>693</v>
      </c>
      <c r="M3124" t="s">
        <v>51</v>
      </c>
      <c r="N3124">
        <v>13000</v>
      </c>
      <c r="O3124">
        <v>0</v>
      </c>
      <c r="P3124" t="str">
        <f>IF(T[[#This Row],[qty_ordered]]&lt;&gt;T[[#This Row],[qty_received]],IF(T[[#This Row],[qty_received]]&gt;0,"Partial Received","Not Receviced"),"FullyReceived")</f>
        <v>Not Receviced</v>
      </c>
      <c r="Q3124" t="str">
        <f>IF(T[[#This Row],[qty_received]]&lt;&gt;T[[#This Row],[qty_invoiced]],IF(T[[#This Row],[qty_invoiced]]&gt;0,"Partial Invoiced","Not Invoiced"),"Fully Invoiced")</f>
        <v>Partial Invoiced</v>
      </c>
      <c r="R3124" t="str">
        <f>IFERROR(VLOOKUP(T[[#This Row],[warehouse]],Table2[],2,FALSE),"--")</f>
        <v>--</v>
      </c>
    </row>
    <row r="3125" spans="1:18" x14ac:dyDescent="0.25">
      <c r="A3125" t="s">
        <v>1433</v>
      </c>
      <c r="B3125" s="1">
        <v>44999</v>
      </c>
      <c r="C3125" t="s">
        <v>3092</v>
      </c>
      <c r="D3125" t="s">
        <v>20</v>
      </c>
      <c r="E3125" t="s">
        <v>2814</v>
      </c>
      <c r="F3125" t="s">
        <v>1988</v>
      </c>
      <c r="G3125" t="s">
        <v>1989</v>
      </c>
      <c r="H3125" t="s">
        <v>123</v>
      </c>
      <c r="I3125">
        <v>4000</v>
      </c>
      <c r="J3125">
        <v>4000</v>
      </c>
      <c r="K3125">
        <v>0</v>
      </c>
      <c r="L3125" t="s">
        <v>693</v>
      </c>
      <c r="M3125" t="s">
        <v>1485</v>
      </c>
      <c r="N3125">
        <v>17700</v>
      </c>
      <c r="O3125">
        <v>70800000</v>
      </c>
      <c r="P3125" t="str">
        <f>IF(T[[#This Row],[qty_ordered]]&lt;&gt;T[[#This Row],[qty_received]],IF(T[[#This Row],[qty_received]]&gt;0,"Partial Received","Not Receviced"),"FullyReceived")</f>
        <v>FullyReceived</v>
      </c>
      <c r="Q3125" t="str">
        <f>IF(T[[#This Row],[qty_received]]&lt;&gt;T[[#This Row],[qty_invoiced]],IF(T[[#This Row],[qty_invoiced]]&gt;0,"Partial Invoiced","Not Invoiced"),"Fully Invoiced")</f>
        <v>Not Invoiced</v>
      </c>
      <c r="R3125" t="str">
        <f>IFERROR(VLOOKUP(T[[#This Row],[warehouse]],Table2[],2,FALSE),"--")</f>
        <v>Safola  Import Warehouse - KHT</v>
      </c>
    </row>
    <row r="3126" spans="1:18" x14ac:dyDescent="0.25">
      <c r="A3126" t="s">
        <v>3040</v>
      </c>
      <c r="B3126" s="1">
        <v>44999</v>
      </c>
      <c r="C3126" t="s">
        <v>3093</v>
      </c>
      <c r="D3126" t="s">
        <v>20</v>
      </c>
      <c r="E3126" t="s">
        <v>621</v>
      </c>
      <c r="F3126" t="s">
        <v>3094</v>
      </c>
      <c r="G3126" t="s">
        <v>3095</v>
      </c>
      <c r="H3126" t="s">
        <v>24</v>
      </c>
      <c r="I3126">
        <v>2000</v>
      </c>
      <c r="J3126">
        <v>2000</v>
      </c>
      <c r="K3126">
        <v>2000</v>
      </c>
      <c r="L3126" t="s">
        <v>693</v>
      </c>
      <c r="M3126" t="s">
        <v>1485</v>
      </c>
      <c r="N3126">
        <v>233333.34</v>
      </c>
      <c r="O3126">
        <v>466666680</v>
      </c>
      <c r="P3126" t="str">
        <f>IF(T[[#This Row],[qty_ordered]]&lt;&gt;T[[#This Row],[qty_received]],IF(T[[#This Row],[qty_received]]&gt;0,"Partial Received","Not Receviced"),"FullyReceived")</f>
        <v>FullyReceived</v>
      </c>
      <c r="Q3126" t="str">
        <f>IF(T[[#This Row],[qty_received]]&lt;&gt;T[[#This Row],[qty_invoiced]],IF(T[[#This Row],[qty_invoiced]]&gt;0,"Partial Invoiced","Not Invoiced"),"Fully Invoiced")</f>
        <v>Fully Invoiced</v>
      </c>
      <c r="R3126" t="str">
        <f>IFERROR(VLOOKUP(T[[#This Row],[warehouse]],Table2[],2,FALSE),"--")</f>
        <v>SIFTER CONCRETE SILO</v>
      </c>
    </row>
    <row r="3127" spans="1:18" x14ac:dyDescent="0.25">
      <c r="A3127" t="s">
        <v>303</v>
      </c>
      <c r="B3127" s="1">
        <v>44999</v>
      </c>
      <c r="C3127" t="s">
        <v>3096</v>
      </c>
      <c r="D3127" t="s">
        <v>20</v>
      </c>
      <c r="E3127" t="s">
        <v>66</v>
      </c>
      <c r="F3127" t="s">
        <v>3097</v>
      </c>
      <c r="G3127" t="s">
        <v>3098</v>
      </c>
      <c r="H3127" t="s">
        <v>531</v>
      </c>
      <c r="I3127">
        <v>1017</v>
      </c>
      <c r="J3127">
        <v>971</v>
      </c>
      <c r="K3127">
        <v>0</v>
      </c>
      <c r="L3127" t="s">
        <v>693</v>
      </c>
      <c r="M3127" t="s">
        <v>51</v>
      </c>
      <c r="N3127">
        <v>83020</v>
      </c>
      <c r="O3127">
        <v>80612420</v>
      </c>
      <c r="P3127" t="str">
        <f>IF(T[[#This Row],[qty_ordered]]&lt;&gt;T[[#This Row],[qty_received]],IF(T[[#This Row],[qty_received]]&gt;0,"Partial Received","Not Receviced"),"FullyReceived")</f>
        <v>Partial Received</v>
      </c>
      <c r="Q3127" t="str">
        <f>IF(T[[#This Row],[qty_received]]&lt;&gt;T[[#This Row],[qty_invoiced]],IF(T[[#This Row],[qty_invoiced]]&gt;0,"Partial Invoiced","Not Invoiced"),"Fully Invoiced")</f>
        <v>Not Invoiced</v>
      </c>
      <c r="R3127" t="str">
        <f>IFERROR(VLOOKUP(T[[#This Row],[warehouse]],Table2[],2,FALSE),"--")</f>
        <v>PZU Main Warehouse</v>
      </c>
    </row>
    <row r="3128" spans="1:18" x14ac:dyDescent="0.25">
      <c r="A3128" t="s">
        <v>686</v>
      </c>
      <c r="B3128" s="1">
        <v>44999</v>
      </c>
      <c r="C3128" t="s">
        <v>3099</v>
      </c>
      <c r="D3128" t="s">
        <v>20</v>
      </c>
      <c r="E3128" t="s">
        <v>51</v>
      </c>
      <c r="F3128" t="s">
        <v>247</v>
      </c>
      <c r="G3128" t="s">
        <v>2155</v>
      </c>
      <c r="H3128" t="s">
        <v>54</v>
      </c>
      <c r="I3128">
        <v>419.08</v>
      </c>
      <c r="J3128">
        <v>0</v>
      </c>
      <c r="K3128">
        <v>1</v>
      </c>
      <c r="L3128" t="s">
        <v>693</v>
      </c>
      <c r="M3128" t="s">
        <v>2836</v>
      </c>
      <c r="N3128">
        <v>46500</v>
      </c>
      <c r="O3128">
        <v>0</v>
      </c>
      <c r="P3128" t="str">
        <f>IF(T[[#This Row],[qty_ordered]]&lt;&gt;T[[#This Row],[qty_received]],IF(T[[#This Row],[qty_received]]&gt;0,"Partial Received","Not Receviced"),"FullyReceived")</f>
        <v>Not Receviced</v>
      </c>
      <c r="Q3128" t="str">
        <f>IF(T[[#This Row],[qty_received]]&lt;&gt;T[[#This Row],[qty_invoiced]],IF(T[[#This Row],[qty_invoiced]]&gt;0,"Partial Invoiced","Not Invoiced"),"Fully Invoiced")</f>
        <v>Partial Invoiced</v>
      </c>
      <c r="R3128" t="str">
        <f>IFERROR(VLOOKUP(T[[#This Row],[warehouse]],Table2[],2,FALSE),"--")</f>
        <v>--</v>
      </c>
    </row>
    <row r="3129" spans="1:18" x14ac:dyDescent="0.25">
      <c r="A3129" t="s">
        <v>84</v>
      </c>
      <c r="B3129" s="1">
        <v>45004</v>
      </c>
      <c r="C3129" t="s">
        <v>3100</v>
      </c>
      <c r="D3129" t="s">
        <v>20</v>
      </c>
      <c r="E3129" t="s">
        <v>1142</v>
      </c>
      <c r="F3129" t="s">
        <v>130</v>
      </c>
      <c r="G3129" t="s">
        <v>131</v>
      </c>
      <c r="H3129" t="s">
        <v>24</v>
      </c>
      <c r="I3129">
        <v>68.42</v>
      </c>
      <c r="J3129">
        <v>68.42</v>
      </c>
      <c r="K3129">
        <v>68.42</v>
      </c>
      <c r="L3129" t="s">
        <v>693</v>
      </c>
      <c r="M3129" t="s">
        <v>1485</v>
      </c>
      <c r="N3129">
        <v>453456.59163899999</v>
      </c>
      <c r="O3129">
        <v>31025499.999940399</v>
      </c>
      <c r="P3129" t="str">
        <f>IF(T[[#This Row],[qty_ordered]]&lt;&gt;T[[#This Row],[qty_received]],IF(T[[#This Row],[qty_received]]&gt;0,"Partial Received","Not Receviced"),"FullyReceived")</f>
        <v>FullyReceived</v>
      </c>
      <c r="Q3129" t="str">
        <f>IF(T[[#This Row],[qty_received]]&lt;&gt;T[[#This Row],[qty_invoiced]],IF(T[[#This Row],[qty_invoiced]]&gt;0,"Partial Invoiced","Not Invoiced"),"Fully Invoiced")</f>
        <v>Fully Invoiced</v>
      </c>
      <c r="R3129" t="str">
        <f>IFERROR(VLOOKUP(T[[#This Row],[warehouse]],Table2[],2,FALSE),"--")</f>
        <v>SAVOLA W/H FOR EXPOR</v>
      </c>
    </row>
    <row r="3130" spans="1:18" x14ac:dyDescent="0.25">
      <c r="A3130" t="s">
        <v>201</v>
      </c>
      <c r="B3130" s="1">
        <v>45005</v>
      </c>
      <c r="C3130" t="s">
        <v>3101</v>
      </c>
      <c r="D3130" t="s">
        <v>20</v>
      </c>
      <c r="E3130" t="s">
        <v>1220</v>
      </c>
      <c r="F3130" t="s">
        <v>1221</v>
      </c>
      <c r="G3130" t="s">
        <v>1634</v>
      </c>
      <c r="H3130" t="s">
        <v>123</v>
      </c>
      <c r="I3130">
        <v>161195</v>
      </c>
      <c r="J3130">
        <v>161195</v>
      </c>
      <c r="K3130">
        <v>161195</v>
      </c>
      <c r="L3130" t="s">
        <v>693</v>
      </c>
      <c r="M3130" t="s">
        <v>707</v>
      </c>
      <c r="N3130">
        <v>21346.965481250001</v>
      </c>
      <c r="O3130">
        <v>3441024100.7500901</v>
      </c>
      <c r="P3130" t="str">
        <f>IF(T[[#This Row],[qty_ordered]]&lt;&gt;T[[#This Row],[qty_received]],IF(T[[#This Row],[qty_received]]&gt;0,"Partial Received","Not Receviced"),"FullyReceived")</f>
        <v>FullyReceived</v>
      </c>
      <c r="Q3130" t="str">
        <f>IF(T[[#This Row],[qty_received]]&lt;&gt;T[[#This Row],[qty_invoiced]],IF(T[[#This Row],[qty_invoiced]]&gt;0,"Partial Invoiced","Not Invoiced"),"Fully Invoiced")</f>
        <v>Fully Invoiced</v>
      </c>
      <c r="R3130" t="str">
        <f>IFERROR(VLOOKUP(T[[#This Row],[warehouse]],Table2[],2,FALSE),"--")</f>
        <v>Import Virtual Warehouse - PZU</v>
      </c>
    </row>
    <row r="3131" spans="1:18" x14ac:dyDescent="0.25">
      <c r="A3131" t="s">
        <v>201</v>
      </c>
      <c r="B3131" s="1">
        <v>45005</v>
      </c>
      <c r="C3131" t="s">
        <v>3101</v>
      </c>
      <c r="D3131" t="s">
        <v>71</v>
      </c>
      <c r="E3131" t="s">
        <v>1220</v>
      </c>
      <c r="F3131" t="s">
        <v>1307</v>
      </c>
      <c r="G3131" t="s">
        <v>1308</v>
      </c>
      <c r="H3131" t="s">
        <v>149</v>
      </c>
      <c r="I3131">
        <v>4600</v>
      </c>
      <c r="J3131">
        <v>0</v>
      </c>
      <c r="K3131">
        <v>0</v>
      </c>
      <c r="L3131" t="s">
        <v>693</v>
      </c>
      <c r="M3131" t="s">
        <v>707</v>
      </c>
      <c r="N3131">
        <v>0</v>
      </c>
      <c r="O3131">
        <v>0</v>
      </c>
      <c r="P3131" t="str">
        <f>IF(T[[#This Row],[qty_ordered]]&lt;&gt;T[[#This Row],[qty_received]],IF(T[[#This Row],[qty_received]]&gt;0,"Partial Received","Not Receviced"),"FullyReceived")</f>
        <v>Not Receviced</v>
      </c>
      <c r="Q3131" t="str">
        <f>IF(T[[#This Row],[qty_received]]&lt;&gt;T[[#This Row],[qty_invoiced]],IF(T[[#This Row],[qty_invoiced]]&gt;0,"Partial Invoiced","Not Invoiced"),"Fully Invoiced")</f>
        <v>Fully Invoiced</v>
      </c>
      <c r="R3131" t="str">
        <f>IFERROR(VLOOKUP(T[[#This Row],[warehouse]],Table2[],2,FALSE),"--")</f>
        <v>Import Virtual Warehouse - PZU</v>
      </c>
    </row>
    <row r="3132" spans="1:18" x14ac:dyDescent="0.25">
      <c r="A3132" t="s">
        <v>84</v>
      </c>
      <c r="B3132" s="1">
        <v>45006</v>
      </c>
      <c r="C3132" t="s">
        <v>3102</v>
      </c>
      <c r="D3132" t="s">
        <v>20</v>
      </c>
      <c r="E3132" t="s">
        <v>1142</v>
      </c>
      <c r="F3132" t="s">
        <v>130</v>
      </c>
      <c r="G3132" t="s">
        <v>131</v>
      </c>
      <c r="H3132" t="s">
        <v>24</v>
      </c>
      <c r="I3132">
        <v>57.16</v>
      </c>
      <c r="J3132">
        <v>57.16</v>
      </c>
      <c r="K3132">
        <v>57.16</v>
      </c>
      <c r="L3132" t="s">
        <v>693</v>
      </c>
      <c r="M3132" t="s">
        <v>1485</v>
      </c>
      <c r="N3132">
        <v>434698.65290400002</v>
      </c>
      <c r="O3132">
        <v>24847374.999992602</v>
      </c>
      <c r="P3132" t="str">
        <f>IF(T[[#This Row],[qty_ordered]]&lt;&gt;T[[#This Row],[qty_received]],IF(T[[#This Row],[qty_received]]&gt;0,"Partial Received","Not Receviced"),"FullyReceived")</f>
        <v>FullyReceived</v>
      </c>
      <c r="Q3132" t="str">
        <f>IF(T[[#This Row],[qty_received]]&lt;&gt;T[[#This Row],[qty_invoiced]],IF(T[[#This Row],[qty_invoiced]]&gt;0,"Partial Invoiced","Not Invoiced"),"Fully Invoiced")</f>
        <v>Fully Invoiced</v>
      </c>
      <c r="R3132" t="str">
        <f>IFERROR(VLOOKUP(T[[#This Row],[warehouse]],Table2[],2,FALSE),"--")</f>
        <v>SAVOLA W/H FOR EXPOR</v>
      </c>
    </row>
    <row r="3133" spans="1:18" x14ac:dyDescent="0.25">
      <c r="A3133" t="s">
        <v>1059</v>
      </c>
      <c r="B3133" s="1">
        <v>44651</v>
      </c>
      <c r="C3133" t="s">
        <v>1578</v>
      </c>
      <c r="D3133" t="s">
        <v>592</v>
      </c>
      <c r="E3133" t="s">
        <v>51</v>
      </c>
      <c r="F3133" t="s">
        <v>262</v>
      </c>
      <c r="G3133" t="s">
        <v>3103</v>
      </c>
      <c r="H3133" t="s">
        <v>54</v>
      </c>
      <c r="I3133">
        <v>10</v>
      </c>
      <c r="J3133">
        <v>0</v>
      </c>
      <c r="K3133">
        <v>1</v>
      </c>
      <c r="L3133" t="s">
        <v>693</v>
      </c>
      <c r="M3133" t="s">
        <v>2836</v>
      </c>
      <c r="N3133">
        <v>605</v>
      </c>
      <c r="O3133">
        <v>0</v>
      </c>
      <c r="P3133" t="str">
        <f>IF(T[[#This Row],[qty_ordered]]&lt;&gt;T[[#This Row],[qty_received]],IF(T[[#This Row],[qty_received]]&gt;0,"Partial Received","Not Receviced"),"FullyReceived")</f>
        <v>Not Receviced</v>
      </c>
      <c r="Q3133" t="str">
        <f>IF(T[[#This Row],[qty_received]]&lt;&gt;T[[#This Row],[qty_invoiced]],IF(T[[#This Row],[qty_invoiced]]&gt;0,"Partial Invoiced","Not Invoiced"),"Fully Invoiced")</f>
        <v>Partial Invoiced</v>
      </c>
      <c r="R3133" t="str">
        <f>IFERROR(VLOOKUP(T[[#This Row],[warehouse]],Table2[],2,FALSE),"--")</f>
        <v>--</v>
      </c>
    </row>
    <row r="3134" spans="1:18" x14ac:dyDescent="0.25">
      <c r="A3134" t="s">
        <v>1059</v>
      </c>
      <c r="B3134" s="1">
        <v>44651</v>
      </c>
      <c r="C3134" t="s">
        <v>1578</v>
      </c>
      <c r="D3134" t="s">
        <v>593</v>
      </c>
      <c r="E3134" t="s">
        <v>51</v>
      </c>
      <c r="F3134" t="s">
        <v>254</v>
      </c>
      <c r="G3134" t="s">
        <v>3104</v>
      </c>
      <c r="H3134" t="s">
        <v>54</v>
      </c>
      <c r="I3134">
        <v>28000</v>
      </c>
      <c r="J3134">
        <v>0</v>
      </c>
      <c r="K3134">
        <v>1</v>
      </c>
      <c r="L3134" t="s">
        <v>693</v>
      </c>
      <c r="M3134" t="s">
        <v>2836</v>
      </c>
      <c r="N3134">
        <v>1</v>
      </c>
      <c r="O3134">
        <v>0</v>
      </c>
      <c r="P3134" t="str">
        <f>IF(T[[#This Row],[qty_ordered]]&lt;&gt;T[[#This Row],[qty_received]],IF(T[[#This Row],[qty_received]]&gt;0,"Partial Received","Not Receviced"),"FullyReceived")</f>
        <v>Not Receviced</v>
      </c>
      <c r="Q3134" t="str">
        <f>IF(T[[#This Row],[qty_received]]&lt;&gt;T[[#This Row],[qty_invoiced]],IF(T[[#This Row],[qty_invoiced]]&gt;0,"Partial Invoiced","Not Invoiced"),"Fully Invoiced")</f>
        <v>Partial Invoiced</v>
      </c>
      <c r="R3134" t="str">
        <f>IFERROR(VLOOKUP(T[[#This Row],[warehouse]],Table2[],2,FALSE),"--")</f>
        <v>--</v>
      </c>
    </row>
    <row r="3135" spans="1:18" x14ac:dyDescent="0.25">
      <c r="A3135" t="s">
        <v>989</v>
      </c>
      <c r="B3135" s="1">
        <v>44879</v>
      </c>
      <c r="C3135" t="s">
        <v>2590</v>
      </c>
      <c r="D3135" t="s">
        <v>76</v>
      </c>
      <c r="E3135" t="s">
        <v>51</v>
      </c>
      <c r="F3135" t="s">
        <v>183</v>
      </c>
      <c r="G3135" t="s">
        <v>1516</v>
      </c>
      <c r="H3135" t="s">
        <v>54</v>
      </c>
      <c r="I3135">
        <v>250</v>
      </c>
      <c r="J3135">
        <v>0</v>
      </c>
      <c r="K3135">
        <v>1</v>
      </c>
      <c r="L3135" t="s">
        <v>693</v>
      </c>
      <c r="M3135" t="s">
        <v>2836</v>
      </c>
      <c r="N3135">
        <v>13000</v>
      </c>
      <c r="O3135">
        <v>0</v>
      </c>
      <c r="P3135" t="str">
        <f>IF(T[[#This Row],[qty_ordered]]&lt;&gt;T[[#This Row],[qty_received]],IF(T[[#This Row],[qty_received]]&gt;0,"Partial Received","Not Receviced"),"FullyReceived")</f>
        <v>Not Receviced</v>
      </c>
      <c r="Q3135" t="str">
        <f>IF(T[[#This Row],[qty_received]]&lt;&gt;T[[#This Row],[qty_invoiced]],IF(T[[#This Row],[qty_invoiced]]&gt;0,"Partial Invoiced","Not Invoiced"),"Fully Invoiced")</f>
        <v>Partial Invoiced</v>
      </c>
      <c r="R3135" t="str">
        <f>IFERROR(VLOOKUP(T[[#This Row],[warehouse]],Table2[],2,FALSE),"--")</f>
        <v>--</v>
      </c>
    </row>
    <row r="3136" spans="1:18" x14ac:dyDescent="0.25">
      <c r="A3136" t="s">
        <v>224</v>
      </c>
      <c r="B3136" s="1">
        <v>44941</v>
      </c>
      <c r="C3136" t="s">
        <v>3052</v>
      </c>
      <c r="D3136" t="s">
        <v>88</v>
      </c>
      <c r="E3136" t="s">
        <v>51</v>
      </c>
      <c r="F3136" t="s">
        <v>183</v>
      </c>
      <c r="G3136" t="s">
        <v>2077</v>
      </c>
      <c r="H3136" t="s">
        <v>54</v>
      </c>
      <c r="I3136">
        <v>700</v>
      </c>
      <c r="J3136">
        <v>0</v>
      </c>
      <c r="K3136">
        <v>1</v>
      </c>
      <c r="L3136" t="s">
        <v>693</v>
      </c>
      <c r="M3136" t="s">
        <v>51</v>
      </c>
      <c r="N3136">
        <v>13000</v>
      </c>
      <c r="O3136">
        <v>0</v>
      </c>
      <c r="P3136" t="str">
        <f>IF(T[[#This Row],[qty_ordered]]&lt;&gt;T[[#This Row],[qty_received]],IF(T[[#This Row],[qty_received]]&gt;0,"Partial Received","Not Receviced"),"FullyReceived")</f>
        <v>Not Receviced</v>
      </c>
      <c r="Q3136" t="str">
        <f>IF(T[[#This Row],[qty_received]]&lt;&gt;T[[#This Row],[qty_invoiced]],IF(T[[#This Row],[qty_invoiced]]&gt;0,"Partial Invoiced","Not Invoiced"),"Fully Invoiced")</f>
        <v>Partial Invoiced</v>
      </c>
      <c r="R3136" t="str">
        <f>IFERROR(VLOOKUP(T[[#This Row],[warehouse]],Table2[],2,FALSE),"--")</f>
        <v>--</v>
      </c>
    </row>
    <row r="3137" spans="1:18" x14ac:dyDescent="0.25">
      <c r="A3137" t="s">
        <v>985</v>
      </c>
      <c r="B3137" s="1">
        <v>44998</v>
      </c>
      <c r="C3137" t="s">
        <v>3105</v>
      </c>
      <c r="D3137" t="s">
        <v>20</v>
      </c>
      <c r="E3137" t="s">
        <v>51</v>
      </c>
      <c r="F3137" t="s">
        <v>183</v>
      </c>
      <c r="G3137" t="s">
        <v>1632</v>
      </c>
      <c r="H3137" t="s">
        <v>54</v>
      </c>
      <c r="I3137">
        <v>390.887</v>
      </c>
      <c r="J3137">
        <v>0</v>
      </c>
      <c r="K3137">
        <v>1</v>
      </c>
      <c r="L3137" t="s">
        <v>693</v>
      </c>
      <c r="M3137" t="s">
        <v>51</v>
      </c>
      <c r="N3137">
        <v>13000</v>
      </c>
      <c r="O3137">
        <v>0</v>
      </c>
      <c r="P3137" t="str">
        <f>IF(T[[#This Row],[qty_ordered]]&lt;&gt;T[[#This Row],[qty_received]],IF(T[[#This Row],[qty_received]]&gt;0,"Partial Received","Not Receviced"),"FullyReceived")</f>
        <v>Not Receviced</v>
      </c>
      <c r="Q3137" t="str">
        <f>IF(T[[#This Row],[qty_received]]&lt;&gt;T[[#This Row],[qty_invoiced]],IF(T[[#This Row],[qty_invoiced]]&gt;0,"Partial Invoiced","Not Invoiced"),"Fully Invoiced")</f>
        <v>Partial Invoiced</v>
      </c>
      <c r="R3137" t="str">
        <f>IFERROR(VLOOKUP(T[[#This Row],[warehouse]],Table2[],2,FALSE),"--")</f>
        <v>--</v>
      </c>
    </row>
    <row r="3138" spans="1:18" x14ac:dyDescent="0.25">
      <c r="A3138" t="s">
        <v>985</v>
      </c>
      <c r="B3138" s="1">
        <v>44998</v>
      </c>
      <c r="C3138" t="s">
        <v>3105</v>
      </c>
      <c r="D3138" t="s">
        <v>71</v>
      </c>
      <c r="E3138" t="s">
        <v>51</v>
      </c>
      <c r="F3138" t="s">
        <v>183</v>
      </c>
      <c r="G3138" t="s">
        <v>1488</v>
      </c>
      <c r="H3138" t="s">
        <v>54</v>
      </c>
      <c r="I3138">
        <v>400</v>
      </c>
      <c r="J3138">
        <v>0</v>
      </c>
      <c r="K3138">
        <v>1</v>
      </c>
      <c r="L3138" t="s">
        <v>693</v>
      </c>
      <c r="M3138" t="s">
        <v>51</v>
      </c>
      <c r="N3138">
        <v>13000</v>
      </c>
      <c r="O3138">
        <v>0</v>
      </c>
      <c r="P3138" t="str">
        <f>IF(T[[#This Row],[qty_ordered]]&lt;&gt;T[[#This Row],[qty_received]],IF(T[[#This Row],[qty_received]]&gt;0,"Partial Received","Not Receviced"),"FullyReceived")</f>
        <v>Not Receviced</v>
      </c>
      <c r="Q3138" t="str">
        <f>IF(T[[#This Row],[qty_received]]&lt;&gt;T[[#This Row],[qty_invoiced]],IF(T[[#This Row],[qty_invoiced]]&gt;0,"Partial Invoiced","Not Invoiced"),"Fully Invoiced")</f>
        <v>Partial Invoiced</v>
      </c>
      <c r="R3138" t="str">
        <f>IFERROR(VLOOKUP(T[[#This Row],[warehouse]],Table2[],2,FALSE),"--")</f>
        <v>--</v>
      </c>
    </row>
    <row r="3139" spans="1:18" x14ac:dyDescent="0.25">
      <c r="A3139" t="s">
        <v>1059</v>
      </c>
      <c r="B3139" s="1">
        <v>44761</v>
      </c>
      <c r="C3139" t="s">
        <v>1783</v>
      </c>
      <c r="D3139" t="s">
        <v>1355</v>
      </c>
      <c r="E3139" t="s">
        <v>51</v>
      </c>
      <c r="F3139" t="s">
        <v>266</v>
      </c>
      <c r="G3139" t="s">
        <v>3106</v>
      </c>
      <c r="H3139" t="s">
        <v>54</v>
      </c>
      <c r="I3139">
        <v>8397</v>
      </c>
      <c r="J3139">
        <v>0</v>
      </c>
      <c r="K3139">
        <v>1</v>
      </c>
      <c r="L3139" t="s">
        <v>693</v>
      </c>
      <c r="M3139" t="s">
        <v>2836</v>
      </c>
      <c r="N3139">
        <v>51.000594999999997</v>
      </c>
      <c r="O3139">
        <v>0</v>
      </c>
      <c r="P3139" t="str">
        <f>IF(T[[#This Row],[qty_ordered]]&lt;&gt;T[[#This Row],[qty_received]],IF(T[[#This Row],[qty_received]]&gt;0,"Partial Received","Not Receviced"),"FullyReceived")</f>
        <v>Not Receviced</v>
      </c>
      <c r="Q3139" t="str">
        <f>IF(T[[#This Row],[qty_received]]&lt;&gt;T[[#This Row],[qty_invoiced]],IF(T[[#This Row],[qty_invoiced]]&gt;0,"Partial Invoiced","Not Invoiced"),"Fully Invoiced")</f>
        <v>Partial Invoiced</v>
      </c>
      <c r="R3139" t="str">
        <f>IFERROR(VLOOKUP(T[[#This Row],[warehouse]],Table2[],2,FALSE),"--")</f>
        <v>--</v>
      </c>
    </row>
    <row r="3140" spans="1:18" x14ac:dyDescent="0.25">
      <c r="A3140" t="s">
        <v>1059</v>
      </c>
      <c r="B3140" s="1">
        <v>44761</v>
      </c>
      <c r="C3140" t="s">
        <v>1783</v>
      </c>
      <c r="D3140" t="s">
        <v>1356</v>
      </c>
      <c r="E3140" t="s">
        <v>51</v>
      </c>
      <c r="F3140" t="s">
        <v>266</v>
      </c>
      <c r="G3140" t="s">
        <v>3107</v>
      </c>
      <c r="H3140" t="s">
        <v>54</v>
      </c>
      <c r="I3140">
        <v>8200</v>
      </c>
      <c r="J3140">
        <v>0</v>
      </c>
      <c r="K3140">
        <v>1</v>
      </c>
      <c r="L3140" t="s">
        <v>693</v>
      </c>
      <c r="M3140" t="s">
        <v>2836</v>
      </c>
      <c r="N3140">
        <v>61</v>
      </c>
      <c r="O3140">
        <v>0</v>
      </c>
      <c r="P3140" t="str">
        <f>IF(T[[#This Row],[qty_ordered]]&lt;&gt;T[[#This Row],[qty_received]],IF(T[[#This Row],[qty_received]]&gt;0,"Partial Received","Not Receviced"),"FullyReceived")</f>
        <v>Not Receviced</v>
      </c>
      <c r="Q3140" t="str">
        <f>IF(T[[#This Row],[qty_received]]&lt;&gt;T[[#This Row],[qty_invoiced]],IF(T[[#This Row],[qty_invoiced]]&gt;0,"Partial Invoiced","Not Invoiced"),"Fully Invoiced")</f>
        <v>Partial Invoiced</v>
      </c>
      <c r="R3140" t="str">
        <f>IFERROR(VLOOKUP(T[[#This Row],[warehouse]],Table2[],2,FALSE),"--")</f>
        <v>--</v>
      </c>
    </row>
    <row r="3141" spans="1:18" x14ac:dyDescent="0.25">
      <c r="A3141" t="s">
        <v>1059</v>
      </c>
      <c r="B3141" s="1">
        <v>44761</v>
      </c>
      <c r="C3141" t="s">
        <v>1783</v>
      </c>
      <c r="D3141" t="s">
        <v>1357</v>
      </c>
      <c r="E3141" t="s">
        <v>51</v>
      </c>
      <c r="F3141" t="s">
        <v>266</v>
      </c>
      <c r="G3141" t="s">
        <v>3107</v>
      </c>
      <c r="H3141" t="s">
        <v>54</v>
      </c>
      <c r="I3141">
        <v>95</v>
      </c>
      <c r="J3141">
        <v>0</v>
      </c>
      <c r="K3141">
        <v>1</v>
      </c>
      <c r="L3141" t="s">
        <v>693</v>
      </c>
      <c r="M3141" t="s">
        <v>2836</v>
      </c>
      <c r="N3141">
        <v>398.21052600000002</v>
      </c>
      <c r="O3141">
        <v>0</v>
      </c>
      <c r="P3141" t="str">
        <f>IF(T[[#This Row],[qty_ordered]]&lt;&gt;T[[#This Row],[qty_received]],IF(T[[#This Row],[qty_received]]&gt;0,"Partial Received","Not Receviced"),"FullyReceived")</f>
        <v>Not Receviced</v>
      </c>
      <c r="Q3141" t="str">
        <f>IF(T[[#This Row],[qty_received]]&lt;&gt;T[[#This Row],[qty_invoiced]],IF(T[[#This Row],[qty_invoiced]]&gt;0,"Partial Invoiced","Not Invoiced"),"Fully Invoiced")</f>
        <v>Partial Invoiced</v>
      </c>
      <c r="R3141" t="str">
        <f>IFERROR(VLOOKUP(T[[#This Row],[warehouse]],Table2[],2,FALSE),"--")</f>
        <v>--</v>
      </c>
    </row>
    <row r="3142" spans="1:18" x14ac:dyDescent="0.25">
      <c r="A3142" t="s">
        <v>1059</v>
      </c>
      <c r="B3142" s="1">
        <v>44761</v>
      </c>
      <c r="C3142" t="s">
        <v>1783</v>
      </c>
      <c r="D3142" t="s">
        <v>1362</v>
      </c>
      <c r="E3142" t="s">
        <v>51</v>
      </c>
      <c r="F3142" t="s">
        <v>262</v>
      </c>
      <c r="G3142" t="s">
        <v>3108</v>
      </c>
      <c r="H3142" t="s">
        <v>54</v>
      </c>
      <c r="I3142">
        <v>8200</v>
      </c>
      <c r="J3142">
        <v>0</v>
      </c>
      <c r="K3142">
        <v>1</v>
      </c>
      <c r="L3142" t="s">
        <v>693</v>
      </c>
      <c r="M3142" t="s">
        <v>2836</v>
      </c>
      <c r="N3142">
        <v>75</v>
      </c>
      <c r="O3142">
        <v>0</v>
      </c>
      <c r="P3142" t="str">
        <f>IF(T[[#This Row],[qty_ordered]]&lt;&gt;T[[#This Row],[qty_received]],IF(T[[#This Row],[qty_received]]&gt;0,"Partial Received","Not Receviced"),"FullyReceived")</f>
        <v>Not Receviced</v>
      </c>
      <c r="Q3142" t="str">
        <f>IF(T[[#This Row],[qty_received]]&lt;&gt;T[[#This Row],[qty_invoiced]],IF(T[[#This Row],[qty_invoiced]]&gt;0,"Partial Invoiced","Not Invoiced"),"Fully Invoiced")</f>
        <v>Partial Invoiced</v>
      </c>
      <c r="R3142" t="str">
        <f>IFERROR(VLOOKUP(T[[#This Row],[warehouse]],Table2[],2,FALSE),"--")</f>
        <v>--</v>
      </c>
    </row>
    <row r="3143" spans="1:18" x14ac:dyDescent="0.25">
      <c r="A3143" t="s">
        <v>985</v>
      </c>
      <c r="B3143" s="1">
        <v>44998</v>
      </c>
      <c r="C3143" t="s">
        <v>3105</v>
      </c>
      <c r="D3143" t="s">
        <v>100</v>
      </c>
      <c r="E3143" t="s">
        <v>51</v>
      </c>
      <c r="F3143" t="s">
        <v>183</v>
      </c>
      <c r="G3143" t="s">
        <v>1632</v>
      </c>
      <c r="H3143" t="s">
        <v>54</v>
      </c>
      <c r="I3143">
        <v>254.86</v>
      </c>
      <c r="J3143">
        <v>0</v>
      </c>
      <c r="K3143">
        <v>1</v>
      </c>
      <c r="L3143" t="s">
        <v>693</v>
      </c>
      <c r="M3143" t="s">
        <v>51</v>
      </c>
      <c r="N3143">
        <v>13000</v>
      </c>
      <c r="O3143">
        <v>0</v>
      </c>
      <c r="P3143" t="str">
        <f>IF(T[[#This Row],[qty_ordered]]&lt;&gt;T[[#This Row],[qty_received]],IF(T[[#This Row],[qty_received]]&gt;0,"Partial Received","Not Receviced"),"FullyReceived")</f>
        <v>Not Receviced</v>
      </c>
      <c r="Q3143" t="str">
        <f>IF(T[[#This Row],[qty_received]]&lt;&gt;T[[#This Row],[qty_invoiced]],IF(T[[#This Row],[qty_invoiced]]&gt;0,"Partial Invoiced","Not Invoiced"),"Fully Invoiced")</f>
        <v>Partial Invoiced</v>
      </c>
      <c r="R3143" t="str">
        <f>IFERROR(VLOOKUP(T[[#This Row],[warehouse]],Table2[],2,FALSE),"--")</f>
        <v>--</v>
      </c>
    </row>
    <row r="3144" spans="1:18" x14ac:dyDescent="0.25">
      <c r="A3144" t="s">
        <v>989</v>
      </c>
      <c r="B3144" s="1">
        <v>44879</v>
      </c>
      <c r="C3144" t="s">
        <v>2590</v>
      </c>
      <c r="D3144" t="s">
        <v>212</v>
      </c>
      <c r="E3144" t="s">
        <v>51</v>
      </c>
      <c r="F3144" t="s">
        <v>183</v>
      </c>
      <c r="G3144" t="s">
        <v>1972</v>
      </c>
      <c r="H3144" t="s">
        <v>54</v>
      </c>
      <c r="I3144">
        <v>180.376</v>
      </c>
      <c r="J3144">
        <v>0</v>
      </c>
      <c r="K3144">
        <v>1</v>
      </c>
      <c r="L3144" t="s">
        <v>693</v>
      </c>
      <c r="M3144" t="s">
        <v>2836</v>
      </c>
      <c r="N3144">
        <v>13000</v>
      </c>
      <c r="O3144">
        <v>0</v>
      </c>
      <c r="P3144" t="str">
        <f>IF(T[[#This Row],[qty_ordered]]&lt;&gt;T[[#This Row],[qty_received]],IF(T[[#This Row],[qty_received]]&gt;0,"Partial Received","Not Receviced"),"FullyReceived")</f>
        <v>Not Receviced</v>
      </c>
      <c r="Q3144" t="str">
        <f>IF(T[[#This Row],[qty_received]]&lt;&gt;T[[#This Row],[qty_invoiced]],IF(T[[#This Row],[qty_invoiced]]&gt;0,"Partial Invoiced","Not Invoiced"),"Fully Invoiced")</f>
        <v>Partial Invoiced</v>
      </c>
      <c r="R3144" t="str">
        <f>IFERROR(VLOOKUP(T[[#This Row],[warehouse]],Table2[],2,FALSE),"--")</f>
        <v>--</v>
      </c>
    </row>
    <row r="3145" spans="1:18" x14ac:dyDescent="0.25">
      <c r="A3145" t="s">
        <v>84</v>
      </c>
      <c r="B3145" s="1">
        <v>45013</v>
      </c>
      <c r="C3145" t="s">
        <v>3109</v>
      </c>
      <c r="D3145" t="s">
        <v>20</v>
      </c>
      <c r="E3145" t="s">
        <v>1142</v>
      </c>
      <c r="F3145" t="s">
        <v>130</v>
      </c>
      <c r="G3145" t="s">
        <v>131</v>
      </c>
      <c r="H3145" t="s">
        <v>24</v>
      </c>
      <c r="I3145">
        <v>500</v>
      </c>
      <c r="J3145">
        <v>102.64</v>
      </c>
      <c r="K3145">
        <v>102.64</v>
      </c>
      <c r="L3145" t="s">
        <v>693</v>
      </c>
      <c r="M3145" t="s">
        <v>1485</v>
      </c>
      <c r="N3145">
        <v>433875</v>
      </c>
      <c r="O3145">
        <v>44532930</v>
      </c>
      <c r="P3145" t="str">
        <f>IF(T[[#This Row],[qty_ordered]]&lt;&gt;T[[#This Row],[qty_received]],IF(T[[#This Row],[qty_received]]&gt;0,"Partial Received","Not Receviced"),"FullyReceived")</f>
        <v>Partial Received</v>
      </c>
      <c r="Q3145" t="str">
        <f>IF(T[[#This Row],[qty_received]]&lt;&gt;T[[#This Row],[qty_invoiced]],IF(T[[#This Row],[qty_invoiced]]&gt;0,"Partial Invoiced","Not Invoiced"),"Fully Invoiced")</f>
        <v>Fully Invoiced</v>
      </c>
      <c r="R3145" t="str">
        <f>IFERROR(VLOOKUP(T[[#This Row],[warehouse]],Table2[],2,FALSE),"--")</f>
        <v>SAVOLA W/H FOR EXPOR</v>
      </c>
    </row>
    <row r="3146" spans="1:18" x14ac:dyDescent="0.25">
      <c r="A3146" t="s">
        <v>201</v>
      </c>
      <c r="B3146" s="1">
        <v>44923</v>
      </c>
      <c r="C3146" t="s">
        <v>2985</v>
      </c>
      <c r="D3146" t="s">
        <v>100</v>
      </c>
      <c r="E3146" t="s">
        <v>1220</v>
      </c>
      <c r="F3146" t="s">
        <v>1221</v>
      </c>
      <c r="G3146" t="s">
        <v>2017</v>
      </c>
      <c r="H3146" t="s">
        <v>123</v>
      </c>
      <c r="I3146">
        <v>1</v>
      </c>
      <c r="J3146">
        <v>0</v>
      </c>
      <c r="K3146">
        <v>0</v>
      </c>
      <c r="L3146" t="s">
        <v>693</v>
      </c>
      <c r="M3146" t="s">
        <v>707</v>
      </c>
      <c r="N3146">
        <v>1669930779.36375</v>
      </c>
      <c r="O3146">
        <v>0</v>
      </c>
      <c r="P3146" t="str">
        <f>IF(T[[#This Row],[qty_ordered]]&lt;&gt;T[[#This Row],[qty_received]],IF(T[[#This Row],[qty_received]]&gt;0,"Partial Received","Not Receviced"),"FullyReceived")</f>
        <v>Not Receviced</v>
      </c>
      <c r="Q3146" t="str">
        <f>IF(T[[#This Row],[qty_received]]&lt;&gt;T[[#This Row],[qty_invoiced]],IF(T[[#This Row],[qty_invoiced]]&gt;0,"Partial Invoiced","Not Invoiced"),"Fully Invoiced")</f>
        <v>Fully Invoiced</v>
      </c>
      <c r="R3146" t="str">
        <f>IFERROR(VLOOKUP(T[[#This Row],[warehouse]],Table2[],2,FALSE),"--")</f>
        <v>Import Virtual Warehouse - PZU</v>
      </c>
    </row>
    <row r="3147" spans="1:18" x14ac:dyDescent="0.25">
      <c r="A3147" t="s">
        <v>1218</v>
      </c>
      <c r="B3147" s="1">
        <v>45007</v>
      </c>
      <c r="C3147" t="s">
        <v>3110</v>
      </c>
      <c r="D3147" t="s">
        <v>20</v>
      </c>
      <c r="E3147" t="s">
        <v>1220</v>
      </c>
      <c r="F3147" t="s">
        <v>1221</v>
      </c>
      <c r="G3147" t="s">
        <v>1634</v>
      </c>
      <c r="H3147" t="s">
        <v>123</v>
      </c>
      <c r="I3147">
        <v>198805</v>
      </c>
      <c r="J3147">
        <v>198805</v>
      </c>
      <c r="K3147">
        <v>198805</v>
      </c>
      <c r="L3147" t="s">
        <v>693</v>
      </c>
      <c r="M3147" t="s">
        <v>51</v>
      </c>
      <c r="N3147">
        <v>23095</v>
      </c>
      <c r="O3147">
        <v>4591401475</v>
      </c>
      <c r="P3147" t="str">
        <f>IF(T[[#This Row],[qty_ordered]]&lt;&gt;T[[#This Row],[qty_received]],IF(T[[#This Row],[qty_received]]&gt;0,"Partial Received","Not Receviced"),"FullyReceived")</f>
        <v>FullyReceived</v>
      </c>
      <c r="Q3147" t="str">
        <f>IF(T[[#This Row],[qty_received]]&lt;&gt;T[[#This Row],[qty_invoiced]],IF(T[[#This Row],[qty_invoiced]]&gt;0,"Partial Invoiced","Not Invoiced"),"Fully Invoiced")</f>
        <v>Fully Invoiced</v>
      </c>
      <c r="R3147" t="str">
        <f>IFERROR(VLOOKUP(T[[#This Row],[warehouse]],Table2[],2,FALSE),"--")</f>
        <v>Import Virtual Warehouse - PZU</v>
      </c>
    </row>
    <row r="3148" spans="1:18" x14ac:dyDescent="0.25">
      <c r="A3148" t="s">
        <v>1218</v>
      </c>
      <c r="B3148" s="1">
        <v>45007</v>
      </c>
      <c r="C3148" t="s">
        <v>3110</v>
      </c>
      <c r="D3148" t="s">
        <v>71</v>
      </c>
      <c r="E3148" t="s">
        <v>1220</v>
      </c>
      <c r="F3148" t="s">
        <v>1338</v>
      </c>
      <c r="G3148" t="s">
        <v>1339</v>
      </c>
      <c r="H3148" t="s">
        <v>123</v>
      </c>
      <c r="I3148">
        <v>100000</v>
      </c>
      <c r="J3148">
        <v>100000</v>
      </c>
      <c r="K3148">
        <v>100000</v>
      </c>
      <c r="L3148" t="s">
        <v>693</v>
      </c>
      <c r="M3148" t="s">
        <v>51</v>
      </c>
      <c r="N3148">
        <v>23095</v>
      </c>
      <c r="O3148">
        <v>2309500000</v>
      </c>
      <c r="P3148" t="str">
        <f>IF(T[[#This Row],[qty_ordered]]&lt;&gt;T[[#This Row],[qty_received]],IF(T[[#This Row],[qty_received]]&gt;0,"Partial Received","Not Receviced"),"FullyReceived")</f>
        <v>FullyReceived</v>
      </c>
      <c r="Q3148" t="str">
        <f>IF(T[[#This Row],[qty_received]]&lt;&gt;T[[#This Row],[qty_invoiced]],IF(T[[#This Row],[qty_invoiced]]&gt;0,"Partial Invoiced","Not Invoiced"),"Fully Invoiced")</f>
        <v>Fully Invoiced</v>
      </c>
      <c r="R3148" t="str">
        <f>IFERROR(VLOOKUP(T[[#This Row],[warehouse]],Table2[],2,FALSE),"--")</f>
        <v>Import Virtual Warehouse - PZU</v>
      </c>
    </row>
    <row r="3149" spans="1:18" x14ac:dyDescent="0.25">
      <c r="A3149" t="s">
        <v>989</v>
      </c>
      <c r="B3149" s="1">
        <v>44924</v>
      </c>
      <c r="C3149" t="s">
        <v>2992</v>
      </c>
      <c r="D3149" t="s">
        <v>322</v>
      </c>
      <c r="E3149" t="s">
        <v>51</v>
      </c>
      <c r="F3149" t="s">
        <v>183</v>
      </c>
      <c r="G3149" t="s">
        <v>1844</v>
      </c>
      <c r="H3149" t="s">
        <v>54</v>
      </c>
      <c r="I3149">
        <v>308.399</v>
      </c>
      <c r="J3149">
        <v>0</v>
      </c>
      <c r="K3149">
        <v>1</v>
      </c>
      <c r="L3149" t="s">
        <v>693</v>
      </c>
      <c r="M3149" t="s">
        <v>51</v>
      </c>
      <c r="N3149">
        <v>13000</v>
      </c>
      <c r="O3149">
        <v>0</v>
      </c>
      <c r="P3149" t="str">
        <f>IF(T[[#This Row],[qty_ordered]]&lt;&gt;T[[#This Row],[qty_received]],IF(T[[#This Row],[qty_received]]&gt;0,"Partial Received","Not Receviced"),"FullyReceived")</f>
        <v>Not Receviced</v>
      </c>
      <c r="Q3149" t="str">
        <f>IF(T[[#This Row],[qty_received]]&lt;&gt;T[[#This Row],[qty_invoiced]],IF(T[[#This Row],[qty_invoiced]]&gt;0,"Partial Invoiced","Not Invoiced"),"Fully Invoiced")</f>
        <v>Partial Invoiced</v>
      </c>
      <c r="R3149" t="str">
        <f>IFERROR(VLOOKUP(T[[#This Row],[warehouse]],Table2[],2,FALSE),"--")</f>
        <v>--</v>
      </c>
    </row>
    <row r="3150" spans="1:18" x14ac:dyDescent="0.25">
      <c r="A3150" t="s">
        <v>201</v>
      </c>
      <c r="B3150" s="1">
        <v>45014</v>
      </c>
      <c r="C3150" t="s">
        <v>3111</v>
      </c>
      <c r="D3150" t="s">
        <v>20</v>
      </c>
      <c r="E3150" t="s">
        <v>1220</v>
      </c>
      <c r="F3150" t="s">
        <v>2893</v>
      </c>
      <c r="G3150" t="s">
        <v>2894</v>
      </c>
      <c r="H3150" t="s">
        <v>711</v>
      </c>
      <c r="I3150">
        <v>25000</v>
      </c>
      <c r="J3150">
        <v>25000</v>
      </c>
      <c r="K3150">
        <v>25000</v>
      </c>
      <c r="L3150" t="s">
        <v>693</v>
      </c>
      <c r="M3150" t="s">
        <v>1485</v>
      </c>
      <c r="N3150">
        <v>12881.149817</v>
      </c>
      <c r="O3150">
        <v>322028745.42500001</v>
      </c>
      <c r="P3150" t="str">
        <f>IF(T[[#This Row],[qty_ordered]]&lt;&gt;T[[#This Row],[qty_received]],IF(T[[#This Row],[qty_received]]&gt;0,"Partial Received","Not Receviced"),"FullyReceived")</f>
        <v>FullyReceived</v>
      </c>
      <c r="Q3150" t="str">
        <f>IF(T[[#This Row],[qty_received]]&lt;&gt;T[[#This Row],[qty_invoiced]],IF(T[[#This Row],[qty_invoiced]]&gt;0,"Partial Invoiced","Not Invoiced"),"Fully Invoiced")</f>
        <v>Fully Invoiced</v>
      </c>
      <c r="R3150" t="str">
        <f>IFERROR(VLOOKUP(T[[#This Row],[warehouse]],Table2[],2,FALSE),"--")</f>
        <v>Import Virtual Warehouse - PZU</v>
      </c>
    </row>
    <row r="3151" spans="1:18" x14ac:dyDescent="0.25">
      <c r="A3151" t="s">
        <v>3112</v>
      </c>
      <c r="B3151" s="1">
        <v>45020</v>
      </c>
      <c r="C3151" t="s">
        <v>3113</v>
      </c>
      <c r="D3151" t="s">
        <v>20</v>
      </c>
      <c r="E3151" t="s">
        <v>146</v>
      </c>
      <c r="F3151" t="s">
        <v>147</v>
      </c>
      <c r="G3151" t="s">
        <v>148</v>
      </c>
      <c r="H3151" t="s">
        <v>149</v>
      </c>
      <c r="I3151">
        <v>10000</v>
      </c>
      <c r="J3151">
        <v>10000</v>
      </c>
      <c r="K3151">
        <v>0</v>
      </c>
      <c r="L3151" t="s">
        <v>693</v>
      </c>
      <c r="M3151" t="s">
        <v>1223</v>
      </c>
      <c r="N3151">
        <v>207</v>
      </c>
      <c r="O3151">
        <v>2070000</v>
      </c>
      <c r="P3151" t="str">
        <f>IF(T[[#This Row],[qty_ordered]]&lt;&gt;T[[#This Row],[qty_received]],IF(T[[#This Row],[qty_received]]&gt;0,"Partial Received","Not Receviced"),"FullyReceived")</f>
        <v>FullyReceived</v>
      </c>
      <c r="Q3151" t="str">
        <f>IF(T[[#This Row],[qty_received]]&lt;&gt;T[[#This Row],[qty_invoiced]],IF(T[[#This Row],[qty_invoiced]]&gt;0,"Partial Invoiced","Not Invoiced"),"Fully Invoiced")</f>
        <v>Not Invoiced</v>
      </c>
      <c r="R3151" t="str">
        <f>IFERROR(VLOOKUP(T[[#This Row],[warehouse]],Table2[],2,FALSE),"--")</f>
        <v>Khtoum Main Warehouse</v>
      </c>
    </row>
    <row r="3152" spans="1:18" x14ac:dyDescent="0.25">
      <c r="A3152" t="s">
        <v>303</v>
      </c>
      <c r="B3152" s="1">
        <v>45025</v>
      </c>
      <c r="C3152" t="s">
        <v>3114</v>
      </c>
      <c r="D3152" t="s">
        <v>20</v>
      </c>
      <c r="E3152" t="s">
        <v>66</v>
      </c>
      <c r="F3152" t="s">
        <v>3097</v>
      </c>
      <c r="G3152" t="s">
        <v>3098</v>
      </c>
      <c r="H3152" t="s">
        <v>531</v>
      </c>
      <c r="I3152">
        <v>2000</v>
      </c>
      <c r="J3152">
        <v>1261</v>
      </c>
      <c r="K3152">
        <v>1261</v>
      </c>
      <c r="L3152" t="s">
        <v>693</v>
      </c>
      <c r="M3152" t="s">
        <v>1485</v>
      </c>
      <c r="N3152">
        <v>83000</v>
      </c>
      <c r="O3152">
        <v>104663000</v>
      </c>
      <c r="P3152" t="str">
        <f>IF(T[[#This Row],[qty_ordered]]&lt;&gt;T[[#This Row],[qty_received]],IF(T[[#This Row],[qty_received]]&gt;0,"Partial Received","Not Receviced"),"FullyReceived")</f>
        <v>Partial Received</v>
      </c>
      <c r="Q3152" t="str">
        <f>IF(T[[#This Row],[qty_received]]&lt;&gt;T[[#This Row],[qty_invoiced]],IF(T[[#This Row],[qty_invoiced]]&gt;0,"Partial Invoiced","Not Invoiced"),"Fully Invoiced")</f>
        <v>Fully Invoiced</v>
      </c>
      <c r="R3152" t="str">
        <f>IFERROR(VLOOKUP(T[[#This Row],[warehouse]],Table2[],2,FALSE),"--")</f>
        <v>PZU Main Warehouse</v>
      </c>
    </row>
    <row r="3153" spans="1:18" x14ac:dyDescent="0.25">
      <c r="A3153" t="s">
        <v>3115</v>
      </c>
      <c r="B3153" s="1">
        <v>45025</v>
      </c>
      <c r="C3153" t="s">
        <v>3116</v>
      </c>
      <c r="D3153" t="s">
        <v>20</v>
      </c>
      <c r="E3153" t="s">
        <v>66</v>
      </c>
      <c r="F3153" t="s">
        <v>3097</v>
      </c>
      <c r="G3153" t="s">
        <v>3098</v>
      </c>
      <c r="H3153" t="s">
        <v>531</v>
      </c>
      <c r="I3153">
        <v>1000</v>
      </c>
      <c r="J3153">
        <v>0</v>
      </c>
      <c r="K3153">
        <v>0</v>
      </c>
      <c r="L3153" t="s">
        <v>693</v>
      </c>
      <c r="M3153" t="s">
        <v>1485</v>
      </c>
      <c r="N3153">
        <v>76128</v>
      </c>
      <c r="O3153">
        <v>0</v>
      </c>
      <c r="P3153" t="str">
        <f>IF(T[[#This Row],[qty_ordered]]&lt;&gt;T[[#This Row],[qty_received]],IF(T[[#This Row],[qty_received]]&gt;0,"Partial Received","Not Receviced"),"FullyReceived")</f>
        <v>Not Receviced</v>
      </c>
      <c r="Q3153" t="str">
        <f>IF(T[[#This Row],[qty_received]]&lt;&gt;T[[#This Row],[qty_invoiced]],IF(T[[#This Row],[qty_invoiced]]&gt;0,"Partial Invoiced","Not Invoiced"),"Fully Invoiced")</f>
        <v>Fully Invoiced</v>
      </c>
      <c r="R3153" t="str">
        <f>IFERROR(VLOOKUP(T[[#This Row],[warehouse]],Table2[],2,FALSE),"--")</f>
        <v>PZU Main Warehouse</v>
      </c>
    </row>
    <row r="3154" spans="1:18" x14ac:dyDescent="0.25">
      <c r="A3154" t="s">
        <v>985</v>
      </c>
      <c r="B3154" s="1">
        <v>44998</v>
      </c>
      <c r="C3154" t="s">
        <v>3105</v>
      </c>
      <c r="D3154" t="s">
        <v>88</v>
      </c>
      <c r="E3154" t="s">
        <v>51</v>
      </c>
      <c r="F3154" t="s">
        <v>183</v>
      </c>
      <c r="G3154" t="s">
        <v>2077</v>
      </c>
      <c r="H3154" t="s">
        <v>54</v>
      </c>
      <c r="I3154">
        <v>300</v>
      </c>
      <c r="J3154">
        <v>0</v>
      </c>
      <c r="K3154">
        <v>1</v>
      </c>
      <c r="L3154" t="s">
        <v>693</v>
      </c>
      <c r="M3154" t="s">
        <v>51</v>
      </c>
      <c r="N3154">
        <v>13000</v>
      </c>
      <c r="O3154">
        <v>0</v>
      </c>
      <c r="P3154" t="str">
        <f>IF(T[[#This Row],[qty_ordered]]&lt;&gt;T[[#This Row],[qty_received]],IF(T[[#This Row],[qty_received]]&gt;0,"Partial Received","Not Receviced"),"FullyReceived")</f>
        <v>Not Receviced</v>
      </c>
      <c r="Q3154" t="str">
        <f>IF(T[[#This Row],[qty_received]]&lt;&gt;T[[#This Row],[qty_invoiced]],IF(T[[#This Row],[qty_invoiced]]&gt;0,"Partial Invoiced","Not Invoiced"),"Fully Invoiced")</f>
        <v>Partial Invoiced</v>
      </c>
      <c r="R3154" t="str">
        <f>IFERROR(VLOOKUP(T[[#This Row],[warehouse]],Table2[],2,FALSE),"--")</f>
        <v>--</v>
      </c>
    </row>
    <row r="3155" spans="1:18" x14ac:dyDescent="0.25">
      <c r="A3155" t="s">
        <v>153</v>
      </c>
      <c r="B3155" s="1">
        <v>45026</v>
      </c>
      <c r="C3155" t="s">
        <v>3117</v>
      </c>
      <c r="D3155" t="s">
        <v>20</v>
      </c>
      <c r="E3155" t="s">
        <v>51</v>
      </c>
      <c r="F3155" t="s">
        <v>164</v>
      </c>
      <c r="G3155" t="s">
        <v>3118</v>
      </c>
      <c r="H3155" t="s">
        <v>54</v>
      </c>
      <c r="I3155">
        <v>401.4</v>
      </c>
      <c r="J3155">
        <v>0</v>
      </c>
      <c r="K3155">
        <v>0</v>
      </c>
      <c r="L3155" t="s">
        <v>693</v>
      </c>
      <c r="M3155" t="s">
        <v>2836</v>
      </c>
      <c r="N3155">
        <v>523.79172900000003</v>
      </c>
      <c r="O3155">
        <v>0</v>
      </c>
      <c r="P3155" t="str">
        <f>IF(T[[#This Row],[qty_ordered]]&lt;&gt;T[[#This Row],[qty_received]],IF(T[[#This Row],[qty_received]]&gt;0,"Partial Received","Not Receviced"),"FullyReceived")</f>
        <v>Not Receviced</v>
      </c>
      <c r="Q3155" t="str">
        <f>IF(T[[#This Row],[qty_received]]&lt;&gt;T[[#This Row],[qty_invoiced]],IF(T[[#This Row],[qty_invoiced]]&gt;0,"Partial Invoiced","Not Invoiced"),"Fully Invoiced")</f>
        <v>Fully Invoiced</v>
      </c>
      <c r="R3155" t="str">
        <f>IFERROR(VLOOKUP(T[[#This Row],[warehouse]],Table2[],2,FALSE),"--")</f>
        <v>--</v>
      </c>
    </row>
    <row r="3156" spans="1:18" x14ac:dyDescent="0.25">
      <c r="A3156" t="s">
        <v>153</v>
      </c>
      <c r="B3156" s="1">
        <v>45026</v>
      </c>
      <c r="C3156" t="s">
        <v>3119</v>
      </c>
      <c r="D3156" t="s">
        <v>20</v>
      </c>
      <c r="E3156" t="s">
        <v>51</v>
      </c>
      <c r="F3156" t="s">
        <v>2845</v>
      </c>
      <c r="G3156" t="s">
        <v>3120</v>
      </c>
      <c r="H3156" t="s">
        <v>54</v>
      </c>
      <c r="I3156">
        <v>942.2</v>
      </c>
      <c r="J3156">
        <v>0</v>
      </c>
      <c r="K3156">
        <v>0</v>
      </c>
      <c r="L3156" t="s">
        <v>693</v>
      </c>
      <c r="M3156" t="s">
        <v>2836</v>
      </c>
      <c r="N3156">
        <v>12824.505413000001</v>
      </c>
      <c r="O3156">
        <v>0</v>
      </c>
      <c r="P3156" t="str">
        <f>IF(T[[#This Row],[qty_ordered]]&lt;&gt;T[[#This Row],[qty_received]],IF(T[[#This Row],[qty_received]]&gt;0,"Partial Received","Not Receviced"),"FullyReceived")</f>
        <v>Not Receviced</v>
      </c>
      <c r="Q3156" t="str">
        <f>IF(T[[#This Row],[qty_received]]&lt;&gt;T[[#This Row],[qty_invoiced]],IF(T[[#This Row],[qty_invoiced]]&gt;0,"Partial Invoiced","Not Invoiced"),"Fully Invoiced")</f>
        <v>Fully Invoiced</v>
      </c>
      <c r="R3156" t="str">
        <f>IFERROR(VLOOKUP(T[[#This Row],[warehouse]],Table2[],2,FALSE),"--")</f>
        <v>--</v>
      </c>
    </row>
    <row r="3157" spans="1:18" x14ac:dyDescent="0.25">
      <c r="A3157" t="s">
        <v>153</v>
      </c>
      <c r="B3157" s="1">
        <v>45026</v>
      </c>
      <c r="C3157" t="s">
        <v>3121</v>
      </c>
      <c r="D3157" t="s">
        <v>20</v>
      </c>
      <c r="E3157" t="s">
        <v>51</v>
      </c>
      <c r="F3157" t="s">
        <v>2845</v>
      </c>
      <c r="G3157" t="s">
        <v>3122</v>
      </c>
      <c r="H3157" t="s">
        <v>54</v>
      </c>
      <c r="I3157">
        <v>677.71900000000005</v>
      </c>
      <c r="J3157">
        <v>0</v>
      </c>
      <c r="K3157">
        <v>0</v>
      </c>
      <c r="L3157" t="s">
        <v>693</v>
      </c>
      <c r="M3157" t="s">
        <v>2836</v>
      </c>
      <c r="N3157">
        <v>3114.37041</v>
      </c>
      <c r="O3157">
        <v>0</v>
      </c>
      <c r="P3157" t="str">
        <f>IF(T[[#This Row],[qty_ordered]]&lt;&gt;T[[#This Row],[qty_received]],IF(T[[#This Row],[qty_received]]&gt;0,"Partial Received","Not Receviced"),"FullyReceived")</f>
        <v>Not Receviced</v>
      </c>
      <c r="Q3157" t="str">
        <f>IF(T[[#This Row],[qty_received]]&lt;&gt;T[[#This Row],[qty_invoiced]],IF(T[[#This Row],[qty_invoiced]]&gt;0,"Partial Invoiced","Not Invoiced"),"Fully Invoiced")</f>
        <v>Fully Invoiced</v>
      </c>
      <c r="R3157" t="str">
        <f>IFERROR(VLOOKUP(T[[#This Row],[warehouse]],Table2[],2,FALSE),"--")</f>
        <v>--</v>
      </c>
    </row>
    <row r="3158" spans="1:18" x14ac:dyDescent="0.25">
      <c r="A3158" t="s">
        <v>1170</v>
      </c>
      <c r="B3158" s="1">
        <v>44955</v>
      </c>
      <c r="C3158" t="s">
        <v>3123</v>
      </c>
      <c r="D3158" t="s">
        <v>71</v>
      </c>
      <c r="E3158" t="s">
        <v>3124</v>
      </c>
      <c r="F3158" t="s">
        <v>1259</v>
      </c>
      <c r="G3158" t="s">
        <v>1260</v>
      </c>
      <c r="H3158" t="s">
        <v>24</v>
      </c>
      <c r="I3158">
        <v>168.42099999999999</v>
      </c>
      <c r="J3158">
        <v>0</v>
      </c>
      <c r="K3158">
        <v>0</v>
      </c>
      <c r="L3158" t="s">
        <v>693</v>
      </c>
      <c r="M3158" t="s">
        <v>707</v>
      </c>
      <c r="N3158">
        <v>475000.148437</v>
      </c>
      <c r="O3158">
        <v>0</v>
      </c>
      <c r="P3158" t="str">
        <f>IF(T[[#This Row],[qty_ordered]]&lt;&gt;T[[#This Row],[qty_received]],IF(T[[#This Row],[qty_received]]&gt;0,"Partial Received","Not Receviced"),"FullyReceived")</f>
        <v>Not Receviced</v>
      </c>
      <c r="Q3158" t="str">
        <f>IF(T[[#This Row],[qty_received]]&lt;&gt;T[[#This Row],[qty_invoiced]],IF(T[[#This Row],[qty_invoiced]]&gt;0,"Partial Invoiced","Not Invoiced"),"Fully Invoiced")</f>
        <v>Fully Invoiced</v>
      </c>
      <c r="R3158" t="str">
        <f>IFERROR(VLOOKUP(T[[#This Row],[warehouse]],Table2[],2,FALSE),"--")</f>
        <v>--</v>
      </c>
    </row>
    <row r="3159" spans="1:18" x14ac:dyDescent="0.25">
      <c r="A3159" t="s">
        <v>795</v>
      </c>
      <c r="B3159" s="1">
        <v>45015</v>
      </c>
      <c r="C3159" t="s">
        <v>3125</v>
      </c>
      <c r="D3159" t="s">
        <v>20</v>
      </c>
      <c r="E3159" t="s">
        <v>1142</v>
      </c>
      <c r="F3159" t="s">
        <v>130</v>
      </c>
      <c r="G3159" t="s">
        <v>131</v>
      </c>
      <c r="H3159" t="s">
        <v>24</v>
      </c>
      <c r="I3159">
        <v>500</v>
      </c>
      <c r="J3159">
        <v>73.08</v>
      </c>
      <c r="K3159">
        <v>73.08</v>
      </c>
      <c r="L3159" t="s">
        <v>693</v>
      </c>
      <c r="M3159" t="s">
        <v>1485</v>
      </c>
      <c r="N3159">
        <v>429425</v>
      </c>
      <c r="O3159">
        <v>31382379</v>
      </c>
      <c r="P3159" t="str">
        <f>IF(T[[#This Row],[qty_ordered]]&lt;&gt;T[[#This Row],[qty_received]],IF(T[[#This Row],[qty_received]]&gt;0,"Partial Received","Not Receviced"),"FullyReceived")</f>
        <v>Partial Received</v>
      </c>
      <c r="Q3159" t="str">
        <f>IF(T[[#This Row],[qty_received]]&lt;&gt;T[[#This Row],[qty_invoiced]],IF(T[[#This Row],[qty_invoiced]]&gt;0,"Partial Invoiced","Not Invoiced"),"Fully Invoiced")</f>
        <v>Fully Invoiced</v>
      </c>
      <c r="R3159" t="str">
        <f>IFERROR(VLOOKUP(T[[#This Row],[warehouse]],Table2[],2,FALSE),"--")</f>
        <v>SAVOLA W/H FOR EXPOR</v>
      </c>
    </row>
    <row r="3160" spans="1:18" x14ac:dyDescent="0.25">
      <c r="A3160" t="s">
        <v>1413</v>
      </c>
      <c r="B3160" s="1">
        <v>44994</v>
      </c>
      <c r="C3160" t="s">
        <v>3081</v>
      </c>
      <c r="D3160" t="s">
        <v>71</v>
      </c>
      <c r="E3160" t="s">
        <v>2857</v>
      </c>
      <c r="F3160" t="s">
        <v>406</v>
      </c>
      <c r="G3160" t="s">
        <v>407</v>
      </c>
      <c r="H3160" t="s">
        <v>24</v>
      </c>
      <c r="I3160">
        <v>598.09799999999996</v>
      </c>
      <c r="J3160">
        <v>0</v>
      </c>
      <c r="K3160">
        <v>0</v>
      </c>
      <c r="L3160" t="s">
        <v>693</v>
      </c>
      <c r="M3160" t="s">
        <v>707</v>
      </c>
      <c r="N3160">
        <v>300954.024256</v>
      </c>
      <c r="O3160">
        <v>0</v>
      </c>
      <c r="P3160" t="str">
        <f>IF(T[[#This Row],[qty_ordered]]&lt;&gt;T[[#This Row],[qty_received]],IF(T[[#This Row],[qty_received]]&gt;0,"Partial Received","Not Receviced"),"FullyReceived")</f>
        <v>Not Receviced</v>
      </c>
      <c r="Q3160" t="str">
        <f>IF(T[[#This Row],[qty_received]]&lt;&gt;T[[#This Row],[qty_invoiced]],IF(T[[#This Row],[qty_invoiced]]&gt;0,"Partial Invoiced","Not Invoiced"),"Fully Invoiced")</f>
        <v>Fully Invoiced</v>
      </c>
      <c r="R3160" t="str">
        <f>IFERROR(VLOOKUP(T[[#This Row],[warehouse]],Table2[],2,FALSE),"--")</f>
        <v>Alfager Ginning</v>
      </c>
    </row>
    <row r="3161" spans="1:18" x14ac:dyDescent="0.25">
      <c r="A3161" t="s">
        <v>560</v>
      </c>
      <c r="B3161" s="1">
        <v>44973</v>
      </c>
      <c r="C3161" t="s">
        <v>3086</v>
      </c>
      <c r="D3161" t="s">
        <v>100</v>
      </c>
      <c r="E3161" t="s">
        <v>51</v>
      </c>
      <c r="F3161" t="s">
        <v>2842</v>
      </c>
      <c r="G3161" t="s">
        <v>3126</v>
      </c>
      <c r="H3161" t="s">
        <v>54</v>
      </c>
      <c r="I3161">
        <v>26</v>
      </c>
      <c r="J3161">
        <v>0</v>
      </c>
      <c r="K3161">
        <v>0</v>
      </c>
      <c r="L3161" t="s">
        <v>693</v>
      </c>
      <c r="M3161" t="s">
        <v>2836</v>
      </c>
      <c r="N3161">
        <v>12285</v>
      </c>
      <c r="O3161">
        <v>0</v>
      </c>
      <c r="P3161" t="str">
        <f>IF(T[[#This Row],[qty_ordered]]&lt;&gt;T[[#This Row],[qty_received]],IF(T[[#This Row],[qty_received]]&gt;0,"Partial Received","Not Receviced"),"FullyReceived")</f>
        <v>Not Receviced</v>
      </c>
      <c r="Q3161" t="str">
        <f>IF(T[[#This Row],[qty_received]]&lt;&gt;T[[#This Row],[qty_invoiced]],IF(T[[#This Row],[qty_invoiced]]&gt;0,"Partial Invoiced","Not Invoiced"),"Fully Invoiced")</f>
        <v>Fully Invoiced</v>
      </c>
      <c r="R3161" t="str">
        <f>IFERROR(VLOOKUP(T[[#This Row],[warehouse]],Table2[],2,FALSE),"--")</f>
        <v>--</v>
      </c>
    </row>
    <row r="3162" spans="1:18" x14ac:dyDescent="0.25">
      <c r="A3162" t="s">
        <v>560</v>
      </c>
      <c r="B3162" s="1">
        <v>44746</v>
      </c>
      <c r="C3162" t="s">
        <v>1771</v>
      </c>
      <c r="D3162" t="s">
        <v>615</v>
      </c>
      <c r="E3162" t="s">
        <v>51</v>
      </c>
      <c r="F3162" t="s">
        <v>164</v>
      </c>
      <c r="G3162" t="s">
        <v>3127</v>
      </c>
      <c r="H3162" t="s">
        <v>54</v>
      </c>
      <c r="I3162">
        <v>13</v>
      </c>
      <c r="J3162">
        <v>0</v>
      </c>
      <c r="K3162">
        <v>0</v>
      </c>
      <c r="L3162" t="s">
        <v>693</v>
      </c>
      <c r="M3162" t="s">
        <v>2836</v>
      </c>
      <c r="N3162">
        <v>12285</v>
      </c>
      <c r="O3162">
        <v>0</v>
      </c>
      <c r="P3162" t="str">
        <f>IF(T[[#This Row],[qty_ordered]]&lt;&gt;T[[#This Row],[qty_received]],IF(T[[#This Row],[qty_received]]&gt;0,"Partial Received","Not Receviced"),"FullyReceived")</f>
        <v>Not Receviced</v>
      </c>
      <c r="Q3162" t="str">
        <f>IF(T[[#This Row],[qty_received]]&lt;&gt;T[[#This Row],[qty_invoiced]],IF(T[[#This Row],[qty_invoiced]]&gt;0,"Partial Invoiced","Not Invoiced"),"Fully Invoiced")</f>
        <v>Fully Invoiced</v>
      </c>
      <c r="R3162" t="str">
        <f>IFERROR(VLOOKUP(T[[#This Row],[warehouse]],Table2[],2,FALSE),"--")</f>
        <v>--</v>
      </c>
    </row>
    <row r="3163" spans="1:18" x14ac:dyDescent="0.25">
      <c r="A3163" t="s">
        <v>303</v>
      </c>
      <c r="B3163" s="1">
        <v>44783</v>
      </c>
      <c r="C3163" t="s">
        <v>1859</v>
      </c>
      <c r="D3163" t="s">
        <v>74</v>
      </c>
      <c r="E3163" t="s">
        <v>66</v>
      </c>
      <c r="F3163" t="s">
        <v>1860</v>
      </c>
      <c r="G3163" t="s">
        <v>1861</v>
      </c>
      <c r="H3163" t="s">
        <v>531</v>
      </c>
      <c r="I3163">
        <v>2334</v>
      </c>
      <c r="J3163">
        <v>2334</v>
      </c>
      <c r="K3163">
        <v>0</v>
      </c>
      <c r="L3163" t="s">
        <v>693</v>
      </c>
      <c r="M3163" t="s">
        <v>707</v>
      </c>
      <c r="N3163">
        <v>114022.319262</v>
      </c>
      <c r="O3163">
        <v>266128093.15750799</v>
      </c>
      <c r="P3163" t="str">
        <f>IF(T[[#This Row],[qty_ordered]]&lt;&gt;T[[#This Row],[qty_received]],IF(T[[#This Row],[qty_received]]&gt;0,"Partial Received","Not Receviced"),"FullyReceived")</f>
        <v>FullyReceived</v>
      </c>
      <c r="Q3163" t="str">
        <f>IF(T[[#This Row],[qty_received]]&lt;&gt;T[[#This Row],[qty_invoiced]],IF(T[[#This Row],[qty_invoiced]]&gt;0,"Partial Invoiced","Not Invoiced"),"Fully Invoiced")</f>
        <v>Not Invoiced</v>
      </c>
      <c r="R3163" t="str">
        <f>IFERROR(VLOOKUP(T[[#This Row],[warehouse]],Table2[],2,FALSE),"--")</f>
        <v>PZU Main Warehouse</v>
      </c>
    </row>
    <row r="3164" spans="1:18" x14ac:dyDescent="0.25">
      <c r="A3164" t="s">
        <v>153</v>
      </c>
      <c r="B3164" s="1">
        <v>45026</v>
      </c>
      <c r="C3164" t="s">
        <v>3121</v>
      </c>
      <c r="D3164" t="s">
        <v>71</v>
      </c>
      <c r="E3164" t="s">
        <v>51</v>
      </c>
      <c r="F3164" t="s">
        <v>2845</v>
      </c>
      <c r="G3164" t="s">
        <v>3128</v>
      </c>
      <c r="H3164" t="s">
        <v>54</v>
      </c>
      <c r="I3164">
        <v>609.947</v>
      </c>
      <c r="J3164">
        <v>0</v>
      </c>
      <c r="K3164">
        <v>0</v>
      </c>
      <c r="L3164" t="s">
        <v>693</v>
      </c>
      <c r="M3164" t="s">
        <v>2836</v>
      </c>
      <c r="N3164">
        <v>13841.648536000001</v>
      </c>
      <c r="O3164">
        <v>0</v>
      </c>
      <c r="P3164" t="str">
        <f>IF(T[[#This Row],[qty_ordered]]&lt;&gt;T[[#This Row],[qty_received]],IF(T[[#This Row],[qty_received]]&gt;0,"Partial Received","Not Receviced"),"FullyReceived")</f>
        <v>Not Receviced</v>
      </c>
      <c r="Q3164" t="str">
        <f>IF(T[[#This Row],[qty_received]]&lt;&gt;T[[#This Row],[qty_invoiced]],IF(T[[#This Row],[qty_invoiced]]&gt;0,"Partial Invoiced","Not Invoiced"),"Fully Invoiced")</f>
        <v>Fully Invoiced</v>
      </c>
      <c r="R3164" t="str">
        <f>IFERROR(VLOOKUP(T[[#This Row],[warehouse]],Table2[],2,FALSE),"--")</f>
        <v>--</v>
      </c>
    </row>
    <row r="3165" spans="1:18" x14ac:dyDescent="0.25">
      <c r="A3165" t="s">
        <v>3129</v>
      </c>
      <c r="B3165" s="1">
        <v>45028</v>
      </c>
      <c r="C3165" t="s">
        <v>3130</v>
      </c>
      <c r="D3165" t="s">
        <v>20</v>
      </c>
      <c r="E3165" t="s">
        <v>66</v>
      </c>
      <c r="F3165" t="s">
        <v>1860</v>
      </c>
      <c r="G3165" t="s">
        <v>1861</v>
      </c>
      <c r="H3165" t="s">
        <v>531</v>
      </c>
      <c r="I3165">
        <v>1300</v>
      </c>
      <c r="J3165">
        <v>1287</v>
      </c>
      <c r="K3165">
        <v>0</v>
      </c>
      <c r="L3165" t="s">
        <v>693</v>
      </c>
      <c r="M3165" t="s">
        <v>1485</v>
      </c>
      <c r="N3165">
        <v>100500</v>
      </c>
      <c r="O3165">
        <v>129343500</v>
      </c>
      <c r="P3165" t="str">
        <f>IF(T[[#This Row],[qty_ordered]]&lt;&gt;T[[#This Row],[qty_received]],IF(T[[#This Row],[qty_received]]&gt;0,"Partial Received","Not Receviced"),"FullyReceived")</f>
        <v>Partial Received</v>
      </c>
      <c r="Q3165" t="str">
        <f>IF(T[[#This Row],[qty_received]]&lt;&gt;T[[#This Row],[qty_invoiced]],IF(T[[#This Row],[qty_invoiced]]&gt;0,"Partial Invoiced","Not Invoiced"),"Fully Invoiced")</f>
        <v>Not Invoiced</v>
      </c>
      <c r="R3165" t="str">
        <f>IFERROR(VLOOKUP(T[[#This Row],[warehouse]],Table2[],2,FALSE),"--")</f>
        <v>PZU Main Warehouse</v>
      </c>
    </row>
    <row r="3166" spans="1:18" x14ac:dyDescent="0.25">
      <c r="A3166" t="s">
        <v>84</v>
      </c>
      <c r="B3166" s="1">
        <v>45029</v>
      </c>
      <c r="C3166" t="s">
        <v>3131</v>
      </c>
      <c r="D3166" t="s">
        <v>20</v>
      </c>
      <c r="E3166" t="s">
        <v>1142</v>
      </c>
      <c r="F3166" t="s">
        <v>103</v>
      </c>
      <c r="G3166" t="s">
        <v>104</v>
      </c>
      <c r="H3166" t="s">
        <v>24</v>
      </c>
      <c r="I3166">
        <v>23.7</v>
      </c>
      <c r="J3166">
        <v>23.7</v>
      </c>
      <c r="K3166">
        <v>23.7</v>
      </c>
      <c r="L3166" t="s">
        <v>693</v>
      </c>
      <c r="M3166" t="s">
        <v>132</v>
      </c>
      <c r="N3166">
        <v>405000</v>
      </c>
      <c r="O3166">
        <v>9598500</v>
      </c>
      <c r="P3166" t="str">
        <f>IF(T[[#This Row],[qty_ordered]]&lt;&gt;T[[#This Row],[qty_received]],IF(T[[#This Row],[qty_received]]&gt;0,"Partial Received","Not Receviced"),"FullyReceived")</f>
        <v>FullyReceived</v>
      </c>
      <c r="Q3166" t="str">
        <f>IF(T[[#This Row],[qty_received]]&lt;&gt;T[[#This Row],[qty_invoiced]],IF(T[[#This Row],[qty_invoiced]]&gt;0,"Partial Invoiced","Not Invoiced"),"Fully Invoiced")</f>
        <v>Fully Invoiced</v>
      </c>
      <c r="R3166" t="str">
        <f>IFERROR(VLOOKUP(T[[#This Row],[warehouse]],Table2[],2,FALSE),"--")</f>
        <v>SAVOLA W/H FOR EXPOR</v>
      </c>
    </row>
    <row r="3167" spans="1:18" x14ac:dyDescent="0.25">
      <c r="A3167" t="s">
        <v>201</v>
      </c>
      <c r="B3167" s="1">
        <v>45127</v>
      </c>
      <c r="C3167" t="s">
        <v>3132</v>
      </c>
      <c r="D3167" t="s">
        <v>20</v>
      </c>
      <c r="E3167" t="s">
        <v>1220</v>
      </c>
      <c r="F3167" t="s">
        <v>2893</v>
      </c>
      <c r="G3167" t="s">
        <v>2894</v>
      </c>
      <c r="H3167" t="s">
        <v>711</v>
      </c>
      <c r="I3167">
        <v>37500</v>
      </c>
      <c r="J3167">
        <v>37500</v>
      </c>
      <c r="K3167">
        <v>0</v>
      </c>
      <c r="L3167" t="s">
        <v>693</v>
      </c>
      <c r="M3167" t="s">
        <v>3133</v>
      </c>
      <c r="N3167">
        <v>12882.473128</v>
      </c>
      <c r="O3167">
        <v>483092742.30000001</v>
      </c>
      <c r="P3167" t="str">
        <f>IF(T[[#This Row],[qty_ordered]]&lt;&gt;T[[#This Row],[qty_received]],IF(T[[#This Row],[qty_received]]&gt;0,"Partial Received","Not Receviced"),"FullyReceived")</f>
        <v>FullyReceived</v>
      </c>
      <c r="Q3167" t="str">
        <f>IF(T[[#This Row],[qty_received]]&lt;&gt;T[[#This Row],[qty_invoiced]],IF(T[[#This Row],[qty_invoiced]]&gt;0,"Partial Invoiced","Not Invoiced"),"Fully Invoiced")</f>
        <v>Not Invoiced</v>
      </c>
      <c r="R3167" t="str">
        <f>IFERROR(VLOOKUP(T[[#This Row],[warehouse]],Table2[],2,FALSE),"--")</f>
        <v>Import Virtual Warehouse - PZU</v>
      </c>
    </row>
    <row r="3168" spans="1:18" x14ac:dyDescent="0.25">
      <c r="A3168" t="s">
        <v>3134</v>
      </c>
      <c r="B3168" s="1">
        <v>45164</v>
      </c>
      <c r="C3168" t="s">
        <v>3135</v>
      </c>
      <c r="D3168" t="s">
        <v>20</v>
      </c>
      <c r="E3168" t="s">
        <v>66</v>
      </c>
      <c r="F3168" t="s">
        <v>130</v>
      </c>
      <c r="G3168" t="s">
        <v>131</v>
      </c>
      <c r="H3168" t="s">
        <v>24</v>
      </c>
      <c r="I3168">
        <v>156.19999999999999</v>
      </c>
      <c r="J3168">
        <v>156.19999999999999</v>
      </c>
      <c r="K3168">
        <v>156.19999999999999</v>
      </c>
      <c r="L3168" t="s">
        <v>693</v>
      </c>
      <c r="M3168" t="s">
        <v>714</v>
      </c>
      <c r="N3168">
        <v>550000</v>
      </c>
      <c r="O3168">
        <v>85910000</v>
      </c>
      <c r="P3168" t="str">
        <f>IF(T[[#This Row],[qty_ordered]]&lt;&gt;T[[#This Row],[qty_received]],IF(T[[#This Row],[qty_received]]&gt;0,"Partial Received","Not Receviced"),"FullyReceived")</f>
        <v>FullyReceived</v>
      </c>
      <c r="Q3168" t="str">
        <f>IF(T[[#This Row],[qty_received]]&lt;&gt;T[[#This Row],[qty_invoiced]],IF(T[[#This Row],[qty_invoiced]]&gt;0,"Partial Invoiced","Not Invoiced"),"Fully Invoiced")</f>
        <v>Fully Invoiced</v>
      </c>
      <c r="R3168" t="str">
        <f>IFERROR(VLOOKUP(T[[#This Row],[warehouse]],Table2[],2,FALSE),"--")</f>
        <v>PZU Main Warehouse</v>
      </c>
    </row>
    <row r="3169" spans="1:18" x14ac:dyDescent="0.25">
      <c r="A3169" t="s">
        <v>3136</v>
      </c>
      <c r="B3169" s="1">
        <v>45166</v>
      </c>
      <c r="C3169" t="s">
        <v>3137</v>
      </c>
      <c r="D3169" t="s">
        <v>20</v>
      </c>
      <c r="E3169" t="s">
        <v>203</v>
      </c>
      <c r="F3169" t="s">
        <v>147</v>
      </c>
      <c r="G3169" t="s">
        <v>148</v>
      </c>
      <c r="H3169" t="s">
        <v>149</v>
      </c>
      <c r="I3169">
        <v>100000</v>
      </c>
      <c r="J3169">
        <v>100000</v>
      </c>
      <c r="K3169">
        <v>0</v>
      </c>
      <c r="L3169" t="s">
        <v>693</v>
      </c>
      <c r="M3169" t="s">
        <v>3138</v>
      </c>
      <c r="N3169">
        <v>300</v>
      </c>
      <c r="O3169">
        <v>30000000</v>
      </c>
      <c r="P3169" t="str">
        <f>IF(T[[#This Row],[qty_ordered]]&lt;&gt;T[[#This Row],[qty_received]],IF(T[[#This Row],[qty_received]]&gt;0,"Partial Received","Not Receviced"),"FullyReceived")</f>
        <v>FullyReceived</v>
      </c>
      <c r="Q3169" t="str">
        <f>IF(T[[#This Row],[qty_received]]&lt;&gt;T[[#This Row],[qty_invoiced]],IF(T[[#This Row],[qty_invoiced]]&gt;0,"Partial Invoiced","Not Invoiced"),"Fully Invoiced")</f>
        <v>Not Invoiced</v>
      </c>
      <c r="R3169" t="str">
        <f>IFERROR(VLOOKUP(T[[#This Row],[warehouse]],Table2[],2,FALSE),"--")</f>
        <v>PZU Packaging Warehouse</v>
      </c>
    </row>
    <row r="3170" spans="1:18" x14ac:dyDescent="0.25">
      <c r="A3170" t="s">
        <v>3136</v>
      </c>
      <c r="B3170" s="1">
        <v>45166</v>
      </c>
      <c r="C3170" t="s">
        <v>3139</v>
      </c>
      <c r="D3170" t="s">
        <v>20</v>
      </c>
      <c r="E3170" t="s">
        <v>2780</v>
      </c>
      <c r="F3170" t="s">
        <v>1307</v>
      </c>
      <c r="G3170" t="s">
        <v>1308</v>
      </c>
      <c r="H3170" t="s">
        <v>149</v>
      </c>
      <c r="I3170">
        <v>3500</v>
      </c>
      <c r="J3170">
        <v>3500</v>
      </c>
      <c r="K3170">
        <v>0</v>
      </c>
      <c r="L3170" t="s">
        <v>693</v>
      </c>
      <c r="M3170" t="s">
        <v>3138</v>
      </c>
      <c r="N3170">
        <v>385</v>
      </c>
      <c r="O3170">
        <v>1347500</v>
      </c>
      <c r="P3170" t="str">
        <f>IF(T[[#This Row],[qty_ordered]]&lt;&gt;T[[#This Row],[qty_received]],IF(T[[#This Row],[qty_received]]&gt;0,"Partial Received","Not Receviced"),"FullyReceived")</f>
        <v>FullyReceived</v>
      </c>
      <c r="Q3170" t="str">
        <f>IF(T[[#This Row],[qty_received]]&lt;&gt;T[[#This Row],[qty_invoiced]],IF(T[[#This Row],[qty_invoiced]]&gt;0,"Partial Invoiced","Not Invoiced"),"Fully Invoiced")</f>
        <v>Not Invoiced</v>
      </c>
      <c r="R3170" t="str">
        <f>IFERROR(VLOOKUP(T[[#This Row],[warehouse]],Table2[],2,FALSE),"--")</f>
        <v>PZU IMPORT WH</v>
      </c>
    </row>
    <row r="3171" spans="1:18" x14ac:dyDescent="0.25">
      <c r="A3171" t="s">
        <v>201</v>
      </c>
      <c r="B3171" s="1">
        <v>45217</v>
      </c>
      <c r="C3171" t="s">
        <v>3140</v>
      </c>
      <c r="D3171" t="s">
        <v>20</v>
      </c>
      <c r="E3171" t="s">
        <v>51</v>
      </c>
      <c r="F3171" t="s">
        <v>933</v>
      </c>
      <c r="G3171" t="s">
        <v>3141</v>
      </c>
      <c r="H3171" t="s">
        <v>54</v>
      </c>
      <c r="I3171">
        <v>3040</v>
      </c>
      <c r="J3171">
        <v>0</v>
      </c>
      <c r="K3171">
        <v>0</v>
      </c>
      <c r="L3171" t="s">
        <v>693</v>
      </c>
      <c r="M3171" t="s">
        <v>3133</v>
      </c>
      <c r="N3171">
        <v>5598.9101600000004</v>
      </c>
      <c r="O3171">
        <v>0</v>
      </c>
      <c r="P3171" t="str">
        <f>IF(T[[#This Row],[qty_ordered]]&lt;&gt;T[[#This Row],[qty_received]],IF(T[[#This Row],[qty_received]]&gt;0,"Partial Received","Not Receviced"),"FullyReceived")</f>
        <v>Not Receviced</v>
      </c>
      <c r="Q3171" t="str">
        <f>IF(T[[#This Row],[qty_received]]&lt;&gt;T[[#This Row],[qty_invoiced]],IF(T[[#This Row],[qty_invoiced]]&gt;0,"Partial Invoiced","Not Invoiced"),"Fully Invoiced")</f>
        <v>Fully Invoiced</v>
      </c>
      <c r="R3171" t="str">
        <f>IFERROR(VLOOKUP(T[[#This Row],[warehouse]],Table2[],2,FALSE),"--")</f>
        <v>--</v>
      </c>
    </row>
    <row r="3172" spans="1:18" x14ac:dyDescent="0.25">
      <c r="A3172" t="s">
        <v>201</v>
      </c>
      <c r="B3172" s="1">
        <v>45217</v>
      </c>
      <c r="C3172" t="s">
        <v>3140</v>
      </c>
      <c r="D3172" t="s">
        <v>71</v>
      </c>
      <c r="E3172" t="s">
        <v>51</v>
      </c>
      <c r="F3172" t="s">
        <v>933</v>
      </c>
      <c r="G3172" t="s">
        <v>3142</v>
      </c>
      <c r="H3172" t="s">
        <v>54</v>
      </c>
      <c r="I3172">
        <v>2</v>
      </c>
      <c r="J3172">
        <v>0</v>
      </c>
      <c r="K3172">
        <v>0</v>
      </c>
      <c r="L3172" t="s">
        <v>693</v>
      </c>
      <c r="M3172" t="s">
        <v>3133</v>
      </c>
      <c r="N3172">
        <v>1844303.9136000001</v>
      </c>
      <c r="O3172">
        <v>0</v>
      </c>
      <c r="P3172" t="str">
        <f>IF(T[[#This Row],[qty_ordered]]&lt;&gt;T[[#This Row],[qty_received]],IF(T[[#This Row],[qty_received]]&gt;0,"Partial Received","Not Receviced"),"FullyReceived")</f>
        <v>Not Receviced</v>
      </c>
      <c r="Q3172" t="str">
        <f>IF(T[[#This Row],[qty_received]]&lt;&gt;T[[#This Row],[qty_invoiced]],IF(T[[#This Row],[qty_invoiced]]&gt;0,"Partial Invoiced","Not Invoiced"),"Fully Invoiced")</f>
        <v>Fully Invoiced</v>
      </c>
      <c r="R3172" t="str">
        <f>IFERROR(VLOOKUP(T[[#This Row],[warehouse]],Table2[],2,FALSE),"--")</f>
        <v>--</v>
      </c>
    </row>
    <row r="3173" spans="1:18" x14ac:dyDescent="0.25">
      <c r="A3173" t="s">
        <v>228</v>
      </c>
      <c r="B3173" s="1">
        <v>45222</v>
      </c>
      <c r="C3173" t="s">
        <v>3143</v>
      </c>
      <c r="D3173" t="s">
        <v>20</v>
      </c>
      <c r="E3173" t="s">
        <v>239</v>
      </c>
      <c r="F3173" t="s">
        <v>230</v>
      </c>
      <c r="G3173" t="s">
        <v>231</v>
      </c>
      <c r="H3173" t="s">
        <v>24</v>
      </c>
      <c r="I3173">
        <v>1836.5</v>
      </c>
      <c r="J3173">
        <v>1836.5</v>
      </c>
      <c r="K3173">
        <v>0</v>
      </c>
      <c r="L3173" t="s">
        <v>693</v>
      </c>
      <c r="M3173" t="s">
        <v>3144</v>
      </c>
      <c r="N3173">
        <v>1513002.264</v>
      </c>
      <c r="O3173">
        <v>2778628657.836</v>
      </c>
      <c r="P3173" t="str">
        <f>IF(T[[#This Row],[qty_ordered]]&lt;&gt;T[[#This Row],[qty_received]],IF(T[[#This Row],[qty_received]]&gt;0,"Partial Received","Not Receviced"),"FullyReceived")</f>
        <v>FullyReceived</v>
      </c>
      <c r="Q3173" t="str">
        <f>IF(T[[#This Row],[qty_received]]&lt;&gt;T[[#This Row],[qty_invoiced]],IF(T[[#This Row],[qty_invoiced]]&gt;0,"Partial Invoiced","Not Invoiced"),"Fully Invoiced")</f>
        <v>Not Invoiced</v>
      </c>
      <c r="R3173" t="str">
        <f>IFERROR(VLOOKUP(T[[#This Row],[warehouse]],Table2[],2,FALSE),"--")</f>
        <v xml:space="preserve">Gadarif Main Store </v>
      </c>
    </row>
    <row r="3174" spans="1:18" x14ac:dyDescent="0.25">
      <c r="A3174" t="s">
        <v>1639</v>
      </c>
      <c r="B3174" s="1">
        <v>45222</v>
      </c>
      <c r="C3174" t="s">
        <v>3145</v>
      </c>
      <c r="D3174" t="s">
        <v>20</v>
      </c>
      <c r="E3174" t="s">
        <v>111</v>
      </c>
      <c r="F3174" t="s">
        <v>86</v>
      </c>
      <c r="G3174" t="s">
        <v>87</v>
      </c>
      <c r="H3174" t="s">
        <v>24</v>
      </c>
      <c r="I3174">
        <v>1487.2049999999999</v>
      </c>
      <c r="J3174">
        <v>934.86</v>
      </c>
      <c r="K3174">
        <v>934.86</v>
      </c>
      <c r="L3174" t="s">
        <v>693</v>
      </c>
      <c r="M3174" t="s">
        <v>3144</v>
      </c>
      <c r="N3174">
        <v>1468526.531312</v>
      </c>
      <c r="O3174">
        <v>1372866713.06234</v>
      </c>
      <c r="P3174" t="str">
        <f>IF(T[[#This Row],[qty_ordered]]&lt;&gt;T[[#This Row],[qty_received]],IF(T[[#This Row],[qty_received]]&gt;0,"Partial Received","Not Receviced"),"FullyReceived")</f>
        <v>Partial Received</v>
      </c>
      <c r="Q3174" t="str">
        <f>IF(T[[#This Row],[qty_received]]&lt;&gt;T[[#This Row],[qty_invoiced]],IF(T[[#This Row],[qty_invoiced]]&gt;0,"Partial Invoiced","Not Invoiced"),"Fully Invoiced")</f>
        <v>Fully Invoiced</v>
      </c>
      <c r="R3174" t="str">
        <f>IFERROR(VLOOKUP(T[[#This Row],[warehouse]],Table2[],2,FALSE),"--")</f>
        <v>Sifting PZU-Al Jawhra</v>
      </c>
    </row>
    <row r="3175" spans="1:18" x14ac:dyDescent="0.25">
      <c r="A3175" t="s">
        <v>3136</v>
      </c>
      <c r="B3175" s="1">
        <v>45218</v>
      </c>
      <c r="C3175" t="s">
        <v>3146</v>
      </c>
      <c r="D3175" t="s">
        <v>20</v>
      </c>
      <c r="E3175" t="s">
        <v>203</v>
      </c>
      <c r="F3175" t="s">
        <v>147</v>
      </c>
      <c r="G3175" t="s">
        <v>148</v>
      </c>
      <c r="H3175" t="s">
        <v>149</v>
      </c>
      <c r="I3175">
        <v>9000</v>
      </c>
      <c r="J3175">
        <v>9000</v>
      </c>
      <c r="K3175">
        <v>0</v>
      </c>
      <c r="L3175" t="s">
        <v>693</v>
      </c>
      <c r="M3175" t="s">
        <v>3138</v>
      </c>
      <c r="N3175">
        <v>275</v>
      </c>
      <c r="O3175">
        <v>2475000</v>
      </c>
      <c r="P3175" t="str">
        <f>IF(T[[#This Row],[qty_ordered]]&lt;&gt;T[[#This Row],[qty_received]],IF(T[[#This Row],[qty_received]]&gt;0,"Partial Received","Not Receviced"),"FullyReceived")</f>
        <v>FullyReceived</v>
      </c>
      <c r="Q3175" t="str">
        <f>IF(T[[#This Row],[qty_received]]&lt;&gt;T[[#This Row],[qty_invoiced]],IF(T[[#This Row],[qty_invoiced]]&gt;0,"Partial Invoiced","Not Invoiced"),"Fully Invoiced")</f>
        <v>Not Invoiced</v>
      </c>
      <c r="R3175" t="str">
        <f>IFERROR(VLOOKUP(T[[#This Row],[warehouse]],Table2[],2,FALSE),"--")</f>
        <v>PZU Packaging Warehouse</v>
      </c>
    </row>
    <row r="3176" spans="1:18" x14ac:dyDescent="0.25">
      <c r="A3176" t="s">
        <v>3136</v>
      </c>
      <c r="B3176" s="1">
        <v>45207</v>
      </c>
      <c r="C3176" t="s">
        <v>3147</v>
      </c>
      <c r="D3176" t="s">
        <v>20</v>
      </c>
      <c r="E3176" t="s">
        <v>2780</v>
      </c>
      <c r="F3176" t="s">
        <v>1307</v>
      </c>
      <c r="G3176" t="s">
        <v>1308</v>
      </c>
      <c r="H3176" t="s">
        <v>149</v>
      </c>
      <c r="I3176">
        <v>4500</v>
      </c>
      <c r="J3176">
        <v>4500</v>
      </c>
      <c r="K3176">
        <v>0</v>
      </c>
      <c r="L3176" t="s">
        <v>693</v>
      </c>
      <c r="M3176" t="s">
        <v>3138</v>
      </c>
      <c r="N3176">
        <v>430</v>
      </c>
      <c r="O3176">
        <v>1935000</v>
      </c>
      <c r="P3176" t="str">
        <f>IF(T[[#This Row],[qty_ordered]]&lt;&gt;T[[#This Row],[qty_received]],IF(T[[#This Row],[qty_received]]&gt;0,"Partial Received","Not Receviced"),"FullyReceived")</f>
        <v>FullyReceived</v>
      </c>
      <c r="Q3176" t="str">
        <f>IF(T[[#This Row],[qty_received]]&lt;&gt;T[[#This Row],[qty_invoiced]],IF(T[[#This Row],[qty_invoiced]]&gt;0,"Partial Invoiced","Not Invoiced"),"Fully Invoiced")</f>
        <v>Not Invoiced</v>
      </c>
      <c r="R3176" t="str">
        <f>IFERROR(VLOOKUP(T[[#This Row],[warehouse]],Table2[],2,FALSE),"--")</f>
        <v>PZU IMPORT WH</v>
      </c>
    </row>
    <row r="3177" spans="1:18" x14ac:dyDescent="0.25">
      <c r="A3177" t="s">
        <v>3148</v>
      </c>
      <c r="B3177" s="1">
        <v>45238</v>
      </c>
      <c r="C3177" t="s">
        <v>3149</v>
      </c>
      <c r="D3177" t="s">
        <v>20</v>
      </c>
      <c r="E3177" t="s">
        <v>918</v>
      </c>
      <c r="F3177" t="s">
        <v>151</v>
      </c>
      <c r="G3177" t="s">
        <v>152</v>
      </c>
      <c r="H3177" t="s">
        <v>149</v>
      </c>
      <c r="I3177">
        <v>4000</v>
      </c>
      <c r="J3177">
        <v>0</v>
      </c>
      <c r="K3177">
        <v>0</v>
      </c>
      <c r="L3177" t="s">
        <v>59</v>
      </c>
      <c r="M3177" t="s">
        <v>1404</v>
      </c>
      <c r="N3177">
        <v>300</v>
      </c>
      <c r="O3177">
        <v>0</v>
      </c>
      <c r="P3177" t="str">
        <f>IF(T[[#This Row],[qty_ordered]]&lt;&gt;T[[#This Row],[qty_received]],IF(T[[#This Row],[qty_received]]&gt;0,"Partial Received","Not Receviced"),"FullyReceived")</f>
        <v>Not Receviced</v>
      </c>
      <c r="Q3177" t="str">
        <f>IF(T[[#This Row],[qty_received]]&lt;&gt;T[[#This Row],[qty_invoiced]],IF(T[[#This Row],[qty_invoiced]]&gt;0,"Partial Invoiced","Not Invoiced"),"Fully Invoiced")</f>
        <v>Fully Invoiced</v>
      </c>
      <c r="R3177" t="str">
        <f>IFERROR(VLOOKUP(T[[#This Row],[warehouse]],Table2[],2,FALSE),"--")</f>
        <v>SIFTER GZ -PZU</v>
      </c>
    </row>
    <row r="3178" spans="1:18" x14ac:dyDescent="0.25">
      <c r="A3178" t="s">
        <v>3148</v>
      </c>
      <c r="B3178" s="1">
        <v>45238</v>
      </c>
      <c r="C3178" t="s">
        <v>3149</v>
      </c>
      <c r="D3178" t="s">
        <v>71</v>
      </c>
      <c r="E3178" t="s">
        <v>111</v>
      </c>
      <c r="F3178" t="s">
        <v>151</v>
      </c>
      <c r="G3178" t="s">
        <v>152</v>
      </c>
      <c r="H3178" t="s">
        <v>149</v>
      </c>
      <c r="I3178">
        <v>3000</v>
      </c>
      <c r="J3178">
        <v>0</v>
      </c>
      <c r="K3178">
        <v>0</v>
      </c>
      <c r="L3178" t="s">
        <v>59</v>
      </c>
      <c r="M3178" t="s">
        <v>1404</v>
      </c>
      <c r="N3178">
        <v>300</v>
      </c>
      <c r="O3178">
        <v>0</v>
      </c>
      <c r="P3178" t="str">
        <f>IF(T[[#This Row],[qty_ordered]]&lt;&gt;T[[#This Row],[qty_received]],IF(T[[#This Row],[qty_received]]&gt;0,"Partial Received","Not Receviced"),"FullyReceived")</f>
        <v>Not Receviced</v>
      </c>
      <c r="Q3178" t="str">
        <f>IF(T[[#This Row],[qty_received]]&lt;&gt;T[[#This Row],[qty_invoiced]],IF(T[[#This Row],[qty_invoiced]]&gt;0,"Partial Invoiced","Not Invoiced"),"Fully Invoiced")</f>
        <v>Fully Invoiced</v>
      </c>
      <c r="R3178" t="str">
        <f>IFERROR(VLOOKUP(T[[#This Row],[warehouse]],Table2[],2,FALSE),"--")</f>
        <v>Sifting PZU-Al Jawhra</v>
      </c>
    </row>
    <row r="3179" spans="1:18" x14ac:dyDescent="0.25">
      <c r="A3179" t="s">
        <v>242</v>
      </c>
      <c r="B3179" s="1">
        <v>45242</v>
      </c>
      <c r="C3179" t="s">
        <v>3239</v>
      </c>
      <c r="D3179" t="s">
        <v>71</v>
      </c>
      <c r="E3179" t="s">
        <v>405</v>
      </c>
      <c r="F3179" t="s">
        <v>244</v>
      </c>
      <c r="G3179" t="s">
        <v>245</v>
      </c>
      <c r="H3179" t="s">
        <v>24</v>
      </c>
      <c r="I3179">
        <v>200</v>
      </c>
      <c r="J3179">
        <v>77.099999999999994</v>
      </c>
      <c r="K3179">
        <v>0</v>
      </c>
      <c r="L3179" t="s">
        <v>693</v>
      </c>
      <c r="M3179" t="s">
        <v>3144</v>
      </c>
      <c r="N3179">
        <v>1300000</v>
      </c>
      <c r="O3179">
        <v>100230000</v>
      </c>
      <c r="P3179" t="str">
        <f>IF(T[[#This Row],[qty_ordered]]&lt;&gt;T[[#This Row],[qty_received]],IF(T[[#This Row],[qty_received]]&gt;0,"Partial Received","Not Receviced"),"FullyReceived")</f>
        <v>Partial Received</v>
      </c>
      <c r="Q3179" t="str">
        <f>IF(T[[#This Row],[qty_received]]&lt;&gt;T[[#This Row],[qty_invoiced]],IF(T[[#This Row],[qty_invoiced]]&gt;0,"Partial Invoiced","Not Invoiced"),"Fully Invoiced")</f>
        <v>Not Invoiced</v>
      </c>
      <c r="R3179" t="str">
        <f>IFERROR(VLOOKUP(T[[#This Row],[warehouse]],Table2[],2,FALSE),"--")</f>
        <v>GINNING ISHRAG-MDNI</v>
      </c>
    </row>
    <row r="3180" spans="1:18" x14ac:dyDescent="0.25">
      <c r="A3180" t="s">
        <v>201</v>
      </c>
      <c r="B3180" s="1">
        <v>45160</v>
      </c>
      <c r="C3180" t="s">
        <v>3233</v>
      </c>
      <c r="D3180" t="s">
        <v>71</v>
      </c>
      <c r="E3180" t="s">
        <v>1220</v>
      </c>
      <c r="F3180" t="s">
        <v>3194</v>
      </c>
      <c r="G3180" t="s">
        <v>3195</v>
      </c>
      <c r="H3180" t="s">
        <v>149</v>
      </c>
      <c r="I3180">
        <v>6000</v>
      </c>
      <c r="J3180">
        <v>2700</v>
      </c>
      <c r="K3180">
        <v>0</v>
      </c>
      <c r="L3180" t="s">
        <v>693</v>
      </c>
      <c r="M3180" t="s">
        <v>3133</v>
      </c>
      <c r="N3180">
        <v>0</v>
      </c>
      <c r="O3180">
        <v>0</v>
      </c>
      <c r="P3180" t="str">
        <f>IF(T[[#This Row],[qty_ordered]]&lt;&gt;T[[#This Row],[qty_received]],IF(T[[#This Row],[qty_received]]&gt;0,"Partial Received","Not Receviced"),"FullyReceived")</f>
        <v>Partial Received</v>
      </c>
      <c r="Q3180" t="str">
        <f>IF(T[[#This Row],[qty_received]]&lt;&gt;T[[#This Row],[qty_invoiced]],IF(T[[#This Row],[qty_invoiced]]&gt;0,"Partial Invoiced","Not Invoiced"),"Fully Invoiced")</f>
        <v>Not Invoiced</v>
      </c>
      <c r="R3180" t="str">
        <f>IFERROR(VLOOKUP(T[[#This Row],[warehouse]],Table2[],2,FALSE),"--")</f>
        <v>Import Virtual Warehouse - PZU</v>
      </c>
    </row>
    <row r="3181" spans="1:18" x14ac:dyDescent="0.25">
      <c r="A3181" t="s">
        <v>201</v>
      </c>
      <c r="B3181" s="1">
        <v>45160</v>
      </c>
      <c r="C3181" t="s">
        <v>3234</v>
      </c>
      <c r="D3181" t="s">
        <v>100</v>
      </c>
      <c r="E3181" t="s">
        <v>1220</v>
      </c>
      <c r="F3181" t="s">
        <v>3346</v>
      </c>
      <c r="G3181" t="s">
        <v>3347</v>
      </c>
      <c r="H3181" t="s">
        <v>149</v>
      </c>
      <c r="I3181">
        <v>2500</v>
      </c>
      <c r="J3181">
        <v>1314</v>
      </c>
      <c r="K3181">
        <v>0</v>
      </c>
      <c r="L3181" t="s">
        <v>693</v>
      </c>
      <c r="M3181" t="s">
        <v>3133</v>
      </c>
      <c r="N3181">
        <v>0</v>
      </c>
      <c r="O3181">
        <v>0</v>
      </c>
      <c r="P3181" t="str">
        <f>IF(T[[#This Row],[qty_ordered]]&lt;&gt;T[[#This Row],[qty_received]],IF(T[[#This Row],[qty_received]]&gt;0,"Partial Received","Not Receviced"),"FullyReceived")</f>
        <v>Partial Received</v>
      </c>
      <c r="Q3181" t="str">
        <f>IF(T[[#This Row],[qty_received]]&lt;&gt;T[[#This Row],[qty_invoiced]],IF(T[[#This Row],[qty_invoiced]]&gt;0,"Partial Invoiced","Not Invoiced"),"Fully Invoiced")</f>
        <v>Not Invoiced</v>
      </c>
      <c r="R3181" t="str">
        <f>IFERROR(VLOOKUP(T[[#This Row],[warehouse]],Table2[],2,FALSE),"--")</f>
        <v>Import Virtual Warehouse - PZU</v>
      </c>
    </row>
    <row r="3182" spans="1:18" x14ac:dyDescent="0.25">
      <c r="A3182" t="s">
        <v>1639</v>
      </c>
      <c r="B3182" s="1">
        <v>45222</v>
      </c>
      <c r="C3182" t="s">
        <v>3145</v>
      </c>
      <c r="D3182" t="s">
        <v>100</v>
      </c>
      <c r="E3182" t="s">
        <v>66</v>
      </c>
      <c r="F3182" t="s">
        <v>86</v>
      </c>
      <c r="G3182" t="s">
        <v>87</v>
      </c>
      <c r="H3182" t="s">
        <v>24</v>
      </c>
      <c r="I3182">
        <v>200</v>
      </c>
      <c r="J3182">
        <v>0</v>
      </c>
      <c r="K3182">
        <v>0</v>
      </c>
      <c r="L3182" t="s">
        <v>693</v>
      </c>
      <c r="M3182" t="s">
        <v>3144</v>
      </c>
      <c r="N3182">
        <v>1459854.0145980001</v>
      </c>
      <c r="O3182">
        <v>0</v>
      </c>
      <c r="P3182" t="str">
        <f>IF(T[[#This Row],[qty_ordered]]&lt;&gt;T[[#This Row],[qty_received]],IF(T[[#This Row],[qty_received]]&gt;0,"Partial Received","Not Receviced"),"FullyReceived")</f>
        <v>Not Receviced</v>
      </c>
      <c r="Q3182" t="str">
        <f>IF(T[[#This Row],[qty_received]]&lt;&gt;T[[#This Row],[qty_invoiced]],IF(T[[#This Row],[qty_invoiced]]&gt;0,"Partial Invoiced","Not Invoiced"),"Fully Invoiced")</f>
        <v>Fully Invoiced</v>
      </c>
      <c r="R3182" t="str">
        <f>IFERROR(VLOOKUP(T[[#This Row],[warehouse]],Table2[],2,FALSE),"--")</f>
        <v>PZU Main Warehouse</v>
      </c>
    </row>
    <row r="3183" spans="1:18" x14ac:dyDescent="0.25">
      <c r="A3183" t="s">
        <v>423</v>
      </c>
      <c r="B3183" s="1">
        <v>45235</v>
      </c>
      <c r="C3183" t="s">
        <v>3150</v>
      </c>
      <c r="D3183" t="s">
        <v>20</v>
      </c>
      <c r="E3183" t="s">
        <v>203</v>
      </c>
      <c r="F3183" t="s">
        <v>147</v>
      </c>
      <c r="G3183" t="s">
        <v>148</v>
      </c>
      <c r="H3183" t="s">
        <v>149</v>
      </c>
      <c r="I3183">
        <v>86000</v>
      </c>
      <c r="J3183">
        <v>0</v>
      </c>
      <c r="K3183">
        <v>0</v>
      </c>
      <c r="L3183" t="s">
        <v>693</v>
      </c>
      <c r="M3183" t="s">
        <v>3133</v>
      </c>
      <c r="N3183">
        <v>285</v>
      </c>
      <c r="O3183">
        <v>0</v>
      </c>
      <c r="P3183" t="str">
        <f>IF(T[[#This Row],[qty_ordered]]&lt;&gt;T[[#This Row],[qty_received]],IF(T[[#This Row],[qty_received]]&gt;0,"Partial Received","Not Receviced"),"FullyReceived")</f>
        <v>Not Receviced</v>
      </c>
      <c r="Q3183" t="str">
        <f>IF(T[[#This Row],[qty_received]]&lt;&gt;T[[#This Row],[qty_invoiced]],IF(T[[#This Row],[qty_invoiced]]&gt;0,"Partial Invoiced","Not Invoiced"),"Fully Invoiced")</f>
        <v>Fully Invoiced</v>
      </c>
      <c r="R3183" t="str">
        <f>IFERROR(VLOOKUP(T[[#This Row],[warehouse]],Table2[],2,FALSE),"--")</f>
        <v>PZU Packaging Warehouse</v>
      </c>
    </row>
    <row r="3184" spans="1:18" x14ac:dyDescent="0.25">
      <c r="A3184" t="s">
        <v>423</v>
      </c>
      <c r="B3184" s="1">
        <v>45235</v>
      </c>
      <c r="C3184" t="s">
        <v>3150</v>
      </c>
      <c r="D3184" t="s">
        <v>71</v>
      </c>
      <c r="E3184" t="s">
        <v>203</v>
      </c>
      <c r="F3184" t="s">
        <v>151</v>
      </c>
      <c r="G3184" t="s">
        <v>152</v>
      </c>
      <c r="H3184" t="s">
        <v>149</v>
      </c>
      <c r="I3184">
        <v>86000</v>
      </c>
      <c r="J3184">
        <v>0</v>
      </c>
      <c r="K3184">
        <v>0</v>
      </c>
      <c r="L3184" t="s">
        <v>693</v>
      </c>
      <c r="M3184" t="s">
        <v>3133</v>
      </c>
      <c r="N3184">
        <v>285</v>
      </c>
      <c r="O3184">
        <v>0</v>
      </c>
      <c r="P3184" t="str">
        <f>IF(T[[#This Row],[qty_ordered]]&lt;&gt;T[[#This Row],[qty_received]],IF(T[[#This Row],[qty_received]]&gt;0,"Partial Received","Not Receviced"),"FullyReceived")</f>
        <v>Not Receviced</v>
      </c>
      <c r="Q3184" t="str">
        <f>IF(T[[#This Row],[qty_received]]&lt;&gt;T[[#This Row],[qty_invoiced]],IF(T[[#This Row],[qty_invoiced]]&gt;0,"Partial Invoiced","Not Invoiced"),"Fully Invoiced")</f>
        <v>Fully Invoiced</v>
      </c>
      <c r="R3184" t="str">
        <f>IFERROR(VLOOKUP(T[[#This Row],[warehouse]],Table2[],2,FALSE),"--")</f>
        <v>PZU Packaging Warehouse</v>
      </c>
    </row>
    <row r="3185" spans="1:18" x14ac:dyDescent="0.25">
      <c r="A3185" t="s">
        <v>3151</v>
      </c>
      <c r="B3185" s="1">
        <v>45235</v>
      </c>
      <c r="C3185" t="s">
        <v>3152</v>
      </c>
      <c r="D3185" t="s">
        <v>20</v>
      </c>
      <c r="E3185" t="s">
        <v>203</v>
      </c>
      <c r="F3185" t="s">
        <v>943</v>
      </c>
      <c r="G3185" t="s">
        <v>944</v>
      </c>
      <c r="H3185" t="s">
        <v>149</v>
      </c>
      <c r="I3185">
        <v>49000</v>
      </c>
      <c r="J3185">
        <v>49000</v>
      </c>
      <c r="K3185">
        <v>49000</v>
      </c>
      <c r="L3185" t="s">
        <v>693</v>
      </c>
      <c r="M3185" t="s">
        <v>3133</v>
      </c>
      <c r="N3185">
        <v>340</v>
      </c>
      <c r="O3185">
        <v>16660000</v>
      </c>
      <c r="P3185" t="str">
        <f>IF(T[[#This Row],[qty_ordered]]&lt;&gt;T[[#This Row],[qty_received]],IF(T[[#This Row],[qty_received]]&gt;0,"Partial Received","Not Receviced"),"FullyReceived")</f>
        <v>FullyReceived</v>
      </c>
      <c r="Q3185" t="str">
        <f>IF(T[[#This Row],[qty_received]]&lt;&gt;T[[#This Row],[qty_invoiced]],IF(T[[#This Row],[qty_invoiced]]&gt;0,"Partial Invoiced","Not Invoiced"),"Fully Invoiced")</f>
        <v>Fully Invoiced</v>
      </c>
      <c r="R3185" t="str">
        <f>IFERROR(VLOOKUP(T[[#This Row],[warehouse]],Table2[],2,FALSE),"--")</f>
        <v>PZU Packaging Warehouse</v>
      </c>
    </row>
    <row r="3186" spans="1:18" x14ac:dyDescent="0.25">
      <c r="A3186" t="s">
        <v>3148</v>
      </c>
      <c r="B3186" s="1">
        <v>45238</v>
      </c>
      <c r="C3186" t="s">
        <v>3153</v>
      </c>
      <c r="D3186" t="s">
        <v>20</v>
      </c>
      <c r="E3186" t="s">
        <v>918</v>
      </c>
      <c r="F3186" t="s">
        <v>151</v>
      </c>
      <c r="G3186" t="s">
        <v>152</v>
      </c>
      <c r="H3186" t="s">
        <v>149</v>
      </c>
      <c r="I3186">
        <v>4000</v>
      </c>
      <c r="J3186">
        <v>4000</v>
      </c>
      <c r="K3186">
        <v>4000</v>
      </c>
      <c r="L3186" t="s">
        <v>693</v>
      </c>
      <c r="M3186" t="s">
        <v>1404</v>
      </c>
      <c r="N3186">
        <v>300</v>
      </c>
      <c r="O3186">
        <v>1200000</v>
      </c>
      <c r="P3186" t="str">
        <f>IF(T[[#This Row],[qty_ordered]]&lt;&gt;T[[#This Row],[qty_received]],IF(T[[#This Row],[qty_received]]&gt;0,"Partial Received","Not Receviced"),"FullyReceived")</f>
        <v>FullyReceived</v>
      </c>
      <c r="Q3186" t="str">
        <f>IF(T[[#This Row],[qty_received]]&lt;&gt;T[[#This Row],[qty_invoiced]],IF(T[[#This Row],[qty_invoiced]]&gt;0,"Partial Invoiced","Not Invoiced"),"Fully Invoiced")</f>
        <v>Fully Invoiced</v>
      </c>
      <c r="R3186" t="str">
        <f>IFERROR(VLOOKUP(T[[#This Row],[warehouse]],Table2[],2,FALSE),"--")</f>
        <v>SIFTER GZ -PZU</v>
      </c>
    </row>
    <row r="3187" spans="1:18" x14ac:dyDescent="0.25">
      <c r="A3187" t="s">
        <v>3148</v>
      </c>
      <c r="B3187" s="1">
        <v>45238</v>
      </c>
      <c r="C3187" t="s">
        <v>3153</v>
      </c>
      <c r="D3187" t="s">
        <v>71</v>
      </c>
      <c r="E3187" t="s">
        <v>111</v>
      </c>
      <c r="F3187" t="s">
        <v>151</v>
      </c>
      <c r="G3187" t="s">
        <v>152</v>
      </c>
      <c r="H3187" t="s">
        <v>149</v>
      </c>
      <c r="I3187">
        <v>3000</v>
      </c>
      <c r="J3187">
        <v>3000</v>
      </c>
      <c r="K3187">
        <v>3000</v>
      </c>
      <c r="L3187" t="s">
        <v>693</v>
      </c>
      <c r="M3187" t="s">
        <v>1404</v>
      </c>
      <c r="N3187">
        <v>300</v>
      </c>
      <c r="O3187">
        <v>900000</v>
      </c>
      <c r="P3187" t="str">
        <f>IF(T[[#This Row],[qty_ordered]]&lt;&gt;T[[#This Row],[qty_received]],IF(T[[#This Row],[qty_received]]&gt;0,"Partial Received","Not Receviced"),"FullyReceived")</f>
        <v>FullyReceived</v>
      </c>
      <c r="Q3187" t="str">
        <f>IF(T[[#This Row],[qty_received]]&lt;&gt;T[[#This Row],[qty_invoiced]],IF(T[[#This Row],[qty_invoiced]]&gt;0,"Partial Invoiced","Not Invoiced"),"Fully Invoiced")</f>
        <v>Fully Invoiced</v>
      </c>
      <c r="R3187" t="str">
        <f>IFERROR(VLOOKUP(T[[#This Row],[warehouse]],Table2[],2,FALSE),"--")</f>
        <v>Sifting PZU-Al Jawhra</v>
      </c>
    </row>
    <row r="3188" spans="1:18" x14ac:dyDescent="0.25">
      <c r="A3188" t="s">
        <v>1639</v>
      </c>
      <c r="B3188" s="1">
        <v>45222</v>
      </c>
      <c r="C3188" t="s">
        <v>3145</v>
      </c>
      <c r="D3188" t="s">
        <v>71</v>
      </c>
      <c r="E3188" t="s">
        <v>3348</v>
      </c>
      <c r="F3188" t="s">
        <v>86</v>
      </c>
      <c r="G3188" t="s">
        <v>87</v>
      </c>
      <c r="H3188" t="s">
        <v>24</v>
      </c>
      <c r="I3188">
        <v>576.08000000000004</v>
      </c>
      <c r="J3188">
        <v>576.08000000000004</v>
      </c>
      <c r="K3188">
        <v>317.61</v>
      </c>
      <c r="L3188" t="s">
        <v>693</v>
      </c>
      <c r="M3188" t="s">
        <v>3144</v>
      </c>
      <c r="N3188">
        <v>1492427.5</v>
      </c>
      <c r="O3188">
        <v>865483846.39735103</v>
      </c>
      <c r="P3188" t="str">
        <f>IF(T[[#This Row],[qty_ordered]]&lt;&gt;T[[#This Row],[qty_received]],IF(T[[#This Row],[qty_received]]&gt;0,"Partial Received","Not Receviced"),"FullyReceived")</f>
        <v>FullyReceived</v>
      </c>
      <c r="Q3188" t="str">
        <f>IF(T[[#This Row],[qty_received]]&lt;&gt;T[[#This Row],[qty_invoiced]],IF(T[[#This Row],[qty_invoiced]]&gt;0,"Partial Invoiced","Not Invoiced"),"Fully Invoiced")</f>
        <v>Partial Invoiced</v>
      </c>
      <c r="R3188" t="str">
        <f>IFERROR(VLOOKUP(T[[#This Row],[warehouse]],Table2[],2,FALSE),"--")</f>
        <v>--</v>
      </c>
    </row>
    <row r="3189" spans="1:18" x14ac:dyDescent="0.25">
      <c r="A3189" t="s">
        <v>2582</v>
      </c>
      <c r="B3189" s="1">
        <v>45251</v>
      </c>
      <c r="C3189" t="s">
        <v>3349</v>
      </c>
      <c r="D3189" t="s">
        <v>20</v>
      </c>
      <c r="E3189" t="s">
        <v>918</v>
      </c>
      <c r="F3189" t="s">
        <v>151</v>
      </c>
      <c r="G3189" t="s">
        <v>152</v>
      </c>
      <c r="H3189" t="s">
        <v>149</v>
      </c>
      <c r="I3189">
        <v>20000</v>
      </c>
      <c r="J3189">
        <v>20000</v>
      </c>
      <c r="K3189">
        <v>0</v>
      </c>
      <c r="L3189" t="s">
        <v>693</v>
      </c>
      <c r="M3189" t="s">
        <v>3133</v>
      </c>
      <c r="N3189">
        <v>550</v>
      </c>
      <c r="O3189">
        <v>11000000</v>
      </c>
      <c r="P3189" t="str">
        <f>IF(T[[#This Row],[qty_ordered]]&lt;&gt;T[[#This Row],[qty_received]],IF(T[[#This Row],[qty_received]]&gt;0,"Partial Received","Not Receviced"),"FullyReceived")</f>
        <v>FullyReceived</v>
      </c>
      <c r="Q3189" t="str">
        <f>IF(T[[#This Row],[qty_received]]&lt;&gt;T[[#This Row],[qty_invoiced]],IF(T[[#This Row],[qty_invoiced]]&gt;0,"Partial Invoiced","Not Invoiced"),"Fully Invoiced")</f>
        <v>Not Invoiced</v>
      </c>
      <c r="R3189" t="str">
        <f>IFERROR(VLOOKUP(T[[#This Row],[warehouse]],Table2[],2,FALSE),"--")</f>
        <v>SIFTER GZ -PZU</v>
      </c>
    </row>
    <row r="3190" spans="1:18" x14ac:dyDescent="0.25">
      <c r="A3190" t="s">
        <v>201</v>
      </c>
      <c r="B3190" s="1">
        <v>45263</v>
      </c>
      <c r="C3190" t="s">
        <v>3367</v>
      </c>
      <c r="D3190" t="s">
        <v>20</v>
      </c>
      <c r="E3190" t="s">
        <v>203</v>
      </c>
      <c r="F3190" t="s">
        <v>147</v>
      </c>
      <c r="G3190" t="s">
        <v>148</v>
      </c>
      <c r="H3190" t="s">
        <v>149</v>
      </c>
      <c r="I3190">
        <v>1251953</v>
      </c>
      <c r="J3190">
        <v>0</v>
      </c>
      <c r="K3190">
        <v>0</v>
      </c>
      <c r="L3190" t="s">
        <v>693</v>
      </c>
      <c r="M3190" t="s">
        <v>3133</v>
      </c>
      <c r="N3190">
        <v>130.54938799999999</v>
      </c>
      <c r="O3190">
        <v>0</v>
      </c>
      <c r="P3190" t="str">
        <f>IF(T[[#This Row],[qty_ordered]]&lt;&gt;T[[#This Row],[qty_received]],IF(T[[#This Row],[qty_received]]&gt;0,"Partial Received","Not Receviced"),"FullyReceived")</f>
        <v>Not Receviced</v>
      </c>
      <c r="Q3190" t="str">
        <f>IF(T[[#This Row],[qty_received]]&lt;&gt;T[[#This Row],[qty_invoiced]],IF(T[[#This Row],[qty_invoiced]]&gt;0,"Partial Invoiced","Not Invoiced"),"Fully Invoiced")</f>
        <v>Fully Invoiced</v>
      </c>
      <c r="R3190" t="str">
        <f>IFERROR(VLOOKUP(T[[#This Row],[warehouse]],Table2[],2,FALSE),"--")</f>
        <v>PZU Packaging Warehouse</v>
      </c>
    </row>
    <row r="3191" spans="1:18" x14ac:dyDescent="0.25">
      <c r="A3191" t="s">
        <v>201</v>
      </c>
      <c r="B3191" s="1">
        <v>45263</v>
      </c>
      <c r="C3191" t="s">
        <v>3367</v>
      </c>
      <c r="D3191" t="s">
        <v>71</v>
      </c>
      <c r="E3191" t="s">
        <v>203</v>
      </c>
      <c r="F3191" t="s">
        <v>151</v>
      </c>
      <c r="G3191" t="s">
        <v>152</v>
      </c>
      <c r="H3191" t="s">
        <v>149</v>
      </c>
      <c r="I3191">
        <v>74920</v>
      </c>
      <c r="J3191">
        <v>0</v>
      </c>
      <c r="K3191">
        <v>0</v>
      </c>
      <c r="L3191" t="s">
        <v>693</v>
      </c>
      <c r="M3191" t="s">
        <v>3133</v>
      </c>
      <c r="N3191">
        <v>130.54938799999999</v>
      </c>
      <c r="O3191">
        <v>0</v>
      </c>
      <c r="P3191" t="str">
        <f>IF(T[[#This Row],[qty_ordered]]&lt;&gt;T[[#This Row],[qty_received]],IF(T[[#This Row],[qty_received]]&gt;0,"Partial Received","Not Receviced"),"FullyReceived")</f>
        <v>Not Receviced</v>
      </c>
      <c r="Q3191" t="str">
        <f>IF(T[[#This Row],[qty_received]]&lt;&gt;T[[#This Row],[qty_invoiced]],IF(T[[#This Row],[qty_invoiced]]&gt;0,"Partial Invoiced","Not Invoiced"),"Fully Invoiced")</f>
        <v>Fully Invoiced</v>
      </c>
      <c r="R3191" t="str">
        <f>IFERROR(VLOOKUP(T[[#This Row],[warehouse]],Table2[],2,FALSE),"--")</f>
        <v>PZU Packaging Warehouse</v>
      </c>
    </row>
    <row r="3192" spans="1:18" x14ac:dyDescent="0.25">
      <c r="A3192" t="s">
        <v>959</v>
      </c>
      <c r="B3192" s="1">
        <v>45263</v>
      </c>
      <c r="C3192" t="s">
        <v>3368</v>
      </c>
      <c r="D3192" t="s">
        <v>20</v>
      </c>
      <c r="E3192" t="s">
        <v>3373</v>
      </c>
      <c r="F3192" t="s">
        <v>287</v>
      </c>
      <c r="G3192" t="s">
        <v>288</v>
      </c>
      <c r="H3192" t="s">
        <v>24</v>
      </c>
      <c r="I3192">
        <v>1403.508</v>
      </c>
      <c r="J3192">
        <v>0</v>
      </c>
      <c r="K3192">
        <v>0</v>
      </c>
      <c r="L3192" t="s">
        <v>693</v>
      </c>
      <c r="M3192" t="s">
        <v>1485</v>
      </c>
      <c r="N3192">
        <v>855000.47025000001</v>
      </c>
      <c r="O3192">
        <v>0</v>
      </c>
      <c r="P3192" t="str">
        <f>IF(T[[#This Row],[qty_ordered]]&lt;&gt;T[[#This Row],[qty_received]],IF(T[[#This Row],[qty_received]]&gt;0,"Partial Received","Not Receviced"),"FullyReceived")</f>
        <v>Not Receviced</v>
      </c>
      <c r="Q3192" t="str">
        <f>IF(T[[#This Row],[qty_received]]&lt;&gt;T[[#This Row],[qty_invoiced]],IF(T[[#This Row],[qty_invoiced]]&gt;0,"Partial Invoiced","Not Invoiced"),"Fully Invoiced")</f>
        <v>Fully Invoiced</v>
      </c>
      <c r="R3192" t="str">
        <f>IFERROR(VLOOKUP(T[[#This Row],[warehouse]],Table2[],2,FALSE),"--")</f>
        <v>--</v>
      </c>
    </row>
    <row r="3193" spans="1:18" x14ac:dyDescent="0.25">
      <c r="A3193" t="s">
        <v>201</v>
      </c>
      <c r="B3193" s="1">
        <v>45263</v>
      </c>
      <c r="C3193" t="s">
        <v>3367</v>
      </c>
      <c r="D3193" t="s">
        <v>100</v>
      </c>
      <c r="E3193" t="s">
        <v>203</v>
      </c>
      <c r="F3193" t="s">
        <v>943</v>
      </c>
      <c r="G3193" t="s">
        <v>944</v>
      </c>
      <c r="H3193" t="s">
        <v>149</v>
      </c>
      <c r="I3193">
        <v>142143</v>
      </c>
      <c r="J3193">
        <v>0</v>
      </c>
      <c r="K3193">
        <v>0</v>
      </c>
      <c r="L3193" t="s">
        <v>693</v>
      </c>
      <c r="M3193" t="s">
        <v>3133</v>
      </c>
      <c r="N3193">
        <v>250.51346599999999</v>
      </c>
      <c r="O3193">
        <v>0</v>
      </c>
      <c r="P3193" t="str">
        <f>IF(T[[#This Row],[qty_ordered]]&lt;&gt;T[[#This Row],[qty_received]],IF(T[[#This Row],[qty_received]]&gt;0,"Partial Received","Not Receviced"),"FullyReceived")</f>
        <v>Not Receviced</v>
      </c>
      <c r="Q3193" t="str">
        <f>IF(T[[#This Row],[qty_received]]&lt;&gt;T[[#This Row],[qty_invoiced]],IF(T[[#This Row],[qty_invoiced]]&gt;0,"Partial Invoiced","Not Invoiced"),"Fully Invoiced")</f>
        <v>Fully Invoiced</v>
      </c>
      <c r="R3193" t="str">
        <f>IFERROR(VLOOKUP(T[[#This Row],[warehouse]],Table2[],2,FALSE),"--")</f>
        <v>PZU Packaging Warehouse</v>
      </c>
    </row>
    <row r="3194" spans="1:18" x14ac:dyDescent="0.25">
      <c r="A3194" t="s">
        <v>1170</v>
      </c>
      <c r="B3194" s="1">
        <v>45270</v>
      </c>
      <c r="C3194" t="s">
        <v>3374</v>
      </c>
      <c r="D3194" t="s">
        <v>20</v>
      </c>
      <c r="E3194" t="s">
        <v>2915</v>
      </c>
      <c r="F3194" t="s">
        <v>406</v>
      </c>
      <c r="G3194" t="s">
        <v>407</v>
      </c>
      <c r="H3194" t="s">
        <v>24</v>
      </c>
      <c r="I3194">
        <v>714.28499999999997</v>
      </c>
      <c r="J3194">
        <v>0</v>
      </c>
      <c r="K3194">
        <v>0</v>
      </c>
      <c r="L3194" t="s">
        <v>693</v>
      </c>
      <c r="M3194" t="s">
        <v>3144</v>
      </c>
      <c r="N3194">
        <v>210000.21</v>
      </c>
      <c r="O3194">
        <v>0</v>
      </c>
      <c r="P3194" t="str">
        <f>IF(T[[#This Row],[qty_ordered]]&lt;&gt;T[[#This Row],[qty_received]],IF(T[[#This Row],[qty_received]]&gt;0,"Partial Received","Not Receviced"),"FullyReceived")</f>
        <v>Not Receviced</v>
      </c>
      <c r="Q3194" t="str">
        <f>IF(T[[#This Row],[qty_received]]&lt;&gt;T[[#This Row],[qty_invoiced]],IF(T[[#This Row],[qty_invoiced]]&gt;0,"Partial Invoiced","Not Invoiced"),"Fully Invoiced")</f>
        <v>Fully Invoiced</v>
      </c>
      <c r="R3194" t="str">
        <f>IFERROR(VLOOKUP(T[[#This Row],[warehouse]],Table2[],2,FALSE),"--")</f>
        <v xml:space="preserve">MSG Ginning New Halfa </v>
      </c>
    </row>
    <row r="3195" spans="1:18" x14ac:dyDescent="0.25">
      <c r="A3195" t="s">
        <v>242</v>
      </c>
      <c r="B3195" s="1">
        <v>45245</v>
      </c>
      <c r="C3195" t="s">
        <v>3243</v>
      </c>
      <c r="D3195" t="s">
        <v>71</v>
      </c>
      <c r="E3195" t="s">
        <v>66</v>
      </c>
      <c r="F3195" t="s">
        <v>244</v>
      </c>
      <c r="G3195" t="s">
        <v>245</v>
      </c>
      <c r="H3195" t="s">
        <v>24</v>
      </c>
      <c r="I3195">
        <v>461.53800000000001</v>
      </c>
      <c r="J3195">
        <v>0</v>
      </c>
      <c r="K3195">
        <v>0</v>
      </c>
      <c r="L3195" t="s">
        <v>693</v>
      </c>
      <c r="M3195" t="s">
        <v>1485</v>
      </c>
      <c r="N3195">
        <v>1300001.3000010001</v>
      </c>
      <c r="O3195">
        <v>0</v>
      </c>
      <c r="P3195" t="str">
        <f>IF(T[[#This Row],[qty_ordered]]&lt;&gt;T[[#This Row],[qty_received]],IF(T[[#This Row],[qty_received]]&gt;0,"Partial Received","Not Receviced"),"FullyReceived")</f>
        <v>Not Receviced</v>
      </c>
      <c r="Q3195" t="str">
        <f>IF(T[[#This Row],[qty_received]]&lt;&gt;T[[#This Row],[qty_invoiced]],IF(T[[#This Row],[qty_invoiced]]&gt;0,"Partial Invoiced","Not Invoiced"),"Fully Invoiced")</f>
        <v>Fully Invoiced</v>
      </c>
      <c r="R3195" t="str">
        <f>IFERROR(VLOOKUP(T[[#This Row],[warehouse]],Table2[],2,FALSE),"--")</f>
        <v>PZU Main Warehouse</v>
      </c>
    </row>
    <row r="3196" spans="1:18" x14ac:dyDescent="0.25">
      <c r="A3196" t="s">
        <v>201</v>
      </c>
      <c r="B3196" s="1">
        <v>45251</v>
      </c>
      <c r="C3196" t="s">
        <v>3350</v>
      </c>
      <c r="D3196" t="s">
        <v>20</v>
      </c>
      <c r="E3196" t="s">
        <v>1220</v>
      </c>
      <c r="F3196" t="s">
        <v>3351</v>
      </c>
      <c r="G3196" t="s">
        <v>3352</v>
      </c>
      <c r="H3196" t="s">
        <v>711</v>
      </c>
      <c r="I3196">
        <v>25000</v>
      </c>
      <c r="J3196">
        <v>0</v>
      </c>
      <c r="K3196">
        <v>0</v>
      </c>
      <c r="L3196" t="s">
        <v>693</v>
      </c>
      <c r="M3196" t="s">
        <v>1485</v>
      </c>
      <c r="N3196">
        <v>12791.111131</v>
      </c>
      <c r="O3196">
        <v>0</v>
      </c>
      <c r="P3196" t="str">
        <f>IF(T[[#This Row],[qty_ordered]]&lt;&gt;T[[#This Row],[qty_received]],IF(T[[#This Row],[qty_received]]&gt;0,"Partial Received","Not Receviced"),"FullyReceived")</f>
        <v>Not Receviced</v>
      </c>
      <c r="Q3196" t="str">
        <f>IF(T[[#This Row],[qty_received]]&lt;&gt;T[[#This Row],[qty_invoiced]],IF(T[[#This Row],[qty_invoiced]]&gt;0,"Partial Invoiced","Not Invoiced"),"Fully Invoiced")</f>
        <v>Fully Invoiced</v>
      </c>
      <c r="R3196" t="str">
        <f>IFERROR(VLOOKUP(T[[#This Row],[warehouse]],Table2[],2,FALSE),"--")</f>
        <v>Import Virtual Warehouse - PZU</v>
      </c>
    </row>
    <row r="3197" spans="1:18" x14ac:dyDescent="0.25">
      <c r="A3197" t="s">
        <v>201</v>
      </c>
      <c r="B3197" s="1">
        <v>45251</v>
      </c>
      <c r="C3197" t="s">
        <v>3350</v>
      </c>
      <c r="D3197" t="s">
        <v>71</v>
      </c>
      <c r="E3197" t="s">
        <v>1220</v>
      </c>
      <c r="F3197" t="s">
        <v>3346</v>
      </c>
      <c r="G3197" t="s">
        <v>3347</v>
      </c>
      <c r="H3197" t="s">
        <v>149</v>
      </c>
      <c r="I3197">
        <v>500</v>
      </c>
      <c r="J3197">
        <v>0</v>
      </c>
      <c r="K3197">
        <v>0</v>
      </c>
      <c r="L3197" t="s">
        <v>693</v>
      </c>
      <c r="M3197" t="s">
        <v>1485</v>
      </c>
      <c r="N3197">
        <v>0</v>
      </c>
      <c r="O3197">
        <v>0</v>
      </c>
      <c r="P3197" t="str">
        <f>IF(T[[#This Row],[qty_ordered]]&lt;&gt;T[[#This Row],[qty_received]],IF(T[[#This Row],[qty_received]]&gt;0,"Partial Received","Not Receviced"),"FullyReceived")</f>
        <v>Not Receviced</v>
      </c>
      <c r="Q3197" t="str">
        <f>IF(T[[#This Row],[qty_received]]&lt;&gt;T[[#This Row],[qty_invoiced]],IF(T[[#This Row],[qty_invoiced]]&gt;0,"Partial Invoiced","Not Invoiced"),"Fully Invoiced")</f>
        <v>Fully Invoiced</v>
      </c>
      <c r="R3197" t="str">
        <f>IFERROR(VLOOKUP(T[[#This Row],[warehouse]],Table2[],2,FALSE),"--")</f>
        <v>Import Virtual Warehouse - PZU</v>
      </c>
    </row>
    <row r="3198" spans="1:18" x14ac:dyDescent="0.25">
      <c r="A3198" t="s">
        <v>1639</v>
      </c>
      <c r="B3198" s="1">
        <v>45234</v>
      </c>
      <c r="C3198" t="s">
        <v>3236</v>
      </c>
      <c r="D3198" t="s">
        <v>71</v>
      </c>
      <c r="E3198" t="s">
        <v>66</v>
      </c>
      <c r="F3198" t="s">
        <v>86</v>
      </c>
      <c r="G3198" t="s">
        <v>87</v>
      </c>
      <c r="H3198" t="s">
        <v>24</v>
      </c>
      <c r="I3198">
        <v>1325.182</v>
      </c>
      <c r="J3198">
        <v>0</v>
      </c>
      <c r="K3198">
        <v>0</v>
      </c>
      <c r="L3198" t="s">
        <v>693</v>
      </c>
      <c r="M3198" t="s">
        <v>3144</v>
      </c>
      <c r="N3198">
        <v>1590875.819321</v>
      </c>
      <c r="O3198">
        <v>0</v>
      </c>
      <c r="P3198" t="str">
        <f>IF(T[[#This Row],[qty_ordered]]&lt;&gt;T[[#This Row],[qty_received]],IF(T[[#This Row],[qty_received]]&gt;0,"Partial Received","Not Receviced"),"FullyReceived")</f>
        <v>Not Receviced</v>
      </c>
      <c r="Q3198" t="str">
        <f>IF(T[[#This Row],[qty_received]]&lt;&gt;T[[#This Row],[qty_invoiced]],IF(T[[#This Row],[qty_invoiced]]&gt;0,"Partial Invoiced","Not Invoiced"),"Fully Invoiced")</f>
        <v>Fully Invoiced</v>
      </c>
      <c r="R3198" t="str">
        <f>IFERROR(VLOOKUP(T[[#This Row],[warehouse]],Table2[],2,FALSE),"--")</f>
        <v>PZU Main Warehouse</v>
      </c>
    </row>
    <row r="3199" spans="1:18" x14ac:dyDescent="0.25">
      <c r="A3199" t="s">
        <v>3231</v>
      </c>
      <c r="B3199" s="1">
        <v>45253</v>
      </c>
      <c r="C3199" t="s">
        <v>3357</v>
      </c>
      <c r="D3199" t="s">
        <v>20</v>
      </c>
      <c r="E3199" t="s">
        <v>203</v>
      </c>
      <c r="F3199" t="s">
        <v>151</v>
      </c>
      <c r="G3199" t="s">
        <v>152</v>
      </c>
      <c r="H3199" t="s">
        <v>149</v>
      </c>
      <c r="I3199">
        <v>64900</v>
      </c>
      <c r="J3199">
        <v>64900</v>
      </c>
      <c r="K3199">
        <v>64900</v>
      </c>
      <c r="L3199" t="s">
        <v>693</v>
      </c>
      <c r="M3199" t="s">
        <v>3133</v>
      </c>
      <c r="N3199">
        <v>330</v>
      </c>
      <c r="O3199">
        <v>21417000</v>
      </c>
      <c r="P3199" t="str">
        <f>IF(T[[#This Row],[qty_ordered]]&lt;&gt;T[[#This Row],[qty_received]],IF(T[[#This Row],[qty_received]]&gt;0,"Partial Received","Not Receviced"),"FullyReceived")</f>
        <v>FullyReceived</v>
      </c>
      <c r="Q3199" t="str">
        <f>IF(T[[#This Row],[qty_received]]&lt;&gt;T[[#This Row],[qty_invoiced]],IF(T[[#This Row],[qty_invoiced]]&gt;0,"Partial Invoiced","Not Invoiced"),"Fully Invoiced")</f>
        <v>Fully Invoiced</v>
      </c>
      <c r="R3199" t="str">
        <f>IFERROR(VLOOKUP(T[[#This Row],[warehouse]],Table2[],2,FALSE),"--")</f>
        <v>PZU Packaging Warehouse</v>
      </c>
    </row>
    <row r="3200" spans="1:18" x14ac:dyDescent="0.25">
      <c r="A3200" t="s">
        <v>242</v>
      </c>
      <c r="B3200" s="1">
        <v>45254</v>
      </c>
      <c r="C3200" t="s">
        <v>3358</v>
      </c>
      <c r="D3200" t="s">
        <v>20</v>
      </c>
      <c r="E3200" t="s">
        <v>405</v>
      </c>
      <c r="F3200" t="s">
        <v>244</v>
      </c>
      <c r="G3200" t="s">
        <v>245</v>
      </c>
      <c r="H3200" t="s">
        <v>24</v>
      </c>
      <c r="I3200">
        <v>50</v>
      </c>
      <c r="J3200">
        <v>49.46</v>
      </c>
      <c r="K3200">
        <v>0</v>
      </c>
      <c r="L3200" t="s">
        <v>693</v>
      </c>
      <c r="M3200" t="s">
        <v>1485</v>
      </c>
      <c r="N3200">
        <v>1320000</v>
      </c>
      <c r="O3200">
        <v>65287200</v>
      </c>
      <c r="P3200" t="str">
        <f>IF(T[[#This Row],[qty_ordered]]&lt;&gt;T[[#This Row],[qty_received]],IF(T[[#This Row],[qty_received]]&gt;0,"Partial Received","Not Receviced"),"FullyReceived")</f>
        <v>Partial Received</v>
      </c>
      <c r="Q3200" t="str">
        <f>IF(T[[#This Row],[qty_received]]&lt;&gt;T[[#This Row],[qty_invoiced]],IF(T[[#This Row],[qty_invoiced]]&gt;0,"Partial Invoiced","Not Invoiced"),"Fully Invoiced")</f>
        <v>Not Invoiced</v>
      </c>
      <c r="R3200" t="str">
        <f>IFERROR(VLOOKUP(T[[#This Row],[warehouse]],Table2[],2,FALSE),"--")</f>
        <v>GINNING ISHRAG-MDNI</v>
      </c>
    </row>
    <row r="3201" spans="1:18" x14ac:dyDescent="0.25">
      <c r="A3201" t="s">
        <v>242</v>
      </c>
      <c r="B3201" s="1">
        <v>45254</v>
      </c>
      <c r="C3201" t="s">
        <v>3359</v>
      </c>
      <c r="D3201" t="s">
        <v>20</v>
      </c>
      <c r="E3201" t="s">
        <v>405</v>
      </c>
      <c r="F3201" t="s">
        <v>244</v>
      </c>
      <c r="G3201" t="s">
        <v>245</v>
      </c>
      <c r="H3201" t="s">
        <v>24</v>
      </c>
      <c r="I3201">
        <v>252.31</v>
      </c>
      <c r="J3201">
        <v>252.31</v>
      </c>
      <c r="K3201">
        <v>250.69</v>
      </c>
      <c r="L3201" t="s">
        <v>693</v>
      </c>
      <c r="M3201" t="s">
        <v>1485</v>
      </c>
      <c r="N3201">
        <v>1325000</v>
      </c>
      <c r="O3201">
        <v>334310750</v>
      </c>
      <c r="P3201" t="str">
        <f>IF(T[[#This Row],[qty_ordered]]&lt;&gt;T[[#This Row],[qty_received]],IF(T[[#This Row],[qty_received]]&gt;0,"Partial Received","Not Receviced"),"FullyReceived")</f>
        <v>FullyReceived</v>
      </c>
      <c r="Q3201" t="str">
        <f>IF(T[[#This Row],[qty_received]]&lt;&gt;T[[#This Row],[qty_invoiced]],IF(T[[#This Row],[qty_invoiced]]&gt;0,"Partial Invoiced","Not Invoiced"),"Fully Invoiced")</f>
        <v>Partial Invoiced</v>
      </c>
      <c r="R3201" t="str">
        <f>IFERROR(VLOOKUP(T[[#This Row],[warehouse]],Table2[],2,FALSE),"--")</f>
        <v>GINNING ISHRAG-MDNI</v>
      </c>
    </row>
    <row r="3202" spans="1:18" x14ac:dyDescent="0.25">
      <c r="A3202" t="s">
        <v>2377</v>
      </c>
      <c r="B3202" s="1">
        <v>45260</v>
      </c>
      <c r="C3202" t="s">
        <v>3363</v>
      </c>
      <c r="D3202" t="s">
        <v>20</v>
      </c>
      <c r="E3202" t="s">
        <v>1220</v>
      </c>
      <c r="F3202" t="s">
        <v>2384</v>
      </c>
      <c r="G3202" t="s">
        <v>2385</v>
      </c>
      <c r="H3202" t="s">
        <v>123</v>
      </c>
      <c r="I3202">
        <v>100000</v>
      </c>
      <c r="J3202">
        <v>100000</v>
      </c>
      <c r="K3202">
        <v>0</v>
      </c>
      <c r="L3202" t="s">
        <v>693</v>
      </c>
      <c r="M3202" t="s">
        <v>1485</v>
      </c>
      <c r="N3202">
        <v>43603.9</v>
      </c>
      <c r="O3202">
        <v>4360390000</v>
      </c>
      <c r="P3202" t="str">
        <f>IF(T[[#This Row],[qty_ordered]]&lt;&gt;T[[#This Row],[qty_received]],IF(T[[#This Row],[qty_received]]&gt;0,"Partial Received","Not Receviced"),"FullyReceived")</f>
        <v>FullyReceived</v>
      </c>
      <c r="Q3202" t="str">
        <f>IF(T[[#This Row],[qty_received]]&lt;&gt;T[[#This Row],[qty_invoiced]],IF(T[[#This Row],[qty_invoiced]]&gt;0,"Partial Invoiced","Not Invoiced"),"Fully Invoiced")</f>
        <v>Not Invoiced</v>
      </c>
      <c r="R3202" t="str">
        <f>IFERROR(VLOOKUP(T[[#This Row],[warehouse]],Table2[],2,FALSE),"--")</f>
        <v>Import Virtual Warehouse - PZU</v>
      </c>
    </row>
    <row r="3203" spans="1:18" x14ac:dyDescent="0.25">
      <c r="A3203" t="s">
        <v>2377</v>
      </c>
      <c r="B3203" s="1">
        <v>45260</v>
      </c>
      <c r="C3203" t="s">
        <v>3363</v>
      </c>
      <c r="D3203" t="s">
        <v>71</v>
      </c>
      <c r="E3203" t="s">
        <v>1220</v>
      </c>
      <c r="F3203" t="s">
        <v>2384</v>
      </c>
      <c r="G3203" t="s">
        <v>2385</v>
      </c>
      <c r="H3203" t="s">
        <v>123</v>
      </c>
      <c r="I3203">
        <v>100000</v>
      </c>
      <c r="J3203">
        <v>100000</v>
      </c>
      <c r="K3203">
        <v>0</v>
      </c>
      <c r="L3203" t="s">
        <v>693</v>
      </c>
      <c r="M3203" t="s">
        <v>1485</v>
      </c>
      <c r="N3203">
        <v>45557.27</v>
      </c>
      <c r="O3203">
        <v>4555727000</v>
      </c>
      <c r="P3203" t="str">
        <f>IF(T[[#This Row],[qty_ordered]]&lt;&gt;T[[#This Row],[qty_received]],IF(T[[#This Row],[qty_received]]&gt;0,"Partial Received","Not Receviced"),"FullyReceived")</f>
        <v>FullyReceived</v>
      </c>
      <c r="Q3203" t="str">
        <f>IF(T[[#This Row],[qty_received]]&lt;&gt;T[[#This Row],[qty_invoiced]],IF(T[[#This Row],[qty_invoiced]]&gt;0,"Partial Invoiced","Not Invoiced"),"Fully Invoiced")</f>
        <v>Not Invoiced</v>
      </c>
      <c r="R3203" t="str">
        <f>IFERROR(VLOOKUP(T[[#This Row],[warehouse]],Table2[],2,FALSE),"--")</f>
        <v>Import Virtual Warehouse - PZU</v>
      </c>
    </row>
    <row r="3204" spans="1:18" x14ac:dyDescent="0.25">
      <c r="A3204" t="s">
        <v>2377</v>
      </c>
      <c r="B3204" s="1">
        <v>45260</v>
      </c>
      <c r="C3204" t="s">
        <v>3363</v>
      </c>
      <c r="D3204" t="s">
        <v>100</v>
      </c>
      <c r="E3204" t="s">
        <v>1220</v>
      </c>
      <c r="F3204" t="s">
        <v>1307</v>
      </c>
      <c r="G3204" t="s">
        <v>1308</v>
      </c>
      <c r="H3204" t="s">
        <v>149</v>
      </c>
      <c r="I3204">
        <v>1800</v>
      </c>
      <c r="J3204">
        <v>0</v>
      </c>
      <c r="K3204">
        <v>0</v>
      </c>
      <c r="L3204" t="s">
        <v>693</v>
      </c>
      <c r="M3204" t="s">
        <v>1485</v>
      </c>
      <c r="N3204">
        <v>0</v>
      </c>
      <c r="O3204">
        <v>0</v>
      </c>
      <c r="P3204" t="str">
        <f>IF(T[[#This Row],[qty_ordered]]&lt;&gt;T[[#This Row],[qty_received]],IF(T[[#This Row],[qty_received]]&gt;0,"Partial Received","Not Receviced"),"FullyReceived")</f>
        <v>Not Receviced</v>
      </c>
      <c r="Q3204" t="str">
        <f>IF(T[[#This Row],[qty_received]]&lt;&gt;T[[#This Row],[qty_invoiced]],IF(T[[#This Row],[qty_invoiced]]&gt;0,"Partial Invoiced","Not Invoiced"),"Fully Invoiced")</f>
        <v>Fully Invoiced</v>
      </c>
      <c r="R3204" t="str">
        <f>IFERROR(VLOOKUP(T[[#This Row],[warehouse]],Table2[],2,FALSE),"--")</f>
        <v>Import Virtual Warehouse - PZU</v>
      </c>
    </row>
    <row r="3205" spans="1:18" x14ac:dyDescent="0.25">
      <c r="A3205" t="s">
        <v>2377</v>
      </c>
      <c r="B3205" s="1">
        <v>44978</v>
      </c>
      <c r="C3205" t="s">
        <v>3258</v>
      </c>
      <c r="D3205" t="s">
        <v>71</v>
      </c>
      <c r="E3205" t="s">
        <v>1220</v>
      </c>
      <c r="F3205" t="s">
        <v>1221</v>
      </c>
      <c r="G3205" t="s">
        <v>1634</v>
      </c>
      <c r="H3205" t="s">
        <v>123</v>
      </c>
      <c r="I3205">
        <v>1</v>
      </c>
      <c r="J3205">
        <v>0</v>
      </c>
      <c r="K3205">
        <v>0</v>
      </c>
      <c r="L3205" t="s">
        <v>693</v>
      </c>
      <c r="M3205" t="s">
        <v>51</v>
      </c>
      <c r="N3205">
        <v>791404197</v>
      </c>
      <c r="O3205">
        <v>0</v>
      </c>
      <c r="P3205" t="str">
        <f>IF(T[[#This Row],[qty_ordered]]&lt;&gt;T[[#This Row],[qty_received]],IF(T[[#This Row],[qty_received]]&gt;0,"Partial Received","Not Receviced"),"FullyReceived")</f>
        <v>Not Receviced</v>
      </c>
      <c r="Q3205" t="str">
        <f>IF(T[[#This Row],[qty_received]]&lt;&gt;T[[#This Row],[qty_invoiced]],IF(T[[#This Row],[qty_invoiced]]&gt;0,"Partial Invoiced","Not Invoiced"),"Fully Invoiced")</f>
        <v>Fully Invoiced</v>
      </c>
      <c r="R3205" t="str">
        <f>IFERROR(VLOOKUP(T[[#This Row],[warehouse]],Table2[],2,FALSE),"--")</f>
        <v>Import Virtual Warehouse - PZU</v>
      </c>
    </row>
    <row r="3206" spans="1:18" x14ac:dyDescent="0.25">
      <c r="A3206" t="s">
        <v>1218</v>
      </c>
      <c r="B3206" s="1">
        <v>45007</v>
      </c>
      <c r="C3206" t="s">
        <v>3110</v>
      </c>
      <c r="D3206" t="s">
        <v>100</v>
      </c>
      <c r="E3206" t="s">
        <v>1220</v>
      </c>
      <c r="F3206" t="s">
        <v>1221</v>
      </c>
      <c r="G3206" t="s">
        <v>1634</v>
      </c>
      <c r="H3206" t="s">
        <v>123</v>
      </c>
      <c r="I3206">
        <v>198805</v>
      </c>
      <c r="J3206">
        <v>0</v>
      </c>
      <c r="K3206">
        <v>0</v>
      </c>
      <c r="L3206" t="s">
        <v>693</v>
      </c>
      <c r="M3206" t="s">
        <v>51</v>
      </c>
      <c r="N3206">
        <v>666.33</v>
      </c>
      <c r="O3206">
        <v>0</v>
      </c>
      <c r="P3206" t="str">
        <f>IF(T[[#This Row],[qty_ordered]]&lt;&gt;T[[#This Row],[qty_received]],IF(T[[#This Row],[qty_received]]&gt;0,"Partial Received","Not Receviced"),"FullyReceived")</f>
        <v>Not Receviced</v>
      </c>
      <c r="Q3206" t="str">
        <f>IF(T[[#This Row],[qty_received]]&lt;&gt;T[[#This Row],[qty_invoiced]],IF(T[[#This Row],[qty_invoiced]]&gt;0,"Partial Invoiced","Not Invoiced"),"Fully Invoiced")</f>
        <v>Fully Invoiced</v>
      </c>
      <c r="R3206" t="str">
        <f>IFERROR(VLOOKUP(T[[#This Row],[warehouse]],Table2[],2,FALSE),"--")</f>
        <v>Import Virtual Warehouse - PZU</v>
      </c>
    </row>
    <row r="3207" spans="1:18" x14ac:dyDescent="0.25">
      <c r="A3207" t="s">
        <v>1218</v>
      </c>
      <c r="B3207" s="1">
        <v>45007</v>
      </c>
      <c r="C3207" t="s">
        <v>3110</v>
      </c>
      <c r="D3207" t="s">
        <v>88</v>
      </c>
      <c r="E3207" t="s">
        <v>1220</v>
      </c>
      <c r="F3207" t="s">
        <v>1338</v>
      </c>
      <c r="G3207" t="s">
        <v>1339</v>
      </c>
      <c r="H3207" t="s">
        <v>123</v>
      </c>
      <c r="I3207">
        <v>100000</v>
      </c>
      <c r="J3207">
        <v>0</v>
      </c>
      <c r="K3207">
        <v>0</v>
      </c>
      <c r="L3207" t="s">
        <v>693</v>
      </c>
      <c r="M3207" t="s">
        <v>51</v>
      </c>
      <c r="N3207">
        <v>666.33</v>
      </c>
      <c r="O3207">
        <v>0</v>
      </c>
      <c r="P3207" t="str">
        <f>IF(T[[#This Row],[qty_ordered]]&lt;&gt;T[[#This Row],[qty_received]],IF(T[[#This Row],[qty_received]]&gt;0,"Partial Received","Not Receviced"),"FullyReceived")</f>
        <v>Not Receviced</v>
      </c>
      <c r="Q3207" t="str">
        <f>IF(T[[#This Row],[qty_received]]&lt;&gt;T[[#This Row],[qty_invoiced]],IF(T[[#This Row],[qty_invoiced]]&gt;0,"Partial Invoiced","Not Invoiced"),"Fully Invoiced")</f>
        <v>Fully Invoiced</v>
      </c>
      <c r="R3207" t="str">
        <f>IFERROR(VLOOKUP(T[[#This Row],[warehouse]],Table2[],2,FALSE),"--")</f>
        <v>Import Virtual Warehouse - PZU</v>
      </c>
    </row>
    <row r="3208" spans="1:18" x14ac:dyDescent="0.25">
      <c r="A3208" t="s">
        <v>955</v>
      </c>
      <c r="B3208" s="1">
        <v>44550</v>
      </c>
      <c r="C3208" t="s">
        <v>1484</v>
      </c>
      <c r="D3208" t="s">
        <v>71</v>
      </c>
      <c r="E3208" t="s">
        <v>629</v>
      </c>
      <c r="F3208" t="s">
        <v>287</v>
      </c>
      <c r="G3208" t="s">
        <v>288</v>
      </c>
      <c r="H3208" t="s">
        <v>24</v>
      </c>
      <c r="I3208">
        <v>2373</v>
      </c>
      <c r="J3208">
        <v>2373</v>
      </c>
      <c r="K3208">
        <v>2373</v>
      </c>
      <c r="L3208" t="s">
        <v>25</v>
      </c>
      <c r="M3208" t="s">
        <v>1485</v>
      </c>
      <c r="N3208">
        <v>303000.00303000002</v>
      </c>
      <c r="O3208">
        <v>719019007.19018996</v>
      </c>
      <c r="P3208" t="str">
        <f>IF(T[[#This Row],[qty_ordered]]&lt;&gt;T[[#This Row],[qty_received]],IF(T[[#This Row],[qty_received]]&gt;0,"Partial Received","Not Receviced"),"FullyReceived")</f>
        <v>FullyReceived</v>
      </c>
      <c r="Q3208" t="str">
        <f>IF(T[[#This Row],[qty_received]]&lt;&gt;T[[#This Row],[qty_invoiced]],IF(T[[#This Row],[qty_invoiced]]&gt;0,"Partial Invoiced","Not Invoiced"),"Fully Invoiced")</f>
        <v>Fully Invoiced</v>
      </c>
      <c r="R3208" t="str">
        <f>IFERROR(VLOOKUP(T[[#This Row],[warehouse]],Table2[],2,FALSE),"--")</f>
        <v>SOPC Sifting &amp; Sorting</v>
      </c>
    </row>
    <row r="3209" spans="1:18" x14ac:dyDescent="0.25">
      <c r="A3209" t="s">
        <v>795</v>
      </c>
      <c r="B3209" s="1">
        <v>44550</v>
      </c>
      <c r="C3209" t="s">
        <v>1494</v>
      </c>
      <c r="D3209" t="s">
        <v>71</v>
      </c>
      <c r="E3209" t="s">
        <v>1139</v>
      </c>
      <c r="F3209" t="s">
        <v>287</v>
      </c>
      <c r="G3209" t="s">
        <v>288</v>
      </c>
      <c r="H3209" t="s">
        <v>24</v>
      </c>
      <c r="I3209">
        <v>2341.83</v>
      </c>
      <c r="J3209">
        <v>2341.83</v>
      </c>
      <c r="K3209">
        <v>2341.83</v>
      </c>
      <c r="L3209" t="s">
        <v>25</v>
      </c>
      <c r="M3209" t="s">
        <v>1485</v>
      </c>
      <c r="N3209">
        <v>364182</v>
      </c>
      <c r="O3209">
        <v>843058808.43058801</v>
      </c>
      <c r="P3209" t="str">
        <f>IF(T[[#This Row],[qty_ordered]]&lt;&gt;T[[#This Row],[qty_received]],IF(T[[#This Row],[qty_received]]&gt;0,"Partial Received","Not Receviced"),"FullyReceived")</f>
        <v>FullyReceived</v>
      </c>
      <c r="Q3209" t="str">
        <f>IF(T[[#This Row],[qty_received]]&lt;&gt;T[[#This Row],[qty_invoiced]],IF(T[[#This Row],[qty_invoiced]]&gt;0,"Partial Invoiced","Not Invoiced"),"Fully Invoiced")</f>
        <v>Fully Invoiced</v>
      </c>
      <c r="R3209" t="str">
        <f>IFERROR(VLOOKUP(T[[#This Row],[warehouse]],Table2[],2,FALSE),"--")</f>
        <v>Magzoub Sorting - OMD</v>
      </c>
    </row>
    <row r="3210" spans="1:18" x14ac:dyDescent="0.25">
      <c r="A3210" t="s">
        <v>1496</v>
      </c>
      <c r="B3210" s="1">
        <v>44553</v>
      </c>
      <c r="C3210" t="s">
        <v>1497</v>
      </c>
      <c r="D3210" t="s">
        <v>71</v>
      </c>
      <c r="E3210" t="s">
        <v>321</v>
      </c>
      <c r="F3210" t="s">
        <v>526</v>
      </c>
      <c r="G3210" t="s">
        <v>472</v>
      </c>
      <c r="H3210" t="s">
        <v>123</v>
      </c>
      <c r="I3210">
        <v>2000</v>
      </c>
      <c r="J3210">
        <v>2000</v>
      </c>
      <c r="K3210">
        <v>2000</v>
      </c>
      <c r="L3210" t="s">
        <v>25</v>
      </c>
      <c r="M3210" t="s">
        <v>1485</v>
      </c>
      <c r="N3210">
        <v>17500</v>
      </c>
      <c r="O3210">
        <v>35000000</v>
      </c>
      <c r="P3210" t="str">
        <f>IF(T[[#This Row],[qty_ordered]]&lt;&gt;T[[#This Row],[qty_received]],IF(T[[#This Row],[qty_received]]&gt;0,"Partial Received","Not Receviced"),"FullyReceived")</f>
        <v>FullyReceived</v>
      </c>
      <c r="Q3210" t="str">
        <f>IF(T[[#This Row],[qty_received]]&lt;&gt;T[[#This Row],[qty_invoiced]],IF(T[[#This Row],[qty_invoiced]]&gt;0,"Partial Invoiced","Not Invoiced"),"Fully Invoiced")</f>
        <v>Fully Invoiced</v>
      </c>
      <c r="R3210" t="str">
        <f>IFERROR(VLOOKUP(T[[#This Row],[warehouse]],Table2[],2,FALSE),"--")</f>
        <v>Crusher KHA- Other</v>
      </c>
    </row>
    <row r="3211" spans="1:18" x14ac:dyDescent="0.25">
      <c r="A3211" t="s">
        <v>84</v>
      </c>
      <c r="B3211" s="1">
        <v>44559</v>
      </c>
      <c r="C3211" t="s">
        <v>1515</v>
      </c>
      <c r="D3211" t="s">
        <v>71</v>
      </c>
      <c r="E3211" t="s">
        <v>908</v>
      </c>
      <c r="F3211" t="s">
        <v>108</v>
      </c>
      <c r="G3211" t="s">
        <v>109</v>
      </c>
      <c r="H3211" t="s">
        <v>24</v>
      </c>
      <c r="I3211">
        <v>847.99599999999998</v>
      </c>
      <c r="J3211">
        <v>423.07</v>
      </c>
      <c r="K3211">
        <v>423.07</v>
      </c>
      <c r="L3211" t="s">
        <v>25</v>
      </c>
      <c r="M3211" t="s">
        <v>1485</v>
      </c>
      <c r="N3211">
        <v>471700.33820900001</v>
      </c>
      <c r="O3211">
        <v>199562262.08608201</v>
      </c>
      <c r="P3211" t="str">
        <f>IF(T[[#This Row],[qty_ordered]]&lt;&gt;T[[#This Row],[qty_received]],IF(T[[#This Row],[qty_received]]&gt;0,"Partial Received","Not Receviced"),"FullyReceived")</f>
        <v>Partial Received</v>
      </c>
      <c r="Q3211" t="str">
        <f>IF(T[[#This Row],[qty_received]]&lt;&gt;T[[#This Row],[qty_invoiced]],IF(T[[#This Row],[qty_invoiced]]&gt;0,"Partial Invoiced","Not Invoiced"),"Fully Invoiced")</f>
        <v>Fully Invoiced</v>
      </c>
      <c r="R3211" t="str">
        <f>IFERROR(VLOOKUP(T[[#This Row],[warehouse]],Table2[],2,FALSE),"--")</f>
        <v>SIFTER- ALNAZER-OMDU</v>
      </c>
    </row>
    <row r="3212" spans="1:18" x14ac:dyDescent="0.25">
      <c r="A3212" t="s">
        <v>252</v>
      </c>
      <c r="B3212" s="1">
        <v>44201</v>
      </c>
      <c r="C3212" t="s">
        <v>1164</v>
      </c>
      <c r="D3212" t="s">
        <v>76</v>
      </c>
      <c r="E3212" t="s">
        <v>51</v>
      </c>
      <c r="F3212" t="s">
        <v>183</v>
      </c>
      <c r="G3212" t="s">
        <v>937</v>
      </c>
      <c r="H3212" t="s">
        <v>54</v>
      </c>
      <c r="I3212">
        <v>67.099999999999994</v>
      </c>
      <c r="J3212">
        <v>0</v>
      </c>
      <c r="K3212">
        <v>1</v>
      </c>
      <c r="L3212" t="s">
        <v>25</v>
      </c>
      <c r="M3212" t="s">
        <v>533</v>
      </c>
      <c r="N3212">
        <v>4000</v>
      </c>
      <c r="O3212">
        <v>0</v>
      </c>
      <c r="P3212" t="str">
        <f>IF(T[[#This Row],[qty_ordered]]&lt;&gt;T[[#This Row],[qty_received]],IF(T[[#This Row],[qty_received]]&gt;0,"Partial Received","Not Receviced"),"FullyReceived")</f>
        <v>Not Receviced</v>
      </c>
      <c r="Q3212" t="str">
        <f>IF(T[[#This Row],[qty_received]]&lt;&gt;T[[#This Row],[qty_invoiced]],IF(T[[#This Row],[qty_invoiced]]&gt;0,"Partial Invoiced","Not Invoiced"),"Fully Invoiced")</f>
        <v>Partial Invoiced</v>
      </c>
      <c r="R3212" t="str">
        <f>IFERROR(VLOOKUP(T[[#This Row],[warehouse]],Table2[],2,FALSE),"--")</f>
        <v>--</v>
      </c>
    </row>
    <row r="3213" spans="1:18" x14ac:dyDescent="0.25">
      <c r="A3213" t="s">
        <v>618</v>
      </c>
      <c r="B3213" s="1">
        <v>44571</v>
      </c>
      <c r="C3213" t="s">
        <v>1941</v>
      </c>
      <c r="D3213" t="s">
        <v>20</v>
      </c>
      <c r="E3213" t="s">
        <v>162</v>
      </c>
      <c r="F3213" t="s">
        <v>86</v>
      </c>
      <c r="G3213" t="s">
        <v>87</v>
      </c>
      <c r="H3213" t="s">
        <v>24</v>
      </c>
      <c r="I3213">
        <v>645</v>
      </c>
      <c r="J3213">
        <v>0</v>
      </c>
      <c r="K3213">
        <v>0</v>
      </c>
      <c r="L3213" t="s">
        <v>25</v>
      </c>
      <c r="M3213" t="s">
        <v>1485</v>
      </c>
      <c r="N3213">
        <v>511627.906976</v>
      </c>
      <c r="O3213">
        <v>0</v>
      </c>
      <c r="P3213" t="str">
        <f>IF(T[[#This Row],[qty_ordered]]&lt;&gt;T[[#This Row],[qty_received]],IF(T[[#This Row],[qty_received]]&gt;0,"Partial Received","Not Receviced"),"FullyReceived")</f>
        <v>Not Receviced</v>
      </c>
      <c r="Q3213" t="str">
        <f>IF(T[[#This Row],[qty_received]]&lt;&gt;T[[#This Row],[qty_invoiced]],IF(T[[#This Row],[qty_invoiced]]&gt;0,"Partial Invoiced","Not Invoiced"),"Fully Invoiced")</f>
        <v>Fully Invoiced</v>
      </c>
      <c r="R3213" t="str">
        <f>IFERROR(VLOOKUP(T[[#This Row],[warehouse]],Table2[],2,FALSE),"--")</f>
        <v>Sifters Mahasilna</v>
      </c>
    </row>
    <row r="3214" spans="1:18" x14ac:dyDescent="0.25">
      <c r="A3214" t="s">
        <v>973</v>
      </c>
      <c r="B3214" s="1">
        <v>44571</v>
      </c>
      <c r="C3214" t="s">
        <v>1942</v>
      </c>
      <c r="D3214" t="s">
        <v>20</v>
      </c>
      <c r="E3214" t="s">
        <v>281</v>
      </c>
      <c r="F3214" t="s">
        <v>526</v>
      </c>
      <c r="G3214" t="s">
        <v>472</v>
      </c>
      <c r="H3214" t="s">
        <v>123</v>
      </c>
      <c r="I3214">
        <v>10000</v>
      </c>
      <c r="J3214">
        <v>10000</v>
      </c>
      <c r="K3214">
        <v>10000</v>
      </c>
      <c r="L3214" t="s">
        <v>25</v>
      </c>
      <c r="M3214" t="s">
        <v>1485</v>
      </c>
      <c r="N3214">
        <v>359000</v>
      </c>
      <c r="O3214">
        <v>3590000000</v>
      </c>
      <c r="P3214" t="str">
        <f>IF(T[[#This Row],[qty_ordered]]&lt;&gt;T[[#This Row],[qty_received]],IF(T[[#This Row],[qty_received]]&gt;0,"Partial Received","Not Receviced"),"FullyReceived")</f>
        <v>FullyReceived</v>
      </c>
      <c r="Q3214" t="str">
        <f>IF(T[[#This Row],[qty_received]]&lt;&gt;T[[#This Row],[qty_invoiced]],IF(T[[#This Row],[qty_invoiced]]&gt;0,"Partial Invoiced","Not Invoiced"),"Fully Invoiced")</f>
        <v>Fully Invoiced</v>
      </c>
      <c r="R3214" t="str">
        <f>IFERROR(VLOOKUP(T[[#This Row],[warehouse]],Table2[],2,FALSE),"--")</f>
        <v>Crusher Alm Eldin-KH</v>
      </c>
    </row>
    <row r="3215" spans="1:18" x14ac:dyDescent="0.25">
      <c r="A3215" t="s">
        <v>228</v>
      </c>
      <c r="B3215" s="1">
        <v>44571</v>
      </c>
      <c r="C3215" t="s">
        <v>1943</v>
      </c>
      <c r="D3215" t="s">
        <v>20</v>
      </c>
      <c r="E3215" t="s">
        <v>239</v>
      </c>
      <c r="F3215" t="s">
        <v>230</v>
      </c>
      <c r="G3215" t="s">
        <v>231</v>
      </c>
      <c r="H3215" t="s">
        <v>24</v>
      </c>
      <c r="I3215">
        <v>1233.751</v>
      </c>
      <c r="J3215">
        <v>230.33</v>
      </c>
      <c r="K3215">
        <v>230.33</v>
      </c>
      <c r="L3215" t="s">
        <v>25</v>
      </c>
      <c r="M3215" t="s">
        <v>1485</v>
      </c>
      <c r="N3215">
        <v>567375.42664600001</v>
      </c>
      <c r="O3215">
        <v>130683582.019373</v>
      </c>
      <c r="P3215" t="str">
        <f>IF(T[[#This Row],[qty_ordered]]&lt;&gt;T[[#This Row],[qty_received]],IF(T[[#This Row],[qty_received]]&gt;0,"Partial Received","Not Receviced"),"FullyReceived")</f>
        <v>Partial Received</v>
      </c>
      <c r="Q3215" t="str">
        <f>IF(T[[#This Row],[qty_received]]&lt;&gt;T[[#This Row],[qty_invoiced]],IF(T[[#This Row],[qty_invoiced]]&gt;0,"Partial Invoiced","Not Invoiced"),"Fully Invoiced")</f>
        <v>Fully Invoiced</v>
      </c>
      <c r="R3215" t="str">
        <f>IFERROR(VLOOKUP(T[[#This Row],[warehouse]],Table2[],2,FALSE),"--")</f>
        <v xml:space="preserve">Gadarif Main Store </v>
      </c>
    </row>
    <row r="3216" spans="1:18" x14ac:dyDescent="0.25">
      <c r="A3216" t="s">
        <v>201</v>
      </c>
      <c r="B3216" s="1">
        <v>44571</v>
      </c>
      <c r="C3216" t="s">
        <v>1944</v>
      </c>
      <c r="D3216" t="s">
        <v>20</v>
      </c>
      <c r="E3216" t="s">
        <v>203</v>
      </c>
      <c r="F3216" t="s">
        <v>204</v>
      </c>
      <c r="G3216" t="s">
        <v>205</v>
      </c>
      <c r="H3216" t="s">
        <v>206</v>
      </c>
      <c r="I3216">
        <v>150</v>
      </c>
      <c r="J3216">
        <v>150</v>
      </c>
      <c r="K3216">
        <v>150</v>
      </c>
      <c r="L3216" t="s">
        <v>693</v>
      </c>
      <c r="M3216" t="s">
        <v>1404</v>
      </c>
      <c r="N3216">
        <v>157965.717</v>
      </c>
      <c r="O3216">
        <v>23694857.550000001</v>
      </c>
      <c r="P3216" t="str">
        <f>IF(T[[#This Row],[qty_ordered]]&lt;&gt;T[[#This Row],[qty_received]],IF(T[[#This Row],[qty_received]]&gt;0,"Partial Received","Not Receviced"),"FullyReceived")</f>
        <v>FullyReceived</v>
      </c>
      <c r="Q3216" t="str">
        <f>IF(T[[#This Row],[qty_received]]&lt;&gt;T[[#This Row],[qty_invoiced]],IF(T[[#This Row],[qty_invoiced]]&gt;0,"Partial Invoiced","Not Invoiced"),"Fully Invoiced")</f>
        <v>Fully Invoiced</v>
      </c>
      <c r="R3216" t="str">
        <f>IFERROR(VLOOKUP(T[[#This Row],[warehouse]],Table2[],2,FALSE),"--")</f>
        <v>PZU Packaging Warehouse</v>
      </c>
    </row>
    <row r="3217" spans="1:18" x14ac:dyDescent="0.25">
      <c r="A3217" t="s">
        <v>201</v>
      </c>
      <c r="B3217" s="1">
        <v>44571</v>
      </c>
      <c r="C3217" t="s">
        <v>1944</v>
      </c>
      <c r="D3217" t="s">
        <v>71</v>
      </c>
      <c r="E3217" t="s">
        <v>51</v>
      </c>
      <c r="F3217" t="s">
        <v>933</v>
      </c>
      <c r="G3217" t="s">
        <v>1945</v>
      </c>
      <c r="H3217" t="s">
        <v>54</v>
      </c>
      <c r="I3217">
        <v>1</v>
      </c>
      <c r="J3217">
        <v>0</v>
      </c>
      <c r="K3217">
        <v>0</v>
      </c>
      <c r="L3217" t="s">
        <v>693</v>
      </c>
      <c r="M3217" t="s">
        <v>1404</v>
      </c>
      <c r="N3217">
        <v>3699549.0329</v>
      </c>
      <c r="O3217">
        <v>0</v>
      </c>
      <c r="P3217" t="str">
        <f>IF(T[[#This Row],[qty_ordered]]&lt;&gt;T[[#This Row],[qty_received]],IF(T[[#This Row],[qty_received]]&gt;0,"Partial Received","Not Receviced"),"FullyReceived")</f>
        <v>Not Receviced</v>
      </c>
      <c r="Q3217" t="str">
        <f>IF(T[[#This Row],[qty_received]]&lt;&gt;T[[#This Row],[qty_invoiced]],IF(T[[#This Row],[qty_invoiced]]&gt;0,"Partial Invoiced","Not Invoiced"),"Fully Invoiced")</f>
        <v>Fully Invoiced</v>
      </c>
      <c r="R3217" t="str">
        <f>IFERROR(VLOOKUP(T[[#This Row],[warehouse]],Table2[],2,FALSE),"--")</f>
        <v>--</v>
      </c>
    </row>
    <row r="3218" spans="1:18" x14ac:dyDescent="0.25">
      <c r="A3218" t="s">
        <v>1044</v>
      </c>
      <c r="B3218" s="1">
        <v>44346</v>
      </c>
      <c r="C3218" t="s">
        <v>1426</v>
      </c>
      <c r="D3218" t="s">
        <v>76</v>
      </c>
      <c r="E3218" t="s">
        <v>51</v>
      </c>
      <c r="F3218" t="s">
        <v>52</v>
      </c>
      <c r="G3218" t="s">
        <v>53</v>
      </c>
      <c r="H3218" t="s">
        <v>54</v>
      </c>
      <c r="I3218">
        <v>15</v>
      </c>
      <c r="J3218">
        <v>0</v>
      </c>
      <c r="K3218">
        <v>1</v>
      </c>
      <c r="L3218" t="s">
        <v>25</v>
      </c>
      <c r="M3218" t="s">
        <v>132</v>
      </c>
      <c r="N3218">
        <v>20000</v>
      </c>
      <c r="O3218">
        <v>0</v>
      </c>
      <c r="P3218" t="str">
        <f>IF(T[[#This Row],[qty_ordered]]&lt;&gt;T[[#This Row],[qty_received]],IF(T[[#This Row],[qty_received]]&gt;0,"Partial Received","Not Receviced"),"FullyReceived")</f>
        <v>Not Receviced</v>
      </c>
      <c r="Q3218" t="str">
        <f>IF(T[[#This Row],[qty_received]]&lt;&gt;T[[#This Row],[qty_invoiced]],IF(T[[#This Row],[qty_invoiced]]&gt;0,"Partial Invoiced","Not Invoiced"),"Fully Invoiced")</f>
        <v>Partial Invoiced</v>
      </c>
      <c r="R3218" t="str">
        <f>IFERROR(VLOOKUP(T[[#This Row],[warehouse]],Table2[],2,FALSE),"--")</f>
        <v>--</v>
      </c>
    </row>
    <row r="3219" spans="1:18" x14ac:dyDescent="0.25">
      <c r="A3219" t="s">
        <v>242</v>
      </c>
      <c r="B3219" s="1">
        <v>44571</v>
      </c>
      <c r="C3219" t="s">
        <v>1946</v>
      </c>
      <c r="D3219" t="s">
        <v>20</v>
      </c>
      <c r="E3219" t="s">
        <v>405</v>
      </c>
      <c r="F3219" t="s">
        <v>244</v>
      </c>
      <c r="G3219" t="s">
        <v>245</v>
      </c>
      <c r="H3219" t="s">
        <v>24</v>
      </c>
      <c r="I3219">
        <v>964</v>
      </c>
      <c r="J3219">
        <v>176.32</v>
      </c>
      <c r="K3219">
        <v>176.32</v>
      </c>
      <c r="L3219" t="s">
        <v>25</v>
      </c>
      <c r="M3219" t="s">
        <v>1485</v>
      </c>
      <c r="N3219">
        <v>829875.51867200003</v>
      </c>
      <c r="O3219">
        <v>146323651.45224699</v>
      </c>
      <c r="P3219" t="str">
        <f>IF(T[[#This Row],[qty_ordered]]&lt;&gt;T[[#This Row],[qty_received]],IF(T[[#This Row],[qty_received]]&gt;0,"Partial Received","Not Receviced"),"FullyReceived")</f>
        <v>Partial Received</v>
      </c>
      <c r="Q3219" t="str">
        <f>IF(T[[#This Row],[qty_received]]&lt;&gt;T[[#This Row],[qty_invoiced]],IF(T[[#This Row],[qty_invoiced]]&gt;0,"Partial Invoiced","Not Invoiced"),"Fully Invoiced")</f>
        <v>Fully Invoiced</v>
      </c>
      <c r="R3219" t="str">
        <f>IFERROR(VLOOKUP(T[[#This Row],[warehouse]],Table2[],2,FALSE),"--")</f>
        <v>GINNING ISHRAG-MDNI</v>
      </c>
    </row>
    <row r="3220" spans="1:18" x14ac:dyDescent="0.25">
      <c r="A3220" t="s">
        <v>560</v>
      </c>
      <c r="B3220" s="1">
        <v>44572</v>
      </c>
      <c r="C3220" t="s">
        <v>1531</v>
      </c>
      <c r="D3220" t="s">
        <v>71</v>
      </c>
      <c r="E3220" t="s">
        <v>51</v>
      </c>
      <c r="F3220" t="s">
        <v>164</v>
      </c>
      <c r="G3220" t="s">
        <v>1532</v>
      </c>
      <c r="H3220" t="s">
        <v>54</v>
      </c>
      <c r="I3220">
        <v>4</v>
      </c>
      <c r="J3220">
        <v>0</v>
      </c>
      <c r="K3220">
        <v>1</v>
      </c>
      <c r="L3220" t="s">
        <v>693</v>
      </c>
      <c r="M3220" t="s">
        <v>533</v>
      </c>
      <c r="N3220">
        <v>4130.25</v>
      </c>
      <c r="O3220">
        <v>0</v>
      </c>
      <c r="P3220" t="str">
        <f>IF(T[[#This Row],[qty_ordered]]&lt;&gt;T[[#This Row],[qty_received]],IF(T[[#This Row],[qty_received]]&gt;0,"Partial Received","Not Receviced"),"FullyReceived")</f>
        <v>Not Receviced</v>
      </c>
      <c r="Q3220" t="str">
        <f>IF(T[[#This Row],[qty_received]]&lt;&gt;T[[#This Row],[qty_invoiced]],IF(T[[#This Row],[qty_invoiced]]&gt;0,"Partial Invoiced","Not Invoiced"),"Fully Invoiced")</f>
        <v>Partial Invoiced</v>
      </c>
      <c r="R3220" t="str">
        <f>IFERROR(VLOOKUP(T[[#This Row],[warehouse]],Table2[],2,FALSE),"--")</f>
        <v>--</v>
      </c>
    </row>
    <row r="3221" spans="1:18" x14ac:dyDescent="0.25">
      <c r="A3221" t="s">
        <v>560</v>
      </c>
      <c r="B3221" s="1">
        <v>44572</v>
      </c>
      <c r="C3221" t="s">
        <v>1531</v>
      </c>
      <c r="D3221" t="s">
        <v>100</v>
      </c>
      <c r="E3221" t="s">
        <v>51</v>
      </c>
      <c r="F3221" t="s">
        <v>164</v>
      </c>
      <c r="G3221" t="s">
        <v>1532</v>
      </c>
      <c r="H3221" t="s">
        <v>54</v>
      </c>
      <c r="I3221">
        <v>26.5</v>
      </c>
      <c r="J3221">
        <v>0</v>
      </c>
      <c r="K3221">
        <v>1</v>
      </c>
      <c r="L3221" t="s">
        <v>693</v>
      </c>
      <c r="M3221" t="s">
        <v>533</v>
      </c>
      <c r="N3221">
        <v>4130.1886789999999</v>
      </c>
      <c r="O3221">
        <v>0</v>
      </c>
      <c r="P3221" t="str">
        <f>IF(T[[#This Row],[qty_ordered]]&lt;&gt;T[[#This Row],[qty_received]],IF(T[[#This Row],[qty_received]]&gt;0,"Partial Received","Not Receviced"),"FullyReceived")</f>
        <v>Not Receviced</v>
      </c>
      <c r="Q3221" t="str">
        <f>IF(T[[#This Row],[qty_received]]&lt;&gt;T[[#This Row],[qty_invoiced]],IF(T[[#This Row],[qty_invoiced]]&gt;0,"Partial Invoiced","Not Invoiced"),"Fully Invoiced")</f>
        <v>Partial Invoiced</v>
      </c>
      <c r="R3221" t="str">
        <f>IFERROR(VLOOKUP(T[[#This Row],[warehouse]],Table2[],2,FALSE),"--")</f>
        <v>--</v>
      </c>
    </row>
    <row r="3222" spans="1:18" x14ac:dyDescent="0.25">
      <c r="A3222" t="s">
        <v>560</v>
      </c>
      <c r="B3222" s="1">
        <v>44544</v>
      </c>
      <c r="C3222" t="s">
        <v>1542</v>
      </c>
      <c r="D3222" t="s">
        <v>88</v>
      </c>
      <c r="E3222" t="s">
        <v>51</v>
      </c>
      <c r="F3222" t="s">
        <v>164</v>
      </c>
      <c r="G3222" t="s">
        <v>1947</v>
      </c>
      <c r="H3222" t="s">
        <v>54</v>
      </c>
      <c r="I3222">
        <v>28.25</v>
      </c>
      <c r="J3222">
        <v>0</v>
      </c>
      <c r="K3222">
        <v>1</v>
      </c>
      <c r="L3222" t="s">
        <v>693</v>
      </c>
      <c r="M3222" t="s">
        <v>533</v>
      </c>
      <c r="N3222">
        <v>4130.1592920000003</v>
      </c>
      <c r="O3222">
        <v>0</v>
      </c>
      <c r="P3222" t="str">
        <f>IF(T[[#This Row],[qty_ordered]]&lt;&gt;T[[#This Row],[qty_received]],IF(T[[#This Row],[qty_received]]&gt;0,"Partial Received","Not Receviced"),"FullyReceived")</f>
        <v>Not Receviced</v>
      </c>
      <c r="Q3222" t="str">
        <f>IF(T[[#This Row],[qty_received]]&lt;&gt;T[[#This Row],[qty_invoiced]],IF(T[[#This Row],[qty_invoiced]]&gt;0,"Partial Invoiced","Not Invoiced"),"Fully Invoiced")</f>
        <v>Partial Invoiced</v>
      </c>
      <c r="R3222" t="str">
        <f>IFERROR(VLOOKUP(T[[#This Row],[warehouse]],Table2[],2,FALSE),"--")</f>
        <v>--</v>
      </c>
    </row>
    <row r="3223" spans="1:18" x14ac:dyDescent="0.25">
      <c r="A3223" t="s">
        <v>560</v>
      </c>
      <c r="B3223" s="1">
        <v>44544</v>
      </c>
      <c r="C3223" t="s">
        <v>1542</v>
      </c>
      <c r="D3223" t="s">
        <v>74</v>
      </c>
      <c r="E3223" t="s">
        <v>51</v>
      </c>
      <c r="F3223" t="s">
        <v>164</v>
      </c>
      <c r="G3223" t="s">
        <v>1947</v>
      </c>
      <c r="H3223" t="s">
        <v>54</v>
      </c>
      <c r="I3223">
        <v>28.5</v>
      </c>
      <c r="J3223">
        <v>0</v>
      </c>
      <c r="K3223">
        <v>1</v>
      </c>
      <c r="L3223" t="s">
        <v>693</v>
      </c>
      <c r="M3223" t="s">
        <v>533</v>
      </c>
      <c r="N3223">
        <v>4130.2105259999998</v>
      </c>
      <c r="O3223">
        <v>0</v>
      </c>
      <c r="P3223" t="str">
        <f>IF(T[[#This Row],[qty_ordered]]&lt;&gt;T[[#This Row],[qty_received]],IF(T[[#This Row],[qty_received]]&gt;0,"Partial Received","Not Receviced"),"FullyReceived")</f>
        <v>Not Receviced</v>
      </c>
      <c r="Q3223" t="str">
        <f>IF(T[[#This Row],[qty_received]]&lt;&gt;T[[#This Row],[qty_invoiced]],IF(T[[#This Row],[qty_invoiced]]&gt;0,"Partial Invoiced","Not Invoiced"),"Fully Invoiced")</f>
        <v>Partial Invoiced</v>
      </c>
      <c r="R3223" t="str">
        <f>IFERROR(VLOOKUP(T[[#This Row],[warehouse]],Table2[],2,FALSE),"--")</f>
        <v>--</v>
      </c>
    </row>
    <row r="3224" spans="1:18" x14ac:dyDescent="0.25">
      <c r="A3224" t="s">
        <v>560</v>
      </c>
      <c r="B3224" s="1">
        <v>44544</v>
      </c>
      <c r="C3224" t="s">
        <v>1542</v>
      </c>
      <c r="D3224" t="s">
        <v>76</v>
      </c>
      <c r="E3224" t="s">
        <v>51</v>
      </c>
      <c r="F3224" t="s">
        <v>164</v>
      </c>
      <c r="G3224" t="s">
        <v>1947</v>
      </c>
      <c r="H3224" t="s">
        <v>54</v>
      </c>
      <c r="I3224">
        <v>27.5</v>
      </c>
      <c r="J3224">
        <v>0</v>
      </c>
      <c r="K3224">
        <v>1</v>
      </c>
      <c r="L3224" t="s">
        <v>693</v>
      </c>
      <c r="M3224" t="s">
        <v>533</v>
      </c>
      <c r="N3224">
        <v>4130.181818</v>
      </c>
      <c r="O3224">
        <v>0</v>
      </c>
      <c r="P3224" t="str">
        <f>IF(T[[#This Row],[qty_ordered]]&lt;&gt;T[[#This Row],[qty_received]],IF(T[[#This Row],[qty_received]]&gt;0,"Partial Received","Not Receviced"),"FullyReceived")</f>
        <v>Not Receviced</v>
      </c>
      <c r="Q3224" t="str">
        <f>IF(T[[#This Row],[qty_received]]&lt;&gt;T[[#This Row],[qty_invoiced]],IF(T[[#This Row],[qty_invoiced]]&gt;0,"Partial Invoiced","Not Invoiced"),"Fully Invoiced")</f>
        <v>Partial Invoiced</v>
      </c>
      <c r="R3224" t="str">
        <f>IFERROR(VLOOKUP(T[[#This Row],[warehouse]],Table2[],2,FALSE),"--")</f>
        <v>--</v>
      </c>
    </row>
    <row r="3225" spans="1:18" x14ac:dyDescent="0.25">
      <c r="A3225" t="s">
        <v>560</v>
      </c>
      <c r="B3225" s="1">
        <v>44544</v>
      </c>
      <c r="C3225" t="s">
        <v>1542</v>
      </c>
      <c r="D3225" t="s">
        <v>212</v>
      </c>
      <c r="E3225" t="s">
        <v>51</v>
      </c>
      <c r="F3225" t="s">
        <v>164</v>
      </c>
      <c r="G3225" t="s">
        <v>1947</v>
      </c>
      <c r="H3225" t="s">
        <v>54</v>
      </c>
      <c r="I3225">
        <v>28.75</v>
      </c>
      <c r="J3225">
        <v>0</v>
      </c>
      <c r="K3225">
        <v>1</v>
      </c>
      <c r="L3225" t="s">
        <v>693</v>
      </c>
      <c r="M3225" t="s">
        <v>533</v>
      </c>
      <c r="N3225">
        <v>4130.1565209999999</v>
      </c>
      <c r="O3225">
        <v>0</v>
      </c>
      <c r="P3225" t="str">
        <f>IF(T[[#This Row],[qty_ordered]]&lt;&gt;T[[#This Row],[qty_received]],IF(T[[#This Row],[qty_received]]&gt;0,"Partial Received","Not Receviced"),"FullyReceived")</f>
        <v>Not Receviced</v>
      </c>
      <c r="Q3225" t="str">
        <f>IF(T[[#This Row],[qty_received]]&lt;&gt;T[[#This Row],[qty_invoiced]],IF(T[[#This Row],[qty_invoiced]]&gt;0,"Partial Invoiced","Not Invoiced"),"Fully Invoiced")</f>
        <v>Partial Invoiced</v>
      </c>
      <c r="R3225" t="str">
        <f>IFERROR(VLOOKUP(T[[#This Row],[warehouse]],Table2[],2,FALSE),"--")</f>
        <v>--</v>
      </c>
    </row>
    <row r="3226" spans="1:18" x14ac:dyDescent="0.25">
      <c r="A3226" t="s">
        <v>560</v>
      </c>
      <c r="B3226" s="1">
        <v>44572</v>
      </c>
      <c r="C3226" t="s">
        <v>1651</v>
      </c>
      <c r="D3226" t="s">
        <v>20</v>
      </c>
      <c r="E3226" t="s">
        <v>51</v>
      </c>
      <c r="F3226" t="s">
        <v>164</v>
      </c>
      <c r="G3226" t="s">
        <v>1948</v>
      </c>
      <c r="H3226" t="s">
        <v>54</v>
      </c>
      <c r="I3226">
        <v>26</v>
      </c>
      <c r="J3226">
        <v>0</v>
      </c>
      <c r="K3226">
        <v>1</v>
      </c>
      <c r="L3226" t="s">
        <v>693</v>
      </c>
      <c r="M3226" t="s">
        <v>2836</v>
      </c>
      <c r="N3226">
        <v>4130.1538460000002</v>
      </c>
      <c r="O3226">
        <v>0</v>
      </c>
      <c r="P3226" t="str">
        <f>IF(T[[#This Row],[qty_ordered]]&lt;&gt;T[[#This Row],[qty_received]],IF(T[[#This Row],[qty_received]]&gt;0,"Partial Received","Not Receviced"),"FullyReceived")</f>
        <v>Not Receviced</v>
      </c>
      <c r="Q3226" t="str">
        <f>IF(T[[#This Row],[qty_received]]&lt;&gt;T[[#This Row],[qty_invoiced]],IF(T[[#This Row],[qty_invoiced]]&gt;0,"Partial Invoiced","Not Invoiced"),"Fully Invoiced")</f>
        <v>Partial Invoiced</v>
      </c>
      <c r="R3226" t="str">
        <f>IFERROR(VLOOKUP(T[[#This Row],[warehouse]],Table2[],2,FALSE),"--")</f>
        <v>--</v>
      </c>
    </row>
    <row r="3227" spans="1:18" x14ac:dyDescent="0.25">
      <c r="A3227" t="s">
        <v>242</v>
      </c>
      <c r="B3227" s="1">
        <v>44572</v>
      </c>
      <c r="C3227" t="s">
        <v>1949</v>
      </c>
      <c r="D3227" t="s">
        <v>20</v>
      </c>
      <c r="E3227" t="s">
        <v>66</v>
      </c>
      <c r="F3227" t="s">
        <v>244</v>
      </c>
      <c r="G3227" t="s">
        <v>245</v>
      </c>
      <c r="H3227" t="s">
        <v>24</v>
      </c>
      <c r="I3227">
        <v>250</v>
      </c>
      <c r="J3227">
        <v>250</v>
      </c>
      <c r="K3227">
        <v>250</v>
      </c>
      <c r="L3227" t="s">
        <v>25</v>
      </c>
      <c r="M3227" t="s">
        <v>1485</v>
      </c>
      <c r="N3227">
        <v>840000</v>
      </c>
      <c r="O3227">
        <v>210000000</v>
      </c>
      <c r="P3227" t="str">
        <f>IF(T[[#This Row],[qty_ordered]]&lt;&gt;T[[#This Row],[qty_received]],IF(T[[#This Row],[qty_received]]&gt;0,"Partial Received","Not Receviced"),"FullyReceived")</f>
        <v>FullyReceived</v>
      </c>
      <c r="Q3227" t="str">
        <f>IF(T[[#This Row],[qty_received]]&lt;&gt;T[[#This Row],[qty_invoiced]],IF(T[[#This Row],[qty_invoiced]]&gt;0,"Partial Invoiced","Not Invoiced"),"Fully Invoiced")</f>
        <v>Fully Invoiced</v>
      </c>
      <c r="R3227" t="str">
        <f>IFERROR(VLOOKUP(T[[#This Row],[warehouse]],Table2[],2,FALSE),"--")</f>
        <v>PZU Main Warehouse</v>
      </c>
    </row>
    <row r="3228" spans="1:18" x14ac:dyDescent="0.25">
      <c r="A3228" t="s">
        <v>242</v>
      </c>
      <c r="B3228" s="1">
        <v>44539</v>
      </c>
      <c r="C3228" t="s">
        <v>1950</v>
      </c>
      <c r="D3228" t="s">
        <v>71</v>
      </c>
      <c r="E3228" t="s">
        <v>405</v>
      </c>
      <c r="F3228" t="s">
        <v>244</v>
      </c>
      <c r="G3228" t="s">
        <v>245</v>
      </c>
      <c r="H3228" t="s">
        <v>24</v>
      </c>
      <c r="I3228">
        <v>700</v>
      </c>
      <c r="J3228">
        <v>0</v>
      </c>
      <c r="K3228">
        <v>0</v>
      </c>
      <c r="L3228" t="s">
        <v>25</v>
      </c>
      <c r="M3228" t="s">
        <v>1485</v>
      </c>
      <c r="N3228">
        <v>825000</v>
      </c>
      <c r="O3228">
        <v>0</v>
      </c>
      <c r="P3228" t="str">
        <f>IF(T[[#This Row],[qty_ordered]]&lt;&gt;T[[#This Row],[qty_received]],IF(T[[#This Row],[qty_received]]&gt;0,"Partial Received","Not Receviced"),"FullyReceived")</f>
        <v>Not Receviced</v>
      </c>
      <c r="Q3228" t="str">
        <f>IF(T[[#This Row],[qty_received]]&lt;&gt;T[[#This Row],[qty_invoiced]],IF(T[[#This Row],[qty_invoiced]]&gt;0,"Partial Invoiced","Not Invoiced"),"Fully Invoiced")</f>
        <v>Fully Invoiced</v>
      </c>
      <c r="R3228" t="str">
        <f>IFERROR(VLOOKUP(T[[#This Row],[warehouse]],Table2[],2,FALSE),"--")</f>
        <v>GINNING ISHRAG-MDNI</v>
      </c>
    </row>
    <row r="3229" spans="1:18" x14ac:dyDescent="0.25">
      <c r="A3229" t="s">
        <v>242</v>
      </c>
      <c r="B3229" s="1">
        <v>44539</v>
      </c>
      <c r="C3229" t="s">
        <v>1950</v>
      </c>
      <c r="D3229" t="s">
        <v>100</v>
      </c>
      <c r="E3229" t="s">
        <v>405</v>
      </c>
      <c r="F3229" t="s">
        <v>244</v>
      </c>
      <c r="G3229" t="s">
        <v>245</v>
      </c>
      <c r="H3229" t="s">
        <v>24</v>
      </c>
      <c r="I3229">
        <v>500</v>
      </c>
      <c r="J3229">
        <v>496.72</v>
      </c>
      <c r="K3229">
        <v>496.72</v>
      </c>
      <c r="L3229" t="s">
        <v>25</v>
      </c>
      <c r="M3229" t="s">
        <v>1485</v>
      </c>
      <c r="N3229">
        <v>825000</v>
      </c>
      <c r="O3229">
        <v>409794000</v>
      </c>
      <c r="P3229" t="str">
        <f>IF(T[[#This Row],[qty_ordered]]&lt;&gt;T[[#This Row],[qty_received]],IF(T[[#This Row],[qty_received]]&gt;0,"Partial Received","Not Receviced"),"FullyReceived")</f>
        <v>Partial Received</v>
      </c>
      <c r="Q3229" t="str">
        <f>IF(T[[#This Row],[qty_received]]&lt;&gt;T[[#This Row],[qty_invoiced]],IF(T[[#This Row],[qty_invoiced]]&gt;0,"Partial Invoiced","Not Invoiced"),"Fully Invoiced")</f>
        <v>Fully Invoiced</v>
      </c>
      <c r="R3229" t="str">
        <f>IFERROR(VLOOKUP(T[[#This Row],[warehouse]],Table2[],2,FALSE),"--")</f>
        <v>GINNING ISHRAG-MDNI</v>
      </c>
    </row>
    <row r="3230" spans="1:18" x14ac:dyDescent="0.25">
      <c r="A3230" t="s">
        <v>242</v>
      </c>
      <c r="B3230" s="1">
        <v>44539</v>
      </c>
      <c r="C3230" t="s">
        <v>1950</v>
      </c>
      <c r="D3230" t="s">
        <v>88</v>
      </c>
      <c r="E3230" t="s">
        <v>405</v>
      </c>
      <c r="F3230" t="s">
        <v>244</v>
      </c>
      <c r="G3230" t="s">
        <v>245</v>
      </c>
      <c r="H3230" t="s">
        <v>24</v>
      </c>
      <c r="I3230">
        <v>214.66</v>
      </c>
      <c r="J3230">
        <v>214.66</v>
      </c>
      <c r="K3230">
        <v>214.66</v>
      </c>
      <c r="L3230" t="s">
        <v>25</v>
      </c>
      <c r="M3230" t="s">
        <v>1485</v>
      </c>
      <c r="N3230">
        <v>825000</v>
      </c>
      <c r="O3230">
        <v>177094500</v>
      </c>
      <c r="P3230" t="str">
        <f>IF(T[[#This Row],[qty_ordered]]&lt;&gt;T[[#This Row],[qty_received]],IF(T[[#This Row],[qty_received]]&gt;0,"Partial Received","Not Receviced"),"FullyReceived")</f>
        <v>FullyReceived</v>
      </c>
      <c r="Q3230" t="str">
        <f>IF(T[[#This Row],[qty_received]]&lt;&gt;T[[#This Row],[qty_invoiced]],IF(T[[#This Row],[qty_invoiced]]&gt;0,"Partial Invoiced","Not Invoiced"),"Fully Invoiced")</f>
        <v>Fully Invoiced</v>
      </c>
      <c r="R3230" t="str">
        <f>IFERROR(VLOOKUP(T[[#This Row],[warehouse]],Table2[],2,FALSE),"--")</f>
        <v>GINNING ISHRAG-MDNI</v>
      </c>
    </row>
    <row r="3231" spans="1:18" x14ac:dyDescent="0.25">
      <c r="A3231" t="s">
        <v>235</v>
      </c>
      <c r="B3231" s="1">
        <v>44573</v>
      </c>
      <c r="C3231" t="s">
        <v>1951</v>
      </c>
      <c r="D3231" t="s">
        <v>20</v>
      </c>
      <c r="E3231" t="s">
        <v>51</v>
      </c>
      <c r="F3231" t="s">
        <v>546</v>
      </c>
      <c r="G3231" t="s">
        <v>1952</v>
      </c>
      <c r="H3231" t="s">
        <v>54</v>
      </c>
      <c r="I3231">
        <v>10000</v>
      </c>
      <c r="J3231">
        <v>0</v>
      </c>
      <c r="K3231">
        <v>1</v>
      </c>
      <c r="L3231" t="s">
        <v>693</v>
      </c>
      <c r="M3231" t="s">
        <v>533</v>
      </c>
      <c r="N3231">
        <v>15</v>
      </c>
      <c r="O3231">
        <v>0</v>
      </c>
      <c r="P3231" t="str">
        <f>IF(T[[#This Row],[qty_ordered]]&lt;&gt;T[[#This Row],[qty_received]],IF(T[[#This Row],[qty_received]]&gt;0,"Partial Received","Not Receviced"),"FullyReceived")</f>
        <v>Not Receviced</v>
      </c>
      <c r="Q3231" t="str">
        <f>IF(T[[#This Row],[qty_received]]&lt;&gt;T[[#This Row],[qty_invoiced]],IF(T[[#This Row],[qty_invoiced]]&gt;0,"Partial Invoiced","Not Invoiced"),"Fully Invoiced")</f>
        <v>Partial Invoiced</v>
      </c>
      <c r="R3231" t="str">
        <f>IFERROR(VLOOKUP(T[[#This Row],[warehouse]],Table2[],2,FALSE),"--")</f>
        <v>--</v>
      </c>
    </row>
    <row r="3232" spans="1:18" x14ac:dyDescent="0.25">
      <c r="A3232" t="s">
        <v>235</v>
      </c>
      <c r="B3232" s="1">
        <v>44573</v>
      </c>
      <c r="C3232" t="s">
        <v>1951</v>
      </c>
      <c r="D3232" t="s">
        <v>71</v>
      </c>
      <c r="E3232" t="s">
        <v>51</v>
      </c>
      <c r="F3232" t="s">
        <v>546</v>
      </c>
      <c r="G3232" t="s">
        <v>1953</v>
      </c>
      <c r="H3232" t="s">
        <v>54</v>
      </c>
      <c r="I3232">
        <v>12000</v>
      </c>
      <c r="J3232">
        <v>0</v>
      </c>
      <c r="K3232">
        <v>1</v>
      </c>
      <c r="L3232" t="s">
        <v>693</v>
      </c>
      <c r="M3232" t="s">
        <v>533</v>
      </c>
      <c r="N3232">
        <v>15</v>
      </c>
      <c r="O3232">
        <v>0</v>
      </c>
      <c r="P3232" t="str">
        <f>IF(T[[#This Row],[qty_ordered]]&lt;&gt;T[[#This Row],[qty_received]],IF(T[[#This Row],[qty_received]]&gt;0,"Partial Received","Not Receviced"),"FullyReceived")</f>
        <v>Not Receviced</v>
      </c>
      <c r="Q3232" t="str">
        <f>IF(T[[#This Row],[qty_received]]&lt;&gt;T[[#This Row],[qty_invoiced]],IF(T[[#This Row],[qty_invoiced]]&gt;0,"Partial Invoiced","Not Invoiced"),"Fully Invoiced")</f>
        <v>Partial Invoiced</v>
      </c>
      <c r="R3232" t="str">
        <f>IFERROR(VLOOKUP(T[[#This Row],[warehouse]],Table2[],2,FALSE),"--")</f>
        <v>--</v>
      </c>
    </row>
    <row r="3233" spans="1:18" x14ac:dyDescent="0.25">
      <c r="A3233" t="s">
        <v>235</v>
      </c>
      <c r="B3233" s="1">
        <v>44573</v>
      </c>
      <c r="C3233" t="s">
        <v>1951</v>
      </c>
      <c r="D3233" t="s">
        <v>100</v>
      </c>
      <c r="E3233" t="s">
        <v>51</v>
      </c>
      <c r="F3233" t="s">
        <v>546</v>
      </c>
      <c r="G3233" t="s">
        <v>1606</v>
      </c>
      <c r="H3233" t="s">
        <v>54</v>
      </c>
      <c r="I3233">
        <v>10000</v>
      </c>
      <c r="J3233">
        <v>0</v>
      </c>
      <c r="K3233">
        <v>1</v>
      </c>
      <c r="L3233" t="s">
        <v>693</v>
      </c>
      <c r="M3233" t="s">
        <v>533</v>
      </c>
      <c r="N3233">
        <v>15</v>
      </c>
      <c r="O3233">
        <v>0</v>
      </c>
      <c r="P3233" t="str">
        <f>IF(T[[#This Row],[qty_ordered]]&lt;&gt;T[[#This Row],[qty_received]],IF(T[[#This Row],[qty_received]]&gt;0,"Partial Received","Not Receviced"),"FullyReceived")</f>
        <v>Not Receviced</v>
      </c>
      <c r="Q3233" t="str">
        <f>IF(T[[#This Row],[qty_received]]&lt;&gt;T[[#This Row],[qty_invoiced]],IF(T[[#This Row],[qty_invoiced]]&gt;0,"Partial Invoiced","Not Invoiced"),"Fully Invoiced")</f>
        <v>Partial Invoiced</v>
      </c>
      <c r="R3233" t="str">
        <f>IFERROR(VLOOKUP(T[[#This Row],[warehouse]],Table2[],2,FALSE),"--")</f>
        <v>--</v>
      </c>
    </row>
    <row r="3234" spans="1:18" x14ac:dyDescent="0.25">
      <c r="A3234" t="s">
        <v>235</v>
      </c>
      <c r="B3234" s="1">
        <v>44573</v>
      </c>
      <c r="C3234" t="s">
        <v>1954</v>
      </c>
      <c r="D3234" t="s">
        <v>20</v>
      </c>
      <c r="E3234" t="s">
        <v>51</v>
      </c>
      <c r="F3234" t="s">
        <v>546</v>
      </c>
      <c r="G3234" t="s">
        <v>1499</v>
      </c>
      <c r="H3234" t="s">
        <v>54</v>
      </c>
      <c r="I3234">
        <v>10000</v>
      </c>
      <c r="J3234">
        <v>0</v>
      </c>
      <c r="K3234">
        <v>1</v>
      </c>
      <c r="L3234" t="s">
        <v>693</v>
      </c>
      <c r="M3234" t="s">
        <v>533</v>
      </c>
      <c r="N3234">
        <v>15</v>
      </c>
      <c r="O3234">
        <v>0</v>
      </c>
      <c r="P3234" t="str">
        <f>IF(T[[#This Row],[qty_ordered]]&lt;&gt;T[[#This Row],[qty_received]],IF(T[[#This Row],[qty_received]]&gt;0,"Partial Received","Not Receviced"),"FullyReceived")</f>
        <v>Not Receviced</v>
      </c>
      <c r="Q3234" t="str">
        <f>IF(T[[#This Row],[qty_received]]&lt;&gt;T[[#This Row],[qty_invoiced]],IF(T[[#This Row],[qty_invoiced]]&gt;0,"Partial Invoiced","Not Invoiced"),"Fully Invoiced")</f>
        <v>Partial Invoiced</v>
      </c>
      <c r="R3234" t="str">
        <f>IFERROR(VLOOKUP(T[[#This Row],[warehouse]],Table2[],2,FALSE),"--")</f>
        <v>--</v>
      </c>
    </row>
    <row r="3235" spans="1:18" x14ac:dyDescent="0.25">
      <c r="A3235" t="s">
        <v>235</v>
      </c>
      <c r="B3235" s="1">
        <v>44573</v>
      </c>
      <c r="C3235" t="s">
        <v>1951</v>
      </c>
      <c r="D3235" t="s">
        <v>88</v>
      </c>
      <c r="E3235" t="s">
        <v>51</v>
      </c>
      <c r="F3235" t="s">
        <v>546</v>
      </c>
      <c r="G3235" t="s">
        <v>1955</v>
      </c>
      <c r="H3235" t="s">
        <v>54</v>
      </c>
      <c r="I3235">
        <v>10000</v>
      </c>
      <c r="J3235">
        <v>0</v>
      </c>
      <c r="K3235">
        <v>1</v>
      </c>
      <c r="L3235" t="s">
        <v>693</v>
      </c>
      <c r="M3235" t="s">
        <v>533</v>
      </c>
      <c r="N3235">
        <v>15.5</v>
      </c>
      <c r="O3235">
        <v>0</v>
      </c>
      <c r="P3235" t="str">
        <f>IF(T[[#This Row],[qty_ordered]]&lt;&gt;T[[#This Row],[qty_received]],IF(T[[#This Row],[qty_received]]&gt;0,"Partial Received","Not Receviced"),"FullyReceived")</f>
        <v>Not Receviced</v>
      </c>
      <c r="Q3235" t="str">
        <f>IF(T[[#This Row],[qty_received]]&lt;&gt;T[[#This Row],[qty_invoiced]],IF(T[[#This Row],[qty_invoiced]]&gt;0,"Partial Invoiced","Not Invoiced"),"Fully Invoiced")</f>
        <v>Partial Invoiced</v>
      </c>
      <c r="R3235" t="str">
        <f>IFERROR(VLOOKUP(T[[#This Row],[warehouse]],Table2[],2,FALSE),"--")</f>
        <v>--</v>
      </c>
    </row>
    <row r="3236" spans="1:18" x14ac:dyDescent="0.25">
      <c r="A3236" t="s">
        <v>235</v>
      </c>
      <c r="B3236" s="1">
        <v>44573</v>
      </c>
      <c r="C3236" t="s">
        <v>1951</v>
      </c>
      <c r="D3236" t="s">
        <v>74</v>
      </c>
      <c r="E3236" t="s">
        <v>51</v>
      </c>
      <c r="F3236" t="s">
        <v>546</v>
      </c>
      <c r="G3236" t="s">
        <v>1956</v>
      </c>
      <c r="H3236" t="s">
        <v>54</v>
      </c>
      <c r="I3236">
        <v>10000</v>
      </c>
      <c r="J3236">
        <v>0</v>
      </c>
      <c r="K3236">
        <v>1</v>
      </c>
      <c r="L3236" t="s">
        <v>693</v>
      </c>
      <c r="M3236" t="s">
        <v>533</v>
      </c>
      <c r="N3236">
        <v>15.8</v>
      </c>
      <c r="O3236">
        <v>0</v>
      </c>
      <c r="P3236" t="str">
        <f>IF(T[[#This Row],[qty_ordered]]&lt;&gt;T[[#This Row],[qty_received]],IF(T[[#This Row],[qty_received]]&gt;0,"Partial Received","Not Receviced"),"FullyReceived")</f>
        <v>Not Receviced</v>
      </c>
      <c r="Q3236" t="str">
        <f>IF(T[[#This Row],[qty_received]]&lt;&gt;T[[#This Row],[qty_invoiced]],IF(T[[#This Row],[qty_invoiced]]&gt;0,"Partial Invoiced","Not Invoiced"),"Fully Invoiced")</f>
        <v>Partial Invoiced</v>
      </c>
      <c r="R3236" t="str">
        <f>IFERROR(VLOOKUP(T[[#This Row],[warehouse]],Table2[],2,FALSE),"--")</f>
        <v>--</v>
      </c>
    </row>
    <row r="3237" spans="1:18" x14ac:dyDescent="0.25">
      <c r="A3237" t="s">
        <v>235</v>
      </c>
      <c r="B3237" s="1">
        <v>44573</v>
      </c>
      <c r="C3237" t="s">
        <v>1951</v>
      </c>
      <c r="D3237" t="s">
        <v>76</v>
      </c>
      <c r="E3237" t="s">
        <v>51</v>
      </c>
      <c r="F3237" t="s">
        <v>546</v>
      </c>
      <c r="G3237" t="s">
        <v>1957</v>
      </c>
      <c r="H3237" t="s">
        <v>54</v>
      </c>
      <c r="I3237">
        <v>10000</v>
      </c>
      <c r="J3237">
        <v>0</v>
      </c>
      <c r="K3237">
        <v>1</v>
      </c>
      <c r="L3237" t="s">
        <v>693</v>
      </c>
      <c r="M3237" t="s">
        <v>533</v>
      </c>
      <c r="N3237">
        <v>15.8</v>
      </c>
      <c r="O3237">
        <v>0</v>
      </c>
      <c r="P3237" t="str">
        <f>IF(T[[#This Row],[qty_ordered]]&lt;&gt;T[[#This Row],[qty_received]],IF(T[[#This Row],[qty_received]]&gt;0,"Partial Received","Not Receviced"),"FullyReceived")</f>
        <v>Not Receviced</v>
      </c>
      <c r="Q3237" t="str">
        <f>IF(T[[#This Row],[qty_received]]&lt;&gt;T[[#This Row],[qty_invoiced]],IF(T[[#This Row],[qty_invoiced]]&gt;0,"Partial Invoiced","Not Invoiced"),"Fully Invoiced")</f>
        <v>Partial Invoiced</v>
      </c>
      <c r="R3237" t="str">
        <f>IFERROR(VLOOKUP(T[[#This Row],[warehouse]],Table2[],2,FALSE),"--")</f>
        <v>--</v>
      </c>
    </row>
    <row r="3238" spans="1:18" x14ac:dyDescent="0.25">
      <c r="A3238" t="s">
        <v>235</v>
      </c>
      <c r="B3238" s="1">
        <v>44573</v>
      </c>
      <c r="C3238" t="s">
        <v>1958</v>
      </c>
      <c r="D3238" t="s">
        <v>20</v>
      </c>
      <c r="E3238" t="s">
        <v>51</v>
      </c>
      <c r="F3238" t="s">
        <v>546</v>
      </c>
      <c r="G3238" t="s">
        <v>1959</v>
      </c>
      <c r="H3238" t="s">
        <v>54</v>
      </c>
      <c r="I3238">
        <v>6000</v>
      </c>
      <c r="J3238">
        <v>0</v>
      </c>
      <c r="K3238">
        <v>1</v>
      </c>
      <c r="L3238" t="s">
        <v>693</v>
      </c>
      <c r="M3238" t="s">
        <v>533</v>
      </c>
      <c r="N3238">
        <v>15.833333</v>
      </c>
      <c r="O3238">
        <v>0</v>
      </c>
      <c r="P3238" t="str">
        <f>IF(T[[#This Row],[qty_ordered]]&lt;&gt;T[[#This Row],[qty_received]],IF(T[[#This Row],[qty_received]]&gt;0,"Partial Received","Not Receviced"),"FullyReceived")</f>
        <v>Not Receviced</v>
      </c>
      <c r="Q3238" t="str">
        <f>IF(T[[#This Row],[qty_received]]&lt;&gt;T[[#This Row],[qty_invoiced]],IF(T[[#This Row],[qty_invoiced]]&gt;0,"Partial Invoiced","Not Invoiced"),"Fully Invoiced")</f>
        <v>Partial Invoiced</v>
      </c>
      <c r="R3238" t="str">
        <f>IFERROR(VLOOKUP(T[[#This Row],[warehouse]],Table2[],2,FALSE),"--")</f>
        <v>--</v>
      </c>
    </row>
    <row r="3239" spans="1:18" x14ac:dyDescent="0.25">
      <c r="A3239" t="s">
        <v>235</v>
      </c>
      <c r="B3239" s="1">
        <v>44573</v>
      </c>
      <c r="C3239" t="s">
        <v>1958</v>
      </c>
      <c r="D3239" t="s">
        <v>71</v>
      </c>
      <c r="E3239" t="s">
        <v>51</v>
      </c>
      <c r="F3239" t="s">
        <v>546</v>
      </c>
      <c r="G3239" t="s">
        <v>1568</v>
      </c>
      <c r="H3239" t="s">
        <v>54</v>
      </c>
      <c r="I3239">
        <v>10000</v>
      </c>
      <c r="J3239">
        <v>0</v>
      </c>
      <c r="K3239">
        <v>1</v>
      </c>
      <c r="L3239" t="s">
        <v>693</v>
      </c>
      <c r="M3239" t="s">
        <v>533</v>
      </c>
      <c r="N3239">
        <v>15.5</v>
      </c>
      <c r="O3239">
        <v>0</v>
      </c>
      <c r="P3239" t="str">
        <f>IF(T[[#This Row],[qty_ordered]]&lt;&gt;T[[#This Row],[qty_received]],IF(T[[#This Row],[qty_received]]&gt;0,"Partial Received","Not Receviced"),"FullyReceived")</f>
        <v>Not Receviced</v>
      </c>
      <c r="Q3239" t="str">
        <f>IF(T[[#This Row],[qty_received]]&lt;&gt;T[[#This Row],[qty_invoiced]],IF(T[[#This Row],[qty_invoiced]]&gt;0,"Partial Invoiced","Not Invoiced"),"Fully Invoiced")</f>
        <v>Partial Invoiced</v>
      </c>
      <c r="R3239" t="str">
        <f>IFERROR(VLOOKUP(T[[#This Row],[warehouse]],Table2[],2,FALSE),"--")</f>
        <v>--</v>
      </c>
    </row>
    <row r="3240" spans="1:18" x14ac:dyDescent="0.25">
      <c r="A3240" t="s">
        <v>235</v>
      </c>
      <c r="B3240" s="1">
        <v>44573</v>
      </c>
      <c r="C3240" t="s">
        <v>1958</v>
      </c>
      <c r="D3240" t="s">
        <v>100</v>
      </c>
      <c r="E3240" t="s">
        <v>51</v>
      </c>
      <c r="F3240" t="s">
        <v>546</v>
      </c>
      <c r="G3240" t="s">
        <v>1569</v>
      </c>
      <c r="H3240" t="s">
        <v>54</v>
      </c>
      <c r="I3240">
        <v>5000</v>
      </c>
      <c r="J3240">
        <v>0</v>
      </c>
      <c r="K3240">
        <v>1</v>
      </c>
      <c r="L3240" t="s">
        <v>693</v>
      </c>
      <c r="M3240" t="s">
        <v>533</v>
      </c>
      <c r="N3240">
        <v>16.2</v>
      </c>
      <c r="O3240">
        <v>0</v>
      </c>
      <c r="P3240" t="str">
        <f>IF(T[[#This Row],[qty_ordered]]&lt;&gt;T[[#This Row],[qty_received]],IF(T[[#This Row],[qty_received]]&gt;0,"Partial Received","Not Receviced"),"FullyReceived")</f>
        <v>Not Receviced</v>
      </c>
      <c r="Q3240" t="str">
        <f>IF(T[[#This Row],[qty_received]]&lt;&gt;T[[#This Row],[qty_invoiced]],IF(T[[#This Row],[qty_invoiced]]&gt;0,"Partial Invoiced","Not Invoiced"),"Fully Invoiced")</f>
        <v>Partial Invoiced</v>
      </c>
      <c r="R3240" t="str">
        <f>IFERROR(VLOOKUP(T[[#This Row],[warehouse]],Table2[],2,FALSE),"--")</f>
        <v>--</v>
      </c>
    </row>
    <row r="3241" spans="1:18" x14ac:dyDescent="0.25">
      <c r="A3241" t="s">
        <v>235</v>
      </c>
      <c r="B3241" s="1">
        <v>44573</v>
      </c>
      <c r="C3241" t="s">
        <v>1960</v>
      </c>
      <c r="D3241" t="s">
        <v>20</v>
      </c>
      <c r="E3241" t="s">
        <v>51</v>
      </c>
      <c r="F3241" t="s">
        <v>546</v>
      </c>
      <c r="G3241" t="s">
        <v>1572</v>
      </c>
      <c r="H3241" t="s">
        <v>54</v>
      </c>
      <c r="I3241">
        <v>10000</v>
      </c>
      <c r="J3241">
        <v>0</v>
      </c>
      <c r="K3241">
        <v>0</v>
      </c>
      <c r="L3241" t="s">
        <v>59</v>
      </c>
      <c r="M3241" t="s">
        <v>533</v>
      </c>
      <c r="N3241">
        <v>15.5</v>
      </c>
      <c r="O3241">
        <v>0</v>
      </c>
      <c r="P3241" t="str">
        <f>IF(T[[#This Row],[qty_ordered]]&lt;&gt;T[[#This Row],[qty_received]],IF(T[[#This Row],[qty_received]]&gt;0,"Partial Received","Not Receviced"),"FullyReceived")</f>
        <v>Not Receviced</v>
      </c>
      <c r="Q3241" t="str">
        <f>IF(T[[#This Row],[qty_received]]&lt;&gt;T[[#This Row],[qty_invoiced]],IF(T[[#This Row],[qty_invoiced]]&gt;0,"Partial Invoiced","Not Invoiced"),"Fully Invoiced")</f>
        <v>Fully Invoiced</v>
      </c>
      <c r="R3241" t="str">
        <f>IFERROR(VLOOKUP(T[[#This Row],[warehouse]],Table2[],2,FALSE),"--")</f>
        <v>--</v>
      </c>
    </row>
    <row r="3242" spans="1:18" x14ac:dyDescent="0.25">
      <c r="A3242" t="s">
        <v>235</v>
      </c>
      <c r="B3242" s="1">
        <v>44199</v>
      </c>
      <c r="C3242" t="s">
        <v>1136</v>
      </c>
      <c r="D3242" t="s">
        <v>76</v>
      </c>
      <c r="E3242" t="s">
        <v>51</v>
      </c>
      <c r="F3242" t="s">
        <v>546</v>
      </c>
      <c r="G3242" t="s">
        <v>1961</v>
      </c>
      <c r="H3242" t="s">
        <v>54</v>
      </c>
      <c r="I3242">
        <v>2400</v>
      </c>
      <c r="J3242">
        <v>0</v>
      </c>
      <c r="K3242">
        <v>1</v>
      </c>
      <c r="L3242" t="s">
        <v>25</v>
      </c>
      <c r="M3242" t="s">
        <v>533</v>
      </c>
      <c r="N3242">
        <v>15</v>
      </c>
      <c r="O3242">
        <v>0</v>
      </c>
      <c r="P3242" t="str">
        <f>IF(T[[#This Row],[qty_ordered]]&lt;&gt;T[[#This Row],[qty_received]],IF(T[[#This Row],[qty_received]]&gt;0,"Partial Received","Not Receviced"),"FullyReceived")</f>
        <v>Not Receviced</v>
      </c>
      <c r="Q3242" t="str">
        <f>IF(T[[#This Row],[qty_received]]&lt;&gt;T[[#This Row],[qty_invoiced]],IF(T[[#This Row],[qty_invoiced]]&gt;0,"Partial Invoiced","Not Invoiced"),"Fully Invoiced")</f>
        <v>Partial Invoiced</v>
      </c>
      <c r="R3242" t="str">
        <f>IFERROR(VLOOKUP(T[[#This Row],[warehouse]],Table2[],2,FALSE),"--")</f>
        <v>--</v>
      </c>
    </row>
    <row r="3243" spans="1:18" x14ac:dyDescent="0.25">
      <c r="A3243" t="s">
        <v>1496</v>
      </c>
      <c r="B3243" s="1">
        <v>44553</v>
      </c>
      <c r="C3243" t="s">
        <v>1497</v>
      </c>
      <c r="D3243" t="s">
        <v>100</v>
      </c>
      <c r="E3243" t="s">
        <v>321</v>
      </c>
      <c r="F3243" t="s">
        <v>526</v>
      </c>
      <c r="G3243" t="s">
        <v>472</v>
      </c>
      <c r="H3243" t="s">
        <v>123</v>
      </c>
      <c r="I3243">
        <v>4000</v>
      </c>
      <c r="J3243">
        <v>4000</v>
      </c>
      <c r="K3243">
        <v>4000</v>
      </c>
      <c r="L3243" t="s">
        <v>25</v>
      </c>
      <c r="M3243" t="s">
        <v>1485</v>
      </c>
      <c r="N3243">
        <v>17600</v>
      </c>
      <c r="O3243">
        <v>70400000</v>
      </c>
      <c r="P3243" t="str">
        <f>IF(T[[#This Row],[qty_ordered]]&lt;&gt;T[[#This Row],[qty_received]],IF(T[[#This Row],[qty_received]]&gt;0,"Partial Received","Not Receviced"),"FullyReceived")</f>
        <v>FullyReceived</v>
      </c>
      <c r="Q3243" t="str">
        <f>IF(T[[#This Row],[qty_received]]&lt;&gt;T[[#This Row],[qty_invoiced]],IF(T[[#This Row],[qty_invoiced]]&gt;0,"Partial Invoiced","Not Invoiced"),"Fully Invoiced")</f>
        <v>Fully Invoiced</v>
      </c>
      <c r="R3243" t="str">
        <f>IFERROR(VLOOKUP(T[[#This Row],[warehouse]],Table2[],2,FALSE),"--")</f>
        <v>Crusher KHA- Other</v>
      </c>
    </row>
    <row r="3244" spans="1:18" x14ac:dyDescent="0.25">
      <c r="A3244" t="s">
        <v>228</v>
      </c>
      <c r="B3244" s="1">
        <v>44571</v>
      </c>
      <c r="C3244" t="s">
        <v>1943</v>
      </c>
      <c r="D3244" t="s">
        <v>71</v>
      </c>
      <c r="E3244" t="s">
        <v>239</v>
      </c>
      <c r="F3244" t="s">
        <v>230</v>
      </c>
      <c r="G3244" t="s">
        <v>231</v>
      </c>
      <c r="H3244" t="s">
        <v>24</v>
      </c>
      <c r="I3244">
        <v>1233.751</v>
      </c>
      <c r="J3244">
        <v>0</v>
      </c>
      <c r="K3244">
        <v>0</v>
      </c>
      <c r="L3244" t="s">
        <v>25</v>
      </c>
      <c r="M3244" t="s">
        <v>1485</v>
      </c>
      <c r="N3244">
        <v>567375.42664600001</v>
      </c>
      <c r="O3244">
        <v>0</v>
      </c>
      <c r="P3244" t="str">
        <f>IF(T[[#This Row],[qty_ordered]]&lt;&gt;T[[#This Row],[qty_received]],IF(T[[#This Row],[qty_received]]&gt;0,"Partial Received","Not Receviced"),"FullyReceived")</f>
        <v>Not Receviced</v>
      </c>
      <c r="Q3244" t="str">
        <f>IF(T[[#This Row],[qty_received]]&lt;&gt;T[[#This Row],[qty_invoiced]],IF(T[[#This Row],[qty_invoiced]]&gt;0,"Partial Invoiced","Not Invoiced"),"Fully Invoiced")</f>
        <v>Fully Invoiced</v>
      </c>
      <c r="R3244" t="str">
        <f>IFERROR(VLOOKUP(T[[#This Row],[warehouse]],Table2[],2,FALSE),"--")</f>
        <v xml:space="preserve">Gadarif Main Store </v>
      </c>
    </row>
    <row r="3245" spans="1:18" x14ac:dyDescent="0.25">
      <c r="A3245" t="s">
        <v>1118</v>
      </c>
      <c r="B3245" s="1">
        <v>44579</v>
      </c>
      <c r="C3245" t="s">
        <v>1682</v>
      </c>
      <c r="D3245" t="s">
        <v>20</v>
      </c>
      <c r="E3245" t="s">
        <v>660</v>
      </c>
      <c r="F3245" t="s">
        <v>1439</v>
      </c>
      <c r="G3245" t="s">
        <v>1440</v>
      </c>
      <c r="H3245" t="s">
        <v>1087</v>
      </c>
      <c r="I3245">
        <v>3546</v>
      </c>
      <c r="J3245">
        <v>3546</v>
      </c>
      <c r="K3245">
        <v>3546</v>
      </c>
      <c r="L3245" t="s">
        <v>25</v>
      </c>
      <c r="M3245" t="s">
        <v>1485</v>
      </c>
      <c r="N3245">
        <v>29150</v>
      </c>
      <c r="O3245">
        <v>111564388.26000001</v>
      </c>
      <c r="P3245" t="str">
        <f>IF(T[[#This Row],[qty_ordered]]&lt;&gt;T[[#This Row],[qty_received]],IF(T[[#This Row],[qty_received]]&gt;0,"Partial Received","Not Receviced"),"FullyReceived")</f>
        <v>FullyReceived</v>
      </c>
      <c r="Q3245" t="str">
        <f>IF(T[[#This Row],[qty_received]]&lt;&gt;T[[#This Row],[qty_invoiced]],IF(T[[#This Row],[qty_invoiced]]&gt;0,"Partial Invoiced","Not Invoiced"),"Fully Invoiced")</f>
        <v>Fully Invoiced</v>
      </c>
      <c r="R3245" t="str">
        <f>IFERROR(VLOOKUP(T[[#This Row],[warehouse]],Table2[],2,FALSE),"--")</f>
        <v>SLAUGHTER HOUSE</v>
      </c>
    </row>
    <row r="3246" spans="1:18" x14ac:dyDescent="0.25">
      <c r="A3246" t="s">
        <v>1040</v>
      </c>
      <c r="B3246" s="1">
        <v>44579</v>
      </c>
      <c r="C3246" t="s">
        <v>1962</v>
      </c>
      <c r="D3246" t="s">
        <v>20</v>
      </c>
      <c r="E3246" t="s">
        <v>660</v>
      </c>
      <c r="F3246" t="s">
        <v>1439</v>
      </c>
      <c r="G3246" t="s">
        <v>1440</v>
      </c>
      <c r="H3246" t="s">
        <v>1087</v>
      </c>
      <c r="I3246">
        <v>533</v>
      </c>
      <c r="J3246">
        <v>533</v>
      </c>
      <c r="K3246">
        <v>533</v>
      </c>
      <c r="L3246" t="s">
        <v>25</v>
      </c>
      <c r="M3246" t="s">
        <v>1485</v>
      </c>
      <c r="N3246">
        <v>32279.16</v>
      </c>
      <c r="O3246">
        <v>17204792.280000001</v>
      </c>
      <c r="P3246" t="str">
        <f>IF(T[[#This Row],[qty_ordered]]&lt;&gt;T[[#This Row],[qty_received]],IF(T[[#This Row],[qty_received]]&gt;0,"Partial Received","Not Receviced"),"FullyReceived")</f>
        <v>FullyReceived</v>
      </c>
      <c r="Q3246" t="str">
        <f>IF(T[[#This Row],[qty_received]]&lt;&gt;T[[#This Row],[qty_invoiced]],IF(T[[#This Row],[qty_invoiced]]&gt;0,"Partial Invoiced","Not Invoiced"),"Fully Invoiced")</f>
        <v>Fully Invoiced</v>
      </c>
      <c r="R3246" t="str">
        <f>IFERROR(VLOOKUP(T[[#This Row],[warehouse]],Table2[],2,FALSE),"--")</f>
        <v>SLAUGHTER HOUSE</v>
      </c>
    </row>
    <row r="3247" spans="1:18" x14ac:dyDescent="0.25">
      <c r="A3247" t="s">
        <v>242</v>
      </c>
      <c r="B3247" s="1">
        <v>44581</v>
      </c>
      <c r="C3247" t="s">
        <v>1963</v>
      </c>
      <c r="D3247" t="s">
        <v>20</v>
      </c>
      <c r="E3247" t="s">
        <v>405</v>
      </c>
      <c r="F3247" t="s">
        <v>244</v>
      </c>
      <c r="G3247" t="s">
        <v>245</v>
      </c>
      <c r="H3247" t="s">
        <v>24</v>
      </c>
      <c r="I3247">
        <v>110.46</v>
      </c>
      <c r="J3247">
        <v>110.46</v>
      </c>
      <c r="K3247">
        <v>110.46</v>
      </c>
      <c r="L3247" t="s">
        <v>25</v>
      </c>
      <c r="M3247" t="s">
        <v>1485</v>
      </c>
      <c r="N3247">
        <v>840000</v>
      </c>
      <c r="O3247">
        <v>92786400</v>
      </c>
      <c r="P3247" t="str">
        <f>IF(T[[#This Row],[qty_ordered]]&lt;&gt;T[[#This Row],[qty_received]],IF(T[[#This Row],[qty_received]]&gt;0,"Partial Received","Not Receviced"),"FullyReceived")</f>
        <v>FullyReceived</v>
      </c>
      <c r="Q3247" t="str">
        <f>IF(T[[#This Row],[qty_received]]&lt;&gt;T[[#This Row],[qty_invoiced]],IF(T[[#This Row],[qty_invoiced]]&gt;0,"Partial Invoiced","Not Invoiced"),"Fully Invoiced")</f>
        <v>Fully Invoiced</v>
      </c>
      <c r="R3247" t="str">
        <f>IFERROR(VLOOKUP(T[[#This Row],[warehouse]],Table2[],2,FALSE),"--")</f>
        <v>GINNING ISHRAG-MDNI</v>
      </c>
    </row>
    <row r="3248" spans="1:18" x14ac:dyDescent="0.25">
      <c r="A3248" t="s">
        <v>242</v>
      </c>
      <c r="B3248" s="1">
        <v>44581</v>
      </c>
      <c r="C3248" t="s">
        <v>1552</v>
      </c>
      <c r="D3248" t="s">
        <v>20</v>
      </c>
      <c r="E3248" t="s">
        <v>405</v>
      </c>
      <c r="F3248" t="s">
        <v>244</v>
      </c>
      <c r="G3248" t="s">
        <v>245</v>
      </c>
      <c r="H3248" t="s">
        <v>24</v>
      </c>
      <c r="I3248">
        <v>204.55</v>
      </c>
      <c r="J3248">
        <v>204.55</v>
      </c>
      <c r="K3248">
        <v>204.55</v>
      </c>
      <c r="L3248" t="s">
        <v>25</v>
      </c>
      <c r="M3248" t="s">
        <v>1485</v>
      </c>
      <c r="N3248">
        <v>840000</v>
      </c>
      <c r="O3248">
        <v>171822000</v>
      </c>
      <c r="P3248" t="str">
        <f>IF(T[[#This Row],[qty_ordered]]&lt;&gt;T[[#This Row],[qty_received]],IF(T[[#This Row],[qty_received]]&gt;0,"Partial Received","Not Receviced"),"FullyReceived")</f>
        <v>FullyReceived</v>
      </c>
      <c r="Q3248" t="str">
        <f>IF(T[[#This Row],[qty_received]]&lt;&gt;T[[#This Row],[qty_invoiced]],IF(T[[#This Row],[qty_invoiced]]&gt;0,"Partial Invoiced","Not Invoiced"),"Fully Invoiced")</f>
        <v>Fully Invoiced</v>
      </c>
      <c r="R3248" t="str">
        <f>IFERROR(VLOOKUP(T[[#This Row],[warehouse]],Table2[],2,FALSE),"--")</f>
        <v>GINNING ISHRAG-MDNI</v>
      </c>
    </row>
    <row r="3249" spans="1:18" x14ac:dyDescent="0.25">
      <c r="A3249" t="s">
        <v>228</v>
      </c>
      <c r="B3249" s="1">
        <v>44650</v>
      </c>
      <c r="C3249" t="s">
        <v>1964</v>
      </c>
      <c r="D3249" t="s">
        <v>20</v>
      </c>
      <c r="E3249" t="s">
        <v>239</v>
      </c>
      <c r="F3249" t="s">
        <v>196</v>
      </c>
      <c r="G3249" t="s">
        <v>197</v>
      </c>
      <c r="H3249" t="s">
        <v>24</v>
      </c>
      <c r="I3249">
        <v>20240.837</v>
      </c>
      <c r="J3249">
        <v>20240.837</v>
      </c>
      <c r="K3249">
        <v>20240.833999999999</v>
      </c>
      <c r="L3249" t="s">
        <v>25</v>
      </c>
      <c r="M3249" t="s">
        <v>1485</v>
      </c>
      <c r="N3249">
        <v>131300</v>
      </c>
      <c r="O3249">
        <v>2657621898.0999999</v>
      </c>
      <c r="P3249" t="str">
        <f>IF(T[[#This Row],[qty_ordered]]&lt;&gt;T[[#This Row],[qty_received]],IF(T[[#This Row],[qty_received]]&gt;0,"Partial Received","Not Receviced"),"FullyReceived")</f>
        <v>FullyReceived</v>
      </c>
      <c r="Q3249" t="str">
        <f>IF(T[[#This Row],[qty_received]]&lt;&gt;T[[#This Row],[qty_invoiced]],IF(T[[#This Row],[qty_invoiced]]&gt;0,"Partial Invoiced","Not Invoiced"),"Fully Invoiced")</f>
        <v>Partial Invoiced</v>
      </c>
      <c r="R3249" t="str">
        <f>IFERROR(VLOOKUP(T[[#This Row],[warehouse]],Table2[],2,FALSE),"--")</f>
        <v xml:space="preserve">Gadarif Main Store </v>
      </c>
    </row>
    <row r="3250" spans="1:18" x14ac:dyDescent="0.25">
      <c r="A3250" t="s">
        <v>795</v>
      </c>
      <c r="B3250" s="1">
        <v>44550</v>
      </c>
      <c r="C3250" t="s">
        <v>1494</v>
      </c>
      <c r="D3250" t="s">
        <v>100</v>
      </c>
      <c r="E3250" t="s">
        <v>1965</v>
      </c>
      <c r="F3250" t="s">
        <v>287</v>
      </c>
      <c r="G3250" t="s">
        <v>288</v>
      </c>
      <c r="H3250" t="s">
        <v>24</v>
      </c>
      <c r="I3250">
        <v>967.74099999999999</v>
      </c>
      <c r="J3250">
        <v>0</v>
      </c>
      <c r="K3250">
        <v>0</v>
      </c>
      <c r="L3250" t="s">
        <v>25</v>
      </c>
      <c r="M3250" t="s">
        <v>1485</v>
      </c>
      <c r="N3250">
        <v>310000.3</v>
      </c>
      <c r="O3250">
        <v>0</v>
      </c>
      <c r="P3250" t="str">
        <f>IF(T[[#This Row],[qty_ordered]]&lt;&gt;T[[#This Row],[qty_received]],IF(T[[#This Row],[qty_received]]&gt;0,"Partial Received","Not Receviced"),"FullyReceived")</f>
        <v>Not Receviced</v>
      </c>
      <c r="Q3250" t="str">
        <f>IF(T[[#This Row],[qty_received]]&lt;&gt;T[[#This Row],[qty_invoiced]],IF(T[[#This Row],[qty_invoiced]]&gt;0,"Partial Invoiced","Not Invoiced"),"Fully Invoiced")</f>
        <v>Fully Invoiced</v>
      </c>
      <c r="R3250" t="str">
        <f>IFERROR(VLOOKUP(T[[#This Row],[warehouse]],Table2[],2,FALSE),"--")</f>
        <v>Sabaloga Commodities Warehouse</v>
      </c>
    </row>
    <row r="3251" spans="1:18" x14ac:dyDescent="0.25">
      <c r="A3251" t="s">
        <v>1170</v>
      </c>
      <c r="B3251" s="1">
        <v>44581</v>
      </c>
      <c r="C3251" t="s">
        <v>1966</v>
      </c>
      <c r="D3251" t="s">
        <v>20</v>
      </c>
      <c r="E3251" t="s">
        <v>1289</v>
      </c>
      <c r="F3251" t="s">
        <v>406</v>
      </c>
      <c r="G3251" t="s">
        <v>407</v>
      </c>
      <c r="H3251" t="s">
        <v>24</v>
      </c>
      <c r="I3251">
        <v>3000</v>
      </c>
      <c r="J3251">
        <v>984.8</v>
      </c>
      <c r="K3251">
        <v>984.8</v>
      </c>
      <c r="L3251" t="s">
        <v>25</v>
      </c>
      <c r="M3251" t="s">
        <v>132</v>
      </c>
      <c r="N3251">
        <v>290000</v>
      </c>
      <c r="O3251">
        <v>285592000</v>
      </c>
      <c r="P3251" t="str">
        <f>IF(T[[#This Row],[qty_ordered]]&lt;&gt;T[[#This Row],[qty_received]],IF(T[[#This Row],[qty_received]]&gt;0,"Partial Received","Not Receviced"),"FullyReceived")</f>
        <v>Partial Received</v>
      </c>
      <c r="Q3251" t="str">
        <f>IF(T[[#This Row],[qty_received]]&lt;&gt;T[[#This Row],[qty_invoiced]],IF(T[[#This Row],[qty_invoiced]]&gt;0,"Partial Invoiced","Not Invoiced"),"Fully Invoiced")</f>
        <v>Fully Invoiced</v>
      </c>
      <c r="R3251" t="str">
        <f>IFERROR(VLOOKUP(T[[#This Row],[warehouse]],Table2[],2,FALSE),"--")</f>
        <v>MSG GINNING GDARIF</v>
      </c>
    </row>
    <row r="3252" spans="1:18" x14ac:dyDescent="0.25">
      <c r="A3252" t="s">
        <v>955</v>
      </c>
      <c r="B3252" s="1">
        <v>44523</v>
      </c>
      <c r="C3252" t="s">
        <v>1967</v>
      </c>
      <c r="D3252" t="s">
        <v>71</v>
      </c>
      <c r="E3252" t="s">
        <v>957</v>
      </c>
      <c r="F3252" t="s">
        <v>86</v>
      </c>
      <c r="G3252" t="s">
        <v>87</v>
      </c>
      <c r="H3252" t="s">
        <v>24</v>
      </c>
      <c r="I3252">
        <v>1004.016</v>
      </c>
      <c r="J3252">
        <v>0</v>
      </c>
      <c r="K3252">
        <v>0</v>
      </c>
      <c r="L3252" t="s">
        <v>693</v>
      </c>
      <c r="M3252" t="s">
        <v>132</v>
      </c>
      <c r="N3252">
        <v>498000.03187200002</v>
      </c>
      <c r="O3252">
        <v>0</v>
      </c>
      <c r="P3252" t="str">
        <f>IF(T[[#This Row],[qty_ordered]]&lt;&gt;T[[#This Row],[qty_received]],IF(T[[#This Row],[qty_received]]&gt;0,"Partial Received","Not Receviced"),"FullyReceived")</f>
        <v>Not Receviced</v>
      </c>
      <c r="Q3252" t="str">
        <f>IF(T[[#This Row],[qty_received]]&lt;&gt;T[[#This Row],[qty_invoiced]],IF(T[[#This Row],[qty_invoiced]]&gt;0,"Partial Invoiced","Not Invoiced"),"Fully Invoiced")</f>
        <v>Fully Invoiced</v>
      </c>
      <c r="R3252" t="str">
        <f>IFERROR(VLOOKUP(T[[#This Row],[warehouse]],Table2[],2,FALSE),"--")</f>
        <v>SEEDS SIFTING FACILITY</v>
      </c>
    </row>
    <row r="3253" spans="1:18" x14ac:dyDescent="0.25">
      <c r="A3253" t="s">
        <v>228</v>
      </c>
      <c r="B3253" s="1">
        <v>44571</v>
      </c>
      <c r="C3253" t="s">
        <v>1943</v>
      </c>
      <c r="D3253" t="s">
        <v>100</v>
      </c>
      <c r="E3253" t="s">
        <v>239</v>
      </c>
      <c r="F3253" t="s">
        <v>230</v>
      </c>
      <c r="G3253" t="s">
        <v>231</v>
      </c>
      <c r="H3253" t="s">
        <v>24</v>
      </c>
      <c r="I3253">
        <v>865.05200000000002</v>
      </c>
      <c r="J3253">
        <v>0</v>
      </c>
      <c r="K3253">
        <v>0</v>
      </c>
      <c r="L3253" t="s">
        <v>25</v>
      </c>
      <c r="M3253" t="s">
        <v>1485</v>
      </c>
      <c r="N3253">
        <v>577999.93526399997</v>
      </c>
      <c r="O3253">
        <v>0</v>
      </c>
      <c r="P3253" t="str">
        <f>IF(T[[#This Row],[qty_ordered]]&lt;&gt;T[[#This Row],[qty_received]],IF(T[[#This Row],[qty_received]]&gt;0,"Partial Received","Not Receviced"),"FullyReceived")</f>
        <v>Not Receviced</v>
      </c>
      <c r="Q3253" t="str">
        <f>IF(T[[#This Row],[qty_received]]&lt;&gt;T[[#This Row],[qty_invoiced]],IF(T[[#This Row],[qty_invoiced]]&gt;0,"Partial Invoiced","Not Invoiced"),"Fully Invoiced")</f>
        <v>Fully Invoiced</v>
      </c>
      <c r="R3253" t="str">
        <f>IFERROR(VLOOKUP(T[[#This Row],[warehouse]],Table2[],2,FALSE),"--")</f>
        <v xml:space="preserve">Gadarif Main Store </v>
      </c>
    </row>
    <row r="3254" spans="1:18" x14ac:dyDescent="0.25">
      <c r="A3254" t="s">
        <v>1114</v>
      </c>
      <c r="B3254" s="1">
        <v>44535</v>
      </c>
      <c r="C3254" t="s">
        <v>1518</v>
      </c>
      <c r="D3254" t="s">
        <v>88</v>
      </c>
      <c r="E3254" t="s">
        <v>660</v>
      </c>
      <c r="F3254" t="s">
        <v>1188</v>
      </c>
      <c r="G3254" t="s">
        <v>1189</v>
      </c>
      <c r="H3254" t="s">
        <v>1087</v>
      </c>
      <c r="I3254">
        <v>351</v>
      </c>
      <c r="J3254">
        <v>351</v>
      </c>
      <c r="K3254">
        <v>351</v>
      </c>
      <c r="L3254" t="s">
        <v>25</v>
      </c>
      <c r="M3254" t="s">
        <v>1485</v>
      </c>
      <c r="N3254">
        <v>365500</v>
      </c>
      <c r="O3254">
        <v>128290500</v>
      </c>
      <c r="P3254" t="str">
        <f>IF(T[[#This Row],[qty_ordered]]&lt;&gt;T[[#This Row],[qty_received]],IF(T[[#This Row],[qty_received]]&gt;0,"Partial Received","Not Receviced"),"FullyReceived")</f>
        <v>FullyReceived</v>
      </c>
      <c r="Q3254" t="str">
        <f>IF(T[[#This Row],[qty_received]]&lt;&gt;T[[#This Row],[qty_invoiced]],IF(T[[#This Row],[qty_invoiced]]&gt;0,"Partial Invoiced","Not Invoiced"),"Fully Invoiced")</f>
        <v>Fully Invoiced</v>
      </c>
      <c r="R3254" t="str">
        <f>IFERROR(VLOOKUP(T[[#This Row],[warehouse]],Table2[],2,FALSE),"--")</f>
        <v>SLAUGHTER HOUSE</v>
      </c>
    </row>
    <row r="3255" spans="1:18" x14ac:dyDescent="0.25">
      <c r="A3255" t="s">
        <v>252</v>
      </c>
      <c r="B3255" s="1">
        <v>44531</v>
      </c>
      <c r="C3255" t="s">
        <v>1491</v>
      </c>
      <c r="D3255" t="s">
        <v>100</v>
      </c>
      <c r="E3255" t="s">
        <v>51</v>
      </c>
      <c r="F3255" t="s">
        <v>183</v>
      </c>
      <c r="G3255" t="s">
        <v>1968</v>
      </c>
      <c r="H3255" t="s">
        <v>54</v>
      </c>
      <c r="I3255">
        <v>400</v>
      </c>
      <c r="J3255">
        <v>0</v>
      </c>
      <c r="K3255">
        <v>1</v>
      </c>
      <c r="L3255" t="s">
        <v>693</v>
      </c>
      <c r="M3255" t="s">
        <v>533</v>
      </c>
      <c r="N3255">
        <v>6250</v>
      </c>
      <c r="O3255">
        <v>0</v>
      </c>
      <c r="P3255" t="str">
        <f>IF(T[[#This Row],[qty_ordered]]&lt;&gt;T[[#This Row],[qty_received]],IF(T[[#This Row],[qty_received]]&gt;0,"Partial Received","Not Receviced"),"FullyReceived")</f>
        <v>Not Receviced</v>
      </c>
      <c r="Q3255" t="str">
        <f>IF(T[[#This Row],[qty_received]]&lt;&gt;T[[#This Row],[qty_invoiced]],IF(T[[#This Row],[qty_invoiced]]&gt;0,"Partial Invoiced","Not Invoiced"),"Fully Invoiced")</f>
        <v>Partial Invoiced</v>
      </c>
      <c r="R3255" t="str">
        <f>IFERROR(VLOOKUP(T[[#This Row],[warehouse]],Table2[],2,FALSE),"--")</f>
        <v>--</v>
      </c>
    </row>
    <row r="3256" spans="1:18" x14ac:dyDescent="0.25">
      <c r="A3256" t="s">
        <v>413</v>
      </c>
      <c r="B3256" s="1">
        <v>44578</v>
      </c>
      <c r="C3256" t="s">
        <v>1969</v>
      </c>
      <c r="D3256" t="s">
        <v>20</v>
      </c>
      <c r="E3256" t="s">
        <v>146</v>
      </c>
      <c r="F3256" t="s">
        <v>415</v>
      </c>
      <c r="G3256" t="s">
        <v>416</v>
      </c>
      <c r="H3256" t="s">
        <v>417</v>
      </c>
      <c r="I3256">
        <v>2000</v>
      </c>
      <c r="J3256">
        <v>2000</v>
      </c>
      <c r="K3256">
        <v>2000</v>
      </c>
      <c r="L3256" t="s">
        <v>25</v>
      </c>
      <c r="M3256" t="s">
        <v>418</v>
      </c>
      <c r="N3256">
        <v>6180</v>
      </c>
      <c r="O3256">
        <v>12360000</v>
      </c>
      <c r="P3256" t="str">
        <f>IF(T[[#This Row],[qty_ordered]]&lt;&gt;T[[#This Row],[qty_received]],IF(T[[#This Row],[qty_received]]&gt;0,"Partial Received","Not Receviced"),"FullyReceived")</f>
        <v>FullyReceived</v>
      </c>
      <c r="Q3256" t="str">
        <f>IF(T[[#This Row],[qty_received]]&lt;&gt;T[[#This Row],[qty_invoiced]],IF(T[[#This Row],[qty_invoiced]]&gt;0,"Partial Invoiced","Not Invoiced"),"Fully Invoiced")</f>
        <v>Fully Invoiced</v>
      </c>
      <c r="R3256" t="str">
        <f>IFERROR(VLOOKUP(T[[#This Row],[warehouse]],Table2[],2,FALSE),"--")</f>
        <v>Khtoum Main Warehouse</v>
      </c>
    </row>
    <row r="3257" spans="1:18" x14ac:dyDescent="0.25">
      <c r="A3257" t="s">
        <v>727</v>
      </c>
      <c r="B3257" s="1">
        <v>44581</v>
      </c>
      <c r="C3257" t="s">
        <v>1970</v>
      </c>
      <c r="D3257" t="s">
        <v>20</v>
      </c>
      <c r="E3257" t="s">
        <v>723</v>
      </c>
      <c r="F3257" t="s">
        <v>219</v>
      </c>
      <c r="G3257" t="s">
        <v>724</v>
      </c>
      <c r="H3257" t="s">
        <v>221</v>
      </c>
      <c r="I3257">
        <v>93717.62</v>
      </c>
      <c r="J3257">
        <v>93717.62</v>
      </c>
      <c r="K3257">
        <v>93717.62</v>
      </c>
      <c r="L3257" t="s">
        <v>693</v>
      </c>
      <c r="M3257" t="s">
        <v>132</v>
      </c>
      <c r="N3257">
        <v>25000</v>
      </c>
      <c r="O3257">
        <v>2342940500</v>
      </c>
      <c r="P3257" t="str">
        <f>IF(T[[#This Row],[qty_ordered]]&lt;&gt;T[[#This Row],[qty_received]],IF(T[[#This Row],[qty_received]]&gt;0,"Partial Received","Not Receviced"),"FullyReceived")</f>
        <v>FullyReceived</v>
      </c>
      <c r="Q3257" t="str">
        <f>IF(T[[#This Row],[qty_received]]&lt;&gt;T[[#This Row],[qty_invoiced]],IF(T[[#This Row],[qty_invoiced]]&gt;0,"Partial Invoiced","Not Invoiced"),"Fully Invoiced")</f>
        <v>Fully Invoiced</v>
      </c>
      <c r="R3257" t="str">
        <f>IFERROR(VLOOKUP(T[[#This Row],[warehouse]],Table2[],2,FALSE),"--")</f>
        <v>YELLOW BEANS</v>
      </c>
    </row>
    <row r="3258" spans="1:18" x14ac:dyDescent="0.25">
      <c r="A3258" t="s">
        <v>955</v>
      </c>
      <c r="B3258" s="1">
        <v>44581</v>
      </c>
      <c r="C3258" t="s">
        <v>1971</v>
      </c>
      <c r="D3258" t="s">
        <v>20</v>
      </c>
      <c r="E3258" t="s">
        <v>66</v>
      </c>
      <c r="F3258" t="s">
        <v>526</v>
      </c>
      <c r="G3258" t="s">
        <v>472</v>
      </c>
      <c r="H3258" t="s">
        <v>123</v>
      </c>
      <c r="I3258">
        <v>7988</v>
      </c>
      <c r="J3258">
        <v>7988</v>
      </c>
      <c r="K3258">
        <v>7988</v>
      </c>
      <c r="L3258" t="s">
        <v>25</v>
      </c>
      <c r="M3258" t="s">
        <v>1485</v>
      </c>
      <c r="N3258">
        <v>17150</v>
      </c>
      <c r="O3258">
        <v>136994200</v>
      </c>
      <c r="P3258" t="str">
        <f>IF(T[[#This Row],[qty_ordered]]&lt;&gt;T[[#This Row],[qty_received]],IF(T[[#This Row],[qty_received]]&gt;0,"Partial Received","Not Receviced"),"FullyReceived")</f>
        <v>FullyReceived</v>
      </c>
      <c r="Q3258" t="str">
        <f>IF(T[[#This Row],[qty_received]]&lt;&gt;T[[#This Row],[qty_invoiced]],IF(T[[#This Row],[qty_invoiced]]&gt;0,"Partial Invoiced","Not Invoiced"),"Fully Invoiced")</f>
        <v>Fully Invoiced</v>
      </c>
      <c r="R3258" t="str">
        <f>IFERROR(VLOOKUP(T[[#This Row],[warehouse]],Table2[],2,FALSE),"--")</f>
        <v>PZU Main Warehouse</v>
      </c>
    </row>
    <row r="3259" spans="1:18" x14ac:dyDescent="0.25">
      <c r="A3259" t="s">
        <v>242</v>
      </c>
      <c r="B3259" s="1">
        <v>44581</v>
      </c>
      <c r="C3259" t="s">
        <v>1552</v>
      </c>
      <c r="D3259" t="s">
        <v>71</v>
      </c>
      <c r="E3259" t="s">
        <v>405</v>
      </c>
      <c r="F3259" t="s">
        <v>244</v>
      </c>
      <c r="G3259" t="s">
        <v>245</v>
      </c>
      <c r="H3259" t="s">
        <v>24</v>
      </c>
      <c r="I3259">
        <v>100</v>
      </c>
      <c r="J3259">
        <v>92.69</v>
      </c>
      <c r="K3259">
        <v>92.69</v>
      </c>
      <c r="L3259" t="s">
        <v>25</v>
      </c>
      <c r="M3259" t="s">
        <v>1485</v>
      </c>
      <c r="N3259">
        <v>830000</v>
      </c>
      <c r="O3259">
        <v>76932700</v>
      </c>
      <c r="P3259" t="str">
        <f>IF(T[[#This Row],[qty_ordered]]&lt;&gt;T[[#This Row],[qty_received]],IF(T[[#This Row],[qty_received]]&gt;0,"Partial Received","Not Receviced"),"FullyReceived")</f>
        <v>Partial Received</v>
      </c>
      <c r="Q3259" t="str">
        <f>IF(T[[#This Row],[qty_received]]&lt;&gt;T[[#This Row],[qty_invoiced]],IF(T[[#This Row],[qty_invoiced]]&gt;0,"Partial Invoiced","Not Invoiced"),"Fully Invoiced")</f>
        <v>Fully Invoiced</v>
      </c>
      <c r="R3259" t="str">
        <f>IFERROR(VLOOKUP(T[[#This Row],[warehouse]],Table2[],2,FALSE),"--")</f>
        <v>GINNING ISHRAG-MDNI</v>
      </c>
    </row>
    <row r="3260" spans="1:18" x14ac:dyDescent="0.25">
      <c r="A3260" t="s">
        <v>985</v>
      </c>
      <c r="B3260" s="1">
        <v>44531</v>
      </c>
      <c r="C3260" t="s">
        <v>1489</v>
      </c>
      <c r="D3260" t="s">
        <v>212</v>
      </c>
      <c r="E3260" t="s">
        <v>51</v>
      </c>
      <c r="F3260" t="s">
        <v>183</v>
      </c>
      <c r="G3260" t="s">
        <v>1972</v>
      </c>
      <c r="H3260" t="s">
        <v>54</v>
      </c>
      <c r="I3260">
        <v>350</v>
      </c>
      <c r="J3260">
        <v>0</v>
      </c>
      <c r="K3260">
        <v>1</v>
      </c>
      <c r="L3260" t="s">
        <v>693</v>
      </c>
      <c r="M3260" t="s">
        <v>533</v>
      </c>
      <c r="N3260">
        <v>6000</v>
      </c>
      <c r="O3260">
        <v>0</v>
      </c>
      <c r="P3260" t="str">
        <f>IF(T[[#This Row],[qty_ordered]]&lt;&gt;T[[#This Row],[qty_received]],IF(T[[#This Row],[qty_received]]&gt;0,"Partial Received","Not Receviced"),"FullyReceived")</f>
        <v>Not Receviced</v>
      </c>
      <c r="Q3260" t="str">
        <f>IF(T[[#This Row],[qty_received]]&lt;&gt;T[[#This Row],[qty_invoiced]],IF(T[[#This Row],[qty_invoiced]]&gt;0,"Partial Invoiced","Not Invoiced"),"Fully Invoiced")</f>
        <v>Partial Invoiced</v>
      </c>
      <c r="R3260" t="str">
        <f>IFERROR(VLOOKUP(T[[#This Row],[warehouse]],Table2[],2,FALSE),"--")</f>
        <v>--</v>
      </c>
    </row>
    <row r="3261" spans="1:18" x14ac:dyDescent="0.25">
      <c r="A3261" t="s">
        <v>242</v>
      </c>
      <c r="B3261" s="1">
        <v>44571</v>
      </c>
      <c r="C3261" t="s">
        <v>1946</v>
      </c>
      <c r="D3261" t="s">
        <v>71</v>
      </c>
      <c r="E3261" t="s">
        <v>405</v>
      </c>
      <c r="F3261" t="s">
        <v>244</v>
      </c>
      <c r="G3261" t="s">
        <v>245</v>
      </c>
      <c r="H3261" t="s">
        <v>24</v>
      </c>
      <c r="I3261">
        <v>964</v>
      </c>
      <c r="J3261">
        <v>0</v>
      </c>
      <c r="K3261">
        <v>0</v>
      </c>
      <c r="L3261" t="s">
        <v>25</v>
      </c>
      <c r="M3261" t="s">
        <v>1485</v>
      </c>
      <c r="N3261">
        <v>829875.51867200003</v>
      </c>
      <c r="O3261">
        <v>0</v>
      </c>
      <c r="P3261" t="str">
        <f>IF(T[[#This Row],[qty_ordered]]&lt;&gt;T[[#This Row],[qty_received]],IF(T[[#This Row],[qty_received]]&gt;0,"Partial Received","Not Receviced"),"FullyReceived")</f>
        <v>Not Receviced</v>
      </c>
      <c r="Q3261" t="str">
        <f>IF(T[[#This Row],[qty_received]]&lt;&gt;T[[#This Row],[qty_invoiced]],IF(T[[#This Row],[qty_invoiced]]&gt;0,"Partial Invoiced","Not Invoiced"),"Fully Invoiced")</f>
        <v>Fully Invoiced</v>
      </c>
      <c r="R3261" t="str">
        <f>IFERROR(VLOOKUP(T[[#This Row],[warehouse]],Table2[],2,FALSE),"--")</f>
        <v>GINNING ISHRAG-MDNI</v>
      </c>
    </row>
    <row r="3262" spans="1:18" x14ac:dyDescent="0.25">
      <c r="A3262" t="s">
        <v>235</v>
      </c>
      <c r="B3262" s="1">
        <v>44586</v>
      </c>
      <c r="C3262" t="s">
        <v>1715</v>
      </c>
      <c r="D3262" t="s">
        <v>20</v>
      </c>
      <c r="E3262" t="s">
        <v>51</v>
      </c>
      <c r="F3262" t="s">
        <v>546</v>
      </c>
      <c r="G3262" t="s">
        <v>1973</v>
      </c>
      <c r="H3262" t="s">
        <v>54</v>
      </c>
      <c r="I3262">
        <v>10000</v>
      </c>
      <c r="J3262">
        <v>0</v>
      </c>
      <c r="K3262">
        <v>1</v>
      </c>
      <c r="L3262" t="s">
        <v>693</v>
      </c>
      <c r="M3262" t="s">
        <v>2836</v>
      </c>
      <c r="N3262">
        <v>15.5</v>
      </c>
      <c r="O3262">
        <v>0</v>
      </c>
      <c r="P3262" t="str">
        <f>IF(T[[#This Row],[qty_ordered]]&lt;&gt;T[[#This Row],[qty_received]],IF(T[[#This Row],[qty_received]]&gt;0,"Partial Received","Not Receviced"),"FullyReceived")</f>
        <v>Not Receviced</v>
      </c>
      <c r="Q3262" t="str">
        <f>IF(T[[#This Row],[qty_received]]&lt;&gt;T[[#This Row],[qty_invoiced]],IF(T[[#This Row],[qty_invoiced]]&gt;0,"Partial Invoiced","Not Invoiced"),"Fully Invoiced")</f>
        <v>Partial Invoiced</v>
      </c>
      <c r="R3262" t="str">
        <f>IFERROR(VLOOKUP(T[[#This Row],[warehouse]],Table2[],2,FALSE),"--")</f>
        <v>--</v>
      </c>
    </row>
    <row r="3263" spans="1:18" x14ac:dyDescent="0.25">
      <c r="A3263" t="s">
        <v>955</v>
      </c>
      <c r="B3263" s="1">
        <v>44586</v>
      </c>
      <c r="C3263" t="s">
        <v>1740</v>
      </c>
      <c r="D3263" t="s">
        <v>20</v>
      </c>
      <c r="E3263" t="s">
        <v>957</v>
      </c>
      <c r="F3263" t="s">
        <v>486</v>
      </c>
      <c r="G3263" t="s">
        <v>487</v>
      </c>
      <c r="H3263" t="s">
        <v>24</v>
      </c>
      <c r="I3263">
        <v>500</v>
      </c>
      <c r="J3263">
        <v>193.74</v>
      </c>
      <c r="K3263">
        <v>193.74</v>
      </c>
      <c r="L3263" t="s">
        <v>25</v>
      </c>
      <c r="M3263" t="s">
        <v>1485</v>
      </c>
      <c r="N3263">
        <v>500624.006161</v>
      </c>
      <c r="O3263">
        <v>96990894.953632101</v>
      </c>
      <c r="P3263" t="str">
        <f>IF(T[[#This Row],[qty_ordered]]&lt;&gt;T[[#This Row],[qty_received]],IF(T[[#This Row],[qty_received]]&gt;0,"Partial Received","Not Receviced"),"FullyReceived")</f>
        <v>Partial Received</v>
      </c>
      <c r="Q3263" t="str">
        <f>IF(T[[#This Row],[qty_received]]&lt;&gt;T[[#This Row],[qty_invoiced]],IF(T[[#This Row],[qty_invoiced]]&gt;0,"Partial Invoiced","Not Invoiced"),"Fully Invoiced")</f>
        <v>Fully Invoiced</v>
      </c>
      <c r="R3263" t="str">
        <f>IFERROR(VLOOKUP(T[[#This Row],[warehouse]],Table2[],2,FALSE),"--")</f>
        <v>SEEDS SIFTING FACILITY</v>
      </c>
    </row>
    <row r="3264" spans="1:18" x14ac:dyDescent="0.25">
      <c r="A3264" t="s">
        <v>242</v>
      </c>
      <c r="B3264" s="1">
        <v>44581</v>
      </c>
      <c r="C3264" t="s">
        <v>1963</v>
      </c>
      <c r="D3264" t="s">
        <v>71</v>
      </c>
      <c r="E3264" t="s">
        <v>405</v>
      </c>
      <c r="F3264" t="s">
        <v>244</v>
      </c>
      <c r="G3264" t="s">
        <v>245</v>
      </c>
      <c r="H3264" t="s">
        <v>24</v>
      </c>
      <c r="I3264">
        <v>107.22</v>
      </c>
      <c r="J3264">
        <v>107.22</v>
      </c>
      <c r="K3264">
        <v>107.22</v>
      </c>
      <c r="L3264" t="s">
        <v>25</v>
      </c>
      <c r="M3264" t="s">
        <v>1485</v>
      </c>
      <c r="N3264">
        <v>840000</v>
      </c>
      <c r="O3264">
        <v>90064800</v>
      </c>
      <c r="P3264" t="str">
        <f>IF(T[[#This Row],[qty_ordered]]&lt;&gt;T[[#This Row],[qty_received]],IF(T[[#This Row],[qty_received]]&gt;0,"Partial Received","Not Receviced"),"FullyReceived")</f>
        <v>FullyReceived</v>
      </c>
      <c r="Q3264" t="str">
        <f>IF(T[[#This Row],[qty_received]]&lt;&gt;T[[#This Row],[qty_invoiced]],IF(T[[#This Row],[qty_invoiced]]&gt;0,"Partial Invoiced","Not Invoiced"),"Fully Invoiced")</f>
        <v>Fully Invoiced</v>
      </c>
      <c r="R3264" t="str">
        <f>IFERROR(VLOOKUP(T[[#This Row],[warehouse]],Table2[],2,FALSE),"--")</f>
        <v>GINNING ISHRAG-MDNI</v>
      </c>
    </row>
    <row r="3265" spans="1:18" x14ac:dyDescent="0.25">
      <c r="A3265" t="s">
        <v>242</v>
      </c>
      <c r="B3265" s="1">
        <v>44546</v>
      </c>
      <c r="C3265" t="s">
        <v>1535</v>
      </c>
      <c r="D3265" t="s">
        <v>71</v>
      </c>
      <c r="E3265" t="s">
        <v>405</v>
      </c>
      <c r="F3265" t="s">
        <v>244</v>
      </c>
      <c r="G3265" t="s">
        <v>245</v>
      </c>
      <c r="H3265" t="s">
        <v>24</v>
      </c>
      <c r="I3265">
        <v>200</v>
      </c>
      <c r="J3265">
        <v>182.45</v>
      </c>
      <c r="K3265">
        <v>182.45</v>
      </c>
      <c r="L3265" t="s">
        <v>25</v>
      </c>
      <c r="M3265" t="s">
        <v>1485</v>
      </c>
      <c r="N3265">
        <v>840000</v>
      </c>
      <c r="O3265">
        <v>153258000</v>
      </c>
      <c r="P3265" t="str">
        <f>IF(T[[#This Row],[qty_ordered]]&lt;&gt;T[[#This Row],[qty_received]],IF(T[[#This Row],[qty_received]]&gt;0,"Partial Received","Not Receviced"),"FullyReceived")</f>
        <v>Partial Received</v>
      </c>
      <c r="Q3265" t="str">
        <f>IF(T[[#This Row],[qty_received]]&lt;&gt;T[[#This Row],[qty_invoiced]],IF(T[[#This Row],[qty_invoiced]]&gt;0,"Partial Invoiced","Not Invoiced"),"Fully Invoiced")</f>
        <v>Fully Invoiced</v>
      </c>
      <c r="R3265" t="str">
        <f>IFERROR(VLOOKUP(T[[#This Row],[warehouse]],Table2[],2,FALSE),"--")</f>
        <v>GINNING ISHRAG-MDNI</v>
      </c>
    </row>
    <row r="3266" spans="1:18" x14ac:dyDescent="0.25">
      <c r="A3266" t="s">
        <v>242</v>
      </c>
      <c r="B3266" s="1">
        <v>44581</v>
      </c>
      <c r="C3266" t="s">
        <v>1552</v>
      </c>
      <c r="D3266" t="s">
        <v>100</v>
      </c>
      <c r="E3266" t="s">
        <v>405</v>
      </c>
      <c r="F3266" t="s">
        <v>244</v>
      </c>
      <c r="G3266" t="s">
        <v>245</v>
      </c>
      <c r="H3266" t="s">
        <v>24</v>
      </c>
      <c r="I3266">
        <v>100</v>
      </c>
      <c r="J3266">
        <v>89.44</v>
      </c>
      <c r="K3266">
        <v>89.44</v>
      </c>
      <c r="L3266" t="s">
        <v>25</v>
      </c>
      <c r="M3266" t="s">
        <v>1485</v>
      </c>
      <c r="N3266">
        <v>830000</v>
      </c>
      <c r="O3266">
        <v>74235200</v>
      </c>
      <c r="P3266" t="str">
        <f>IF(T[[#This Row],[qty_ordered]]&lt;&gt;T[[#This Row],[qty_received]],IF(T[[#This Row],[qty_received]]&gt;0,"Partial Received","Not Receviced"),"FullyReceived")</f>
        <v>Partial Received</v>
      </c>
      <c r="Q3266" t="str">
        <f>IF(T[[#This Row],[qty_received]]&lt;&gt;T[[#This Row],[qty_invoiced]],IF(T[[#This Row],[qty_invoiced]]&gt;0,"Partial Invoiced","Not Invoiced"),"Fully Invoiced")</f>
        <v>Fully Invoiced</v>
      </c>
      <c r="R3266" t="str">
        <f>IFERROR(VLOOKUP(T[[#This Row],[warehouse]],Table2[],2,FALSE),"--")</f>
        <v>GINNING ISHRAG-MDNI</v>
      </c>
    </row>
    <row r="3267" spans="1:18" x14ac:dyDescent="0.25">
      <c r="A3267" t="s">
        <v>242</v>
      </c>
      <c r="B3267" s="1">
        <v>44581</v>
      </c>
      <c r="C3267" t="s">
        <v>1552</v>
      </c>
      <c r="D3267" t="s">
        <v>88</v>
      </c>
      <c r="E3267" t="s">
        <v>405</v>
      </c>
      <c r="F3267" t="s">
        <v>244</v>
      </c>
      <c r="G3267" t="s">
        <v>245</v>
      </c>
      <c r="H3267" t="s">
        <v>24</v>
      </c>
      <c r="I3267">
        <v>222.02</v>
      </c>
      <c r="J3267">
        <v>222.02</v>
      </c>
      <c r="K3267">
        <v>222.02</v>
      </c>
      <c r="L3267" t="s">
        <v>25</v>
      </c>
      <c r="M3267" t="s">
        <v>1485</v>
      </c>
      <c r="N3267">
        <v>840000</v>
      </c>
      <c r="O3267">
        <v>186496800</v>
      </c>
      <c r="P3267" t="str">
        <f>IF(T[[#This Row],[qty_ordered]]&lt;&gt;T[[#This Row],[qty_received]],IF(T[[#This Row],[qty_received]]&gt;0,"Partial Received","Not Receviced"),"FullyReceived")</f>
        <v>FullyReceived</v>
      </c>
      <c r="Q3267" t="str">
        <f>IF(T[[#This Row],[qty_received]]&lt;&gt;T[[#This Row],[qty_invoiced]],IF(T[[#This Row],[qty_invoiced]]&gt;0,"Partial Invoiced","Not Invoiced"),"Fully Invoiced")</f>
        <v>Fully Invoiced</v>
      </c>
      <c r="R3267" t="str">
        <f>IFERROR(VLOOKUP(T[[#This Row],[warehouse]],Table2[],2,FALSE),"--")</f>
        <v>GINNING ISHRAG-MDNI</v>
      </c>
    </row>
    <row r="3268" spans="1:18" x14ac:dyDescent="0.25">
      <c r="A3268" t="s">
        <v>201</v>
      </c>
      <c r="B3268" s="1">
        <v>45005</v>
      </c>
      <c r="C3268" t="s">
        <v>3101</v>
      </c>
      <c r="D3268" t="s">
        <v>100</v>
      </c>
      <c r="E3268" t="s">
        <v>1220</v>
      </c>
      <c r="F3268" t="s">
        <v>1221</v>
      </c>
      <c r="G3268" t="s">
        <v>2017</v>
      </c>
      <c r="H3268" t="s">
        <v>123</v>
      </c>
      <c r="I3268">
        <v>1</v>
      </c>
      <c r="J3268">
        <v>0</v>
      </c>
      <c r="K3268">
        <v>1</v>
      </c>
      <c r="L3268" t="s">
        <v>693</v>
      </c>
      <c r="M3268" t="s">
        <v>707</v>
      </c>
      <c r="N3268">
        <v>118177111.258568</v>
      </c>
      <c r="O3268">
        <v>0</v>
      </c>
      <c r="P3268" t="str">
        <f>IF(T[[#This Row],[qty_ordered]]&lt;&gt;T[[#This Row],[qty_received]],IF(T[[#This Row],[qty_received]]&gt;0,"Partial Received","Not Receviced"),"FullyReceived")</f>
        <v>Not Receviced</v>
      </c>
      <c r="Q3268" t="str">
        <f>IF(T[[#This Row],[qty_received]]&lt;&gt;T[[#This Row],[qty_invoiced]],IF(T[[#This Row],[qty_invoiced]]&gt;0,"Partial Invoiced","Not Invoiced"),"Fully Invoiced")</f>
        <v>Partial Invoiced</v>
      </c>
      <c r="R3268" t="str">
        <f>IFERROR(VLOOKUP(T[[#This Row],[warehouse]],Table2[],2,FALSE),"--")</f>
        <v>Import Virtual Warehouse - PZU</v>
      </c>
    </row>
    <row r="3269" spans="1:18" x14ac:dyDescent="0.25">
      <c r="A3269" t="s">
        <v>224</v>
      </c>
      <c r="B3269" s="1">
        <v>44941</v>
      </c>
      <c r="C3269" t="s">
        <v>3052</v>
      </c>
      <c r="D3269" t="s">
        <v>74</v>
      </c>
      <c r="E3269" t="s">
        <v>51</v>
      </c>
      <c r="F3269" t="s">
        <v>183</v>
      </c>
      <c r="G3269" t="s">
        <v>2108</v>
      </c>
      <c r="H3269" t="s">
        <v>54</v>
      </c>
      <c r="I3269">
        <v>744.41499999999996</v>
      </c>
      <c r="J3269">
        <v>0</v>
      </c>
      <c r="K3269">
        <v>0</v>
      </c>
      <c r="L3269" t="s">
        <v>693</v>
      </c>
      <c r="M3269" t="s">
        <v>51</v>
      </c>
      <c r="N3269">
        <v>13000</v>
      </c>
      <c r="O3269">
        <v>0</v>
      </c>
      <c r="P3269" t="str">
        <f>IF(T[[#This Row],[qty_ordered]]&lt;&gt;T[[#This Row],[qty_received]],IF(T[[#This Row],[qty_received]]&gt;0,"Partial Received","Not Receviced"),"FullyReceived")</f>
        <v>Not Receviced</v>
      </c>
      <c r="Q3269" t="str">
        <f>IF(T[[#This Row],[qty_received]]&lt;&gt;T[[#This Row],[qty_invoiced]],IF(T[[#This Row],[qty_invoiced]]&gt;0,"Partial Invoiced","Not Invoiced"),"Fully Invoiced")</f>
        <v>Fully Invoiced</v>
      </c>
      <c r="R3269" t="str">
        <f>IFERROR(VLOOKUP(T[[#This Row],[warehouse]],Table2[],2,FALSE),"--")</f>
        <v>--</v>
      </c>
    </row>
    <row r="3270" spans="1:18" x14ac:dyDescent="0.25">
      <c r="A3270" t="s">
        <v>3154</v>
      </c>
      <c r="B3270" s="1">
        <v>45154</v>
      </c>
      <c r="C3270" t="s">
        <v>3155</v>
      </c>
      <c r="D3270" t="s">
        <v>20</v>
      </c>
      <c r="E3270" t="s">
        <v>2780</v>
      </c>
      <c r="F3270" t="s">
        <v>3156</v>
      </c>
      <c r="G3270" t="s">
        <v>3157</v>
      </c>
      <c r="H3270" t="s">
        <v>24</v>
      </c>
      <c r="I3270">
        <v>25.05</v>
      </c>
      <c r="J3270">
        <v>25</v>
      </c>
      <c r="K3270">
        <v>0</v>
      </c>
      <c r="L3270" t="s">
        <v>693</v>
      </c>
      <c r="M3270" t="s">
        <v>3133</v>
      </c>
      <c r="N3270">
        <v>186666.666666</v>
      </c>
      <c r="O3270">
        <v>4666666.66665</v>
      </c>
      <c r="P3270" t="str">
        <f>IF(T[[#This Row],[qty_ordered]]&lt;&gt;T[[#This Row],[qty_received]],IF(T[[#This Row],[qty_received]]&gt;0,"Partial Received","Not Receviced"),"FullyReceived")</f>
        <v>Partial Received</v>
      </c>
      <c r="Q3270" t="str">
        <f>IF(T[[#This Row],[qty_received]]&lt;&gt;T[[#This Row],[qty_invoiced]],IF(T[[#This Row],[qty_invoiced]]&gt;0,"Partial Invoiced","Not Invoiced"),"Fully Invoiced")</f>
        <v>Not Invoiced</v>
      </c>
      <c r="R3270" t="str">
        <f>IFERROR(VLOOKUP(T[[#This Row],[warehouse]],Table2[],2,FALSE),"--")</f>
        <v>PZU IMPORT WH</v>
      </c>
    </row>
    <row r="3271" spans="1:18" x14ac:dyDescent="0.25">
      <c r="A3271" t="s">
        <v>3134</v>
      </c>
      <c r="B3271" s="1">
        <v>45162</v>
      </c>
      <c r="C3271" t="s">
        <v>3158</v>
      </c>
      <c r="D3271" t="s">
        <v>20</v>
      </c>
      <c r="E3271" t="s">
        <v>66</v>
      </c>
      <c r="F3271" t="s">
        <v>691</v>
      </c>
      <c r="G3271" t="s">
        <v>478</v>
      </c>
      <c r="H3271" t="s">
        <v>24</v>
      </c>
      <c r="I3271">
        <v>145.36000000000001</v>
      </c>
      <c r="J3271">
        <v>145.36000000000001</v>
      </c>
      <c r="K3271">
        <v>145.36000000000001</v>
      </c>
      <c r="L3271" t="s">
        <v>693</v>
      </c>
      <c r="M3271" t="s">
        <v>714</v>
      </c>
      <c r="N3271">
        <v>1050000</v>
      </c>
      <c r="O3271">
        <v>152628000</v>
      </c>
      <c r="P3271" t="str">
        <f>IF(T[[#This Row],[qty_ordered]]&lt;&gt;T[[#This Row],[qty_received]],IF(T[[#This Row],[qty_received]]&gt;0,"Partial Received","Not Receviced"),"FullyReceived")</f>
        <v>FullyReceived</v>
      </c>
      <c r="Q3271" t="str">
        <f>IF(T[[#This Row],[qty_received]]&lt;&gt;T[[#This Row],[qty_invoiced]],IF(T[[#This Row],[qty_invoiced]]&gt;0,"Partial Invoiced","Not Invoiced"),"Fully Invoiced")</f>
        <v>Fully Invoiced</v>
      </c>
      <c r="R3271" t="str">
        <f>IFERROR(VLOOKUP(T[[#This Row],[warehouse]],Table2[],2,FALSE),"--")</f>
        <v>PZU Main Warehouse</v>
      </c>
    </row>
    <row r="3272" spans="1:18" x14ac:dyDescent="0.25">
      <c r="A3272" t="s">
        <v>3136</v>
      </c>
      <c r="B3272" s="1">
        <v>45166</v>
      </c>
      <c r="C3272" t="s">
        <v>3159</v>
      </c>
      <c r="D3272" t="s">
        <v>20</v>
      </c>
      <c r="E3272" t="s">
        <v>203</v>
      </c>
      <c r="F3272" t="s">
        <v>1464</v>
      </c>
      <c r="G3272" t="s">
        <v>1465</v>
      </c>
      <c r="H3272" t="s">
        <v>149</v>
      </c>
      <c r="I3272">
        <v>5000</v>
      </c>
      <c r="J3272">
        <v>5000</v>
      </c>
      <c r="K3272">
        <v>0</v>
      </c>
      <c r="L3272" t="s">
        <v>693</v>
      </c>
      <c r="M3272" t="s">
        <v>3138</v>
      </c>
      <c r="N3272">
        <v>190</v>
      </c>
      <c r="O3272">
        <v>950000</v>
      </c>
      <c r="P3272" t="str">
        <f>IF(T[[#This Row],[qty_ordered]]&lt;&gt;T[[#This Row],[qty_received]],IF(T[[#This Row],[qty_received]]&gt;0,"Partial Received","Not Receviced"),"FullyReceived")</f>
        <v>FullyReceived</v>
      </c>
      <c r="Q3272" t="str">
        <f>IF(T[[#This Row],[qty_received]]&lt;&gt;T[[#This Row],[qty_invoiced]],IF(T[[#This Row],[qty_invoiced]]&gt;0,"Partial Invoiced","Not Invoiced"),"Fully Invoiced")</f>
        <v>Not Invoiced</v>
      </c>
      <c r="R3272" t="str">
        <f>IFERROR(VLOOKUP(T[[#This Row],[warehouse]],Table2[],2,FALSE),"--")</f>
        <v>PZU Packaging Warehouse</v>
      </c>
    </row>
    <row r="3273" spans="1:18" x14ac:dyDescent="0.25">
      <c r="A3273" t="s">
        <v>3136</v>
      </c>
      <c r="B3273" s="1">
        <v>45166</v>
      </c>
      <c r="C3273" t="s">
        <v>3160</v>
      </c>
      <c r="D3273" t="s">
        <v>20</v>
      </c>
      <c r="E3273" t="s">
        <v>203</v>
      </c>
      <c r="F3273" t="s">
        <v>147</v>
      </c>
      <c r="G3273" t="s">
        <v>148</v>
      </c>
      <c r="H3273" t="s">
        <v>149</v>
      </c>
      <c r="I3273">
        <v>50000</v>
      </c>
      <c r="J3273">
        <v>50000</v>
      </c>
      <c r="K3273">
        <v>0</v>
      </c>
      <c r="L3273" t="s">
        <v>693</v>
      </c>
      <c r="M3273" t="s">
        <v>3138</v>
      </c>
      <c r="N3273">
        <v>250</v>
      </c>
      <c r="O3273">
        <v>12500000</v>
      </c>
      <c r="P3273" t="str">
        <f>IF(T[[#This Row],[qty_ordered]]&lt;&gt;T[[#This Row],[qty_received]],IF(T[[#This Row],[qty_received]]&gt;0,"Partial Received","Not Receviced"),"FullyReceived")</f>
        <v>FullyReceived</v>
      </c>
      <c r="Q3273" t="str">
        <f>IF(T[[#This Row],[qty_received]]&lt;&gt;T[[#This Row],[qty_invoiced]],IF(T[[#This Row],[qty_invoiced]]&gt;0,"Partial Invoiced","Not Invoiced"),"Fully Invoiced")</f>
        <v>Not Invoiced</v>
      </c>
      <c r="R3273" t="str">
        <f>IFERROR(VLOOKUP(T[[#This Row],[warehouse]],Table2[],2,FALSE),"--")</f>
        <v>PZU Packaging Warehouse</v>
      </c>
    </row>
    <row r="3274" spans="1:18" x14ac:dyDescent="0.25">
      <c r="A3274" t="s">
        <v>3136</v>
      </c>
      <c r="B3274" s="1">
        <v>45166</v>
      </c>
      <c r="C3274" t="s">
        <v>3161</v>
      </c>
      <c r="D3274" t="s">
        <v>20</v>
      </c>
      <c r="E3274" t="s">
        <v>203</v>
      </c>
      <c r="F3274" t="s">
        <v>147</v>
      </c>
      <c r="G3274" t="s">
        <v>148</v>
      </c>
      <c r="H3274" t="s">
        <v>149</v>
      </c>
      <c r="I3274">
        <v>140000</v>
      </c>
      <c r="J3274">
        <v>140000</v>
      </c>
      <c r="K3274">
        <v>0</v>
      </c>
      <c r="L3274" t="s">
        <v>693</v>
      </c>
      <c r="M3274" t="s">
        <v>3138</v>
      </c>
      <c r="N3274">
        <v>240</v>
      </c>
      <c r="O3274">
        <v>33600000</v>
      </c>
      <c r="P3274" t="str">
        <f>IF(T[[#This Row],[qty_ordered]]&lt;&gt;T[[#This Row],[qty_received]],IF(T[[#This Row],[qty_received]]&gt;0,"Partial Received","Not Receviced"),"FullyReceived")</f>
        <v>FullyReceived</v>
      </c>
      <c r="Q3274" t="str">
        <f>IF(T[[#This Row],[qty_received]]&lt;&gt;T[[#This Row],[qty_invoiced]],IF(T[[#This Row],[qty_invoiced]]&gt;0,"Partial Invoiced","Not Invoiced"),"Fully Invoiced")</f>
        <v>Not Invoiced</v>
      </c>
      <c r="R3274" t="str">
        <f>IFERROR(VLOOKUP(T[[#This Row],[warehouse]],Table2[],2,FALSE),"--")</f>
        <v>PZU Packaging Warehouse</v>
      </c>
    </row>
    <row r="3275" spans="1:18" x14ac:dyDescent="0.25">
      <c r="A3275" t="s">
        <v>3136</v>
      </c>
      <c r="B3275" s="1">
        <v>45203</v>
      </c>
      <c r="C3275" t="s">
        <v>3162</v>
      </c>
      <c r="D3275" t="s">
        <v>20</v>
      </c>
      <c r="E3275" t="s">
        <v>2780</v>
      </c>
      <c r="F3275" t="s">
        <v>1307</v>
      </c>
      <c r="G3275" t="s">
        <v>1308</v>
      </c>
      <c r="H3275" t="s">
        <v>149</v>
      </c>
      <c r="I3275">
        <v>1450</v>
      </c>
      <c r="J3275">
        <v>1450</v>
      </c>
      <c r="K3275">
        <v>0</v>
      </c>
      <c r="L3275" t="s">
        <v>693</v>
      </c>
      <c r="M3275" t="s">
        <v>3138</v>
      </c>
      <c r="N3275">
        <v>450</v>
      </c>
      <c r="O3275">
        <v>652500</v>
      </c>
      <c r="P3275" t="str">
        <f>IF(T[[#This Row],[qty_ordered]]&lt;&gt;T[[#This Row],[qty_received]],IF(T[[#This Row],[qty_received]]&gt;0,"Partial Received","Not Receviced"),"FullyReceived")</f>
        <v>FullyReceived</v>
      </c>
      <c r="Q3275" t="str">
        <f>IF(T[[#This Row],[qty_received]]&lt;&gt;T[[#This Row],[qty_invoiced]],IF(T[[#This Row],[qty_invoiced]]&gt;0,"Partial Invoiced","Not Invoiced"),"Fully Invoiced")</f>
        <v>Not Invoiced</v>
      </c>
      <c r="R3275" t="str">
        <f>IFERROR(VLOOKUP(T[[#This Row],[warehouse]],Table2[],2,FALSE),"--")</f>
        <v>PZU IMPORT WH</v>
      </c>
    </row>
    <row r="3276" spans="1:18" x14ac:dyDescent="0.25">
      <c r="A3276" t="s">
        <v>3136</v>
      </c>
      <c r="B3276" s="1">
        <v>45203</v>
      </c>
      <c r="C3276" t="s">
        <v>3162</v>
      </c>
      <c r="D3276" t="s">
        <v>71</v>
      </c>
      <c r="E3276" t="s">
        <v>2780</v>
      </c>
      <c r="F3276" t="s">
        <v>1307</v>
      </c>
      <c r="G3276" t="s">
        <v>1308</v>
      </c>
      <c r="H3276" t="s">
        <v>149</v>
      </c>
      <c r="I3276">
        <v>1000</v>
      </c>
      <c r="J3276">
        <v>1000</v>
      </c>
      <c r="K3276">
        <v>0</v>
      </c>
      <c r="L3276" t="s">
        <v>693</v>
      </c>
      <c r="M3276" t="s">
        <v>3138</v>
      </c>
      <c r="N3276">
        <v>400</v>
      </c>
      <c r="O3276">
        <v>400000</v>
      </c>
      <c r="P3276" t="str">
        <f>IF(T[[#This Row],[qty_ordered]]&lt;&gt;T[[#This Row],[qty_received]],IF(T[[#This Row],[qty_received]]&gt;0,"Partial Received","Not Receviced"),"FullyReceived")</f>
        <v>FullyReceived</v>
      </c>
      <c r="Q3276" t="str">
        <f>IF(T[[#This Row],[qty_received]]&lt;&gt;T[[#This Row],[qty_invoiced]],IF(T[[#This Row],[qty_invoiced]]&gt;0,"Partial Invoiced","Not Invoiced"),"Fully Invoiced")</f>
        <v>Not Invoiced</v>
      </c>
      <c r="R3276" t="str">
        <f>IFERROR(VLOOKUP(T[[#This Row],[warehouse]],Table2[],2,FALSE),"--")</f>
        <v>PZU IMPORT WH</v>
      </c>
    </row>
    <row r="3277" spans="1:18" x14ac:dyDescent="0.25">
      <c r="A3277" t="s">
        <v>201</v>
      </c>
      <c r="B3277" s="1">
        <v>45203</v>
      </c>
      <c r="C3277" t="s">
        <v>3163</v>
      </c>
      <c r="D3277" t="s">
        <v>20</v>
      </c>
      <c r="E3277" t="s">
        <v>51</v>
      </c>
      <c r="F3277" t="s">
        <v>933</v>
      </c>
      <c r="G3277" t="s">
        <v>3164</v>
      </c>
      <c r="H3277" t="s">
        <v>54</v>
      </c>
      <c r="I3277">
        <v>231</v>
      </c>
      <c r="J3277">
        <v>0</v>
      </c>
      <c r="K3277">
        <v>0</v>
      </c>
      <c r="L3277" t="s">
        <v>693</v>
      </c>
      <c r="M3277" t="s">
        <v>3133</v>
      </c>
      <c r="N3277">
        <v>59280.722959999999</v>
      </c>
      <c r="O3277">
        <v>0</v>
      </c>
      <c r="P3277" t="str">
        <f>IF(T[[#This Row],[qty_ordered]]&lt;&gt;T[[#This Row],[qty_received]],IF(T[[#This Row],[qty_received]]&gt;0,"Partial Received","Not Receviced"),"FullyReceived")</f>
        <v>Not Receviced</v>
      </c>
      <c r="Q3277" t="str">
        <f>IF(T[[#This Row],[qty_received]]&lt;&gt;T[[#This Row],[qty_invoiced]],IF(T[[#This Row],[qty_invoiced]]&gt;0,"Partial Invoiced","Not Invoiced"),"Fully Invoiced")</f>
        <v>Fully Invoiced</v>
      </c>
      <c r="R3277" t="str">
        <f>IFERROR(VLOOKUP(T[[#This Row],[warehouse]],Table2[],2,FALSE),"--")</f>
        <v>--</v>
      </c>
    </row>
    <row r="3278" spans="1:18" x14ac:dyDescent="0.25">
      <c r="A3278" t="s">
        <v>1639</v>
      </c>
      <c r="B3278" s="1">
        <v>45218</v>
      </c>
      <c r="C3278" t="s">
        <v>3165</v>
      </c>
      <c r="D3278" t="s">
        <v>20</v>
      </c>
      <c r="E3278" t="s">
        <v>111</v>
      </c>
      <c r="F3278" t="s">
        <v>108</v>
      </c>
      <c r="G3278" t="s">
        <v>109</v>
      </c>
      <c r="H3278" t="s">
        <v>24</v>
      </c>
      <c r="I3278">
        <v>622.54</v>
      </c>
      <c r="J3278">
        <v>622.54</v>
      </c>
      <c r="K3278">
        <v>571.90200000000004</v>
      </c>
      <c r="L3278" t="s">
        <v>693</v>
      </c>
      <c r="M3278" t="s">
        <v>132</v>
      </c>
      <c r="N3278">
        <v>1412875</v>
      </c>
      <c r="O3278">
        <v>879571202.5</v>
      </c>
      <c r="P3278" t="str">
        <f>IF(T[[#This Row],[qty_ordered]]&lt;&gt;T[[#This Row],[qty_received]],IF(T[[#This Row],[qty_received]]&gt;0,"Partial Received","Not Receviced"),"FullyReceived")</f>
        <v>FullyReceived</v>
      </c>
      <c r="Q3278" t="str">
        <f>IF(T[[#This Row],[qty_received]]&lt;&gt;T[[#This Row],[qty_invoiced]],IF(T[[#This Row],[qty_invoiced]]&gt;0,"Partial Invoiced","Not Invoiced"),"Fully Invoiced")</f>
        <v>Partial Invoiced</v>
      </c>
      <c r="R3278" t="str">
        <f>IFERROR(VLOOKUP(T[[#This Row],[warehouse]],Table2[],2,FALSE),"--")</f>
        <v>Sifting PZU-Al Jawhra</v>
      </c>
    </row>
    <row r="3279" spans="1:18" x14ac:dyDescent="0.25">
      <c r="A3279" t="s">
        <v>1639</v>
      </c>
      <c r="B3279" s="1">
        <v>45224</v>
      </c>
      <c r="C3279" t="s">
        <v>3166</v>
      </c>
      <c r="D3279" t="s">
        <v>20</v>
      </c>
      <c r="E3279" t="s">
        <v>918</v>
      </c>
      <c r="F3279" t="s">
        <v>486</v>
      </c>
      <c r="G3279" t="s">
        <v>487</v>
      </c>
      <c r="H3279" t="s">
        <v>24</v>
      </c>
      <c r="I3279">
        <v>709.08</v>
      </c>
      <c r="J3279">
        <v>709.08</v>
      </c>
      <c r="K3279">
        <v>709.08</v>
      </c>
      <c r="L3279" t="s">
        <v>693</v>
      </c>
      <c r="M3279" t="s">
        <v>3144</v>
      </c>
      <c r="N3279">
        <v>1401751.1582480001</v>
      </c>
      <c r="O3279">
        <v>993953711.29049206</v>
      </c>
      <c r="P3279" t="str">
        <f>IF(T[[#This Row],[qty_ordered]]&lt;&gt;T[[#This Row],[qty_received]],IF(T[[#This Row],[qty_received]]&gt;0,"Partial Received","Not Receviced"),"FullyReceived")</f>
        <v>FullyReceived</v>
      </c>
      <c r="Q3279" t="str">
        <f>IF(T[[#This Row],[qty_received]]&lt;&gt;T[[#This Row],[qty_invoiced]],IF(T[[#This Row],[qty_invoiced]]&gt;0,"Partial Invoiced","Not Invoiced"),"Fully Invoiced")</f>
        <v>Fully Invoiced</v>
      </c>
      <c r="R3279" t="str">
        <f>IFERROR(VLOOKUP(T[[#This Row],[warehouse]],Table2[],2,FALSE),"--")</f>
        <v>SIFTER GZ -PZU</v>
      </c>
    </row>
    <row r="3280" spans="1:18" x14ac:dyDescent="0.25">
      <c r="A3280" t="s">
        <v>1639</v>
      </c>
      <c r="B3280" s="1">
        <v>45025</v>
      </c>
      <c r="C3280" t="s">
        <v>3167</v>
      </c>
      <c r="D3280" t="s">
        <v>20</v>
      </c>
      <c r="E3280" t="s">
        <v>1142</v>
      </c>
      <c r="F3280" t="s">
        <v>103</v>
      </c>
      <c r="G3280" t="s">
        <v>104</v>
      </c>
      <c r="H3280" t="s">
        <v>24</v>
      </c>
      <c r="I3280">
        <v>240</v>
      </c>
      <c r="J3280">
        <v>143.34</v>
      </c>
      <c r="K3280">
        <v>143.34</v>
      </c>
      <c r="L3280" t="s">
        <v>693</v>
      </c>
      <c r="M3280" t="s">
        <v>1485</v>
      </c>
      <c r="N3280">
        <v>385000</v>
      </c>
      <c r="O3280">
        <v>55185900</v>
      </c>
      <c r="P3280" t="str">
        <f>IF(T[[#This Row],[qty_ordered]]&lt;&gt;T[[#This Row],[qty_received]],IF(T[[#This Row],[qty_received]]&gt;0,"Partial Received","Not Receviced"),"FullyReceived")</f>
        <v>Partial Received</v>
      </c>
      <c r="Q3280" t="str">
        <f>IF(T[[#This Row],[qty_received]]&lt;&gt;T[[#This Row],[qty_invoiced]],IF(T[[#This Row],[qty_invoiced]]&gt;0,"Partial Invoiced","Not Invoiced"),"Fully Invoiced")</f>
        <v>Fully Invoiced</v>
      </c>
      <c r="R3280" t="str">
        <f>IFERROR(VLOOKUP(T[[#This Row],[warehouse]],Table2[],2,FALSE),"--")</f>
        <v>SAVOLA W/H FOR EXPOR</v>
      </c>
    </row>
    <row r="3281" spans="1:18" x14ac:dyDescent="0.25">
      <c r="A3281" t="s">
        <v>560</v>
      </c>
      <c r="B3281" s="1">
        <v>44935</v>
      </c>
      <c r="C3281" t="s">
        <v>3076</v>
      </c>
      <c r="D3281" t="s">
        <v>615</v>
      </c>
      <c r="E3281" t="s">
        <v>51</v>
      </c>
      <c r="F3281" t="s">
        <v>2842</v>
      </c>
      <c r="G3281" t="s">
        <v>3168</v>
      </c>
      <c r="H3281" t="s">
        <v>54</v>
      </c>
      <c r="I3281">
        <v>25</v>
      </c>
      <c r="J3281">
        <v>0</v>
      </c>
      <c r="K3281">
        <v>0</v>
      </c>
      <c r="L3281" t="s">
        <v>693</v>
      </c>
      <c r="M3281" t="s">
        <v>2836</v>
      </c>
      <c r="N3281">
        <v>12285</v>
      </c>
      <c r="O3281">
        <v>0</v>
      </c>
      <c r="P3281" t="str">
        <f>IF(T[[#This Row],[qty_ordered]]&lt;&gt;T[[#This Row],[qty_received]],IF(T[[#This Row],[qty_received]]&gt;0,"Partial Received","Not Receviced"),"FullyReceived")</f>
        <v>Not Receviced</v>
      </c>
      <c r="Q3281" t="str">
        <f>IF(T[[#This Row],[qty_received]]&lt;&gt;T[[#This Row],[qty_invoiced]],IF(T[[#This Row],[qty_invoiced]]&gt;0,"Partial Invoiced","Not Invoiced"),"Fully Invoiced")</f>
        <v>Fully Invoiced</v>
      </c>
      <c r="R3281" t="str">
        <f>IFERROR(VLOOKUP(T[[#This Row],[warehouse]],Table2[],2,FALSE),"--")</f>
        <v>--</v>
      </c>
    </row>
    <row r="3282" spans="1:18" x14ac:dyDescent="0.25">
      <c r="A3282" t="s">
        <v>560</v>
      </c>
      <c r="B3282" s="1">
        <v>44935</v>
      </c>
      <c r="C3282" t="s">
        <v>3076</v>
      </c>
      <c r="D3282" t="s">
        <v>752</v>
      </c>
      <c r="E3282" t="s">
        <v>51</v>
      </c>
      <c r="F3282" t="s">
        <v>2842</v>
      </c>
      <c r="G3282" t="s">
        <v>3168</v>
      </c>
      <c r="H3282" t="s">
        <v>54</v>
      </c>
      <c r="I3282">
        <v>26</v>
      </c>
      <c r="J3282">
        <v>0</v>
      </c>
      <c r="K3282">
        <v>0</v>
      </c>
      <c r="L3282" t="s">
        <v>693</v>
      </c>
      <c r="M3282" t="s">
        <v>2836</v>
      </c>
      <c r="N3282">
        <v>12285</v>
      </c>
      <c r="O3282">
        <v>0</v>
      </c>
      <c r="P3282" t="str">
        <f>IF(T[[#This Row],[qty_ordered]]&lt;&gt;T[[#This Row],[qty_received]],IF(T[[#This Row],[qty_received]]&gt;0,"Partial Received","Not Receviced"),"FullyReceived")</f>
        <v>Not Receviced</v>
      </c>
      <c r="Q3282" t="str">
        <f>IF(T[[#This Row],[qty_received]]&lt;&gt;T[[#This Row],[qty_invoiced]],IF(T[[#This Row],[qty_invoiced]]&gt;0,"Partial Invoiced","Not Invoiced"),"Fully Invoiced")</f>
        <v>Fully Invoiced</v>
      </c>
      <c r="R3282" t="str">
        <f>IFERROR(VLOOKUP(T[[#This Row],[warehouse]],Table2[],2,FALSE),"--")</f>
        <v>--</v>
      </c>
    </row>
    <row r="3283" spans="1:18" x14ac:dyDescent="0.25">
      <c r="A3283" t="s">
        <v>560</v>
      </c>
      <c r="B3283" s="1">
        <v>44935</v>
      </c>
      <c r="C3283" t="s">
        <v>3076</v>
      </c>
      <c r="D3283" t="s">
        <v>759</v>
      </c>
      <c r="E3283" t="s">
        <v>51</v>
      </c>
      <c r="F3283" t="s">
        <v>2842</v>
      </c>
      <c r="G3283" t="s">
        <v>3168</v>
      </c>
      <c r="H3283" t="s">
        <v>54</v>
      </c>
      <c r="I3283">
        <v>24</v>
      </c>
      <c r="J3283">
        <v>0</v>
      </c>
      <c r="K3283">
        <v>0</v>
      </c>
      <c r="L3283" t="s">
        <v>693</v>
      </c>
      <c r="M3283" t="s">
        <v>2836</v>
      </c>
      <c r="N3283">
        <v>12285</v>
      </c>
      <c r="O3283">
        <v>0</v>
      </c>
      <c r="P3283" t="str">
        <f>IF(T[[#This Row],[qty_ordered]]&lt;&gt;T[[#This Row],[qty_received]],IF(T[[#This Row],[qty_received]]&gt;0,"Partial Received","Not Receviced"),"FullyReceived")</f>
        <v>Not Receviced</v>
      </c>
      <c r="Q3283" t="str">
        <f>IF(T[[#This Row],[qty_received]]&lt;&gt;T[[#This Row],[qty_invoiced]],IF(T[[#This Row],[qty_invoiced]]&gt;0,"Partial Invoiced","Not Invoiced"),"Fully Invoiced")</f>
        <v>Fully Invoiced</v>
      </c>
      <c r="R3283" t="str">
        <f>IFERROR(VLOOKUP(T[[#This Row],[warehouse]],Table2[],2,FALSE),"--")</f>
        <v>--</v>
      </c>
    </row>
    <row r="3284" spans="1:18" x14ac:dyDescent="0.25">
      <c r="A3284" t="s">
        <v>560</v>
      </c>
      <c r="B3284" s="1">
        <v>44935</v>
      </c>
      <c r="C3284" t="s">
        <v>3076</v>
      </c>
      <c r="D3284" t="s">
        <v>694</v>
      </c>
      <c r="E3284" t="s">
        <v>51</v>
      </c>
      <c r="F3284" t="s">
        <v>2842</v>
      </c>
      <c r="G3284" t="s">
        <v>3168</v>
      </c>
      <c r="H3284" t="s">
        <v>54</v>
      </c>
      <c r="I3284">
        <v>29.13</v>
      </c>
      <c r="J3284">
        <v>0</v>
      </c>
      <c r="K3284">
        <v>0</v>
      </c>
      <c r="L3284" t="s">
        <v>693</v>
      </c>
      <c r="M3284" t="s">
        <v>2836</v>
      </c>
      <c r="N3284">
        <v>12285</v>
      </c>
      <c r="O3284">
        <v>0</v>
      </c>
      <c r="P3284" t="str">
        <f>IF(T[[#This Row],[qty_ordered]]&lt;&gt;T[[#This Row],[qty_received]],IF(T[[#This Row],[qty_received]]&gt;0,"Partial Received","Not Receviced"),"FullyReceived")</f>
        <v>Not Receviced</v>
      </c>
      <c r="Q3284" t="str">
        <f>IF(T[[#This Row],[qty_received]]&lt;&gt;T[[#This Row],[qty_invoiced]],IF(T[[#This Row],[qty_invoiced]]&gt;0,"Partial Invoiced","Not Invoiced"),"Fully Invoiced")</f>
        <v>Fully Invoiced</v>
      </c>
      <c r="R3284" t="str">
        <f>IFERROR(VLOOKUP(T[[#This Row],[warehouse]],Table2[],2,FALSE),"--")</f>
        <v>--</v>
      </c>
    </row>
    <row r="3285" spans="1:18" x14ac:dyDescent="0.25">
      <c r="A3285" t="s">
        <v>560</v>
      </c>
      <c r="B3285" s="1">
        <v>44935</v>
      </c>
      <c r="C3285" t="s">
        <v>3076</v>
      </c>
      <c r="D3285" t="s">
        <v>760</v>
      </c>
      <c r="E3285" t="s">
        <v>51</v>
      </c>
      <c r="F3285" t="s">
        <v>2842</v>
      </c>
      <c r="G3285" t="s">
        <v>3168</v>
      </c>
      <c r="H3285" t="s">
        <v>54</v>
      </c>
      <c r="I3285">
        <v>26</v>
      </c>
      <c r="J3285">
        <v>0</v>
      </c>
      <c r="K3285">
        <v>0</v>
      </c>
      <c r="L3285" t="s">
        <v>693</v>
      </c>
      <c r="M3285" t="s">
        <v>2836</v>
      </c>
      <c r="N3285">
        <v>12285</v>
      </c>
      <c r="O3285">
        <v>0</v>
      </c>
      <c r="P3285" t="str">
        <f>IF(T[[#This Row],[qty_ordered]]&lt;&gt;T[[#This Row],[qty_received]],IF(T[[#This Row],[qty_received]]&gt;0,"Partial Received","Not Receviced"),"FullyReceived")</f>
        <v>Not Receviced</v>
      </c>
      <c r="Q3285" t="str">
        <f>IF(T[[#This Row],[qty_received]]&lt;&gt;T[[#This Row],[qty_invoiced]],IF(T[[#This Row],[qty_invoiced]]&gt;0,"Partial Invoiced","Not Invoiced"),"Fully Invoiced")</f>
        <v>Fully Invoiced</v>
      </c>
      <c r="R3285" t="str">
        <f>IFERROR(VLOOKUP(T[[#This Row],[warehouse]],Table2[],2,FALSE),"--")</f>
        <v>--</v>
      </c>
    </row>
    <row r="3286" spans="1:18" x14ac:dyDescent="0.25">
      <c r="A3286" t="s">
        <v>560</v>
      </c>
      <c r="B3286" s="1">
        <v>44935</v>
      </c>
      <c r="C3286" t="s">
        <v>3169</v>
      </c>
      <c r="D3286" t="s">
        <v>76</v>
      </c>
      <c r="E3286" t="s">
        <v>51</v>
      </c>
      <c r="F3286" t="s">
        <v>2842</v>
      </c>
      <c r="G3286" t="s">
        <v>3170</v>
      </c>
      <c r="H3286" t="s">
        <v>54</v>
      </c>
      <c r="I3286">
        <v>26</v>
      </c>
      <c r="J3286">
        <v>0</v>
      </c>
      <c r="K3286">
        <v>0</v>
      </c>
      <c r="L3286" t="s">
        <v>693</v>
      </c>
      <c r="M3286" t="s">
        <v>2836</v>
      </c>
      <c r="N3286">
        <v>12285</v>
      </c>
      <c r="O3286">
        <v>0</v>
      </c>
      <c r="P3286" t="str">
        <f>IF(T[[#This Row],[qty_ordered]]&lt;&gt;T[[#This Row],[qty_received]],IF(T[[#This Row],[qty_received]]&gt;0,"Partial Received","Not Receviced"),"FullyReceived")</f>
        <v>Not Receviced</v>
      </c>
      <c r="Q3286" t="str">
        <f>IF(T[[#This Row],[qty_received]]&lt;&gt;T[[#This Row],[qty_invoiced]],IF(T[[#This Row],[qty_invoiced]]&gt;0,"Partial Invoiced","Not Invoiced"),"Fully Invoiced")</f>
        <v>Fully Invoiced</v>
      </c>
      <c r="R3286" t="str">
        <f>IFERROR(VLOOKUP(T[[#This Row],[warehouse]],Table2[],2,FALSE),"--")</f>
        <v>--</v>
      </c>
    </row>
    <row r="3287" spans="1:18" x14ac:dyDescent="0.25">
      <c r="A3287" t="s">
        <v>560</v>
      </c>
      <c r="B3287" s="1">
        <v>44993</v>
      </c>
      <c r="C3287" t="s">
        <v>3171</v>
      </c>
      <c r="D3287" t="s">
        <v>100</v>
      </c>
      <c r="E3287" t="s">
        <v>51</v>
      </c>
      <c r="F3287" t="s">
        <v>2842</v>
      </c>
      <c r="G3287" t="s">
        <v>3172</v>
      </c>
      <c r="H3287" t="s">
        <v>54</v>
      </c>
      <c r="I3287">
        <v>5</v>
      </c>
      <c r="J3287">
        <v>0</v>
      </c>
      <c r="K3287">
        <v>0</v>
      </c>
      <c r="L3287" t="s">
        <v>693</v>
      </c>
      <c r="M3287" t="s">
        <v>2836</v>
      </c>
      <c r="N3287">
        <v>12285</v>
      </c>
      <c r="O3287">
        <v>0</v>
      </c>
      <c r="P3287" t="str">
        <f>IF(T[[#This Row],[qty_ordered]]&lt;&gt;T[[#This Row],[qty_received]],IF(T[[#This Row],[qty_received]]&gt;0,"Partial Received","Not Receviced"),"FullyReceived")</f>
        <v>Not Receviced</v>
      </c>
      <c r="Q3287" t="str">
        <f>IF(T[[#This Row],[qty_received]]&lt;&gt;T[[#This Row],[qty_invoiced]],IF(T[[#This Row],[qty_invoiced]]&gt;0,"Partial Invoiced","Not Invoiced"),"Fully Invoiced")</f>
        <v>Fully Invoiced</v>
      </c>
      <c r="R3287" t="str">
        <f>IFERROR(VLOOKUP(T[[#This Row],[warehouse]],Table2[],2,FALSE),"--")</f>
        <v>--</v>
      </c>
    </row>
    <row r="3288" spans="1:18" x14ac:dyDescent="0.25">
      <c r="A3288" t="s">
        <v>560</v>
      </c>
      <c r="B3288" s="1">
        <v>44902</v>
      </c>
      <c r="C3288" t="s">
        <v>2935</v>
      </c>
      <c r="D3288" t="s">
        <v>212</v>
      </c>
      <c r="E3288" t="s">
        <v>51</v>
      </c>
      <c r="F3288" t="s">
        <v>2842</v>
      </c>
      <c r="G3288" t="s">
        <v>3126</v>
      </c>
      <c r="H3288" t="s">
        <v>54</v>
      </c>
      <c r="I3288">
        <v>17</v>
      </c>
      <c r="J3288">
        <v>0</v>
      </c>
      <c r="K3288">
        <v>0</v>
      </c>
      <c r="L3288" t="s">
        <v>693</v>
      </c>
      <c r="M3288" t="s">
        <v>2836</v>
      </c>
      <c r="N3288">
        <v>12285</v>
      </c>
      <c r="O3288">
        <v>0</v>
      </c>
      <c r="P3288" t="str">
        <f>IF(T[[#This Row],[qty_ordered]]&lt;&gt;T[[#This Row],[qty_received]],IF(T[[#This Row],[qty_received]]&gt;0,"Partial Received","Not Receviced"),"FullyReceived")</f>
        <v>Not Receviced</v>
      </c>
      <c r="Q3288" t="str">
        <f>IF(T[[#This Row],[qty_received]]&lt;&gt;T[[#This Row],[qty_invoiced]],IF(T[[#This Row],[qty_invoiced]]&gt;0,"Partial Invoiced","Not Invoiced"),"Fully Invoiced")</f>
        <v>Fully Invoiced</v>
      </c>
      <c r="R3288" t="str">
        <f>IFERROR(VLOOKUP(T[[#This Row],[warehouse]],Table2[],2,FALSE),"--")</f>
        <v>--</v>
      </c>
    </row>
    <row r="3289" spans="1:18" x14ac:dyDescent="0.25">
      <c r="A3289" t="s">
        <v>1059</v>
      </c>
      <c r="B3289" s="1">
        <v>45027</v>
      </c>
      <c r="C3289" t="s">
        <v>3173</v>
      </c>
      <c r="D3289" t="s">
        <v>20</v>
      </c>
      <c r="E3289" t="s">
        <v>51</v>
      </c>
      <c r="F3289" t="s">
        <v>262</v>
      </c>
      <c r="G3289" t="s">
        <v>3174</v>
      </c>
      <c r="H3289" t="s">
        <v>54</v>
      </c>
      <c r="I3289">
        <v>6000</v>
      </c>
      <c r="J3289">
        <v>0</v>
      </c>
      <c r="K3289">
        <v>0</v>
      </c>
      <c r="L3289" t="s">
        <v>693</v>
      </c>
      <c r="M3289" t="s">
        <v>2836</v>
      </c>
      <c r="N3289">
        <v>205</v>
      </c>
      <c r="O3289">
        <v>0</v>
      </c>
      <c r="P3289" t="str">
        <f>IF(T[[#This Row],[qty_ordered]]&lt;&gt;T[[#This Row],[qty_received]],IF(T[[#This Row],[qty_received]]&gt;0,"Partial Received","Not Receviced"),"FullyReceived")</f>
        <v>Not Receviced</v>
      </c>
      <c r="Q3289" t="str">
        <f>IF(T[[#This Row],[qty_received]]&lt;&gt;T[[#This Row],[qty_invoiced]],IF(T[[#This Row],[qty_invoiced]]&gt;0,"Partial Invoiced","Not Invoiced"),"Fully Invoiced")</f>
        <v>Fully Invoiced</v>
      </c>
      <c r="R3289" t="str">
        <f>IFERROR(VLOOKUP(T[[#This Row],[warehouse]],Table2[],2,FALSE),"--")</f>
        <v>--</v>
      </c>
    </row>
    <row r="3290" spans="1:18" x14ac:dyDescent="0.25">
      <c r="A3290" t="s">
        <v>1059</v>
      </c>
      <c r="B3290" s="1">
        <v>45027</v>
      </c>
      <c r="C3290" t="s">
        <v>3173</v>
      </c>
      <c r="D3290" t="s">
        <v>71</v>
      </c>
      <c r="E3290" t="s">
        <v>51</v>
      </c>
      <c r="F3290" t="s">
        <v>262</v>
      </c>
      <c r="G3290" t="s">
        <v>3174</v>
      </c>
      <c r="H3290" t="s">
        <v>54</v>
      </c>
      <c r="I3290">
        <v>4000</v>
      </c>
      <c r="J3290">
        <v>0</v>
      </c>
      <c r="K3290">
        <v>0</v>
      </c>
      <c r="L3290" t="s">
        <v>693</v>
      </c>
      <c r="M3290" t="s">
        <v>2836</v>
      </c>
      <c r="N3290">
        <v>205</v>
      </c>
      <c r="O3290">
        <v>0</v>
      </c>
      <c r="P3290" t="str">
        <f>IF(T[[#This Row],[qty_ordered]]&lt;&gt;T[[#This Row],[qty_received]],IF(T[[#This Row],[qty_received]]&gt;0,"Partial Received","Not Receviced"),"FullyReceived")</f>
        <v>Not Receviced</v>
      </c>
      <c r="Q3290" t="str">
        <f>IF(T[[#This Row],[qty_received]]&lt;&gt;T[[#This Row],[qty_invoiced]],IF(T[[#This Row],[qty_invoiced]]&gt;0,"Partial Invoiced","Not Invoiced"),"Fully Invoiced")</f>
        <v>Fully Invoiced</v>
      </c>
      <c r="R3290" t="str">
        <f>IFERROR(VLOOKUP(T[[#This Row],[warehouse]],Table2[],2,FALSE),"--")</f>
        <v>--</v>
      </c>
    </row>
    <row r="3291" spans="1:18" x14ac:dyDescent="0.25">
      <c r="A3291" t="s">
        <v>1059</v>
      </c>
      <c r="B3291" s="1">
        <v>45027</v>
      </c>
      <c r="C3291" t="s">
        <v>3173</v>
      </c>
      <c r="D3291" t="s">
        <v>100</v>
      </c>
      <c r="E3291" t="s">
        <v>51</v>
      </c>
      <c r="F3291" t="s">
        <v>433</v>
      </c>
      <c r="G3291" t="s">
        <v>3175</v>
      </c>
      <c r="H3291" t="s">
        <v>54</v>
      </c>
      <c r="I3291">
        <v>7781</v>
      </c>
      <c r="J3291">
        <v>0</v>
      </c>
      <c r="K3291">
        <v>0</v>
      </c>
      <c r="L3291" t="s">
        <v>693</v>
      </c>
      <c r="M3291" t="s">
        <v>2836</v>
      </c>
      <c r="N3291">
        <v>40</v>
      </c>
      <c r="O3291">
        <v>0</v>
      </c>
      <c r="P3291" t="str">
        <f>IF(T[[#This Row],[qty_ordered]]&lt;&gt;T[[#This Row],[qty_received]],IF(T[[#This Row],[qty_received]]&gt;0,"Partial Received","Not Receviced"),"FullyReceived")</f>
        <v>Not Receviced</v>
      </c>
      <c r="Q3291" t="str">
        <f>IF(T[[#This Row],[qty_received]]&lt;&gt;T[[#This Row],[qty_invoiced]],IF(T[[#This Row],[qty_invoiced]]&gt;0,"Partial Invoiced","Not Invoiced"),"Fully Invoiced")</f>
        <v>Fully Invoiced</v>
      </c>
      <c r="R3291" t="str">
        <f>IFERROR(VLOOKUP(T[[#This Row],[warehouse]],Table2[],2,FALSE),"--")</f>
        <v>--</v>
      </c>
    </row>
    <row r="3292" spans="1:18" x14ac:dyDescent="0.25">
      <c r="A3292" t="s">
        <v>560</v>
      </c>
      <c r="B3292" s="1">
        <v>44885</v>
      </c>
      <c r="C3292" t="s">
        <v>2841</v>
      </c>
      <c r="D3292" t="s">
        <v>451</v>
      </c>
      <c r="E3292" t="s">
        <v>51</v>
      </c>
      <c r="F3292" t="s">
        <v>2842</v>
      </c>
      <c r="G3292" t="s">
        <v>3176</v>
      </c>
      <c r="H3292" t="s">
        <v>54</v>
      </c>
      <c r="I3292">
        <v>3</v>
      </c>
      <c r="J3292">
        <v>0</v>
      </c>
      <c r="K3292">
        <v>0</v>
      </c>
      <c r="L3292" t="s">
        <v>693</v>
      </c>
      <c r="M3292" t="s">
        <v>2836</v>
      </c>
      <c r="N3292">
        <v>12285</v>
      </c>
      <c r="O3292">
        <v>0</v>
      </c>
      <c r="P3292" t="str">
        <f>IF(T[[#This Row],[qty_ordered]]&lt;&gt;T[[#This Row],[qty_received]],IF(T[[#This Row],[qty_received]]&gt;0,"Partial Received","Not Receviced"),"FullyReceived")</f>
        <v>Not Receviced</v>
      </c>
      <c r="Q3292" t="str">
        <f>IF(T[[#This Row],[qty_received]]&lt;&gt;T[[#This Row],[qty_invoiced]],IF(T[[#This Row],[qty_invoiced]]&gt;0,"Partial Invoiced","Not Invoiced"),"Fully Invoiced")</f>
        <v>Fully Invoiced</v>
      </c>
      <c r="R3292" t="str">
        <f>IFERROR(VLOOKUP(T[[#This Row],[warehouse]],Table2[],2,FALSE),"--")</f>
        <v>--</v>
      </c>
    </row>
    <row r="3293" spans="1:18" x14ac:dyDescent="0.25">
      <c r="A3293" t="s">
        <v>560</v>
      </c>
      <c r="B3293" s="1">
        <v>44935</v>
      </c>
      <c r="C3293" t="s">
        <v>3089</v>
      </c>
      <c r="D3293" t="s">
        <v>324</v>
      </c>
      <c r="E3293" t="s">
        <v>51</v>
      </c>
      <c r="F3293" t="s">
        <v>2842</v>
      </c>
      <c r="G3293" t="s">
        <v>3177</v>
      </c>
      <c r="H3293" t="s">
        <v>54</v>
      </c>
      <c r="I3293">
        <v>26</v>
      </c>
      <c r="J3293">
        <v>0</v>
      </c>
      <c r="K3293">
        <v>0</v>
      </c>
      <c r="L3293" t="s">
        <v>693</v>
      </c>
      <c r="M3293" t="s">
        <v>2836</v>
      </c>
      <c r="N3293">
        <v>12285</v>
      </c>
      <c r="O3293">
        <v>0</v>
      </c>
      <c r="P3293" t="str">
        <f>IF(T[[#This Row],[qty_ordered]]&lt;&gt;T[[#This Row],[qty_received]],IF(T[[#This Row],[qty_received]]&gt;0,"Partial Received","Not Receviced"),"FullyReceived")</f>
        <v>Not Receviced</v>
      </c>
      <c r="Q3293" t="str">
        <f>IF(T[[#This Row],[qty_received]]&lt;&gt;T[[#This Row],[qty_invoiced]],IF(T[[#This Row],[qty_invoiced]]&gt;0,"Partial Invoiced","Not Invoiced"),"Fully Invoiced")</f>
        <v>Fully Invoiced</v>
      </c>
      <c r="R3293" t="str">
        <f>IFERROR(VLOOKUP(T[[#This Row],[warehouse]],Table2[],2,FALSE),"--")</f>
        <v>--</v>
      </c>
    </row>
    <row r="3294" spans="1:18" x14ac:dyDescent="0.25">
      <c r="A3294" t="s">
        <v>560</v>
      </c>
      <c r="B3294" s="1">
        <v>44935</v>
      </c>
      <c r="C3294" t="s">
        <v>3089</v>
      </c>
      <c r="D3294" t="s">
        <v>325</v>
      </c>
      <c r="E3294" t="s">
        <v>51</v>
      </c>
      <c r="F3294" t="s">
        <v>2842</v>
      </c>
      <c r="G3294" t="s">
        <v>3177</v>
      </c>
      <c r="H3294" t="s">
        <v>54</v>
      </c>
      <c r="I3294">
        <v>12.88</v>
      </c>
      <c r="J3294">
        <v>0</v>
      </c>
      <c r="K3294">
        <v>0</v>
      </c>
      <c r="L3294" t="s">
        <v>693</v>
      </c>
      <c r="M3294" t="s">
        <v>2836</v>
      </c>
      <c r="N3294">
        <v>12285</v>
      </c>
      <c r="O3294">
        <v>0</v>
      </c>
      <c r="P3294" t="str">
        <f>IF(T[[#This Row],[qty_ordered]]&lt;&gt;T[[#This Row],[qty_received]],IF(T[[#This Row],[qty_received]]&gt;0,"Partial Received","Not Receviced"),"FullyReceived")</f>
        <v>Not Receviced</v>
      </c>
      <c r="Q3294" t="str">
        <f>IF(T[[#This Row],[qty_received]]&lt;&gt;T[[#This Row],[qty_invoiced]],IF(T[[#This Row],[qty_invoiced]]&gt;0,"Partial Invoiced","Not Invoiced"),"Fully Invoiced")</f>
        <v>Fully Invoiced</v>
      </c>
      <c r="R3294" t="str">
        <f>IFERROR(VLOOKUP(T[[#This Row],[warehouse]],Table2[],2,FALSE),"--")</f>
        <v>--</v>
      </c>
    </row>
    <row r="3295" spans="1:18" x14ac:dyDescent="0.25">
      <c r="A3295" t="s">
        <v>560</v>
      </c>
      <c r="B3295" s="1">
        <v>44935</v>
      </c>
      <c r="C3295" t="s">
        <v>3089</v>
      </c>
      <c r="D3295" t="s">
        <v>451</v>
      </c>
      <c r="E3295" t="s">
        <v>51</v>
      </c>
      <c r="F3295" t="s">
        <v>2842</v>
      </c>
      <c r="G3295" t="s">
        <v>3177</v>
      </c>
      <c r="H3295" t="s">
        <v>54</v>
      </c>
      <c r="I3295">
        <v>33.380000000000003</v>
      </c>
      <c r="J3295">
        <v>0</v>
      </c>
      <c r="K3295">
        <v>0</v>
      </c>
      <c r="L3295" t="s">
        <v>693</v>
      </c>
      <c r="M3295" t="s">
        <v>2836</v>
      </c>
      <c r="N3295">
        <v>12285</v>
      </c>
      <c r="O3295">
        <v>0</v>
      </c>
      <c r="P3295" t="str">
        <f>IF(T[[#This Row],[qty_ordered]]&lt;&gt;T[[#This Row],[qty_received]],IF(T[[#This Row],[qty_received]]&gt;0,"Partial Received","Not Receviced"),"FullyReceived")</f>
        <v>Not Receviced</v>
      </c>
      <c r="Q3295" t="str">
        <f>IF(T[[#This Row],[qty_received]]&lt;&gt;T[[#This Row],[qty_invoiced]],IF(T[[#This Row],[qty_invoiced]]&gt;0,"Partial Invoiced","Not Invoiced"),"Fully Invoiced")</f>
        <v>Fully Invoiced</v>
      </c>
      <c r="R3295" t="str">
        <f>IFERROR(VLOOKUP(T[[#This Row],[warehouse]],Table2[],2,FALSE),"--")</f>
        <v>--</v>
      </c>
    </row>
    <row r="3296" spans="1:18" x14ac:dyDescent="0.25">
      <c r="A3296" t="s">
        <v>560</v>
      </c>
      <c r="B3296" s="1">
        <v>44935</v>
      </c>
      <c r="C3296" t="s">
        <v>3089</v>
      </c>
      <c r="D3296" t="s">
        <v>452</v>
      </c>
      <c r="E3296" t="s">
        <v>51</v>
      </c>
      <c r="F3296" t="s">
        <v>2842</v>
      </c>
      <c r="G3296" t="s">
        <v>3177</v>
      </c>
      <c r="H3296" t="s">
        <v>54</v>
      </c>
      <c r="I3296">
        <v>26.38</v>
      </c>
      <c r="J3296">
        <v>0</v>
      </c>
      <c r="K3296">
        <v>0</v>
      </c>
      <c r="L3296" t="s">
        <v>693</v>
      </c>
      <c r="M3296" t="s">
        <v>2836</v>
      </c>
      <c r="N3296">
        <v>12285</v>
      </c>
      <c r="O3296">
        <v>0</v>
      </c>
      <c r="P3296" t="str">
        <f>IF(T[[#This Row],[qty_ordered]]&lt;&gt;T[[#This Row],[qty_received]],IF(T[[#This Row],[qty_received]]&gt;0,"Partial Received","Not Receviced"),"FullyReceived")</f>
        <v>Not Receviced</v>
      </c>
      <c r="Q3296" t="str">
        <f>IF(T[[#This Row],[qty_received]]&lt;&gt;T[[#This Row],[qty_invoiced]],IF(T[[#This Row],[qty_invoiced]]&gt;0,"Partial Invoiced","Not Invoiced"),"Fully Invoiced")</f>
        <v>Fully Invoiced</v>
      </c>
      <c r="R3296" t="str">
        <f>IFERROR(VLOOKUP(T[[#This Row],[warehouse]],Table2[],2,FALSE),"--")</f>
        <v>--</v>
      </c>
    </row>
    <row r="3297" spans="1:18" x14ac:dyDescent="0.25">
      <c r="A3297" t="s">
        <v>560</v>
      </c>
      <c r="B3297" s="1">
        <v>44935</v>
      </c>
      <c r="C3297" t="s">
        <v>3089</v>
      </c>
      <c r="D3297" t="s">
        <v>614</v>
      </c>
      <c r="E3297" t="s">
        <v>51</v>
      </c>
      <c r="F3297" t="s">
        <v>2842</v>
      </c>
      <c r="G3297" t="s">
        <v>3177</v>
      </c>
      <c r="H3297" t="s">
        <v>54</v>
      </c>
      <c r="I3297">
        <v>28.75</v>
      </c>
      <c r="J3297">
        <v>0</v>
      </c>
      <c r="K3297">
        <v>0</v>
      </c>
      <c r="L3297" t="s">
        <v>693</v>
      </c>
      <c r="M3297" t="s">
        <v>2836</v>
      </c>
      <c r="N3297">
        <v>12285</v>
      </c>
      <c r="O3297">
        <v>0</v>
      </c>
      <c r="P3297" t="str">
        <f>IF(T[[#This Row],[qty_ordered]]&lt;&gt;T[[#This Row],[qty_received]],IF(T[[#This Row],[qty_received]]&gt;0,"Partial Received","Not Receviced"),"FullyReceived")</f>
        <v>Not Receviced</v>
      </c>
      <c r="Q3297" t="str">
        <f>IF(T[[#This Row],[qty_received]]&lt;&gt;T[[#This Row],[qty_invoiced]],IF(T[[#This Row],[qty_invoiced]]&gt;0,"Partial Invoiced","Not Invoiced"),"Fully Invoiced")</f>
        <v>Fully Invoiced</v>
      </c>
      <c r="R3297" t="str">
        <f>IFERROR(VLOOKUP(T[[#This Row],[warehouse]],Table2[],2,FALSE),"--")</f>
        <v>--</v>
      </c>
    </row>
    <row r="3298" spans="1:18" x14ac:dyDescent="0.25">
      <c r="A3298" t="s">
        <v>560</v>
      </c>
      <c r="B3298" s="1">
        <v>44935</v>
      </c>
      <c r="C3298" t="s">
        <v>3178</v>
      </c>
      <c r="D3298" t="s">
        <v>88</v>
      </c>
      <c r="E3298" t="s">
        <v>51</v>
      </c>
      <c r="F3298" t="s">
        <v>2842</v>
      </c>
      <c r="G3298" t="s">
        <v>3179</v>
      </c>
      <c r="H3298" t="s">
        <v>54</v>
      </c>
      <c r="I3298">
        <v>23</v>
      </c>
      <c r="J3298">
        <v>0</v>
      </c>
      <c r="K3298">
        <v>0</v>
      </c>
      <c r="L3298" t="s">
        <v>693</v>
      </c>
      <c r="M3298" t="s">
        <v>2836</v>
      </c>
      <c r="N3298">
        <v>12285</v>
      </c>
      <c r="O3298">
        <v>0</v>
      </c>
      <c r="P3298" t="str">
        <f>IF(T[[#This Row],[qty_ordered]]&lt;&gt;T[[#This Row],[qty_received]],IF(T[[#This Row],[qty_received]]&gt;0,"Partial Received","Not Receviced"),"FullyReceived")</f>
        <v>Not Receviced</v>
      </c>
      <c r="Q3298" t="str">
        <f>IF(T[[#This Row],[qty_received]]&lt;&gt;T[[#This Row],[qty_invoiced]],IF(T[[#This Row],[qty_invoiced]]&gt;0,"Partial Invoiced","Not Invoiced"),"Fully Invoiced")</f>
        <v>Fully Invoiced</v>
      </c>
      <c r="R3298" t="str">
        <f>IFERROR(VLOOKUP(T[[#This Row],[warehouse]],Table2[],2,FALSE),"--")</f>
        <v>--</v>
      </c>
    </row>
    <row r="3299" spans="1:18" x14ac:dyDescent="0.25">
      <c r="A3299" t="s">
        <v>560</v>
      </c>
      <c r="B3299" s="1">
        <v>44902</v>
      </c>
      <c r="C3299" t="s">
        <v>2933</v>
      </c>
      <c r="D3299" t="s">
        <v>324</v>
      </c>
      <c r="E3299" t="s">
        <v>51</v>
      </c>
      <c r="F3299" t="s">
        <v>2842</v>
      </c>
      <c r="G3299" t="s">
        <v>3180</v>
      </c>
      <c r="H3299" t="s">
        <v>54</v>
      </c>
      <c r="I3299">
        <v>26</v>
      </c>
      <c r="J3299">
        <v>0</v>
      </c>
      <c r="K3299">
        <v>0</v>
      </c>
      <c r="L3299" t="s">
        <v>693</v>
      </c>
      <c r="M3299" t="s">
        <v>2836</v>
      </c>
      <c r="N3299">
        <v>12285</v>
      </c>
      <c r="O3299">
        <v>0</v>
      </c>
      <c r="P3299" t="str">
        <f>IF(T[[#This Row],[qty_ordered]]&lt;&gt;T[[#This Row],[qty_received]],IF(T[[#This Row],[qty_received]]&gt;0,"Partial Received","Not Receviced"),"FullyReceived")</f>
        <v>Not Receviced</v>
      </c>
      <c r="Q3299" t="str">
        <f>IF(T[[#This Row],[qty_received]]&lt;&gt;T[[#This Row],[qty_invoiced]],IF(T[[#This Row],[qty_invoiced]]&gt;0,"Partial Invoiced","Not Invoiced"),"Fully Invoiced")</f>
        <v>Fully Invoiced</v>
      </c>
      <c r="R3299" t="str">
        <f>IFERROR(VLOOKUP(T[[#This Row],[warehouse]],Table2[],2,FALSE),"--")</f>
        <v>--</v>
      </c>
    </row>
    <row r="3300" spans="1:18" x14ac:dyDescent="0.25">
      <c r="A3300" t="s">
        <v>560</v>
      </c>
      <c r="B3300" s="1">
        <v>44902</v>
      </c>
      <c r="C3300" t="s">
        <v>2933</v>
      </c>
      <c r="D3300" t="s">
        <v>325</v>
      </c>
      <c r="E3300" t="s">
        <v>51</v>
      </c>
      <c r="F3300" t="s">
        <v>2842</v>
      </c>
      <c r="G3300" t="s">
        <v>3181</v>
      </c>
      <c r="H3300" t="s">
        <v>54</v>
      </c>
      <c r="I3300">
        <v>7</v>
      </c>
      <c r="J3300">
        <v>0</v>
      </c>
      <c r="K3300">
        <v>0</v>
      </c>
      <c r="L3300" t="s">
        <v>693</v>
      </c>
      <c r="M3300" t="s">
        <v>2836</v>
      </c>
      <c r="N3300">
        <v>12285</v>
      </c>
      <c r="O3300">
        <v>0</v>
      </c>
      <c r="P3300" t="str">
        <f>IF(T[[#This Row],[qty_ordered]]&lt;&gt;T[[#This Row],[qty_received]],IF(T[[#This Row],[qty_received]]&gt;0,"Partial Received","Not Receviced"),"FullyReceived")</f>
        <v>Not Receviced</v>
      </c>
      <c r="Q3300" t="str">
        <f>IF(T[[#This Row],[qty_received]]&lt;&gt;T[[#This Row],[qty_invoiced]],IF(T[[#This Row],[qty_invoiced]]&gt;0,"Partial Invoiced","Not Invoiced"),"Fully Invoiced")</f>
        <v>Fully Invoiced</v>
      </c>
      <c r="R3300" t="str">
        <f>IFERROR(VLOOKUP(T[[#This Row],[warehouse]],Table2[],2,FALSE),"--")</f>
        <v>--</v>
      </c>
    </row>
    <row r="3301" spans="1:18" x14ac:dyDescent="0.25">
      <c r="A3301" t="s">
        <v>560</v>
      </c>
      <c r="B3301" s="1">
        <v>44902</v>
      </c>
      <c r="C3301" t="s">
        <v>2933</v>
      </c>
      <c r="D3301" t="s">
        <v>451</v>
      </c>
      <c r="E3301" t="s">
        <v>51</v>
      </c>
      <c r="F3301" t="s">
        <v>2842</v>
      </c>
      <c r="G3301" t="s">
        <v>3181</v>
      </c>
      <c r="H3301" t="s">
        <v>54</v>
      </c>
      <c r="I3301">
        <v>28.75</v>
      </c>
      <c r="J3301">
        <v>0</v>
      </c>
      <c r="K3301">
        <v>0</v>
      </c>
      <c r="L3301" t="s">
        <v>693</v>
      </c>
      <c r="M3301" t="s">
        <v>2836</v>
      </c>
      <c r="N3301">
        <v>12285</v>
      </c>
      <c r="O3301">
        <v>0</v>
      </c>
      <c r="P3301" t="str">
        <f>IF(T[[#This Row],[qty_ordered]]&lt;&gt;T[[#This Row],[qty_received]],IF(T[[#This Row],[qty_received]]&gt;0,"Partial Received","Not Receviced"),"FullyReceived")</f>
        <v>Not Receviced</v>
      </c>
      <c r="Q3301" t="str">
        <f>IF(T[[#This Row],[qty_received]]&lt;&gt;T[[#This Row],[qty_invoiced]],IF(T[[#This Row],[qty_invoiced]]&gt;0,"Partial Invoiced","Not Invoiced"),"Fully Invoiced")</f>
        <v>Fully Invoiced</v>
      </c>
      <c r="R3301" t="str">
        <f>IFERROR(VLOOKUP(T[[#This Row],[warehouse]],Table2[],2,FALSE),"--")</f>
        <v>--</v>
      </c>
    </row>
    <row r="3302" spans="1:18" x14ac:dyDescent="0.25">
      <c r="A3302" t="s">
        <v>560</v>
      </c>
      <c r="B3302" s="1">
        <v>44993</v>
      </c>
      <c r="C3302" t="s">
        <v>3182</v>
      </c>
      <c r="D3302" t="s">
        <v>71</v>
      </c>
      <c r="E3302" t="s">
        <v>51</v>
      </c>
      <c r="F3302" t="s">
        <v>2842</v>
      </c>
      <c r="G3302" t="s">
        <v>3183</v>
      </c>
      <c r="H3302" t="s">
        <v>54</v>
      </c>
      <c r="I3302">
        <v>7</v>
      </c>
      <c r="J3302">
        <v>0</v>
      </c>
      <c r="K3302">
        <v>0</v>
      </c>
      <c r="L3302" t="s">
        <v>693</v>
      </c>
      <c r="M3302" t="s">
        <v>2836</v>
      </c>
      <c r="N3302">
        <v>12285</v>
      </c>
      <c r="O3302">
        <v>0</v>
      </c>
      <c r="P3302" t="str">
        <f>IF(T[[#This Row],[qty_ordered]]&lt;&gt;T[[#This Row],[qty_received]],IF(T[[#This Row],[qty_received]]&gt;0,"Partial Received","Not Receviced"),"FullyReceived")</f>
        <v>Not Receviced</v>
      </c>
      <c r="Q3302" t="str">
        <f>IF(T[[#This Row],[qty_received]]&lt;&gt;T[[#This Row],[qty_invoiced]],IF(T[[#This Row],[qty_invoiced]]&gt;0,"Partial Invoiced","Not Invoiced"),"Fully Invoiced")</f>
        <v>Fully Invoiced</v>
      </c>
      <c r="R3302" t="str">
        <f>IFERROR(VLOOKUP(T[[#This Row],[warehouse]],Table2[],2,FALSE),"--")</f>
        <v>--</v>
      </c>
    </row>
    <row r="3303" spans="1:18" x14ac:dyDescent="0.25">
      <c r="A3303" t="s">
        <v>1059</v>
      </c>
      <c r="B3303" s="1">
        <v>45027</v>
      </c>
      <c r="C3303" t="s">
        <v>3173</v>
      </c>
      <c r="D3303" t="s">
        <v>88</v>
      </c>
      <c r="E3303" t="s">
        <v>51</v>
      </c>
      <c r="F3303" t="s">
        <v>278</v>
      </c>
      <c r="G3303" t="s">
        <v>3184</v>
      </c>
      <c r="H3303" t="s">
        <v>54</v>
      </c>
      <c r="I3303">
        <v>2898</v>
      </c>
      <c r="J3303">
        <v>0</v>
      </c>
      <c r="K3303">
        <v>0</v>
      </c>
      <c r="L3303" t="s">
        <v>693</v>
      </c>
      <c r="M3303" t="s">
        <v>2836</v>
      </c>
      <c r="N3303">
        <v>150</v>
      </c>
      <c r="O3303">
        <v>0</v>
      </c>
      <c r="P3303" t="str">
        <f>IF(T[[#This Row],[qty_ordered]]&lt;&gt;T[[#This Row],[qty_received]],IF(T[[#This Row],[qty_received]]&gt;0,"Partial Received","Not Receviced"),"FullyReceived")</f>
        <v>Not Receviced</v>
      </c>
      <c r="Q3303" t="str">
        <f>IF(T[[#This Row],[qty_received]]&lt;&gt;T[[#This Row],[qty_invoiced]],IF(T[[#This Row],[qty_invoiced]]&gt;0,"Partial Invoiced","Not Invoiced"),"Fully Invoiced")</f>
        <v>Fully Invoiced</v>
      </c>
      <c r="R3303" t="str">
        <f>IFERROR(VLOOKUP(T[[#This Row],[warehouse]],Table2[],2,FALSE),"--")</f>
        <v>--</v>
      </c>
    </row>
    <row r="3304" spans="1:18" x14ac:dyDescent="0.25">
      <c r="A3304" t="s">
        <v>242</v>
      </c>
      <c r="B3304" s="1">
        <v>44591</v>
      </c>
      <c r="C3304" t="s">
        <v>1974</v>
      </c>
      <c r="D3304" t="s">
        <v>100</v>
      </c>
      <c r="E3304" t="s">
        <v>405</v>
      </c>
      <c r="F3304" t="s">
        <v>244</v>
      </c>
      <c r="G3304" t="s">
        <v>245</v>
      </c>
      <c r="H3304" t="s">
        <v>24</v>
      </c>
      <c r="I3304">
        <v>200</v>
      </c>
      <c r="J3304">
        <v>190.74</v>
      </c>
      <c r="K3304">
        <v>190.74</v>
      </c>
      <c r="L3304" t="s">
        <v>25</v>
      </c>
      <c r="M3304" t="s">
        <v>1485</v>
      </c>
      <c r="N3304">
        <v>840000</v>
      </c>
      <c r="O3304">
        <v>160221600</v>
      </c>
      <c r="P3304" t="str">
        <f>IF(T[[#This Row],[qty_ordered]]&lt;&gt;T[[#This Row],[qty_received]],IF(T[[#This Row],[qty_received]]&gt;0,"Partial Received","Not Receviced"),"FullyReceived")</f>
        <v>Partial Received</v>
      </c>
      <c r="Q3304" t="str">
        <f>IF(T[[#This Row],[qty_received]]&lt;&gt;T[[#This Row],[qty_invoiced]],IF(T[[#This Row],[qty_invoiced]]&gt;0,"Partial Invoiced","Not Invoiced"),"Fully Invoiced")</f>
        <v>Fully Invoiced</v>
      </c>
      <c r="R3304" t="str">
        <f>IFERROR(VLOOKUP(T[[#This Row],[warehouse]],Table2[],2,FALSE),"--")</f>
        <v>GINNING ISHRAG-MDNI</v>
      </c>
    </row>
    <row r="3305" spans="1:18" x14ac:dyDescent="0.25">
      <c r="A3305" t="s">
        <v>1975</v>
      </c>
      <c r="B3305" s="1">
        <v>44634</v>
      </c>
      <c r="C3305" t="s">
        <v>1976</v>
      </c>
      <c r="D3305" t="s">
        <v>20</v>
      </c>
      <c r="E3305" t="s">
        <v>629</v>
      </c>
      <c r="F3305" t="s">
        <v>287</v>
      </c>
      <c r="G3305" t="s">
        <v>288</v>
      </c>
      <c r="H3305" t="s">
        <v>24</v>
      </c>
      <c r="I3305">
        <v>1000</v>
      </c>
      <c r="J3305">
        <v>688.54</v>
      </c>
      <c r="K3305">
        <v>688.54</v>
      </c>
      <c r="L3305" t="s">
        <v>25</v>
      </c>
      <c r="M3305" t="s">
        <v>1485</v>
      </c>
      <c r="N3305">
        <v>425300</v>
      </c>
      <c r="O3305">
        <v>292836062</v>
      </c>
      <c r="P3305" t="str">
        <f>IF(T[[#This Row],[qty_ordered]]&lt;&gt;T[[#This Row],[qty_received]],IF(T[[#This Row],[qty_received]]&gt;0,"Partial Received","Not Receviced"),"FullyReceived")</f>
        <v>Partial Received</v>
      </c>
      <c r="Q3305" t="str">
        <f>IF(T[[#This Row],[qty_received]]&lt;&gt;T[[#This Row],[qty_invoiced]],IF(T[[#This Row],[qty_invoiced]]&gt;0,"Partial Invoiced","Not Invoiced"),"Fully Invoiced")</f>
        <v>Fully Invoiced</v>
      </c>
      <c r="R3305" t="str">
        <f>IFERROR(VLOOKUP(T[[#This Row],[warehouse]],Table2[],2,FALSE),"--")</f>
        <v>SOPC Sifting &amp; Sorting</v>
      </c>
    </row>
    <row r="3306" spans="1:18" x14ac:dyDescent="0.25">
      <c r="A3306" t="s">
        <v>400</v>
      </c>
      <c r="B3306" s="1">
        <v>44594</v>
      </c>
      <c r="C3306" t="s">
        <v>1700</v>
      </c>
      <c r="D3306" t="s">
        <v>88</v>
      </c>
      <c r="E3306" t="s">
        <v>51</v>
      </c>
      <c r="F3306" t="s">
        <v>183</v>
      </c>
      <c r="G3306" t="s">
        <v>1628</v>
      </c>
      <c r="H3306" t="s">
        <v>54</v>
      </c>
      <c r="I3306">
        <v>564.74199999999996</v>
      </c>
      <c r="J3306">
        <v>0</v>
      </c>
      <c r="K3306">
        <v>1</v>
      </c>
      <c r="L3306" t="s">
        <v>693</v>
      </c>
      <c r="M3306" t="s">
        <v>533</v>
      </c>
      <c r="N3306">
        <v>8500</v>
      </c>
      <c r="O3306">
        <v>0</v>
      </c>
      <c r="P3306" t="str">
        <f>IF(T[[#This Row],[qty_ordered]]&lt;&gt;T[[#This Row],[qty_received]],IF(T[[#This Row],[qty_received]]&gt;0,"Partial Received","Not Receviced"),"FullyReceived")</f>
        <v>Not Receviced</v>
      </c>
      <c r="Q3306" t="str">
        <f>IF(T[[#This Row],[qty_received]]&lt;&gt;T[[#This Row],[qty_invoiced]],IF(T[[#This Row],[qty_invoiced]]&gt;0,"Partial Invoiced","Not Invoiced"),"Fully Invoiced")</f>
        <v>Partial Invoiced</v>
      </c>
      <c r="R3306" t="str">
        <f>IFERROR(VLOOKUP(T[[#This Row],[warehouse]],Table2[],2,FALSE),"--")</f>
        <v>--</v>
      </c>
    </row>
    <row r="3307" spans="1:18" x14ac:dyDescent="0.25">
      <c r="A3307" t="s">
        <v>242</v>
      </c>
      <c r="B3307" s="1">
        <v>44546</v>
      </c>
      <c r="C3307" t="s">
        <v>1535</v>
      </c>
      <c r="D3307" t="s">
        <v>100</v>
      </c>
      <c r="E3307" t="s">
        <v>405</v>
      </c>
      <c r="F3307" t="s">
        <v>244</v>
      </c>
      <c r="G3307" t="s">
        <v>245</v>
      </c>
      <c r="H3307" t="s">
        <v>24</v>
      </c>
      <c r="I3307">
        <v>297.62</v>
      </c>
      <c r="J3307">
        <v>0</v>
      </c>
      <c r="K3307">
        <v>0</v>
      </c>
      <c r="L3307" t="s">
        <v>25</v>
      </c>
      <c r="M3307" t="s">
        <v>1485</v>
      </c>
      <c r="N3307">
        <v>839997.31200899999</v>
      </c>
      <c r="O3307">
        <v>0</v>
      </c>
      <c r="P3307" t="str">
        <f>IF(T[[#This Row],[qty_ordered]]&lt;&gt;T[[#This Row],[qty_received]],IF(T[[#This Row],[qty_received]]&gt;0,"Partial Received","Not Receviced"),"FullyReceived")</f>
        <v>Not Receviced</v>
      </c>
      <c r="Q3307" t="str">
        <f>IF(T[[#This Row],[qty_received]]&lt;&gt;T[[#This Row],[qty_invoiced]],IF(T[[#This Row],[qty_invoiced]]&gt;0,"Partial Invoiced","Not Invoiced"),"Fully Invoiced")</f>
        <v>Fully Invoiced</v>
      </c>
      <c r="R3307" t="str">
        <f>IFERROR(VLOOKUP(T[[#This Row],[warehouse]],Table2[],2,FALSE),"--")</f>
        <v>GINNING ISHRAG-MDNI</v>
      </c>
    </row>
    <row r="3308" spans="1:18" x14ac:dyDescent="0.25">
      <c r="A3308" t="s">
        <v>1977</v>
      </c>
      <c r="B3308" s="1">
        <v>44606</v>
      </c>
      <c r="C3308" t="s">
        <v>1978</v>
      </c>
      <c r="D3308" t="s">
        <v>71</v>
      </c>
      <c r="E3308" t="s">
        <v>51</v>
      </c>
      <c r="F3308" t="s">
        <v>183</v>
      </c>
      <c r="G3308" t="s">
        <v>1979</v>
      </c>
      <c r="H3308" t="s">
        <v>54</v>
      </c>
      <c r="I3308">
        <v>43.8</v>
      </c>
      <c r="J3308">
        <v>0</v>
      </c>
      <c r="K3308">
        <v>1</v>
      </c>
      <c r="L3308" t="s">
        <v>693</v>
      </c>
      <c r="M3308" t="s">
        <v>533</v>
      </c>
      <c r="N3308">
        <v>8000</v>
      </c>
      <c r="O3308">
        <v>0</v>
      </c>
      <c r="P3308" t="str">
        <f>IF(T[[#This Row],[qty_ordered]]&lt;&gt;T[[#This Row],[qty_received]],IF(T[[#This Row],[qty_received]]&gt;0,"Partial Received","Not Receviced"),"FullyReceived")</f>
        <v>Not Receviced</v>
      </c>
      <c r="Q3308" t="str">
        <f>IF(T[[#This Row],[qty_received]]&lt;&gt;T[[#This Row],[qty_invoiced]],IF(T[[#This Row],[qty_invoiced]]&gt;0,"Partial Invoiced","Not Invoiced"),"Fully Invoiced")</f>
        <v>Partial Invoiced</v>
      </c>
      <c r="R3308" t="str">
        <f>IFERROR(VLOOKUP(T[[#This Row],[warehouse]],Table2[],2,FALSE),"--")</f>
        <v>--</v>
      </c>
    </row>
    <row r="3309" spans="1:18" x14ac:dyDescent="0.25">
      <c r="A3309" t="s">
        <v>423</v>
      </c>
      <c r="B3309" s="1">
        <v>44546</v>
      </c>
      <c r="C3309" t="s">
        <v>1500</v>
      </c>
      <c r="D3309" t="s">
        <v>100</v>
      </c>
      <c r="E3309" t="s">
        <v>51</v>
      </c>
      <c r="F3309" t="s">
        <v>818</v>
      </c>
      <c r="G3309" t="s">
        <v>1980</v>
      </c>
      <c r="H3309" t="s">
        <v>54</v>
      </c>
      <c r="I3309">
        <v>10</v>
      </c>
      <c r="J3309">
        <v>0</v>
      </c>
      <c r="K3309">
        <v>1</v>
      </c>
      <c r="L3309" t="s">
        <v>693</v>
      </c>
      <c r="M3309" t="s">
        <v>533</v>
      </c>
      <c r="N3309">
        <v>3000</v>
      </c>
      <c r="O3309">
        <v>0</v>
      </c>
      <c r="P3309" t="str">
        <f>IF(T[[#This Row],[qty_ordered]]&lt;&gt;T[[#This Row],[qty_received]],IF(T[[#This Row],[qty_received]]&gt;0,"Partial Received","Not Receviced"),"FullyReceived")</f>
        <v>Not Receviced</v>
      </c>
      <c r="Q3309" t="str">
        <f>IF(T[[#This Row],[qty_received]]&lt;&gt;T[[#This Row],[qty_invoiced]],IF(T[[#This Row],[qty_invoiced]]&gt;0,"Partial Invoiced","Not Invoiced"),"Fully Invoiced")</f>
        <v>Partial Invoiced</v>
      </c>
      <c r="R3309" t="str">
        <f>IFERROR(VLOOKUP(T[[#This Row],[warehouse]],Table2[],2,FALSE),"--")</f>
        <v>--</v>
      </c>
    </row>
    <row r="3310" spans="1:18" x14ac:dyDescent="0.25">
      <c r="A3310" t="s">
        <v>973</v>
      </c>
      <c r="B3310" s="1">
        <v>44571</v>
      </c>
      <c r="C3310" t="s">
        <v>1942</v>
      </c>
      <c r="D3310" t="s">
        <v>100</v>
      </c>
      <c r="E3310" t="s">
        <v>51</v>
      </c>
      <c r="F3310" t="s">
        <v>52</v>
      </c>
      <c r="G3310" t="s">
        <v>1796</v>
      </c>
      <c r="H3310" t="s">
        <v>54</v>
      </c>
      <c r="I3310">
        <v>1</v>
      </c>
      <c r="J3310">
        <v>0</v>
      </c>
      <c r="K3310">
        <v>0</v>
      </c>
      <c r="L3310" t="s">
        <v>25</v>
      </c>
      <c r="M3310" t="s">
        <v>1485</v>
      </c>
      <c r="N3310">
        <v>-3015600000</v>
      </c>
      <c r="O3310">
        <v>0</v>
      </c>
      <c r="P3310" t="str">
        <f>IF(T[[#This Row],[qty_ordered]]&lt;&gt;T[[#This Row],[qty_received]],IF(T[[#This Row],[qty_received]]&gt;0,"Partial Received","Not Receviced"),"FullyReceived")</f>
        <v>Not Receviced</v>
      </c>
      <c r="Q3310" t="str">
        <f>IF(T[[#This Row],[qty_received]]&lt;&gt;T[[#This Row],[qty_invoiced]],IF(T[[#This Row],[qty_invoiced]]&gt;0,"Partial Invoiced","Not Invoiced"),"Fully Invoiced")</f>
        <v>Fully Invoiced</v>
      </c>
      <c r="R3310" t="str">
        <f>IFERROR(VLOOKUP(T[[#This Row],[warehouse]],Table2[],2,FALSE),"--")</f>
        <v>--</v>
      </c>
    </row>
    <row r="3311" spans="1:18" x14ac:dyDescent="0.25">
      <c r="A3311" t="s">
        <v>423</v>
      </c>
      <c r="B3311" s="1">
        <v>44546</v>
      </c>
      <c r="C3311" t="s">
        <v>1502</v>
      </c>
      <c r="D3311" t="s">
        <v>451</v>
      </c>
      <c r="E3311" t="s">
        <v>51</v>
      </c>
      <c r="F3311" t="s">
        <v>546</v>
      </c>
      <c r="G3311" t="s">
        <v>1981</v>
      </c>
      <c r="H3311" t="s">
        <v>54</v>
      </c>
      <c r="I3311">
        <v>10000</v>
      </c>
      <c r="J3311">
        <v>0</v>
      </c>
      <c r="K3311">
        <v>1</v>
      </c>
      <c r="L3311" t="s">
        <v>693</v>
      </c>
      <c r="M3311" t="s">
        <v>2836</v>
      </c>
      <c r="N3311">
        <v>15.5</v>
      </c>
      <c r="O3311">
        <v>0</v>
      </c>
      <c r="P3311" t="str">
        <f>IF(T[[#This Row],[qty_ordered]]&lt;&gt;T[[#This Row],[qty_received]],IF(T[[#This Row],[qty_received]]&gt;0,"Partial Received","Not Receviced"),"FullyReceived")</f>
        <v>Not Receviced</v>
      </c>
      <c r="Q3311" t="str">
        <f>IF(T[[#This Row],[qty_received]]&lt;&gt;T[[#This Row],[qty_invoiced]],IF(T[[#This Row],[qty_invoiced]]&gt;0,"Partial Invoiced","Not Invoiced"),"Fully Invoiced")</f>
        <v>Partial Invoiced</v>
      </c>
      <c r="R3311" t="str">
        <f>IFERROR(VLOOKUP(T[[#This Row],[warehouse]],Table2[],2,FALSE),"--")</f>
        <v>--</v>
      </c>
    </row>
    <row r="3312" spans="1:18" x14ac:dyDescent="0.25">
      <c r="A3312" t="s">
        <v>423</v>
      </c>
      <c r="B3312" s="1">
        <v>44546</v>
      </c>
      <c r="C3312" t="s">
        <v>1502</v>
      </c>
      <c r="D3312" t="s">
        <v>452</v>
      </c>
      <c r="E3312" t="s">
        <v>51</v>
      </c>
      <c r="F3312" t="s">
        <v>546</v>
      </c>
      <c r="G3312" t="s">
        <v>1982</v>
      </c>
      <c r="H3312" t="s">
        <v>54</v>
      </c>
      <c r="I3312">
        <v>10000</v>
      </c>
      <c r="J3312">
        <v>0</v>
      </c>
      <c r="K3312">
        <v>1</v>
      </c>
      <c r="L3312" t="s">
        <v>693</v>
      </c>
      <c r="M3312" t="s">
        <v>2836</v>
      </c>
      <c r="N3312">
        <v>15.5</v>
      </c>
      <c r="O3312">
        <v>0</v>
      </c>
      <c r="P3312" t="str">
        <f>IF(T[[#This Row],[qty_ordered]]&lt;&gt;T[[#This Row],[qty_received]],IF(T[[#This Row],[qty_received]]&gt;0,"Partial Received","Not Receviced"),"FullyReceived")</f>
        <v>Not Receviced</v>
      </c>
      <c r="Q3312" t="str">
        <f>IF(T[[#This Row],[qty_received]]&lt;&gt;T[[#This Row],[qty_invoiced]],IF(T[[#This Row],[qty_invoiced]]&gt;0,"Partial Invoiced","Not Invoiced"),"Fully Invoiced")</f>
        <v>Partial Invoiced</v>
      </c>
      <c r="R3312" t="str">
        <f>IFERROR(VLOOKUP(T[[#This Row],[warehouse]],Table2[],2,FALSE),"--")</f>
        <v>--</v>
      </c>
    </row>
    <row r="3313" spans="1:18" x14ac:dyDescent="0.25">
      <c r="A3313" t="s">
        <v>423</v>
      </c>
      <c r="B3313" s="1">
        <v>44546</v>
      </c>
      <c r="C3313" t="s">
        <v>1502</v>
      </c>
      <c r="D3313" t="s">
        <v>614</v>
      </c>
      <c r="E3313" t="s">
        <v>51</v>
      </c>
      <c r="F3313" t="s">
        <v>546</v>
      </c>
      <c r="G3313" t="s">
        <v>1983</v>
      </c>
      <c r="H3313" t="s">
        <v>54</v>
      </c>
      <c r="I3313">
        <v>10000</v>
      </c>
      <c r="J3313">
        <v>0</v>
      </c>
      <c r="K3313">
        <v>1</v>
      </c>
      <c r="L3313" t="s">
        <v>693</v>
      </c>
      <c r="M3313" t="s">
        <v>2836</v>
      </c>
      <c r="N3313">
        <v>15.5</v>
      </c>
      <c r="O3313">
        <v>0</v>
      </c>
      <c r="P3313" t="str">
        <f>IF(T[[#This Row],[qty_ordered]]&lt;&gt;T[[#This Row],[qty_received]],IF(T[[#This Row],[qty_received]]&gt;0,"Partial Received","Not Receviced"),"FullyReceived")</f>
        <v>Not Receviced</v>
      </c>
      <c r="Q3313" t="str">
        <f>IF(T[[#This Row],[qty_received]]&lt;&gt;T[[#This Row],[qty_invoiced]],IF(T[[#This Row],[qty_invoiced]]&gt;0,"Partial Invoiced","Not Invoiced"),"Fully Invoiced")</f>
        <v>Partial Invoiced</v>
      </c>
      <c r="R3313" t="str">
        <f>IFERROR(VLOOKUP(T[[#This Row],[warehouse]],Table2[],2,FALSE),"--")</f>
        <v>--</v>
      </c>
    </row>
    <row r="3314" spans="1:18" x14ac:dyDescent="0.25">
      <c r="A3314" t="s">
        <v>423</v>
      </c>
      <c r="B3314" s="1">
        <v>44594</v>
      </c>
      <c r="C3314" t="s">
        <v>1984</v>
      </c>
      <c r="D3314" t="s">
        <v>71</v>
      </c>
      <c r="E3314" t="s">
        <v>51</v>
      </c>
      <c r="F3314" t="s">
        <v>546</v>
      </c>
      <c r="G3314" t="s">
        <v>1985</v>
      </c>
      <c r="H3314" t="s">
        <v>54</v>
      </c>
      <c r="I3314">
        <v>10000</v>
      </c>
      <c r="J3314">
        <v>0</v>
      </c>
      <c r="K3314">
        <v>1</v>
      </c>
      <c r="L3314" t="s">
        <v>693</v>
      </c>
      <c r="M3314" t="s">
        <v>533</v>
      </c>
      <c r="N3314">
        <v>15.5</v>
      </c>
      <c r="O3314">
        <v>0</v>
      </c>
      <c r="P3314" t="str">
        <f>IF(T[[#This Row],[qty_ordered]]&lt;&gt;T[[#This Row],[qty_received]],IF(T[[#This Row],[qty_received]]&gt;0,"Partial Received","Not Receviced"),"FullyReceived")</f>
        <v>Not Receviced</v>
      </c>
      <c r="Q3314" t="str">
        <f>IF(T[[#This Row],[qty_received]]&lt;&gt;T[[#This Row],[qty_invoiced]],IF(T[[#This Row],[qty_invoiced]]&gt;0,"Partial Invoiced","Not Invoiced"),"Fully Invoiced")</f>
        <v>Partial Invoiced</v>
      </c>
      <c r="R3314" t="str">
        <f>IFERROR(VLOOKUP(T[[#This Row],[warehouse]],Table2[],2,FALSE),"--")</f>
        <v>--</v>
      </c>
    </row>
    <row r="3315" spans="1:18" x14ac:dyDescent="0.25">
      <c r="A3315" t="s">
        <v>423</v>
      </c>
      <c r="B3315" s="1">
        <v>44594</v>
      </c>
      <c r="C3315" t="s">
        <v>1984</v>
      </c>
      <c r="D3315" t="s">
        <v>100</v>
      </c>
      <c r="E3315" t="s">
        <v>51</v>
      </c>
      <c r="F3315" t="s">
        <v>546</v>
      </c>
      <c r="G3315" t="s">
        <v>1986</v>
      </c>
      <c r="H3315" t="s">
        <v>54</v>
      </c>
      <c r="I3315">
        <v>10000</v>
      </c>
      <c r="J3315">
        <v>0</v>
      </c>
      <c r="K3315">
        <v>1</v>
      </c>
      <c r="L3315" t="s">
        <v>693</v>
      </c>
      <c r="M3315" t="s">
        <v>533</v>
      </c>
      <c r="N3315">
        <v>15.5</v>
      </c>
      <c r="O3315">
        <v>0</v>
      </c>
      <c r="P3315" t="str">
        <f>IF(T[[#This Row],[qty_ordered]]&lt;&gt;T[[#This Row],[qty_received]],IF(T[[#This Row],[qty_received]]&gt;0,"Partial Received","Not Receviced"),"FullyReceived")</f>
        <v>Not Receviced</v>
      </c>
      <c r="Q3315" t="str">
        <f>IF(T[[#This Row],[qty_received]]&lt;&gt;T[[#This Row],[qty_invoiced]],IF(T[[#This Row],[qty_invoiced]]&gt;0,"Partial Invoiced","Not Invoiced"),"Fully Invoiced")</f>
        <v>Partial Invoiced</v>
      </c>
      <c r="R3315" t="str">
        <f>IFERROR(VLOOKUP(T[[#This Row],[warehouse]],Table2[],2,FALSE),"--")</f>
        <v>--</v>
      </c>
    </row>
    <row r="3316" spans="1:18" x14ac:dyDescent="0.25">
      <c r="A3316" t="s">
        <v>201</v>
      </c>
      <c r="B3316" s="1">
        <v>44635</v>
      </c>
      <c r="C3316" t="s">
        <v>1987</v>
      </c>
      <c r="D3316" t="s">
        <v>20</v>
      </c>
      <c r="E3316" t="s">
        <v>1220</v>
      </c>
      <c r="F3316" t="s">
        <v>1988</v>
      </c>
      <c r="G3316" t="s">
        <v>1989</v>
      </c>
      <c r="H3316" t="s">
        <v>123</v>
      </c>
      <c r="I3316">
        <v>20000</v>
      </c>
      <c r="J3316">
        <v>20000</v>
      </c>
      <c r="K3316">
        <v>20000</v>
      </c>
      <c r="L3316" t="s">
        <v>693</v>
      </c>
      <c r="M3316" t="s">
        <v>707</v>
      </c>
      <c r="N3316">
        <v>27888.707699999999</v>
      </c>
      <c r="O3316">
        <v>557774154</v>
      </c>
      <c r="P3316" t="str">
        <f>IF(T[[#This Row],[qty_ordered]]&lt;&gt;T[[#This Row],[qty_received]],IF(T[[#This Row],[qty_received]]&gt;0,"Partial Received","Not Receviced"),"FullyReceived")</f>
        <v>FullyReceived</v>
      </c>
      <c r="Q3316" t="str">
        <f>IF(T[[#This Row],[qty_received]]&lt;&gt;T[[#This Row],[qty_invoiced]],IF(T[[#This Row],[qty_invoiced]]&gt;0,"Partial Invoiced","Not Invoiced"),"Fully Invoiced")</f>
        <v>Fully Invoiced</v>
      </c>
      <c r="R3316" t="str">
        <f>IFERROR(VLOOKUP(T[[#This Row],[warehouse]],Table2[],2,FALSE),"--")</f>
        <v>Import Virtual Warehouse - PZU</v>
      </c>
    </row>
    <row r="3317" spans="1:18" x14ac:dyDescent="0.25">
      <c r="A3317" t="s">
        <v>1114</v>
      </c>
      <c r="B3317" s="1">
        <v>44635</v>
      </c>
      <c r="C3317" t="s">
        <v>1638</v>
      </c>
      <c r="D3317" t="s">
        <v>71</v>
      </c>
      <c r="E3317" t="s">
        <v>660</v>
      </c>
      <c r="F3317" t="s">
        <v>1451</v>
      </c>
      <c r="G3317" t="s">
        <v>1452</v>
      </c>
      <c r="H3317" t="s">
        <v>1087</v>
      </c>
      <c r="I3317">
        <v>6</v>
      </c>
      <c r="J3317">
        <v>0</v>
      </c>
      <c r="K3317">
        <v>0</v>
      </c>
      <c r="L3317" t="s">
        <v>25</v>
      </c>
      <c r="M3317" t="s">
        <v>1485</v>
      </c>
      <c r="N3317">
        <v>25520</v>
      </c>
      <c r="O3317">
        <v>0</v>
      </c>
      <c r="P3317" t="str">
        <f>IF(T[[#This Row],[qty_ordered]]&lt;&gt;T[[#This Row],[qty_received]],IF(T[[#This Row],[qty_received]]&gt;0,"Partial Received","Not Receviced"),"FullyReceived")</f>
        <v>Not Receviced</v>
      </c>
      <c r="Q3317" t="str">
        <f>IF(T[[#This Row],[qty_received]]&lt;&gt;T[[#This Row],[qty_invoiced]],IF(T[[#This Row],[qty_invoiced]]&gt;0,"Partial Invoiced","Not Invoiced"),"Fully Invoiced")</f>
        <v>Fully Invoiced</v>
      </c>
      <c r="R3317" t="str">
        <f>IFERROR(VLOOKUP(T[[#This Row],[warehouse]],Table2[],2,FALSE),"--")</f>
        <v>SLAUGHTER HOUSE</v>
      </c>
    </row>
    <row r="3318" spans="1:18" x14ac:dyDescent="0.25">
      <c r="A3318" t="s">
        <v>437</v>
      </c>
      <c r="B3318" s="1">
        <v>44614</v>
      </c>
      <c r="C3318" t="s">
        <v>1990</v>
      </c>
      <c r="D3318" t="s">
        <v>20</v>
      </c>
      <c r="E3318" t="s">
        <v>51</v>
      </c>
      <c r="F3318" t="s">
        <v>183</v>
      </c>
      <c r="G3318" t="s">
        <v>1991</v>
      </c>
      <c r="H3318" t="s">
        <v>54</v>
      </c>
      <c r="I3318">
        <v>232.2</v>
      </c>
      <c r="J3318">
        <v>0</v>
      </c>
      <c r="K3318">
        <v>1</v>
      </c>
      <c r="L3318" t="s">
        <v>693</v>
      </c>
      <c r="M3318" t="s">
        <v>533</v>
      </c>
      <c r="N3318">
        <v>6750</v>
      </c>
      <c r="O3318">
        <v>0</v>
      </c>
      <c r="P3318" t="str">
        <f>IF(T[[#This Row],[qty_ordered]]&lt;&gt;T[[#This Row],[qty_received]],IF(T[[#This Row],[qty_received]]&gt;0,"Partial Received","Not Receviced"),"FullyReceived")</f>
        <v>Not Receviced</v>
      </c>
      <c r="Q3318" t="str">
        <f>IF(T[[#This Row],[qty_received]]&lt;&gt;T[[#This Row],[qty_invoiced]],IF(T[[#This Row],[qty_invoiced]]&gt;0,"Partial Invoiced","Not Invoiced"),"Fully Invoiced")</f>
        <v>Partial Invoiced</v>
      </c>
      <c r="R3318" t="str">
        <f>IFERROR(VLOOKUP(T[[#This Row],[warehouse]],Table2[],2,FALSE),"--")</f>
        <v>--</v>
      </c>
    </row>
    <row r="3319" spans="1:18" x14ac:dyDescent="0.25">
      <c r="A3319" t="s">
        <v>437</v>
      </c>
      <c r="B3319" s="1">
        <v>44614</v>
      </c>
      <c r="C3319" t="s">
        <v>1990</v>
      </c>
      <c r="D3319" t="s">
        <v>71</v>
      </c>
      <c r="E3319" t="s">
        <v>51</v>
      </c>
      <c r="F3319" t="s">
        <v>183</v>
      </c>
      <c r="G3319" t="s">
        <v>1991</v>
      </c>
      <c r="H3319" t="s">
        <v>54</v>
      </c>
      <c r="I3319">
        <v>521.21</v>
      </c>
      <c r="J3319">
        <v>0</v>
      </c>
      <c r="K3319">
        <v>1</v>
      </c>
      <c r="L3319" t="s">
        <v>693</v>
      </c>
      <c r="M3319" t="s">
        <v>533</v>
      </c>
      <c r="N3319">
        <v>6750</v>
      </c>
      <c r="O3319">
        <v>0</v>
      </c>
      <c r="P3319" t="str">
        <f>IF(T[[#This Row],[qty_ordered]]&lt;&gt;T[[#This Row],[qty_received]],IF(T[[#This Row],[qty_received]]&gt;0,"Partial Received","Not Receviced"),"FullyReceived")</f>
        <v>Not Receviced</v>
      </c>
      <c r="Q3319" t="str">
        <f>IF(T[[#This Row],[qty_received]]&lt;&gt;T[[#This Row],[qty_invoiced]],IF(T[[#This Row],[qty_invoiced]]&gt;0,"Partial Invoiced","Not Invoiced"),"Fully Invoiced")</f>
        <v>Partial Invoiced</v>
      </c>
      <c r="R3319" t="str">
        <f>IFERROR(VLOOKUP(T[[#This Row],[warehouse]],Table2[],2,FALSE),"--")</f>
        <v>--</v>
      </c>
    </row>
    <row r="3320" spans="1:18" x14ac:dyDescent="0.25">
      <c r="A3320" t="s">
        <v>201</v>
      </c>
      <c r="B3320" s="1">
        <v>44614</v>
      </c>
      <c r="C3320" t="s">
        <v>1992</v>
      </c>
      <c r="D3320" t="s">
        <v>20</v>
      </c>
      <c r="E3320" t="s">
        <v>1220</v>
      </c>
      <c r="F3320" t="s">
        <v>1802</v>
      </c>
      <c r="G3320" t="s">
        <v>1803</v>
      </c>
      <c r="H3320" t="s">
        <v>123</v>
      </c>
      <c r="I3320">
        <v>550000</v>
      </c>
      <c r="J3320">
        <v>550000</v>
      </c>
      <c r="K3320">
        <v>550000</v>
      </c>
      <c r="L3320" t="s">
        <v>25</v>
      </c>
      <c r="M3320" t="s">
        <v>132</v>
      </c>
      <c r="N3320">
        <v>13889.335311000001</v>
      </c>
      <c r="O3320">
        <v>7639134421.0500002</v>
      </c>
      <c r="P3320" t="str">
        <f>IF(T[[#This Row],[qty_ordered]]&lt;&gt;T[[#This Row],[qty_received]],IF(T[[#This Row],[qty_received]]&gt;0,"Partial Received","Not Receviced"),"FullyReceived")</f>
        <v>FullyReceived</v>
      </c>
      <c r="Q3320" t="str">
        <f>IF(T[[#This Row],[qty_received]]&lt;&gt;T[[#This Row],[qty_invoiced]],IF(T[[#This Row],[qty_invoiced]]&gt;0,"Partial Invoiced","Not Invoiced"),"Fully Invoiced")</f>
        <v>Fully Invoiced</v>
      </c>
      <c r="R3320" t="str">
        <f>IFERROR(VLOOKUP(T[[#This Row],[warehouse]],Table2[],2,FALSE),"--")</f>
        <v>Import Virtual Warehouse - PZU</v>
      </c>
    </row>
    <row r="3321" spans="1:18" x14ac:dyDescent="0.25">
      <c r="A3321" t="s">
        <v>1118</v>
      </c>
      <c r="B3321" s="1">
        <v>44579</v>
      </c>
      <c r="C3321" t="s">
        <v>1682</v>
      </c>
      <c r="D3321" t="s">
        <v>100</v>
      </c>
      <c r="E3321" t="s">
        <v>660</v>
      </c>
      <c r="F3321" t="s">
        <v>1439</v>
      </c>
      <c r="G3321" t="s">
        <v>1440</v>
      </c>
      <c r="H3321" t="s">
        <v>1087</v>
      </c>
      <c r="I3321">
        <v>939</v>
      </c>
      <c r="J3321">
        <v>939</v>
      </c>
      <c r="K3321">
        <v>939</v>
      </c>
      <c r="L3321" t="s">
        <v>25</v>
      </c>
      <c r="M3321" t="s">
        <v>1485</v>
      </c>
      <c r="N3321">
        <v>29150</v>
      </c>
      <c r="O3321">
        <v>29022136.000241999</v>
      </c>
      <c r="P3321" t="str">
        <f>IF(T[[#This Row],[qty_ordered]]&lt;&gt;T[[#This Row],[qty_received]],IF(T[[#This Row],[qty_received]]&gt;0,"Partial Received","Not Receviced"),"FullyReceived")</f>
        <v>FullyReceived</v>
      </c>
      <c r="Q3321" t="str">
        <f>IF(T[[#This Row],[qty_received]]&lt;&gt;T[[#This Row],[qty_invoiced]],IF(T[[#This Row],[qty_invoiced]]&gt;0,"Partial Invoiced","Not Invoiced"),"Fully Invoiced")</f>
        <v>Fully Invoiced</v>
      </c>
      <c r="R3321" t="str">
        <f>IFERROR(VLOOKUP(T[[#This Row],[warehouse]],Table2[],2,FALSE),"--")</f>
        <v>SLAUGHTER HOUSE</v>
      </c>
    </row>
    <row r="3322" spans="1:18" x14ac:dyDescent="0.25">
      <c r="A3322" t="s">
        <v>228</v>
      </c>
      <c r="B3322" s="1">
        <v>44537</v>
      </c>
      <c r="C3322" t="s">
        <v>1492</v>
      </c>
      <c r="D3322" t="s">
        <v>76</v>
      </c>
      <c r="E3322" t="s">
        <v>66</v>
      </c>
      <c r="F3322" t="s">
        <v>196</v>
      </c>
      <c r="G3322" t="s">
        <v>197</v>
      </c>
      <c r="H3322" t="s">
        <v>24</v>
      </c>
      <c r="I3322">
        <v>2801.06</v>
      </c>
      <c r="J3322">
        <v>0</v>
      </c>
      <c r="K3322">
        <v>0</v>
      </c>
      <c r="L3322" t="s">
        <v>25</v>
      </c>
      <c r="M3322" t="s">
        <v>1485</v>
      </c>
      <c r="N3322">
        <v>142803.081691</v>
      </c>
      <c r="O3322">
        <v>0</v>
      </c>
      <c r="P3322" t="str">
        <f>IF(T[[#This Row],[qty_ordered]]&lt;&gt;T[[#This Row],[qty_received]],IF(T[[#This Row],[qty_received]]&gt;0,"Partial Received","Not Receviced"),"FullyReceived")</f>
        <v>Not Receviced</v>
      </c>
      <c r="Q3322" t="str">
        <f>IF(T[[#This Row],[qty_received]]&lt;&gt;T[[#This Row],[qty_invoiced]],IF(T[[#This Row],[qty_invoiced]]&gt;0,"Partial Invoiced","Not Invoiced"),"Fully Invoiced")</f>
        <v>Fully Invoiced</v>
      </c>
      <c r="R3322" t="str">
        <f>IFERROR(VLOOKUP(T[[#This Row],[warehouse]],Table2[],2,FALSE),"--")</f>
        <v>PZU Main Warehouse</v>
      </c>
    </row>
    <row r="3323" spans="1:18" x14ac:dyDescent="0.25">
      <c r="A3323" t="s">
        <v>955</v>
      </c>
      <c r="B3323" s="1">
        <v>44581</v>
      </c>
      <c r="C3323" t="s">
        <v>1971</v>
      </c>
      <c r="D3323" t="s">
        <v>71</v>
      </c>
      <c r="E3323" t="s">
        <v>66</v>
      </c>
      <c r="F3323" t="s">
        <v>526</v>
      </c>
      <c r="G3323" t="s">
        <v>472</v>
      </c>
      <c r="H3323" t="s">
        <v>123</v>
      </c>
      <c r="I3323">
        <v>22630.799999999999</v>
      </c>
      <c r="J3323">
        <v>0</v>
      </c>
      <c r="K3323">
        <v>0</v>
      </c>
      <c r="L3323" t="s">
        <v>25</v>
      </c>
      <c r="M3323" t="s">
        <v>1485</v>
      </c>
      <c r="N3323">
        <v>17675.026955000001</v>
      </c>
      <c r="O3323">
        <v>0</v>
      </c>
      <c r="P3323" t="str">
        <f>IF(T[[#This Row],[qty_ordered]]&lt;&gt;T[[#This Row],[qty_received]],IF(T[[#This Row],[qty_received]]&gt;0,"Partial Received","Not Receviced"),"FullyReceived")</f>
        <v>Not Receviced</v>
      </c>
      <c r="Q3323" t="str">
        <f>IF(T[[#This Row],[qty_received]]&lt;&gt;T[[#This Row],[qty_invoiced]],IF(T[[#This Row],[qty_invoiced]]&gt;0,"Partial Invoiced","Not Invoiced"),"Fully Invoiced")</f>
        <v>Fully Invoiced</v>
      </c>
      <c r="R3323" t="str">
        <f>IFERROR(VLOOKUP(T[[#This Row],[warehouse]],Table2[],2,FALSE),"--")</f>
        <v>PZU Main Warehouse</v>
      </c>
    </row>
    <row r="3324" spans="1:18" x14ac:dyDescent="0.25">
      <c r="A3324" t="s">
        <v>235</v>
      </c>
      <c r="B3324" s="1">
        <v>44573</v>
      </c>
      <c r="C3324" t="s">
        <v>1958</v>
      </c>
      <c r="D3324" t="s">
        <v>76</v>
      </c>
      <c r="E3324" t="s">
        <v>51</v>
      </c>
      <c r="F3324" t="s">
        <v>546</v>
      </c>
      <c r="G3324" t="s">
        <v>1993</v>
      </c>
      <c r="H3324" t="s">
        <v>54</v>
      </c>
      <c r="I3324">
        <v>10000</v>
      </c>
      <c r="J3324">
        <v>0</v>
      </c>
      <c r="K3324">
        <v>1</v>
      </c>
      <c r="L3324" t="s">
        <v>693</v>
      </c>
      <c r="M3324" t="s">
        <v>533</v>
      </c>
      <c r="N3324">
        <v>15.4</v>
      </c>
      <c r="O3324">
        <v>0</v>
      </c>
      <c r="P3324" t="str">
        <f>IF(T[[#This Row],[qty_ordered]]&lt;&gt;T[[#This Row],[qty_received]],IF(T[[#This Row],[qty_received]]&gt;0,"Partial Received","Not Receviced"),"FullyReceived")</f>
        <v>Not Receviced</v>
      </c>
      <c r="Q3324" t="str">
        <f>IF(T[[#This Row],[qty_received]]&lt;&gt;T[[#This Row],[qty_invoiced]],IF(T[[#This Row],[qty_invoiced]]&gt;0,"Partial Invoiced","Not Invoiced"),"Fully Invoiced")</f>
        <v>Partial Invoiced</v>
      </c>
      <c r="R3324" t="str">
        <f>IFERROR(VLOOKUP(T[[#This Row],[warehouse]],Table2[],2,FALSE),"--")</f>
        <v>--</v>
      </c>
    </row>
    <row r="3325" spans="1:18" x14ac:dyDescent="0.25">
      <c r="A3325" t="s">
        <v>1118</v>
      </c>
      <c r="B3325" s="1">
        <v>44579</v>
      </c>
      <c r="C3325" t="s">
        <v>1682</v>
      </c>
      <c r="D3325" t="s">
        <v>88</v>
      </c>
      <c r="E3325" t="s">
        <v>660</v>
      </c>
      <c r="F3325" t="s">
        <v>1439</v>
      </c>
      <c r="G3325" t="s">
        <v>1440</v>
      </c>
      <c r="H3325" t="s">
        <v>1087</v>
      </c>
      <c r="I3325">
        <v>913</v>
      </c>
      <c r="J3325">
        <v>913</v>
      </c>
      <c r="K3325">
        <v>913</v>
      </c>
      <c r="L3325" t="s">
        <v>25</v>
      </c>
      <c r="M3325" t="s">
        <v>1485</v>
      </c>
      <c r="N3325">
        <v>29150</v>
      </c>
      <c r="O3325">
        <v>29244775.999736</v>
      </c>
      <c r="P3325" t="str">
        <f>IF(T[[#This Row],[qty_ordered]]&lt;&gt;T[[#This Row],[qty_received]],IF(T[[#This Row],[qty_received]]&gt;0,"Partial Received","Not Receviced"),"FullyReceived")</f>
        <v>FullyReceived</v>
      </c>
      <c r="Q3325" t="str">
        <f>IF(T[[#This Row],[qty_received]]&lt;&gt;T[[#This Row],[qty_invoiced]],IF(T[[#This Row],[qty_invoiced]]&gt;0,"Partial Invoiced","Not Invoiced"),"Fully Invoiced")</f>
        <v>Fully Invoiced</v>
      </c>
      <c r="R3325" t="str">
        <f>IFERROR(VLOOKUP(T[[#This Row],[warehouse]],Table2[],2,FALSE),"--")</f>
        <v>SLAUGHTER HOUSE</v>
      </c>
    </row>
    <row r="3326" spans="1:18" x14ac:dyDescent="0.25">
      <c r="A3326" t="s">
        <v>1925</v>
      </c>
      <c r="B3326" s="1">
        <v>44482</v>
      </c>
      <c r="C3326" t="s">
        <v>1926</v>
      </c>
      <c r="D3326" t="s">
        <v>71</v>
      </c>
      <c r="E3326" t="s">
        <v>51</v>
      </c>
      <c r="F3326" t="s">
        <v>52</v>
      </c>
      <c r="G3326" t="s">
        <v>1796</v>
      </c>
      <c r="H3326" t="s">
        <v>54</v>
      </c>
      <c r="I3326">
        <v>1</v>
      </c>
      <c r="J3326">
        <v>0</v>
      </c>
      <c r="K3326">
        <v>0</v>
      </c>
      <c r="L3326" t="s">
        <v>25</v>
      </c>
      <c r="M3326" t="s">
        <v>1485</v>
      </c>
      <c r="N3326">
        <v>170000000</v>
      </c>
      <c r="O3326">
        <v>0</v>
      </c>
      <c r="P3326" t="str">
        <f>IF(T[[#This Row],[qty_ordered]]&lt;&gt;T[[#This Row],[qty_received]],IF(T[[#This Row],[qty_received]]&gt;0,"Partial Received","Not Receviced"),"FullyReceived")</f>
        <v>Not Receviced</v>
      </c>
      <c r="Q3326" t="str">
        <f>IF(T[[#This Row],[qty_received]]&lt;&gt;T[[#This Row],[qty_invoiced]],IF(T[[#This Row],[qty_invoiced]]&gt;0,"Partial Invoiced","Not Invoiced"),"Fully Invoiced")</f>
        <v>Fully Invoiced</v>
      </c>
      <c r="R3326" t="str">
        <f>IFERROR(VLOOKUP(T[[#This Row],[warehouse]],Table2[],2,FALSE),"--")</f>
        <v>--</v>
      </c>
    </row>
    <row r="3327" spans="1:18" x14ac:dyDescent="0.25">
      <c r="A3327" t="s">
        <v>725</v>
      </c>
      <c r="B3327" s="1">
        <v>44644</v>
      </c>
      <c r="C3327" t="s">
        <v>1994</v>
      </c>
      <c r="D3327" t="s">
        <v>100</v>
      </c>
      <c r="E3327" t="s">
        <v>723</v>
      </c>
      <c r="F3327" t="s">
        <v>219</v>
      </c>
      <c r="G3327" t="s">
        <v>724</v>
      </c>
      <c r="H3327" t="s">
        <v>221</v>
      </c>
      <c r="I3327">
        <v>108819.458</v>
      </c>
      <c r="J3327">
        <v>0</v>
      </c>
      <c r="K3327">
        <v>0</v>
      </c>
      <c r="L3327" t="s">
        <v>693</v>
      </c>
      <c r="M3327" t="s">
        <v>707</v>
      </c>
      <c r="N3327">
        <v>33174.929680000001</v>
      </c>
      <c r="O3327">
        <v>0</v>
      </c>
      <c r="P3327" t="str">
        <f>IF(T[[#This Row],[qty_ordered]]&lt;&gt;T[[#This Row],[qty_received]],IF(T[[#This Row],[qty_received]]&gt;0,"Partial Received","Not Receviced"),"FullyReceived")</f>
        <v>Not Receviced</v>
      </c>
      <c r="Q3327" t="str">
        <f>IF(T[[#This Row],[qty_received]]&lt;&gt;T[[#This Row],[qty_invoiced]],IF(T[[#This Row],[qty_invoiced]]&gt;0,"Partial Invoiced","Not Invoiced"),"Fully Invoiced")</f>
        <v>Fully Invoiced</v>
      </c>
      <c r="R3327" t="str">
        <f>IFERROR(VLOOKUP(T[[#This Row],[warehouse]],Table2[],2,FALSE),"--")</f>
        <v>YELLOW BEANS</v>
      </c>
    </row>
    <row r="3328" spans="1:18" x14ac:dyDescent="0.25">
      <c r="A3328" t="s">
        <v>423</v>
      </c>
      <c r="B3328" s="1">
        <v>44594</v>
      </c>
      <c r="C3328" t="s">
        <v>1984</v>
      </c>
      <c r="D3328" t="s">
        <v>88</v>
      </c>
      <c r="E3328" t="s">
        <v>51</v>
      </c>
      <c r="F3328" t="s">
        <v>546</v>
      </c>
      <c r="G3328" t="s">
        <v>1995</v>
      </c>
      <c r="H3328" t="s">
        <v>54</v>
      </c>
      <c r="I3328">
        <v>10000</v>
      </c>
      <c r="J3328">
        <v>0</v>
      </c>
      <c r="K3328">
        <v>1</v>
      </c>
      <c r="L3328" t="s">
        <v>693</v>
      </c>
      <c r="M3328" t="s">
        <v>533</v>
      </c>
      <c r="N3328">
        <v>15.5</v>
      </c>
      <c r="O3328">
        <v>0</v>
      </c>
      <c r="P3328" t="str">
        <f>IF(T[[#This Row],[qty_ordered]]&lt;&gt;T[[#This Row],[qty_received]],IF(T[[#This Row],[qty_received]]&gt;0,"Partial Received","Not Receviced"),"FullyReceived")</f>
        <v>Not Receviced</v>
      </c>
      <c r="Q3328" t="str">
        <f>IF(T[[#This Row],[qty_received]]&lt;&gt;T[[#This Row],[qty_invoiced]],IF(T[[#This Row],[qty_invoiced]]&gt;0,"Partial Invoiced","Not Invoiced"),"Fully Invoiced")</f>
        <v>Partial Invoiced</v>
      </c>
      <c r="R3328" t="str">
        <f>IFERROR(VLOOKUP(T[[#This Row],[warehouse]],Table2[],2,FALSE),"--")</f>
        <v>--</v>
      </c>
    </row>
    <row r="3329" spans="1:18" x14ac:dyDescent="0.25">
      <c r="A3329" t="s">
        <v>252</v>
      </c>
      <c r="B3329" s="1">
        <v>44531</v>
      </c>
      <c r="C3329" t="s">
        <v>1491</v>
      </c>
      <c r="D3329" t="s">
        <v>322</v>
      </c>
      <c r="E3329" t="s">
        <v>51</v>
      </c>
      <c r="F3329" t="s">
        <v>183</v>
      </c>
      <c r="G3329" t="s">
        <v>1844</v>
      </c>
      <c r="H3329" t="s">
        <v>54</v>
      </c>
      <c r="I3329">
        <v>600</v>
      </c>
      <c r="J3329">
        <v>0</v>
      </c>
      <c r="K3329">
        <v>1</v>
      </c>
      <c r="L3329" t="s">
        <v>693</v>
      </c>
      <c r="M3329" t="s">
        <v>533</v>
      </c>
      <c r="N3329">
        <v>6250</v>
      </c>
      <c r="O3329">
        <v>0</v>
      </c>
      <c r="P3329" t="str">
        <f>IF(T[[#This Row],[qty_ordered]]&lt;&gt;T[[#This Row],[qty_received]],IF(T[[#This Row],[qty_received]]&gt;0,"Partial Received","Not Receviced"),"FullyReceived")</f>
        <v>Not Receviced</v>
      </c>
      <c r="Q3329" t="str">
        <f>IF(T[[#This Row],[qty_received]]&lt;&gt;T[[#This Row],[qty_invoiced]],IF(T[[#This Row],[qty_invoiced]]&gt;0,"Partial Invoiced","Not Invoiced"),"Fully Invoiced")</f>
        <v>Partial Invoiced</v>
      </c>
      <c r="R3329" t="str">
        <f>IFERROR(VLOOKUP(T[[#This Row],[warehouse]],Table2[],2,FALSE),"--")</f>
        <v>--</v>
      </c>
    </row>
    <row r="3330" spans="1:18" x14ac:dyDescent="0.25">
      <c r="A3330" t="s">
        <v>242</v>
      </c>
      <c r="B3330" s="1">
        <v>44581</v>
      </c>
      <c r="C3330" t="s">
        <v>1963</v>
      </c>
      <c r="D3330" t="s">
        <v>74</v>
      </c>
      <c r="E3330" t="s">
        <v>405</v>
      </c>
      <c r="F3330" t="s">
        <v>244</v>
      </c>
      <c r="G3330" t="s">
        <v>245</v>
      </c>
      <c r="H3330" t="s">
        <v>24</v>
      </c>
      <c r="I3330">
        <v>105.62</v>
      </c>
      <c r="J3330">
        <v>105.62</v>
      </c>
      <c r="K3330">
        <v>105.62</v>
      </c>
      <c r="L3330" t="s">
        <v>25</v>
      </c>
      <c r="M3330" t="s">
        <v>1485</v>
      </c>
      <c r="N3330">
        <v>850000</v>
      </c>
      <c r="O3330">
        <v>89777000</v>
      </c>
      <c r="P3330" t="str">
        <f>IF(T[[#This Row],[qty_ordered]]&lt;&gt;T[[#This Row],[qty_received]],IF(T[[#This Row],[qty_received]]&gt;0,"Partial Received","Not Receviced"),"FullyReceived")</f>
        <v>FullyReceived</v>
      </c>
      <c r="Q3330" t="str">
        <f>IF(T[[#This Row],[qty_received]]&lt;&gt;T[[#This Row],[qty_invoiced]],IF(T[[#This Row],[qty_invoiced]]&gt;0,"Partial Invoiced","Not Invoiced"),"Fully Invoiced")</f>
        <v>Fully Invoiced</v>
      </c>
      <c r="R3330" t="str">
        <f>IFERROR(VLOOKUP(T[[#This Row],[warehouse]],Table2[],2,FALSE),"--")</f>
        <v>GINNING ISHRAG-MDNI</v>
      </c>
    </row>
    <row r="3331" spans="1:18" x14ac:dyDescent="0.25">
      <c r="A3331" t="s">
        <v>242</v>
      </c>
      <c r="B3331" s="1">
        <v>44581</v>
      </c>
      <c r="C3331" t="s">
        <v>1552</v>
      </c>
      <c r="D3331" t="s">
        <v>74</v>
      </c>
      <c r="E3331" t="s">
        <v>405</v>
      </c>
      <c r="F3331" t="s">
        <v>244</v>
      </c>
      <c r="G3331" t="s">
        <v>245</v>
      </c>
      <c r="H3331" t="s">
        <v>24</v>
      </c>
      <c r="I3331">
        <v>263.45</v>
      </c>
      <c r="J3331">
        <v>263.45</v>
      </c>
      <c r="K3331">
        <v>263.45</v>
      </c>
      <c r="L3331" t="s">
        <v>25</v>
      </c>
      <c r="M3331" t="s">
        <v>1485</v>
      </c>
      <c r="N3331">
        <v>850000</v>
      </c>
      <c r="O3331">
        <v>223932500</v>
      </c>
      <c r="P3331" t="str">
        <f>IF(T[[#This Row],[qty_ordered]]&lt;&gt;T[[#This Row],[qty_received]],IF(T[[#This Row],[qty_received]]&gt;0,"Partial Received","Not Receviced"),"FullyReceived")</f>
        <v>FullyReceived</v>
      </c>
      <c r="Q3331" t="str">
        <f>IF(T[[#This Row],[qty_received]]&lt;&gt;T[[#This Row],[qty_invoiced]],IF(T[[#This Row],[qty_invoiced]]&gt;0,"Partial Invoiced","Not Invoiced"),"Fully Invoiced")</f>
        <v>Fully Invoiced</v>
      </c>
      <c r="R3331" t="str">
        <f>IFERROR(VLOOKUP(T[[#This Row],[warehouse]],Table2[],2,FALSE),"--")</f>
        <v>GINNING ISHRAG-MDNI</v>
      </c>
    </row>
    <row r="3332" spans="1:18" x14ac:dyDescent="0.25">
      <c r="A3332" t="s">
        <v>423</v>
      </c>
      <c r="B3332" s="1">
        <v>44546</v>
      </c>
      <c r="C3332" t="s">
        <v>1500</v>
      </c>
      <c r="D3332" t="s">
        <v>212</v>
      </c>
      <c r="E3332" t="s">
        <v>51</v>
      </c>
      <c r="F3332" t="s">
        <v>546</v>
      </c>
      <c r="G3332" t="s">
        <v>1996</v>
      </c>
      <c r="H3332" t="s">
        <v>54</v>
      </c>
      <c r="I3332">
        <v>5000</v>
      </c>
      <c r="J3332">
        <v>0</v>
      </c>
      <c r="K3332">
        <v>1</v>
      </c>
      <c r="L3332" t="s">
        <v>693</v>
      </c>
      <c r="M3332" t="s">
        <v>533</v>
      </c>
      <c r="N3332">
        <v>44</v>
      </c>
      <c r="O3332">
        <v>0</v>
      </c>
      <c r="P3332" t="str">
        <f>IF(T[[#This Row],[qty_ordered]]&lt;&gt;T[[#This Row],[qty_received]],IF(T[[#This Row],[qty_received]]&gt;0,"Partial Received","Not Receviced"),"FullyReceived")</f>
        <v>Not Receviced</v>
      </c>
      <c r="Q3332" t="str">
        <f>IF(T[[#This Row],[qty_received]]&lt;&gt;T[[#This Row],[qty_invoiced]],IF(T[[#This Row],[qty_invoiced]]&gt;0,"Partial Invoiced","Not Invoiced"),"Fully Invoiced")</f>
        <v>Partial Invoiced</v>
      </c>
      <c r="R3332" t="str">
        <f>IFERROR(VLOOKUP(T[[#This Row],[warehouse]],Table2[],2,FALSE),"--")</f>
        <v>--</v>
      </c>
    </row>
    <row r="3333" spans="1:18" x14ac:dyDescent="0.25">
      <c r="A3333" t="s">
        <v>1591</v>
      </c>
      <c r="B3333" s="1">
        <v>44594</v>
      </c>
      <c r="C3333" t="s">
        <v>1592</v>
      </c>
      <c r="D3333" t="s">
        <v>74</v>
      </c>
      <c r="E3333" t="s">
        <v>51</v>
      </c>
      <c r="F3333" t="s">
        <v>52</v>
      </c>
      <c r="G3333" t="s">
        <v>53</v>
      </c>
      <c r="H3333" t="s">
        <v>54</v>
      </c>
      <c r="I3333">
        <v>115.85</v>
      </c>
      <c r="J3333">
        <v>0</v>
      </c>
      <c r="K3333">
        <v>1</v>
      </c>
      <c r="L3333" t="s">
        <v>693</v>
      </c>
      <c r="M3333" t="s">
        <v>132</v>
      </c>
      <c r="N3333">
        <v>39879</v>
      </c>
      <c r="O3333">
        <v>0</v>
      </c>
      <c r="P3333" t="str">
        <f>IF(T[[#This Row],[qty_ordered]]&lt;&gt;T[[#This Row],[qty_received]],IF(T[[#This Row],[qty_received]]&gt;0,"Partial Received","Not Receviced"),"FullyReceived")</f>
        <v>Not Receviced</v>
      </c>
      <c r="Q3333" t="str">
        <f>IF(T[[#This Row],[qty_received]]&lt;&gt;T[[#This Row],[qty_invoiced]],IF(T[[#This Row],[qty_invoiced]]&gt;0,"Partial Invoiced","Not Invoiced"),"Fully Invoiced")</f>
        <v>Partial Invoiced</v>
      </c>
      <c r="R3333" t="str">
        <f>IFERROR(VLOOKUP(T[[#This Row],[warehouse]],Table2[],2,FALSE),"--")</f>
        <v>--</v>
      </c>
    </row>
    <row r="3334" spans="1:18" x14ac:dyDescent="0.25">
      <c r="A3334" t="s">
        <v>1591</v>
      </c>
      <c r="B3334" s="1">
        <v>44594</v>
      </c>
      <c r="C3334" t="s">
        <v>1592</v>
      </c>
      <c r="D3334" t="s">
        <v>76</v>
      </c>
      <c r="E3334" t="s">
        <v>51</v>
      </c>
      <c r="F3334" t="s">
        <v>52</v>
      </c>
      <c r="G3334" t="s">
        <v>53</v>
      </c>
      <c r="H3334" t="s">
        <v>54</v>
      </c>
      <c r="I3334">
        <v>19.84</v>
      </c>
      <c r="J3334">
        <v>0</v>
      </c>
      <c r="K3334">
        <v>1</v>
      </c>
      <c r="L3334" t="s">
        <v>693</v>
      </c>
      <c r="M3334" t="s">
        <v>132</v>
      </c>
      <c r="N3334">
        <v>39879</v>
      </c>
      <c r="O3334">
        <v>0</v>
      </c>
      <c r="P3334" t="str">
        <f>IF(T[[#This Row],[qty_ordered]]&lt;&gt;T[[#This Row],[qty_received]],IF(T[[#This Row],[qty_received]]&gt;0,"Partial Received","Not Receviced"),"FullyReceived")</f>
        <v>Not Receviced</v>
      </c>
      <c r="Q3334" t="str">
        <f>IF(T[[#This Row],[qty_received]]&lt;&gt;T[[#This Row],[qty_invoiced]],IF(T[[#This Row],[qty_invoiced]]&gt;0,"Partial Invoiced","Not Invoiced"),"Fully Invoiced")</f>
        <v>Partial Invoiced</v>
      </c>
      <c r="R3334" t="str">
        <f>IFERROR(VLOOKUP(T[[#This Row],[warehouse]],Table2[],2,FALSE),"--")</f>
        <v>--</v>
      </c>
    </row>
    <row r="3335" spans="1:18" x14ac:dyDescent="0.25">
      <c r="A3335" t="s">
        <v>423</v>
      </c>
      <c r="B3335" s="1">
        <v>44546</v>
      </c>
      <c r="C3335" t="s">
        <v>1500</v>
      </c>
      <c r="D3335" t="s">
        <v>322</v>
      </c>
      <c r="E3335" t="s">
        <v>51</v>
      </c>
      <c r="F3335" t="s">
        <v>818</v>
      </c>
      <c r="G3335" t="s">
        <v>1997</v>
      </c>
      <c r="H3335" t="s">
        <v>54</v>
      </c>
      <c r="I3335">
        <v>5</v>
      </c>
      <c r="J3335">
        <v>0</v>
      </c>
      <c r="K3335">
        <v>1</v>
      </c>
      <c r="L3335" t="s">
        <v>693</v>
      </c>
      <c r="M3335" t="s">
        <v>533</v>
      </c>
      <c r="N3335">
        <v>3500</v>
      </c>
      <c r="O3335">
        <v>0</v>
      </c>
      <c r="P3335" t="str">
        <f>IF(T[[#This Row],[qty_ordered]]&lt;&gt;T[[#This Row],[qty_received]],IF(T[[#This Row],[qty_received]]&gt;0,"Partial Received","Not Receviced"),"FullyReceived")</f>
        <v>Not Receviced</v>
      </c>
      <c r="Q3335" t="str">
        <f>IF(T[[#This Row],[qty_received]]&lt;&gt;T[[#This Row],[qty_invoiced]],IF(T[[#This Row],[qty_invoiced]]&gt;0,"Partial Invoiced","Not Invoiced"),"Fully Invoiced")</f>
        <v>Partial Invoiced</v>
      </c>
      <c r="R3335" t="str">
        <f>IFERROR(VLOOKUP(T[[#This Row],[warehouse]],Table2[],2,FALSE),"--")</f>
        <v>--</v>
      </c>
    </row>
    <row r="3336" spans="1:18" x14ac:dyDescent="0.25">
      <c r="A3336" t="s">
        <v>1059</v>
      </c>
      <c r="B3336" s="1">
        <v>44594</v>
      </c>
      <c r="C3336" t="s">
        <v>1560</v>
      </c>
      <c r="D3336" t="s">
        <v>325</v>
      </c>
      <c r="E3336" t="s">
        <v>51</v>
      </c>
      <c r="F3336" t="s">
        <v>164</v>
      </c>
      <c r="G3336" t="s">
        <v>1998</v>
      </c>
      <c r="H3336" t="s">
        <v>54</v>
      </c>
      <c r="I3336">
        <v>32880</v>
      </c>
      <c r="J3336">
        <v>0</v>
      </c>
      <c r="K3336">
        <v>1</v>
      </c>
      <c r="L3336" t="s">
        <v>693</v>
      </c>
      <c r="M3336" t="s">
        <v>533</v>
      </c>
      <c r="N3336">
        <v>75</v>
      </c>
      <c r="O3336">
        <v>0</v>
      </c>
      <c r="P3336" t="str">
        <f>IF(T[[#This Row],[qty_ordered]]&lt;&gt;T[[#This Row],[qty_received]],IF(T[[#This Row],[qty_received]]&gt;0,"Partial Received","Not Receviced"),"FullyReceived")</f>
        <v>Not Receviced</v>
      </c>
      <c r="Q3336" t="str">
        <f>IF(T[[#This Row],[qty_received]]&lt;&gt;T[[#This Row],[qty_invoiced]],IF(T[[#This Row],[qty_invoiced]]&gt;0,"Partial Invoiced","Not Invoiced"),"Fully Invoiced")</f>
        <v>Partial Invoiced</v>
      </c>
      <c r="R3336" t="str">
        <f>IFERROR(VLOOKUP(T[[#This Row],[warehouse]],Table2[],2,FALSE),"--")</f>
        <v>--</v>
      </c>
    </row>
    <row r="3337" spans="1:18" x14ac:dyDescent="0.25">
      <c r="A3337" t="s">
        <v>1059</v>
      </c>
      <c r="B3337" s="1">
        <v>44594</v>
      </c>
      <c r="C3337" t="s">
        <v>1560</v>
      </c>
      <c r="D3337" t="s">
        <v>451</v>
      </c>
      <c r="E3337" t="s">
        <v>51</v>
      </c>
      <c r="F3337" t="s">
        <v>267</v>
      </c>
      <c r="G3337" t="s">
        <v>1999</v>
      </c>
      <c r="H3337" t="s">
        <v>54</v>
      </c>
      <c r="I3337">
        <v>60000</v>
      </c>
      <c r="J3337">
        <v>0</v>
      </c>
      <c r="K3337">
        <v>1</v>
      </c>
      <c r="L3337" t="s">
        <v>693</v>
      </c>
      <c r="M3337" t="s">
        <v>533</v>
      </c>
      <c r="N3337">
        <v>120</v>
      </c>
      <c r="O3337">
        <v>0</v>
      </c>
      <c r="P3337" t="str">
        <f>IF(T[[#This Row],[qty_ordered]]&lt;&gt;T[[#This Row],[qty_received]],IF(T[[#This Row],[qty_received]]&gt;0,"Partial Received","Not Receviced"),"FullyReceived")</f>
        <v>Not Receviced</v>
      </c>
      <c r="Q3337" t="str">
        <f>IF(T[[#This Row],[qty_received]]&lt;&gt;T[[#This Row],[qty_invoiced]],IF(T[[#This Row],[qty_invoiced]]&gt;0,"Partial Invoiced","Not Invoiced"),"Fully Invoiced")</f>
        <v>Partial Invoiced</v>
      </c>
      <c r="R3337" t="str">
        <f>IFERROR(VLOOKUP(T[[#This Row],[warehouse]],Table2[],2,FALSE),"--")</f>
        <v>--</v>
      </c>
    </row>
    <row r="3338" spans="1:18" x14ac:dyDescent="0.25">
      <c r="A3338" t="s">
        <v>1059</v>
      </c>
      <c r="B3338" s="1">
        <v>44594</v>
      </c>
      <c r="C3338" t="s">
        <v>1560</v>
      </c>
      <c r="D3338" t="s">
        <v>615</v>
      </c>
      <c r="E3338" t="s">
        <v>51</v>
      </c>
      <c r="F3338" t="s">
        <v>753</v>
      </c>
      <c r="G3338" t="s">
        <v>2000</v>
      </c>
      <c r="H3338" t="s">
        <v>54</v>
      </c>
      <c r="I3338">
        <v>3225</v>
      </c>
      <c r="J3338">
        <v>0</v>
      </c>
      <c r="K3338">
        <v>1</v>
      </c>
      <c r="L3338" t="s">
        <v>693</v>
      </c>
      <c r="M3338" t="s">
        <v>533</v>
      </c>
      <c r="N3338">
        <v>1107.8201550000001</v>
      </c>
      <c r="O3338">
        <v>0</v>
      </c>
      <c r="P3338" t="str">
        <f>IF(T[[#This Row],[qty_ordered]]&lt;&gt;T[[#This Row],[qty_received]],IF(T[[#This Row],[qty_received]]&gt;0,"Partial Received","Not Receviced"),"FullyReceived")</f>
        <v>Not Receviced</v>
      </c>
      <c r="Q3338" t="str">
        <f>IF(T[[#This Row],[qty_received]]&lt;&gt;T[[#This Row],[qty_invoiced]],IF(T[[#This Row],[qty_invoiced]]&gt;0,"Partial Invoiced","Not Invoiced"),"Fully Invoiced")</f>
        <v>Partial Invoiced</v>
      </c>
      <c r="R3338" t="str">
        <f>IFERROR(VLOOKUP(T[[#This Row],[warehouse]],Table2[],2,FALSE),"--")</f>
        <v>--</v>
      </c>
    </row>
    <row r="3339" spans="1:18" x14ac:dyDescent="0.25">
      <c r="A3339" t="s">
        <v>1059</v>
      </c>
      <c r="B3339" s="1">
        <v>44594</v>
      </c>
      <c r="C3339" t="s">
        <v>1560</v>
      </c>
      <c r="D3339" t="s">
        <v>752</v>
      </c>
      <c r="E3339" t="s">
        <v>51</v>
      </c>
      <c r="F3339" t="s">
        <v>254</v>
      </c>
      <c r="G3339" t="s">
        <v>2001</v>
      </c>
      <c r="H3339" t="s">
        <v>54</v>
      </c>
      <c r="I3339">
        <v>86900</v>
      </c>
      <c r="J3339">
        <v>0</v>
      </c>
      <c r="K3339">
        <v>1</v>
      </c>
      <c r="L3339" t="s">
        <v>693</v>
      </c>
      <c r="M3339" t="s">
        <v>533</v>
      </c>
      <c r="N3339">
        <v>50</v>
      </c>
      <c r="O3339">
        <v>0</v>
      </c>
      <c r="P3339" t="str">
        <f>IF(T[[#This Row],[qty_ordered]]&lt;&gt;T[[#This Row],[qty_received]],IF(T[[#This Row],[qty_received]]&gt;0,"Partial Received","Not Receviced"),"FullyReceived")</f>
        <v>Not Receviced</v>
      </c>
      <c r="Q3339" t="str">
        <f>IF(T[[#This Row],[qty_received]]&lt;&gt;T[[#This Row],[qty_invoiced]],IF(T[[#This Row],[qty_invoiced]]&gt;0,"Partial Invoiced","Not Invoiced"),"Fully Invoiced")</f>
        <v>Partial Invoiced</v>
      </c>
      <c r="R3339" t="str">
        <f>IFERROR(VLOOKUP(T[[#This Row],[warehouse]],Table2[],2,FALSE),"--")</f>
        <v>--</v>
      </c>
    </row>
    <row r="3340" spans="1:18" x14ac:dyDescent="0.25">
      <c r="A3340" t="s">
        <v>423</v>
      </c>
      <c r="B3340" s="1">
        <v>44594</v>
      </c>
      <c r="C3340" t="s">
        <v>1984</v>
      </c>
      <c r="D3340" t="s">
        <v>74</v>
      </c>
      <c r="E3340" t="s">
        <v>51</v>
      </c>
      <c r="F3340" t="s">
        <v>546</v>
      </c>
      <c r="G3340" t="s">
        <v>2002</v>
      </c>
      <c r="H3340" t="s">
        <v>54</v>
      </c>
      <c r="I3340">
        <v>10000</v>
      </c>
      <c r="J3340">
        <v>0</v>
      </c>
      <c r="K3340">
        <v>1</v>
      </c>
      <c r="L3340" t="s">
        <v>693</v>
      </c>
      <c r="M3340" t="s">
        <v>533</v>
      </c>
      <c r="N3340">
        <v>15.5</v>
      </c>
      <c r="O3340">
        <v>0</v>
      </c>
      <c r="P3340" t="str">
        <f>IF(T[[#This Row],[qty_ordered]]&lt;&gt;T[[#This Row],[qty_received]],IF(T[[#This Row],[qty_received]]&gt;0,"Partial Received","Not Receviced"),"FullyReceived")</f>
        <v>Not Receviced</v>
      </c>
      <c r="Q3340" t="str">
        <f>IF(T[[#This Row],[qty_received]]&lt;&gt;T[[#This Row],[qty_invoiced]],IF(T[[#This Row],[qty_invoiced]]&gt;0,"Partial Invoiced","Not Invoiced"),"Fully Invoiced")</f>
        <v>Partial Invoiced</v>
      </c>
      <c r="R3340" t="str">
        <f>IFERROR(VLOOKUP(T[[#This Row],[warehouse]],Table2[],2,FALSE),"--")</f>
        <v>--</v>
      </c>
    </row>
    <row r="3341" spans="1:18" x14ac:dyDescent="0.25">
      <c r="A3341" t="s">
        <v>201</v>
      </c>
      <c r="B3341" s="1">
        <v>44593</v>
      </c>
      <c r="C3341" t="s">
        <v>2003</v>
      </c>
      <c r="D3341" t="s">
        <v>100</v>
      </c>
      <c r="E3341" t="s">
        <v>51</v>
      </c>
      <c r="F3341" t="s">
        <v>52</v>
      </c>
      <c r="G3341" t="s">
        <v>1796</v>
      </c>
      <c r="H3341" t="s">
        <v>54</v>
      </c>
      <c r="I3341">
        <v>1</v>
      </c>
      <c r="J3341">
        <v>0</v>
      </c>
      <c r="K3341">
        <v>1</v>
      </c>
      <c r="L3341" t="s">
        <v>693</v>
      </c>
      <c r="M3341" t="s">
        <v>132</v>
      </c>
      <c r="N3341">
        <v>1189402022.65025</v>
      </c>
      <c r="O3341">
        <v>0</v>
      </c>
      <c r="P3341" t="str">
        <f>IF(T[[#This Row],[qty_ordered]]&lt;&gt;T[[#This Row],[qty_received]],IF(T[[#This Row],[qty_received]]&gt;0,"Partial Received","Not Receviced"),"FullyReceived")</f>
        <v>Not Receviced</v>
      </c>
      <c r="Q3341" t="str">
        <f>IF(T[[#This Row],[qty_received]]&lt;&gt;T[[#This Row],[qty_invoiced]],IF(T[[#This Row],[qty_invoiced]]&gt;0,"Partial Invoiced","Not Invoiced"),"Fully Invoiced")</f>
        <v>Partial Invoiced</v>
      </c>
      <c r="R3341" t="str">
        <f>IFERROR(VLOOKUP(T[[#This Row],[warehouse]],Table2[],2,FALSE),"--")</f>
        <v>--</v>
      </c>
    </row>
    <row r="3342" spans="1:18" x14ac:dyDescent="0.25">
      <c r="A3342" t="s">
        <v>1059</v>
      </c>
      <c r="B3342" s="1">
        <v>44594</v>
      </c>
      <c r="C3342" t="s">
        <v>1560</v>
      </c>
      <c r="D3342" t="s">
        <v>452</v>
      </c>
      <c r="E3342" t="s">
        <v>51</v>
      </c>
      <c r="F3342" t="s">
        <v>183</v>
      </c>
      <c r="G3342" t="s">
        <v>2004</v>
      </c>
      <c r="H3342" t="s">
        <v>54</v>
      </c>
      <c r="I3342">
        <v>3225</v>
      </c>
      <c r="J3342">
        <v>0</v>
      </c>
      <c r="K3342">
        <v>1</v>
      </c>
      <c r="L3342" t="s">
        <v>693</v>
      </c>
      <c r="M3342" t="s">
        <v>533</v>
      </c>
      <c r="N3342">
        <v>2000</v>
      </c>
      <c r="O3342">
        <v>0</v>
      </c>
      <c r="P3342" t="str">
        <f>IF(T[[#This Row],[qty_ordered]]&lt;&gt;T[[#This Row],[qty_received]],IF(T[[#This Row],[qty_received]]&gt;0,"Partial Received","Not Receviced"),"FullyReceived")</f>
        <v>Not Receviced</v>
      </c>
      <c r="Q3342" t="str">
        <f>IF(T[[#This Row],[qty_received]]&lt;&gt;T[[#This Row],[qty_invoiced]],IF(T[[#This Row],[qty_invoiced]]&gt;0,"Partial Invoiced","Not Invoiced"),"Fully Invoiced")</f>
        <v>Partial Invoiced</v>
      </c>
      <c r="R3342" t="str">
        <f>IFERROR(VLOOKUP(T[[#This Row],[warehouse]],Table2[],2,FALSE),"--")</f>
        <v>--</v>
      </c>
    </row>
    <row r="3343" spans="1:18" x14ac:dyDescent="0.25">
      <c r="A3343" t="s">
        <v>985</v>
      </c>
      <c r="B3343" s="1">
        <v>44531</v>
      </c>
      <c r="C3343" t="s">
        <v>1489</v>
      </c>
      <c r="D3343" t="s">
        <v>324</v>
      </c>
      <c r="E3343" t="s">
        <v>51</v>
      </c>
      <c r="F3343" t="s">
        <v>183</v>
      </c>
      <c r="G3343" t="s">
        <v>2005</v>
      </c>
      <c r="H3343" t="s">
        <v>54</v>
      </c>
      <c r="I3343">
        <v>500</v>
      </c>
      <c r="J3343">
        <v>0</v>
      </c>
      <c r="K3343">
        <v>1</v>
      </c>
      <c r="L3343" t="s">
        <v>693</v>
      </c>
      <c r="M3343" t="s">
        <v>533</v>
      </c>
      <c r="N3343">
        <v>6000</v>
      </c>
      <c r="O3343">
        <v>0</v>
      </c>
      <c r="P3343" t="str">
        <f>IF(T[[#This Row],[qty_ordered]]&lt;&gt;T[[#This Row],[qty_received]],IF(T[[#This Row],[qty_received]]&gt;0,"Partial Received","Not Receviced"),"FullyReceived")</f>
        <v>Not Receviced</v>
      </c>
      <c r="Q3343" t="str">
        <f>IF(T[[#This Row],[qty_received]]&lt;&gt;T[[#This Row],[qty_invoiced]],IF(T[[#This Row],[qty_invoiced]]&gt;0,"Partial Invoiced","Not Invoiced"),"Fully Invoiced")</f>
        <v>Partial Invoiced</v>
      </c>
      <c r="R3343" t="str">
        <f>IFERROR(VLOOKUP(T[[#This Row],[warehouse]],Table2[],2,FALSE),"--")</f>
        <v>--</v>
      </c>
    </row>
    <row r="3344" spans="1:18" x14ac:dyDescent="0.25">
      <c r="A3344" t="s">
        <v>224</v>
      </c>
      <c r="B3344" s="1">
        <v>44598</v>
      </c>
      <c r="C3344" t="s">
        <v>1773</v>
      </c>
      <c r="D3344" t="s">
        <v>71</v>
      </c>
      <c r="E3344" t="s">
        <v>51</v>
      </c>
      <c r="F3344" t="s">
        <v>183</v>
      </c>
      <c r="G3344" t="s">
        <v>1488</v>
      </c>
      <c r="H3344" t="s">
        <v>54</v>
      </c>
      <c r="I3344">
        <v>114.28400000000001</v>
      </c>
      <c r="J3344">
        <v>0</v>
      </c>
      <c r="K3344">
        <v>1</v>
      </c>
      <c r="L3344" t="s">
        <v>693</v>
      </c>
      <c r="M3344" t="s">
        <v>533</v>
      </c>
      <c r="N3344">
        <v>7000</v>
      </c>
      <c r="O3344">
        <v>0</v>
      </c>
      <c r="P3344" t="str">
        <f>IF(T[[#This Row],[qty_ordered]]&lt;&gt;T[[#This Row],[qty_received]],IF(T[[#This Row],[qty_received]]&gt;0,"Partial Received","Not Receviced"),"FullyReceived")</f>
        <v>Not Receviced</v>
      </c>
      <c r="Q3344" t="str">
        <f>IF(T[[#This Row],[qty_received]]&lt;&gt;T[[#This Row],[qty_invoiced]],IF(T[[#This Row],[qty_invoiced]]&gt;0,"Partial Invoiced","Not Invoiced"),"Fully Invoiced")</f>
        <v>Partial Invoiced</v>
      </c>
      <c r="R3344" t="str">
        <f>IFERROR(VLOOKUP(T[[#This Row],[warehouse]],Table2[],2,FALSE),"--")</f>
        <v>--</v>
      </c>
    </row>
    <row r="3345" spans="1:18" x14ac:dyDescent="0.25">
      <c r="A3345" t="s">
        <v>423</v>
      </c>
      <c r="B3345" s="1">
        <v>44620</v>
      </c>
      <c r="C3345" t="s">
        <v>2006</v>
      </c>
      <c r="D3345" t="s">
        <v>20</v>
      </c>
      <c r="E3345" t="s">
        <v>51</v>
      </c>
      <c r="F3345" t="s">
        <v>546</v>
      </c>
      <c r="G3345" t="s">
        <v>2007</v>
      </c>
      <c r="H3345" t="s">
        <v>54</v>
      </c>
      <c r="I3345">
        <v>5000</v>
      </c>
      <c r="J3345">
        <v>0</v>
      </c>
      <c r="K3345">
        <v>1</v>
      </c>
      <c r="L3345" t="s">
        <v>693</v>
      </c>
      <c r="M3345" t="s">
        <v>533</v>
      </c>
      <c r="N3345">
        <v>18.5</v>
      </c>
      <c r="O3345">
        <v>0</v>
      </c>
      <c r="P3345" t="str">
        <f>IF(T[[#This Row],[qty_ordered]]&lt;&gt;T[[#This Row],[qty_received]],IF(T[[#This Row],[qty_received]]&gt;0,"Partial Received","Not Receviced"),"FullyReceived")</f>
        <v>Not Receviced</v>
      </c>
      <c r="Q3345" t="str">
        <f>IF(T[[#This Row],[qty_received]]&lt;&gt;T[[#This Row],[qty_invoiced]],IF(T[[#This Row],[qty_invoiced]]&gt;0,"Partial Invoiced","Not Invoiced"),"Fully Invoiced")</f>
        <v>Partial Invoiced</v>
      </c>
      <c r="R3345" t="str">
        <f>IFERROR(VLOOKUP(T[[#This Row],[warehouse]],Table2[],2,FALSE),"--")</f>
        <v>--</v>
      </c>
    </row>
    <row r="3346" spans="1:18" x14ac:dyDescent="0.25">
      <c r="A3346" t="s">
        <v>242</v>
      </c>
      <c r="B3346" s="1">
        <v>44581</v>
      </c>
      <c r="C3346" t="s">
        <v>1552</v>
      </c>
      <c r="D3346" t="s">
        <v>76</v>
      </c>
      <c r="E3346" t="s">
        <v>405</v>
      </c>
      <c r="F3346" t="s">
        <v>244</v>
      </c>
      <c r="G3346" t="s">
        <v>245</v>
      </c>
      <c r="H3346" t="s">
        <v>24</v>
      </c>
      <c r="I3346">
        <v>110.35</v>
      </c>
      <c r="J3346">
        <v>110.35</v>
      </c>
      <c r="K3346">
        <v>110.35</v>
      </c>
      <c r="L3346" t="s">
        <v>25</v>
      </c>
      <c r="M3346" t="s">
        <v>1485</v>
      </c>
      <c r="N3346">
        <v>850000</v>
      </c>
      <c r="O3346">
        <v>93797500</v>
      </c>
      <c r="P3346" t="str">
        <f>IF(T[[#This Row],[qty_ordered]]&lt;&gt;T[[#This Row],[qty_received]],IF(T[[#This Row],[qty_received]]&gt;0,"Partial Received","Not Receviced"),"FullyReceived")</f>
        <v>FullyReceived</v>
      </c>
      <c r="Q3346" t="str">
        <f>IF(T[[#This Row],[qty_received]]&lt;&gt;T[[#This Row],[qty_invoiced]],IF(T[[#This Row],[qty_invoiced]]&gt;0,"Partial Invoiced","Not Invoiced"),"Fully Invoiced")</f>
        <v>Fully Invoiced</v>
      </c>
      <c r="R3346" t="str">
        <f>IFERROR(VLOOKUP(T[[#This Row],[warehouse]],Table2[],2,FALSE),"--")</f>
        <v>GINNING ISHRAG-MDNI</v>
      </c>
    </row>
    <row r="3347" spans="1:18" x14ac:dyDescent="0.25">
      <c r="A3347" t="s">
        <v>242</v>
      </c>
      <c r="B3347" s="1">
        <v>44581</v>
      </c>
      <c r="C3347" t="s">
        <v>1963</v>
      </c>
      <c r="D3347" t="s">
        <v>76</v>
      </c>
      <c r="E3347" t="s">
        <v>405</v>
      </c>
      <c r="F3347" t="s">
        <v>244</v>
      </c>
      <c r="G3347" t="s">
        <v>245</v>
      </c>
      <c r="H3347" t="s">
        <v>24</v>
      </c>
      <c r="I3347">
        <v>103.78</v>
      </c>
      <c r="J3347">
        <v>103.78</v>
      </c>
      <c r="K3347">
        <v>103.78</v>
      </c>
      <c r="L3347" t="s">
        <v>25</v>
      </c>
      <c r="M3347" t="s">
        <v>1485</v>
      </c>
      <c r="N3347">
        <v>1101652.5</v>
      </c>
      <c r="O3347">
        <v>88213000</v>
      </c>
      <c r="P3347" t="str">
        <f>IF(T[[#This Row],[qty_ordered]]&lt;&gt;T[[#This Row],[qty_received]],IF(T[[#This Row],[qty_received]]&gt;0,"Partial Received","Not Receviced"),"FullyReceived")</f>
        <v>FullyReceived</v>
      </c>
      <c r="Q3347" t="str">
        <f>IF(T[[#This Row],[qty_received]]&lt;&gt;T[[#This Row],[qty_invoiced]],IF(T[[#This Row],[qty_invoiced]]&gt;0,"Partial Invoiced","Not Invoiced"),"Fully Invoiced")</f>
        <v>Fully Invoiced</v>
      </c>
      <c r="R3347" t="str">
        <f>IFERROR(VLOOKUP(T[[#This Row],[warehouse]],Table2[],2,FALSE),"--")</f>
        <v>GINNING ISHRAG-MDNI</v>
      </c>
    </row>
    <row r="3348" spans="1:18" x14ac:dyDescent="0.25">
      <c r="A3348" t="s">
        <v>955</v>
      </c>
      <c r="B3348" s="1">
        <v>44543</v>
      </c>
      <c r="C3348" t="s">
        <v>2008</v>
      </c>
      <c r="D3348" t="s">
        <v>71</v>
      </c>
      <c r="E3348" t="s">
        <v>2009</v>
      </c>
      <c r="F3348" t="s">
        <v>86</v>
      </c>
      <c r="G3348" t="s">
        <v>87</v>
      </c>
      <c r="H3348" t="s">
        <v>24</v>
      </c>
      <c r="I3348">
        <v>586.22</v>
      </c>
      <c r="J3348">
        <v>0</v>
      </c>
      <c r="K3348">
        <v>0</v>
      </c>
      <c r="L3348" t="s">
        <v>693</v>
      </c>
      <c r="M3348" t="s">
        <v>1485</v>
      </c>
      <c r="N3348">
        <v>511753.26669100003</v>
      </c>
      <c r="O3348">
        <v>0</v>
      </c>
      <c r="P3348" t="str">
        <f>IF(T[[#This Row],[qty_ordered]]&lt;&gt;T[[#This Row],[qty_received]],IF(T[[#This Row],[qty_received]]&gt;0,"Partial Received","Not Receviced"),"FullyReceived")</f>
        <v>Not Receviced</v>
      </c>
      <c r="Q3348" t="str">
        <f>IF(T[[#This Row],[qty_received]]&lt;&gt;T[[#This Row],[qty_invoiced]],IF(T[[#This Row],[qty_invoiced]]&gt;0,"Partial Invoiced","Not Invoiced"),"Fully Invoiced")</f>
        <v>Fully Invoiced</v>
      </c>
      <c r="R3348" t="str">
        <f>IFERROR(VLOOKUP(T[[#This Row],[warehouse]],Table2[],2,FALSE),"--")</f>
        <v>Omdurman Commodites Warehouse</v>
      </c>
    </row>
    <row r="3349" spans="1:18" x14ac:dyDescent="0.25">
      <c r="A3349" t="s">
        <v>1170</v>
      </c>
      <c r="B3349" s="1">
        <v>44621</v>
      </c>
      <c r="C3349" t="s">
        <v>2010</v>
      </c>
      <c r="D3349" t="s">
        <v>20</v>
      </c>
      <c r="E3349" t="s">
        <v>1289</v>
      </c>
      <c r="F3349" t="s">
        <v>406</v>
      </c>
      <c r="G3349" t="s">
        <v>407</v>
      </c>
      <c r="H3349" t="s">
        <v>24</v>
      </c>
      <c r="I3349">
        <v>0</v>
      </c>
      <c r="J3349">
        <v>0</v>
      </c>
      <c r="K3349">
        <v>0</v>
      </c>
      <c r="L3349" t="s">
        <v>25</v>
      </c>
      <c r="M3349" t="s">
        <v>707</v>
      </c>
      <c r="N3349">
        <v>307945.77074900002</v>
      </c>
      <c r="O3349">
        <v>0</v>
      </c>
      <c r="P3349" t="str">
        <f>IF(T[[#This Row],[qty_ordered]]&lt;&gt;T[[#This Row],[qty_received]],IF(T[[#This Row],[qty_received]]&gt;0,"Partial Received","Not Receviced"),"FullyReceived")</f>
        <v>FullyReceived</v>
      </c>
      <c r="Q3349" t="str">
        <f>IF(T[[#This Row],[qty_received]]&lt;&gt;T[[#This Row],[qty_invoiced]],IF(T[[#This Row],[qty_invoiced]]&gt;0,"Partial Invoiced","Not Invoiced"),"Fully Invoiced")</f>
        <v>Fully Invoiced</v>
      </c>
      <c r="R3349" t="str">
        <f>IFERROR(VLOOKUP(T[[#This Row],[warehouse]],Table2[],2,FALSE),"--")</f>
        <v>MSG GINNING GDARIF</v>
      </c>
    </row>
    <row r="3350" spans="1:18" x14ac:dyDescent="0.25">
      <c r="A3350" t="s">
        <v>228</v>
      </c>
      <c r="B3350" s="1">
        <v>44621</v>
      </c>
      <c r="C3350" t="s">
        <v>2011</v>
      </c>
      <c r="D3350" t="s">
        <v>20</v>
      </c>
      <c r="E3350" t="s">
        <v>239</v>
      </c>
      <c r="F3350" t="s">
        <v>196</v>
      </c>
      <c r="G3350" t="s">
        <v>197</v>
      </c>
      <c r="H3350" t="s">
        <v>24</v>
      </c>
      <c r="I3350">
        <v>1960</v>
      </c>
      <c r="J3350">
        <v>1960</v>
      </c>
      <c r="K3350">
        <v>1960</v>
      </c>
      <c r="L3350" t="s">
        <v>25</v>
      </c>
      <c r="M3350" t="s">
        <v>1485</v>
      </c>
      <c r="N3350">
        <v>106204.081632</v>
      </c>
      <c r="O3350">
        <v>208159999.99871999</v>
      </c>
      <c r="P3350" t="str">
        <f>IF(T[[#This Row],[qty_ordered]]&lt;&gt;T[[#This Row],[qty_received]],IF(T[[#This Row],[qty_received]]&gt;0,"Partial Received","Not Receviced"),"FullyReceived")</f>
        <v>FullyReceived</v>
      </c>
      <c r="Q3350" t="str">
        <f>IF(T[[#This Row],[qty_received]]&lt;&gt;T[[#This Row],[qty_invoiced]],IF(T[[#This Row],[qty_invoiced]]&gt;0,"Partial Invoiced","Not Invoiced"),"Fully Invoiced")</f>
        <v>Fully Invoiced</v>
      </c>
      <c r="R3350" t="str">
        <f>IFERROR(VLOOKUP(T[[#This Row],[warehouse]],Table2[],2,FALSE),"--")</f>
        <v xml:space="preserve">Gadarif Main Store </v>
      </c>
    </row>
    <row r="3351" spans="1:18" x14ac:dyDescent="0.25">
      <c r="A3351" t="s">
        <v>235</v>
      </c>
      <c r="B3351" s="1">
        <v>44591</v>
      </c>
      <c r="C3351" t="s">
        <v>2012</v>
      </c>
      <c r="D3351" t="s">
        <v>100</v>
      </c>
      <c r="E3351" t="s">
        <v>51</v>
      </c>
      <c r="F3351" t="s">
        <v>546</v>
      </c>
      <c r="G3351" t="s">
        <v>1986</v>
      </c>
      <c r="H3351" t="s">
        <v>54</v>
      </c>
      <c r="I3351">
        <v>20000</v>
      </c>
      <c r="J3351">
        <v>0</v>
      </c>
      <c r="K3351">
        <v>1</v>
      </c>
      <c r="L3351" t="s">
        <v>693</v>
      </c>
      <c r="M3351" t="s">
        <v>533</v>
      </c>
      <c r="N3351">
        <v>15.3</v>
      </c>
      <c r="O3351">
        <v>0</v>
      </c>
      <c r="P3351" t="str">
        <f>IF(T[[#This Row],[qty_ordered]]&lt;&gt;T[[#This Row],[qty_received]],IF(T[[#This Row],[qty_received]]&gt;0,"Partial Received","Not Receviced"),"FullyReceived")</f>
        <v>Not Receviced</v>
      </c>
      <c r="Q3351" t="str">
        <f>IF(T[[#This Row],[qty_received]]&lt;&gt;T[[#This Row],[qty_invoiced]],IF(T[[#This Row],[qty_invoiced]]&gt;0,"Partial Invoiced","Not Invoiced"),"Fully Invoiced")</f>
        <v>Partial Invoiced</v>
      </c>
      <c r="R3351" t="str">
        <f>IFERROR(VLOOKUP(T[[#This Row],[warehouse]],Table2[],2,FALSE),"--")</f>
        <v>--</v>
      </c>
    </row>
    <row r="3352" spans="1:18" x14ac:dyDescent="0.25">
      <c r="A3352" t="s">
        <v>3112</v>
      </c>
      <c r="B3352" s="1">
        <v>44948</v>
      </c>
      <c r="C3352" t="s">
        <v>3185</v>
      </c>
      <c r="D3352" t="s">
        <v>20</v>
      </c>
      <c r="E3352" t="s">
        <v>146</v>
      </c>
      <c r="F3352" t="s">
        <v>2981</v>
      </c>
      <c r="G3352" t="s">
        <v>2982</v>
      </c>
      <c r="H3352" t="s">
        <v>149</v>
      </c>
      <c r="I3352">
        <v>50000</v>
      </c>
      <c r="J3352">
        <v>50000</v>
      </c>
      <c r="K3352">
        <v>50000</v>
      </c>
      <c r="L3352" t="s">
        <v>693</v>
      </c>
      <c r="M3352" t="s">
        <v>1223</v>
      </c>
      <c r="N3352">
        <v>270</v>
      </c>
      <c r="O3352">
        <v>13500000</v>
      </c>
      <c r="P3352" t="str">
        <f>IF(T[[#This Row],[qty_ordered]]&lt;&gt;T[[#This Row],[qty_received]],IF(T[[#This Row],[qty_received]]&gt;0,"Partial Received","Not Receviced"),"FullyReceived")</f>
        <v>FullyReceived</v>
      </c>
      <c r="Q3352" t="str">
        <f>IF(T[[#This Row],[qty_received]]&lt;&gt;T[[#This Row],[qty_invoiced]],IF(T[[#This Row],[qty_invoiced]]&gt;0,"Partial Invoiced","Not Invoiced"),"Fully Invoiced")</f>
        <v>Fully Invoiced</v>
      </c>
      <c r="R3352" t="str">
        <f>IFERROR(VLOOKUP(T[[#This Row],[warehouse]],Table2[],2,FALSE),"--")</f>
        <v>Khtoum Main Warehouse</v>
      </c>
    </row>
    <row r="3353" spans="1:18" x14ac:dyDescent="0.25">
      <c r="A3353" t="s">
        <v>235</v>
      </c>
      <c r="B3353" s="1">
        <v>44950</v>
      </c>
      <c r="C3353" t="s">
        <v>3074</v>
      </c>
      <c r="D3353" t="s">
        <v>74</v>
      </c>
      <c r="E3353" t="s">
        <v>51</v>
      </c>
      <c r="F3353" t="s">
        <v>546</v>
      </c>
      <c r="G3353" t="s">
        <v>2079</v>
      </c>
      <c r="H3353" t="s">
        <v>54</v>
      </c>
      <c r="I3353">
        <v>4000</v>
      </c>
      <c r="J3353">
        <v>0</v>
      </c>
      <c r="K3353">
        <v>1</v>
      </c>
      <c r="L3353" t="s">
        <v>693</v>
      </c>
      <c r="M3353" t="s">
        <v>2836</v>
      </c>
      <c r="N3353">
        <v>17.75</v>
      </c>
      <c r="O3353">
        <v>0</v>
      </c>
      <c r="P3353" t="str">
        <f>IF(T[[#This Row],[qty_ordered]]&lt;&gt;T[[#This Row],[qty_received]],IF(T[[#This Row],[qty_received]]&gt;0,"Partial Received","Not Receviced"),"FullyReceived")</f>
        <v>Not Receviced</v>
      </c>
      <c r="Q3353" t="str">
        <f>IF(T[[#This Row],[qty_received]]&lt;&gt;T[[#This Row],[qty_invoiced]],IF(T[[#This Row],[qty_invoiced]]&gt;0,"Partial Invoiced","Not Invoiced"),"Fully Invoiced")</f>
        <v>Partial Invoiced</v>
      </c>
      <c r="R3353" t="str">
        <f>IFERROR(VLOOKUP(T[[#This Row],[warehouse]],Table2[],2,FALSE),"--")</f>
        <v>--</v>
      </c>
    </row>
    <row r="3354" spans="1:18" x14ac:dyDescent="0.25">
      <c r="A3354" t="s">
        <v>1170</v>
      </c>
      <c r="B3354" s="1">
        <v>44955</v>
      </c>
      <c r="C3354" t="s">
        <v>3123</v>
      </c>
      <c r="D3354" t="s">
        <v>20</v>
      </c>
      <c r="E3354" t="s">
        <v>3124</v>
      </c>
      <c r="F3354" t="s">
        <v>1259</v>
      </c>
      <c r="G3354" t="s">
        <v>1260</v>
      </c>
      <c r="H3354" t="s">
        <v>24</v>
      </c>
      <c r="I3354">
        <v>582.35199999999998</v>
      </c>
      <c r="J3354">
        <v>462.55</v>
      </c>
      <c r="K3354">
        <v>465.25</v>
      </c>
      <c r="L3354" t="s">
        <v>693</v>
      </c>
      <c r="M3354" t="s">
        <v>707</v>
      </c>
      <c r="N3354">
        <v>463637.11294800002</v>
      </c>
      <c r="O3354">
        <v>214455346.59409699</v>
      </c>
      <c r="P3354" t="str">
        <f>IF(T[[#This Row],[qty_ordered]]&lt;&gt;T[[#This Row],[qty_received]],IF(T[[#This Row],[qty_received]]&gt;0,"Partial Received","Not Receviced"),"FullyReceived")</f>
        <v>Partial Received</v>
      </c>
      <c r="Q3354" t="str">
        <f>IF(T[[#This Row],[qty_received]]&lt;&gt;T[[#This Row],[qty_invoiced]],IF(T[[#This Row],[qty_invoiced]]&gt;0,"Partial Invoiced","Not Invoiced"),"Fully Invoiced")</f>
        <v>Partial Invoiced</v>
      </c>
      <c r="R3354" t="str">
        <f>IFERROR(VLOOKUP(T[[#This Row],[warehouse]],Table2[],2,FALSE),"--")</f>
        <v>--</v>
      </c>
    </row>
    <row r="3355" spans="1:18" x14ac:dyDescent="0.25">
      <c r="A3355" t="s">
        <v>3186</v>
      </c>
      <c r="B3355" s="1">
        <v>44955</v>
      </c>
      <c r="C3355" t="s">
        <v>3187</v>
      </c>
      <c r="D3355" t="s">
        <v>20</v>
      </c>
      <c r="E3355" t="s">
        <v>431</v>
      </c>
      <c r="F3355" t="s">
        <v>167</v>
      </c>
      <c r="G3355" t="s">
        <v>156</v>
      </c>
      <c r="H3355" t="s">
        <v>24</v>
      </c>
      <c r="I3355">
        <v>301.44</v>
      </c>
      <c r="J3355">
        <v>301.44</v>
      </c>
      <c r="K3355">
        <v>301.44</v>
      </c>
      <c r="L3355" t="s">
        <v>693</v>
      </c>
      <c r="M3355" t="s">
        <v>1485</v>
      </c>
      <c r="N3355">
        <v>1150000</v>
      </c>
      <c r="O3355">
        <v>346656000</v>
      </c>
      <c r="P3355" t="str">
        <f>IF(T[[#This Row],[qty_ordered]]&lt;&gt;T[[#This Row],[qty_received]],IF(T[[#This Row],[qty_received]]&gt;0,"Partial Received","Not Receviced"),"FullyReceived")</f>
        <v>FullyReceived</v>
      </c>
      <c r="Q3355" t="str">
        <f>IF(T[[#This Row],[qty_received]]&lt;&gt;T[[#This Row],[qty_invoiced]],IF(T[[#This Row],[qty_invoiced]]&gt;0,"Partial Invoiced","Not Invoiced"),"Fully Invoiced")</f>
        <v>Fully Invoiced</v>
      </c>
      <c r="R3355" t="str">
        <f>IFERROR(VLOOKUP(T[[#This Row],[warehouse]],Table2[],2,FALSE),"--")</f>
        <v xml:space="preserve">Alsultan Crushing </v>
      </c>
    </row>
    <row r="3356" spans="1:18" x14ac:dyDescent="0.25">
      <c r="A3356" t="s">
        <v>1639</v>
      </c>
      <c r="B3356" s="1">
        <v>44959</v>
      </c>
      <c r="C3356" t="s">
        <v>3188</v>
      </c>
      <c r="D3356" t="s">
        <v>20</v>
      </c>
      <c r="E3356" t="s">
        <v>268</v>
      </c>
      <c r="F3356" t="s">
        <v>486</v>
      </c>
      <c r="G3356" t="s">
        <v>487</v>
      </c>
      <c r="H3356" t="s">
        <v>24</v>
      </c>
      <c r="I3356">
        <v>792.83</v>
      </c>
      <c r="J3356">
        <v>792.83</v>
      </c>
      <c r="K3356">
        <v>792.83</v>
      </c>
      <c r="L3356" t="s">
        <v>693</v>
      </c>
      <c r="M3356" t="s">
        <v>707</v>
      </c>
      <c r="N3356">
        <v>852175</v>
      </c>
      <c r="O3356">
        <v>675629905.25</v>
      </c>
      <c r="P3356" t="str">
        <f>IF(T[[#This Row],[qty_ordered]]&lt;&gt;T[[#This Row],[qty_received]],IF(T[[#This Row],[qty_received]]&gt;0,"Partial Received","Not Receviced"),"FullyReceived")</f>
        <v>FullyReceived</v>
      </c>
      <c r="Q3356" t="str">
        <f>IF(T[[#This Row],[qty_received]]&lt;&gt;T[[#This Row],[qty_invoiced]],IF(T[[#This Row],[qty_invoiced]]&gt;0,"Partial Invoiced","Not Invoiced"),"Fully Invoiced")</f>
        <v>Fully Invoiced</v>
      </c>
      <c r="R3356" t="str">
        <f>IFERROR(VLOOKUP(T[[#This Row],[warehouse]],Table2[],2,FALSE),"--")</f>
        <v>SIFTING- HASABO</v>
      </c>
    </row>
    <row r="3357" spans="1:18" x14ac:dyDescent="0.25">
      <c r="A3357" t="s">
        <v>795</v>
      </c>
      <c r="B3357" s="1">
        <v>44880</v>
      </c>
      <c r="C3357" t="s">
        <v>2831</v>
      </c>
      <c r="D3357" t="s">
        <v>74</v>
      </c>
      <c r="E3357" t="s">
        <v>629</v>
      </c>
      <c r="F3357" t="s">
        <v>287</v>
      </c>
      <c r="G3357" t="s">
        <v>288</v>
      </c>
      <c r="H3357" t="s">
        <v>24</v>
      </c>
      <c r="I3357">
        <v>833</v>
      </c>
      <c r="J3357">
        <v>0</v>
      </c>
      <c r="K3357">
        <v>0</v>
      </c>
      <c r="L3357" t="s">
        <v>693</v>
      </c>
      <c r="M3357" t="s">
        <v>707</v>
      </c>
      <c r="N3357">
        <v>600240.09603799996</v>
      </c>
      <c r="O3357">
        <v>0</v>
      </c>
      <c r="P3357" t="str">
        <f>IF(T[[#This Row],[qty_ordered]]&lt;&gt;T[[#This Row],[qty_received]],IF(T[[#This Row],[qty_received]]&gt;0,"Partial Received","Not Receviced"),"FullyReceived")</f>
        <v>Not Receviced</v>
      </c>
      <c r="Q3357" t="str">
        <f>IF(T[[#This Row],[qty_received]]&lt;&gt;T[[#This Row],[qty_invoiced]],IF(T[[#This Row],[qty_invoiced]]&gt;0,"Partial Invoiced","Not Invoiced"),"Fully Invoiced")</f>
        <v>Fully Invoiced</v>
      </c>
      <c r="R3357" t="str">
        <f>IFERROR(VLOOKUP(T[[#This Row],[warehouse]],Table2[],2,FALSE),"--")</f>
        <v>SOPC Sifting &amp; Sorting</v>
      </c>
    </row>
    <row r="3358" spans="1:18" x14ac:dyDescent="0.25">
      <c r="A3358" t="s">
        <v>1639</v>
      </c>
      <c r="B3358" s="1">
        <v>44909</v>
      </c>
      <c r="C3358" t="s">
        <v>2954</v>
      </c>
      <c r="D3358" t="s">
        <v>88</v>
      </c>
      <c r="E3358" t="s">
        <v>908</v>
      </c>
      <c r="F3358" t="s">
        <v>86</v>
      </c>
      <c r="G3358" t="s">
        <v>87</v>
      </c>
      <c r="H3358" t="s">
        <v>24</v>
      </c>
      <c r="I3358">
        <v>363</v>
      </c>
      <c r="J3358">
        <v>324.88600000000002</v>
      </c>
      <c r="K3358">
        <v>324.89</v>
      </c>
      <c r="L3358" t="s">
        <v>693</v>
      </c>
      <c r="M3358" t="s">
        <v>1485</v>
      </c>
      <c r="N3358">
        <v>826446.28099200001</v>
      </c>
      <c r="O3358">
        <v>268500826.44636703</v>
      </c>
      <c r="P3358" t="str">
        <f>IF(T[[#This Row],[qty_ordered]]&lt;&gt;T[[#This Row],[qty_received]],IF(T[[#This Row],[qty_received]]&gt;0,"Partial Received","Not Receviced"),"FullyReceived")</f>
        <v>Partial Received</v>
      </c>
      <c r="Q3358" t="str">
        <f>IF(T[[#This Row],[qty_received]]&lt;&gt;T[[#This Row],[qty_invoiced]],IF(T[[#This Row],[qty_invoiced]]&gt;0,"Partial Invoiced","Not Invoiced"),"Fully Invoiced")</f>
        <v>Partial Invoiced</v>
      </c>
      <c r="R3358" t="str">
        <f>IFERROR(VLOOKUP(T[[#This Row],[warehouse]],Table2[],2,FALSE),"--")</f>
        <v>SIFTER- ALNAZER-OMDU</v>
      </c>
    </row>
    <row r="3359" spans="1:18" x14ac:dyDescent="0.25">
      <c r="A3359" t="s">
        <v>228</v>
      </c>
      <c r="B3359" s="1">
        <v>44871</v>
      </c>
      <c r="C3359" t="s">
        <v>2577</v>
      </c>
      <c r="D3359" t="s">
        <v>71</v>
      </c>
      <c r="E3359" t="s">
        <v>239</v>
      </c>
      <c r="F3359" t="s">
        <v>230</v>
      </c>
      <c r="G3359" t="s">
        <v>231</v>
      </c>
      <c r="H3359" t="s">
        <v>24</v>
      </c>
      <c r="I3359">
        <v>510</v>
      </c>
      <c r="J3359">
        <v>0</v>
      </c>
      <c r="K3359">
        <v>0</v>
      </c>
      <c r="L3359" t="s">
        <v>693</v>
      </c>
      <c r="M3359" t="s">
        <v>1485</v>
      </c>
      <c r="N3359">
        <v>784313.72548999998</v>
      </c>
      <c r="O3359">
        <v>0</v>
      </c>
      <c r="P3359" t="str">
        <f>IF(T[[#This Row],[qty_ordered]]&lt;&gt;T[[#This Row],[qty_received]],IF(T[[#This Row],[qty_received]]&gt;0,"Partial Received","Not Receviced"),"FullyReceived")</f>
        <v>Not Receviced</v>
      </c>
      <c r="Q3359" t="str">
        <f>IF(T[[#This Row],[qty_received]]&lt;&gt;T[[#This Row],[qty_invoiced]],IF(T[[#This Row],[qty_invoiced]]&gt;0,"Partial Invoiced","Not Invoiced"),"Fully Invoiced")</f>
        <v>Fully Invoiced</v>
      </c>
      <c r="R3359" t="str">
        <f>IFERROR(VLOOKUP(T[[#This Row],[warehouse]],Table2[],2,FALSE),"--")</f>
        <v xml:space="preserve">Gadarif Main Store </v>
      </c>
    </row>
    <row r="3360" spans="1:18" x14ac:dyDescent="0.25">
      <c r="A3360" t="s">
        <v>3189</v>
      </c>
      <c r="B3360" s="1">
        <v>44959</v>
      </c>
      <c r="C3360" t="s">
        <v>3190</v>
      </c>
      <c r="D3360" t="s">
        <v>20</v>
      </c>
      <c r="E3360" t="s">
        <v>621</v>
      </c>
      <c r="F3360" t="s">
        <v>196</v>
      </c>
      <c r="G3360" t="s">
        <v>197</v>
      </c>
      <c r="H3360" t="s">
        <v>24</v>
      </c>
      <c r="I3360">
        <v>4708</v>
      </c>
      <c r="J3360">
        <v>976.34</v>
      </c>
      <c r="K3360">
        <v>976.34</v>
      </c>
      <c r="L3360" t="s">
        <v>693</v>
      </c>
      <c r="M3360" t="s">
        <v>1485</v>
      </c>
      <c r="N3360">
        <v>283800</v>
      </c>
      <c r="O3360">
        <v>277085292</v>
      </c>
      <c r="P3360" t="str">
        <f>IF(T[[#This Row],[qty_ordered]]&lt;&gt;T[[#This Row],[qty_received]],IF(T[[#This Row],[qty_received]]&gt;0,"Partial Received","Not Receviced"),"FullyReceived")</f>
        <v>Partial Received</v>
      </c>
      <c r="Q3360" t="str">
        <f>IF(T[[#This Row],[qty_received]]&lt;&gt;T[[#This Row],[qty_invoiced]],IF(T[[#This Row],[qty_invoiced]]&gt;0,"Partial Invoiced","Not Invoiced"),"Fully Invoiced")</f>
        <v>Fully Invoiced</v>
      </c>
      <c r="R3360" t="str">
        <f>IFERROR(VLOOKUP(T[[#This Row],[warehouse]],Table2[],2,FALSE),"--")</f>
        <v>SIFTER CONCRETE SILO</v>
      </c>
    </row>
    <row r="3361" spans="1:18" x14ac:dyDescent="0.25">
      <c r="A3361" t="s">
        <v>201</v>
      </c>
      <c r="B3361" s="1">
        <v>44959</v>
      </c>
      <c r="C3361" t="s">
        <v>3191</v>
      </c>
      <c r="D3361" t="s">
        <v>20</v>
      </c>
      <c r="E3361" t="s">
        <v>1220</v>
      </c>
      <c r="F3361" t="s">
        <v>3192</v>
      </c>
      <c r="G3361" t="s">
        <v>3193</v>
      </c>
      <c r="H3361" t="s">
        <v>711</v>
      </c>
      <c r="I3361">
        <v>800000</v>
      </c>
      <c r="J3361">
        <v>800000</v>
      </c>
      <c r="K3361">
        <v>800000</v>
      </c>
      <c r="L3361" t="s">
        <v>693</v>
      </c>
      <c r="M3361" t="s">
        <v>1485</v>
      </c>
      <c r="N3361">
        <v>10718.985216974999</v>
      </c>
      <c r="O3361">
        <v>8575188173.5799999</v>
      </c>
      <c r="P3361" t="str">
        <f>IF(T[[#This Row],[qty_ordered]]&lt;&gt;T[[#This Row],[qty_received]],IF(T[[#This Row],[qty_received]]&gt;0,"Partial Received","Not Receviced"),"FullyReceived")</f>
        <v>FullyReceived</v>
      </c>
      <c r="Q3361" t="str">
        <f>IF(T[[#This Row],[qty_received]]&lt;&gt;T[[#This Row],[qty_invoiced]],IF(T[[#This Row],[qty_invoiced]]&gt;0,"Partial Invoiced","Not Invoiced"),"Fully Invoiced")</f>
        <v>Fully Invoiced</v>
      </c>
      <c r="R3361" t="str">
        <f>IFERROR(VLOOKUP(T[[#This Row],[warehouse]],Table2[],2,FALSE),"--")</f>
        <v>Import Virtual Warehouse - PZU</v>
      </c>
    </row>
    <row r="3362" spans="1:18" x14ac:dyDescent="0.25">
      <c r="A3362" t="s">
        <v>201</v>
      </c>
      <c r="B3362" s="1">
        <v>44959</v>
      </c>
      <c r="C3362" t="s">
        <v>3191</v>
      </c>
      <c r="D3362" t="s">
        <v>71</v>
      </c>
      <c r="E3362" t="s">
        <v>1220</v>
      </c>
      <c r="F3362" t="s">
        <v>3194</v>
      </c>
      <c r="G3362" t="s">
        <v>3195</v>
      </c>
      <c r="H3362" t="s">
        <v>149</v>
      </c>
      <c r="I3362">
        <v>16000</v>
      </c>
      <c r="J3362">
        <v>0</v>
      </c>
      <c r="K3362">
        <v>0</v>
      </c>
      <c r="L3362" t="s">
        <v>693</v>
      </c>
      <c r="M3362" t="s">
        <v>1485</v>
      </c>
      <c r="N3362">
        <v>0</v>
      </c>
      <c r="O3362">
        <v>0</v>
      </c>
      <c r="P3362" t="str">
        <f>IF(T[[#This Row],[qty_ordered]]&lt;&gt;T[[#This Row],[qty_received]],IF(T[[#This Row],[qty_received]]&gt;0,"Partial Received","Not Receviced"),"FullyReceived")</f>
        <v>Not Receviced</v>
      </c>
      <c r="Q3362" t="str">
        <f>IF(T[[#This Row],[qty_received]]&lt;&gt;T[[#This Row],[qty_invoiced]],IF(T[[#This Row],[qty_invoiced]]&gt;0,"Partial Invoiced","Not Invoiced"),"Fully Invoiced")</f>
        <v>Fully Invoiced</v>
      </c>
      <c r="R3362" t="str">
        <f>IFERROR(VLOOKUP(T[[#This Row],[warehouse]],Table2[],2,FALSE),"--")</f>
        <v>Import Virtual Warehouse - PZU</v>
      </c>
    </row>
    <row r="3363" spans="1:18" x14ac:dyDescent="0.25">
      <c r="A3363" t="s">
        <v>303</v>
      </c>
      <c r="B3363" s="1">
        <v>44959</v>
      </c>
      <c r="C3363" t="s">
        <v>3196</v>
      </c>
      <c r="D3363" t="s">
        <v>20</v>
      </c>
      <c r="E3363" t="s">
        <v>66</v>
      </c>
      <c r="F3363" t="s">
        <v>697</v>
      </c>
      <c r="G3363" t="s">
        <v>698</v>
      </c>
      <c r="H3363" t="s">
        <v>531</v>
      </c>
      <c r="I3363">
        <v>2000</v>
      </c>
      <c r="J3363">
        <v>879</v>
      </c>
      <c r="K3363">
        <v>878</v>
      </c>
      <c r="L3363" t="s">
        <v>693</v>
      </c>
      <c r="M3363" t="s">
        <v>707</v>
      </c>
      <c r="N3363">
        <v>61212.5</v>
      </c>
      <c r="O3363">
        <v>53805787.5</v>
      </c>
      <c r="P3363" t="str">
        <f>IF(T[[#This Row],[qty_ordered]]&lt;&gt;T[[#This Row],[qty_received]],IF(T[[#This Row],[qty_received]]&gt;0,"Partial Received","Not Receviced"),"FullyReceived")</f>
        <v>Partial Received</v>
      </c>
      <c r="Q3363" t="str">
        <f>IF(T[[#This Row],[qty_received]]&lt;&gt;T[[#This Row],[qty_invoiced]],IF(T[[#This Row],[qty_invoiced]]&gt;0,"Partial Invoiced","Not Invoiced"),"Fully Invoiced")</f>
        <v>Partial Invoiced</v>
      </c>
      <c r="R3363" t="str">
        <f>IFERROR(VLOOKUP(T[[#This Row],[warehouse]],Table2[],2,FALSE),"--")</f>
        <v>PZU Main Warehouse</v>
      </c>
    </row>
    <row r="3364" spans="1:18" x14ac:dyDescent="0.25">
      <c r="A3364" t="s">
        <v>1639</v>
      </c>
      <c r="B3364" s="1">
        <v>44950</v>
      </c>
      <c r="C3364" t="s">
        <v>3197</v>
      </c>
      <c r="D3364" t="s">
        <v>20</v>
      </c>
      <c r="E3364" t="s">
        <v>3033</v>
      </c>
      <c r="F3364" t="s">
        <v>526</v>
      </c>
      <c r="G3364" t="s">
        <v>472</v>
      </c>
      <c r="H3364" t="s">
        <v>123</v>
      </c>
      <c r="I3364">
        <v>4000</v>
      </c>
      <c r="J3364">
        <v>4000</v>
      </c>
      <c r="K3364">
        <v>920.33</v>
      </c>
      <c r="L3364" t="s">
        <v>693</v>
      </c>
      <c r="M3364" t="s">
        <v>707</v>
      </c>
      <c r="N3364">
        <v>32750</v>
      </c>
      <c r="O3364">
        <v>131000000</v>
      </c>
      <c r="P3364" t="str">
        <f>IF(T[[#This Row],[qty_ordered]]&lt;&gt;T[[#This Row],[qty_received]],IF(T[[#This Row],[qty_received]]&gt;0,"Partial Received","Not Receviced"),"FullyReceived")</f>
        <v>FullyReceived</v>
      </c>
      <c r="Q3364" t="str">
        <f>IF(T[[#This Row],[qty_received]]&lt;&gt;T[[#This Row],[qty_invoiced]],IF(T[[#This Row],[qty_invoiced]]&gt;0,"Partial Invoiced","Not Invoiced"),"Fully Invoiced")</f>
        <v>Partial Invoiced</v>
      </c>
      <c r="R3364" t="str">
        <f>IFERROR(VLOOKUP(T[[#This Row],[warehouse]],Table2[],2,FALSE),"--")</f>
        <v>--</v>
      </c>
    </row>
    <row r="3365" spans="1:18" x14ac:dyDescent="0.25">
      <c r="A3365" t="s">
        <v>235</v>
      </c>
      <c r="B3365" s="1">
        <v>44951</v>
      </c>
      <c r="C3365" t="s">
        <v>3198</v>
      </c>
      <c r="D3365" t="s">
        <v>20</v>
      </c>
      <c r="E3365" t="s">
        <v>51</v>
      </c>
      <c r="F3365" t="s">
        <v>546</v>
      </c>
      <c r="G3365" t="s">
        <v>1952</v>
      </c>
      <c r="H3365" t="s">
        <v>54</v>
      </c>
      <c r="I3365">
        <v>1400</v>
      </c>
      <c r="J3365">
        <v>0</v>
      </c>
      <c r="K3365">
        <v>1</v>
      </c>
      <c r="L3365" t="s">
        <v>693</v>
      </c>
      <c r="M3365" t="s">
        <v>2836</v>
      </c>
      <c r="N3365">
        <v>20.214286000000001</v>
      </c>
      <c r="O3365">
        <v>0</v>
      </c>
      <c r="P3365" t="str">
        <f>IF(T[[#This Row],[qty_ordered]]&lt;&gt;T[[#This Row],[qty_received]],IF(T[[#This Row],[qty_received]]&gt;0,"Partial Received","Not Receviced"),"FullyReceived")</f>
        <v>Not Receviced</v>
      </c>
      <c r="Q3365" t="str">
        <f>IF(T[[#This Row],[qty_received]]&lt;&gt;T[[#This Row],[qty_invoiced]],IF(T[[#This Row],[qty_invoiced]]&gt;0,"Partial Invoiced","Not Invoiced"),"Fully Invoiced")</f>
        <v>Partial Invoiced</v>
      </c>
      <c r="R3365" t="str">
        <f>IFERROR(VLOOKUP(T[[#This Row],[warehouse]],Table2[],2,FALSE),"--")</f>
        <v>--</v>
      </c>
    </row>
    <row r="3366" spans="1:18" x14ac:dyDescent="0.25">
      <c r="A3366" t="s">
        <v>235</v>
      </c>
      <c r="B3366" s="1">
        <v>44951</v>
      </c>
      <c r="C3366" t="s">
        <v>3199</v>
      </c>
      <c r="D3366" t="s">
        <v>20</v>
      </c>
      <c r="E3366" t="s">
        <v>51</v>
      </c>
      <c r="F3366" t="s">
        <v>546</v>
      </c>
      <c r="G3366" t="s">
        <v>1953</v>
      </c>
      <c r="H3366" t="s">
        <v>54</v>
      </c>
      <c r="I3366">
        <v>500</v>
      </c>
      <c r="J3366">
        <v>0</v>
      </c>
      <c r="K3366">
        <v>1</v>
      </c>
      <c r="L3366" t="s">
        <v>693</v>
      </c>
      <c r="M3366" t="s">
        <v>2836</v>
      </c>
      <c r="N3366">
        <v>23</v>
      </c>
      <c r="O3366">
        <v>0</v>
      </c>
      <c r="P3366" t="str">
        <f>IF(T[[#This Row],[qty_ordered]]&lt;&gt;T[[#This Row],[qty_received]],IF(T[[#This Row],[qty_received]]&gt;0,"Partial Received","Not Receviced"),"FullyReceived")</f>
        <v>Not Receviced</v>
      </c>
      <c r="Q3366" t="str">
        <f>IF(T[[#This Row],[qty_received]]&lt;&gt;T[[#This Row],[qty_invoiced]],IF(T[[#This Row],[qty_invoiced]]&gt;0,"Partial Invoiced","Not Invoiced"),"Fully Invoiced")</f>
        <v>Partial Invoiced</v>
      </c>
      <c r="R3366" t="str">
        <f>IFERROR(VLOOKUP(T[[#This Row],[warehouse]],Table2[],2,FALSE),"--")</f>
        <v>--</v>
      </c>
    </row>
    <row r="3367" spans="1:18" x14ac:dyDescent="0.25">
      <c r="A3367" t="s">
        <v>423</v>
      </c>
      <c r="B3367" s="1">
        <v>44951</v>
      </c>
      <c r="C3367" t="s">
        <v>3200</v>
      </c>
      <c r="D3367" t="s">
        <v>20</v>
      </c>
      <c r="E3367" t="s">
        <v>51</v>
      </c>
      <c r="F3367" t="s">
        <v>546</v>
      </c>
      <c r="G3367" t="s">
        <v>3201</v>
      </c>
      <c r="H3367" t="s">
        <v>54</v>
      </c>
      <c r="I3367">
        <v>500</v>
      </c>
      <c r="J3367">
        <v>0</v>
      </c>
      <c r="K3367">
        <v>1</v>
      </c>
      <c r="L3367" t="s">
        <v>693</v>
      </c>
      <c r="M3367" t="s">
        <v>2836</v>
      </c>
      <c r="N3367">
        <v>36</v>
      </c>
      <c r="O3367">
        <v>0</v>
      </c>
      <c r="P3367" t="str">
        <f>IF(T[[#This Row],[qty_ordered]]&lt;&gt;T[[#This Row],[qty_received]],IF(T[[#This Row],[qty_received]]&gt;0,"Partial Received","Not Receviced"),"FullyReceived")</f>
        <v>Not Receviced</v>
      </c>
      <c r="Q3367" t="str">
        <f>IF(T[[#This Row],[qty_received]]&lt;&gt;T[[#This Row],[qty_invoiced]],IF(T[[#This Row],[qty_invoiced]]&gt;0,"Partial Invoiced","Not Invoiced"),"Fully Invoiced")</f>
        <v>Partial Invoiced</v>
      </c>
      <c r="R3367" t="str">
        <f>IFERROR(VLOOKUP(T[[#This Row],[warehouse]],Table2[],2,FALSE),"--")</f>
        <v>--</v>
      </c>
    </row>
    <row r="3368" spans="1:18" x14ac:dyDescent="0.25">
      <c r="A3368" t="s">
        <v>3186</v>
      </c>
      <c r="B3368" s="1">
        <v>44948</v>
      </c>
      <c r="C3368" t="s">
        <v>3202</v>
      </c>
      <c r="D3368" t="s">
        <v>71</v>
      </c>
      <c r="E3368" t="s">
        <v>431</v>
      </c>
      <c r="F3368" t="s">
        <v>167</v>
      </c>
      <c r="G3368" t="s">
        <v>156</v>
      </c>
      <c r="H3368" t="s">
        <v>24</v>
      </c>
      <c r="I3368">
        <v>202.52</v>
      </c>
      <c r="J3368">
        <v>202.52</v>
      </c>
      <c r="K3368">
        <v>202.52</v>
      </c>
      <c r="L3368" t="s">
        <v>693</v>
      </c>
      <c r="M3368" t="s">
        <v>1485</v>
      </c>
      <c r="N3368">
        <v>1150000</v>
      </c>
      <c r="O3368">
        <v>232898000</v>
      </c>
      <c r="P3368" t="str">
        <f>IF(T[[#This Row],[qty_ordered]]&lt;&gt;T[[#This Row],[qty_received]],IF(T[[#This Row],[qty_received]]&gt;0,"Partial Received","Not Receviced"),"FullyReceived")</f>
        <v>FullyReceived</v>
      </c>
      <c r="Q3368" t="str">
        <f>IF(T[[#This Row],[qty_received]]&lt;&gt;T[[#This Row],[qty_invoiced]],IF(T[[#This Row],[qty_invoiced]]&gt;0,"Partial Invoiced","Not Invoiced"),"Fully Invoiced")</f>
        <v>Fully Invoiced</v>
      </c>
      <c r="R3368" t="str">
        <f>IFERROR(VLOOKUP(T[[#This Row],[warehouse]],Table2[],2,FALSE),"--")</f>
        <v xml:space="preserve">Alsultan Crushing </v>
      </c>
    </row>
    <row r="3369" spans="1:18" x14ac:dyDescent="0.25">
      <c r="A3369" t="s">
        <v>228</v>
      </c>
      <c r="B3369" s="1">
        <v>44962</v>
      </c>
      <c r="C3369" t="s">
        <v>3203</v>
      </c>
      <c r="D3369" t="s">
        <v>20</v>
      </c>
      <c r="E3369" t="s">
        <v>239</v>
      </c>
      <c r="F3369" t="s">
        <v>230</v>
      </c>
      <c r="G3369" t="s">
        <v>231</v>
      </c>
      <c r="H3369" t="s">
        <v>24</v>
      </c>
      <c r="I3369">
        <v>500</v>
      </c>
      <c r="J3369">
        <v>79.349999999999994</v>
      </c>
      <c r="K3369">
        <v>79.349999999999994</v>
      </c>
      <c r="L3369" t="s">
        <v>693</v>
      </c>
      <c r="M3369" t="s">
        <v>1485</v>
      </c>
      <c r="N3369">
        <v>784646.25</v>
      </c>
      <c r="O3369">
        <v>62261679.9375</v>
      </c>
      <c r="P3369" t="str">
        <f>IF(T[[#This Row],[qty_ordered]]&lt;&gt;T[[#This Row],[qty_received]],IF(T[[#This Row],[qty_received]]&gt;0,"Partial Received","Not Receviced"),"FullyReceived")</f>
        <v>Partial Received</v>
      </c>
      <c r="Q3369" t="str">
        <f>IF(T[[#This Row],[qty_received]]&lt;&gt;T[[#This Row],[qty_invoiced]],IF(T[[#This Row],[qty_invoiced]]&gt;0,"Partial Invoiced","Not Invoiced"),"Fully Invoiced")</f>
        <v>Fully Invoiced</v>
      </c>
      <c r="R3369" t="str">
        <f>IFERROR(VLOOKUP(T[[#This Row],[warehouse]],Table2[],2,FALSE),"--")</f>
        <v xml:space="preserve">Gadarif Main Store </v>
      </c>
    </row>
    <row r="3370" spans="1:18" x14ac:dyDescent="0.25">
      <c r="A3370" t="s">
        <v>795</v>
      </c>
      <c r="B3370" s="1">
        <v>44962</v>
      </c>
      <c r="C3370" t="s">
        <v>3204</v>
      </c>
      <c r="D3370" t="s">
        <v>20</v>
      </c>
      <c r="E3370" t="s">
        <v>629</v>
      </c>
      <c r="F3370" t="s">
        <v>287</v>
      </c>
      <c r="G3370" t="s">
        <v>288</v>
      </c>
      <c r="H3370" t="s">
        <v>24</v>
      </c>
      <c r="I3370">
        <v>1128.28</v>
      </c>
      <c r="J3370">
        <v>1128.28</v>
      </c>
      <c r="K3370">
        <v>1128.28</v>
      </c>
      <c r="L3370" t="s">
        <v>693</v>
      </c>
      <c r="M3370" t="s">
        <v>707</v>
      </c>
      <c r="N3370">
        <v>600000</v>
      </c>
      <c r="O3370">
        <v>676968000</v>
      </c>
      <c r="P3370" t="str">
        <f>IF(T[[#This Row],[qty_ordered]]&lt;&gt;T[[#This Row],[qty_received]],IF(T[[#This Row],[qty_received]]&gt;0,"Partial Received","Not Receviced"),"FullyReceived")</f>
        <v>FullyReceived</v>
      </c>
      <c r="Q3370" t="str">
        <f>IF(T[[#This Row],[qty_received]]&lt;&gt;T[[#This Row],[qty_invoiced]],IF(T[[#This Row],[qty_invoiced]]&gt;0,"Partial Invoiced","Not Invoiced"),"Fully Invoiced")</f>
        <v>Fully Invoiced</v>
      </c>
      <c r="R3370" t="str">
        <f>IFERROR(VLOOKUP(T[[#This Row],[warehouse]],Table2[],2,FALSE),"--")</f>
        <v>SOPC Sifting &amp; Sorting</v>
      </c>
    </row>
    <row r="3371" spans="1:18" x14ac:dyDescent="0.25">
      <c r="A3371" t="s">
        <v>795</v>
      </c>
      <c r="B3371" s="1">
        <v>44962</v>
      </c>
      <c r="C3371" t="s">
        <v>3205</v>
      </c>
      <c r="D3371" t="s">
        <v>20</v>
      </c>
      <c r="E3371" t="s">
        <v>1965</v>
      </c>
      <c r="F3371" t="s">
        <v>287</v>
      </c>
      <c r="G3371" t="s">
        <v>288</v>
      </c>
      <c r="H3371" t="s">
        <v>24</v>
      </c>
      <c r="I3371">
        <v>1000</v>
      </c>
      <c r="J3371">
        <v>124.04</v>
      </c>
      <c r="K3371">
        <v>124.04</v>
      </c>
      <c r="L3371" t="s">
        <v>693</v>
      </c>
      <c r="M3371" t="s">
        <v>707</v>
      </c>
      <c r="N3371">
        <v>600000</v>
      </c>
      <c r="O3371">
        <v>74424000</v>
      </c>
      <c r="P3371" t="str">
        <f>IF(T[[#This Row],[qty_ordered]]&lt;&gt;T[[#This Row],[qty_received]],IF(T[[#This Row],[qty_received]]&gt;0,"Partial Received","Not Receviced"),"FullyReceived")</f>
        <v>Partial Received</v>
      </c>
      <c r="Q3371" t="str">
        <f>IF(T[[#This Row],[qty_received]]&lt;&gt;T[[#This Row],[qty_invoiced]],IF(T[[#This Row],[qty_invoiced]]&gt;0,"Partial Invoiced","Not Invoiced"),"Fully Invoiced")</f>
        <v>Fully Invoiced</v>
      </c>
      <c r="R3371" t="str">
        <f>IFERROR(VLOOKUP(T[[#This Row],[warehouse]],Table2[],2,FALSE),"--")</f>
        <v>Sabaloga Commodities Warehouse</v>
      </c>
    </row>
    <row r="3372" spans="1:18" x14ac:dyDescent="0.25">
      <c r="A3372" t="s">
        <v>1316</v>
      </c>
      <c r="B3372" s="1">
        <v>44917</v>
      </c>
      <c r="C3372" t="s">
        <v>2975</v>
      </c>
      <c r="D3372" t="s">
        <v>71</v>
      </c>
      <c r="E3372" t="s">
        <v>51</v>
      </c>
      <c r="F3372" t="s">
        <v>183</v>
      </c>
      <c r="G3372" t="s">
        <v>1514</v>
      </c>
      <c r="H3372" t="s">
        <v>54</v>
      </c>
      <c r="I3372">
        <v>500</v>
      </c>
      <c r="J3372">
        <v>0</v>
      </c>
      <c r="K3372">
        <v>1</v>
      </c>
      <c r="L3372" t="s">
        <v>693</v>
      </c>
      <c r="M3372" t="s">
        <v>2836</v>
      </c>
      <c r="N3372">
        <v>13000</v>
      </c>
      <c r="O3372">
        <v>0</v>
      </c>
      <c r="P3372" t="str">
        <f>IF(T[[#This Row],[qty_ordered]]&lt;&gt;T[[#This Row],[qty_received]],IF(T[[#This Row],[qty_received]]&gt;0,"Partial Received","Not Receviced"),"FullyReceived")</f>
        <v>Not Receviced</v>
      </c>
      <c r="Q3372" t="str">
        <f>IF(T[[#This Row],[qty_received]]&lt;&gt;T[[#This Row],[qty_invoiced]],IF(T[[#This Row],[qty_invoiced]]&gt;0,"Partial Invoiced","Not Invoiced"),"Fully Invoiced")</f>
        <v>Partial Invoiced</v>
      </c>
      <c r="R3372" t="str">
        <f>IFERROR(VLOOKUP(T[[#This Row],[warehouse]],Table2[],2,FALSE),"--")</f>
        <v>--</v>
      </c>
    </row>
    <row r="3373" spans="1:18" x14ac:dyDescent="0.25">
      <c r="A3373" t="s">
        <v>3040</v>
      </c>
      <c r="B3373" s="1">
        <v>44962</v>
      </c>
      <c r="C3373" t="s">
        <v>3206</v>
      </c>
      <c r="D3373" t="s">
        <v>20</v>
      </c>
      <c r="E3373" t="s">
        <v>3124</v>
      </c>
      <c r="F3373" t="s">
        <v>196</v>
      </c>
      <c r="G3373" t="s">
        <v>197</v>
      </c>
      <c r="H3373" t="s">
        <v>24</v>
      </c>
      <c r="I3373">
        <v>2250</v>
      </c>
      <c r="J3373">
        <v>2250</v>
      </c>
      <c r="K3373">
        <v>2250</v>
      </c>
      <c r="L3373" t="s">
        <v>693</v>
      </c>
      <c r="M3373" t="s">
        <v>1485</v>
      </c>
      <c r="N3373">
        <v>235600</v>
      </c>
      <c r="O3373">
        <v>530100000</v>
      </c>
      <c r="P3373" t="str">
        <f>IF(T[[#This Row],[qty_ordered]]&lt;&gt;T[[#This Row],[qty_received]],IF(T[[#This Row],[qty_received]]&gt;0,"Partial Received","Not Receviced"),"FullyReceived")</f>
        <v>FullyReceived</v>
      </c>
      <c r="Q3373" t="str">
        <f>IF(T[[#This Row],[qty_received]]&lt;&gt;T[[#This Row],[qty_invoiced]],IF(T[[#This Row],[qty_invoiced]]&gt;0,"Partial Invoiced","Not Invoiced"),"Fully Invoiced")</f>
        <v>Fully Invoiced</v>
      </c>
      <c r="R3373" t="str">
        <f>IFERROR(VLOOKUP(T[[#This Row],[warehouse]],Table2[],2,FALSE),"--")</f>
        <v>--</v>
      </c>
    </row>
    <row r="3374" spans="1:18" x14ac:dyDescent="0.25">
      <c r="A3374" t="s">
        <v>3040</v>
      </c>
      <c r="B3374" s="1">
        <v>44962</v>
      </c>
      <c r="C3374" t="s">
        <v>3207</v>
      </c>
      <c r="D3374" t="s">
        <v>20</v>
      </c>
      <c r="E3374" t="s">
        <v>3124</v>
      </c>
      <c r="F3374" t="s">
        <v>196</v>
      </c>
      <c r="G3374" t="s">
        <v>197</v>
      </c>
      <c r="H3374" t="s">
        <v>24</v>
      </c>
      <c r="I3374">
        <v>495</v>
      </c>
      <c r="J3374">
        <v>495</v>
      </c>
      <c r="K3374">
        <v>495</v>
      </c>
      <c r="L3374" t="s">
        <v>693</v>
      </c>
      <c r="M3374" t="s">
        <v>1485</v>
      </c>
      <c r="N3374">
        <v>233333.34</v>
      </c>
      <c r="O3374">
        <v>115500003.3</v>
      </c>
      <c r="P3374" t="str">
        <f>IF(T[[#This Row],[qty_ordered]]&lt;&gt;T[[#This Row],[qty_received]],IF(T[[#This Row],[qty_received]]&gt;0,"Partial Received","Not Receviced"),"FullyReceived")</f>
        <v>FullyReceived</v>
      </c>
      <c r="Q3374" t="str">
        <f>IF(T[[#This Row],[qty_received]]&lt;&gt;T[[#This Row],[qty_invoiced]],IF(T[[#This Row],[qty_invoiced]]&gt;0,"Partial Invoiced","Not Invoiced"),"Fully Invoiced")</f>
        <v>Fully Invoiced</v>
      </c>
      <c r="R3374" t="str">
        <f>IFERROR(VLOOKUP(T[[#This Row],[warehouse]],Table2[],2,FALSE),"--")</f>
        <v>--</v>
      </c>
    </row>
    <row r="3375" spans="1:18" x14ac:dyDescent="0.25">
      <c r="A3375" t="s">
        <v>84</v>
      </c>
      <c r="B3375" s="1">
        <v>44957</v>
      </c>
      <c r="C3375" t="s">
        <v>3208</v>
      </c>
      <c r="D3375" t="s">
        <v>71</v>
      </c>
      <c r="E3375" t="s">
        <v>1139</v>
      </c>
      <c r="F3375" t="s">
        <v>108</v>
      </c>
      <c r="G3375" t="s">
        <v>109</v>
      </c>
      <c r="H3375" t="s">
        <v>24</v>
      </c>
      <c r="I3375">
        <v>227</v>
      </c>
      <c r="J3375">
        <v>0</v>
      </c>
      <c r="K3375">
        <v>0</v>
      </c>
      <c r="L3375" t="s">
        <v>693</v>
      </c>
      <c r="M3375" t="s">
        <v>1485</v>
      </c>
      <c r="N3375">
        <v>881057.26872199995</v>
      </c>
      <c r="O3375">
        <v>0</v>
      </c>
      <c r="P3375" t="str">
        <f>IF(T[[#This Row],[qty_ordered]]&lt;&gt;T[[#This Row],[qty_received]],IF(T[[#This Row],[qty_received]]&gt;0,"Partial Received","Not Receviced"),"FullyReceived")</f>
        <v>Not Receviced</v>
      </c>
      <c r="Q3375" t="str">
        <f>IF(T[[#This Row],[qty_received]]&lt;&gt;T[[#This Row],[qty_invoiced]],IF(T[[#This Row],[qty_invoiced]]&gt;0,"Partial Invoiced","Not Invoiced"),"Fully Invoiced")</f>
        <v>Fully Invoiced</v>
      </c>
      <c r="R3375" t="str">
        <f>IFERROR(VLOOKUP(T[[#This Row],[warehouse]],Table2[],2,FALSE),"--")</f>
        <v>Magzoub Sorting - OMD</v>
      </c>
    </row>
    <row r="3376" spans="1:18" x14ac:dyDescent="0.25">
      <c r="A3376" t="s">
        <v>973</v>
      </c>
      <c r="B3376" s="1">
        <v>44950</v>
      </c>
      <c r="C3376" t="s">
        <v>3209</v>
      </c>
      <c r="D3376" t="s">
        <v>20</v>
      </c>
      <c r="E3376" t="s">
        <v>281</v>
      </c>
      <c r="F3376" t="s">
        <v>526</v>
      </c>
      <c r="G3376" t="s">
        <v>472</v>
      </c>
      <c r="H3376" t="s">
        <v>123</v>
      </c>
      <c r="I3376">
        <v>10000</v>
      </c>
      <c r="J3376">
        <v>10000</v>
      </c>
      <c r="K3376">
        <v>10000</v>
      </c>
      <c r="L3376" t="s">
        <v>693</v>
      </c>
      <c r="M3376" t="s">
        <v>707</v>
      </c>
      <c r="N3376">
        <v>35000</v>
      </c>
      <c r="O3376">
        <v>350000000</v>
      </c>
      <c r="P3376" t="str">
        <f>IF(T[[#This Row],[qty_ordered]]&lt;&gt;T[[#This Row],[qty_received]],IF(T[[#This Row],[qty_received]]&gt;0,"Partial Received","Not Receviced"),"FullyReceived")</f>
        <v>FullyReceived</v>
      </c>
      <c r="Q3376" t="str">
        <f>IF(T[[#This Row],[qty_received]]&lt;&gt;T[[#This Row],[qty_invoiced]],IF(T[[#This Row],[qty_invoiced]]&gt;0,"Partial Invoiced","Not Invoiced"),"Fully Invoiced")</f>
        <v>Fully Invoiced</v>
      </c>
      <c r="R3376" t="str">
        <f>IFERROR(VLOOKUP(T[[#This Row],[warehouse]],Table2[],2,FALSE),"--")</f>
        <v>Crusher Alm Eldin-KH</v>
      </c>
    </row>
    <row r="3377" spans="1:18" x14ac:dyDescent="0.25">
      <c r="A3377" t="s">
        <v>1639</v>
      </c>
      <c r="B3377" s="1">
        <v>44909</v>
      </c>
      <c r="C3377" t="s">
        <v>2954</v>
      </c>
      <c r="D3377" t="s">
        <v>74</v>
      </c>
      <c r="E3377" t="s">
        <v>908</v>
      </c>
      <c r="F3377" t="s">
        <v>86</v>
      </c>
      <c r="G3377" t="s">
        <v>87</v>
      </c>
      <c r="H3377" t="s">
        <v>24</v>
      </c>
      <c r="I3377">
        <v>783.90300000000002</v>
      </c>
      <c r="J3377">
        <v>0</v>
      </c>
      <c r="K3377">
        <v>0</v>
      </c>
      <c r="L3377" t="s">
        <v>693</v>
      </c>
      <c r="M3377" t="s">
        <v>1485</v>
      </c>
      <c r="N3377">
        <v>956751.02659300005</v>
      </c>
      <c r="O3377">
        <v>0</v>
      </c>
      <c r="P3377" t="str">
        <f>IF(T[[#This Row],[qty_ordered]]&lt;&gt;T[[#This Row],[qty_received]],IF(T[[#This Row],[qty_received]]&gt;0,"Partial Received","Not Receviced"),"FullyReceived")</f>
        <v>Not Receviced</v>
      </c>
      <c r="Q3377" t="str">
        <f>IF(T[[#This Row],[qty_received]]&lt;&gt;T[[#This Row],[qty_invoiced]],IF(T[[#This Row],[qty_invoiced]]&gt;0,"Partial Invoiced","Not Invoiced"),"Fully Invoiced")</f>
        <v>Fully Invoiced</v>
      </c>
      <c r="R3377" t="str">
        <f>IFERROR(VLOOKUP(T[[#This Row],[warehouse]],Table2[],2,FALSE),"--")</f>
        <v>SIFTER- ALNAZER-OMDU</v>
      </c>
    </row>
    <row r="3378" spans="1:18" x14ac:dyDescent="0.25">
      <c r="A3378" t="s">
        <v>597</v>
      </c>
      <c r="B3378" s="1">
        <v>44936</v>
      </c>
      <c r="C3378" t="s">
        <v>3039</v>
      </c>
      <c r="D3378" t="s">
        <v>100</v>
      </c>
      <c r="E3378" t="s">
        <v>51</v>
      </c>
      <c r="F3378" t="s">
        <v>183</v>
      </c>
      <c r="G3378" t="s">
        <v>1701</v>
      </c>
      <c r="H3378" t="s">
        <v>54</v>
      </c>
      <c r="I3378">
        <v>126.05200000000001</v>
      </c>
      <c r="J3378">
        <v>0</v>
      </c>
      <c r="K3378">
        <v>1</v>
      </c>
      <c r="L3378" t="s">
        <v>693</v>
      </c>
      <c r="M3378" t="s">
        <v>2836</v>
      </c>
      <c r="N3378">
        <v>14500</v>
      </c>
      <c r="O3378">
        <v>0</v>
      </c>
      <c r="P3378" t="str">
        <f>IF(T[[#This Row],[qty_ordered]]&lt;&gt;T[[#This Row],[qty_received]],IF(T[[#This Row],[qty_received]]&gt;0,"Partial Received","Not Receviced"),"FullyReceived")</f>
        <v>Not Receviced</v>
      </c>
      <c r="Q3378" t="str">
        <f>IF(T[[#This Row],[qty_received]]&lt;&gt;T[[#This Row],[qty_invoiced]],IF(T[[#This Row],[qty_invoiced]]&gt;0,"Partial Invoiced","Not Invoiced"),"Fully Invoiced")</f>
        <v>Partial Invoiced</v>
      </c>
      <c r="R3378" t="str">
        <f>IFERROR(VLOOKUP(T[[#This Row],[warehouse]],Table2[],2,FALSE),"--")</f>
        <v>--</v>
      </c>
    </row>
    <row r="3379" spans="1:18" x14ac:dyDescent="0.25">
      <c r="A3379" t="s">
        <v>812</v>
      </c>
      <c r="B3379" s="1">
        <v>44965</v>
      </c>
      <c r="C3379" t="s">
        <v>3210</v>
      </c>
      <c r="D3379" t="s">
        <v>20</v>
      </c>
      <c r="E3379" t="s">
        <v>51</v>
      </c>
      <c r="F3379" t="s">
        <v>183</v>
      </c>
      <c r="G3379" t="s">
        <v>1991</v>
      </c>
      <c r="H3379" t="s">
        <v>54</v>
      </c>
      <c r="I3379">
        <v>315.83</v>
      </c>
      <c r="J3379">
        <v>0</v>
      </c>
      <c r="K3379">
        <v>1</v>
      </c>
      <c r="L3379" t="s">
        <v>693</v>
      </c>
      <c r="M3379" t="s">
        <v>2836</v>
      </c>
      <c r="N3379">
        <v>13000</v>
      </c>
      <c r="O3379">
        <v>0</v>
      </c>
      <c r="P3379" t="str">
        <f>IF(T[[#This Row],[qty_ordered]]&lt;&gt;T[[#This Row],[qty_received]],IF(T[[#This Row],[qty_received]]&gt;0,"Partial Received","Not Receviced"),"FullyReceived")</f>
        <v>Not Receviced</v>
      </c>
      <c r="Q3379" t="str">
        <f>IF(T[[#This Row],[qty_received]]&lt;&gt;T[[#This Row],[qty_invoiced]],IF(T[[#This Row],[qty_invoiced]]&gt;0,"Partial Invoiced","Not Invoiced"),"Fully Invoiced")</f>
        <v>Partial Invoiced</v>
      </c>
      <c r="R3379" t="str">
        <f>IFERROR(VLOOKUP(T[[#This Row],[warehouse]],Table2[],2,FALSE),"--")</f>
        <v>--</v>
      </c>
    </row>
    <row r="3380" spans="1:18" x14ac:dyDescent="0.25">
      <c r="A3380" t="s">
        <v>84</v>
      </c>
      <c r="B3380" s="1">
        <v>44971</v>
      </c>
      <c r="C3380" t="s">
        <v>3211</v>
      </c>
      <c r="D3380" t="s">
        <v>20</v>
      </c>
      <c r="E3380" t="s">
        <v>3033</v>
      </c>
      <c r="F3380" t="s">
        <v>526</v>
      </c>
      <c r="G3380" t="s">
        <v>472</v>
      </c>
      <c r="H3380" t="s">
        <v>123</v>
      </c>
      <c r="I3380">
        <v>2000</v>
      </c>
      <c r="J3380">
        <v>1000</v>
      </c>
      <c r="K3380">
        <v>1000</v>
      </c>
      <c r="L3380" t="s">
        <v>693</v>
      </c>
      <c r="M3380" t="s">
        <v>707</v>
      </c>
      <c r="N3380">
        <v>34750</v>
      </c>
      <c r="O3380">
        <v>34750000</v>
      </c>
      <c r="P3380" t="str">
        <f>IF(T[[#This Row],[qty_ordered]]&lt;&gt;T[[#This Row],[qty_received]],IF(T[[#This Row],[qty_received]]&gt;0,"Partial Received","Not Receviced"),"FullyReceived")</f>
        <v>Partial Received</v>
      </c>
      <c r="Q3380" t="str">
        <f>IF(T[[#This Row],[qty_received]]&lt;&gt;T[[#This Row],[qty_invoiced]],IF(T[[#This Row],[qty_invoiced]]&gt;0,"Partial Invoiced","Not Invoiced"),"Fully Invoiced")</f>
        <v>Fully Invoiced</v>
      </c>
      <c r="R3380" t="str">
        <f>IFERROR(VLOOKUP(T[[#This Row],[warehouse]],Table2[],2,FALSE),"--")</f>
        <v>--</v>
      </c>
    </row>
    <row r="3381" spans="1:18" x14ac:dyDescent="0.25">
      <c r="A3381" t="s">
        <v>1316</v>
      </c>
      <c r="B3381" s="1">
        <v>44917</v>
      </c>
      <c r="C3381" t="s">
        <v>2975</v>
      </c>
      <c r="D3381" t="s">
        <v>100</v>
      </c>
      <c r="E3381" t="s">
        <v>51</v>
      </c>
      <c r="F3381" t="s">
        <v>183</v>
      </c>
      <c r="G3381" t="s">
        <v>1668</v>
      </c>
      <c r="H3381" t="s">
        <v>54</v>
      </c>
      <c r="I3381">
        <v>500</v>
      </c>
      <c r="J3381">
        <v>0</v>
      </c>
      <c r="K3381">
        <v>1</v>
      </c>
      <c r="L3381" t="s">
        <v>693</v>
      </c>
      <c r="M3381" t="s">
        <v>2836</v>
      </c>
      <c r="N3381">
        <v>13000</v>
      </c>
      <c r="O3381">
        <v>0</v>
      </c>
      <c r="P3381" t="str">
        <f>IF(T[[#This Row],[qty_ordered]]&lt;&gt;T[[#This Row],[qty_received]],IF(T[[#This Row],[qty_received]]&gt;0,"Partial Received","Not Receviced"),"FullyReceived")</f>
        <v>Not Receviced</v>
      </c>
      <c r="Q3381" t="str">
        <f>IF(T[[#This Row],[qty_received]]&lt;&gt;T[[#This Row],[qty_invoiced]],IF(T[[#This Row],[qty_invoiced]]&gt;0,"Partial Invoiced","Not Invoiced"),"Fully Invoiced")</f>
        <v>Partial Invoiced</v>
      </c>
      <c r="R3381" t="str">
        <f>IFERROR(VLOOKUP(T[[#This Row],[warehouse]],Table2[],2,FALSE),"--")</f>
        <v>--</v>
      </c>
    </row>
    <row r="3382" spans="1:18" x14ac:dyDescent="0.25">
      <c r="A3382" t="s">
        <v>224</v>
      </c>
      <c r="B3382" s="1">
        <v>44941</v>
      </c>
      <c r="C3382" t="s">
        <v>3052</v>
      </c>
      <c r="D3382" t="s">
        <v>71</v>
      </c>
      <c r="E3382" t="s">
        <v>51</v>
      </c>
      <c r="F3382" t="s">
        <v>183</v>
      </c>
      <c r="G3382" t="s">
        <v>1488</v>
      </c>
      <c r="H3382" t="s">
        <v>54</v>
      </c>
      <c r="I3382">
        <v>500</v>
      </c>
      <c r="J3382">
        <v>0</v>
      </c>
      <c r="K3382">
        <v>1</v>
      </c>
      <c r="L3382" t="s">
        <v>693</v>
      </c>
      <c r="M3382" t="s">
        <v>51</v>
      </c>
      <c r="N3382">
        <v>13000</v>
      </c>
      <c r="O3382">
        <v>0</v>
      </c>
      <c r="P3382" t="str">
        <f>IF(T[[#This Row],[qty_ordered]]&lt;&gt;T[[#This Row],[qty_received]],IF(T[[#This Row],[qty_received]]&gt;0,"Partial Received","Not Receviced"),"FullyReceived")</f>
        <v>Not Receviced</v>
      </c>
      <c r="Q3382" t="str">
        <f>IF(T[[#This Row],[qty_received]]&lt;&gt;T[[#This Row],[qty_invoiced]],IF(T[[#This Row],[qty_invoiced]]&gt;0,"Partial Invoiced","Not Invoiced"),"Fully Invoiced")</f>
        <v>Partial Invoiced</v>
      </c>
      <c r="R3382" t="str">
        <f>IFERROR(VLOOKUP(T[[#This Row],[warehouse]],Table2[],2,FALSE),"--")</f>
        <v>--</v>
      </c>
    </row>
    <row r="3383" spans="1:18" x14ac:dyDescent="0.25">
      <c r="A3383" t="s">
        <v>989</v>
      </c>
      <c r="B3383" s="1">
        <v>44924</v>
      </c>
      <c r="C3383" t="s">
        <v>2992</v>
      </c>
      <c r="D3383" t="s">
        <v>74</v>
      </c>
      <c r="E3383" t="s">
        <v>51</v>
      </c>
      <c r="F3383" t="s">
        <v>183</v>
      </c>
      <c r="G3383" t="s">
        <v>2108</v>
      </c>
      <c r="H3383" t="s">
        <v>54</v>
      </c>
      <c r="I3383">
        <v>300</v>
      </c>
      <c r="J3383">
        <v>0</v>
      </c>
      <c r="K3383">
        <v>1</v>
      </c>
      <c r="L3383" t="s">
        <v>693</v>
      </c>
      <c r="M3383" t="s">
        <v>51</v>
      </c>
      <c r="N3383">
        <v>13000</v>
      </c>
      <c r="O3383">
        <v>0</v>
      </c>
      <c r="P3383" t="str">
        <f>IF(T[[#This Row],[qty_ordered]]&lt;&gt;T[[#This Row],[qty_received]],IF(T[[#This Row],[qty_received]]&gt;0,"Partial Received","Not Receviced"),"FullyReceived")</f>
        <v>Not Receviced</v>
      </c>
      <c r="Q3383" t="str">
        <f>IF(T[[#This Row],[qty_received]]&lt;&gt;T[[#This Row],[qty_invoiced]],IF(T[[#This Row],[qty_invoiced]]&gt;0,"Partial Invoiced","Not Invoiced"),"Fully Invoiced")</f>
        <v>Partial Invoiced</v>
      </c>
      <c r="R3383" t="str">
        <f>IFERROR(VLOOKUP(T[[#This Row],[warehouse]],Table2[],2,FALSE),"--")</f>
        <v>--</v>
      </c>
    </row>
    <row r="3384" spans="1:18" x14ac:dyDescent="0.25">
      <c r="A3384" t="s">
        <v>3212</v>
      </c>
      <c r="B3384" s="1">
        <v>44971</v>
      </c>
      <c r="C3384" t="s">
        <v>3213</v>
      </c>
      <c r="D3384" t="s">
        <v>20</v>
      </c>
      <c r="E3384" t="s">
        <v>51</v>
      </c>
      <c r="F3384" t="s">
        <v>247</v>
      </c>
      <c r="G3384" t="s">
        <v>2258</v>
      </c>
      <c r="H3384" t="s">
        <v>54</v>
      </c>
      <c r="I3384">
        <v>2653.2220000000002</v>
      </c>
      <c r="J3384">
        <v>0</v>
      </c>
      <c r="K3384">
        <v>1</v>
      </c>
      <c r="L3384" t="s">
        <v>693</v>
      </c>
      <c r="M3384" t="s">
        <v>2836</v>
      </c>
      <c r="N3384">
        <v>50000</v>
      </c>
      <c r="O3384">
        <v>0</v>
      </c>
      <c r="P3384" t="str">
        <f>IF(T[[#This Row],[qty_ordered]]&lt;&gt;T[[#This Row],[qty_received]],IF(T[[#This Row],[qty_received]]&gt;0,"Partial Received","Not Receviced"),"FullyReceived")</f>
        <v>Not Receviced</v>
      </c>
      <c r="Q3384" t="str">
        <f>IF(T[[#This Row],[qty_received]]&lt;&gt;T[[#This Row],[qty_invoiced]],IF(T[[#This Row],[qty_invoiced]]&gt;0,"Partial Invoiced","Not Invoiced"),"Fully Invoiced")</f>
        <v>Partial Invoiced</v>
      </c>
      <c r="R3384" t="str">
        <f>IFERROR(VLOOKUP(T[[#This Row],[warehouse]],Table2[],2,FALSE),"--")</f>
        <v>--</v>
      </c>
    </row>
    <row r="3385" spans="1:18" x14ac:dyDescent="0.25">
      <c r="A3385" t="s">
        <v>2411</v>
      </c>
      <c r="B3385" s="1">
        <v>44973</v>
      </c>
      <c r="C3385" t="s">
        <v>3214</v>
      </c>
      <c r="D3385" t="s">
        <v>20</v>
      </c>
      <c r="E3385" t="s">
        <v>51</v>
      </c>
      <c r="F3385" t="s">
        <v>52</v>
      </c>
      <c r="G3385" t="s">
        <v>3215</v>
      </c>
      <c r="H3385" t="s">
        <v>54</v>
      </c>
      <c r="I3385">
        <v>1</v>
      </c>
      <c r="J3385">
        <v>0</v>
      </c>
      <c r="K3385">
        <v>0</v>
      </c>
      <c r="L3385" t="s">
        <v>693</v>
      </c>
      <c r="M3385" t="s">
        <v>1485</v>
      </c>
      <c r="N3385">
        <v>20000000</v>
      </c>
      <c r="O3385">
        <v>0</v>
      </c>
      <c r="P3385" t="str">
        <f>IF(T[[#This Row],[qty_ordered]]&lt;&gt;T[[#This Row],[qty_received]],IF(T[[#This Row],[qty_received]]&gt;0,"Partial Received","Not Receviced"),"FullyReceived")</f>
        <v>Not Receviced</v>
      </c>
      <c r="Q3385" t="str">
        <f>IF(T[[#This Row],[qty_received]]&lt;&gt;T[[#This Row],[qty_invoiced]],IF(T[[#This Row],[qty_invoiced]]&gt;0,"Partial Invoiced","Not Invoiced"),"Fully Invoiced")</f>
        <v>Fully Invoiced</v>
      </c>
      <c r="R3385" t="str">
        <f>IFERROR(VLOOKUP(T[[#This Row],[warehouse]],Table2[],2,FALSE),"--")</f>
        <v>--</v>
      </c>
    </row>
    <row r="3386" spans="1:18" x14ac:dyDescent="0.25">
      <c r="A3386" t="s">
        <v>989</v>
      </c>
      <c r="B3386" s="1">
        <v>44924</v>
      </c>
      <c r="C3386" t="s">
        <v>2992</v>
      </c>
      <c r="D3386" t="s">
        <v>76</v>
      </c>
      <c r="E3386" t="s">
        <v>51</v>
      </c>
      <c r="F3386" t="s">
        <v>183</v>
      </c>
      <c r="G3386" t="s">
        <v>1774</v>
      </c>
      <c r="H3386" t="s">
        <v>54</v>
      </c>
      <c r="I3386">
        <v>300</v>
      </c>
      <c r="J3386">
        <v>0</v>
      </c>
      <c r="K3386">
        <v>1</v>
      </c>
      <c r="L3386" t="s">
        <v>693</v>
      </c>
      <c r="M3386" t="s">
        <v>51</v>
      </c>
      <c r="N3386">
        <v>13000</v>
      </c>
      <c r="O3386">
        <v>0</v>
      </c>
      <c r="P3386" t="str">
        <f>IF(T[[#This Row],[qty_ordered]]&lt;&gt;T[[#This Row],[qty_received]],IF(T[[#This Row],[qty_received]]&gt;0,"Partial Received","Not Receviced"),"FullyReceived")</f>
        <v>Not Receviced</v>
      </c>
      <c r="Q3386" t="str">
        <f>IF(T[[#This Row],[qty_received]]&lt;&gt;T[[#This Row],[qty_invoiced]],IF(T[[#This Row],[qty_invoiced]]&gt;0,"Partial Invoiced","Not Invoiced"),"Fully Invoiced")</f>
        <v>Partial Invoiced</v>
      </c>
      <c r="R3386" t="str">
        <f>IFERROR(VLOOKUP(T[[#This Row],[warehouse]],Table2[],2,FALSE),"--")</f>
        <v>--</v>
      </c>
    </row>
    <row r="3387" spans="1:18" x14ac:dyDescent="0.25">
      <c r="A3387" t="s">
        <v>560</v>
      </c>
      <c r="B3387" s="1">
        <v>44902</v>
      </c>
      <c r="C3387" t="s">
        <v>2935</v>
      </c>
      <c r="D3387" t="s">
        <v>76</v>
      </c>
      <c r="E3387" t="s">
        <v>51</v>
      </c>
      <c r="F3387" t="s">
        <v>2842</v>
      </c>
      <c r="G3387" t="s">
        <v>3216</v>
      </c>
      <c r="H3387" t="s">
        <v>54</v>
      </c>
      <c r="I3387">
        <v>19.5</v>
      </c>
      <c r="J3387">
        <v>0</v>
      </c>
      <c r="K3387">
        <v>1</v>
      </c>
      <c r="L3387" t="s">
        <v>693</v>
      </c>
      <c r="M3387" t="s">
        <v>2836</v>
      </c>
      <c r="N3387">
        <v>12285</v>
      </c>
      <c r="O3387">
        <v>0</v>
      </c>
      <c r="P3387" t="str">
        <f>IF(T[[#This Row],[qty_ordered]]&lt;&gt;T[[#This Row],[qty_received]],IF(T[[#This Row],[qty_received]]&gt;0,"Partial Received","Not Receviced"),"FullyReceived")</f>
        <v>Not Receviced</v>
      </c>
      <c r="Q3387" t="str">
        <f>IF(T[[#This Row],[qty_received]]&lt;&gt;T[[#This Row],[qty_invoiced]],IF(T[[#This Row],[qty_invoiced]]&gt;0,"Partial Invoiced","Not Invoiced"),"Fully Invoiced")</f>
        <v>Partial Invoiced</v>
      </c>
      <c r="R3387" t="str">
        <f>IFERROR(VLOOKUP(T[[#This Row],[warehouse]],Table2[],2,FALSE),"--")</f>
        <v>--</v>
      </c>
    </row>
    <row r="3388" spans="1:18" x14ac:dyDescent="0.25">
      <c r="A3388" t="s">
        <v>1059</v>
      </c>
      <c r="B3388" s="1">
        <v>45027</v>
      </c>
      <c r="C3388" t="s">
        <v>3173</v>
      </c>
      <c r="D3388" t="s">
        <v>74</v>
      </c>
      <c r="E3388" t="s">
        <v>51</v>
      </c>
      <c r="F3388" t="s">
        <v>793</v>
      </c>
      <c r="G3388" t="s">
        <v>3217</v>
      </c>
      <c r="H3388" t="s">
        <v>54</v>
      </c>
      <c r="I3388">
        <v>3554</v>
      </c>
      <c r="J3388">
        <v>0</v>
      </c>
      <c r="K3388">
        <v>0</v>
      </c>
      <c r="L3388" t="s">
        <v>693</v>
      </c>
      <c r="M3388" t="s">
        <v>2836</v>
      </c>
      <c r="N3388">
        <v>500</v>
      </c>
      <c r="O3388">
        <v>0</v>
      </c>
      <c r="P3388" t="str">
        <f>IF(T[[#This Row],[qty_ordered]]&lt;&gt;T[[#This Row],[qty_received]],IF(T[[#This Row],[qty_received]]&gt;0,"Partial Received","Not Receviced"),"FullyReceived")</f>
        <v>Not Receviced</v>
      </c>
      <c r="Q3388" t="str">
        <f>IF(T[[#This Row],[qty_received]]&lt;&gt;T[[#This Row],[qty_invoiced]],IF(T[[#This Row],[qty_invoiced]]&gt;0,"Partial Invoiced","Not Invoiced"),"Fully Invoiced")</f>
        <v>Fully Invoiced</v>
      </c>
      <c r="R3388" t="str">
        <f>IFERROR(VLOOKUP(T[[#This Row],[warehouse]],Table2[],2,FALSE),"--")</f>
        <v>--</v>
      </c>
    </row>
    <row r="3389" spans="1:18" x14ac:dyDescent="0.25">
      <c r="A3389" t="s">
        <v>1059</v>
      </c>
      <c r="B3389" s="1">
        <v>45027</v>
      </c>
      <c r="C3389" t="s">
        <v>3173</v>
      </c>
      <c r="D3389" t="s">
        <v>76</v>
      </c>
      <c r="E3389" t="s">
        <v>51</v>
      </c>
      <c r="F3389" t="s">
        <v>3218</v>
      </c>
      <c r="G3389" t="s">
        <v>3219</v>
      </c>
      <c r="H3389" t="s">
        <v>54</v>
      </c>
      <c r="I3389">
        <v>1870</v>
      </c>
      <c r="J3389">
        <v>0</v>
      </c>
      <c r="K3389">
        <v>0</v>
      </c>
      <c r="L3389" t="s">
        <v>693</v>
      </c>
      <c r="M3389" t="s">
        <v>2836</v>
      </c>
      <c r="N3389">
        <v>150</v>
      </c>
      <c r="O3389">
        <v>0</v>
      </c>
      <c r="P3389" t="str">
        <f>IF(T[[#This Row],[qty_ordered]]&lt;&gt;T[[#This Row],[qty_received]],IF(T[[#This Row],[qty_received]]&gt;0,"Partial Received","Not Receviced"),"FullyReceived")</f>
        <v>Not Receviced</v>
      </c>
      <c r="Q3389" t="str">
        <f>IF(T[[#This Row],[qty_received]]&lt;&gt;T[[#This Row],[qty_invoiced]],IF(T[[#This Row],[qty_invoiced]]&gt;0,"Partial Invoiced","Not Invoiced"),"Fully Invoiced")</f>
        <v>Fully Invoiced</v>
      </c>
      <c r="R3389" t="str">
        <f>IFERROR(VLOOKUP(T[[#This Row],[warehouse]],Table2[],2,FALSE),"--")</f>
        <v>--</v>
      </c>
    </row>
    <row r="3390" spans="1:18" x14ac:dyDescent="0.25">
      <c r="A3390" t="s">
        <v>1059</v>
      </c>
      <c r="B3390" s="1">
        <v>45027</v>
      </c>
      <c r="C3390" t="s">
        <v>3173</v>
      </c>
      <c r="D3390" t="s">
        <v>212</v>
      </c>
      <c r="E3390" t="s">
        <v>51</v>
      </c>
      <c r="F3390" t="s">
        <v>254</v>
      </c>
      <c r="G3390" t="s">
        <v>3220</v>
      </c>
      <c r="H3390" t="s">
        <v>54</v>
      </c>
      <c r="I3390">
        <v>8900</v>
      </c>
      <c r="J3390">
        <v>0</v>
      </c>
      <c r="K3390">
        <v>0</v>
      </c>
      <c r="L3390" t="s">
        <v>693</v>
      </c>
      <c r="M3390" t="s">
        <v>2836</v>
      </c>
      <c r="N3390">
        <v>100</v>
      </c>
      <c r="O3390">
        <v>0</v>
      </c>
      <c r="P3390" t="str">
        <f>IF(T[[#This Row],[qty_ordered]]&lt;&gt;T[[#This Row],[qty_received]],IF(T[[#This Row],[qty_received]]&gt;0,"Partial Received","Not Receviced"),"FullyReceived")</f>
        <v>Not Receviced</v>
      </c>
      <c r="Q3390" t="str">
        <f>IF(T[[#This Row],[qty_received]]&lt;&gt;T[[#This Row],[qty_invoiced]],IF(T[[#This Row],[qty_invoiced]]&gt;0,"Partial Invoiced","Not Invoiced"),"Fully Invoiced")</f>
        <v>Fully Invoiced</v>
      </c>
      <c r="R3390" t="str">
        <f>IFERROR(VLOOKUP(T[[#This Row],[warehouse]],Table2[],2,FALSE),"--")</f>
        <v>--</v>
      </c>
    </row>
    <row r="3391" spans="1:18" x14ac:dyDescent="0.25">
      <c r="A3391" t="s">
        <v>1059</v>
      </c>
      <c r="B3391" s="1">
        <v>44782</v>
      </c>
      <c r="C3391" t="s">
        <v>1831</v>
      </c>
      <c r="D3391" t="s">
        <v>76</v>
      </c>
      <c r="E3391" t="s">
        <v>51</v>
      </c>
      <c r="F3391" t="s">
        <v>3218</v>
      </c>
      <c r="G3391" t="s">
        <v>3221</v>
      </c>
      <c r="H3391" t="s">
        <v>54</v>
      </c>
      <c r="I3391">
        <v>14710</v>
      </c>
      <c r="J3391">
        <v>0</v>
      </c>
      <c r="K3391">
        <v>0</v>
      </c>
      <c r="L3391" t="s">
        <v>693</v>
      </c>
      <c r="M3391" t="s">
        <v>2836</v>
      </c>
      <c r="N3391">
        <v>110</v>
      </c>
      <c r="O3391">
        <v>0</v>
      </c>
      <c r="P3391" t="str">
        <f>IF(T[[#This Row],[qty_ordered]]&lt;&gt;T[[#This Row],[qty_received]],IF(T[[#This Row],[qty_received]]&gt;0,"Partial Received","Not Receviced"),"FullyReceived")</f>
        <v>Not Receviced</v>
      </c>
      <c r="Q3391" t="str">
        <f>IF(T[[#This Row],[qty_received]]&lt;&gt;T[[#This Row],[qty_invoiced]],IF(T[[#This Row],[qty_invoiced]]&gt;0,"Partial Invoiced","Not Invoiced"),"Fully Invoiced")</f>
        <v>Fully Invoiced</v>
      </c>
      <c r="R3391" t="str">
        <f>IFERROR(VLOOKUP(T[[#This Row],[warehouse]],Table2[],2,FALSE),"--")</f>
        <v>--</v>
      </c>
    </row>
    <row r="3392" spans="1:18" x14ac:dyDescent="0.25">
      <c r="A3392" t="s">
        <v>1059</v>
      </c>
      <c r="B3392" s="1">
        <v>44782</v>
      </c>
      <c r="C3392" t="s">
        <v>1831</v>
      </c>
      <c r="D3392" t="s">
        <v>212</v>
      </c>
      <c r="E3392" t="s">
        <v>51</v>
      </c>
      <c r="F3392" t="s">
        <v>384</v>
      </c>
      <c r="G3392" t="s">
        <v>3222</v>
      </c>
      <c r="H3392" t="s">
        <v>54</v>
      </c>
      <c r="I3392">
        <v>1043</v>
      </c>
      <c r="J3392">
        <v>0</v>
      </c>
      <c r="K3392">
        <v>0</v>
      </c>
      <c r="L3392" t="s">
        <v>693</v>
      </c>
      <c r="M3392" t="s">
        <v>2836</v>
      </c>
      <c r="N3392">
        <v>150</v>
      </c>
      <c r="O3392">
        <v>0</v>
      </c>
      <c r="P3392" t="str">
        <f>IF(T[[#This Row],[qty_ordered]]&lt;&gt;T[[#This Row],[qty_received]],IF(T[[#This Row],[qty_received]]&gt;0,"Partial Received","Not Receviced"),"FullyReceived")</f>
        <v>Not Receviced</v>
      </c>
      <c r="Q3392" t="str">
        <f>IF(T[[#This Row],[qty_received]]&lt;&gt;T[[#This Row],[qty_invoiced]],IF(T[[#This Row],[qty_invoiced]]&gt;0,"Partial Invoiced","Not Invoiced"),"Fully Invoiced")</f>
        <v>Fully Invoiced</v>
      </c>
      <c r="R3392" t="str">
        <f>IFERROR(VLOOKUP(T[[#This Row],[warehouse]],Table2[],2,FALSE),"--")</f>
        <v>--</v>
      </c>
    </row>
    <row r="3393" spans="1:18" x14ac:dyDescent="0.25">
      <c r="A3393" t="s">
        <v>560</v>
      </c>
      <c r="B3393" s="1">
        <v>44902</v>
      </c>
      <c r="C3393" t="s">
        <v>2937</v>
      </c>
      <c r="D3393" t="s">
        <v>74</v>
      </c>
      <c r="E3393" t="s">
        <v>51</v>
      </c>
      <c r="F3393" t="s">
        <v>2842</v>
      </c>
      <c r="G3393" t="s">
        <v>3223</v>
      </c>
      <c r="H3393" t="s">
        <v>54</v>
      </c>
      <c r="I3393">
        <v>26</v>
      </c>
      <c r="J3393">
        <v>0</v>
      </c>
      <c r="K3393">
        <v>0</v>
      </c>
      <c r="L3393" t="s">
        <v>693</v>
      </c>
      <c r="M3393" t="s">
        <v>2836</v>
      </c>
      <c r="N3393">
        <v>12285</v>
      </c>
      <c r="O3393">
        <v>0</v>
      </c>
      <c r="P3393" t="str">
        <f>IF(T[[#This Row],[qty_ordered]]&lt;&gt;T[[#This Row],[qty_received]],IF(T[[#This Row],[qty_received]]&gt;0,"Partial Received","Not Receviced"),"FullyReceived")</f>
        <v>Not Receviced</v>
      </c>
      <c r="Q3393" t="str">
        <f>IF(T[[#This Row],[qty_received]]&lt;&gt;T[[#This Row],[qty_invoiced]],IF(T[[#This Row],[qty_invoiced]]&gt;0,"Partial Invoiced","Not Invoiced"),"Fully Invoiced")</f>
        <v>Fully Invoiced</v>
      </c>
      <c r="R3393" t="str">
        <f>IFERROR(VLOOKUP(T[[#This Row],[warehouse]],Table2[],2,FALSE),"--")</f>
        <v>--</v>
      </c>
    </row>
    <row r="3394" spans="1:18" x14ac:dyDescent="0.25">
      <c r="A3394" t="s">
        <v>201</v>
      </c>
      <c r="B3394" s="1">
        <v>45158</v>
      </c>
      <c r="C3394" t="s">
        <v>3224</v>
      </c>
      <c r="D3394" t="s">
        <v>20</v>
      </c>
      <c r="E3394" t="s">
        <v>51</v>
      </c>
      <c r="F3394" t="s">
        <v>933</v>
      </c>
      <c r="G3394" t="s">
        <v>3225</v>
      </c>
      <c r="H3394" t="s">
        <v>54</v>
      </c>
      <c r="I3394">
        <v>73000</v>
      </c>
      <c r="J3394">
        <v>0</v>
      </c>
      <c r="K3394">
        <v>0</v>
      </c>
      <c r="L3394" t="s">
        <v>693</v>
      </c>
      <c r="M3394" t="s">
        <v>3133</v>
      </c>
      <c r="N3394">
        <v>14.93928</v>
      </c>
      <c r="O3394">
        <v>0</v>
      </c>
      <c r="P3394" t="str">
        <f>IF(T[[#This Row],[qty_ordered]]&lt;&gt;T[[#This Row],[qty_received]],IF(T[[#This Row],[qty_received]]&gt;0,"Partial Received","Not Receviced"),"FullyReceived")</f>
        <v>Not Receviced</v>
      </c>
      <c r="Q3394" t="str">
        <f>IF(T[[#This Row],[qty_received]]&lt;&gt;T[[#This Row],[qty_invoiced]],IF(T[[#This Row],[qty_invoiced]]&gt;0,"Partial Invoiced","Not Invoiced"),"Fully Invoiced")</f>
        <v>Fully Invoiced</v>
      </c>
      <c r="R3394" t="str">
        <f>IFERROR(VLOOKUP(T[[#This Row],[warehouse]],Table2[],2,FALSE),"--")</f>
        <v>--</v>
      </c>
    </row>
    <row r="3395" spans="1:18" x14ac:dyDescent="0.25">
      <c r="A3395" t="s">
        <v>201</v>
      </c>
      <c r="B3395" s="1">
        <v>45158</v>
      </c>
      <c r="C3395" t="s">
        <v>3224</v>
      </c>
      <c r="D3395" t="s">
        <v>71</v>
      </c>
      <c r="E3395" t="s">
        <v>51</v>
      </c>
      <c r="F3395" t="s">
        <v>933</v>
      </c>
      <c r="G3395" t="s">
        <v>3226</v>
      </c>
      <c r="H3395" t="s">
        <v>54</v>
      </c>
      <c r="I3395">
        <v>1</v>
      </c>
      <c r="J3395">
        <v>0</v>
      </c>
      <c r="K3395">
        <v>0</v>
      </c>
      <c r="L3395" t="s">
        <v>693</v>
      </c>
      <c r="M3395" t="s">
        <v>3133</v>
      </c>
      <c r="N3395">
        <v>391694.64224000002</v>
      </c>
      <c r="O3395">
        <v>0</v>
      </c>
      <c r="P3395" t="str">
        <f>IF(T[[#This Row],[qty_ordered]]&lt;&gt;T[[#This Row],[qty_received]],IF(T[[#This Row],[qty_received]]&gt;0,"Partial Received","Not Receviced"),"FullyReceived")</f>
        <v>Not Receviced</v>
      </c>
      <c r="Q3395" t="str">
        <f>IF(T[[#This Row],[qty_received]]&lt;&gt;T[[#This Row],[qty_invoiced]],IF(T[[#This Row],[qty_invoiced]]&gt;0,"Partial Invoiced","Not Invoiced"),"Fully Invoiced")</f>
        <v>Fully Invoiced</v>
      </c>
      <c r="R3395" t="str">
        <f>IFERROR(VLOOKUP(T[[#This Row],[warehouse]],Table2[],2,FALSE),"--")</f>
        <v>--</v>
      </c>
    </row>
    <row r="3396" spans="1:18" x14ac:dyDescent="0.25">
      <c r="A3396" t="s">
        <v>3040</v>
      </c>
      <c r="B3396" s="1">
        <v>45168</v>
      </c>
      <c r="C3396" t="s">
        <v>3227</v>
      </c>
      <c r="D3396" t="s">
        <v>20</v>
      </c>
      <c r="E3396" t="s">
        <v>621</v>
      </c>
      <c r="F3396" t="s">
        <v>196</v>
      </c>
      <c r="G3396" t="s">
        <v>197</v>
      </c>
      <c r="H3396" t="s">
        <v>24</v>
      </c>
      <c r="I3396">
        <v>5000</v>
      </c>
      <c r="J3396">
        <v>5000</v>
      </c>
      <c r="K3396">
        <v>5000</v>
      </c>
      <c r="L3396" t="s">
        <v>693</v>
      </c>
      <c r="M3396" t="s">
        <v>132</v>
      </c>
      <c r="N3396">
        <v>233333.34</v>
      </c>
      <c r="O3396">
        <v>1166666700</v>
      </c>
      <c r="P3396" t="str">
        <f>IF(T[[#This Row],[qty_ordered]]&lt;&gt;T[[#This Row],[qty_received]],IF(T[[#This Row],[qty_received]]&gt;0,"Partial Received","Not Receviced"),"FullyReceived")</f>
        <v>FullyReceived</v>
      </c>
      <c r="Q3396" t="str">
        <f>IF(T[[#This Row],[qty_received]]&lt;&gt;T[[#This Row],[qty_invoiced]],IF(T[[#This Row],[qty_invoiced]]&gt;0,"Partial Invoiced","Not Invoiced"),"Fully Invoiced")</f>
        <v>Fully Invoiced</v>
      </c>
      <c r="R3396" t="str">
        <f>IFERROR(VLOOKUP(T[[#This Row],[warehouse]],Table2[],2,FALSE),"--")</f>
        <v>SIFTER CONCRETE SILO</v>
      </c>
    </row>
    <row r="3397" spans="1:18" x14ac:dyDescent="0.25">
      <c r="A3397" t="s">
        <v>3228</v>
      </c>
      <c r="B3397" s="1">
        <v>45229</v>
      </c>
      <c r="C3397" t="s">
        <v>3229</v>
      </c>
      <c r="D3397" t="s">
        <v>20</v>
      </c>
      <c r="E3397" t="s">
        <v>2780</v>
      </c>
      <c r="F3397" t="s">
        <v>1307</v>
      </c>
      <c r="G3397" t="s">
        <v>1308</v>
      </c>
      <c r="H3397" t="s">
        <v>149</v>
      </c>
      <c r="I3397">
        <v>1000</v>
      </c>
      <c r="J3397">
        <v>1000</v>
      </c>
      <c r="K3397">
        <v>0</v>
      </c>
      <c r="L3397" t="s">
        <v>693</v>
      </c>
      <c r="M3397" t="s">
        <v>3138</v>
      </c>
      <c r="N3397">
        <v>380</v>
      </c>
      <c r="O3397">
        <v>380000</v>
      </c>
      <c r="P3397" t="str">
        <f>IF(T[[#This Row],[qty_ordered]]&lt;&gt;T[[#This Row],[qty_received]],IF(T[[#This Row],[qty_received]]&gt;0,"Partial Received","Not Receviced"),"FullyReceived")</f>
        <v>FullyReceived</v>
      </c>
      <c r="Q3397" t="str">
        <f>IF(T[[#This Row],[qty_received]]&lt;&gt;T[[#This Row],[qty_invoiced]],IF(T[[#This Row],[qty_invoiced]]&gt;0,"Partial Invoiced","Not Invoiced"),"Fully Invoiced")</f>
        <v>Not Invoiced</v>
      </c>
      <c r="R3397" t="str">
        <f>IFERROR(VLOOKUP(T[[#This Row],[warehouse]],Table2[],2,FALSE),"--")</f>
        <v>PZU IMPORT WH</v>
      </c>
    </row>
    <row r="3398" spans="1:18" x14ac:dyDescent="0.25">
      <c r="A3398" t="s">
        <v>228</v>
      </c>
      <c r="B3398" s="1">
        <v>45229</v>
      </c>
      <c r="C3398" t="s">
        <v>3230</v>
      </c>
      <c r="D3398" t="s">
        <v>20</v>
      </c>
      <c r="E3398" t="s">
        <v>239</v>
      </c>
      <c r="F3398" t="s">
        <v>230</v>
      </c>
      <c r="G3398" t="s">
        <v>231</v>
      </c>
      <c r="H3398" t="s">
        <v>24</v>
      </c>
      <c r="I3398">
        <v>1416.18</v>
      </c>
      <c r="J3398">
        <v>1175.5999999999999</v>
      </c>
      <c r="K3398">
        <v>0</v>
      </c>
      <c r="L3398" t="s">
        <v>693</v>
      </c>
      <c r="M3398" t="s">
        <v>1485</v>
      </c>
      <c r="N3398">
        <v>1490750</v>
      </c>
      <c r="O3398">
        <v>1752525700</v>
      </c>
      <c r="P3398" t="str">
        <f>IF(T[[#This Row],[qty_ordered]]&lt;&gt;T[[#This Row],[qty_received]],IF(T[[#This Row],[qty_received]]&gt;0,"Partial Received","Not Receviced"),"FullyReceived")</f>
        <v>Partial Received</v>
      </c>
      <c r="Q3398" t="str">
        <f>IF(T[[#This Row],[qty_received]]&lt;&gt;T[[#This Row],[qty_invoiced]],IF(T[[#This Row],[qty_invoiced]]&gt;0,"Partial Invoiced","Not Invoiced"),"Fully Invoiced")</f>
        <v>Not Invoiced</v>
      </c>
      <c r="R3398" t="str">
        <f>IFERROR(VLOOKUP(T[[#This Row],[warehouse]],Table2[],2,FALSE),"--")</f>
        <v xml:space="preserve">Gadarif Main Store </v>
      </c>
    </row>
    <row r="3399" spans="1:18" x14ac:dyDescent="0.25">
      <c r="A3399" t="s">
        <v>3231</v>
      </c>
      <c r="B3399" s="1">
        <v>45206</v>
      </c>
      <c r="C3399" t="s">
        <v>3232</v>
      </c>
      <c r="D3399" t="s">
        <v>20</v>
      </c>
      <c r="E3399" t="s">
        <v>621</v>
      </c>
      <c r="F3399" t="s">
        <v>294</v>
      </c>
      <c r="G3399" t="s">
        <v>295</v>
      </c>
      <c r="H3399" t="s">
        <v>149</v>
      </c>
      <c r="I3399">
        <v>100000</v>
      </c>
      <c r="J3399">
        <v>100000</v>
      </c>
      <c r="K3399">
        <v>0</v>
      </c>
      <c r="L3399" t="s">
        <v>693</v>
      </c>
      <c r="M3399" t="s">
        <v>3138</v>
      </c>
      <c r="N3399">
        <v>275</v>
      </c>
      <c r="O3399">
        <v>27500000</v>
      </c>
      <c r="P3399" t="str">
        <f>IF(T[[#This Row],[qty_ordered]]&lt;&gt;T[[#This Row],[qty_received]],IF(T[[#This Row],[qty_received]]&gt;0,"Partial Received","Not Receviced"),"FullyReceived")</f>
        <v>FullyReceived</v>
      </c>
      <c r="Q3399" t="str">
        <f>IF(T[[#This Row],[qty_received]]&lt;&gt;T[[#This Row],[qty_invoiced]],IF(T[[#This Row],[qty_invoiced]]&gt;0,"Partial Invoiced","Not Invoiced"),"Fully Invoiced")</f>
        <v>Not Invoiced</v>
      </c>
      <c r="R3399" t="str">
        <f>IFERROR(VLOOKUP(T[[#This Row],[warehouse]],Table2[],2,FALSE),"--")</f>
        <v>SIFTER CONCRETE SILO</v>
      </c>
    </row>
    <row r="3400" spans="1:18" x14ac:dyDescent="0.25">
      <c r="A3400" t="s">
        <v>1931</v>
      </c>
      <c r="B3400" s="1">
        <v>44476</v>
      </c>
      <c r="C3400" t="s">
        <v>1932</v>
      </c>
      <c r="D3400" t="s">
        <v>71</v>
      </c>
      <c r="E3400" t="s">
        <v>1285</v>
      </c>
      <c r="F3400" t="s">
        <v>1338</v>
      </c>
      <c r="G3400" t="s">
        <v>1339</v>
      </c>
      <c r="H3400" t="s">
        <v>123</v>
      </c>
      <c r="I3400">
        <v>3555</v>
      </c>
      <c r="J3400">
        <v>3555</v>
      </c>
      <c r="K3400">
        <v>3555</v>
      </c>
      <c r="L3400" t="s">
        <v>25</v>
      </c>
      <c r="M3400" t="s">
        <v>707</v>
      </c>
      <c r="N3400">
        <v>19970</v>
      </c>
      <c r="O3400">
        <v>70993350</v>
      </c>
      <c r="P3400" t="str">
        <f>IF(T[[#This Row],[qty_ordered]]&lt;&gt;T[[#This Row],[qty_received]],IF(T[[#This Row],[qty_received]]&gt;0,"Partial Received","Not Receviced"),"FullyReceived")</f>
        <v>FullyReceived</v>
      </c>
      <c r="Q3400" t="str">
        <f>IF(T[[#This Row],[qty_received]]&lt;&gt;T[[#This Row],[qty_invoiced]],IF(T[[#This Row],[qty_invoiced]]&gt;0,"Partial Invoiced","Not Invoiced"),"Fully Invoiced")</f>
        <v>Fully Invoiced</v>
      </c>
      <c r="R3400" t="str">
        <f>IFERROR(VLOOKUP(T[[#This Row],[warehouse]],Table2[],2,FALSE),"--")</f>
        <v>Khartoum Import Warehouse</v>
      </c>
    </row>
    <row r="3401" spans="1:18" x14ac:dyDescent="0.25">
      <c r="A3401" t="s">
        <v>560</v>
      </c>
      <c r="B3401" s="1">
        <v>44251</v>
      </c>
      <c r="C3401" t="s">
        <v>1247</v>
      </c>
      <c r="D3401" t="s">
        <v>591</v>
      </c>
      <c r="E3401" t="s">
        <v>51</v>
      </c>
      <c r="F3401" t="s">
        <v>164</v>
      </c>
      <c r="G3401" t="s">
        <v>1908</v>
      </c>
      <c r="H3401" t="s">
        <v>54</v>
      </c>
      <c r="I3401">
        <v>27.75</v>
      </c>
      <c r="J3401">
        <v>0</v>
      </c>
      <c r="K3401">
        <v>1</v>
      </c>
      <c r="L3401" t="s">
        <v>25</v>
      </c>
      <c r="M3401" t="s">
        <v>533</v>
      </c>
      <c r="N3401">
        <v>4130.1621999999998</v>
      </c>
      <c r="O3401">
        <v>0</v>
      </c>
      <c r="P3401" t="str">
        <f>IF(T[[#This Row],[qty_ordered]]&lt;&gt;T[[#This Row],[qty_received]],IF(T[[#This Row],[qty_received]]&gt;0,"Partial Received","Not Receviced"),"FullyReceived")</f>
        <v>Not Receviced</v>
      </c>
      <c r="Q3401" t="str">
        <f>IF(T[[#This Row],[qty_received]]&lt;&gt;T[[#This Row],[qty_invoiced]],IF(T[[#This Row],[qty_invoiced]]&gt;0,"Partial Invoiced","Not Invoiced"),"Fully Invoiced")</f>
        <v>Partial Invoiced</v>
      </c>
      <c r="R3401" t="str">
        <f>IFERROR(VLOOKUP(T[[#This Row],[warehouse]],Table2[],2,FALSE),"--")</f>
        <v>--</v>
      </c>
    </row>
    <row r="3402" spans="1:18" x14ac:dyDescent="0.25">
      <c r="A3402" t="s">
        <v>560</v>
      </c>
      <c r="B3402" s="1">
        <v>44251</v>
      </c>
      <c r="C3402" t="s">
        <v>1247</v>
      </c>
      <c r="D3402" t="s">
        <v>592</v>
      </c>
      <c r="E3402" t="s">
        <v>51</v>
      </c>
      <c r="F3402" t="s">
        <v>164</v>
      </c>
      <c r="G3402" t="s">
        <v>1908</v>
      </c>
      <c r="H3402" t="s">
        <v>54</v>
      </c>
      <c r="I3402">
        <v>32.125</v>
      </c>
      <c r="J3402">
        <v>0</v>
      </c>
      <c r="K3402">
        <v>1</v>
      </c>
      <c r="L3402" t="s">
        <v>25</v>
      </c>
      <c r="M3402" t="s">
        <v>533</v>
      </c>
      <c r="N3402">
        <v>4130.1478999999999</v>
      </c>
      <c r="O3402">
        <v>0</v>
      </c>
      <c r="P3402" t="str">
        <f>IF(T[[#This Row],[qty_ordered]]&lt;&gt;T[[#This Row],[qty_received]],IF(T[[#This Row],[qty_received]]&gt;0,"Partial Received","Not Receviced"),"FullyReceived")</f>
        <v>Not Receviced</v>
      </c>
      <c r="Q3402" t="str">
        <f>IF(T[[#This Row],[qty_received]]&lt;&gt;T[[#This Row],[qty_invoiced]],IF(T[[#This Row],[qty_invoiced]]&gt;0,"Partial Invoiced","Not Invoiced"),"Fully Invoiced")</f>
        <v>Partial Invoiced</v>
      </c>
      <c r="R3402" t="str">
        <f>IFERROR(VLOOKUP(T[[#This Row],[warehouse]],Table2[],2,FALSE),"--")</f>
        <v>--</v>
      </c>
    </row>
    <row r="3403" spans="1:18" x14ac:dyDescent="0.25">
      <c r="A3403" t="s">
        <v>560</v>
      </c>
      <c r="B3403" s="1">
        <v>44251</v>
      </c>
      <c r="C3403" t="s">
        <v>1247</v>
      </c>
      <c r="D3403" t="s">
        <v>593</v>
      </c>
      <c r="E3403" t="s">
        <v>51</v>
      </c>
      <c r="F3403" t="s">
        <v>164</v>
      </c>
      <c r="G3403" t="s">
        <v>1908</v>
      </c>
      <c r="H3403" t="s">
        <v>54</v>
      </c>
      <c r="I3403">
        <v>11</v>
      </c>
      <c r="J3403">
        <v>0</v>
      </c>
      <c r="K3403">
        <v>1</v>
      </c>
      <c r="L3403" t="s">
        <v>25</v>
      </c>
      <c r="M3403" t="s">
        <v>533</v>
      </c>
      <c r="N3403">
        <v>4130.1818000000003</v>
      </c>
      <c r="O3403">
        <v>0</v>
      </c>
      <c r="P3403" t="str">
        <f>IF(T[[#This Row],[qty_ordered]]&lt;&gt;T[[#This Row],[qty_received]],IF(T[[#This Row],[qty_received]]&gt;0,"Partial Received","Not Receviced"),"FullyReceived")</f>
        <v>Not Receviced</v>
      </c>
      <c r="Q3403" t="str">
        <f>IF(T[[#This Row],[qty_received]]&lt;&gt;T[[#This Row],[qty_invoiced]],IF(T[[#This Row],[qty_invoiced]]&gt;0,"Partial Invoiced","Not Invoiced"),"Fully Invoiced")</f>
        <v>Partial Invoiced</v>
      </c>
      <c r="R3403" t="str">
        <f>IFERROR(VLOOKUP(T[[#This Row],[warehouse]],Table2[],2,FALSE),"--")</f>
        <v>--</v>
      </c>
    </row>
    <row r="3404" spans="1:18" x14ac:dyDescent="0.25">
      <c r="A3404" t="s">
        <v>658</v>
      </c>
      <c r="B3404" s="1">
        <v>44363</v>
      </c>
      <c r="C3404" t="s">
        <v>1397</v>
      </c>
      <c r="D3404" t="s">
        <v>324</v>
      </c>
      <c r="E3404" t="s">
        <v>660</v>
      </c>
      <c r="F3404" t="s">
        <v>661</v>
      </c>
      <c r="G3404" t="s">
        <v>662</v>
      </c>
      <c r="H3404" t="s">
        <v>663</v>
      </c>
      <c r="I3404">
        <v>2059.6999999999998</v>
      </c>
      <c r="J3404">
        <v>2059.6999999999998</v>
      </c>
      <c r="K3404">
        <v>2059.6999999999998</v>
      </c>
      <c r="L3404" t="s">
        <v>25</v>
      </c>
      <c r="M3404" t="s">
        <v>132</v>
      </c>
      <c r="N3404">
        <v>1400</v>
      </c>
      <c r="O3404">
        <v>2883580</v>
      </c>
      <c r="P3404" t="str">
        <f>IF(T[[#This Row],[qty_ordered]]&lt;&gt;T[[#This Row],[qty_received]],IF(T[[#This Row],[qty_received]]&gt;0,"Partial Received","Not Receviced"),"FullyReceived")</f>
        <v>FullyReceived</v>
      </c>
      <c r="Q3404" t="str">
        <f>IF(T[[#This Row],[qty_received]]&lt;&gt;T[[#This Row],[qty_invoiced]],IF(T[[#This Row],[qty_invoiced]]&gt;0,"Partial Invoiced","Not Invoiced"),"Fully Invoiced")</f>
        <v>Fully Invoiced</v>
      </c>
      <c r="R3404" t="str">
        <f>IFERROR(VLOOKUP(T[[#This Row],[warehouse]],Table2[],2,FALSE),"--")</f>
        <v>SLAUGHTER HOUSE</v>
      </c>
    </row>
    <row r="3405" spans="1:18" x14ac:dyDescent="0.25">
      <c r="A3405" t="s">
        <v>658</v>
      </c>
      <c r="B3405" s="1">
        <v>44363</v>
      </c>
      <c r="C3405" t="s">
        <v>1397</v>
      </c>
      <c r="D3405" t="s">
        <v>325</v>
      </c>
      <c r="E3405" t="s">
        <v>660</v>
      </c>
      <c r="F3405" t="s">
        <v>661</v>
      </c>
      <c r="G3405" t="s">
        <v>662</v>
      </c>
      <c r="H3405" t="s">
        <v>663</v>
      </c>
      <c r="I3405">
        <v>2015.7</v>
      </c>
      <c r="J3405">
        <v>2015.7</v>
      </c>
      <c r="K3405">
        <v>2015.7</v>
      </c>
      <c r="L3405" t="s">
        <v>25</v>
      </c>
      <c r="M3405" t="s">
        <v>132</v>
      </c>
      <c r="N3405">
        <v>1400</v>
      </c>
      <c r="O3405">
        <v>2821980</v>
      </c>
      <c r="P3405" t="str">
        <f>IF(T[[#This Row],[qty_ordered]]&lt;&gt;T[[#This Row],[qty_received]],IF(T[[#This Row],[qty_received]]&gt;0,"Partial Received","Not Receviced"),"FullyReceived")</f>
        <v>FullyReceived</v>
      </c>
      <c r="Q3405" t="str">
        <f>IF(T[[#This Row],[qty_received]]&lt;&gt;T[[#This Row],[qty_invoiced]],IF(T[[#This Row],[qty_invoiced]]&gt;0,"Partial Invoiced","Not Invoiced"),"Fully Invoiced")</f>
        <v>Fully Invoiced</v>
      </c>
      <c r="R3405" t="str">
        <f>IFERROR(VLOOKUP(T[[#This Row],[warehouse]],Table2[],2,FALSE),"--")</f>
        <v>SLAUGHTER HOUSE</v>
      </c>
    </row>
    <row r="3406" spans="1:18" x14ac:dyDescent="0.25">
      <c r="A3406" t="s">
        <v>1170</v>
      </c>
      <c r="B3406" s="1">
        <v>44223</v>
      </c>
      <c r="C3406" t="s">
        <v>1201</v>
      </c>
      <c r="D3406" t="s">
        <v>88</v>
      </c>
      <c r="E3406" t="s">
        <v>51</v>
      </c>
      <c r="F3406" t="s">
        <v>254</v>
      </c>
      <c r="G3406" t="s">
        <v>255</v>
      </c>
      <c r="H3406" t="s">
        <v>54</v>
      </c>
      <c r="I3406">
        <v>1</v>
      </c>
      <c r="J3406">
        <v>0</v>
      </c>
      <c r="K3406">
        <v>1</v>
      </c>
      <c r="L3406" t="s">
        <v>25</v>
      </c>
      <c r="M3406" t="s">
        <v>132</v>
      </c>
      <c r="N3406">
        <v>450000</v>
      </c>
      <c r="O3406">
        <v>0</v>
      </c>
      <c r="P3406" t="str">
        <f>IF(T[[#This Row],[qty_ordered]]&lt;&gt;T[[#This Row],[qty_received]],IF(T[[#This Row],[qty_received]]&gt;0,"Partial Received","Not Receviced"),"FullyReceived")</f>
        <v>Not Receviced</v>
      </c>
      <c r="Q3406" t="str">
        <f>IF(T[[#This Row],[qty_received]]&lt;&gt;T[[#This Row],[qty_invoiced]],IF(T[[#This Row],[qty_invoiced]]&gt;0,"Partial Invoiced","Not Invoiced"),"Fully Invoiced")</f>
        <v>Partial Invoiced</v>
      </c>
      <c r="R3406" t="str">
        <f>IFERROR(VLOOKUP(T[[#This Row],[warehouse]],Table2[],2,FALSE),"--")</f>
        <v>--</v>
      </c>
    </row>
    <row r="3407" spans="1:18" x14ac:dyDescent="0.25">
      <c r="A3407" t="s">
        <v>1170</v>
      </c>
      <c r="B3407" s="1">
        <v>44178</v>
      </c>
      <c r="C3407" t="s">
        <v>1320</v>
      </c>
      <c r="D3407" t="s">
        <v>100</v>
      </c>
      <c r="E3407" t="s">
        <v>51</v>
      </c>
      <c r="F3407" t="s">
        <v>369</v>
      </c>
      <c r="G3407" t="s">
        <v>369</v>
      </c>
      <c r="H3407" t="s">
        <v>54</v>
      </c>
      <c r="I3407">
        <v>1</v>
      </c>
      <c r="J3407">
        <v>0</v>
      </c>
      <c r="K3407">
        <v>1</v>
      </c>
      <c r="L3407" t="s">
        <v>25</v>
      </c>
      <c r="M3407" t="s">
        <v>707</v>
      </c>
      <c r="N3407">
        <v>751000</v>
      </c>
      <c r="O3407">
        <v>0</v>
      </c>
      <c r="P3407" t="str">
        <f>IF(T[[#This Row],[qty_ordered]]&lt;&gt;T[[#This Row],[qty_received]],IF(T[[#This Row],[qty_received]]&gt;0,"Partial Received","Not Receviced"),"FullyReceived")</f>
        <v>Not Receviced</v>
      </c>
      <c r="Q3407" t="str">
        <f>IF(T[[#This Row],[qty_received]]&lt;&gt;T[[#This Row],[qty_invoiced]],IF(T[[#This Row],[qty_invoiced]]&gt;0,"Partial Invoiced","Not Invoiced"),"Fully Invoiced")</f>
        <v>Partial Invoiced</v>
      </c>
      <c r="R3407" t="str">
        <f>IFERROR(VLOOKUP(T[[#This Row],[warehouse]],Table2[],2,FALSE),"--")</f>
        <v>--</v>
      </c>
    </row>
    <row r="3408" spans="1:18" x14ac:dyDescent="0.25">
      <c r="A3408" t="s">
        <v>235</v>
      </c>
      <c r="B3408" s="1">
        <v>44199</v>
      </c>
      <c r="C3408" t="s">
        <v>1136</v>
      </c>
      <c r="D3408" t="s">
        <v>74</v>
      </c>
      <c r="E3408" t="s">
        <v>51</v>
      </c>
      <c r="F3408" t="s">
        <v>546</v>
      </c>
      <c r="G3408" t="s">
        <v>1662</v>
      </c>
      <c r="H3408" t="s">
        <v>54</v>
      </c>
      <c r="I3408">
        <v>2500</v>
      </c>
      <c r="J3408">
        <v>0</v>
      </c>
      <c r="K3408">
        <v>1</v>
      </c>
      <c r="L3408" t="s">
        <v>25</v>
      </c>
      <c r="M3408" t="s">
        <v>533</v>
      </c>
      <c r="N3408">
        <v>15.4</v>
      </c>
      <c r="O3408">
        <v>0</v>
      </c>
      <c r="P3408" t="str">
        <f>IF(T[[#This Row],[qty_ordered]]&lt;&gt;T[[#This Row],[qty_received]],IF(T[[#This Row],[qty_received]]&gt;0,"Partial Received","Not Receviced"),"FullyReceived")</f>
        <v>Not Receviced</v>
      </c>
      <c r="Q3408" t="str">
        <f>IF(T[[#This Row],[qty_received]]&lt;&gt;T[[#This Row],[qty_invoiced]],IF(T[[#This Row],[qty_invoiced]]&gt;0,"Partial Invoiced","Not Invoiced"),"Fully Invoiced")</f>
        <v>Partial Invoiced</v>
      </c>
      <c r="R3408" t="str">
        <f>IFERROR(VLOOKUP(T[[#This Row],[warehouse]],Table2[],2,FALSE),"--")</f>
        <v>--</v>
      </c>
    </row>
    <row r="3409" spans="1:18" x14ac:dyDescent="0.25">
      <c r="A3409" t="s">
        <v>955</v>
      </c>
      <c r="B3409" s="1">
        <v>44502</v>
      </c>
      <c r="C3409" t="s">
        <v>2013</v>
      </c>
      <c r="D3409" t="s">
        <v>20</v>
      </c>
      <c r="E3409" t="s">
        <v>957</v>
      </c>
      <c r="F3409" t="s">
        <v>486</v>
      </c>
      <c r="G3409" t="s">
        <v>487</v>
      </c>
      <c r="H3409" t="s">
        <v>24</v>
      </c>
      <c r="I3409">
        <v>1330</v>
      </c>
      <c r="J3409">
        <v>0</v>
      </c>
      <c r="K3409">
        <v>0</v>
      </c>
      <c r="L3409" t="s">
        <v>25</v>
      </c>
      <c r="M3409" t="s">
        <v>707</v>
      </c>
      <c r="N3409">
        <v>560000</v>
      </c>
      <c r="O3409">
        <v>0</v>
      </c>
      <c r="P3409" t="str">
        <f>IF(T[[#This Row],[qty_ordered]]&lt;&gt;T[[#This Row],[qty_received]],IF(T[[#This Row],[qty_received]]&gt;0,"Partial Received","Not Receviced"),"FullyReceived")</f>
        <v>Not Receviced</v>
      </c>
      <c r="Q3409" t="str">
        <f>IF(T[[#This Row],[qty_received]]&lt;&gt;T[[#This Row],[qty_invoiced]],IF(T[[#This Row],[qty_invoiced]]&gt;0,"Partial Invoiced","Not Invoiced"),"Fully Invoiced")</f>
        <v>Fully Invoiced</v>
      </c>
      <c r="R3409" t="str">
        <f>IFERROR(VLOOKUP(T[[#This Row],[warehouse]],Table2[],2,FALSE),"--")</f>
        <v>SEEDS SIFTING FACILITY</v>
      </c>
    </row>
    <row r="3410" spans="1:18" x14ac:dyDescent="0.25">
      <c r="A3410" t="s">
        <v>201</v>
      </c>
      <c r="B3410" s="1">
        <v>44381</v>
      </c>
      <c r="C3410" t="s">
        <v>2014</v>
      </c>
      <c r="D3410" t="s">
        <v>20</v>
      </c>
      <c r="E3410" t="s">
        <v>1220</v>
      </c>
      <c r="F3410" t="s">
        <v>1802</v>
      </c>
      <c r="G3410" t="s">
        <v>1803</v>
      </c>
      <c r="H3410" t="s">
        <v>123</v>
      </c>
      <c r="I3410">
        <v>70000</v>
      </c>
      <c r="J3410">
        <v>0</v>
      </c>
      <c r="K3410">
        <v>0</v>
      </c>
      <c r="L3410" t="s">
        <v>25</v>
      </c>
      <c r="M3410" t="s">
        <v>744</v>
      </c>
      <c r="N3410">
        <v>11388.83115</v>
      </c>
      <c r="O3410">
        <v>0</v>
      </c>
      <c r="P3410" t="str">
        <f>IF(T[[#This Row],[qty_ordered]]&lt;&gt;T[[#This Row],[qty_received]],IF(T[[#This Row],[qty_received]]&gt;0,"Partial Received","Not Receviced"),"FullyReceived")</f>
        <v>Not Receviced</v>
      </c>
      <c r="Q3410" t="str">
        <f>IF(T[[#This Row],[qty_received]]&lt;&gt;T[[#This Row],[qty_invoiced]],IF(T[[#This Row],[qty_invoiced]]&gt;0,"Partial Invoiced","Not Invoiced"),"Fully Invoiced")</f>
        <v>Fully Invoiced</v>
      </c>
      <c r="R3410" t="str">
        <f>IFERROR(VLOOKUP(T[[#This Row],[warehouse]],Table2[],2,FALSE),"--")</f>
        <v>Import Virtual Warehouse - PZU</v>
      </c>
    </row>
    <row r="3411" spans="1:18" x14ac:dyDescent="0.25">
      <c r="A3411" t="s">
        <v>84</v>
      </c>
      <c r="B3411" s="1">
        <v>44504</v>
      </c>
      <c r="C3411" t="s">
        <v>2015</v>
      </c>
      <c r="D3411" t="s">
        <v>20</v>
      </c>
      <c r="E3411" t="s">
        <v>66</v>
      </c>
      <c r="F3411" t="s">
        <v>691</v>
      </c>
      <c r="G3411" t="s">
        <v>478</v>
      </c>
      <c r="H3411" t="s">
        <v>24</v>
      </c>
      <c r="I3411">
        <v>500</v>
      </c>
      <c r="J3411">
        <v>0</v>
      </c>
      <c r="K3411">
        <v>0</v>
      </c>
      <c r="L3411" t="s">
        <v>25</v>
      </c>
      <c r="M3411" t="s">
        <v>132</v>
      </c>
      <c r="N3411">
        <v>841500</v>
      </c>
      <c r="O3411">
        <v>0</v>
      </c>
      <c r="P3411" t="str">
        <f>IF(T[[#This Row],[qty_ordered]]&lt;&gt;T[[#This Row],[qty_received]],IF(T[[#This Row],[qty_received]]&gt;0,"Partial Received","Not Receviced"),"FullyReceived")</f>
        <v>Not Receviced</v>
      </c>
      <c r="Q3411" t="str">
        <f>IF(T[[#This Row],[qty_received]]&lt;&gt;T[[#This Row],[qty_invoiced]],IF(T[[#This Row],[qty_invoiced]]&gt;0,"Partial Invoiced","Not Invoiced"),"Fully Invoiced")</f>
        <v>Fully Invoiced</v>
      </c>
      <c r="R3411" t="str">
        <f>IFERROR(VLOOKUP(T[[#This Row],[warehouse]],Table2[],2,FALSE),"--")</f>
        <v>PZU Main Warehouse</v>
      </c>
    </row>
    <row r="3412" spans="1:18" x14ac:dyDescent="0.25">
      <c r="A3412" t="s">
        <v>1120</v>
      </c>
      <c r="B3412" s="1">
        <v>44481</v>
      </c>
      <c r="C3412" t="s">
        <v>2016</v>
      </c>
      <c r="D3412" t="s">
        <v>20</v>
      </c>
      <c r="E3412" t="s">
        <v>1142</v>
      </c>
      <c r="F3412" t="s">
        <v>86</v>
      </c>
      <c r="G3412" t="s">
        <v>87</v>
      </c>
      <c r="H3412" t="s">
        <v>24</v>
      </c>
      <c r="I3412">
        <v>90</v>
      </c>
      <c r="J3412">
        <v>0</v>
      </c>
      <c r="K3412">
        <v>0</v>
      </c>
      <c r="L3412" t="s">
        <v>25</v>
      </c>
      <c r="M3412" t="s">
        <v>132</v>
      </c>
      <c r="N3412">
        <v>545125</v>
      </c>
      <c r="O3412">
        <v>0</v>
      </c>
      <c r="P3412" t="str">
        <f>IF(T[[#This Row],[qty_ordered]]&lt;&gt;T[[#This Row],[qty_received]],IF(T[[#This Row],[qty_received]]&gt;0,"Partial Received","Not Receviced"),"FullyReceived")</f>
        <v>Not Receviced</v>
      </c>
      <c r="Q3412" t="str">
        <f>IF(T[[#This Row],[qty_received]]&lt;&gt;T[[#This Row],[qty_invoiced]],IF(T[[#This Row],[qty_invoiced]]&gt;0,"Partial Invoiced","Not Invoiced"),"Fully Invoiced")</f>
        <v>Fully Invoiced</v>
      </c>
      <c r="R3412" t="str">
        <f>IFERROR(VLOOKUP(T[[#This Row],[warehouse]],Table2[],2,FALSE),"--")</f>
        <v>SAVOLA W/H FOR EXPOR</v>
      </c>
    </row>
    <row r="3413" spans="1:18" x14ac:dyDescent="0.25">
      <c r="A3413" t="s">
        <v>1120</v>
      </c>
      <c r="B3413" s="1">
        <v>44481</v>
      </c>
      <c r="C3413" t="s">
        <v>2016</v>
      </c>
      <c r="D3413" t="s">
        <v>71</v>
      </c>
      <c r="E3413" t="s">
        <v>553</v>
      </c>
      <c r="F3413" t="s">
        <v>86</v>
      </c>
      <c r="G3413" t="s">
        <v>87</v>
      </c>
      <c r="H3413" t="s">
        <v>24</v>
      </c>
      <c r="I3413">
        <v>136.04</v>
      </c>
      <c r="J3413">
        <v>136.04</v>
      </c>
      <c r="K3413">
        <v>136.04</v>
      </c>
      <c r="L3413" t="s">
        <v>25</v>
      </c>
      <c r="M3413" t="s">
        <v>132</v>
      </c>
      <c r="N3413">
        <v>545125</v>
      </c>
      <c r="O3413">
        <v>74158805</v>
      </c>
      <c r="P3413" t="str">
        <f>IF(T[[#This Row],[qty_ordered]]&lt;&gt;T[[#This Row],[qty_received]],IF(T[[#This Row],[qty_received]]&gt;0,"Partial Received","Not Receviced"),"FullyReceived")</f>
        <v>FullyReceived</v>
      </c>
      <c r="Q3413" t="str">
        <f>IF(T[[#This Row],[qty_received]]&lt;&gt;T[[#This Row],[qty_invoiced]],IF(T[[#This Row],[qty_invoiced]]&gt;0,"Partial Invoiced","Not Invoiced"),"Fully Invoiced")</f>
        <v>Fully Invoiced</v>
      </c>
      <c r="R3413" t="str">
        <f>IFERROR(VLOOKUP(T[[#This Row],[warehouse]],Table2[],2,FALSE),"--")</f>
        <v>SIFTING HMA-SOBA</v>
      </c>
    </row>
    <row r="3414" spans="1:18" x14ac:dyDescent="0.25">
      <c r="A3414" t="s">
        <v>1170</v>
      </c>
      <c r="B3414" s="1">
        <v>44262</v>
      </c>
      <c r="C3414" t="s">
        <v>1257</v>
      </c>
      <c r="D3414" t="s">
        <v>71</v>
      </c>
      <c r="E3414" t="s">
        <v>51</v>
      </c>
      <c r="F3414" t="s">
        <v>52</v>
      </c>
      <c r="G3414" t="s">
        <v>2017</v>
      </c>
      <c r="H3414" t="s">
        <v>54</v>
      </c>
      <c r="I3414">
        <v>1</v>
      </c>
      <c r="J3414">
        <v>0</v>
      </c>
      <c r="K3414">
        <v>1</v>
      </c>
      <c r="L3414" t="s">
        <v>25</v>
      </c>
      <c r="M3414" t="s">
        <v>707</v>
      </c>
      <c r="N3414">
        <v>1066118.2</v>
      </c>
      <c r="O3414">
        <v>0</v>
      </c>
      <c r="P3414" t="str">
        <f>IF(T[[#This Row],[qty_ordered]]&lt;&gt;T[[#This Row],[qty_received]],IF(T[[#This Row],[qty_received]]&gt;0,"Partial Received","Not Receviced"),"FullyReceived")</f>
        <v>Not Receviced</v>
      </c>
      <c r="Q3414" t="str">
        <f>IF(T[[#This Row],[qty_received]]&lt;&gt;T[[#This Row],[qty_invoiced]],IF(T[[#This Row],[qty_invoiced]]&gt;0,"Partial Invoiced","Not Invoiced"),"Fully Invoiced")</f>
        <v>Partial Invoiced</v>
      </c>
      <c r="R3414" t="str">
        <f>IFERROR(VLOOKUP(T[[#This Row],[warehouse]],Table2[],2,FALSE),"--")</f>
        <v>--</v>
      </c>
    </row>
    <row r="3415" spans="1:18" x14ac:dyDescent="0.25">
      <c r="A3415" t="s">
        <v>1226</v>
      </c>
      <c r="B3415" s="1">
        <v>44238</v>
      </c>
      <c r="C3415" t="s">
        <v>1227</v>
      </c>
      <c r="D3415" t="s">
        <v>74</v>
      </c>
      <c r="E3415" t="s">
        <v>51</v>
      </c>
      <c r="F3415" t="s">
        <v>52</v>
      </c>
      <c r="G3415" t="s">
        <v>2018</v>
      </c>
      <c r="H3415" t="s">
        <v>54</v>
      </c>
      <c r="I3415">
        <v>1</v>
      </c>
      <c r="J3415">
        <v>0</v>
      </c>
      <c r="K3415">
        <v>1</v>
      </c>
      <c r="L3415" t="s">
        <v>25</v>
      </c>
      <c r="M3415" t="s">
        <v>132</v>
      </c>
      <c r="N3415">
        <v>1272000</v>
      </c>
      <c r="O3415">
        <v>0</v>
      </c>
      <c r="P3415" t="str">
        <f>IF(T[[#This Row],[qty_ordered]]&lt;&gt;T[[#This Row],[qty_received]],IF(T[[#This Row],[qty_received]]&gt;0,"Partial Received","Not Receviced"),"FullyReceived")</f>
        <v>Not Receviced</v>
      </c>
      <c r="Q3415" t="str">
        <f>IF(T[[#This Row],[qty_received]]&lt;&gt;T[[#This Row],[qty_invoiced]],IF(T[[#This Row],[qty_invoiced]]&gt;0,"Partial Invoiced","Not Invoiced"),"Fully Invoiced")</f>
        <v>Partial Invoiced</v>
      </c>
      <c r="R3415" t="str">
        <f>IFERROR(VLOOKUP(T[[#This Row],[warehouse]],Table2[],2,FALSE),"--")</f>
        <v>--</v>
      </c>
    </row>
    <row r="3416" spans="1:18" x14ac:dyDescent="0.25">
      <c r="A3416" t="s">
        <v>2019</v>
      </c>
      <c r="B3416" s="1">
        <v>44508</v>
      </c>
      <c r="C3416" t="s">
        <v>2020</v>
      </c>
      <c r="D3416" t="s">
        <v>20</v>
      </c>
      <c r="E3416" t="s">
        <v>660</v>
      </c>
      <c r="F3416" t="s">
        <v>661</v>
      </c>
      <c r="G3416" t="s">
        <v>662</v>
      </c>
      <c r="H3416" t="s">
        <v>663</v>
      </c>
      <c r="I3416">
        <v>44</v>
      </c>
      <c r="J3416">
        <v>0</v>
      </c>
      <c r="K3416">
        <v>0</v>
      </c>
      <c r="L3416" t="s">
        <v>51</v>
      </c>
      <c r="M3416" t="s">
        <v>1485</v>
      </c>
      <c r="N3416">
        <v>8272.73</v>
      </c>
      <c r="O3416">
        <v>0</v>
      </c>
      <c r="P3416" t="str">
        <f>IF(T[[#This Row],[qty_ordered]]&lt;&gt;T[[#This Row],[qty_received]],IF(T[[#This Row],[qty_received]]&gt;0,"Partial Received","Not Receviced"),"FullyReceived")</f>
        <v>Not Receviced</v>
      </c>
      <c r="Q3416" t="str">
        <f>IF(T[[#This Row],[qty_received]]&lt;&gt;T[[#This Row],[qty_invoiced]],IF(T[[#This Row],[qty_invoiced]]&gt;0,"Partial Invoiced","Not Invoiced"),"Fully Invoiced")</f>
        <v>Fully Invoiced</v>
      </c>
      <c r="R3416" t="str">
        <f>IFERROR(VLOOKUP(T[[#This Row],[warehouse]],Table2[],2,FALSE),"--")</f>
        <v>SLAUGHTER HOUSE</v>
      </c>
    </row>
    <row r="3417" spans="1:18" x14ac:dyDescent="0.25">
      <c r="A3417" t="s">
        <v>955</v>
      </c>
      <c r="B3417" s="1">
        <v>44510</v>
      </c>
      <c r="C3417" t="s">
        <v>2021</v>
      </c>
      <c r="D3417" t="s">
        <v>20</v>
      </c>
      <c r="E3417" t="s">
        <v>51</v>
      </c>
      <c r="F3417" t="s">
        <v>390</v>
      </c>
      <c r="G3417" t="s">
        <v>390</v>
      </c>
      <c r="H3417" t="s">
        <v>54</v>
      </c>
      <c r="I3417">
        <v>1</v>
      </c>
      <c r="J3417">
        <v>0</v>
      </c>
      <c r="K3417">
        <v>1</v>
      </c>
      <c r="L3417" t="s">
        <v>25</v>
      </c>
      <c r="M3417" t="s">
        <v>132</v>
      </c>
      <c r="N3417">
        <v>2774596.1782</v>
      </c>
      <c r="O3417">
        <v>0</v>
      </c>
      <c r="P3417" t="str">
        <f>IF(T[[#This Row],[qty_ordered]]&lt;&gt;T[[#This Row],[qty_received]],IF(T[[#This Row],[qty_received]]&gt;0,"Partial Received","Not Receviced"),"FullyReceived")</f>
        <v>Not Receviced</v>
      </c>
      <c r="Q3417" t="str">
        <f>IF(T[[#This Row],[qty_received]]&lt;&gt;T[[#This Row],[qty_invoiced]],IF(T[[#This Row],[qty_invoiced]]&gt;0,"Partial Invoiced","Not Invoiced"),"Fully Invoiced")</f>
        <v>Partial Invoiced</v>
      </c>
      <c r="R3417" t="str">
        <f>IFERROR(VLOOKUP(T[[#This Row],[warehouse]],Table2[],2,FALSE),"--")</f>
        <v>--</v>
      </c>
    </row>
    <row r="3418" spans="1:18" x14ac:dyDescent="0.25">
      <c r="A3418" t="s">
        <v>1114</v>
      </c>
      <c r="B3418" s="1">
        <v>44426</v>
      </c>
      <c r="C3418" t="s">
        <v>1437</v>
      </c>
      <c r="D3418" t="s">
        <v>71</v>
      </c>
      <c r="E3418" t="s">
        <v>660</v>
      </c>
      <c r="F3418" t="s">
        <v>1439</v>
      </c>
      <c r="G3418" t="s">
        <v>1440</v>
      </c>
      <c r="H3418" t="s">
        <v>1087</v>
      </c>
      <c r="I3418">
        <v>2903</v>
      </c>
      <c r="J3418">
        <v>0</v>
      </c>
      <c r="K3418">
        <v>0</v>
      </c>
      <c r="L3418" t="s">
        <v>25</v>
      </c>
      <c r="M3418" t="s">
        <v>132</v>
      </c>
      <c r="N3418">
        <v>31002.4113</v>
      </c>
      <c r="O3418">
        <v>0</v>
      </c>
      <c r="P3418" t="str">
        <f>IF(T[[#This Row],[qty_ordered]]&lt;&gt;T[[#This Row],[qty_received]],IF(T[[#This Row],[qty_received]]&gt;0,"Partial Received","Not Receviced"),"FullyReceived")</f>
        <v>Not Receviced</v>
      </c>
      <c r="Q3418" t="str">
        <f>IF(T[[#This Row],[qty_received]]&lt;&gt;T[[#This Row],[qty_invoiced]],IF(T[[#This Row],[qty_invoiced]]&gt;0,"Partial Invoiced","Not Invoiced"),"Fully Invoiced")</f>
        <v>Fully Invoiced</v>
      </c>
      <c r="R3418" t="str">
        <f>IFERROR(VLOOKUP(T[[#This Row],[warehouse]],Table2[],2,FALSE),"--")</f>
        <v>SLAUGHTER HOUSE</v>
      </c>
    </row>
    <row r="3419" spans="1:18" x14ac:dyDescent="0.25">
      <c r="A3419" t="s">
        <v>201</v>
      </c>
      <c r="B3419" s="1">
        <v>44455</v>
      </c>
      <c r="C3419" t="s">
        <v>1906</v>
      </c>
      <c r="D3419" t="s">
        <v>71</v>
      </c>
      <c r="E3419" t="s">
        <v>1220</v>
      </c>
      <c r="F3419" t="s">
        <v>1338</v>
      </c>
      <c r="G3419" t="s">
        <v>1339</v>
      </c>
      <c r="H3419" t="s">
        <v>123</v>
      </c>
      <c r="I3419">
        <v>60000</v>
      </c>
      <c r="J3419">
        <v>60000</v>
      </c>
      <c r="K3419">
        <v>60000</v>
      </c>
      <c r="L3419" t="s">
        <v>693</v>
      </c>
      <c r="M3419" t="s">
        <v>744</v>
      </c>
      <c r="N3419">
        <v>9290.0326800000003</v>
      </c>
      <c r="O3419">
        <v>557401960.79999995</v>
      </c>
      <c r="P3419" t="str">
        <f>IF(T[[#This Row],[qty_ordered]]&lt;&gt;T[[#This Row],[qty_received]],IF(T[[#This Row],[qty_received]]&gt;0,"Partial Received","Not Receviced"),"FullyReceived")</f>
        <v>FullyReceived</v>
      </c>
      <c r="Q3419" t="str">
        <f>IF(T[[#This Row],[qty_received]]&lt;&gt;T[[#This Row],[qty_invoiced]],IF(T[[#This Row],[qty_invoiced]]&gt;0,"Partial Invoiced","Not Invoiced"),"Fully Invoiced")</f>
        <v>Fully Invoiced</v>
      </c>
      <c r="R3419" t="str">
        <f>IFERROR(VLOOKUP(T[[#This Row],[warehouse]],Table2[],2,FALSE),"--")</f>
        <v>Import Virtual Warehouse - PZU</v>
      </c>
    </row>
    <row r="3420" spans="1:18" x14ac:dyDescent="0.25">
      <c r="A3420" t="s">
        <v>201</v>
      </c>
      <c r="B3420" s="1">
        <v>44455</v>
      </c>
      <c r="C3420" t="s">
        <v>1906</v>
      </c>
      <c r="D3420" t="s">
        <v>100</v>
      </c>
      <c r="E3420" t="s">
        <v>1220</v>
      </c>
      <c r="F3420" t="s">
        <v>1307</v>
      </c>
      <c r="G3420" t="s">
        <v>1308</v>
      </c>
      <c r="H3420" t="s">
        <v>149</v>
      </c>
      <c r="I3420">
        <v>6300</v>
      </c>
      <c r="J3420">
        <v>3100</v>
      </c>
      <c r="K3420">
        <v>0</v>
      </c>
      <c r="L3420" t="s">
        <v>693</v>
      </c>
      <c r="M3420" t="s">
        <v>744</v>
      </c>
      <c r="N3420">
        <v>0</v>
      </c>
      <c r="O3420">
        <v>0</v>
      </c>
      <c r="P3420" t="str">
        <f>IF(T[[#This Row],[qty_ordered]]&lt;&gt;T[[#This Row],[qty_received]],IF(T[[#This Row],[qty_received]]&gt;0,"Partial Received","Not Receviced"),"FullyReceived")</f>
        <v>Partial Received</v>
      </c>
      <c r="Q3420" t="str">
        <f>IF(T[[#This Row],[qty_received]]&lt;&gt;T[[#This Row],[qty_invoiced]],IF(T[[#This Row],[qty_invoiced]]&gt;0,"Partial Invoiced","Not Invoiced"),"Fully Invoiced")</f>
        <v>Not Invoiced</v>
      </c>
      <c r="R3420" t="str">
        <f>IFERROR(VLOOKUP(T[[#This Row],[warehouse]],Table2[],2,FALSE),"--")</f>
        <v>Import Virtual Warehouse - PZU</v>
      </c>
    </row>
    <row r="3421" spans="1:18" x14ac:dyDescent="0.25">
      <c r="A3421" t="s">
        <v>1512</v>
      </c>
      <c r="B3421" s="1">
        <v>44524</v>
      </c>
      <c r="C3421" t="s">
        <v>1513</v>
      </c>
      <c r="D3421" t="s">
        <v>20</v>
      </c>
      <c r="E3421" t="s">
        <v>51</v>
      </c>
      <c r="F3421" t="s">
        <v>183</v>
      </c>
      <c r="G3421" t="s">
        <v>1991</v>
      </c>
      <c r="H3421" t="s">
        <v>54</v>
      </c>
      <c r="I3421">
        <v>1000</v>
      </c>
      <c r="J3421">
        <v>0</v>
      </c>
      <c r="K3421">
        <v>1</v>
      </c>
      <c r="L3421" t="s">
        <v>693</v>
      </c>
      <c r="M3421" t="s">
        <v>533</v>
      </c>
      <c r="N3421">
        <v>6000</v>
      </c>
      <c r="O3421">
        <v>0</v>
      </c>
      <c r="P3421" t="str">
        <f>IF(T[[#This Row],[qty_ordered]]&lt;&gt;T[[#This Row],[qty_received]],IF(T[[#This Row],[qty_received]]&gt;0,"Partial Received","Not Receviced"),"FullyReceived")</f>
        <v>Not Receviced</v>
      </c>
      <c r="Q3421" t="str">
        <f>IF(T[[#This Row],[qty_received]]&lt;&gt;T[[#This Row],[qty_invoiced]],IF(T[[#This Row],[qty_invoiced]]&gt;0,"Partial Invoiced","Not Invoiced"),"Fully Invoiced")</f>
        <v>Partial Invoiced</v>
      </c>
      <c r="R3421" t="str">
        <f>IFERROR(VLOOKUP(T[[#This Row],[warehouse]],Table2[],2,FALSE),"--")</f>
        <v>--</v>
      </c>
    </row>
    <row r="3422" spans="1:18" x14ac:dyDescent="0.25">
      <c r="A3422" t="s">
        <v>658</v>
      </c>
      <c r="B3422" s="1">
        <v>44529</v>
      </c>
      <c r="C3422" t="s">
        <v>2022</v>
      </c>
      <c r="D3422" t="s">
        <v>20</v>
      </c>
      <c r="E3422" t="s">
        <v>660</v>
      </c>
      <c r="F3422" t="s">
        <v>661</v>
      </c>
      <c r="G3422" t="s">
        <v>662</v>
      </c>
      <c r="H3422" t="s">
        <v>663</v>
      </c>
      <c r="I3422">
        <v>2056.1</v>
      </c>
      <c r="J3422">
        <v>2056.1</v>
      </c>
      <c r="K3422">
        <v>2056.1</v>
      </c>
      <c r="L3422" t="s">
        <v>25</v>
      </c>
      <c r="M3422" t="s">
        <v>1485</v>
      </c>
      <c r="N3422">
        <v>1900</v>
      </c>
      <c r="O3422">
        <v>3906590</v>
      </c>
      <c r="P3422" t="str">
        <f>IF(T[[#This Row],[qty_ordered]]&lt;&gt;T[[#This Row],[qty_received]],IF(T[[#This Row],[qty_received]]&gt;0,"Partial Received","Not Receviced"),"FullyReceived")</f>
        <v>FullyReceived</v>
      </c>
      <c r="Q3422" t="str">
        <f>IF(T[[#This Row],[qty_received]]&lt;&gt;T[[#This Row],[qty_invoiced]],IF(T[[#This Row],[qty_invoiced]]&gt;0,"Partial Invoiced","Not Invoiced"),"Fully Invoiced")</f>
        <v>Fully Invoiced</v>
      </c>
      <c r="R3422" t="str">
        <f>IFERROR(VLOOKUP(T[[#This Row],[warehouse]],Table2[],2,FALSE),"--")</f>
        <v>SLAUGHTER HOUSE</v>
      </c>
    </row>
    <row r="3423" spans="1:18" x14ac:dyDescent="0.25">
      <c r="A3423" t="s">
        <v>2023</v>
      </c>
      <c r="B3423" s="1">
        <v>44530</v>
      </c>
      <c r="C3423" t="s">
        <v>2024</v>
      </c>
      <c r="D3423" t="s">
        <v>20</v>
      </c>
      <c r="E3423" t="s">
        <v>660</v>
      </c>
      <c r="F3423" t="s">
        <v>1439</v>
      </c>
      <c r="G3423" t="s">
        <v>1440</v>
      </c>
      <c r="H3423" t="s">
        <v>1087</v>
      </c>
      <c r="I3423">
        <v>216</v>
      </c>
      <c r="J3423">
        <v>216</v>
      </c>
      <c r="K3423">
        <v>216</v>
      </c>
      <c r="L3423" t="s">
        <v>25</v>
      </c>
      <c r="M3423" t="s">
        <v>1485</v>
      </c>
      <c r="N3423">
        <v>29125</v>
      </c>
      <c r="O3423">
        <v>6291000</v>
      </c>
      <c r="P3423" t="str">
        <f>IF(T[[#This Row],[qty_ordered]]&lt;&gt;T[[#This Row],[qty_received]],IF(T[[#This Row],[qty_received]]&gt;0,"Partial Received","Not Receviced"),"FullyReceived")</f>
        <v>FullyReceived</v>
      </c>
      <c r="Q3423" t="str">
        <f>IF(T[[#This Row],[qty_received]]&lt;&gt;T[[#This Row],[qty_invoiced]],IF(T[[#This Row],[qty_invoiced]]&gt;0,"Partial Invoiced","Not Invoiced"),"Fully Invoiced")</f>
        <v>Fully Invoiced</v>
      </c>
      <c r="R3423" t="str">
        <f>IFERROR(VLOOKUP(T[[#This Row],[warehouse]],Table2[],2,FALSE),"--")</f>
        <v>SLAUGHTER HOUSE</v>
      </c>
    </row>
    <row r="3424" spans="1:18" x14ac:dyDescent="0.25">
      <c r="A3424" t="s">
        <v>1496</v>
      </c>
      <c r="B3424" s="1">
        <v>44507</v>
      </c>
      <c r="C3424" t="s">
        <v>2025</v>
      </c>
      <c r="D3424" t="s">
        <v>20</v>
      </c>
      <c r="E3424" t="s">
        <v>410</v>
      </c>
      <c r="F3424" t="s">
        <v>1031</v>
      </c>
      <c r="G3424" t="s">
        <v>478</v>
      </c>
      <c r="H3424" t="s">
        <v>24</v>
      </c>
      <c r="I3424">
        <v>200</v>
      </c>
      <c r="J3424">
        <v>199.94</v>
      </c>
      <c r="K3424">
        <v>199.94</v>
      </c>
      <c r="L3424" t="s">
        <v>25</v>
      </c>
      <c r="M3424" t="s">
        <v>1485</v>
      </c>
      <c r="N3424">
        <v>690000</v>
      </c>
      <c r="O3424">
        <v>137958600</v>
      </c>
      <c r="P3424" t="str">
        <f>IF(T[[#This Row],[qty_ordered]]&lt;&gt;T[[#This Row],[qty_received]],IF(T[[#This Row],[qty_received]]&gt;0,"Partial Received","Not Receviced"),"FullyReceived")</f>
        <v>Partial Received</v>
      </c>
      <c r="Q3424" t="str">
        <f>IF(T[[#This Row],[qty_received]]&lt;&gt;T[[#This Row],[qty_invoiced]],IF(T[[#This Row],[qty_invoiced]]&gt;0,"Partial Invoiced","Not Invoiced"),"Fully Invoiced")</f>
        <v>Fully Invoiced</v>
      </c>
      <c r="R3424" t="str">
        <f>IFERROR(VLOOKUP(T[[#This Row],[warehouse]],Table2[],2,FALSE),"--")</f>
        <v>SFITER GUM Masaaie</v>
      </c>
    </row>
    <row r="3425" spans="1:18" x14ac:dyDescent="0.25">
      <c r="A3425" t="s">
        <v>84</v>
      </c>
      <c r="B3425" s="1">
        <v>44507</v>
      </c>
      <c r="C3425" t="s">
        <v>2026</v>
      </c>
      <c r="D3425" t="s">
        <v>20</v>
      </c>
      <c r="E3425" t="s">
        <v>908</v>
      </c>
      <c r="F3425" t="s">
        <v>108</v>
      </c>
      <c r="G3425" t="s">
        <v>109</v>
      </c>
      <c r="H3425" t="s">
        <v>24</v>
      </c>
      <c r="I3425">
        <v>1246.8399999999999</v>
      </c>
      <c r="J3425">
        <v>1246.8399999999999</v>
      </c>
      <c r="K3425">
        <v>1246.8399999999999</v>
      </c>
      <c r="L3425" t="s">
        <v>25</v>
      </c>
      <c r="M3425" t="s">
        <v>1485</v>
      </c>
      <c r="N3425">
        <v>438120</v>
      </c>
      <c r="O3425">
        <v>546265540.79999995</v>
      </c>
      <c r="P3425" t="str">
        <f>IF(T[[#This Row],[qty_ordered]]&lt;&gt;T[[#This Row],[qty_received]],IF(T[[#This Row],[qty_received]]&gt;0,"Partial Received","Not Receviced"),"FullyReceived")</f>
        <v>FullyReceived</v>
      </c>
      <c r="Q3425" t="str">
        <f>IF(T[[#This Row],[qty_received]]&lt;&gt;T[[#This Row],[qty_invoiced]],IF(T[[#This Row],[qty_invoiced]]&gt;0,"Partial Invoiced","Not Invoiced"),"Fully Invoiced")</f>
        <v>Fully Invoiced</v>
      </c>
      <c r="R3425" t="str">
        <f>IFERROR(VLOOKUP(T[[#This Row],[warehouse]],Table2[],2,FALSE),"--")</f>
        <v>SIFTER- ALNAZER-OMDU</v>
      </c>
    </row>
    <row r="3426" spans="1:18" x14ac:dyDescent="0.25">
      <c r="A3426" t="s">
        <v>1120</v>
      </c>
      <c r="B3426" s="1">
        <v>44507</v>
      </c>
      <c r="C3426" t="s">
        <v>2027</v>
      </c>
      <c r="D3426" t="s">
        <v>20</v>
      </c>
      <c r="E3426" t="s">
        <v>162</v>
      </c>
      <c r="F3426" t="s">
        <v>86</v>
      </c>
      <c r="G3426" t="s">
        <v>87</v>
      </c>
      <c r="H3426" t="s">
        <v>24</v>
      </c>
      <c r="I3426">
        <v>370.22</v>
      </c>
      <c r="J3426">
        <v>370.22</v>
      </c>
      <c r="K3426">
        <v>370.22</v>
      </c>
      <c r="L3426" t="s">
        <v>25</v>
      </c>
      <c r="M3426" t="s">
        <v>1485</v>
      </c>
      <c r="N3426">
        <v>515349</v>
      </c>
      <c r="O3426">
        <v>189975101.90000001</v>
      </c>
      <c r="P3426" t="str">
        <f>IF(T[[#This Row],[qty_ordered]]&lt;&gt;T[[#This Row],[qty_received]],IF(T[[#This Row],[qty_received]]&gt;0,"Partial Received","Not Receviced"),"FullyReceived")</f>
        <v>FullyReceived</v>
      </c>
      <c r="Q3426" t="str">
        <f>IF(T[[#This Row],[qty_received]]&lt;&gt;T[[#This Row],[qty_invoiced]],IF(T[[#This Row],[qty_invoiced]]&gt;0,"Partial Invoiced","Not Invoiced"),"Fully Invoiced")</f>
        <v>Fully Invoiced</v>
      </c>
      <c r="R3426" t="str">
        <f>IFERROR(VLOOKUP(T[[#This Row],[warehouse]],Table2[],2,FALSE),"--")</f>
        <v>Sifters Mahasilna</v>
      </c>
    </row>
    <row r="3427" spans="1:18" x14ac:dyDescent="0.25">
      <c r="A3427" t="s">
        <v>955</v>
      </c>
      <c r="B3427" s="1">
        <v>44390</v>
      </c>
      <c r="C3427" t="s">
        <v>1409</v>
      </c>
      <c r="D3427" t="s">
        <v>71</v>
      </c>
      <c r="E3427" t="s">
        <v>51</v>
      </c>
      <c r="F3427" t="s">
        <v>52</v>
      </c>
      <c r="G3427" t="s">
        <v>2017</v>
      </c>
      <c r="H3427" t="s">
        <v>54</v>
      </c>
      <c r="I3427">
        <v>1</v>
      </c>
      <c r="J3427">
        <v>0</v>
      </c>
      <c r="K3427">
        <v>1</v>
      </c>
      <c r="L3427" t="s">
        <v>25</v>
      </c>
      <c r="M3427" t="s">
        <v>132</v>
      </c>
      <c r="N3427">
        <v>-219785.96299999999</v>
      </c>
      <c r="O3427">
        <v>0</v>
      </c>
      <c r="P3427" t="str">
        <f>IF(T[[#This Row],[qty_ordered]]&lt;&gt;T[[#This Row],[qty_received]],IF(T[[#This Row],[qty_received]]&gt;0,"Partial Received","Not Receviced"),"FullyReceived")</f>
        <v>Not Receviced</v>
      </c>
      <c r="Q3427" t="str">
        <f>IF(T[[#This Row],[qty_received]]&lt;&gt;T[[#This Row],[qty_invoiced]],IF(T[[#This Row],[qty_invoiced]]&gt;0,"Partial Invoiced","Not Invoiced"),"Fully Invoiced")</f>
        <v>Partial Invoiced</v>
      </c>
      <c r="R3427" t="str">
        <f>IFERROR(VLOOKUP(T[[#This Row],[warehouse]],Table2[],2,FALSE),"--")</f>
        <v>--</v>
      </c>
    </row>
    <row r="3428" spans="1:18" x14ac:dyDescent="0.25">
      <c r="A3428" t="s">
        <v>1413</v>
      </c>
      <c r="B3428" s="1">
        <v>44511</v>
      </c>
      <c r="C3428" t="s">
        <v>2028</v>
      </c>
      <c r="D3428" t="s">
        <v>20</v>
      </c>
      <c r="E3428" t="s">
        <v>1730</v>
      </c>
      <c r="F3428" t="s">
        <v>406</v>
      </c>
      <c r="G3428" t="s">
        <v>407</v>
      </c>
      <c r="H3428" t="s">
        <v>24</v>
      </c>
      <c r="I3428">
        <v>10815.75</v>
      </c>
      <c r="J3428">
        <v>10815.75</v>
      </c>
      <c r="K3428">
        <v>10815.75</v>
      </c>
      <c r="L3428" t="s">
        <v>25</v>
      </c>
      <c r="M3428" t="s">
        <v>1485</v>
      </c>
      <c r="N3428">
        <v>339622.64150899998</v>
      </c>
      <c r="O3428">
        <v>3673273584.90097</v>
      </c>
      <c r="P3428" t="str">
        <f>IF(T[[#This Row],[qty_ordered]]&lt;&gt;T[[#This Row],[qty_received]],IF(T[[#This Row],[qty_received]]&gt;0,"Partial Received","Not Receviced"),"FullyReceived")</f>
        <v>FullyReceived</v>
      </c>
      <c r="Q3428" t="str">
        <f>IF(T[[#This Row],[qty_received]]&lt;&gt;T[[#This Row],[qty_invoiced]],IF(T[[#This Row],[qty_invoiced]]&gt;0,"Partial Invoiced","Not Invoiced"),"Fully Invoiced")</f>
        <v>Fully Invoiced</v>
      </c>
      <c r="R3428" t="str">
        <f>IFERROR(VLOOKUP(T[[#This Row],[warehouse]],Table2[],2,FALSE),"--")</f>
        <v>MSG GINNING MDANI</v>
      </c>
    </row>
    <row r="3429" spans="1:18" x14ac:dyDescent="0.25">
      <c r="A3429" t="s">
        <v>985</v>
      </c>
      <c r="B3429" s="1">
        <v>44511</v>
      </c>
      <c r="C3429" t="s">
        <v>1856</v>
      </c>
      <c r="D3429" t="s">
        <v>20</v>
      </c>
      <c r="E3429" t="s">
        <v>51</v>
      </c>
      <c r="F3429" t="s">
        <v>183</v>
      </c>
      <c r="G3429" t="s">
        <v>1632</v>
      </c>
      <c r="H3429" t="s">
        <v>54</v>
      </c>
      <c r="I3429">
        <v>1000</v>
      </c>
      <c r="J3429">
        <v>0</v>
      </c>
      <c r="K3429">
        <v>1</v>
      </c>
      <c r="L3429" t="s">
        <v>693</v>
      </c>
      <c r="M3429" t="s">
        <v>533</v>
      </c>
      <c r="N3429">
        <v>5500</v>
      </c>
      <c r="O3429">
        <v>0</v>
      </c>
      <c r="P3429" t="str">
        <f>IF(T[[#This Row],[qty_ordered]]&lt;&gt;T[[#This Row],[qty_received]],IF(T[[#This Row],[qty_received]]&gt;0,"Partial Received","Not Receviced"),"FullyReceived")</f>
        <v>Not Receviced</v>
      </c>
      <c r="Q3429" t="str">
        <f>IF(T[[#This Row],[qty_received]]&lt;&gt;T[[#This Row],[qty_invoiced]],IF(T[[#This Row],[qty_invoiced]]&gt;0,"Partial Invoiced","Not Invoiced"),"Fully Invoiced")</f>
        <v>Partial Invoiced</v>
      </c>
      <c r="R3429" t="str">
        <f>IFERROR(VLOOKUP(T[[#This Row],[warehouse]],Table2[],2,FALSE),"--")</f>
        <v>--</v>
      </c>
    </row>
    <row r="3430" spans="1:18" x14ac:dyDescent="0.25">
      <c r="A3430" t="s">
        <v>560</v>
      </c>
      <c r="B3430" s="1">
        <v>44251</v>
      </c>
      <c r="C3430" t="s">
        <v>1276</v>
      </c>
      <c r="D3430" t="s">
        <v>759</v>
      </c>
      <c r="E3430" t="s">
        <v>51</v>
      </c>
      <c r="F3430" t="s">
        <v>164</v>
      </c>
      <c r="G3430" t="s">
        <v>1915</v>
      </c>
      <c r="H3430" t="s">
        <v>54</v>
      </c>
      <c r="I3430">
        <v>26</v>
      </c>
      <c r="J3430">
        <v>0</v>
      </c>
      <c r="K3430">
        <v>1</v>
      </c>
      <c r="L3430" t="s">
        <v>25</v>
      </c>
      <c r="M3430" t="s">
        <v>533</v>
      </c>
      <c r="N3430">
        <v>4130.1538460000002</v>
      </c>
      <c r="O3430">
        <v>0</v>
      </c>
      <c r="P3430" t="str">
        <f>IF(T[[#This Row],[qty_ordered]]&lt;&gt;T[[#This Row],[qty_received]],IF(T[[#This Row],[qty_received]]&gt;0,"Partial Received","Not Receviced"),"FullyReceived")</f>
        <v>Not Receviced</v>
      </c>
      <c r="Q3430" t="str">
        <f>IF(T[[#This Row],[qty_received]]&lt;&gt;T[[#This Row],[qty_invoiced]],IF(T[[#This Row],[qty_invoiced]]&gt;0,"Partial Invoiced","Not Invoiced"),"Fully Invoiced")</f>
        <v>Partial Invoiced</v>
      </c>
      <c r="R3430" t="str">
        <f>IFERROR(VLOOKUP(T[[#This Row],[warehouse]],Table2[],2,FALSE),"--")</f>
        <v>--</v>
      </c>
    </row>
    <row r="3431" spans="1:18" x14ac:dyDescent="0.25">
      <c r="A3431" t="s">
        <v>560</v>
      </c>
      <c r="B3431" s="1">
        <v>44251</v>
      </c>
      <c r="C3431" t="s">
        <v>1276</v>
      </c>
      <c r="D3431" t="s">
        <v>694</v>
      </c>
      <c r="E3431" t="s">
        <v>51</v>
      </c>
      <c r="F3431" t="s">
        <v>164</v>
      </c>
      <c r="G3431" t="s">
        <v>1915</v>
      </c>
      <c r="H3431" t="s">
        <v>54</v>
      </c>
      <c r="I3431">
        <v>24</v>
      </c>
      <c r="J3431">
        <v>0</v>
      </c>
      <c r="K3431">
        <v>1</v>
      </c>
      <c r="L3431" t="s">
        <v>25</v>
      </c>
      <c r="M3431" t="s">
        <v>533</v>
      </c>
      <c r="N3431">
        <v>4130.1666670000004</v>
      </c>
      <c r="O3431">
        <v>0</v>
      </c>
      <c r="P3431" t="str">
        <f>IF(T[[#This Row],[qty_ordered]]&lt;&gt;T[[#This Row],[qty_received]],IF(T[[#This Row],[qty_received]]&gt;0,"Partial Received","Not Receviced"),"FullyReceived")</f>
        <v>Not Receviced</v>
      </c>
      <c r="Q3431" t="str">
        <f>IF(T[[#This Row],[qty_received]]&lt;&gt;T[[#This Row],[qty_invoiced]],IF(T[[#This Row],[qty_invoiced]]&gt;0,"Partial Invoiced","Not Invoiced"),"Fully Invoiced")</f>
        <v>Partial Invoiced</v>
      </c>
      <c r="R3431" t="str">
        <f>IFERROR(VLOOKUP(T[[#This Row],[warehouse]],Table2[],2,FALSE),"--")</f>
        <v>--</v>
      </c>
    </row>
    <row r="3432" spans="1:18" x14ac:dyDescent="0.25">
      <c r="A3432" t="s">
        <v>560</v>
      </c>
      <c r="B3432" s="1">
        <v>44251</v>
      </c>
      <c r="C3432" t="s">
        <v>1245</v>
      </c>
      <c r="D3432" t="s">
        <v>596</v>
      </c>
      <c r="E3432" t="s">
        <v>51</v>
      </c>
      <c r="F3432" t="s">
        <v>164</v>
      </c>
      <c r="G3432" t="s">
        <v>2029</v>
      </c>
      <c r="H3432" t="s">
        <v>54</v>
      </c>
      <c r="I3432">
        <v>26</v>
      </c>
      <c r="J3432">
        <v>0</v>
      </c>
      <c r="K3432">
        <v>1</v>
      </c>
      <c r="L3432" t="s">
        <v>25</v>
      </c>
      <c r="M3432" t="s">
        <v>533</v>
      </c>
      <c r="N3432">
        <v>4130.1538460000002</v>
      </c>
      <c r="O3432">
        <v>0</v>
      </c>
      <c r="P3432" t="str">
        <f>IF(T[[#This Row],[qty_ordered]]&lt;&gt;T[[#This Row],[qty_received]],IF(T[[#This Row],[qty_received]]&gt;0,"Partial Received","Not Receviced"),"FullyReceived")</f>
        <v>Not Receviced</v>
      </c>
      <c r="Q3432" t="str">
        <f>IF(T[[#This Row],[qty_received]]&lt;&gt;T[[#This Row],[qty_invoiced]],IF(T[[#This Row],[qty_invoiced]]&gt;0,"Partial Invoiced","Not Invoiced"),"Fully Invoiced")</f>
        <v>Partial Invoiced</v>
      </c>
      <c r="R3432" t="str">
        <f>IFERROR(VLOOKUP(T[[#This Row],[warehouse]],Table2[],2,FALSE),"--")</f>
        <v>--</v>
      </c>
    </row>
    <row r="3433" spans="1:18" x14ac:dyDescent="0.25">
      <c r="A3433" t="s">
        <v>560</v>
      </c>
      <c r="B3433" s="1">
        <v>44251</v>
      </c>
      <c r="C3433" t="s">
        <v>1247</v>
      </c>
      <c r="D3433" t="s">
        <v>594</v>
      </c>
      <c r="E3433" t="s">
        <v>51</v>
      </c>
      <c r="F3433" t="s">
        <v>164</v>
      </c>
      <c r="G3433" t="s">
        <v>2030</v>
      </c>
      <c r="H3433" t="s">
        <v>54</v>
      </c>
      <c r="I3433">
        <v>26</v>
      </c>
      <c r="J3433">
        <v>0</v>
      </c>
      <c r="K3433">
        <v>1</v>
      </c>
      <c r="L3433" t="s">
        <v>25</v>
      </c>
      <c r="M3433" t="s">
        <v>533</v>
      </c>
      <c r="N3433">
        <v>4130.1538460000002</v>
      </c>
      <c r="O3433">
        <v>0</v>
      </c>
      <c r="P3433" t="str">
        <f>IF(T[[#This Row],[qty_ordered]]&lt;&gt;T[[#This Row],[qty_received]],IF(T[[#This Row],[qty_received]]&gt;0,"Partial Received","Not Receviced"),"FullyReceived")</f>
        <v>Not Receviced</v>
      </c>
      <c r="Q3433" t="str">
        <f>IF(T[[#This Row],[qty_received]]&lt;&gt;T[[#This Row],[qty_invoiced]],IF(T[[#This Row],[qty_invoiced]]&gt;0,"Partial Invoiced","Not Invoiced"),"Fully Invoiced")</f>
        <v>Partial Invoiced</v>
      </c>
      <c r="R3433" t="str">
        <f>IFERROR(VLOOKUP(T[[#This Row],[warehouse]],Table2[],2,FALSE),"--")</f>
        <v>--</v>
      </c>
    </row>
    <row r="3434" spans="1:18" x14ac:dyDescent="0.25">
      <c r="A3434" t="s">
        <v>560</v>
      </c>
      <c r="B3434" s="1">
        <v>44251</v>
      </c>
      <c r="C3434" t="s">
        <v>1247</v>
      </c>
      <c r="D3434" t="s">
        <v>595</v>
      </c>
      <c r="E3434" t="s">
        <v>51</v>
      </c>
      <c r="F3434" t="s">
        <v>164</v>
      </c>
      <c r="G3434" t="s">
        <v>2030</v>
      </c>
      <c r="H3434" t="s">
        <v>54</v>
      </c>
      <c r="I3434">
        <v>22</v>
      </c>
      <c r="J3434">
        <v>0</v>
      </c>
      <c r="K3434">
        <v>1</v>
      </c>
      <c r="L3434" t="s">
        <v>25</v>
      </c>
      <c r="M3434" t="s">
        <v>533</v>
      </c>
      <c r="N3434">
        <v>4130.136364</v>
      </c>
      <c r="O3434">
        <v>0</v>
      </c>
      <c r="P3434" t="str">
        <f>IF(T[[#This Row],[qty_ordered]]&lt;&gt;T[[#This Row],[qty_received]],IF(T[[#This Row],[qty_received]]&gt;0,"Partial Received","Not Receviced"),"FullyReceived")</f>
        <v>Not Receviced</v>
      </c>
      <c r="Q3434" t="str">
        <f>IF(T[[#This Row],[qty_received]]&lt;&gt;T[[#This Row],[qty_invoiced]],IF(T[[#This Row],[qty_invoiced]]&gt;0,"Partial Invoiced","Not Invoiced"),"Fully Invoiced")</f>
        <v>Partial Invoiced</v>
      </c>
      <c r="R3434" t="str">
        <f>IFERROR(VLOOKUP(T[[#This Row],[warehouse]],Table2[],2,FALSE),"--")</f>
        <v>--</v>
      </c>
    </row>
    <row r="3435" spans="1:18" x14ac:dyDescent="0.25">
      <c r="A3435" t="s">
        <v>560</v>
      </c>
      <c r="B3435" s="1">
        <v>44251</v>
      </c>
      <c r="C3435" t="s">
        <v>1247</v>
      </c>
      <c r="D3435" t="s">
        <v>596</v>
      </c>
      <c r="E3435" t="s">
        <v>51</v>
      </c>
      <c r="F3435" t="s">
        <v>164</v>
      </c>
      <c r="G3435" t="s">
        <v>2030</v>
      </c>
      <c r="H3435" t="s">
        <v>54</v>
      </c>
      <c r="I3435">
        <v>26</v>
      </c>
      <c r="J3435">
        <v>0</v>
      </c>
      <c r="K3435">
        <v>1</v>
      </c>
      <c r="L3435" t="s">
        <v>25</v>
      </c>
      <c r="M3435" t="s">
        <v>533</v>
      </c>
      <c r="N3435">
        <v>4130.1538460000002</v>
      </c>
      <c r="O3435">
        <v>0</v>
      </c>
      <c r="P3435" t="str">
        <f>IF(T[[#This Row],[qty_ordered]]&lt;&gt;T[[#This Row],[qty_received]],IF(T[[#This Row],[qty_received]]&gt;0,"Partial Received","Not Receviced"),"FullyReceived")</f>
        <v>Not Receviced</v>
      </c>
      <c r="Q3435" t="str">
        <f>IF(T[[#This Row],[qty_received]]&lt;&gt;T[[#This Row],[qty_invoiced]],IF(T[[#This Row],[qty_invoiced]]&gt;0,"Partial Invoiced","Not Invoiced"),"Fully Invoiced")</f>
        <v>Partial Invoiced</v>
      </c>
      <c r="R3435" t="str">
        <f>IFERROR(VLOOKUP(T[[#This Row],[warehouse]],Table2[],2,FALSE),"--")</f>
        <v>--</v>
      </c>
    </row>
    <row r="3436" spans="1:18" x14ac:dyDescent="0.25">
      <c r="A3436" t="s">
        <v>955</v>
      </c>
      <c r="B3436" s="1">
        <v>44508</v>
      </c>
      <c r="C3436" t="s">
        <v>2031</v>
      </c>
      <c r="D3436" t="s">
        <v>20</v>
      </c>
      <c r="E3436" t="s">
        <v>2032</v>
      </c>
      <c r="F3436" t="s">
        <v>108</v>
      </c>
      <c r="G3436" t="s">
        <v>109</v>
      </c>
      <c r="H3436" t="s">
        <v>24</v>
      </c>
      <c r="I3436">
        <v>2260.0300000000002</v>
      </c>
      <c r="J3436">
        <v>2260.0300000000002</v>
      </c>
      <c r="K3436">
        <v>2260</v>
      </c>
      <c r="L3436" t="s">
        <v>25</v>
      </c>
      <c r="M3436" t="s">
        <v>1485</v>
      </c>
      <c r="N3436">
        <v>438120</v>
      </c>
      <c r="O3436">
        <v>990164343.60000002</v>
      </c>
      <c r="P3436" t="str">
        <f>IF(T[[#This Row],[qty_ordered]]&lt;&gt;T[[#This Row],[qty_received]],IF(T[[#This Row],[qty_received]]&gt;0,"Partial Received","Not Receviced"),"FullyReceived")</f>
        <v>FullyReceived</v>
      </c>
      <c r="Q3436" t="str">
        <f>IF(T[[#This Row],[qty_received]]&lt;&gt;T[[#This Row],[qty_invoiced]],IF(T[[#This Row],[qty_invoiced]]&gt;0,"Partial Invoiced","Not Invoiced"),"Fully Invoiced")</f>
        <v>Partial Invoiced</v>
      </c>
      <c r="R3436" t="str">
        <f>IFERROR(VLOOKUP(T[[#This Row],[warehouse]],Table2[],2,FALSE),"--")</f>
        <v>Al Haitham</v>
      </c>
    </row>
    <row r="3437" spans="1:18" x14ac:dyDescent="0.25">
      <c r="A3437" t="s">
        <v>84</v>
      </c>
      <c r="B3437" s="1">
        <v>44509</v>
      </c>
      <c r="C3437" t="s">
        <v>2033</v>
      </c>
      <c r="D3437" t="s">
        <v>20</v>
      </c>
      <c r="E3437" t="s">
        <v>908</v>
      </c>
      <c r="F3437" t="s">
        <v>86</v>
      </c>
      <c r="G3437" t="s">
        <v>51</v>
      </c>
      <c r="H3437" t="s">
        <v>24</v>
      </c>
      <c r="I3437">
        <v>1000</v>
      </c>
      <c r="J3437">
        <v>731.3</v>
      </c>
      <c r="K3437">
        <v>731.3</v>
      </c>
      <c r="L3437" t="s">
        <v>25</v>
      </c>
      <c r="M3437" t="s">
        <v>1485</v>
      </c>
      <c r="N3437">
        <v>570000</v>
      </c>
      <c r="O3437">
        <v>416841000</v>
      </c>
      <c r="P3437" t="str">
        <f>IF(T[[#This Row],[qty_ordered]]&lt;&gt;T[[#This Row],[qty_received]],IF(T[[#This Row],[qty_received]]&gt;0,"Partial Received","Not Receviced"),"FullyReceived")</f>
        <v>Partial Received</v>
      </c>
      <c r="Q3437" t="str">
        <f>IF(T[[#This Row],[qty_received]]&lt;&gt;T[[#This Row],[qty_invoiced]],IF(T[[#This Row],[qty_invoiced]]&gt;0,"Partial Invoiced","Not Invoiced"),"Fully Invoiced")</f>
        <v>Fully Invoiced</v>
      </c>
      <c r="R3437" t="str">
        <f>IFERROR(VLOOKUP(T[[#This Row],[warehouse]],Table2[],2,FALSE),"--")</f>
        <v>SIFTER- ALNAZER-OMDU</v>
      </c>
    </row>
    <row r="3438" spans="1:18" x14ac:dyDescent="0.25">
      <c r="A3438" t="s">
        <v>1467</v>
      </c>
      <c r="B3438" s="1">
        <v>44515</v>
      </c>
      <c r="C3438" t="s">
        <v>2034</v>
      </c>
      <c r="D3438" t="s">
        <v>20</v>
      </c>
      <c r="E3438" t="s">
        <v>410</v>
      </c>
      <c r="F3438" t="s">
        <v>1031</v>
      </c>
      <c r="G3438" t="s">
        <v>478</v>
      </c>
      <c r="H3438" t="s">
        <v>24</v>
      </c>
      <c r="I3438">
        <v>200</v>
      </c>
      <c r="J3438">
        <v>154.06</v>
      </c>
      <c r="K3438">
        <v>154.06</v>
      </c>
      <c r="L3438" t="s">
        <v>25</v>
      </c>
      <c r="M3438" t="s">
        <v>1485</v>
      </c>
      <c r="N3438">
        <v>690000</v>
      </c>
      <c r="O3438">
        <v>106301400</v>
      </c>
      <c r="P3438" t="str">
        <f>IF(T[[#This Row],[qty_ordered]]&lt;&gt;T[[#This Row],[qty_received]],IF(T[[#This Row],[qty_received]]&gt;0,"Partial Received","Not Receviced"),"FullyReceived")</f>
        <v>Partial Received</v>
      </c>
      <c r="Q3438" t="str">
        <f>IF(T[[#This Row],[qty_received]]&lt;&gt;T[[#This Row],[qty_invoiced]],IF(T[[#This Row],[qty_invoiced]]&gt;0,"Partial Invoiced","Not Invoiced"),"Fully Invoiced")</f>
        <v>Fully Invoiced</v>
      </c>
      <c r="R3438" t="str">
        <f>IFERROR(VLOOKUP(T[[#This Row],[warehouse]],Table2[],2,FALSE),"--")</f>
        <v>SFITER GUM Masaaie</v>
      </c>
    </row>
    <row r="3439" spans="1:18" x14ac:dyDescent="0.25">
      <c r="A3439" t="s">
        <v>560</v>
      </c>
      <c r="B3439" s="1">
        <v>44404</v>
      </c>
      <c r="C3439" t="s">
        <v>1424</v>
      </c>
      <c r="D3439" t="s">
        <v>76</v>
      </c>
      <c r="E3439" t="s">
        <v>51</v>
      </c>
      <c r="F3439" t="s">
        <v>52</v>
      </c>
      <c r="G3439" t="s">
        <v>53</v>
      </c>
      <c r="H3439" t="s">
        <v>54</v>
      </c>
      <c r="I3439">
        <v>24</v>
      </c>
      <c r="J3439">
        <v>0</v>
      </c>
      <c r="K3439">
        <v>1</v>
      </c>
      <c r="L3439" t="s">
        <v>693</v>
      </c>
      <c r="M3439" t="s">
        <v>707</v>
      </c>
      <c r="N3439">
        <v>4646.4170000000004</v>
      </c>
      <c r="O3439">
        <v>0</v>
      </c>
      <c r="P3439" t="str">
        <f>IF(T[[#This Row],[qty_ordered]]&lt;&gt;T[[#This Row],[qty_received]],IF(T[[#This Row],[qty_received]]&gt;0,"Partial Received","Not Receviced"),"FullyReceived")</f>
        <v>Not Receviced</v>
      </c>
      <c r="Q3439" t="str">
        <f>IF(T[[#This Row],[qty_received]]&lt;&gt;T[[#This Row],[qty_invoiced]],IF(T[[#This Row],[qty_invoiced]]&gt;0,"Partial Invoiced","Not Invoiced"),"Fully Invoiced")</f>
        <v>Partial Invoiced</v>
      </c>
      <c r="R3439" t="str">
        <f>IFERROR(VLOOKUP(T[[#This Row],[warehouse]],Table2[],2,FALSE),"--")</f>
        <v>--</v>
      </c>
    </row>
    <row r="3440" spans="1:18" x14ac:dyDescent="0.25">
      <c r="A3440" t="s">
        <v>658</v>
      </c>
      <c r="B3440" s="1">
        <v>44363</v>
      </c>
      <c r="C3440" t="s">
        <v>1397</v>
      </c>
      <c r="D3440" t="s">
        <v>452</v>
      </c>
      <c r="E3440" t="s">
        <v>660</v>
      </c>
      <c r="F3440" t="s">
        <v>661</v>
      </c>
      <c r="G3440" t="s">
        <v>662</v>
      </c>
      <c r="H3440" t="s">
        <v>663</v>
      </c>
      <c r="I3440">
        <v>2056.1</v>
      </c>
      <c r="J3440">
        <v>0</v>
      </c>
      <c r="K3440">
        <v>0</v>
      </c>
      <c r="L3440" t="s">
        <v>25</v>
      </c>
      <c r="M3440" t="s">
        <v>132</v>
      </c>
      <c r="N3440">
        <v>1800</v>
      </c>
      <c r="O3440">
        <v>0</v>
      </c>
      <c r="P3440" t="str">
        <f>IF(T[[#This Row],[qty_ordered]]&lt;&gt;T[[#This Row],[qty_received]],IF(T[[#This Row],[qty_received]]&gt;0,"Partial Received","Not Receviced"),"FullyReceived")</f>
        <v>Not Receviced</v>
      </c>
      <c r="Q3440" t="str">
        <f>IF(T[[#This Row],[qty_received]]&lt;&gt;T[[#This Row],[qty_invoiced]],IF(T[[#This Row],[qty_invoiced]]&gt;0,"Partial Invoiced","Not Invoiced"),"Fully Invoiced")</f>
        <v>Fully Invoiced</v>
      </c>
      <c r="R3440" t="str">
        <f>IFERROR(VLOOKUP(T[[#This Row],[warehouse]],Table2[],2,FALSE),"--")</f>
        <v>SLAUGHTER HOUSE</v>
      </c>
    </row>
    <row r="3441" spans="1:18" x14ac:dyDescent="0.25">
      <c r="A3441" t="s">
        <v>235</v>
      </c>
      <c r="B3441" s="1">
        <v>44160</v>
      </c>
      <c r="C3441" t="s">
        <v>998</v>
      </c>
      <c r="D3441" t="s">
        <v>592</v>
      </c>
      <c r="E3441" t="s">
        <v>51</v>
      </c>
      <c r="F3441" t="s">
        <v>546</v>
      </c>
      <c r="G3441" t="s">
        <v>2035</v>
      </c>
      <c r="H3441" t="s">
        <v>54</v>
      </c>
      <c r="I3441">
        <v>2600</v>
      </c>
      <c r="J3441">
        <v>0</v>
      </c>
      <c r="K3441">
        <v>1</v>
      </c>
      <c r="L3441" t="s">
        <v>25</v>
      </c>
      <c r="M3441" t="s">
        <v>2836</v>
      </c>
      <c r="N3441">
        <v>13</v>
      </c>
      <c r="O3441">
        <v>0</v>
      </c>
      <c r="P3441" t="str">
        <f>IF(T[[#This Row],[qty_ordered]]&lt;&gt;T[[#This Row],[qty_received]],IF(T[[#This Row],[qty_received]]&gt;0,"Partial Received","Not Receviced"),"FullyReceived")</f>
        <v>Not Receviced</v>
      </c>
      <c r="Q3441" t="str">
        <f>IF(T[[#This Row],[qty_received]]&lt;&gt;T[[#This Row],[qty_invoiced]],IF(T[[#This Row],[qty_invoiced]]&gt;0,"Partial Invoiced","Not Invoiced"),"Fully Invoiced")</f>
        <v>Partial Invoiced</v>
      </c>
      <c r="R3441" t="str">
        <f>IFERROR(VLOOKUP(T[[#This Row],[warehouse]],Table2[],2,FALSE),"--")</f>
        <v>--</v>
      </c>
    </row>
    <row r="3442" spans="1:18" x14ac:dyDescent="0.25">
      <c r="A3442" t="s">
        <v>228</v>
      </c>
      <c r="B3442" s="1">
        <v>44530</v>
      </c>
      <c r="C3442" t="s">
        <v>2036</v>
      </c>
      <c r="D3442" t="s">
        <v>20</v>
      </c>
      <c r="E3442" t="s">
        <v>239</v>
      </c>
      <c r="F3442" t="s">
        <v>230</v>
      </c>
      <c r="G3442" t="s">
        <v>231</v>
      </c>
      <c r="H3442" t="s">
        <v>24</v>
      </c>
      <c r="I3442">
        <v>5664.55</v>
      </c>
      <c r="J3442">
        <v>5664.55</v>
      </c>
      <c r="K3442">
        <v>5664.55</v>
      </c>
      <c r="L3442" t="s">
        <v>25</v>
      </c>
      <c r="M3442" t="s">
        <v>1485</v>
      </c>
      <c r="N3442">
        <v>565150.451</v>
      </c>
      <c r="O3442">
        <v>3201322987.21205</v>
      </c>
      <c r="P3442" t="str">
        <f>IF(T[[#This Row],[qty_ordered]]&lt;&gt;T[[#This Row],[qty_received]],IF(T[[#This Row],[qty_received]]&gt;0,"Partial Received","Not Receviced"),"FullyReceived")</f>
        <v>FullyReceived</v>
      </c>
      <c r="Q3442" t="str">
        <f>IF(T[[#This Row],[qty_received]]&lt;&gt;T[[#This Row],[qty_invoiced]],IF(T[[#This Row],[qty_invoiced]]&gt;0,"Partial Invoiced","Not Invoiced"),"Fully Invoiced")</f>
        <v>Fully Invoiced</v>
      </c>
      <c r="R3442" t="str">
        <f>IFERROR(VLOOKUP(T[[#This Row],[warehouse]],Table2[],2,FALSE),"--")</f>
        <v xml:space="preserve">Gadarif Main Store </v>
      </c>
    </row>
    <row r="3443" spans="1:18" x14ac:dyDescent="0.25">
      <c r="A3443" t="s">
        <v>618</v>
      </c>
      <c r="B3443" s="1">
        <v>44530</v>
      </c>
      <c r="C3443" t="s">
        <v>1550</v>
      </c>
      <c r="D3443" t="s">
        <v>20</v>
      </c>
      <c r="E3443" t="s">
        <v>553</v>
      </c>
      <c r="F3443" t="s">
        <v>86</v>
      </c>
      <c r="G3443" t="s">
        <v>87</v>
      </c>
      <c r="H3443" t="s">
        <v>24</v>
      </c>
      <c r="I3443">
        <v>948.18200000000002</v>
      </c>
      <c r="J3443">
        <v>0</v>
      </c>
      <c r="K3443">
        <v>0</v>
      </c>
      <c r="L3443" t="s">
        <v>25</v>
      </c>
      <c r="M3443" t="s">
        <v>1485</v>
      </c>
      <c r="N3443">
        <v>527324.92299999995</v>
      </c>
      <c r="O3443">
        <v>0</v>
      </c>
      <c r="P3443" t="str">
        <f>IF(T[[#This Row],[qty_ordered]]&lt;&gt;T[[#This Row],[qty_received]],IF(T[[#This Row],[qty_received]]&gt;0,"Partial Received","Not Receviced"),"FullyReceived")</f>
        <v>Not Receviced</v>
      </c>
      <c r="Q3443" t="str">
        <f>IF(T[[#This Row],[qty_received]]&lt;&gt;T[[#This Row],[qty_invoiced]],IF(T[[#This Row],[qty_invoiced]]&gt;0,"Partial Invoiced","Not Invoiced"),"Fully Invoiced")</f>
        <v>Fully Invoiced</v>
      </c>
      <c r="R3443" t="str">
        <f>IFERROR(VLOOKUP(T[[#This Row],[warehouse]],Table2[],2,FALSE),"--")</f>
        <v>SIFTING HMA-SOBA</v>
      </c>
    </row>
    <row r="3444" spans="1:18" x14ac:dyDescent="0.25">
      <c r="A3444" t="s">
        <v>1170</v>
      </c>
      <c r="B3444" s="1">
        <v>44530</v>
      </c>
      <c r="C3444" t="s">
        <v>1493</v>
      </c>
      <c r="D3444" t="s">
        <v>20</v>
      </c>
      <c r="E3444" t="s">
        <v>1289</v>
      </c>
      <c r="F3444" t="s">
        <v>406</v>
      </c>
      <c r="G3444" t="s">
        <v>407</v>
      </c>
      <c r="H3444" t="s">
        <v>24</v>
      </c>
      <c r="I3444">
        <v>1313.94</v>
      </c>
      <c r="J3444">
        <v>1313.94</v>
      </c>
      <c r="K3444">
        <v>1313.94</v>
      </c>
      <c r="L3444" t="s">
        <v>25</v>
      </c>
      <c r="M3444" t="s">
        <v>1485</v>
      </c>
      <c r="N3444">
        <v>261610.8</v>
      </c>
      <c r="O3444">
        <v>343740894.55199999</v>
      </c>
      <c r="P3444" t="str">
        <f>IF(T[[#This Row],[qty_ordered]]&lt;&gt;T[[#This Row],[qty_received]],IF(T[[#This Row],[qty_received]]&gt;0,"Partial Received","Not Receviced"),"FullyReceived")</f>
        <v>FullyReceived</v>
      </c>
      <c r="Q3444" t="str">
        <f>IF(T[[#This Row],[qty_received]]&lt;&gt;T[[#This Row],[qty_invoiced]],IF(T[[#This Row],[qty_invoiced]]&gt;0,"Partial Invoiced","Not Invoiced"),"Fully Invoiced")</f>
        <v>Fully Invoiced</v>
      </c>
      <c r="R3444" t="str">
        <f>IFERROR(VLOOKUP(T[[#This Row],[warehouse]],Table2[],2,FALSE),"--")</f>
        <v>MSG GINNING GDARIF</v>
      </c>
    </row>
    <row r="3445" spans="1:18" x14ac:dyDescent="0.25">
      <c r="A3445" t="s">
        <v>1868</v>
      </c>
      <c r="B3445" s="1">
        <v>44525</v>
      </c>
      <c r="C3445" t="s">
        <v>2037</v>
      </c>
      <c r="D3445" t="s">
        <v>71</v>
      </c>
      <c r="E3445" t="s">
        <v>146</v>
      </c>
      <c r="F3445" t="s">
        <v>943</v>
      </c>
      <c r="G3445" t="s">
        <v>944</v>
      </c>
      <c r="H3445" t="s">
        <v>149</v>
      </c>
      <c r="I3445">
        <v>104000</v>
      </c>
      <c r="J3445">
        <v>104000</v>
      </c>
      <c r="K3445">
        <v>104000</v>
      </c>
      <c r="L3445" t="s">
        <v>25</v>
      </c>
      <c r="M3445" t="s">
        <v>1404</v>
      </c>
      <c r="N3445">
        <v>196</v>
      </c>
      <c r="O3445">
        <v>20384000</v>
      </c>
      <c r="P3445" t="str">
        <f>IF(T[[#This Row],[qty_ordered]]&lt;&gt;T[[#This Row],[qty_received]],IF(T[[#This Row],[qty_received]]&gt;0,"Partial Received","Not Receviced"),"FullyReceived")</f>
        <v>FullyReceived</v>
      </c>
      <c r="Q3445" t="str">
        <f>IF(T[[#This Row],[qty_received]]&lt;&gt;T[[#This Row],[qty_invoiced]],IF(T[[#This Row],[qty_invoiced]]&gt;0,"Partial Invoiced","Not Invoiced"),"Fully Invoiced")</f>
        <v>Fully Invoiced</v>
      </c>
      <c r="R3445" t="str">
        <f>IFERROR(VLOOKUP(T[[#This Row],[warehouse]],Table2[],2,FALSE),"--")</f>
        <v>Khtoum Main Warehouse</v>
      </c>
    </row>
    <row r="3446" spans="1:18" x14ac:dyDescent="0.25">
      <c r="A3446" t="s">
        <v>252</v>
      </c>
      <c r="B3446" s="1">
        <v>44201</v>
      </c>
      <c r="C3446" t="s">
        <v>1164</v>
      </c>
      <c r="D3446" t="s">
        <v>88</v>
      </c>
      <c r="E3446" t="s">
        <v>51</v>
      </c>
      <c r="F3446" t="s">
        <v>183</v>
      </c>
      <c r="G3446" t="s">
        <v>2038</v>
      </c>
      <c r="H3446" t="s">
        <v>54</v>
      </c>
      <c r="I3446">
        <v>133.69999999999999</v>
      </c>
      <c r="J3446">
        <v>0</v>
      </c>
      <c r="K3446">
        <v>1</v>
      </c>
      <c r="L3446" t="s">
        <v>25</v>
      </c>
      <c r="M3446" t="s">
        <v>533</v>
      </c>
      <c r="N3446">
        <v>4000</v>
      </c>
      <c r="O3446">
        <v>0</v>
      </c>
      <c r="P3446" t="str">
        <f>IF(T[[#This Row],[qty_ordered]]&lt;&gt;T[[#This Row],[qty_received]],IF(T[[#This Row],[qty_received]]&gt;0,"Partial Received","Not Receviced"),"FullyReceived")</f>
        <v>Not Receviced</v>
      </c>
      <c r="Q3446" t="str">
        <f>IF(T[[#This Row],[qty_received]]&lt;&gt;T[[#This Row],[qty_invoiced]],IF(T[[#This Row],[qty_invoiced]]&gt;0,"Partial Invoiced","Not Invoiced"),"Fully Invoiced")</f>
        <v>Partial Invoiced</v>
      </c>
      <c r="R3446" t="str">
        <f>IFERROR(VLOOKUP(T[[#This Row],[warehouse]],Table2[],2,FALSE),"--")</f>
        <v>--</v>
      </c>
    </row>
    <row r="3447" spans="1:18" x14ac:dyDescent="0.25">
      <c r="A3447" t="s">
        <v>252</v>
      </c>
      <c r="B3447" s="1">
        <v>44201</v>
      </c>
      <c r="C3447" t="s">
        <v>1164</v>
      </c>
      <c r="D3447" t="s">
        <v>74</v>
      </c>
      <c r="E3447" t="s">
        <v>51</v>
      </c>
      <c r="F3447" t="s">
        <v>278</v>
      </c>
      <c r="G3447" t="s">
        <v>2039</v>
      </c>
      <c r="H3447" t="s">
        <v>54</v>
      </c>
      <c r="I3447">
        <v>2499</v>
      </c>
      <c r="J3447">
        <v>0</v>
      </c>
      <c r="K3447">
        <v>1</v>
      </c>
      <c r="L3447" t="s">
        <v>25</v>
      </c>
      <c r="M3447" t="s">
        <v>533</v>
      </c>
      <c r="N3447">
        <v>25.372147999999999</v>
      </c>
      <c r="O3447">
        <v>0</v>
      </c>
      <c r="P3447" t="str">
        <f>IF(T[[#This Row],[qty_ordered]]&lt;&gt;T[[#This Row],[qty_received]],IF(T[[#This Row],[qty_received]]&gt;0,"Partial Received","Not Receviced"),"FullyReceived")</f>
        <v>Not Receviced</v>
      </c>
      <c r="Q3447" t="str">
        <f>IF(T[[#This Row],[qty_received]]&lt;&gt;T[[#This Row],[qty_invoiced]],IF(T[[#This Row],[qty_invoiced]]&gt;0,"Partial Invoiced","Not Invoiced"),"Fully Invoiced")</f>
        <v>Partial Invoiced</v>
      </c>
      <c r="R3447" t="str">
        <f>IFERROR(VLOOKUP(T[[#This Row],[warehouse]],Table2[],2,FALSE),"--")</f>
        <v>--</v>
      </c>
    </row>
    <row r="3448" spans="1:18" x14ac:dyDescent="0.25">
      <c r="A3448" t="s">
        <v>955</v>
      </c>
      <c r="B3448" s="1">
        <v>44508</v>
      </c>
      <c r="C3448" t="s">
        <v>2031</v>
      </c>
      <c r="D3448" t="s">
        <v>71</v>
      </c>
      <c r="E3448" t="s">
        <v>908</v>
      </c>
      <c r="F3448" t="s">
        <v>108</v>
      </c>
      <c r="G3448" t="s">
        <v>109</v>
      </c>
      <c r="H3448" t="s">
        <v>24</v>
      </c>
      <c r="I3448">
        <v>500</v>
      </c>
      <c r="J3448">
        <v>151.91</v>
      </c>
      <c r="K3448">
        <v>151.91</v>
      </c>
      <c r="L3448" t="s">
        <v>25</v>
      </c>
      <c r="M3448" t="s">
        <v>1485</v>
      </c>
      <c r="N3448">
        <v>440000</v>
      </c>
      <c r="O3448">
        <v>66840400</v>
      </c>
      <c r="P3448" t="str">
        <f>IF(T[[#This Row],[qty_ordered]]&lt;&gt;T[[#This Row],[qty_received]],IF(T[[#This Row],[qty_received]]&gt;0,"Partial Received","Not Receviced"),"FullyReceived")</f>
        <v>Partial Received</v>
      </c>
      <c r="Q3448" t="str">
        <f>IF(T[[#This Row],[qty_received]]&lt;&gt;T[[#This Row],[qty_invoiced]],IF(T[[#This Row],[qty_invoiced]]&gt;0,"Partial Invoiced","Not Invoiced"),"Fully Invoiced")</f>
        <v>Fully Invoiced</v>
      </c>
      <c r="R3448" t="str">
        <f>IFERROR(VLOOKUP(T[[#This Row],[warehouse]],Table2[],2,FALSE),"--")</f>
        <v>SIFTER- ALNAZER-OMDU</v>
      </c>
    </row>
    <row r="3449" spans="1:18" x14ac:dyDescent="0.25">
      <c r="A3449" t="s">
        <v>242</v>
      </c>
      <c r="B3449" s="1">
        <v>44535</v>
      </c>
      <c r="C3449" t="s">
        <v>2040</v>
      </c>
      <c r="D3449" t="s">
        <v>20</v>
      </c>
      <c r="E3449" t="s">
        <v>405</v>
      </c>
      <c r="F3449" t="s">
        <v>244</v>
      </c>
      <c r="G3449" t="s">
        <v>245</v>
      </c>
      <c r="H3449" t="s">
        <v>24</v>
      </c>
      <c r="I3449">
        <v>1500</v>
      </c>
      <c r="J3449">
        <v>145.13</v>
      </c>
      <c r="K3449">
        <v>145.13</v>
      </c>
      <c r="L3449" t="s">
        <v>25</v>
      </c>
      <c r="M3449" t="s">
        <v>1485</v>
      </c>
      <c r="N3449">
        <v>830000</v>
      </c>
      <c r="O3449">
        <v>120457900</v>
      </c>
      <c r="P3449" t="str">
        <f>IF(T[[#This Row],[qty_ordered]]&lt;&gt;T[[#This Row],[qty_received]],IF(T[[#This Row],[qty_received]]&gt;0,"Partial Received","Not Receviced"),"FullyReceived")</f>
        <v>Partial Received</v>
      </c>
      <c r="Q3449" t="str">
        <f>IF(T[[#This Row],[qty_received]]&lt;&gt;T[[#This Row],[qty_invoiced]],IF(T[[#This Row],[qty_invoiced]]&gt;0,"Partial Invoiced","Not Invoiced"),"Fully Invoiced")</f>
        <v>Fully Invoiced</v>
      </c>
      <c r="R3449" t="str">
        <f>IFERROR(VLOOKUP(T[[#This Row],[warehouse]],Table2[],2,FALSE),"--")</f>
        <v>GINNING ISHRAG-MDNI</v>
      </c>
    </row>
    <row r="3450" spans="1:18" x14ac:dyDescent="0.25">
      <c r="A3450" t="s">
        <v>228</v>
      </c>
      <c r="B3450" s="1">
        <v>44530</v>
      </c>
      <c r="C3450" t="s">
        <v>2036</v>
      </c>
      <c r="D3450" t="s">
        <v>71</v>
      </c>
      <c r="E3450" t="s">
        <v>239</v>
      </c>
      <c r="F3450" t="s">
        <v>230</v>
      </c>
      <c r="G3450" t="s">
        <v>231</v>
      </c>
      <c r="H3450" t="s">
        <v>24</v>
      </c>
      <c r="I3450">
        <v>884.721</v>
      </c>
      <c r="J3450">
        <v>0</v>
      </c>
      <c r="K3450">
        <v>0</v>
      </c>
      <c r="L3450" t="s">
        <v>25</v>
      </c>
      <c r="M3450" t="s">
        <v>1485</v>
      </c>
      <c r="N3450">
        <v>565149.91799999995</v>
      </c>
      <c r="O3450">
        <v>0</v>
      </c>
      <c r="P3450" t="str">
        <f>IF(T[[#This Row],[qty_ordered]]&lt;&gt;T[[#This Row],[qty_received]],IF(T[[#This Row],[qty_received]]&gt;0,"Partial Received","Not Receviced"),"FullyReceived")</f>
        <v>Not Receviced</v>
      </c>
      <c r="Q3450" t="str">
        <f>IF(T[[#This Row],[qty_received]]&lt;&gt;T[[#This Row],[qty_invoiced]],IF(T[[#This Row],[qty_invoiced]]&gt;0,"Partial Invoiced","Not Invoiced"),"Fully Invoiced")</f>
        <v>Fully Invoiced</v>
      </c>
      <c r="R3450" t="str">
        <f>IFERROR(VLOOKUP(T[[#This Row],[warehouse]],Table2[],2,FALSE),"--")</f>
        <v xml:space="preserve">Gadarif Main Store </v>
      </c>
    </row>
    <row r="3451" spans="1:18" x14ac:dyDescent="0.25">
      <c r="A3451" t="s">
        <v>201</v>
      </c>
      <c r="B3451" s="1">
        <v>44455</v>
      </c>
      <c r="C3451" t="s">
        <v>1906</v>
      </c>
      <c r="D3451" t="s">
        <v>88</v>
      </c>
      <c r="E3451" t="s">
        <v>51</v>
      </c>
      <c r="F3451" t="s">
        <v>933</v>
      </c>
      <c r="G3451" t="s">
        <v>2041</v>
      </c>
      <c r="H3451" t="s">
        <v>54</v>
      </c>
      <c r="I3451">
        <v>1</v>
      </c>
      <c r="J3451">
        <v>0</v>
      </c>
      <c r="K3451">
        <v>1</v>
      </c>
      <c r="L3451" t="s">
        <v>693</v>
      </c>
      <c r="M3451" t="s">
        <v>744</v>
      </c>
      <c r="N3451">
        <v>2367146686.7160001</v>
      </c>
      <c r="O3451">
        <v>0</v>
      </c>
      <c r="P3451" t="str">
        <f>IF(T[[#This Row],[qty_ordered]]&lt;&gt;T[[#This Row],[qty_received]],IF(T[[#This Row],[qty_received]]&gt;0,"Partial Received","Not Receviced"),"FullyReceived")</f>
        <v>Not Receviced</v>
      </c>
      <c r="Q3451" t="str">
        <f>IF(T[[#This Row],[qty_received]]&lt;&gt;T[[#This Row],[qty_invoiced]],IF(T[[#This Row],[qty_invoiced]]&gt;0,"Partial Invoiced","Not Invoiced"),"Fully Invoiced")</f>
        <v>Partial Invoiced</v>
      </c>
      <c r="R3451" t="str">
        <f>IFERROR(VLOOKUP(T[[#This Row],[warehouse]],Table2[],2,FALSE),"--")</f>
        <v>--</v>
      </c>
    </row>
    <row r="3452" spans="1:18" x14ac:dyDescent="0.25">
      <c r="A3452" t="s">
        <v>1475</v>
      </c>
      <c r="B3452" s="1">
        <v>44535</v>
      </c>
      <c r="C3452" t="s">
        <v>1526</v>
      </c>
      <c r="D3452" t="s">
        <v>20</v>
      </c>
      <c r="E3452" t="s">
        <v>51</v>
      </c>
      <c r="F3452" t="s">
        <v>674</v>
      </c>
      <c r="G3452" t="s">
        <v>2042</v>
      </c>
      <c r="H3452" t="s">
        <v>54</v>
      </c>
      <c r="I3452">
        <v>24000</v>
      </c>
      <c r="J3452">
        <v>0</v>
      </c>
      <c r="K3452">
        <v>1</v>
      </c>
      <c r="L3452" t="s">
        <v>693</v>
      </c>
      <c r="M3452" t="s">
        <v>533</v>
      </c>
      <c r="N3452">
        <v>7500</v>
      </c>
      <c r="O3452">
        <v>0</v>
      </c>
      <c r="P3452" t="str">
        <f>IF(T[[#This Row],[qty_ordered]]&lt;&gt;T[[#This Row],[qty_received]],IF(T[[#This Row],[qty_received]]&gt;0,"Partial Received","Not Receviced"),"FullyReceived")</f>
        <v>Not Receviced</v>
      </c>
      <c r="Q3452" t="str">
        <f>IF(T[[#This Row],[qty_received]]&lt;&gt;T[[#This Row],[qty_invoiced]],IF(T[[#This Row],[qty_invoiced]]&gt;0,"Partial Invoiced","Not Invoiced"),"Fully Invoiced")</f>
        <v>Partial Invoiced</v>
      </c>
      <c r="R3452" t="str">
        <f>IFERROR(VLOOKUP(T[[#This Row],[warehouse]],Table2[],2,FALSE),"--")</f>
        <v>--</v>
      </c>
    </row>
    <row r="3453" spans="1:18" x14ac:dyDescent="0.25">
      <c r="A3453" t="s">
        <v>735</v>
      </c>
      <c r="B3453" s="1">
        <v>44535</v>
      </c>
      <c r="C3453" t="s">
        <v>1487</v>
      </c>
      <c r="D3453" t="s">
        <v>20</v>
      </c>
      <c r="E3453" t="s">
        <v>51</v>
      </c>
      <c r="F3453" t="s">
        <v>183</v>
      </c>
      <c r="G3453" t="s">
        <v>1632</v>
      </c>
      <c r="H3453" t="s">
        <v>54</v>
      </c>
      <c r="I3453">
        <v>500</v>
      </c>
      <c r="J3453">
        <v>0</v>
      </c>
      <c r="K3453">
        <v>1</v>
      </c>
      <c r="L3453" t="s">
        <v>693</v>
      </c>
      <c r="M3453" t="s">
        <v>533</v>
      </c>
      <c r="N3453">
        <v>5500</v>
      </c>
      <c r="O3453">
        <v>0</v>
      </c>
      <c r="P3453" t="str">
        <f>IF(T[[#This Row],[qty_ordered]]&lt;&gt;T[[#This Row],[qty_received]],IF(T[[#This Row],[qty_received]]&gt;0,"Partial Received","Not Receviced"),"FullyReceived")</f>
        <v>Not Receviced</v>
      </c>
      <c r="Q3453" t="str">
        <f>IF(T[[#This Row],[qty_received]]&lt;&gt;T[[#This Row],[qty_invoiced]],IF(T[[#This Row],[qty_invoiced]]&gt;0,"Partial Invoiced","Not Invoiced"),"Fully Invoiced")</f>
        <v>Partial Invoiced</v>
      </c>
      <c r="R3453" t="str">
        <f>IFERROR(VLOOKUP(T[[#This Row],[warehouse]],Table2[],2,FALSE),"--")</f>
        <v>--</v>
      </c>
    </row>
    <row r="3454" spans="1:18" x14ac:dyDescent="0.25">
      <c r="A3454" t="s">
        <v>2043</v>
      </c>
      <c r="B3454" s="1">
        <v>44537</v>
      </c>
      <c r="C3454" t="s">
        <v>2044</v>
      </c>
      <c r="D3454" t="s">
        <v>20</v>
      </c>
      <c r="E3454" t="s">
        <v>51</v>
      </c>
      <c r="F3454" t="s">
        <v>183</v>
      </c>
      <c r="G3454" t="s">
        <v>1991</v>
      </c>
      <c r="H3454" t="s">
        <v>54</v>
      </c>
      <c r="I3454">
        <v>308.89999999999998</v>
      </c>
      <c r="J3454">
        <v>0</v>
      </c>
      <c r="K3454">
        <v>1</v>
      </c>
      <c r="L3454" t="s">
        <v>693</v>
      </c>
      <c r="M3454" t="s">
        <v>533</v>
      </c>
      <c r="N3454">
        <v>6000</v>
      </c>
      <c r="O3454">
        <v>0</v>
      </c>
      <c r="P3454" t="str">
        <f>IF(T[[#This Row],[qty_ordered]]&lt;&gt;T[[#This Row],[qty_received]],IF(T[[#This Row],[qty_received]]&gt;0,"Partial Received","Not Receviced"),"FullyReceived")</f>
        <v>Not Receviced</v>
      </c>
      <c r="Q3454" t="str">
        <f>IF(T[[#This Row],[qty_received]]&lt;&gt;T[[#This Row],[qty_invoiced]],IF(T[[#This Row],[qty_invoiced]]&gt;0,"Partial Invoiced","Not Invoiced"),"Fully Invoiced")</f>
        <v>Partial Invoiced</v>
      </c>
      <c r="R3454" t="str">
        <f>IFERROR(VLOOKUP(T[[#This Row],[warehouse]],Table2[],2,FALSE),"--")</f>
        <v>--</v>
      </c>
    </row>
    <row r="3455" spans="1:18" x14ac:dyDescent="0.25">
      <c r="A3455" t="s">
        <v>228</v>
      </c>
      <c r="B3455" s="1">
        <v>44538</v>
      </c>
      <c r="C3455" t="s">
        <v>2045</v>
      </c>
      <c r="D3455" t="s">
        <v>20</v>
      </c>
      <c r="E3455" t="s">
        <v>239</v>
      </c>
      <c r="F3455" t="s">
        <v>196</v>
      </c>
      <c r="G3455" t="s">
        <v>197</v>
      </c>
      <c r="H3455" t="s">
        <v>24</v>
      </c>
      <c r="I3455">
        <v>1000</v>
      </c>
      <c r="J3455">
        <v>0</v>
      </c>
      <c r="K3455">
        <v>0</v>
      </c>
      <c r="L3455" t="s">
        <v>59</v>
      </c>
      <c r="M3455" t="s">
        <v>1485</v>
      </c>
      <c r="N3455">
        <v>103000</v>
      </c>
      <c r="O3455">
        <v>0</v>
      </c>
      <c r="P3455" t="str">
        <f>IF(T[[#This Row],[qty_ordered]]&lt;&gt;T[[#This Row],[qty_received]],IF(T[[#This Row],[qty_received]]&gt;0,"Partial Received","Not Receviced"),"FullyReceived")</f>
        <v>Not Receviced</v>
      </c>
      <c r="Q3455" t="str">
        <f>IF(T[[#This Row],[qty_received]]&lt;&gt;T[[#This Row],[qty_invoiced]],IF(T[[#This Row],[qty_invoiced]]&gt;0,"Partial Invoiced","Not Invoiced"),"Fully Invoiced")</f>
        <v>Fully Invoiced</v>
      </c>
      <c r="R3455" t="str">
        <f>IFERROR(VLOOKUP(T[[#This Row],[warehouse]],Table2[],2,FALSE),"--")</f>
        <v xml:space="preserve">Gadarif Main Store </v>
      </c>
    </row>
    <row r="3456" spans="1:18" x14ac:dyDescent="0.25">
      <c r="A3456" t="s">
        <v>228</v>
      </c>
      <c r="B3456" s="1">
        <v>44537</v>
      </c>
      <c r="C3456" t="s">
        <v>1492</v>
      </c>
      <c r="D3456" t="s">
        <v>20</v>
      </c>
      <c r="E3456" t="s">
        <v>239</v>
      </c>
      <c r="F3456" t="s">
        <v>196</v>
      </c>
      <c r="G3456" t="s">
        <v>197</v>
      </c>
      <c r="H3456" t="s">
        <v>24</v>
      </c>
      <c r="I3456">
        <v>2912.6210000000001</v>
      </c>
      <c r="J3456">
        <v>0</v>
      </c>
      <c r="K3456">
        <v>0</v>
      </c>
      <c r="L3456" t="s">
        <v>25</v>
      </c>
      <c r="M3456" t="s">
        <v>1485</v>
      </c>
      <c r="N3456">
        <v>103000.012703</v>
      </c>
      <c r="O3456">
        <v>0</v>
      </c>
      <c r="P3456" t="str">
        <f>IF(T[[#This Row],[qty_ordered]]&lt;&gt;T[[#This Row],[qty_received]],IF(T[[#This Row],[qty_received]]&gt;0,"Partial Received","Not Receviced"),"FullyReceived")</f>
        <v>Not Receviced</v>
      </c>
      <c r="Q3456" t="str">
        <f>IF(T[[#This Row],[qty_received]]&lt;&gt;T[[#This Row],[qty_invoiced]],IF(T[[#This Row],[qty_invoiced]]&gt;0,"Partial Invoiced","Not Invoiced"),"Fully Invoiced")</f>
        <v>Fully Invoiced</v>
      </c>
      <c r="R3456" t="str">
        <f>IFERROR(VLOOKUP(T[[#This Row],[warehouse]],Table2[],2,FALSE),"--")</f>
        <v xml:space="preserve">Gadarif Main Store </v>
      </c>
    </row>
    <row r="3457" spans="1:18" x14ac:dyDescent="0.25">
      <c r="A3457" t="s">
        <v>242</v>
      </c>
      <c r="B3457" s="1">
        <v>44539</v>
      </c>
      <c r="C3457" t="s">
        <v>1950</v>
      </c>
      <c r="D3457" t="s">
        <v>20</v>
      </c>
      <c r="E3457" t="s">
        <v>405</v>
      </c>
      <c r="F3457" t="s">
        <v>244</v>
      </c>
      <c r="G3457" t="s">
        <v>245</v>
      </c>
      <c r="H3457" t="s">
        <v>24</v>
      </c>
      <c r="I3457">
        <v>504.66</v>
      </c>
      <c r="J3457">
        <v>504.66</v>
      </c>
      <c r="K3457">
        <v>504.66</v>
      </c>
      <c r="L3457" t="s">
        <v>25</v>
      </c>
      <c r="M3457" t="s">
        <v>1485</v>
      </c>
      <c r="N3457">
        <v>830000</v>
      </c>
      <c r="O3457">
        <v>418867800</v>
      </c>
      <c r="P3457" t="str">
        <f>IF(T[[#This Row],[qty_ordered]]&lt;&gt;T[[#This Row],[qty_received]],IF(T[[#This Row],[qty_received]]&gt;0,"Partial Received","Not Receviced"),"FullyReceived")</f>
        <v>FullyReceived</v>
      </c>
      <c r="Q3457" t="str">
        <f>IF(T[[#This Row],[qty_received]]&lt;&gt;T[[#This Row],[qty_invoiced]],IF(T[[#This Row],[qty_invoiced]]&gt;0,"Partial Invoiced","Not Invoiced"),"Fully Invoiced")</f>
        <v>Fully Invoiced</v>
      </c>
      <c r="R3457" t="str">
        <f>IFERROR(VLOOKUP(T[[#This Row],[warehouse]],Table2[],2,FALSE),"--")</f>
        <v>GINNING ISHRAG-MDNI</v>
      </c>
    </row>
    <row r="3458" spans="1:18" x14ac:dyDescent="0.25">
      <c r="A3458" t="s">
        <v>242</v>
      </c>
      <c r="B3458" s="1">
        <v>44539</v>
      </c>
      <c r="C3458" t="s">
        <v>2046</v>
      </c>
      <c r="D3458" t="s">
        <v>20</v>
      </c>
      <c r="E3458" t="s">
        <v>405</v>
      </c>
      <c r="F3458" t="s">
        <v>244</v>
      </c>
      <c r="G3458" t="s">
        <v>245</v>
      </c>
      <c r="H3458" t="s">
        <v>24</v>
      </c>
      <c r="I3458">
        <v>206.43</v>
      </c>
      <c r="J3458">
        <v>206.43</v>
      </c>
      <c r="K3458">
        <v>206.43</v>
      </c>
      <c r="L3458" t="s">
        <v>25</v>
      </c>
      <c r="M3458" t="s">
        <v>1485</v>
      </c>
      <c r="N3458">
        <v>830000</v>
      </c>
      <c r="O3458">
        <v>171336900</v>
      </c>
      <c r="P3458" t="str">
        <f>IF(T[[#This Row],[qty_ordered]]&lt;&gt;T[[#This Row],[qty_received]],IF(T[[#This Row],[qty_received]]&gt;0,"Partial Received","Not Receviced"),"FullyReceived")</f>
        <v>FullyReceived</v>
      </c>
      <c r="Q3458" t="str">
        <f>IF(T[[#This Row],[qty_received]]&lt;&gt;T[[#This Row],[qty_invoiced]],IF(T[[#This Row],[qty_invoiced]]&gt;0,"Partial Invoiced","Not Invoiced"),"Fully Invoiced")</f>
        <v>Fully Invoiced</v>
      </c>
      <c r="R3458" t="str">
        <f>IFERROR(VLOOKUP(T[[#This Row],[warehouse]],Table2[],2,FALSE),"--")</f>
        <v>GINNING ISHRAG-MDNI</v>
      </c>
    </row>
    <row r="3459" spans="1:18" x14ac:dyDescent="0.25">
      <c r="A3459" t="s">
        <v>1114</v>
      </c>
      <c r="B3459" s="1">
        <v>44535</v>
      </c>
      <c r="C3459" t="s">
        <v>1518</v>
      </c>
      <c r="D3459" t="s">
        <v>71</v>
      </c>
      <c r="E3459" t="s">
        <v>660</v>
      </c>
      <c r="F3459" t="s">
        <v>1188</v>
      </c>
      <c r="G3459" t="s">
        <v>1189</v>
      </c>
      <c r="H3459" t="s">
        <v>1087</v>
      </c>
      <c r="I3459">
        <v>403</v>
      </c>
      <c r="J3459">
        <v>403</v>
      </c>
      <c r="K3459">
        <v>403</v>
      </c>
      <c r="L3459" t="s">
        <v>25</v>
      </c>
      <c r="M3459" t="s">
        <v>1485</v>
      </c>
      <c r="N3459">
        <v>149882.14000000001</v>
      </c>
      <c r="O3459">
        <v>153315217.38780001</v>
      </c>
      <c r="P3459" t="str">
        <f>IF(T[[#This Row],[qty_ordered]]&lt;&gt;T[[#This Row],[qty_received]],IF(T[[#This Row],[qty_received]]&gt;0,"Partial Received","Not Receviced"),"FullyReceived")</f>
        <v>FullyReceived</v>
      </c>
      <c r="Q3459" t="str">
        <f>IF(T[[#This Row],[qty_received]]&lt;&gt;T[[#This Row],[qty_invoiced]],IF(T[[#This Row],[qty_invoiced]]&gt;0,"Partial Invoiced","Not Invoiced"),"Fully Invoiced")</f>
        <v>Fully Invoiced</v>
      </c>
      <c r="R3459" t="str">
        <f>IFERROR(VLOOKUP(T[[#This Row],[warehouse]],Table2[],2,FALSE),"--")</f>
        <v>SLAUGHTER HOUSE</v>
      </c>
    </row>
    <row r="3460" spans="1:18" x14ac:dyDescent="0.25">
      <c r="A3460" t="s">
        <v>955</v>
      </c>
      <c r="B3460" s="1">
        <v>44508</v>
      </c>
      <c r="C3460" t="s">
        <v>2031</v>
      </c>
      <c r="D3460" t="s">
        <v>100</v>
      </c>
      <c r="E3460" t="s">
        <v>2047</v>
      </c>
      <c r="F3460" t="s">
        <v>108</v>
      </c>
      <c r="G3460" t="s">
        <v>109</v>
      </c>
      <c r="H3460" t="s">
        <v>24</v>
      </c>
      <c r="I3460">
        <v>500</v>
      </c>
      <c r="J3460">
        <v>308.89999999999998</v>
      </c>
      <c r="K3460">
        <v>308.89999999999998</v>
      </c>
      <c r="L3460" t="s">
        <v>25</v>
      </c>
      <c r="M3460" t="s">
        <v>1485</v>
      </c>
      <c r="N3460">
        <v>440000</v>
      </c>
      <c r="O3460">
        <v>135916000</v>
      </c>
      <c r="P3460" t="str">
        <f>IF(T[[#This Row],[qty_ordered]]&lt;&gt;T[[#This Row],[qty_received]],IF(T[[#This Row],[qty_received]]&gt;0,"Partial Received","Not Receviced"),"FullyReceived")</f>
        <v>Partial Received</v>
      </c>
      <c r="Q3460" t="str">
        <f>IF(T[[#This Row],[qty_received]]&lt;&gt;T[[#This Row],[qty_invoiced]],IF(T[[#This Row],[qty_invoiced]]&gt;0,"Partial Invoiced","Not Invoiced"),"Fully Invoiced")</f>
        <v>Fully Invoiced</v>
      </c>
      <c r="R3460" t="str">
        <f>IFERROR(VLOOKUP(T[[#This Row],[warehouse]],Table2[],2,FALSE),"--")</f>
        <v>Khojali Trading</v>
      </c>
    </row>
    <row r="3461" spans="1:18" x14ac:dyDescent="0.25">
      <c r="A3461" t="s">
        <v>955</v>
      </c>
      <c r="B3461" s="1">
        <v>44523</v>
      </c>
      <c r="C3461" t="s">
        <v>1967</v>
      </c>
      <c r="D3461" t="s">
        <v>20</v>
      </c>
      <c r="E3461" t="s">
        <v>957</v>
      </c>
      <c r="F3461" t="s">
        <v>86</v>
      </c>
      <c r="G3461" t="s">
        <v>87</v>
      </c>
      <c r="H3461" t="s">
        <v>24</v>
      </c>
      <c r="I3461">
        <v>979.78</v>
      </c>
      <c r="J3461">
        <v>979.78</v>
      </c>
      <c r="K3461">
        <v>979.78</v>
      </c>
      <c r="L3461" t="s">
        <v>693</v>
      </c>
      <c r="M3461" t="s">
        <v>132</v>
      </c>
      <c r="N3461">
        <v>540000</v>
      </c>
      <c r="O3461">
        <v>529081200</v>
      </c>
      <c r="P3461" t="str">
        <f>IF(T[[#This Row],[qty_ordered]]&lt;&gt;T[[#This Row],[qty_received]],IF(T[[#This Row],[qty_received]]&gt;0,"Partial Received","Not Receviced"),"FullyReceived")</f>
        <v>FullyReceived</v>
      </c>
      <c r="Q3461" t="str">
        <f>IF(T[[#This Row],[qty_received]]&lt;&gt;T[[#This Row],[qty_invoiced]],IF(T[[#This Row],[qty_invoiced]]&gt;0,"Partial Invoiced","Not Invoiced"),"Fully Invoiced")</f>
        <v>Fully Invoiced</v>
      </c>
      <c r="R3461" t="str">
        <f>IFERROR(VLOOKUP(T[[#This Row],[warehouse]],Table2[],2,FALSE),"--")</f>
        <v>SEEDS SIFTING FACILITY</v>
      </c>
    </row>
    <row r="3462" spans="1:18" x14ac:dyDescent="0.25">
      <c r="A3462" t="s">
        <v>1868</v>
      </c>
      <c r="B3462" s="1">
        <v>44525</v>
      </c>
      <c r="C3462" t="s">
        <v>2037</v>
      </c>
      <c r="D3462" t="s">
        <v>20</v>
      </c>
      <c r="E3462" t="s">
        <v>146</v>
      </c>
      <c r="F3462" t="s">
        <v>943</v>
      </c>
      <c r="G3462" t="s">
        <v>944</v>
      </c>
      <c r="H3462" t="s">
        <v>149</v>
      </c>
      <c r="I3462">
        <v>104000</v>
      </c>
      <c r="J3462">
        <v>104000</v>
      </c>
      <c r="K3462">
        <v>104000</v>
      </c>
      <c r="L3462" t="s">
        <v>25</v>
      </c>
      <c r="M3462" t="s">
        <v>1404</v>
      </c>
      <c r="N3462">
        <v>171</v>
      </c>
      <c r="O3462">
        <v>17784000</v>
      </c>
      <c r="P3462" t="str">
        <f>IF(T[[#This Row],[qty_ordered]]&lt;&gt;T[[#This Row],[qty_received]],IF(T[[#This Row],[qty_received]]&gt;0,"Partial Received","Not Receviced"),"FullyReceived")</f>
        <v>FullyReceived</v>
      </c>
      <c r="Q3462" t="str">
        <f>IF(T[[#This Row],[qty_received]]&lt;&gt;T[[#This Row],[qty_invoiced]],IF(T[[#This Row],[qty_invoiced]]&gt;0,"Partial Invoiced","Not Invoiced"),"Fully Invoiced")</f>
        <v>Fully Invoiced</v>
      </c>
      <c r="R3462" t="str">
        <f>IFERROR(VLOOKUP(T[[#This Row],[warehouse]],Table2[],2,FALSE),"--")</f>
        <v>Khtoum Main Warehouse</v>
      </c>
    </row>
    <row r="3463" spans="1:18" x14ac:dyDescent="0.25">
      <c r="A3463" t="s">
        <v>84</v>
      </c>
      <c r="B3463" s="1">
        <v>44507</v>
      </c>
      <c r="C3463" t="s">
        <v>2026</v>
      </c>
      <c r="D3463" t="s">
        <v>71</v>
      </c>
      <c r="E3463" t="s">
        <v>44</v>
      </c>
      <c r="F3463" t="s">
        <v>108</v>
      </c>
      <c r="G3463" t="s">
        <v>109</v>
      </c>
      <c r="H3463" t="s">
        <v>24</v>
      </c>
      <c r="I3463">
        <v>1000</v>
      </c>
      <c r="J3463">
        <v>0</v>
      </c>
      <c r="K3463">
        <v>0</v>
      </c>
      <c r="L3463" t="s">
        <v>25</v>
      </c>
      <c r="M3463" t="s">
        <v>1485</v>
      </c>
      <c r="N3463">
        <v>471700</v>
      </c>
      <c r="O3463">
        <v>0</v>
      </c>
      <c r="P3463" t="str">
        <f>IF(T[[#This Row],[qty_ordered]]&lt;&gt;T[[#This Row],[qty_received]],IF(T[[#This Row],[qty_received]]&gt;0,"Partial Received","Not Receviced"),"FullyReceived")</f>
        <v>Not Receviced</v>
      </c>
      <c r="Q3463" t="str">
        <f>IF(T[[#This Row],[qty_received]]&lt;&gt;T[[#This Row],[qty_invoiced]],IF(T[[#This Row],[qty_invoiced]]&gt;0,"Partial Invoiced","Not Invoiced"),"Fully Invoiced")</f>
        <v>Fully Invoiced</v>
      </c>
      <c r="R3463" t="str">
        <f>IFERROR(VLOOKUP(T[[#This Row],[warehouse]],Table2[],2,FALSE),"--")</f>
        <v>Sifter OMD - Yara (AlNawris)</v>
      </c>
    </row>
    <row r="3464" spans="1:18" x14ac:dyDescent="0.25">
      <c r="A3464" t="s">
        <v>955</v>
      </c>
      <c r="B3464" s="1">
        <v>44508</v>
      </c>
      <c r="C3464" t="s">
        <v>2031</v>
      </c>
      <c r="D3464" t="s">
        <v>88</v>
      </c>
      <c r="E3464" t="s">
        <v>44</v>
      </c>
      <c r="F3464" t="s">
        <v>108</v>
      </c>
      <c r="G3464" t="s">
        <v>109</v>
      </c>
      <c r="H3464" t="s">
        <v>24</v>
      </c>
      <c r="I3464">
        <v>424.26799999999997</v>
      </c>
      <c r="J3464">
        <v>0</v>
      </c>
      <c r="K3464">
        <v>0</v>
      </c>
      <c r="L3464" t="s">
        <v>25</v>
      </c>
      <c r="M3464" t="s">
        <v>1485</v>
      </c>
      <c r="N3464">
        <v>471400.17</v>
      </c>
      <c r="O3464">
        <v>0</v>
      </c>
      <c r="P3464" t="str">
        <f>IF(T[[#This Row],[qty_ordered]]&lt;&gt;T[[#This Row],[qty_received]],IF(T[[#This Row],[qty_received]]&gt;0,"Partial Received","Not Receviced"),"FullyReceived")</f>
        <v>Not Receviced</v>
      </c>
      <c r="Q3464" t="str">
        <f>IF(T[[#This Row],[qty_received]]&lt;&gt;T[[#This Row],[qty_invoiced]],IF(T[[#This Row],[qty_invoiced]]&gt;0,"Partial Invoiced","Not Invoiced"),"Fully Invoiced")</f>
        <v>Fully Invoiced</v>
      </c>
      <c r="R3464" t="str">
        <f>IFERROR(VLOOKUP(T[[#This Row],[warehouse]],Table2[],2,FALSE),"--")</f>
        <v>Sifter OMD - Yara (AlNawris)</v>
      </c>
    </row>
    <row r="3465" spans="1:18" x14ac:dyDescent="0.25">
      <c r="A3465" t="s">
        <v>1114</v>
      </c>
      <c r="B3465" s="1">
        <v>44578</v>
      </c>
      <c r="C3465" t="s">
        <v>2048</v>
      </c>
      <c r="D3465" t="s">
        <v>20</v>
      </c>
      <c r="E3465" t="s">
        <v>660</v>
      </c>
      <c r="F3465" t="s">
        <v>1188</v>
      </c>
      <c r="G3465" t="s">
        <v>1189</v>
      </c>
      <c r="H3465" t="s">
        <v>1087</v>
      </c>
      <c r="I3465">
        <v>600</v>
      </c>
      <c r="J3465">
        <v>0</v>
      </c>
      <c r="K3465">
        <v>0</v>
      </c>
      <c r="L3465" t="s">
        <v>25</v>
      </c>
      <c r="M3465" t="s">
        <v>1485</v>
      </c>
      <c r="N3465">
        <v>400000</v>
      </c>
      <c r="O3465">
        <v>0</v>
      </c>
      <c r="P3465" t="str">
        <f>IF(T[[#This Row],[qty_ordered]]&lt;&gt;T[[#This Row],[qty_received]],IF(T[[#This Row],[qty_received]]&gt;0,"Partial Received","Not Receviced"),"FullyReceived")</f>
        <v>Not Receviced</v>
      </c>
      <c r="Q3465" t="str">
        <f>IF(T[[#This Row],[qty_received]]&lt;&gt;T[[#This Row],[qty_invoiced]],IF(T[[#This Row],[qty_invoiced]]&gt;0,"Partial Invoiced","Not Invoiced"),"Fully Invoiced")</f>
        <v>Fully Invoiced</v>
      </c>
      <c r="R3465" t="str">
        <f>IFERROR(VLOOKUP(T[[#This Row],[warehouse]],Table2[],2,FALSE),"--")</f>
        <v>SLAUGHTER HOUSE</v>
      </c>
    </row>
    <row r="3466" spans="1:18" x14ac:dyDescent="0.25">
      <c r="A3466" t="s">
        <v>618</v>
      </c>
      <c r="B3466" s="1">
        <v>44530</v>
      </c>
      <c r="C3466" t="s">
        <v>1550</v>
      </c>
      <c r="D3466" t="s">
        <v>71</v>
      </c>
      <c r="E3466" t="s">
        <v>1142</v>
      </c>
      <c r="F3466" t="s">
        <v>86</v>
      </c>
      <c r="G3466" t="s">
        <v>87</v>
      </c>
      <c r="H3466" t="s">
        <v>24</v>
      </c>
      <c r="I3466">
        <v>1621.54</v>
      </c>
      <c r="J3466">
        <v>1621.54</v>
      </c>
      <c r="K3466">
        <v>1621.5360000000001</v>
      </c>
      <c r="L3466" t="s">
        <v>25</v>
      </c>
      <c r="M3466" t="s">
        <v>1485</v>
      </c>
      <c r="N3466">
        <v>500625.280975</v>
      </c>
      <c r="O3466">
        <v>811783918.11220098</v>
      </c>
      <c r="P3466" t="str">
        <f>IF(T[[#This Row],[qty_ordered]]&lt;&gt;T[[#This Row],[qty_received]],IF(T[[#This Row],[qty_received]]&gt;0,"Partial Received","Not Receviced"),"FullyReceived")</f>
        <v>FullyReceived</v>
      </c>
      <c r="Q3466" t="str">
        <f>IF(T[[#This Row],[qty_received]]&lt;&gt;T[[#This Row],[qty_invoiced]],IF(T[[#This Row],[qty_invoiced]]&gt;0,"Partial Invoiced","Not Invoiced"),"Fully Invoiced")</f>
        <v>Partial Invoiced</v>
      </c>
      <c r="R3466" t="str">
        <f>IFERROR(VLOOKUP(T[[#This Row],[warehouse]],Table2[],2,FALSE),"--")</f>
        <v>SAVOLA W/H FOR EXPOR</v>
      </c>
    </row>
    <row r="3467" spans="1:18" x14ac:dyDescent="0.25">
      <c r="A3467" t="s">
        <v>985</v>
      </c>
      <c r="B3467" s="1">
        <v>44531</v>
      </c>
      <c r="C3467" t="s">
        <v>1489</v>
      </c>
      <c r="D3467" t="s">
        <v>71</v>
      </c>
      <c r="E3467" t="s">
        <v>51</v>
      </c>
      <c r="F3467" t="s">
        <v>183</v>
      </c>
      <c r="G3467" t="s">
        <v>1514</v>
      </c>
      <c r="H3467" t="s">
        <v>54</v>
      </c>
      <c r="I3467">
        <v>35.130000000000003</v>
      </c>
      <c r="J3467">
        <v>0</v>
      </c>
      <c r="K3467">
        <v>1</v>
      </c>
      <c r="L3467" t="s">
        <v>693</v>
      </c>
      <c r="M3467" t="s">
        <v>533</v>
      </c>
      <c r="N3467">
        <v>6000</v>
      </c>
      <c r="O3467">
        <v>0</v>
      </c>
      <c r="P3467" t="str">
        <f>IF(T[[#This Row],[qty_ordered]]&lt;&gt;T[[#This Row],[qty_received]],IF(T[[#This Row],[qty_received]]&gt;0,"Partial Received","Not Receviced"),"FullyReceived")</f>
        <v>Not Receviced</v>
      </c>
      <c r="Q3467" t="str">
        <f>IF(T[[#This Row],[qty_received]]&lt;&gt;T[[#This Row],[qty_invoiced]],IF(T[[#This Row],[qty_invoiced]]&gt;0,"Partial Invoiced","Not Invoiced"),"Fully Invoiced")</f>
        <v>Partial Invoiced</v>
      </c>
      <c r="R3467" t="str">
        <f>IFERROR(VLOOKUP(T[[#This Row],[warehouse]],Table2[],2,FALSE),"--")</f>
        <v>--</v>
      </c>
    </row>
    <row r="3468" spans="1:18" x14ac:dyDescent="0.25">
      <c r="A3468" t="s">
        <v>985</v>
      </c>
      <c r="B3468" s="1">
        <v>44531</v>
      </c>
      <c r="C3468" t="s">
        <v>1489</v>
      </c>
      <c r="D3468" t="s">
        <v>100</v>
      </c>
      <c r="E3468" t="s">
        <v>51</v>
      </c>
      <c r="F3468" t="s">
        <v>183</v>
      </c>
      <c r="G3468" t="s">
        <v>1668</v>
      </c>
      <c r="H3468" t="s">
        <v>54</v>
      </c>
      <c r="I3468">
        <v>300</v>
      </c>
      <c r="J3468">
        <v>0</v>
      </c>
      <c r="K3468">
        <v>1</v>
      </c>
      <c r="L3468" t="s">
        <v>693</v>
      </c>
      <c r="M3468" t="s">
        <v>533</v>
      </c>
      <c r="N3468">
        <v>6000</v>
      </c>
      <c r="O3468">
        <v>0</v>
      </c>
      <c r="P3468" t="str">
        <f>IF(T[[#This Row],[qty_ordered]]&lt;&gt;T[[#This Row],[qty_received]],IF(T[[#This Row],[qty_received]]&gt;0,"Partial Received","Not Receviced"),"FullyReceived")</f>
        <v>Not Receviced</v>
      </c>
      <c r="Q3468" t="str">
        <f>IF(T[[#This Row],[qty_received]]&lt;&gt;T[[#This Row],[qty_invoiced]],IF(T[[#This Row],[qty_invoiced]]&gt;0,"Partial Invoiced","Not Invoiced"),"Fully Invoiced")</f>
        <v>Partial Invoiced</v>
      </c>
      <c r="R3468" t="str">
        <f>IFERROR(VLOOKUP(T[[#This Row],[warehouse]],Table2[],2,FALSE),"--")</f>
        <v>--</v>
      </c>
    </row>
    <row r="3469" spans="1:18" x14ac:dyDescent="0.25">
      <c r="A3469" t="s">
        <v>618</v>
      </c>
      <c r="B3469" s="1">
        <v>44530</v>
      </c>
      <c r="C3469" t="s">
        <v>1550</v>
      </c>
      <c r="D3469" t="s">
        <v>100</v>
      </c>
      <c r="E3469" t="s">
        <v>162</v>
      </c>
      <c r="F3469" t="s">
        <v>86</v>
      </c>
      <c r="G3469" t="s">
        <v>87</v>
      </c>
      <c r="H3469" t="s">
        <v>24</v>
      </c>
      <c r="I3469">
        <v>2415.04</v>
      </c>
      <c r="J3469">
        <v>2415.04</v>
      </c>
      <c r="K3469">
        <v>2415.04</v>
      </c>
      <c r="L3469" t="s">
        <v>25</v>
      </c>
      <c r="M3469" t="s">
        <v>1485</v>
      </c>
      <c r="N3469">
        <v>493950</v>
      </c>
      <c r="O3469">
        <v>1192909008</v>
      </c>
      <c r="P3469" t="str">
        <f>IF(T[[#This Row],[qty_ordered]]&lt;&gt;T[[#This Row],[qty_received]],IF(T[[#This Row],[qty_received]]&gt;0,"Partial Received","Not Receviced"),"FullyReceived")</f>
        <v>FullyReceived</v>
      </c>
      <c r="Q3469" t="str">
        <f>IF(T[[#This Row],[qty_received]]&lt;&gt;T[[#This Row],[qty_invoiced]],IF(T[[#This Row],[qty_invoiced]]&gt;0,"Partial Invoiced","Not Invoiced"),"Fully Invoiced")</f>
        <v>Fully Invoiced</v>
      </c>
      <c r="R3469" t="str">
        <f>IFERROR(VLOOKUP(T[[#This Row],[warehouse]],Table2[],2,FALSE),"--")</f>
        <v>Sifters Mahasilna</v>
      </c>
    </row>
    <row r="3470" spans="1:18" x14ac:dyDescent="0.25">
      <c r="A3470" t="s">
        <v>201</v>
      </c>
      <c r="B3470" s="1">
        <v>44455</v>
      </c>
      <c r="C3470" t="s">
        <v>1906</v>
      </c>
      <c r="D3470" t="s">
        <v>74</v>
      </c>
      <c r="E3470" t="s">
        <v>51</v>
      </c>
      <c r="F3470" t="s">
        <v>933</v>
      </c>
      <c r="G3470" t="s">
        <v>2041</v>
      </c>
      <c r="H3470" t="s">
        <v>54</v>
      </c>
      <c r="I3470">
        <v>1</v>
      </c>
      <c r="J3470">
        <v>0</v>
      </c>
      <c r="K3470">
        <v>0</v>
      </c>
      <c r="L3470" t="s">
        <v>693</v>
      </c>
      <c r="M3470" t="s">
        <v>744</v>
      </c>
      <c r="N3470">
        <v>-24351565.896000002</v>
      </c>
      <c r="O3470">
        <v>0</v>
      </c>
      <c r="P3470" t="str">
        <f>IF(T[[#This Row],[qty_ordered]]&lt;&gt;T[[#This Row],[qty_received]],IF(T[[#This Row],[qty_received]]&gt;0,"Partial Received","Not Receviced"),"FullyReceived")</f>
        <v>Not Receviced</v>
      </c>
      <c r="Q3470" t="str">
        <f>IF(T[[#This Row],[qty_received]]&lt;&gt;T[[#This Row],[qty_invoiced]],IF(T[[#This Row],[qty_invoiced]]&gt;0,"Partial Invoiced","Not Invoiced"),"Fully Invoiced")</f>
        <v>Fully Invoiced</v>
      </c>
      <c r="R3470" t="str">
        <f>IFERROR(VLOOKUP(T[[#This Row],[warehouse]],Table2[],2,FALSE),"--")</f>
        <v>--</v>
      </c>
    </row>
    <row r="3471" spans="1:18" x14ac:dyDescent="0.25">
      <c r="A3471" t="s">
        <v>560</v>
      </c>
      <c r="B3471" s="1">
        <v>44544</v>
      </c>
      <c r="C3471" t="s">
        <v>1522</v>
      </c>
      <c r="D3471" t="s">
        <v>20</v>
      </c>
      <c r="E3471" t="s">
        <v>51</v>
      </c>
      <c r="F3471" t="s">
        <v>164</v>
      </c>
      <c r="G3471" t="s">
        <v>2049</v>
      </c>
      <c r="H3471" t="s">
        <v>54</v>
      </c>
      <c r="I3471">
        <v>2.75</v>
      </c>
      <c r="J3471">
        <v>0</v>
      </c>
      <c r="K3471">
        <v>1</v>
      </c>
      <c r="L3471" t="s">
        <v>693</v>
      </c>
      <c r="M3471" t="s">
        <v>2836</v>
      </c>
      <c r="N3471">
        <v>4130.181818</v>
      </c>
      <c r="O3471">
        <v>0</v>
      </c>
      <c r="P3471" t="str">
        <f>IF(T[[#This Row],[qty_ordered]]&lt;&gt;T[[#This Row],[qty_received]],IF(T[[#This Row],[qty_received]]&gt;0,"Partial Received","Not Receviced"),"FullyReceived")</f>
        <v>Not Receviced</v>
      </c>
      <c r="Q3471" t="str">
        <f>IF(T[[#This Row],[qty_received]]&lt;&gt;T[[#This Row],[qty_invoiced]],IF(T[[#This Row],[qty_invoiced]]&gt;0,"Partial Invoiced","Not Invoiced"),"Fully Invoiced")</f>
        <v>Partial Invoiced</v>
      </c>
      <c r="R3471" t="str">
        <f>IFERROR(VLOOKUP(T[[#This Row],[warehouse]],Table2[],2,FALSE),"--")</f>
        <v>--</v>
      </c>
    </row>
    <row r="3472" spans="1:18" x14ac:dyDescent="0.25">
      <c r="A3472" t="s">
        <v>1114</v>
      </c>
      <c r="B3472" s="1">
        <v>44522</v>
      </c>
      <c r="C3472" t="s">
        <v>1733</v>
      </c>
      <c r="D3472" t="s">
        <v>20</v>
      </c>
      <c r="E3472" t="s">
        <v>1438</v>
      </c>
      <c r="F3472" t="s">
        <v>1439</v>
      </c>
      <c r="G3472" t="s">
        <v>1440</v>
      </c>
      <c r="H3472" t="s">
        <v>1087</v>
      </c>
      <c r="I3472">
        <v>8518</v>
      </c>
      <c r="J3472">
        <v>8518</v>
      </c>
      <c r="K3472">
        <v>8518</v>
      </c>
      <c r="L3472" t="s">
        <v>25</v>
      </c>
      <c r="M3472" t="s">
        <v>1485</v>
      </c>
      <c r="N3472">
        <v>29150</v>
      </c>
      <c r="O3472">
        <v>264058000</v>
      </c>
      <c r="P3472" t="str">
        <f>IF(T[[#This Row],[qty_ordered]]&lt;&gt;T[[#This Row],[qty_received]],IF(T[[#This Row],[qty_received]]&gt;0,"Partial Received","Not Receviced"),"FullyReceived")</f>
        <v>FullyReceived</v>
      </c>
      <c r="Q3472" t="str">
        <f>IF(T[[#This Row],[qty_received]]&lt;&gt;T[[#This Row],[qty_invoiced]],IF(T[[#This Row],[qty_invoiced]]&gt;0,"Partial Invoiced","Not Invoiced"),"Fully Invoiced")</f>
        <v>Fully Invoiced</v>
      </c>
      <c r="R3472" t="str">
        <f>IFERROR(VLOOKUP(T[[#This Row],[warehouse]],Table2[],2,FALSE),"--")</f>
        <v>Livestock Barn</v>
      </c>
    </row>
    <row r="3473" spans="1:18" x14ac:dyDescent="0.25">
      <c r="A3473" t="s">
        <v>201</v>
      </c>
      <c r="B3473" s="1">
        <v>44522</v>
      </c>
      <c r="C3473" t="s">
        <v>2050</v>
      </c>
      <c r="D3473" t="s">
        <v>20</v>
      </c>
      <c r="E3473" t="s">
        <v>1220</v>
      </c>
      <c r="F3473" t="s">
        <v>1221</v>
      </c>
      <c r="G3473" t="s">
        <v>1634</v>
      </c>
      <c r="H3473" t="s">
        <v>123</v>
      </c>
      <c r="I3473">
        <v>1050000</v>
      </c>
      <c r="J3473">
        <v>1050000</v>
      </c>
      <c r="K3473">
        <v>1050000</v>
      </c>
      <c r="L3473" t="s">
        <v>693</v>
      </c>
      <c r="M3473" t="s">
        <v>744</v>
      </c>
      <c r="N3473">
        <v>13302.071604250001</v>
      </c>
      <c r="O3473">
        <v>13633273038.862499</v>
      </c>
      <c r="P3473" t="str">
        <f>IF(T[[#This Row],[qty_ordered]]&lt;&gt;T[[#This Row],[qty_received]],IF(T[[#This Row],[qty_received]]&gt;0,"Partial Received","Not Receviced"),"FullyReceived")</f>
        <v>FullyReceived</v>
      </c>
      <c r="Q3473" t="str">
        <f>IF(T[[#This Row],[qty_received]]&lt;&gt;T[[#This Row],[qty_invoiced]],IF(T[[#This Row],[qty_invoiced]]&gt;0,"Partial Invoiced","Not Invoiced"),"Fully Invoiced")</f>
        <v>Fully Invoiced</v>
      </c>
      <c r="R3473" t="str">
        <f>IFERROR(VLOOKUP(T[[#This Row],[warehouse]],Table2[],2,FALSE),"--")</f>
        <v>Import Virtual Warehouse - PZU</v>
      </c>
    </row>
    <row r="3474" spans="1:18" x14ac:dyDescent="0.25">
      <c r="A3474" t="s">
        <v>144</v>
      </c>
      <c r="B3474" s="1">
        <v>44525</v>
      </c>
      <c r="C3474" t="s">
        <v>2051</v>
      </c>
      <c r="D3474" t="s">
        <v>20</v>
      </c>
      <c r="E3474" t="s">
        <v>146</v>
      </c>
      <c r="F3474" t="s">
        <v>147</v>
      </c>
      <c r="G3474" t="s">
        <v>148</v>
      </c>
      <c r="H3474" t="s">
        <v>149</v>
      </c>
      <c r="I3474">
        <v>162000</v>
      </c>
      <c r="J3474">
        <v>107200</v>
      </c>
      <c r="K3474">
        <v>107200</v>
      </c>
      <c r="L3474" t="s">
        <v>25</v>
      </c>
      <c r="M3474" t="s">
        <v>1404</v>
      </c>
      <c r="N3474">
        <v>36.124560000000002</v>
      </c>
      <c r="O3474">
        <v>3872552.8319999999</v>
      </c>
      <c r="P3474" t="str">
        <f>IF(T[[#This Row],[qty_ordered]]&lt;&gt;T[[#This Row],[qty_received]],IF(T[[#This Row],[qty_received]]&gt;0,"Partial Received","Not Receviced"),"FullyReceived")</f>
        <v>Partial Received</v>
      </c>
      <c r="Q3474" t="str">
        <f>IF(T[[#This Row],[qty_received]]&lt;&gt;T[[#This Row],[qty_invoiced]],IF(T[[#This Row],[qty_invoiced]]&gt;0,"Partial Invoiced","Not Invoiced"),"Fully Invoiced")</f>
        <v>Fully Invoiced</v>
      </c>
      <c r="R3474" t="str">
        <f>IFERROR(VLOOKUP(T[[#This Row],[warehouse]],Table2[],2,FALSE),"--")</f>
        <v>Khtoum Main Warehouse</v>
      </c>
    </row>
    <row r="3475" spans="1:18" x14ac:dyDescent="0.25">
      <c r="A3475" t="s">
        <v>201</v>
      </c>
      <c r="B3475" s="1">
        <v>44550</v>
      </c>
      <c r="C3475" t="s">
        <v>1482</v>
      </c>
      <c r="D3475" t="s">
        <v>71</v>
      </c>
      <c r="E3475" t="s">
        <v>1220</v>
      </c>
      <c r="F3475" t="s">
        <v>1307</v>
      </c>
      <c r="G3475" t="s">
        <v>1308</v>
      </c>
      <c r="H3475" t="s">
        <v>149</v>
      </c>
      <c r="I3475">
        <v>2800</v>
      </c>
      <c r="J3475">
        <v>1333</v>
      </c>
      <c r="K3475">
        <v>0</v>
      </c>
      <c r="L3475" t="s">
        <v>693</v>
      </c>
      <c r="M3475" t="s">
        <v>1483</v>
      </c>
      <c r="N3475">
        <v>0</v>
      </c>
      <c r="O3475">
        <v>0</v>
      </c>
      <c r="P3475" t="str">
        <f>IF(T[[#This Row],[qty_ordered]]&lt;&gt;T[[#This Row],[qty_received]],IF(T[[#This Row],[qty_received]]&gt;0,"Partial Received","Not Receviced"),"FullyReceived")</f>
        <v>Partial Received</v>
      </c>
      <c r="Q3475" t="str">
        <f>IF(T[[#This Row],[qty_received]]&lt;&gt;T[[#This Row],[qty_invoiced]],IF(T[[#This Row],[qty_invoiced]]&gt;0,"Partial Invoiced","Not Invoiced"),"Fully Invoiced")</f>
        <v>Not Invoiced</v>
      </c>
      <c r="R3475" t="str">
        <f>IFERROR(VLOOKUP(T[[#This Row],[warehouse]],Table2[],2,FALSE),"--")</f>
        <v>Import Virtual Warehouse - PZU</v>
      </c>
    </row>
    <row r="3476" spans="1:18" x14ac:dyDescent="0.25">
      <c r="A3476" t="s">
        <v>985</v>
      </c>
      <c r="B3476" s="1">
        <v>44531</v>
      </c>
      <c r="C3476" t="s">
        <v>1489</v>
      </c>
      <c r="D3476" t="s">
        <v>20</v>
      </c>
      <c r="E3476" t="s">
        <v>51</v>
      </c>
      <c r="F3476" t="s">
        <v>183</v>
      </c>
      <c r="G3476" t="s">
        <v>1991</v>
      </c>
      <c r="H3476" t="s">
        <v>54</v>
      </c>
      <c r="I3476">
        <v>350</v>
      </c>
      <c r="J3476">
        <v>0</v>
      </c>
      <c r="K3476">
        <v>1</v>
      </c>
      <c r="L3476" t="s">
        <v>693</v>
      </c>
      <c r="M3476" t="s">
        <v>533</v>
      </c>
      <c r="N3476">
        <v>6000</v>
      </c>
      <c r="O3476">
        <v>0</v>
      </c>
      <c r="P3476" t="str">
        <f>IF(T[[#This Row],[qty_ordered]]&lt;&gt;T[[#This Row],[qty_received]],IF(T[[#This Row],[qty_received]]&gt;0,"Partial Received","Not Receviced"),"FullyReceived")</f>
        <v>Not Receviced</v>
      </c>
      <c r="Q3476" t="str">
        <f>IF(T[[#This Row],[qty_received]]&lt;&gt;T[[#This Row],[qty_invoiced]],IF(T[[#This Row],[qty_invoiced]]&gt;0,"Partial Invoiced","Not Invoiced"),"Fully Invoiced")</f>
        <v>Partial Invoiced</v>
      </c>
      <c r="R3476" t="str">
        <f>IFERROR(VLOOKUP(T[[#This Row],[warehouse]],Table2[],2,FALSE),"--")</f>
        <v>--</v>
      </c>
    </row>
    <row r="3477" spans="1:18" x14ac:dyDescent="0.25">
      <c r="A3477" t="s">
        <v>242</v>
      </c>
      <c r="B3477" s="1">
        <v>44537</v>
      </c>
      <c r="C3477" t="s">
        <v>2052</v>
      </c>
      <c r="D3477" t="s">
        <v>20</v>
      </c>
      <c r="E3477" t="s">
        <v>405</v>
      </c>
      <c r="F3477" t="s">
        <v>244</v>
      </c>
      <c r="G3477" t="s">
        <v>245</v>
      </c>
      <c r="H3477" t="s">
        <v>24</v>
      </c>
      <c r="I3477">
        <v>214</v>
      </c>
      <c r="J3477">
        <v>214</v>
      </c>
      <c r="K3477">
        <v>214</v>
      </c>
      <c r="L3477" t="s">
        <v>25</v>
      </c>
      <c r="M3477" t="s">
        <v>1485</v>
      </c>
      <c r="N3477">
        <v>606302.4</v>
      </c>
      <c r="O3477">
        <v>129748713.59999999</v>
      </c>
      <c r="P3477" t="str">
        <f>IF(T[[#This Row],[qty_ordered]]&lt;&gt;T[[#This Row],[qty_received]],IF(T[[#This Row],[qty_received]]&gt;0,"Partial Received","Not Receviced"),"FullyReceived")</f>
        <v>FullyReceived</v>
      </c>
      <c r="Q3477" t="str">
        <f>IF(T[[#This Row],[qty_received]]&lt;&gt;T[[#This Row],[qty_invoiced]],IF(T[[#This Row],[qty_invoiced]]&gt;0,"Partial Invoiced","Not Invoiced"),"Fully Invoiced")</f>
        <v>Fully Invoiced</v>
      </c>
      <c r="R3477" t="str">
        <f>IFERROR(VLOOKUP(T[[#This Row],[warehouse]],Table2[],2,FALSE),"--")</f>
        <v>GINNING ISHRAG-MDNI</v>
      </c>
    </row>
    <row r="3478" spans="1:18" x14ac:dyDescent="0.25">
      <c r="A3478" t="s">
        <v>242</v>
      </c>
      <c r="B3478" s="1">
        <v>44537</v>
      </c>
      <c r="C3478" t="s">
        <v>2053</v>
      </c>
      <c r="D3478" t="s">
        <v>20</v>
      </c>
      <c r="E3478" t="s">
        <v>405</v>
      </c>
      <c r="F3478" t="s">
        <v>244</v>
      </c>
      <c r="G3478" t="s">
        <v>245</v>
      </c>
      <c r="H3478" t="s">
        <v>24</v>
      </c>
      <c r="I3478">
        <v>213.46</v>
      </c>
      <c r="J3478">
        <v>213.46</v>
      </c>
      <c r="K3478">
        <v>213.46</v>
      </c>
      <c r="L3478" t="s">
        <v>25</v>
      </c>
      <c r="M3478" t="s">
        <v>1485</v>
      </c>
      <c r="N3478">
        <v>606302.4</v>
      </c>
      <c r="O3478">
        <v>129421310.30400001</v>
      </c>
      <c r="P3478" t="str">
        <f>IF(T[[#This Row],[qty_ordered]]&lt;&gt;T[[#This Row],[qty_received]],IF(T[[#This Row],[qty_received]]&gt;0,"Partial Received","Not Receviced"),"FullyReceived")</f>
        <v>FullyReceived</v>
      </c>
      <c r="Q3478" t="str">
        <f>IF(T[[#This Row],[qty_received]]&lt;&gt;T[[#This Row],[qty_invoiced]],IF(T[[#This Row],[qty_invoiced]]&gt;0,"Partial Invoiced","Not Invoiced"),"Fully Invoiced")</f>
        <v>Fully Invoiced</v>
      </c>
      <c r="R3478" t="str">
        <f>IFERROR(VLOOKUP(T[[#This Row],[warehouse]],Table2[],2,FALSE),"--")</f>
        <v>GINNING ISHRAG-MDNI</v>
      </c>
    </row>
    <row r="3479" spans="1:18" x14ac:dyDescent="0.25">
      <c r="A3479" t="s">
        <v>955</v>
      </c>
      <c r="B3479" s="1">
        <v>44508</v>
      </c>
      <c r="C3479" t="s">
        <v>2031</v>
      </c>
      <c r="D3479" t="s">
        <v>76</v>
      </c>
      <c r="E3479" t="s">
        <v>908</v>
      </c>
      <c r="F3479" t="s">
        <v>108</v>
      </c>
      <c r="G3479" t="s">
        <v>109</v>
      </c>
      <c r="H3479" t="s">
        <v>24</v>
      </c>
      <c r="I3479">
        <v>311</v>
      </c>
      <c r="J3479">
        <v>0</v>
      </c>
      <c r="K3479">
        <v>0</v>
      </c>
      <c r="L3479" t="s">
        <v>25</v>
      </c>
      <c r="M3479" t="s">
        <v>1485</v>
      </c>
      <c r="N3479">
        <v>482825</v>
      </c>
      <c r="O3479">
        <v>0</v>
      </c>
      <c r="P3479" t="str">
        <f>IF(T[[#This Row],[qty_ordered]]&lt;&gt;T[[#This Row],[qty_received]],IF(T[[#This Row],[qty_received]]&gt;0,"Partial Received","Not Receviced"),"FullyReceived")</f>
        <v>Not Receviced</v>
      </c>
      <c r="Q3479" t="str">
        <f>IF(T[[#This Row],[qty_received]]&lt;&gt;T[[#This Row],[qty_invoiced]],IF(T[[#This Row],[qty_invoiced]]&gt;0,"Partial Invoiced","Not Invoiced"),"Fully Invoiced")</f>
        <v>Fully Invoiced</v>
      </c>
      <c r="R3479" t="str">
        <f>IFERROR(VLOOKUP(T[[#This Row],[warehouse]],Table2[],2,FALSE),"--")</f>
        <v>SIFTER- ALNAZER-OMDU</v>
      </c>
    </row>
    <row r="3480" spans="1:18" x14ac:dyDescent="0.25">
      <c r="A3480" t="s">
        <v>955</v>
      </c>
      <c r="B3480" s="1">
        <v>44543</v>
      </c>
      <c r="C3480" t="s">
        <v>2008</v>
      </c>
      <c r="D3480" t="s">
        <v>20</v>
      </c>
      <c r="E3480" t="s">
        <v>2009</v>
      </c>
      <c r="F3480" t="s">
        <v>86</v>
      </c>
      <c r="G3480" t="s">
        <v>87</v>
      </c>
      <c r="H3480" t="s">
        <v>24</v>
      </c>
      <c r="I3480">
        <v>5000</v>
      </c>
      <c r="J3480">
        <v>1703.37</v>
      </c>
      <c r="K3480">
        <v>1703.37</v>
      </c>
      <c r="L3480" t="s">
        <v>693</v>
      </c>
      <c r="M3480" t="s">
        <v>1485</v>
      </c>
      <c r="N3480">
        <v>565000</v>
      </c>
      <c r="O3480">
        <v>962404050</v>
      </c>
      <c r="P3480" t="str">
        <f>IF(T[[#This Row],[qty_ordered]]&lt;&gt;T[[#This Row],[qty_received]],IF(T[[#This Row],[qty_received]]&gt;0,"Partial Received","Not Receviced"),"FullyReceived")</f>
        <v>Partial Received</v>
      </c>
      <c r="Q3480" t="str">
        <f>IF(T[[#This Row],[qty_received]]&lt;&gt;T[[#This Row],[qty_invoiced]],IF(T[[#This Row],[qty_invoiced]]&gt;0,"Partial Invoiced","Not Invoiced"),"Fully Invoiced")</f>
        <v>Fully Invoiced</v>
      </c>
      <c r="R3480" t="str">
        <f>IFERROR(VLOOKUP(T[[#This Row],[warehouse]],Table2[],2,FALSE),"--")</f>
        <v>Omdurman Commodites Warehouse</v>
      </c>
    </row>
    <row r="3481" spans="1:18" x14ac:dyDescent="0.25">
      <c r="A3481" t="s">
        <v>560</v>
      </c>
      <c r="B3481" s="1">
        <v>44544</v>
      </c>
      <c r="C3481" t="s">
        <v>1542</v>
      </c>
      <c r="D3481" t="s">
        <v>20</v>
      </c>
      <c r="E3481" t="s">
        <v>51</v>
      </c>
      <c r="F3481" t="s">
        <v>164</v>
      </c>
      <c r="G3481" t="s">
        <v>2054</v>
      </c>
      <c r="H3481" t="s">
        <v>54</v>
      </c>
      <c r="I3481">
        <v>28.5</v>
      </c>
      <c r="J3481">
        <v>0</v>
      </c>
      <c r="K3481">
        <v>1</v>
      </c>
      <c r="L3481" t="s">
        <v>693</v>
      </c>
      <c r="M3481" t="s">
        <v>533</v>
      </c>
      <c r="N3481">
        <v>4130.1754380000002</v>
      </c>
      <c r="O3481">
        <v>0</v>
      </c>
      <c r="P3481" t="str">
        <f>IF(T[[#This Row],[qty_ordered]]&lt;&gt;T[[#This Row],[qty_received]],IF(T[[#This Row],[qty_received]]&gt;0,"Partial Received","Not Receviced"),"FullyReceived")</f>
        <v>Not Receviced</v>
      </c>
      <c r="Q3481" t="str">
        <f>IF(T[[#This Row],[qty_received]]&lt;&gt;T[[#This Row],[qty_invoiced]],IF(T[[#This Row],[qty_invoiced]]&gt;0,"Partial Invoiced","Not Invoiced"),"Fully Invoiced")</f>
        <v>Partial Invoiced</v>
      </c>
      <c r="R3481" t="str">
        <f>IFERROR(VLOOKUP(T[[#This Row],[warehouse]],Table2[],2,FALSE),"--")</f>
        <v>--</v>
      </c>
    </row>
    <row r="3482" spans="1:18" x14ac:dyDescent="0.25">
      <c r="A3482" t="s">
        <v>560</v>
      </c>
      <c r="B3482" s="1">
        <v>44544</v>
      </c>
      <c r="C3482" t="s">
        <v>1542</v>
      </c>
      <c r="D3482" t="s">
        <v>71</v>
      </c>
      <c r="E3482" t="s">
        <v>51</v>
      </c>
      <c r="F3482" t="s">
        <v>164</v>
      </c>
      <c r="G3482" t="s">
        <v>2054</v>
      </c>
      <c r="H3482" t="s">
        <v>54</v>
      </c>
      <c r="I3482">
        <v>11.5</v>
      </c>
      <c r="J3482">
        <v>0</v>
      </c>
      <c r="K3482">
        <v>1</v>
      </c>
      <c r="L3482" t="s">
        <v>693</v>
      </c>
      <c r="M3482" t="s">
        <v>533</v>
      </c>
      <c r="N3482">
        <v>4130.1739129999996</v>
      </c>
      <c r="O3482">
        <v>0</v>
      </c>
      <c r="P3482" t="str">
        <f>IF(T[[#This Row],[qty_ordered]]&lt;&gt;T[[#This Row],[qty_received]],IF(T[[#This Row],[qty_received]]&gt;0,"Partial Received","Not Receviced"),"FullyReceived")</f>
        <v>Not Receviced</v>
      </c>
      <c r="Q3482" t="str">
        <f>IF(T[[#This Row],[qty_received]]&lt;&gt;T[[#This Row],[qty_invoiced]],IF(T[[#This Row],[qty_invoiced]]&gt;0,"Partial Invoiced","Not Invoiced"),"Fully Invoiced")</f>
        <v>Partial Invoiced</v>
      </c>
      <c r="R3482" t="str">
        <f>IFERROR(VLOOKUP(T[[#This Row],[warehouse]],Table2[],2,FALSE),"--")</f>
        <v>--</v>
      </c>
    </row>
    <row r="3483" spans="1:18" x14ac:dyDescent="0.25">
      <c r="A3483" t="s">
        <v>560</v>
      </c>
      <c r="B3483" s="1">
        <v>44544</v>
      </c>
      <c r="C3483" t="s">
        <v>1542</v>
      </c>
      <c r="D3483" t="s">
        <v>100</v>
      </c>
      <c r="E3483" t="s">
        <v>51</v>
      </c>
      <c r="F3483" t="s">
        <v>164</v>
      </c>
      <c r="G3483" t="s">
        <v>2054</v>
      </c>
      <c r="H3483" t="s">
        <v>54</v>
      </c>
      <c r="I3483">
        <v>26</v>
      </c>
      <c r="J3483">
        <v>0</v>
      </c>
      <c r="K3483">
        <v>1</v>
      </c>
      <c r="L3483" t="s">
        <v>693</v>
      </c>
      <c r="M3483" t="s">
        <v>533</v>
      </c>
      <c r="N3483">
        <v>4130.1538460000002</v>
      </c>
      <c r="O3483">
        <v>0</v>
      </c>
      <c r="P3483" t="str">
        <f>IF(T[[#This Row],[qty_ordered]]&lt;&gt;T[[#This Row],[qty_received]],IF(T[[#This Row],[qty_received]]&gt;0,"Partial Received","Not Receviced"),"FullyReceived")</f>
        <v>Not Receviced</v>
      </c>
      <c r="Q3483" t="str">
        <f>IF(T[[#This Row],[qty_received]]&lt;&gt;T[[#This Row],[qty_invoiced]],IF(T[[#This Row],[qty_invoiced]]&gt;0,"Partial Invoiced","Not Invoiced"),"Fully Invoiced")</f>
        <v>Partial Invoiced</v>
      </c>
      <c r="R3483" t="str">
        <f>IFERROR(VLOOKUP(T[[#This Row],[warehouse]],Table2[],2,FALSE),"--")</f>
        <v>--</v>
      </c>
    </row>
    <row r="3484" spans="1:18" x14ac:dyDescent="0.25">
      <c r="A3484" t="s">
        <v>1114</v>
      </c>
      <c r="B3484" s="1">
        <v>44535</v>
      </c>
      <c r="C3484" t="s">
        <v>1518</v>
      </c>
      <c r="D3484" t="s">
        <v>20</v>
      </c>
      <c r="E3484" t="s">
        <v>660</v>
      </c>
      <c r="F3484" t="s">
        <v>1188</v>
      </c>
      <c r="G3484" t="s">
        <v>1189</v>
      </c>
      <c r="H3484" t="s">
        <v>1087</v>
      </c>
      <c r="I3484">
        <v>437</v>
      </c>
      <c r="J3484">
        <v>437</v>
      </c>
      <c r="K3484">
        <v>437</v>
      </c>
      <c r="L3484" t="s">
        <v>25</v>
      </c>
      <c r="M3484" t="s">
        <v>1485</v>
      </c>
      <c r="N3484">
        <v>149882.14000000001</v>
      </c>
      <c r="O3484">
        <v>166250000.171</v>
      </c>
      <c r="P3484" t="str">
        <f>IF(T[[#This Row],[qty_ordered]]&lt;&gt;T[[#This Row],[qty_received]],IF(T[[#This Row],[qty_received]]&gt;0,"Partial Received","Not Receviced"),"FullyReceived")</f>
        <v>FullyReceived</v>
      </c>
      <c r="Q3484" t="str">
        <f>IF(T[[#This Row],[qty_received]]&lt;&gt;T[[#This Row],[qty_invoiced]],IF(T[[#This Row],[qty_invoiced]]&gt;0,"Partial Invoiced","Not Invoiced"),"Fully Invoiced")</f>
        <v>Fully Invoiced</v>
      </c>
      <c r="R3484" t="str">
        <f>IFERROR(VLOOKUP(T[[#This Row],[warehouse]],Table2[],2,FALSE),"--")</f>
        <v>SLAUGHTER HOUSE</v>
      </c>
    </row>
    <row r="3485" spans="1:18" x14ac:dyDescent="0.25">
      <c r="A3485" t="s">
        <v>973</v>
      </c>
      <c r="B3485" s="1">
        <v>44533</v>
      </c>
      <c r="C3485" t="s">
        <v>1495</v>
      </c>
      <c r="D3485" t="s">
        <v>20</v>
      </c>
      <c r="E3485" t="s">
        <v>281</v>
      </c>
      <c r="F3485" t="s">
        <v>526</v>
      </c>
      <c r="G3485" t="s">
        <v>472</v>
      </c>
      <c r="H3485" t="s">
        <v>123</v>
      </c>
      <c r="I3485">
        <v>6000</v>
      </c>
      <c r="J3485">
        <v>6000</v>
      </c>
      <c r="K3485">
        <v>6000</v>
      </c>
      <c r="L3485" t="s">
        <v>25</v>
      </c>
      <c r="M3485" t="s">
        <v>132</v>
      </c>
      <c r="N3485">
        <v>18660</v>
      </c>
      <c r="O3485">
        <v>111960000</v>
      </c>
      <c r="P3485" t="str">
        <f>IF(T[[#This Row],[qty_ordered]]&lt;&gt;T[[#This Row],[qty_received]],IF(T[[#This Row],[qty_received]]&gt;0,"Partial Received","Not Receviced"),"FullyReceived")</f>
        <v>FullyReceived</v>
      </c>
      <c r="Q3485" t="str">
        <f>IF(T[[#This Row],[qty_received]]&lt;&gt;T[[#This Row],[qty_invoiced]],IF(T[[#This Row],[qty_invoiced]]&gt;0,"Partial Invoiced","Not Invoiced"),"Fully Invoiced")</f>
        <v>Fully Invoiced</v>
      </c>
      <c r="R3485" t="str">
        <f>IFERROR(VLOOKUP(T[[#This Row],[warehouse]],Table2[],2,FALSE),"--")</f>
        <v>Crusher Alm Eldin-KH</v>
      </c>
    </row>
    <row r="3486" spans="1:18" x14ac:dyDescent="0.25">
      <c r="A3486" t="s">
        <v>84</v>
      </c>
      <c r="B3486" s="1">
        <v>44507</v>
      </c>
      <c r="C3486" t="s">
        <v>2026</v>
      </c>
      <c r="D3486" t="s">
        <v>100</v>
      </c>
      <c r="E3486" t="s">
        <v>268</v>
      </c>
      <c r="F3486" t="s">
        <v>108</v>
      </c>
      <c r="G3486" t="s">
        <v>109</v>
      </c>
      <c r="H3486" t="s">
        <v>24</v>
      </c>
      <c r="I3486">
        <v>1000</v>
      </c>
      <c r="J3486">
        <v>235.27</v>
      </c>
      <c r="K3486">
        <v>235.27</v>
      </c>
      <c r="L3486" t="s">
        <v>25</v>
      </c>
      <c r="M3486" t="s">
        <v>1485</v>
      </c>
      <c r="N3486">
        <v>491725</v>
      </c>
      <c r="O3486">
        <v>115688140.75</v>
      </c>
      <c r="P3486" t="str">
        <f>IF(T[[#This Row],[qty_ordered]]&lt;&gt;T[[#This Row],[qty_received]],IF(T[[#This Row],[qty_received]]&gt;0,"Partial Received","Not Receviced"),"FullyReceived")</f>
        <v>Partial Received</v>
      </c>
      <c r="Q3486" t="str">
        <f>IF(T[[#This Row],[qty_received]]&lt;&gt;T[[#This Row],[qty_invoiced]],IF(T[[#This Row],[qty_invoiced]]&gt;0,"Partial Invoiced","Not Invoiced"),"Fully Invoiced")</f>
        <v>Fully Invoiced</v>
      </c>
      <c r="R3486" t="str">
        <f>IFERROR(VLOOKUP(T[[#This Row],[warehouse]],Table2[],2,FALSE),"--")</f>
        <v>SIFTING- HASABO</v>
      </c>
    </row>
    <row r="3487" spans="1:18" x14ac:dyDescent="0.25">
      <c r="A3487" t="s">
        <v>955</v>
      </c>
      <c r="B3487" s="1">
        <v>44508</v>
      </c>
      <c r="C3487" t="s">
        <v>2031</v>
      </c>
      <c r="D3487" t="s">
        <v>74</v>
      </c>
      <c r="E3487" t="s">
        <v>268</v>
      </c>
      <c r="F3487" t="s">
        <v>108</v>
      </c>
      <c r="G3487" t="s">
        <v>109</v>
      </c>
      <c r="H3487" t="s">
        <v>24</v>
      </c>
      <c r="I3487">
        <v>746.69</v>
      </c>
      <c r="J3487">
        <v>746.69</v>
      </c>
      <c r="K3487">
        <v>746.69</v>
      </c>
      <c r="L3487" t="s">
        <v>25</v>
      </c>
      <c r="M3487" t="s">
        <v>1485</v>
      </c>
      <c r="N3487">
        <v>517160.4</v>
      </c>
      <c r="O3487">
        <v>318914660.95999998</v>
      </c>
      <c r="P3487" t="str">
        <f>IF(T[[#This Row],[qty_ordered]]&lt;&gt;T[[#This Row],[qty_received]],IF(T[[#This Row],[qty_received]]&gt;0,"Partial Received","Not Receviced"),"FullyReceived")</f>
        <v>FullyReceived</v>
      </c>
      <c r="Q3487" t="str">
        <f>IF(T[[#This Row],[qty_received]]&lt;&gt;T[[#This Row],[qty_invoiced]],IF(T[[#This Row],[qty_invoiced]]&gt;0,"Partial Invoiced","Not Invoiced"),"Fully Invoiced")</f>
        <v>Fully Invoiced</v>
      </c>
      <c r="R3487" t="str">
        <f>IFERROR(VLOOKUP(T[[#This Row],[warehouse]],Table2[],2,FALSE),"--")</f>
        <v>SIFTING- HASABO</v>
      </c>
    </row>
    <row r="3488" spans="1:18" x14ac:dyDescent="0.25">
      <c r="A3488" t="s">
        <v>1685</v>
      </c>
      <c r="B3488" s="1">
        <v>44537</v>
      </c>
      <c r="C3488" t="s">
        <v>2055</v>
      </c>
      <c r="D3488" t="s">
        <v>20</v>
      </c>
      <c r="E3488" t="s">
        <v>51</v>
      </c>
      <c r="F3488" t="s">
        <v>52</v>
      </c>
      <c r="G3488" t="s">
        <v>53</v>
      </c>
      <c r="H3488" t="s">
        <v>54</v>
      </c>
      <c r="I3488">
        <v>1268.93</v>
      </c>
      <c r="J3488">
        <v>0</v>
      </c>
      <c r="K3488">
        <v>1</v>
      </c>
      <c r="L3488" t="s">
        <v>693</v>
      </c>
      <c r="M3488" t="s">
        <v>1485</v>
      </c>
      <c r="N3488">
        <v>442.26100000000002</v>
      </c>
      <c r="O3488">
        <v>0</v>
      </c>
      <c r="P3488" t="str">
        <f>IF(T[[#This Row],[qty_ordered]]&lt;&gt;T[[#This Row],[qty_received]],IF(T[[#This Row],[qty_received]]&gt;0,"Partial Received","Not Receviced"),"FullyReceived")</f>
        <v>Not Receviced</v>
      </c>
      <c r="Q3488" t="str">
        <f>IF(T[[#This Row],[qty_received]]&lt;&gt;T[[#This Row],[qty_invoiced]],IF(T[[#This Row],[qty_invoiced]]&gt;0,"Partial Invoiced","Not Invoiced"),"Fully Invoiced")</f>
        <v>Partial Invoiced</v>
      </c>
      <c r="R3488" t="str">
        <f>IFERROR(VLOOKUP(T[[#This Row],[warehouse]],Table2[],2,FALSE),"--")</f>
        <v>--</v>
      </c>
    </row>
    <row r="3489" spans="1:18" x14ac:dyDescent="0.25">
      <c r="A3489" t="s">
        <v>1120</v>
      </c>
      <c r="B3489" s="1">
        <v>44507</v>
      </c>
      <c r="C3489" t="s">
        <v>2027</v>
      </c>
      <c r="D3489" t="s">
        <v>71</v>
      </c>
      <c r="E3489" t="s">
        <v>1142</v>
      </c>
      <c r="F3489" t="s">
        <v>86</v>
      </c>
      <c r="G3489" t="s">
        <v>87</v>
      </c>
      <c r="H3489" t="s">
        <v>24</v>
      </c>
      <c r="I3489">
        <v>621.22</v>
      </c>
      <c r="J3489">
        <v>621.22</v>
      </c>
      <c r="K3489">
        <v>621.22</v>
      </c>
      <c r="L3489" t="s">
        <v>25</v>
      </c>
      <c r="M3489" t="s">
        <v>1485</v>
      </c>
      <c r="N3489">
        <v>522875</v>
      </c>
      <c r="O3489">
        <v>324820407.5</v>
      </c>
      <c r="P3489" t="str">
        <f>IF(T[[#This Row],[qty_ordered]]&lt;&gt;T[[#This Row],[qty_received]],IF(T[[#This Row],[qty_received]]&gt;0,"Partial Received","Not Receviced"),"FullyReceived")</f>
        <v>FullyReceived</v>
      </c>
      <c r="Q3489" t="str">
        <f>IF(T[[#This Row],[qty_received]]&lt;&gt;T[[#This Row],[qty_invoiced]],IF(T[[#This Row],[qty_invoiced]]&gt;0,"Partial Invoiced","Not Invoiced"),"Fully Invoiced")</f>
        <v>Fully Invoiced</v>
      </c>
      <c r="R3489" t="str">
        <f>IFERROR(VLOOKUP(T[[#This Row],[warehouse]],Table2[],2,FALSE),"--")</f>
        <v>SAVOLA W/H FOR EXPOR</v>
      </c>
    </row>
    <row r="3490" spans="1:18" x14ac:dyDescent="0.25">
      <c r="A3490" t="s">
        <v>560</v>
      </c>
      <c r="B3490" s="1">
        <v>44544</v>
      </c>
      <c r="C3490" t="s">
        <v>2056</v>
      </c>
      <c r="D3490" t="s">
        <v>20</v>
      </c>
      <c r="E3490" t="s">
        <v>51</v>
      </c>
      <c r="F3490" t="s">
        <v>164</v>
      </c>
      <c r="G3490" t="s">
        <v>2057</v>
      </c>
      <c r="H3490" t="s">
        <v>54</v>
      </c>
      <c r="I3490">
        <v>14</v>
      </c>
      <c r="J3490">
        <v>0</v>
      </c>
      <c r="K3490">
        <v>1</v>
      </c>
      <c r="L3490" t="s">
        <v>693</v>
      </c>
      <c r="M3490" t="s">
        <v>2836</v>
      </c>
      <c r="N3490">
        <v>4130.1428569999998</v>
      </c>
      <c r="O3490">
        <v>0</v>
      </c>
      <c r="P3490" t="str">
        <f>IF(T[[#This Row],[qty_ordered]]&lt;&gt;T[[#This Row],[qty_received]],IF(T[[#This Row],[qty_received]]&gt;0,"Partial Received","Not Receviced"),"FullyReceived")</f>
        <v>Not Receviced</v>
      </c>
      <c r="Q3490" t="str">
        <f>IF(T[[#This Row],[qty_received]]&lt;&gt;T[[#This Row],[qty_invoiced]],IF(T[[#This Row],[qty_invoiced]]&gt;0,"Partial Invoiced","Not Invoiced"),"Fully Invoiced")</f>
        <v>Partial Invoiced</v>
      </c>
      <c r="R3490" t="str">
        <f>IFERROR(VLOOKUP(T[[#This Row],[warehouse]],Table2[],2,FALSE),"--")</f>
        <v>--</v>
      </c>
    </row>
    <row r="3491" spans="1:18" x14ac:dyDescent="0.25">
      <c r="A3491" t="s">
        <v>560</v>
      </c>
      <c r="B3491" s="1">
        <v>44544</v>
      </c>
      <c r="C3491" t="s">
        <v>2056</v>
      </c>
      <c r="D3491" t="s">
        <v>71</v>
      </c>
      <c r="E3491" t="s">
        <v>51</v>
      </c>
      <c r="F3491" t="s">
        <v>164</v>
      </c>
      <c r="G3491" t="s">
        <v>2057</v>
      </c>
      <c r="H3491" t="s">
        <v>54</v>
      </c>
      <c r="I3491">
        <v>13</v>
      </c>
      <c r="J3491">
        <v>0</v>
      </c>
      <c r="K3491">
        <v>1</v>
      </c>
      <c r="L3491" t="s">
        <v>693</v>
      </c>
      <c r="M3491" t="s">
        <v>2836</v>
      </c>
      <c r="N3491">
        <v>4130.1538460000002</v>
      </c>
      <c r="O3491">
        <v>0</v>
      </c>
      <c r="P3491" t="str">
        <f>IF(T[[#This Row],[qty_ordered]]&lt;&gt;T[[#This Row],[qty_received]],IF(T[[#This Row],[qty_received]]&gt;0,"Partial Received","Not Receviced"),"FullyReceived")</f>
        <v>Not Receviced</v>
      </c>
      <c r="Q3491" t="str">
        <f>IF(T[[#This Row],[qty_received]]&lt;&gt;T[[#This Row],[qty_invoiced]],IF(T[[#This Row],[qty_invoiced]]&gt;0,"Partial Invoiced","Not Invoiced"),"Fully Invoiced")</f>
        <v>Partial Invoiced</v>
      </c>
      <c r="R3491" t="str">
        <f>IFERROR(VLOOKUP(T[[#This Row],[warehouse]],Table2[],2,FALSE),"--")</f>
        <v>--</v>
      </c>
    </row>
    <row r="3492" spans="1:18" x14ac:dyDescent="0.25">
      <c r="A3492" t="s">
        <v>560</v>
      </c>
      <c r="B3492" s="1">
        <v>44544</v>
      </c>
      <c r="C3492" t="s">
        <v>1524</v>
      </c>
      <c r="D3492" t="s">
        <v>20</v>
      </c>
      <c r="E3492" t="s">
        <v>51</v>
      </c>
      <c r="F3492" t="s">
        <v>164</v>
      </c>
      <c r="G3492" t="s">
        <v>2058</v>
      </c>
      <c r="H3492" t="s">
        <v>54</v>
      </c>
      <c r="I3492">
        <v>26</v>
      </c>
      <c r="J3492">
        <v>0</v>
      </c>
      <c r="K3492">
        <v>1</v>
      </c>
      <c r="L3492" t="s">
        <v>693</v>
      </c>
      <c r="M3492" t="s">
        <v>2836</v>
      </c>
      <c r="N3492">
        <v>4130.1538460000002</v>
      </c>
      <c r="O3492">
        <v>0</v>
      </c>
      <c r="P3492" t="str">
        <f>IF(T[[#This Row],[qty_ordered]]&lt;&gt;T[[#This Row],[qty_received]],IF(T[[#This Row],[qty_received]]&gt;0,"Partial Received","Not Receviced"),"FullyReceived")</f>
        <v>Not Receviced</v>
      </c>
      <c r="Q3492" t="str">
        <f>IF(T[[#This Row],[qty_received]]&lt;&gt;T[[#This Row],[qty_invoiced]],IF(T[[#This Row],[qty_invoiced]]&gt;0,"Partial Invoiced","Not Invoiced"),"Fully Invoiced")</f>
        <v>Partial Invoiced</v>
      </c>
      <c r="R3492" t="str">
        <f>IFERROR(VLOOKUP(T[[#This Row],[warehouse]],Table2[],2,FALSE),"--")</f>
        <v>--</v>
      </c>
    </row>
    <row r="3493" spans="1:18" x14ac:dyDescent="0.25">
      <c r="A3493" t="s">
        <v>560</v>
      </c>
      <c r="B3493" s="1">
        <v>44544</v>
      </c>
      <c r="C3493" t="s">
        <v>1524</v>
      </c>
      <c r="D3493" t="s">
        <v>71</v>
      </c>
      <c r="E3493" t="s">
        <v>51</v>
      </c>
      <c r="F3493" t="s">
        <v>164</v>
      </c>
      <c r="G3493" t="s">
        <v>2059</v>
      </c>
      <c r="H3493" t="s">
        <v>54</v>
      </c>
      <c r="I3493">
        <v>17.010000000000002</v>
      </c>
      <c r="J3493">
        <v>0</v>
      </c>
      <c r="K3493">
        <v>1</v>
      </c>
      <c r="L3493" t="s">
        <v>693</v>
      </c>
      <c r="M3493" t="s">
        <v>2836</v>
      </c>
      <c r="N3493">
        <v>4130.1587300000001</v>
      </c>
      <c r="O3493">
        <v>0</v>
      </c>
      <c r="P3493" t="str">
        <f>IF(T[[#This Row],[qty_ordered]]&lt;&gt;T[[#This Row],[qty_received]],IF(T[[#This Row],[qty_received]]&gt;0,"Partial Received","Not Receviced"),"FullyReceived")</f>
        <v>Not Receviced</v>
      </c>
      <c r="Q3493" t="str">
        <f>IF(T[[#This Row],[qty_received]]&lt;&gt;T[[#This Row],[qty_invoiced]],IF(T[[#This Row],[qty_invoiced]]&gt;0,"Partial Invoiced","Not Invoiced"),"Fully Invoiced")</f>
        <v>Partial Invoiced</v>
      </c>
      <c r="R3493" t="str">
        <f>IFERROR(VLOOKUP(T[[#This Row],[warehouse]],Table2[],2,FALSE),"--")</f>
        <v>--</v>
      </c>
    </row>
    <row r="3494" spans="1:18" x14ac:dyDescent="0.25">
      <c r="A3494" t="s">
        <v>560</v>
      </c>
      <c r="B3494" s="1">
        <v>44544</v>
      </c>
      <c r="C3494" t="s">
        <v>1524</v>
      </c>
      <c r="D3494" t="s">
        <v>100</v>
      </c>
      <c r="E3494" t="s">
        <v>51</v>
      </c>
      <c r="F3494" t="s">
        <v>164</v>
      </c>
      <c r="G3494" t="s">
        <v>2058</v>
      </c>
      <c r="H3494" t="s">
        <v>54</v>
      </c>
      <c r="I3494">
        <v>15.38</v>
      </c>
      <c r="J3494">
        <v>0</v>
      </c>
      <c r="K3494">
        <v>1</v>
      </c>
      <c r="L3494" t="s">
        <v>693</v>
      </c>
      <c r="M3494" t="s">
        <v>2836</v>
      </c>
      <c r="N3494">
        <v>4130.1690500000004</v>
      </c>
      <c r="O3494">
        <v>0</v>
      </c>
      <c r="P3494" t="str">
        <f>IF(T[[#This Row],[qty_ordered]]&lt;&gt;T[[#This Row],[qty_received]],IF(T[[#This Row],[qty_received]]&gt;0,"Partial Received","Not Receviced"),"FullyReceived")</f>
        <v>Not Receviced</v>
      </c>
      <c r="Q3494" t="str">
        <f>IF(T[[#This Row],[qty_received]]&lt;&gt;T[[#This Row],[qty_invoiced]],IF(T[[#This Row],[qty_invoiced]]&gt;0,"Partial Invoiced","Not Invoiced"),"Fully Invoiced")</f>
        <v>Partial Invoiced</v>
      </c>
      <c r="R3494" t="str">
        <f>IFERROR(VLOOKUP(T[[#This Row],[warehouse]],Table2[],2,FALSE),"--")</f>
        <v>--</v>
      </c>
    </row>
    <row r="3495" spans="1:18" x14ac:dyDescent="0.25">
      <c r="A3495" t="s">
        <v>560</v>
      </c>
      <c r="B3495" s="1">
        <v>44544</v>
      </c>
      <c r="C3495" t="s">
        <v>1524</v>
      </c>
      <c r="D3495" t="s">
        <v>88</v>
      </c>
      <c r="E3495" t="s">
        <v>51</v>
      </c>
      <c r="F3495" t="s">
        <v>164</v>
      </c>
      <c r="G3495" t="s">
        <v>2058</v>
      </c>
      <c r="H3495" t="s">
        <v>54</v>
      </c>
      <c r="I3495">
        <v>29</v>
      </c>
      <c r="J3495">
        <v>0</v>
      </c>
      <c r="K3495">
        <v>1</v>
      </c>
      <c r="L3495" t="s">
        <v>693</v>
      </c>
      <c r="M3495" t="s">
        <v>2836</v>
      </c>
      <c r="N3495">
        <v>4130.1724130000002</v>
      </c>
      <c r="O3495">
        <v>0</v>
      </c>
      <c r="P3495" t="str">
        <f>IF(T[[#This Row],[qty_ordered]]&lt;&gt;T[[#This Row],[qty_received]],IF(T[[#This Row],[qty_received]]&gt;0,"Partial Received","Not Receviced"),"FullyReceived")</f>
        <v>Not Receviced</v>
      </c>
      <c r="Q3495" t="str">
        <f>IF(T[[#This Row],[qty_received]]&lt;&gt;T[[#This Row],[qty_invoiced]],IF(T[[#This Row],[qty_invoiced]]&gt;0,"Partial Invoiced","Not Invoiced"),"Fully Invoiced")</f>
        <v>Partial Invoiced</v>
      </c>
      <c r="R3495" t="str">
        <f>IFERROR(VLOOKUP(T[[#This Row],[warehouse]],Table2[],2,FALSE),"--")</f>
        <v>--</v>
      </c>
    </row>
    <row r="3496" spans="1:18" x14ac:dyDescent="0.25">
      <c r="A3496" t="s">
        <v>2060</v>
      </c>
      <c r="B3496" s="1">
        <v>44586</v>
      </c>
      <c r="C3496" t="s">
        <v>2061</v>
      </c>
      <c r="D3496" t="s">
        <v>20</v>
      </c>
      <c r="E3496" t="s">
        <v>660</v>
      </c>
      <c r="F3496" t="s">
        <v>1439</v>
      </c>
      <c r="G3496" t="s">
        <v>1440</v>
      </c>
      <c r="H3496" t="s">
        <v>1087</v>
      </c>
      <c r="I3496">
        <v>784</v>
      </c>
      <c r="J3496">
        <v>784</v>
      </c>
      <c r="K3496">
        <v>784</v>
      </c>
      <c r="L3496" t="s">
        <v>25</v>
      </c>
      <c r="M3496" t="s">
        <v>1485</v>
      </c>
      <c r="N3496">
        <v>28897.959182999999</v>
      </c>
      <c r="O3496">
        <v>22655999.999472</v>
      </c>
      <c r="P3496" t="str">
        <f>IF(T[[#This Row],[qty_ordered]]&lt;&gt;T[[#This Row],[qty_received]],IF(T[[#This Row],[qty_received]]&gt;0,"Partial Received","Not Receviced"),"FullyReceived")</f>
        <v>FullyReceived</v>
      </c>
      <c r="Q3496" t="str">
        <f>IF(T[[#This Row],[qty_received]]&lt;&gt;T[[#This Row],[qty_invoiced]],IF(T[[#This Row],[qty_invoiced]]&gt;0,"Partial Invoiced","Not Invoiced"),"Fully Invoiced")</f>
        <v>Fully Invoiced</v>
      </c>
      <c r="R3496" t="str">
        <f>IFERROR(VLOOKUP(T[[#This Row],[warehouse]],Table2[],2,FALSE),"--")</f>
        <v>SLAUGHTER HOUSE</v>
      </c>
    </row>
    <row r="3497" spans="1:18" x14ac:dyDescent="0.25">
      <c r="A3497" t="s">
        <v>144</v>
      </c>
      <c r="B3497" s="1">
        <v>44587</v>
      </c>
      <c r="C3497" t="s">
        <v>2062</v>
      </c>
      <c r="D3497" t="s">
        <v>20</v>
      </c>
      <c r="E3497" t="s">
        <v>1142</v>
      </c>
      <c r="F3497" t="s">
        <v>147</v>
      </c>
      <c r="G3497" t="s">
        <v>148</v>
      </c>
      <c r="H3497" t="s">
        <v>149</v>
      </c>
      <c r="I3497">
        <v>320000</v>
      </c>
      <c r="J3497">
        <v>175900</v>
      </c>
      <c r="K3497">
        <v>175900</v>
      </c>
      <c r="L3497" t="s">
        <v>25</v>
      </c>
      <c r="M3497" t="s">
        <v>1404</v>
      </c>
      <c r="N3497">
        <v>41.1</v>
      </c>
      <c r="O3497">
        <v>6791727.8339999998</v>
      </c>
      <c r="P3497" t="str">
        <f>IF(T[[#This Row],[qty_ordered]]&lt;&gt;T[[#This Row],[qty_received]],IF(T[[#This Row],[qty_received]]&gt;0,"Partial Received","Not Receviced"),"FullyReceived")</f>
        <v>Partial Received</v>
      </c>
      <c r="Q3497" t="str">
        <f>IF(T[[#This Row],[qty_received]]&lt;&gt;T[[#This Row],[qty_invoiced]],IF(T[[#This Row],[qty_invoiced]]&gt;0,"Partial Invoiced","Not Invoiced"),"Fully Invoiced")</f>
        <v>Fully Invoiced</v>
      </c>
      <c r="R3497" t="str">
        <f>IFERROR(VLOOKUP(T[[#This Row],[warehouse]],Table2[],2,FALSE),"--")</f>
        <v>SAVOLA W/H FOR EXPOR</v>
      </c>
    </row>
    <row r="3498" spans="1:18" x14ac:dyDescent="0.25">
      <c r="A3498" t="s">
        <v>144</v>
      </c>
      <c r="B3498" s="1">
        <v>44587</v>
      </c>
      <c r="C3498" t="s">
        <v>2062</v>
      </c>
      <c r="D3498" t="s">
        <v>71</v>
      </c>
      <c r="E3498" t="s">
        <v>1142</v>
      </c>
      <c r="F3498" t="s">
        <v>151</v>
      </c>
      <c r="G3498" t="s">
        <v>152</v>
      </c>
      <c r="H3498" t="s">
        <v>149</v>
      </c>
      <c r="I3498">
        <v>120000</v>
      </c>
      <c r="J3498">
        <v>66600</v>
      </c>
      <c r="K3498">
        <v>66600</v>
      </c>
      <c r="L3498" t="s">
        <v>25</v>
      </c>
      <c r="M3498" t="s">
        <v>1404</v>
      </c>
      <c r="N3498">
        <v>37.943820000000002</v>
      </c>
      <c r="O3498">
        <v>2527058.412</v>
      </c>
      <c r="P3498" t="str">
        <f>IF(T[[#This Row],[qty_ordered]]&lt;&gt;T[[#This Row],[qty_received]],IF(T[[#This Row],[qty_received]]&gt;0,"Partial Received","Not Receviced"),"FullyReceived")</f>
        <v>Partial Received</v>
      </c>
      <c r="Q3498" t="str">
        <f>IF(T[[#This Row],[qty_received]]&lt;&gt;T[[#This Row],[qty_invoiced]],IF(T[[#This Row],[qty_invoiced]]&gt;0,"Partial Invoiced","Not Invoiced"),"Fully Invoiced")</f>
        <v>Fully Invoiced</v>
      </c>
      <c r="R3498" t="str">
        <f>IFERROR(VLOOKUP(T[[#This Row],[warehouse]],Table2[],2,FALSE),"--")</f>
        <v>SAVOLA W/H FOR EXPOR</v>
      </c>
    </row>
    <row r="3499" spans="1:18" x14ac:dyDescent="0.25">
      <c r="A3499" t="s">
        <v>795</v>
      </c>
      <c r="B3499" s="1">
        <v>44550</v>
      </c>
      <c r="C3499" t="s">
        <v>1494</v>
      </c>
      <c r="D3499" t="s">
        <v>88</v>
      </c>
      <c r="E3499" t="s">
        <v>226</v>
      </c>
      <c r="F3499" t="s">
        <v>287</v>
      </c>
      <c r="G3499" t="s">
        <v>288</v>
      </c>
      <c r="H3499" t="s">
        <v>24</v>
      </c>
      <c r="I3499">
        <v>857.14200000000005</v>
      </c>
      <c r="J3499">
        <v>543.79999999999995</v>
      </c>
      <c r="K3499">
        <v>543.79999999999995</v>
      </c>
      <c r="L3499" t="s">
        <v>25</v>
      </c>
      <c r="M3499" t="s">
        <v>1485</v>
      </c>
      <c r="N3499">
        <v>350000</v>
      </c>
      <c r="O3499">
        <v>190330000</v>
      </c>
      <c r="P3499" t="str">
        <f>IF(T[[#This Row],[qty_ordered]]&lt;&gt;T[[#This Row],[qty_received]],IF(T[[#This Row],[qty_received]]&gt;0,"Partial Received","Not Receviced"),"FullyReceived")</f>
        <v>Partial Received</v>
      </c>
      <c r="Q3499" t="str">
        <f>IF(T[[#This Row],[qty_received]]&lt;&gt;T[[#This Row],[qty_invoiced]],IF(T[[#This Row],[qty_invoiced]]&gt;0,"Partial Invoiced","Not Invoiced"),"Fully Invoiced")</f>
        <v>Fully Invoiced</v>
      </c>
      <c r="R3499" t="str">
        <f>IFERROR(VLOOKUP(T[[#This Row],[warehouse]],Table2[],2,FALSE),"--")</f>
        <v>Karrar Sorting and Sifting - OMD</v>
      </c>
    </row>
    <row r="3500" spans="1:18" x14ac:dyDescent="0.25">
      <c r="A3500" t="s">
        <v>804</v>
      </c>
      <c r="B3500" s="1">
        <v>44587</v>
      </c>
      <c r="C3500" t="s">
        <v>2063</v>
      </c>
      <c r="D3500" t="s">
        <v>20</v>
      </c>
      <c r="E3500" t="s">
        <v>660</v>
      </c>
      <c r="F3500" t="s">
        <v>1439</v>
      </c>
      <c r="G3500" t="s">
        <v>1440</v>
      </c>
      <c r="H3500" t="s">
        <v>1087</v>
      </c>
      <c r="I3500">
        <v>25715</v>
      </c>
      <c r="J3500">
        <v>0</v>
      </c>
      <c r="K3500">
        <v>0</v>
      </c>
      <c r="L3500" t="s">
        <v>59</v>
      </c>
      <c r="M3500" t="s">
        <v>1485</v>
      </c>
      <c r="N3500">
        <v>3500</v>
      </c>
      <c r="O3500">
        <v>0</v>
      </c>
      <c r="P3500" t="str">
        <f>IF(T[[#This Row],[qty_ordered]]&lt;&gt;T[[#This Row],[qty_received]],IF(T[[#This Row],[qty_received]]&gt;0,"Partial Received","Not Receviced"),"FullyReceived")</f>
        <v>Not Receviced</v>
      </c>
      <c r="Q3500" t="str">
        <f>IF(T[[#This Row],[qty_received]]&lt;&gt;T[[#This Row],[qty_invoiced]],IF(T[[#This Row],[qty_invoiced]]&gt;0,"Partial Invoiced","Not Invoiced"),"Fully Invoiced")</f>
        <v>Fully Invoiced</v>
      </c>
      <c r="R3500" t="str">
        <f>IFERROR(VLOOKUP(T[[#This Row],[warehouse]],Table2[],2,FALSE),"--")</f>
        <v>SLAUGHTER HOUSE</v>
      </c>
    </row>
    <row r="3501" spans="1:18" x14ac:dyDescent="0.25">
      <c r="A3501" t="s">
        <v>242</v>
      </c>
      <c r="B3501" s="1">
        <v>44588</v>
      </c>
      <c r="C3501" t="s">
        <v>2064</v>
      </c>
      <c r="D3501" t="s">
        <v>20</v>
      </c>
      <c r="E3501" t="s">
        <v>405</v>
      </c>
      <c r="F3501" t="s">
        <v>244</v>
      </c>
      <c r="G3501" t="s">
        <v>245</v>
      </c>
      <c r="H3501" t="s">
        <v>24</v>
      </c>
      <c r="I3501">
        <v>154.24</v>
      </c>
      <c r="J3501">
        <v>154.24</v>
      </c>
      <c r="K3501">
        <v>154.24</v>
      </c>
      <c r="L3501" t="s">
        <v>25</v>
      </c>
      <c r="M3501" t="s">
        <v>1485</v>
      </c>
      <c r="N3501">
        <v>840000</v>
      </c>
      <c r="O3501">
        <v>129561600</v>
      </c>
      <c r="P3501" t="str">
        <f>IF(T[[#This Row],[qty_ordered]]&lt;&gt;T[[#This Row],[qty_received]],IF(T[[#This Row],[qty_received]]&gt;0,"Partial Received","Not Receviced"),"FullyReceived")</f>
        <v>FullyReceived</v>
      </c>
      <c r="Q3501" t="str">
        <f>IF(T[[#This Row],[qty_received]]&lt;&gt;T[[#This Row],[qty_invoiced]],IF(T[[#This Row],[qty_invoiced]]&gt;0,"Partial Invoiced","Not Invoiced"),"Fully Invoiced")</f>
        <v>Fully Invoiced</v>
      </c>
      <c r="R3501" t="str">
        <f>IFERROR(VLOOKUP(T[[#This Row],[warehouse]],Table2[],2,FALSE),"--")</f>
        <v>GINNING ISHRAG-MDNI</v>
      </c>
    </row>
    <row r="3502" spans="1:18" x14ac:dyDescent="0.25">
      <c r="A3502" t="s">
        <v>955</v>
      </c>
      <c r="B3502" s="1">
        <v>44588</v>
      </c>
      <c r="C3502" t="s">
        <v>2065</v>
      </c>
      <c r="D3502" t="s">
        <v>20</v>
      </c>
      <c r="E3502" t="s">
        <v>1430</v>
      </c>
      <c r="F3502" t="s">
        <v>130</v>
      </c>
      <c r="G3502" t="s">
        <v>131</v>
      </c>
      <c r="H3502" t="s">
        <v>24</v>
      </c>
      <c r="I3502">
        <v>43.311999999999998</v>
      </c>
      <c r="J3502">
        <v>0</v>
      </c>
      <c r="K3502">
        <v>0</v>
      </c>
      <c r="L3502" t="s">
        <v>693</v>
      </c>
      <c r="M3502" t="s">
        <v>1485</v>
      </c>
      <c r="N3502">
        <v>178001.47764999999</v>
      </c>
      <c r="O3502">
        <v>0</v>
      </c>
      <c r="P3502" t="str">
        <f>IF(T[[#This Row],[qty_ordered]]&lt;&gt;T[[#This Row],[qty_received]],IF(T[[#This Row],[qty_received]]&gt;0,"Partial Received","Not Receviced"),"FullyReceived")</f>
        <v>Not Receviced</v>
      </c>
      <c r="Q3502" t="str">
        <f>IF(T[[#This Row],[qty_received]]&lt;&gt;T[[#This Row],[qty_invoiced]],IF(T[[#This Row],[qty_invoiced]]&gt;0,"Partial Invoiced","Not Invoiced"),"Fully Invoiced")</f>
        <v>Fully Invoiced</v>
      </c>
      <c r="R3502" t="str">
        <f>IFERROR(VLOOKUP(T[[#This Row],[warehouse]],Table2[],2,FALSE),"--")</f>
        <v>Obaid Gum Arabic Centre</v>
      </c>
    </row>
    <row r="3503" spans="1:18" x14ac:dyDescent="0.25">
      <c r="A3503" t="s">
        <v>955</v>
      </c>
      <c r="B3503" s="1">
        <v>44588</v>
      </c>
      <c r="C3503" t="s">
        <v>2066</v>
      </c>
      <c r="D3503" t="s">
        <v>20</v>
      </c>
      <c r="E3503" t="s">
        <v>1430</v>
      </c>
      <c r="F3503" t="s">
        <v>130</v>
      </c>
      <c r="G3503" t="s">
        <v>131</v>
      </c>
      <c r="H3503" t="s">
        <v>24</v>
      </c>
      <c r="I3503">
        <v>1000</v>
      </c>
      <c r="J3503">
        <v>942.2</v>
      </c>
      <c r="K3503">
        <v>942.2</v>
      </c>
      <c r="L3503" t="s">
        <v>693</v>
      </c>
      <c r="M3503" t="s">
        <v>1485</v>
      </c>
      <c r="N3503">
        <v>178001.47764999999</v>
      </c>
      <c r="O3503">
        <v>167712992.24182999</v>
      </c>
      <c r="P3503" t="str">
        <f>IF(T[[#This Row],[qty_ordered]]&lt;&gt;T[[#This Row],[qty_received]],IF(T[[#This Row],[qty_received]]&gt;0,"Partial Received","Not Receviced"),"FullyReceived")</f>
        <v>Partial Received</v>
      </c>
      <c r="Q3503" t="str">
        <f>IF(T[[#This Row],[qty_received]]&lt;&gt;T[[#This Row],[qty_invoiced]],IF(T[[#This Row],[qty_invoiced]]&gt;0,"Partial Invoiced","Not Invoiced"),"Fully Invoiced")</f>
        <v>Fully Invoiced</v>
      </c>
      <c r="R3503" t="str">
        <f>IFERROR(VLOOKUP(T[[#This Row],[warehouse]],Table2[],2,FALSE),"--")</f>
        <v>Obaid Gum Arabic Centre</v>
      </c>
    </row>
    <row r="3504" spans="1:18" x14ac:dyDescent="0.25">
      <c r="A3504" t="s">
        <v>1146</v>
      </c>
      <c r="B3504" s="1">
        <v>44592</v>
      </c>
      <c r="C3504" t="s">
        <v>2067</v>
      </c>
      <c r="D3504" t="s">
        <v>20</v>
      </c>
      <c r="E3504" t="s">
        <v>2068</v>
      </c>
      <c r="F3504" t="s">
        <v>2069</v>
      </c>
      <c r="G3504" t="s">
        <v>2070</v>
      </c>
      <c r="H3504" t="s">
        <v>24</v>
      </c>
      <c r="I3504">
        <v>2899.567</v>
      </c>
      <c r="J3504">
        <v>2899.567</v>
      </c>
      <c r="K3504">
        <v>2899.57</v>
      </c>
      <c r="L3504" t="s">
        <v>25</v>
      </c>
      <c r="M3504" t="s">
        <v>1485</v>
      </c>
      <c r="N3504">
        <v>224725</v>
      </c>
      <c r="O3504">
        <v>838140862.50083804</v>
      </c>
      <c r="P3504" t="str">
        <f>IF(T[[#This Row],[qty_ordered]]&lt;&gt;T[[#This Row],[qty_received]],IF(T[[#This Row],[qty_received]]&gt;0,"Partial Received","Not Receviced"),"FullyReceived")</f>
        <v>FullyReceived</v>
      </c>
      <c r="Q3504" t="str">
        <f>IF(T[[#This Row],[qty_received]]&lt;&gt;T[[#This Row],[qty_invoiced]],IF(T[[#This Row],[qty_invoiced]]&gt;0,"Partial Invoiced","Not Invoiced"),"Fully Invoiced")</f>
        <v>Partial Invoiced</v>
      </c>
      <c r="R3504" t="str">
        <f>IFERROR(VLOOKUP(T[[#This Row],[warehouse]],Table2[],2,FALSE),"--")</f>
        <v xml:space="preserve">ADEEB SHELLER </v>
      </c>
    </row>
    <row r="3505" spans="1:18" x14ac:dyDescent="0.25">
      <c r="A3505" t="s">
        <v>144</v>
      </c>
      <c r="B3505" s="1">
        <v>44592</v>
      </c>
      <c r="C3505" t="s">
        <v>2071</v>
      </c>
      <c r="D3505" t="s">
        <v>20</v>
      </c>
      <c r="E3505" t="s">
        <v>1142</v>
      </c>
      <c r="F3505" t="s">
        <v>147</v>
      </c>
      <c r="G3505" t="s">
        <v>148</v>
      </c>
      <c r="H3505" t="s">
        <v>149</v>
      </c>
      <c r="I3505">
        <v>320000</v>
      </c>
      <c r="J3505">
        <v>0</v>
      </c>
      <c r="K3505">
        <v>0</v>
      </c>
      <c r="L3505" t="s">
        <v>25</v>
      </c>
      <c r="M3505" t="s">
        <v>1404</v>
      </c>
      <c r="N3505">
        <v>36.829650000000001</v>
      </c>
      <c r="O3505">
        <v>0</v>
      </c>
      <c r="P3505" t="str">
        <f>IF(T[[#This Row],[qty_ordered]]&lt;&gt;T[[#This Row],[qty_received]],IF(T[[#This Row],[qty_received]]&gt;0,"Partial Received","Not Receviced"),"FullyReceived")</f>
        <v>Not Receviced</v>
      </c>
      <c r="Q3505" t="str">
        <f>IF(T[[#This Row],[qty_received]]&lt;&gt;T[[#This Row],[qty_invoiced]],IF(T[[#This Row],[qty_invoiced]]&gt;0,"Partial Invoiced","Not Invoiced"),"Fully Invoiced")</f>
        <v>Fully Invoiced</v>
      </c>
      <c r="R3505" t="str">
        <f>IFERROR(VLOOKUP(T[[#This Row],[warehouse]],Table2[],2,FALSE),"--")</f>
        <v>SAVOLA W/H FOR EXPOR</v>
      </c>
    </row>
    <row r="3506" spans="1:18" x14ac:dyDescent="0.25">
      <c r="A3506" t="s">
        <v>144</v>
      </c>
      <c r="B3506" s="1">
        <v>44592</v>
      </c>
      <c r="C3506" t="s">
        <v>2071</v>
      </c>
      <c r="D3506" t="s">
        <v>71</v>
      </c>
      <c r="E3506" t="s">
        <v>1142</v>
      </c>
      <c r="F3506" t="s">
        <v>151</v>
      </c>
      <c r="G3506" t="s">
        <v>152</v>
      </c>
      <c r="H3506" t="s">
        <v>149</v>
      </c>
      <c r="I3506">
        <v>120000</v>
      </c>
      <c r="J3506">
        <v>0</v>
      </c>
      <c r="K3506">
        <v>0</v>
      </c>
      <c r="L3506" t="s">
        <v>25</v>
      </c>
      <c r="M3506" t="s">
        <v>1404</v>
      </c>
      <c r="N3506">
        <v>36.829650000000001</v>
      </c>
      <c r="O3506">
        <v>0</v>
      </c>
      <c r="P3506" t="str">
        <f>IF(T[[#This Row],[qty_ordered]]&lt;&gt;T[[#This Row],[qty_received]],IF(T[[#This Row],[qty_received]]&gt;0,"Partial Received","Not Receviced"),"FullyReceived")</f>
        <v>Not Receviced</v>
      </c>
      <c r="Q3506" t="str">
        <f>IF(T[[#This Row],[qty_received]]&lt;&gt;T[[#This Row],[qty_invoiced]],IF(T[[#This Row],[qty_invoiced]]&gt;0,"Partial Invoiced","Not Invoiced"),"Fully Invoiced")</f>
        <v>Fully Invoiced</v>
      </c>
      <c r="R3506" t="str">
        <f>IFERROR(VLOOKUP(T[[#This Row],[warehouse]],Table2[],2,FALSE),"--")</f>
        <v>SAVOLA W/H FOR EXPOR</v>
      </c>
    </row>
    <row r="3507" spans="1:18" x14ac:dyDescent="0.25">
      <c r="A3507" t="s">
        <v>1194</v>
      </c>
      <c r="B3507" s="1">
        <v>44592</v>
      </c>
      <c r="C3507" t="s">
        <v>2072</v>
      </c>
      <c r="D3507" t="s">
        <v>20</v>
      </c>
      <c r="E3507" t="s">
        <v>723</v>
      </c>
      <c r="F3507" t="s">
        <v>219</v>
      </c>
      <c r="G3507" t="s">
        <v>724</v>
      </c>
      <c r="H3507" t="s">
        <v>221</v>
      </c>
      <c r="I3507">
        <v>43400</v>
      </c>
      <c r="J3507">
        <v>43221.885000000002</v>
      </c>
      <c r="K3507">
        <v>43221.89</v>
      </c>
      <c r="L3507" t="s">
        <v>693</v>
      </c>
      <c r="M3507" t="s">
        <v>132</v>
      </c>
      <c r="N3507">
        <v>28179</v>
      </c>
      <c r="O3507">
        <v>1217949497.415</v>
      </c>
      <c r="P3507" t="str">
        <f>IF(T[[#This Row],[qty_ordered]]&lt;&gt;T[[#This Row],[qty_received]],IF(T[[#This Row],[qty_received]]&gt;0,"Partial Received","Not Receviced"),"FullyReceived")</f>
        <v>Partial Received</v>
      </c>
      <c r="Q3507" t="str">
        <f>IF(T[[#This Row],[qty_received]]&lt;&gt;T[[#This Row],[qty_invoiced]],IF(T[[#This Row],[qty_invoiced]]&gt;0,"Partial Invoiced","Not Invoiced"),"Fully Invoiced")</f>
        <v>Partial Invoiced</v>
      </c>
      <c r="R3507" t="str">
        <f>IFERROR(VLOOKUP(T[[#This Row],[warehouse]],Table2[],2,FALSE),"--")</f>
        <v>YELLOW BEANS</v>
      </c>
    </row>
    <row r="3508" spans="1:18" x14ac:dyDescent="0.25">
      <c r="A3508" t="s">
        <v>1194</v>
      </c>
      <c r="B3508" s="1">
        <v>44586</v>
      </c>
      <c r="C3508" t="s">
        <v>1599</v>
      </c>
      <c r="D3508" t="s">
        <v>20</v>
      </c>
      <c r="E3508" t="s">
        <v>723</v>
      </c>
      <c r="F3508" t="s">
        <v>219</v>
      </c>
      <c r="G3508" t="s">
        <v>724</v>
      </c>
      <c r="H3508" t="s">
        <v>221</v>
      </c>
      <c r="I3508">
        <v>234143.12</v>
      </c>
      <c r="J3508">
        <v>234143.12</v>
      </c>
      <c r="K3508">
        <v>234143.15</v>
      </c>
      <c r="L3508" t="s">
        <v>693</v>
      </c>
      <c r="M3508" t="s">
        <v>132</v>
      </c>
      <c r="N3508">
        <v>24497.599999999999</v>
      </c>
      <c r="O3508">
        <v>5709185007.9286699</v>
      </c>
      <c r="P3508" t="str">
        <f>IF(T[[#This Row],[qty_ordered]]&lt;&gt;T[[#This Row],[qty_received]],IF(T[[#This Row],[qty_received]]&gt;0,"Partial Received","Not Receviced"),"FullyReceived")</f>
        <v>FullyReceived</v>
      </c>
      <c r="Q3508" t="str">
        <f>IF(T[[#This Row],[qty_received]]&lt;&gt;T[[#This Row],[qty_invoiced]],IF(T[[#This Row],[qty_invoiced]]&gt;0,"Partial Invoiced","Not Invoiced"),"Fully Invoiced")</f>
        <v>Partial Invoiced</v>
      </c>
      <c r="R3508" t="str">
        <f>IFERROR(VLOOKUP(T[[#This Row],[warehouse]],Table2[],2,FALSE),"--")</f>
        <v>YELLOW BEANS</v>
      </c>
    </row>
    <row r="3509" spans="1:18" x14ac:dyDescent="0.25">
      <c r="A3509" t="s">
        <v>242</v>
      </c>
      <c r="B3509" s="1">
        <v>44571</v>
      </c>
      <c r="C3509" t="s">
        <v>1946</v>
      </c>
      <c r="D3509" t="s">
        <v>100</v>
      </c>
      <c r="E3509" t="s">
        <v>405</v>
      </c>
      <c r="F3509" t="s">
        <v>244</v>
      </c>
      <c r="G3509" t="s">
        <v>245</v>
      </c>
      <c r="H3509" t="s">
        <v>24</v>
      </c>
      <c r="I3509">
        <v>964</v>
      </c>
      <c r="J3509">
        <v>0</v>
      </c>
      <c r="K3509">
        <v>0</v>
      </c>
      <c r="L3509" t="s">
        <v>25</v>
      </c>
      <c r="M3509" t="s">
        <v>1485</v>
      </c>
      <c r="N3509">
        <v>829875.51867200003</v>
      </c>
      <c r="O3509">
        <v>0</v>
      </c>
      <c r="P3509" t="str">
        <f>IF(T[[#This Row],[qty_ordered]]&lt;&gt;T[[#This Row],[qty_received]],IF(T[[#This Row],[qty_received]]&gt;0,"Partial Received","Not Receviced"),"FullyReceived")</f>
        <v>Not Receviced</v>
      </c>
      <c r="Q3509" t="str">
        <f>IF(T[[#This Row],[qty_received]]&lt;&gt;T[[#This Row],[qty_invoiced]],IF(T[[#This Row],[qty_invoiced]]&gt;0,"Partial Invoiced","Not Invoiced"),"Fully Invoiced")</f>
        <v>Fully Invoiced</v>
      </c>
      <c r="R3509" t="str">
        <f>IFERROR(VLOOKUP(T[[#This Row],[warehouse]],Table2[],2,FALSE),"--")</f>
        <v>GINNING ISHRAG-MDNI</v>
      </c>
    </row>
    <row r="3510" spans="1:18" x14ac:dyDescent="0.25">
      <c r="A3510" t="s">
        <v>804</v>
      </c>
      <c r="B3510" s="1">
        <v>44286</v>
      </c>
      <c r="C3510" t="s">
        <v>1344</v>
      </c>
      <c r="D3510" t="s">
        <v>88</v>
      </c>
      <c r="E3510" t="s">
        <v>51</v>
      </c>
      <c r="F3510" t="s">
        <v>806</v>
      </c>
      <c r="G3510" t="s">
        <v>806</v>
      </c>
      <c r="H3510" t="s">
        <v>54</v>
      </c>
      <c r="I3510">
        <v>25715</v>
      </c>
      <c r="J3510">
        <v>0</v>
      </c>
      <c r="K3510">
        <v>1</v>
      </c>
      <c r="L3510" t="s">
        <v>25</v>
      </c>
      <c r="M3510" t="s">
        <v>132</v>
      </c>
      <c r="N3510">
        <v>3500</v>
      </c>
      <c r="O3510">
        <v>0</v>
      </c>
      <c r="P3510" t="str">
        <f>IF(T[[#This Row],[qty_ordered]]&lt;&gt;T[[#This Row],[qty_received]],IF(T[[#This Row],[qty_received]]&gt;0,"Partial Received","Not Receviced"),"FullyReceived")</f>
        <v>Not Receviced</v>
      </c>
      <c r="Q3510" t="str">
        <f>IF(T[[#This Row],[qty_received]]&lt;&gt;T[[#This Row],[qty_invoiced]],IF(T[[#This Row],[qty_invoiced]]&gt;0,"Partial Invoiced","Not Invoiced"),"Fully Invoiced")</f>
        <v>Partial Invoiced</v>
      </c>
      <c r="R3510" t="str">
        <f>IFERROR(VLOOKUP(T[[#This Row],[warehouse]],Table2[],2,FALSE),"--")</f>
        <v>--</v>
      </c>
    </row>
    <row r="3511" spans="1:18" x14ac:dyDescent="0.25">
      <c r="A3511" t="s">
        <v>725</v>
      </c>
      <c r="B3511" s="1">
        <v>44588</v>
      </c>
      <c r="C3511" t="s">
        <v>2073</v>
      </c>
      <c r="D3511" t="s">
        <v>20</v>
      </c>
      <c r="E3511" t="s">
        <v>723</v>
      </c>
      <c r="F3511" t="s">
        <v>219</v>
      </c>
      <c r="G3511" t="s">
        <v>724</v>
      </c>
      <c r="H3511" t="s">
        <v>221</v>
      </c>
      <c r="I3511">
        <v>43582.86</v>
      </c>
      <c r="J3511">
        <v>43582.86</v>
      </c>
      <c r="K3511">
        <v>43582.86</v>
      </c>
      <c r="L3511" t="s">
        <v>693</v>
      </c>
      <c r="M3511" t="s">
        <v>132</v>
      </c>
      <c r="N3511">
        <v>50000</v>
      </c>
      <c r="O3511">
        <v>2179143000</v>
      </c>
      <c r="P3511" t="str">
        <f>IF(T[[#This Row],[qty_ordered]]&lt;&gt;T[[#This Row],[qty_received]],IF(T[[#This Row],[qty_received]]&gt;0,"Partial Received","Not Receviced"),"FullyReceived")</f>
        <v>FullyReceived</v>
      </c>
      <c r="Q3511" t="str">
        <f>IF(T[[#This Row],[qty_received]]&lt;&gt;T[[#This Row],[qty_invoiced]],IF(T[[#This Row],[qty_invoiced]]&gt;0,"Partial Invoiced","Not Invoiced"),"Fully Invoiced")</f>
        <v>Fully Invoiced</v>
      </c>
      <c r="R3511" t="str">
        <f>IFERROR(VLOOKUP(T[[#This Row],[warehouse]],Table2[],2,FALSE),"--")</f>
        <v>YELLOW BEANS</v>
      </c>
    </row>
    <row r="3512" spans="1:18" x14ac:dyDescent="0.25">
      <c r="A3512" t="s">
        <v>955</v>
      </c>
      <c r="B3512" s="1">
        <v>44588</v>
      </c>
      <c r="C3512" t="s">
        <v>2074</v>
      </c>
      <c r="D3512" t="s">
        <v>20</v>
      </c>
      <c r="E3512" t="s">
        <v>1430</v>
      </c>
      <c r="F3512" t="s">
        <v>691</v>
      </c>
      <c r="G3512" t="s">
        <v>478</v>
      </c>
      <c r="H3512" t="s">
        <v>24</v>
      </c>
      <c r="I3512">
        <v>1000</v>
      </c>
      <c r="J3512">
        <v>677.71900000000005</v>
      </c>
      <c r="K3512">
        <v>677.71900000000005</v>
      </c>
      <c r="L3512" t="s">
        <v>693</v>
      </c>
      <c r="M3512" t="s">
        <v>1485</v>
      </c>
      <c r="N3512">
        <v>372044.16666599998</v>
      </c>
      <c r="O3512">
        <v>252141400.58871499</v>
      </c>
      <c r="P3512" t="str">
        <f>IF(T[[#This Row],[qty_ordered]]&lt;&gt;T[[#This Row],[qty_received]],IF(T[[#This Row],[qty_received]]&gt;0,"Partial Received","Not Receviced"),"FullyReceived")</f>
        <v>Partial Received</v>
      </c>
      <c r="Q3512" t="str">
        <f>IF(T[[#This Row],[qty_received]]&lt;&gt;T[[#This Row],[qty_invoiced]],IF(T[[#This Row],[qty_invoiced]]&gt;0,"Partial Invoiced","Not Invoiced"),"Fully Invoiced")</f>
        <v>Fully Invoiced</v>
      </c>
      <c r="R3512" t="str">
        <f>IFERROR(VLOOKUP(T[[#This Row],[warehouse]],Table2[],2,FALSE),"--")</f>
        <v>Obaid Gum Arabic Centre</v>
      </c>
    </row>
    <row r="3513" spans="1:18" x14ac:dyDescent="0.25">
      <c r="A3513" t="s">
        <v>1623</v>
      </c>
      <c r="B3513" s="1">
        <v>44588</v>
      </c>
      <c r="C3513" t="s">
        <v>1624</v>
      </c>
      <c r="D3513" t="s">
        <v>20</v>
      </c>
      <c r="E3513" t="s">
        <v>51</v>
      </c>
      <c r="F3513" t="s">
        <v>183</v>
      </c>
      <c r="G3513" t="s">
        <v>2075</v>
      </c>
      <c r="H3513" t="s">
        <v>54</v>
      </c>
      <c r="I3513">
        <v>4500</v>
      </c>
      <c r="J3513">
        <v>0</v>
      </c>
      <c r="K3513">
        <v>1</v>
      </c>
      <c r="L3513" t="s">
        <v>693</v>
      </c>
      <c r="M3513" t="s">
        <v>533</v>
      </c>
      <c r="N3513">
        <v>14000</v>
      </c>
      <c r="O3513">
        <v>0</v>
      </c>
      <c r="P3513" t="str">
        <f>IF(T[[#This Row],[qty_ordered]]&lt;&gt;T[[#This Row],[qty_received]],IF(T[[#This Row],[qty_received]]&gt;0,"Partial Received","Not Receviced"),"FullyReceived")</f>
        <v>Not Receviced</v>
      </c>
      <c r="Q3513" t="str">
        <f>IF(T[[#This Row],[qty_received]]&lt;&gt;T[[#This Row],[qty_invoiced]],IF(T[[#This Row],[qty_invoiced]]&gt;0,"Partial Invoiced","Not Invoiced"),"Fully Invoiced")</f>
        <v>Partial Invoiced</v>
      </c>
      <c r="R3513" t="str">
        <f>IFERROR(VLOOKUP(T[[#This Row],[warehouse]],Table2[],2,FALSE),"--")</f>
        <v>--</v>
      </c>
    </row>
    <row r="3514" spans="1:18" x14ac:dyDescent="0.25">
      <c r="A3514" t="s">
        <v>985</v>
      </c>
      <c r="B3514" s="1">
        <v>44531</v>
      </c>
      <c r="C3514" t="s">
        <v>1489</v>
      </c>
      <c r="D3514" t="s">
        <v>322</v>
      </c>
      <c r="E3514" t="s">
        <v>51</v>
      </c>
      <c r="F3514" t="s">
        <v>183</v>
      </c>
      <c r="G3514" t="s">
        <v>2076</v>
      </c>
      <c r="H3514" t="s">
        <v>54</v>
      </c>
      <c r="I3514">
        <v>500</v>
      </c>
      <c r="J3514">
        <v>0</v>
      </c>
      <c r="K3514">
        <v>1</v>
      </c>
      <c r="L3514" t="s">
        <v>693</v>
      </c>
      <c r="M3514" t="s">
        <v>533</v>
      </c>
      <c r="N3514">
        <v>6000</v>
      </c>
      <c r="O3514">
        <v>0</v>
      </c>
      <c r="P3514" t="str">
        <f>IF(T[[#This Row],[qty_ordered]]&lt;&gt;T[[#This Row],[qty_received]],IF(T[[#This Row],[qty_received]]&gt;0,"Partial Received","Not Receviced"),"FullyReceived")</f>
        <v>Not Receviced</v>
      </c>
      <c r="Q3514" t="str">
        <f>IF(T[[#This Row],[qty_received]]&lt;&gt;T[[#This Row],[qty_invoiced]],IF(T[[#This Row],[qty_invoiced]]&gt;0,"Partial Invoiced","Not Invoiced"),"Fully Invoiced")</f>
        <v>Partial Invoiced</v>
      </c>
      <c r="R3514" t="str">
        <f>IFERROR(VLOOKUP(T[[#This Row],[warehouse]],Table2[],2,FALSE),"--")</f>
        <v>--</v>
      </c>
    </row>
    <row r="3515" spans="1:18" x14ac:dyDescent="0.25">
      <c r="A3515" t="s">
        <v>1512</v>
      </c>
      <c r="B3515" s="1">
        <v>44524</v>
      </c>
      <c r="C3515" t="s">
        <v>1513</v>
      </c>
      <c r="D3515" t="s">
        <v>88</v>
      </c>
      <c r="E3515" t="s">
        <v>51</v>
      </c>
      <c r="F3515" t="s">
        <v>183</v>
      </c>
      <c r="G3515" t="s">
        <v>1668</v>
      </c>
      <c r="H3515" t="s">
        <v>54</v>
      </c>
      <c r="I3515">
        <v>400</v>
      </c>
      <c r="J3515">
        <v>0</v>
      </c>
      <c r="K3515">
        <v>1</v>
      </c>
      <c r="L3515" t="s">
        <v>693</v>
      </c>
      <c r="M3515" t="s">
        <v>533</v>
      </c>
      <c r="N3515">
        <v>6000</v>
      </c>
      <c r="O3515">
        <v>0</v>
      </c>
      <c r="P3515" t="str">
        <f>IF(T[[#This Row],[qty_ordered]]&lt;&gt;T[[#This Row],[qty_received]],IF(T[[#This Row],[qty_received]]&gt;0,"Partial Received","Not Receviced"),"FullyReceived")</f>
        <v>Not Receviced</v>
      </c>
      <c r="Q3515" t="str">
        <f>IF(T[[#This Row],[qty_received]]&lt;&gt;T[[#This Row],[qty_invoiced]],IF(T[[#This Row],[qty_invoiced]]&gt;0,"Partial Invoiced","Not Invoiced"),"Fully Invoiced")</f>
        <v>Partial Invoiced</v>
      </c>
      <c r="R3515" t="str">
        <f>IFERROR(VLOOKUP(T[[#This Row],[warehouse]],Table2[],2,FALSE),"--")</f>
        <v>--</v>
      </c>
    </row>
    <row r="3516" spans="1:18" x14ac:dyDescent="0.25">
      <c r="A3516" t="s">
        <v>252</v>
      </c>
      <c r="B3516" s="1">
        <v>44531</v>
      </c>
      <c r="C3516" t="s">
        <v>1491</v>
      </c>
      <c r="D3516" t="s">
        <v>88</v>
      </c>
      <c r="E3516" t="s">
        <v>51</v>
      </c>
      <c r="F3516" t="s">
        <v>183</v>
      </c>
      <c r="G3516" t="s">
        <v>2077</v>
      </c>
      <c r="H3516" t="s">
        <v>54</v>
      </c>
      <c r="I3516">
        <v>400</v>
      </c>
      <c r="J3516">
        <v>0</v>
      </c>
      <c r="K3516">
        <v>1</v>
      </c>
      <c r="L3516" t="s">
        <v>693</v>
      </c>
      <c r="M3516" t="s">
        <v>533</v>
      </c>
      <c r="N3516">
        <v>6250</v>
      </c>
      <c r="O3516">
        <v>0</v>
      </c>
      <c r="P3516" t="str">
        <f>IF(T[[#This Row],[qty_ordered]]&lt;&gt;T[[#This Row],[qty_received]],IF(T[[#This Row],[qty_received]]&gt;0,"Partial Received","Not Receviced"),"FullyReceived")</f>
        <v>Not Receviced</v>
      </c>
      <c r="Q3516" t="str">
        <f>IF(T[[#This Row],[qty_received]]&lt;&gt;T[[#This Row],[qty_invoiced]],IF(T[[#This Row],[qty_invoiced]]&gt;0,"Partial Invoiced","Not Invoiced"),"Fully Invoiced")</f>
        <v>Partial Invoiced</v>
      </c>
      <c r="R3516" t="str">
        <f>IFERROR(VLOOKUP(T[[#This Row],[warehouse]],Table2[],2,FALSE),"--")</f>
        <v>--</v>
      </c>
    </row>
    <row r="3517" spans="1:18" x14ac:dyDescent="0.25">
      <c r="A3517" t="s">
        <v>235</v>
      </c>
      <c r="B3517" s="1">
        <v>44573</v>
      </c>
      <c r="C3517" t="s">
        <v>1951</v>
      </c>
      <c r="D3517" t="s">
        <v>212</v>
      </c>
      <c r="E3517" t="s">
        <v>51</v>
      </c>
      <c r="F3517" t="s">
        <v>546</v>
      </c>
      <c r="G3517" t="s">
        <v>2078</v>
      </c>
      <c r="H3517" t="s">
        <v>54</v>
      </c>
      <c r="I3517">
        <v>12000</v>
      </c>
      <c r="J3517">
        <v>0</v>
      </c>
      <c r="K3517">
        <v>1</v>
      </c>
      <c r="L3517" t="s">
        <v>693</v>
      </c>
      <c r="M3517" t="s">
        <v>533</v>
      </c>
      <c r="N3517">
        <v>15.583333</v>
      </c>
      <c r="O3517">
        <v>0</v>
      </c>
      <c r="P3517" t="str">
        <f>IF(T[[#This Row],[qty_ordered]]&lt;&gt;T[[#This Row],[qty_received]],IF(T[[#This Row],[qty_received]]&gt;0,"Partial Received","Not Receviced"),"FullyReceived")</f>
        <v>Not Receviced</v>
      </c>
      <c r="Q3517" t="str">
        <f>IF(T[[#This Row],[qty_received]]&lt;&gt;T[[#This Row],[qty_invoiced]],IF(T[[#This Row],[qty_invoiced]]&gt;0,"Partial Invoiced","Not Invoiced"),"Fully Invoiced")</f>
        <v>Partial Invoiced</v>
      </c>
      <c r="R3517" t="str">
        <f>IFERROR(VLOOKUP(T[[#This Row],[warehouse]],Table2[],2,FALSE),"--")</f>
        <v>--</v>
      </c>
    </row>
    <row r="3518" spans="1:18" x14ac:dyDescent="0.25">
      <c r="A3518" t="s">
        <v>235</v>
      </c>
      <c r="B3518" s="1">
        <v>44573</v>
      </c>
      <c r="C3518" t="s">
        <v>1958</v>
      </c>
      <c r="D3518" t="s">
        <v>88</v>
      </c>
      <c r="E3518" t="s">
        <v>51</v>
      </c>
      <c r="F3518" t="s">
        <v>546</v>
      </c>
      <c r="G3518" t="s">
        <v>1594</v>
      </c>
      <c r="H3518" t="s">
        <v>54</v>
      </c>
      <c r="I3518">
        <v>5000</v>
      </c>
      <c r="J3518">
        <v>0</v>
      </c>
      <c r="K3518">
        <v>1</v>
      </c>
      <c r="L3518" t="s">
        <v>693</v>
      </c>
      <c r="M3518" t="s">
        <v>533</v>
      </c>
      <c r="N3518">
        <v>15</v>
      </c>
      <c r="O3518">
        <v>0</v>
      </c>
      <c r="P3518" t="str">
        <f>IF(T[[#This Row],[qty_ordered]]&lt;&gt;T[[#This Row],[qty_received]],IF(T[[#This Row],[qty_received]]&gt;0,"Partial Received","Not Receviced"),"FullyReceived")</f>
        <v>Not Receviced</v>
      </c>
      <c r="Q3518" t="str">
        <f>IF(T[[#This Row],[qty_received]]&lt;&gt;T[[#This Row],[qty_invoiced]],IF(T[[#This Row],[qty_invoiced]]&gt;0,"Partial Invoiced","Not Invoiced"),"Fully Invoiced")</f>
        <v>Partial Invoiced</v>
      </c>
      <c r="R3518" t="str">
        <f>IFERROR(VLOOKUP(T[[#This Row],[warehouse]],Table2[],2,FALSE),"--")</f>
        <v>--</v>
      </c>
    </row>
    <row r="3519" spans="1:18" x14ac:dyDescent="0.25">
      <c r="A3519" t="s">
        <v>235</v>
      </c>
      <c r="B3519" s="1">
        <v>44573</v>
      </c>
      <c r="C3519" t="s">
        <v>1958</v>
      </c>
      <c r="D3519" t="s">
        <v>74</v>
      </c>
      <c r="E3519" t="s">
        <v>51</v>
      </c>
      <c r="F3519" t="s">
        <v>546</v>
      </c>
      <c r="G3519" t="s">
        <v>2079</v>
      </c>
      <c r="H3519" t="s">
        <v>54</v>
      </c>
      <c r="I3519">
        <v>10000</v>
      </c>
      <c r="J3519">
        <v>0</v>
      </c>
      <c r="K3519">
        <v>1</v>
      </c>
      <c r="L3519" t="s">
        <v>693</v>
      </c>
      <c r="M3519" t="s">
        <v>533</v>
      </c>
      <c r="N3519">
        <v>15.5</v>
      </c>
      <c r="O3519">
        <v>0</v>
      </c>
      <c r="P3519" t="str">
        <f>IF(T[[#This Row],[qty_ordered]]&lt;&gt;T[[#This Row],[qty_received]],IF(T[[#This Row],[qty_received]]&gt;0,"Partial Received","Not Receviced"),"FullyReceived")</f>
        <v>Not Receviced</v>
      </c>
      <c r="Q3519" t="str">
        <f>IF(T[[#This Row],[qty_received]]&lt;&gt;T[[#This Row],[qty_invoiced]],IF(T[[#This Row],[qty_invoiced]]&gt;0,"Partial Invoiced","Not Invoiced"),"Fully Invoiced")</f>
        <v>Partial Invoiced</v>
      </c>
      <c r="R3519" t="str">
        <f>IFERROR(VLOOKUP(T[[#This Row],[warehouse]],Table2[],2,FALSE),"--")</f>
        <v>--</v>
      </c>
    </row>
    <row r="3520" spans="1:18" x14ac:dyDescent="0.25">
      <c r="A3520" t="s">
        <v>235</v>
      </c>
      <c r="B3520" s="1">
        <v>44591</v>
      </c>
      <c r="C3520" t="s">
        <v>2012</v>
      </c>
      <c r="D3520" t="s">
        <v>20</v>
      </c>
      <c r="E3520" t="s">
        <v>51</v>
      </c>
      <c r="F3520" t="s">
        <v>546</v>
      </c>
      <c r="G3520" t="s">
        <v>2080</v>
      </c>
      <c r="H3520" t="s">
        <v>54</v>
      </c>
      <c r="I3520">
        <v>10000</v>
      </c>
      <c r="J3520">
        <v>0</v>
      </c>
      <c r="K3520">
        <v>1</v>
      </c>
      <c r="L3520" t="s">
        <v>693</v>
      </c>
      <c r="M3520" t="s">
        <v>533</v>
      </c>
      <c r="N3520">
        <v>15</v>
      </c>
      <c r="O3520">
        <v>0</v>
      </c>
      <c r="P3520" t="str">
        <f>IF(T[[#This Row],[qty_ordered]]&lt;&gt;T[[#This Row],[qty_received]],IF(T[[#This Row],[qty_received]]&gt;0,"Partial Received","Not Receviced"),"FullyReceived")</f>
        <v>Not Receviced</v>
      </c>
      <c r="Q3520" t="str">
        <f>IF(T[[#This Row],[qty_received]]&lt;&gt;T[[#This Row],[qty_invoiced]],IF(T[[#This Row],[qty_invoiced]]&gt;0,"Partial Invoiced","Not Invoiced"),"Fully Invoiced")</f>
        <v>Partial Invoiced</v>
      </c>
      <c r="R3520" t="str">
        <f>IFERROR(VLOOKUP(T[[#This Row],[warehouse]],Table2[],2,FALSE),"--")</f>
        <v>--</v>
      </c>
    </row>
    <row r="3521" spans="1:18" x14ac:dyDescent="0.25">
      <c r="A3521" t="s">
        <v>235</v>
      </c>
      <c r="B3521" s="1">
        <v>44591</v>
      </c>
      <c r="C3521" t="s">
        <v>2012</v>
      </c>
      <c r="D3521" t="s">
        <v>71</v>
      </c>
      <c r="E3521" t="s">
        <v>51</v>
      </c>
      <c r="F3521" t="s">
        <v>546</v>
      </c>
      <c r="G3521" t="s">
        <v>1985</v>
      </c>
      <c r="H3521" t="s">
        <v>54</v>
      </c>
      <c r="I3521">
        <v>20000</v>
      </c>
      <c r="J3521">
        <v>0</v>
      </c>
      <c r="K3521">
        <v>1</v>
      </c>
      <c r="L3521" t="s">
        <v>693</v>
      </c>
      <c r="M3521" t="s">
        <v>533</v>
      </c>
      <c r="N3521">
        <v>15.3</v>
      </c>
      <c r="O3521">
        <v>0</v>
      </c>
      <c r="P3521" t="str">
        <f>IF(T[[#This Row],[qty_ordered]]&lt;&gt;T[[#This Row],[qty_received]],IF(T[[#This Row],[qty_received]]&gt;0,"Partial Received","Not Receviced"),"FullyReceived")</f>
        <v>Not Receviced</v>
      </c>
      <c r="Q3521" t="str">
        <f>IF(T[[#This Row],[qty_received]]&lt;&gt;T[[#This Row],[qty_invoiced]],IF(T[[#This Row],[qty_invoiced]]&gt;0,"Partial Invoiced","Not Invoiced"),"Fully Invoiced")</f>
        <v>Partial Invoiced</v>
      </c>
      <c r="R3521" t="str">
        <f>IFERROR(VLOOKUP(T[[#This Row],[warehouse]],Table2[],2,FALSE),"--")</f>
        <v>--</v>
      </c>
    </row>
    <row r="3522" spans="1:18" x14ac:dyDescent="0.25">
      <c r="A3522" t="s">
        <v>228</v>
      </c>
      <c r="B3522" s="1">
        <v>44571</v>
      </c>
      <c r="C3522" t="s">
        <v>1943</v>
      </c>
      <c r="D3522" t="s">
        <v>88</v>
      </c>
      <c r="E3522" t="s">
        <v>239</v>
      </c>
      <c r="F3522" t="s">
        <v>230</v>
      </c>
      <c r="G3522" t="s">
        <v>231</v>
      </c>
      <c r="H3522" t="s">
        <v>24</v>
      </c>
      <c r="I3522">
        <v>1664.89</v>
      </c>
      <c r="J3522">
        <v>0</v>
      </c>
      <c r="K3522">
        <v>0</v>
      </c>
      <c r="L3522" t="s">
        <v>25</v>
      </c>
      <c r="M3522" t="s">
        <v>1485</v>
      </c>
      <c r="N3522">
        <v>600640.28254100005</v>
      </c>
      <c r="O3522">
        <v>0</v>
      </c>
      <c r="P3522" t="str">
        <f>IF(T[[#This Row],[qty_ordered]]&lt;&gt;T[[#This Row],[qty_received]],IF(T[[#This Row],[qty_received]]&gt;0,"Partial Received","Not Receviced"),"FullyReceived")</f>
        <v>Not Receviced</v>
      </c>
      <c r="Q3522" t="str">
        <f>IF(T[[#This Row],[qty_received]]&lt;&gt;T[[#This Row],[qty_invoiced]],IF(T[[#This Row],[qty_invoiced]]&gt;0,"Partial Invoiced","Not Invoiced"),"Fully Invoiced")</f>
        <v>Fully Invoiced</v>
      </c>
      <c r="R3522" t="str">
        <f>IFERROR(VLOOKUP(T[[#This Row],[warehouse]],Table2[],2,FALSE),"--")</f>
        <v xml:space="preserve">Gadarif Main Store </v>
      </c>
    </row>
    <row r="3523" spans="1:18" x14ac:dyDescent="0.25">
      <c r="A3523" t="s">
        <v>725</v>
      </c>
      <c r="B3523" s="1">
        <v>44592</v>
      </c>
      <c r="C3523" t="s">
        <v>2081</v>
      </c>
      <c r="D3523" t="s">
        <v>20</v>
      </c>
      <c r="E3523" t="s">
        <v>723</v>
      </c>
      <c r="F3523" t="s">
        <v>219</v>
      </c>
      <c r="G3523" t="s">
        <v>724</v>
      </c>
      <c r="H3523" t="s">
        <v>221</v>
      </c>
      <c r="I3523">
        <v>43700</v>
      </c>
      <c r="J3523">
        <v>0</v>
      </c>
      <c r="K3523">
        <v>0</v>
      </c>
      <c r="L3523" t="s">
        <v>25</v>
      </c>
      <c r="M3523" t="s">
        <v>132</v>
      </c>
      <c r="N3523">
        <v>28285</v>
      </c>
      <c r="O3523">
        <v>0</v>
      </c>
      <c r="P3523" t="str">
        <f>IF(T[[#This Row],[qty_ordered]]&lt;&gt;T[[#This Row],[qty_received]],IF(T[[#This Row],[qty_received]]&gt;0,"Partial Received","Not Receviced"),"FullyReceived")</f>
        <v>Not Receviced</v>
      </c>
      <c r="Q3523" t="str">
        <f>IF(T[[#This Row],[qty_received]]&lt;&gt;T[[#This Row],[qty_invoiced]],IF(T[[#This Row],[qty_invoiced]]&gt;0,"Partial Invoiced","Not Invoiced"),"Fully Invoiced")</f>
        <v>Fully Invoiced</v>
      </c>
      <c r="R3523" t="str">
        <f>IFERROR(VLOOKUP(T[[#This Row],[warehouse]],Table2[],2,FALSE),"--")</f>
        <v>YELLOW BEANS</v>
      </c>
    </row>
    <row r="3524" spans="1:18" x14ac:dyDescent="0.25">
      <c r="A3524" t="s">
        <v>1316</v>
      </c>
      <c r="B3524" s="1">
        <v>44592</v>
      </c>
      <c r="C3524" t="s">
        <v>1824</v>
      </c>
      <c r="D3524" t="s">
        <v>20</v>
      </c>
      <c r="E3524" t="s">
        <v>51</v>
      </c>
      <c r="F3524" t="s">
        <v>183</v>
      </c>
      <c r="G3524" t="s">
        <v>2075</v>
      </c>
      <c r="H3524" t="s">
        <v>54</v>
      </c>
      <c r="I3524">
        <v>2000</v>
      </c>
      <c r="J3524">
        <v>0</v>
      </c>
      <c r="K3524">
        <v>1</v>
      </c>
      <c r="L3524" t="s">
        <v>693</v>
      </c>
      <c r="M3524" t="s">
        <v>533</v>
      </c>
      <c r="N3524">
        <v>8000</v>
      </c>
      <c r="O3524">
        <v>0</v>
      </c>
      <c r="P3524" t="str">
        <f>IF(T[[#This Row],[qty_ordered]]&lt;&gt;T[[#This Row],[qty_received]],IF(T[[#This Row],[qty_received]]&gt;0,"Partial Received","Not Receviced"),"FullyReceived")</f>
        <v>Not Receviced</v>
      </c>
      <c r="Q3524" t="str">
        <f>IF(T[[#This Row],[qty_received]]&lt;&gt;T[[#This Row],[qty_invoiced]],IF(T[[#This Row],[qty_invoiced]]&gt;0,"Partial Invoiced","Not Invoiced"),"Fully Invoiced")</f>
        <v>Partial Invoiced</v>
      </c>
      <c r="R3524" t="str">
        <f>IFERROR(VLOOKUP(T[[#This Row],[warehouse]],Table2[],2,FALSE),"--")</f>
        <v>--</v>
      </c>
    </row>
    <row r="3525" spans="1:18" x14ac:dyDescent="0.25">
      <c r="A3525" t="s">
        <v>423</v>
      </c>
      <c r="B3525" s="1">
        <v>44594</v>
      </c>
      <c r="C3525" t="s">
        <v>1984</v>
      </c>
      <c r="D3525" t="s">
        <v>20</v>
      </c>
      <c r="E3525" t="s">
        <v>51</v>
      </c>
      <c r="F3525" t="s">
        <v>546</v>
      </c>
      <c r="G3525" t="s">
        <v>2080</v>
      </c>
      <c r="H3525" t="s">
        <v>54</v>
      </c>
      <c r="I3525">
        <v>20000</v>
      </c>
      <c r="J3525">
        <v>0</v>
      </c>
      <c r="K3525">
        <v>1</v>
      </c>
      <c r="L3525" t="s">
        <v>693</v>
      </c>
      <c r="M3525" t="s">
        <v>533</v>
      </c>
      <c r="N3525">
        <v>15.5</v>
      </c>
      <c r="O3525">
        <v>0</v>
      </c>
      <c r="P3525" t="str">
        <f>IF(T[[#This Row],[qty_ordered]]&lt;&gt;T[[#This Row],[qty_received]],IF(T[[#This Row],[qty_received]]&gt;0,"Partial Received","Not Receviced"),"FullyReceived")</f>
        <v>Not Receviced</v>
      </c>
      <c r="Q3525" t="str">
        <f>IF(T[[#This Row],[qty_received]]&lt;&gt;T[[#This Row],[qty_invoiced]],IF(T[[#This Row],[qty_invoiced]]&gt;0,"Partial Invoiced","Not Invoiced"),"Fully Invoiced")</f>
        <v>Partial Invoiced</v>
      </c>
      <c r="R3525" t="str">
        <f>IFERROR(VLOOKUP(T[[#This Row],[warehouse]],Table2[],2,FALSE),"--")</f>
        <v>--</v>
      </c>
    </row>
    <row r="3526" spans="1:18" x14ac:dyDescent="0.25">
      <c r="A3526" t="s">
        <v>423</v>
      </c>
      <c r="B3526" s="1">
        <v>44599</v>
      </c>
      <c r="C3526" t="s">
        <v>1567</v>
      </c>
      <c r="D3526" t="s">
        <v>20</v>
      </c>
      <c r="E3526" t="s">
        <v>51</v>
      </c>
      <c r="F3526" t="s">
        <v>546</v>
      </c>
      <c r="G3526" t="s">
        <v>1959</v>
      </c>
      <c r="H3526" t="s">
        <v>54</v>
      </c>
      <c r="I3526">
        <v>10000</v>
      </c>
      <c r="J3526">
        <v>0</v>
      </c>
      <c r="K3526">
        <v>1</v>
      </c>
      <c r="L3526" t="s">
        <v>693</v>
      </c>
      <c r="M3526" t="s">
        <v>533</v>
      </c>
      <c r="N3526">
        <v>15.5</v>
      </c>
      <c r="O3526">
        <v>0</v>
      </c>
      <c r="P3526" t="str">
        <f>IF(T[[#This Row],[qty_ordered]]&lt;&gt;T[[#This Row],[qty_received]],IF(T[[#This Row],[qty_received]]&gt;0,"Partial Received","Not Receviced"),"FullyReceived")</f>
        <v>Not Receviced</v>
      </c>
      <c r="Q3526" t="str">
        <f>IF(T[[#This Row],[qty_received]]&lt;&gt;T[[#This Row],[qty_invoiced]],IF(T[[#This Row],[qty_invoiced]]&gt;0,"Partial Invoiced","Not Invoiced"),"Fully Invoiced")</f>
        <v>Partial Invoiced</v>
      </c>
      <c r="R3526" t="str">
        <f>IFERROR(VLOOKUP(T[[#This Row],[warehouse]],Table2[],2,FALSE),"--")</f>
        <v>--</v>
      </c>
    </row>
    <row r="3527" spans="1:18" x14ac:dyDescent="0.25">
      <c r="A3527" t="s">
        <v>423</v>
      </c>
      <c r="B3527" s="1">
        <v>44546</v>
      </c>
      <c r="C3527" t="s">
        <v>1502</v>
      </c>
      <c r="D3527" t="s">
        <v>324</v>
      </c>
      <c r="E3527" t="s">
        <v>51</v>
      </c>
      <c r="F3527" t="s">
        <v>546</v>
      </c>
      <c r="G3527" t="s">
        <v>2082</v>
      </c>
      <c r="H3527" t="s">
        <v>54</v>
      </c>
      <c r="I3527">
        <v>10000</v>
      </c>
      <c r="J3527">
        <v>0</v>
      </c>
      <c r="K3527">
        <v>1</v>
      </c>
      <c r="L3527" t="s">
        <v>693</v>
      </c>
      <c r="M3527" t="s">
        <v>2836</v>
      </c>
      <c r="N3527">
        <v>15.5</v>
      </c>
      <c r="O3527">
        <v>0</v>
      </c>
      <c r="P3527" t="str">
        <f>IF(T[[#This Row],[qty_ordered]]&lt;&gt;T[[#This Row],[qty_received]],IF(T[[#This Row],[qty_received]]&gt;0,"Partial Received","Not Receviced"),"FullyReceived")</f>
        <v>Not Receviced</v>
      </c>
      <c r="Q3527" t="str">
        <f>IF(T[[#This Row],[qty_received]]&lt;&gt;T[[#This Row],[qty_invoiced]],IF(T[[#This Row],[qty_invoiced]]&gt;0,"Partial Invoiced","Not Invoiced"),"Fully Invoiced")</f>
        <v>Partial Invoiced</v>
      </c>
      <c r="R3527" t="str">
        <f>IFERROR(VLOOKUP(T[[#This Row],[warehouse]],Table2[],2,FALSE),"--")</f>
        <v>--</v>
      </c>
    </row>
    <row r="3528" spans="1:18" x14ac:dyDescent="0.25">
      <c r="A3528" t="s">
        <v>423</v>
      </c>
      <c r="B3528" s="1">
        <v>44546</v>
      </c>
      <c r="C3528" t="s">
        <v>1502</v>
      </c>
      <c r="D3528" t="s">
        <v>325</v>
      </c>
      <c r="E3528" t="s">
        <v>51</v>
      </c>
      <c r="F3528" t="s">
        <v>546</v>
      </c>
      <c r="G3528" t="s">
        <v>2083</v>
      </c>
      <c r="H3528" t="s">
        <v>54</v>
      </c>
      <c r="I3528">
        <v>10000</v>
      </c>
      <c r="J3528">
        <v>0</v>
      </c>
      <c r="K3528">
        <v>1</v>
      </c>
      <c r="L3528" t="s">
        <v>693</v>
      </c>
      <c r="M3528" t="s">
        <v>2836</v>
      </c>
      <c r="N3528">
        <v>15.5</v>
      </c>
      <c r="O3528">
        <v>0</v>
      </c>
      <c r="P3528" t="str">
        <f>IF(T[[#This Row],[qty_ordered]]&lt;&gt;T[[#This Row],[qty_received]],IF(T[[#This Row],[qty_received]]&gt;0,"Partial Received","Not Receviced"),"FullyReceived")</f>
        <v>Not Receviced</v>
      </c>
      <c r="Q3528" t="str">
        <f>IF(T[[#This Row],[qty_received]]&lt;&gt;T[[#This Row],[qty_invoiced]],IF(T[[#This Row],[qty_invoiced]]&gt;0,"Partial Invoiced","Not Invoiced"),"Fully Invoiced")</f>
        <v>Partial Invoiced</v>
      </c>
      <c r="R3528" t="str">
        <f>IFERROR(VLOOKUP(T[[#This Row],[warehouse]],Table2[],2,FALSE),"--")</f>
        <v>--</v>
      </c>
    </row>
    <row r="3529" spans="1:18" x14ac:dyDescent="0.25">
      <c r="A3529" t="s">
        <v>400</v>
      </c>
      <c r="B3529" s="1">
        <v>44594</v>
      </c>
      <c r="C3529" t="s">
        <v>1700</v>
      </c>
      <c r="D3529" t="s">
        <v>20</v>
      </c>
      <c r="E3529" t="s">
        <v>51</v>
      </c>
      <c r="F3529" t="s">
        <v>183</v>
      </c>
      <c r="G3529" t="s">
        <v>1575</v>
      </c>
      <c r="H3529" t="s">
        <v>54</v>
      </c>
      <c r="I3529">
        <v>61.49</v>
      </c>
      <c r="J3529">
        <v>0</v>
      </c>
      <c r="K3529">
        <v>1</v>
      </c>
      <c r="L3529" t="s">
        <v>693</v>
      </c>
      <c r="M3529" t="s">
        <v>533</v>
      </c>
      <c r="N3529">
        <v>7000</v>
      </c>
      <c r="O3529">
        <v>0</v>
      </c>
      <c r="P3529" t="str">
        <f>IF(T[[#This Row],[qty_ordered]]&lt;&gt;T[[#This Row],[qty_received]],IF(T[[#This Row],[qty_received]]&gt;0,"Partial Received","Not Receviced"),"FullyReceived")</f>
        <v>Not Receviced</v>
      </c>
      <c r="Q3529" t="str">
        <f>IF(T[[#This Row],[qty_received]]&lt;&gt;T[[#This Row],[qty_invoiced]],IF(T[[#This Row],[qty_invoiced]]&gt;0,"Partial Invoiced","Not Invoiced"),"Fully Invoiced")</f>
        <v>Partial Invoiced</v>
      </c>
      <c r="R3529" t="str">
        <f>IFERROR(VLOOKUP(T[[#This Row],[warehouse]],Table2[],2,FALSE),"--")</f>
        <v>--</v>
      </c>
    </row>
    <row r="3530" spans="1:18" x14ac:dyDescent="0.25">
      <c r="A3530" t="s">
        <v>400</v>
      </c>
      <c r="B3530" s="1">
        <v>44594</v>
      </c>
      <c r="C3530" t="s">
        <v>1700</v>
      </c>
      <c r="D3530" t="s">
        <v>71</v>
      </c>
      <c r="E3530" t="s">
        <v>51</v>
      </c>
      <c r="F3530" t="s">
        <v>278</v>
      </c>
      <c r="G3530" t="s">
        <v>2084</v>
      </c>
      <c r="H3530" t="s">
        <v>54</v>
      </c>
      <c r="I3530">
        <v>1</v>
      </c>
      <c r="J3530">
        <v>0</v>
      </c>
      <c r="K3530">
        <v>1</v>
      </c>
      <c r="L3530" t="s">
        <v>693</v>
      </c>
      <c r="M3530" t="s">
        <v>533</v>
      </c>
      <c r="N3530">
        <v>49150</v>
      </c>
      <c r="O3530">
        <v>0</v>
      </c>
      <c r="P3530" t="str">
        <f>IF(T[[#This Row],[qty_ordered]]&lt;&gt;T[[#This Row],[qty_received]],IF(T[[#This Row],[qty_received]]&gt;0,"Partial Received","Not Receviced"),"FullyReceived")</f>
        <v>Not Receviced</v>
      </c>
      <c r="Q3530" t="str">
        <f>IF(T[[#This Row],[qty_received]]&lt;&gt;T[[#This Row],[qty_invoiced]],IF(T[[#This Row],[qty_invoiced]]&gt;0,"Partial Invoiced","Not Invoiced"),"Fully Invoiced")</f>
        <v>Partial Invoiced</v>
      </c>
      <c r="R3530" t="str">
        <f>IFERROR(VLOOKUP(T[[#This Row],[warehouse]],Table2[],2,FALSE),"--")</f>
        <v>--</v>
      </c>
    </row>
    <row r="3531" spans="1:18" x14ac:dyDescent="0.25">
      <c r="A3531" t="s">
        <v>400</v>
      </c>
      <c r="B3531" s="1">
        <v>44594</v>
      </c>
      <c r="C3531" t="s">
        <v>1700</v>
      </c>
      <c r="D3531" t="s">
        <v>100</v>
      </c>
      <c r="E3531" t="s">
        <v>51</v>
      </c>
      <c r="F3531" t="s">
        <v>185</v>
      </c>
      <c r="G3531" t="s">
        <v>2085</v>
      </c>
      <c r="H3531" t="s">
        <v>54</v>
      </c>
      <c r="I3531">
        <v>5</v>
      </c>
      <c r="J3531">
        <v>0</v>
      </c>
      <c r="K3531">
        <v>1</v>
      </c>
      <c r="L3531" t="s">
        <v>693</v>
      </c>
      <c r="M3531" t="s">
        <v>533</v>
      </c>
      <c r="N3531">
        <v>2000</v>
      </c>
      <c r="O3531">
        <v>0</v>
      </c>
      <c r="P3531" t="str">
        <f>IF(T[[#This Row],[qty_ordered]]&lt;&gt;T[[#This Row],[qty_received]],IF(T[[#This Row],[qty_received]]&gt;0,"Partial Received","Not Receviced"),"FullyReceived")</f>
        <v>Not Receviced</v>
      </c>
      <c r="Q3531" t="str">
        <f>IF(T[[#This Row],[qty_received]]&lt;&gt;T[[#This Row],[qty_invoiced]],IF(T[[#This Row],[qty_invoiced]]&gt;0,"Partial Invoiced","Not Invoiced"),"Fully Invoiced")</f>
        <v>Partial Invoiced</v>
      </c>
      <c r="R3531" t="str">
        <f>IFERROR(VLOOKUP(T[[#This Row],[warehouse]],Table2[],2,FALSE),"--")</f>
        <v>--</v>
      </c>
    </row>
    <row r="3532" spans="1:18" x14ac:dyDescent="0.25">
      <c r="A3532" t="s">
        <v>242</v>
      </c>
      <c r="B3532" s="1">
        <v>44591</v>
      </c>
      <c r="C3532" t="s">
        <v>1974</v>
      </c>
      <c r="D3532" t="s">
        <v>20</v>
      </c>
      <c r="E3532" t="s">
        <v>405</v>
      </c>
      <c r="F3532" t="s">
        <v>244</v>
      </c>
      <c r="G3532" t="s">
        <v>245</v>
      </c>
      <c r="H3532" t="s">
        <v>24</v>
      </c>
      <c r="I3532">
        <v>200</v>
      </c>
      <c r="J3532">
        <v>198.95</v>
      </c>
      <c r="K3532">
        <v>198.95</v>
      </c>
      <c r="L3532" t="s">
        <v>25</v>
      </c>
      <c r="M3532" t="s">
        <v>1485</v>
      </c>
      <c r="N3532">
        <v>840000</v>
      </c>
      <c r="O3532">
        <v>167118000</v>
      </c>
      <c r="P3532" t="str">
        <f>IF(T[[#This Row],[qty_ordered]]&lt;&gt;T[[#This Row],[qty_received]],IF(T[[#This Row],[qty_received]]&gt;0,"Partial Received","Not Receviced"),"FullyReceived")</f>
        <v>Partial Received</v>
      </c>
      <c r="Q3532" t="str">
        <f>IF(T[[#This Row],[qty_received]]&lt;&gt;T[[#This Row],[qty_invoiced]],IF(T[[#This Row],[qty_invoiced]]&gt;0,"Partial Invoiced","Not Invoiced"),"Fully Invoiced")</f>
        <v>Fully Invoiced</v>
      </c>
      <c r="R3532" t="str">
        <f>IFERROR(VLOOKUP(T[[#This Row],[warehouse]],Table2[],2,FALSE),"--")</f>
        <v>GINNING ISHRAG-MDNI</v>
      </c>
    </row>
    <row r="3533" spans="1:18" x14ac:dyDescent="0.25">
      <c r="A3533" t="s">
        <v>727</v>
      </c>
      <c r="B3533" s="1">
        <v>44592</v>
      </c>
      <c r="C3533" t="s">
        <v>2086</v>
      </c>
      <c r="D3533" t="s">
        <v>20</v>
      </c>
      <c r="E3533" t="s">
        <v>723</v>
      </c>
      <c r="F3533" t="s">
        <v>219</v>
      </c>
      <c r="G3533" t="s">
        <v>724</v>
      </c>
      <c r="H3533" t="s">
        <v>221</v>
      </c>
      <c r="I3533">
        <v>100000</v>
      </c>
      <c r="J3533">
        <v>87284.974000000002</v>
      </c>
      <c r="K3533">
        <v>87284.97</v>
      </c>
      <c r="L3533" t="s">
        <v>693</v>
      </c>
      <c r="M3533" t="s">
        <v>132</v>
      </c>
      <c r="N3533">
        <v>28749</v>
      </c>
      <c r="O3533">
        <v>2509355717.526</v>
      </c>
      <c r="P3533" t="str">
        <f>IF(T[[#This Row],[qty_ordered]]&lt;&gt;T[[#This Row],[qty_received]],IF(T[[#This Row],[qty_received]]&gt;0,"Partial Received","Not Receviced"),"FullyReceived")</f>
        <v>Partial Received</v>
      </c>
      <c r="Q3533" t="str">
        <f>IF(T[[#This Row],[qty_received]]&lt;&gt;T[[#This Row],[qty_invoiced]],IF(T[[#This Row],[qty_invoiced]]&gt;0,"Partial Invoiced","Not Invoiced"),"Fully Invoiced")</f>
        <v>Partial Invoiced</v>
      </c>
      <c r="R3533" t="str">
        <f>IFERROR(VLOOKUP(T[[#This Row],[warehouse]],Table2[],2,FALSE),"--")</f>
        <v>YELLOW BEANS</v>
      </c>
    </row>
    <row r="3534" spans="1:18" x14ac:dyDescent="0.25">
      <c r="A3534" t="s">
        <v>1868</v>
      </c>
      <c r="B3534" s="1">
        <v>44593</v>
      </c>
      <c r="C3534" t="s">
        <v>2087</v>
      </c>
      <c r="D3534" t="s">
        <v>20</v>
      </c>
      <c r="E3534" t="s">
        <v>1142</v>
      </c>
      <c r="F3534" t="s">
        <v>943</v>
      </c>
      <c r="G3534" t="s">
        <v>944</v>
      </c>
      <c r="H3534" t="s">
        <v>149</v>
      </c>
      <c r="I3534">
        <v>208000</v>
      </c>
      <c r="J3534">
        <v>208000</v>
      </c>
      <c r="K3534">
        <v>208000</v>
      </c>
      <c r="L3534" t="s">
        <v>25</v>
      </c>
      <c r="M3534" t="s">
        <v>1404</v>
      </c>
      <c r="N3534">
        <v>202</v>
      </c>
      <c r="O3534">
        <v>42016000</v>
      </c>
      <c r="P3534" t="str">
        <f>IF(T[[#This Row],[qty_ordered]]&lt;&gt;T[[#This Row],[qty_received]],IF(T[[#This Row],[qty_received]]&gt;0,"Partial Received","Not Receviced"),"FullyReceived")</f>
        <v>FullyReceived</v>
      </c>
      <c r="Q3534" t="str">
        <f>IF(T[[#This Row],[qty_received]]&lt;&gt;T[[#This Row],[qty_invoiced]],IF(T[[#This Row],[qty_invoiced]]&gt;0,"Partial Invoiced","Not Invoiced"),"Fully Invoiced")</f>
        <v>Fully Invoiced</v>
      </c>
      <c r="R3534" t="str">
        <f>IFERROR(VLOOKUP(T[[#This Row],[warehouse]],Table2[],2,FALSE),"--")</f>
        <v>SAVOLA W/H FOR EXPOR</v>
      </c>
    </row>
    <row r="3535" spans="1:18" x14ac:dyDescent="0.25">
      <c r="A3535" t="s">
        <v>144</v>
      </c>
      <c r="B3535" s="1">
        <v>44593</v>
      </c>
      <c r="C3535" t="s">
        <v>2088</v>
      </c>
      <c r="D3535" t="s">
        <v>20</v>
      </c>
      <c r="E3535" t="s">
        <v>203</v>
      </c>
      <c r="F3535" t="s">
        <v>294</v>
      </c>
      <c r="G3535" t="s">
        <v>295</v>
      </c>
      <c r="H3535" t="s">
        <v>149</v>
      </c>
      <c r="I3535">
        <v>265200</v>
      </c>
      <c r="J3535">
        <v>265200</v>
      </c>
      <c r="K3535">
        <v>265200</v>
      </c>
      <c r="L3535" t="s">
        <v>25</v>
      </c>
      <c r="M3535" t="s">
        <v>1404</v>
      </c>
      <c r="N3535">
        <v>37.943820000000002</v>
      </c>
      <c r="O3535">
        <v>10062701.063999999</v>
      </c>
      <c r="P3535" t="str">
        <f>IF(T[[#This Row],[qty_ordered]]&lt;&gt;T[[#This Row],[qty_received]],IF(T[[#This Row],[qty_received]]&gt;0,"Partial Received","Not Receviced"),"FullyReceived")</f>
        <v>FullyReceived</v>
      </c>
      <c r="Q3535" t="str">
        <f>IF(T[[#This Row],[qty_received]]&lt;&gt;T[[#This Row],[qty_invoiced]],IF(T[[#This Row],[qty_invoiced]]&gt;0,"Partial Invoiced","Not Invoiced"),"Fully Invoiced")</f>
        <v>Fully Invoiced</v>
      </c>
      <c r="R3535" t="str">
        <f>IFERROR(VLOOKUP(T[[#This Row],[warehouse]],Table2[],2,FALSE),"--")</f>
        <v>PZU Packaging Warehouse</v>
      </c>
    </row>
    <row r="3536" spans="1:18" x14ac:dyDescent="0.25">
      <c r="A3536" t="s">
        <v>1059</v>
      </c>
      <c r="B3536" s="1">
        <v>44594</v>
      </c>
      <c r="C3536" t="s">
        <v>1560</v>
      </c>
      <c r="D3536" t="s">
        <v>20</v>
      </c>
      <c r="E3536" t="s">
        <v>51</v>
      </c>
      <c r="F3536" t="s">
        <v>262</v>
      </c>
      <c r="G3536" t="s">
        <v>2089</v>
      </c>
      <c r="H3536" t="s">
        <v>54</v>
      </c>
      <c r="I3536">
        <v>260000</v>
      </c>
      <c r="J3536">
        <v>0</v>
      </c>
      <c r="K3536">
        <v>1</v>
      </c>
      <c r="L3536" t="s">
        <v>693</v>
      </c>
      <c r="M3536" t="s">
        <v>533</v>
      </c>
      <c r="N3536">
        <v>10</v>
      </c>
      <c r="O3536">
        <v>0</v>
      </c>
      <c r="P3536" t="str">
        <f>IF(T[[#This Row],[qty_ordered]]&lt;&gt;T[[#This Row],[qty_received]],IF(T[[#This Row],[qty_received]]&gt;0,"Partial Received","Not Receviced"),"FullyReceived")</f>
        <v>Not Receviced</v>
      </c>
      <c r="Q3536" t="str">
        <f>IF(T[[#This Row],[qty_received]]&lt;&gt;T[[#This Row],[qty_invoiced]],IF(T[[#This Row],[qty_invoiced]]&gt;0,"Partial Invoiced","Not Invoiced"),"Fully Invoiced")</f>
        <v>Partial Invoiced</v>
      </c>
      <c r="R3536" t="str">
        <f>IFERROR(VLOOKUP(T[[#This Row],[warehouse]],Table2[],2,FALSE),"--")</f>
        <v>--</v>
      </c>
    </row>
    <row r="3537" spans="1:18" x14ac:dyDescent="0.25">
      <c r="A3537" t="s">
        <v>1059</v>
      </c>
      <c r="B3537" s="1">
        <v>44303</v>
      </c>
      <c r="C3537" t="s">
        <v>1303</v>
      </c>
      <c r="D3537" t="s">
        <v>76</v>
      </c>
      <c r="E3537" t="s">
        <v>51</v>
      </c>
      <c r="F3537" t="s">
        <v>390</v>
      </c>
      <c r="G3537" t="s">
        <v>2090</v>
      </c>
      <c r="H3537" t="s">
        <v>54</v>
      </c>
      <c r="I3537">
        <v>1</v>
      </c>
      <c r="J3537">
        <v>0</v>
      </c>
      <c r="K3537">
        <v>0</v>
      </c>
      <c r="L3537" t="s">
        <v>25</v>
      </c>
      <c r="M3537" t="s">
        <v>533</v>
      </c>
      <c r="N3537">
        <v>4000</v>
      </c>
      <c r="O3537">
        <v>0</v>
      </c>
      <c r="P3537" t="str">
        <f>IF(T[[#This Row],[qty_ordered]]&lt;&gt;T[[#This Row],[qty_received]],IF(T[[#This Row],[qty_received]]&gt;0,"Partial Received","Not Receviced"),"FullyReceived")</f>
        <v>Not Receviced</v>
      </c>
      <c r="Q3537" t="str">
        <f>IF(T[[#This Row],[qty_received]]&lt;&gt;T[[#This Row],[qty_invoiced]],IF(T[[#This Row],[qty_invoiced]]&gt;0,"Partial Invoiced","Not Invoiced"),"Fully Invoiced")</f>
        <v>Fully Invoiced</v>
      </c>
      <c r="R3537" t="str">
        <f>IFERROR(VLOOKUP(T[[#This Row],[warehouse]],Table2[],2,FALSE),"--")</f>
        <v>--</v>
      </c>
    </row>
    <row r="3538" spans="1:18" x14ac:dyDescent="0.25">
      <c r="A3538" t="s">
        <v>1059</v>
      </c>
      <c r="B3538" s="1">
        <v>44303</v>
      </c>
      <c r="C3538" t="s">
        <v>1303</v>
      </c>
      <c r="D3538" t="s">
        <v>212</v>
      </c>
      <c r="E3538" t="s">
        <v>51</v>
      </c>
      <c r="F3538" t="s">
        <v>933</v>
      </c>
      <c r="G3538" t="s">
        <v>2091</v>
      </c>
      <c r="H3538" t="s">
        <v>54</v>
      </c>
      <c r="I3538">
        <v>1</v>
      </c>
      <c r="J3538">
        <v>0</v>
      </c>
      <c r="K3538">
        <v>0</v>
      </c>
      <c r="L3538" t="s">
        <v>25</v>
      </c>
      <c r="M3538" t="s">
        <v>533</v>
      </c>
      <c r="N3538">
        <v>4900</v>
      </c>
      <c r="O3538">
        <v>0</v>
      </c>
      <c r="P3538" t="str">
        <f>IF(T[[#This Row],[qty_ordered]]&lt;&gt;T[[#This Row],[qty_received]],IF(T[[#This Row],[qty_received]]&gt;0,"Partial Received","Not Receviced"),"FullyReceived")</f>
        <v>Not Receviced</v>
      </c>
      <c r="Q3538" t="str">
        <f>IF(T[[#This Row],[qty_received]]&lt;&gt;T[[#This Row],[qty_invoiced]],IF(T[[#This Row],[qty_invoiced]]&gt;0,"Partial Invoiced","Not Invoiced"),"Fully Invoiced")</f>
        <v>Fully Invoiced</v>
      </c>
      <c r="R3538" t="str">
        <f>IFERROR(VLOOKUP(T[[#This Row],[warehouse]],Table2[],2,FALSE),"--")</f>
        <v>--</v>
      </c>
    </row>
    <row r="3539" spans="1:18" x14ac:dyDescent="0.25">
      <c r="A3539" t="s">
        <v>201</v>
      </c>
      <c r="B3539" s="1">
        <v>44455</v>
      </c>
      <c r="C3539" t="s">
        <v>1906</v>
      </c>
      <c r="D3539" t="s">
        <v>76</v>
      </c>
      <c r="E3539" t="s">
        <v>51</v>
      </c>
      <c r="F3539" t="s">
        <v>933</v>
      </c>
      <c r="G3539" t="s">
        <v>933</v>
      </c>
      <c r="H3539" t="s">
        <v>54</v>
      </c>
      <c r="I3539">
        <v>1</v>
      </c>
      <c r="J3539">
        <v>0</v>
      </c>
      <c r="K3539">
        <v>0</v>
      </c>
      <c r="L3539" t="s">
        <v>693</v>
      </c>
      <c r="M3539" t="s">
        <v>744</v>
      </c>
      <c r="N3539">
        <v>336332297.19599998</v>
      </c>
      <c r="O3539">
        <v>0</v>
      </c>
      <c r="P3539" t="str">
        <f>IF(T[[#This Row],[qty_ordered]]&lt;&gt;T[[#This Row],[qty_received]],IF(T[[#This Row],[qty_received]]&gt;0,"Partial Received","Not Receviced"),"FullyReceived")</f>
        <v>Not Receviced</v>
      </c>
      <c r="Q3539" t="str">
        <f>IF(T[[#This Row],[qty_received]]&lt;&gt;T[[#This Row],[qty_invoiced]],IF(T[[#This Row],[qty_invoiced]]&gt;0,"Partial Invoiced","Not Invoiced"),"Fully Invoiced")</f>
        <v>Fully Invoiced</v>
      </c>
      <c r="R3539" t="str">
        <f>IFERROR(VLOOKUP(T[[#This Row],[warehouse]],Table2[],2,FALSE),"--")</f>
        <v>--</v>
      </c>
    </row>
    <row r="3540" spans="1:18" x14ac:dyDescent="0.25">
      <c r="A3540" t="s">
        <v>1059</v>
      </c>
      <c r="B3540" s="1">
        <v>44303</v>
      </c>
      <c r="C3540" t="s">
        <v>1303</v>
      </c>
      <c r="D3540" t="s">
        <v>322</v>
      </c>
      <c r="E3540" t="s">
        <v>51</v>
      </c>
      <c r="F3540" t="s">
        <v>433</v>
      </c>
      <c r="G3540" t="s">
        <v>2092</v>
      </c>
      <c r="H3540" t="s">
        <v>54</v>
      </c>
      <c r="I3540">
        <v>1</v>
      </c>
      <c r="J3540">
        <v>0</v>
      </c>
      <c r="K3540">
        <v>0</v>
      </c>
      <c r="L3540" t="s">
        <v>25</v>
      </c>
      <c r="M3540" t="s">
        <v>533</v>
      </c>
      <c r="N3540">
        <v>44000</v>
      </c>
      <c r="O3540">
        <v>0</v>
      </c>
      <c r="P3540" t="str">
        <f>IF(T[[#This Row],[qty_ordered]]&lt;&gt;T[[#This Row],[qty_received]],IF(T[[#This Row],[qty_received]]&gt;0,"Partial Received","Not Receviced"),"FullyReceived")</f>
        <v>Not Receviced</v>
      </c>
      <c r="Q3540" t="str">
        <f>IF(T[[#This Row],[qty_received]]&lt;&gt;T[[#This Row],[qty_invoiced]],IF(T[[#This Row],[qty_invoiced]]&gt;0,"Partial Invoiced","Not Invoiced"),"Fully Invoiced")</f>
        <v>Fully Invoiced</v>
      </c>
      <c r="R3540" t="str">
        <f>IFERROR(VLOOKUP(T[[#This Row],[warehouse]],Table2[],2,FALSE),"--")</f>
        <v>--</v>
      </c>
    </row>
    <row r="3541" spans="1:18" x14ac:dyDescent="0.25">
      <c r="A3541" t="s">
        <v>795</v>
      </c>
      <c r="B3541" s="1">
        <v>44594</v>
      </c>
      <c r="C3541" t="s">
        <v>2093</v>
      </c>
      <c r="D3541" t="s">
        <v>20</v>
      </c>
      <c r="E3541" t="s">
        <v>1965</v>
      </c>
      <c r="F3541" t="s">
        <v>287</v>
      </c>
      <c r="G3541" t="s">
        <v>288</v>
      </c>
      <c r="H3541" t="s">
        <v>24</v>
      </c>
      <c r="I3541">
        <v>3181.98</v>
      </c>
      <c r="J3541">
        <v>3170.46</v>
      </c>
      <c r="K3541">
        <v>3170.46</v>
      </c>
      <c r="L3541" t="s">
        <v>25</v>
      </c>
      <c r="M3541" t="s">
        <v>1485</v>
      </c>
      <c r="N3541">
        <v>286034.58</v>
      </c>
      <c r="O3541">
        <v>5147019278.1252003</v>
      </c>
      <c r="P3541" t="str">
        <f>IF(T[[#This Row],[qty_ordered]]&lt;&gt;T[[#This Row],[qty_received]],IF(T[[#This Row],[qty_received]]&gt;0,"Partial Received","Not Receviced"),"FullyReceived")</f>
        <v>Partial Received</v>
      </c>
      <c r="Q3541" t="str">
        <f>IF(T[[#This Row],[qty_received]]&lt;&gt;T[[#This Row],[qty_invoiced]],IF(T[[#This Row],[qty_invoiced]]&gt;0,"Partial Invoiced","Not Invoiced"),"Fully Invoiced")</f>
        <v>Fully Invoiced</v>
      </c>
      <c r="R3541" t="str">
        <f>IFERROR(VLOOKUP(T[[#This Row],[warehouse]],Table2[],2,FALSE),"--")</f>
        <v>Sabaloga Commodities Warehouse</v>
      </c>
    </row>
    <row r="3542" spans="1:18" x14ac:dyDescent="0.25">
      <c r="A3542" t="s">
        <v>1591</v>
      </c>
      <c r="B3542" s="1">
        <v>44594</v>
      </c>
      <c r="C3542" t="s">
        <v>1592</v>
      </c>
      <c r="D3542" t="s">
        <v>20</v>
      </c>
      <c r="E3542" t="s">
        <v>51</v>
      </c>
      <c r="F3542" t="s">
        <v>52</v>
      </c>
      <c r="G3542" t="s">
        <v>53</v>
      </c>
      <c r="H3542" t="s">
        <v>54</v>
      </c>
      <c r="I3542">
        <v>86.28</v>
      </c>
      <c r="J3542">
        <v>0</v>
      </c>
      <c r="K3542">
        <v>0</v>
      </c>
      <c r="L3542" t="s">
        <v>693</v>
      </c>
      <c r="M3542" t="s">
        <v>132</v>
      </c>
      <c r="N3542">
        <v>39564</v>
      </c>
      <c r="O3542">
        <v>0</v>
      </c>
      <c r="P3542" t="str">
        <f>IF(T[[#This Row],[qty_ordered]]&lt;&gt;T[[#This Row],[qty_received]],IF(T[[#This Row],[qty_received]]&gt;0,"Partial Received","Not Receviced"),"FullyReceived")</f>
        <v>Not Receviced</v>
      </c>
      <c r="Q3542" t="str">
        <f>IF(T[[#This Row],[qty_received]]&lt;&gt;T[[#This Row],[qty_invoiced]],IF(T[[#This Row],[qty_invoiced]]&gt;0,"Partial Invoiced","Not Invoiced"),"Fully Invoiced")</f>
        <v>Fully Invoiced</v>
      </c>
      <c r="R3542" t="str">
        <f>IFERROR(VLOOKUP(T[[#This Row],[warehouse]],Table2[],2,FALSE),"--")</f>
        <v>--</v>
      </c>
    </row>
    <row r="3543" spans="1:18" x14ac:dyDescent="0.25">
      <c r="A3543" t="s">
        <v>413</v>
      </c>
      <c r="B3543" s="1">
        <v>44578</v>
      </c>
      <c r="C3543" t="s">
        <v>1969</v>
      </c>
      <c r="D3543" t="s">
        <v>71</v>
      </c>
      <c r="E3543" t="s">
        <v>146</v>
      </c>
      <c r="F3543" t="s">
        <v>415</v>
      </c>
      <c r="G3543" t="s">
        <v>416</v>
      </c>
      <c r="H3543" t="s">
        <v>417</v>
      </c>
      <c r="I3543">
        <v>5</v>
      </c>
      <c r="J3543">
        <v>5</v>
      </c>
      <c r="K3543">
        <v>5</v>
      </c>
      <c r="L3543" t="s">
        <v>25</v>
      </c>
      <c r="M3543" t="s">
        <v>418</v>
      </c>
      <c r="N3543">
        <v>6180</v>
      </c>
      <c r="O3543">
        <v>30900</v>
      </c>
      <c r="P3543" t="str">
        <f>IF(T[[#This Row],[qty_ordered]]&lt;&gt;T[[#This Row],[qty_received]],IF(T[[#This Row],[qty_received]]&gt;0,"Partial Received","Not Receviced"),"FullyReceived")</f>
        <v>FullyReceived</v>
      </c>
      <c r="Q3543" t="str">
        <f>IF(T[[#This Row],[qty_received]]&lt;&gt;T[[#This Row],[qty_invoiced]],IF(T[[#This Row],[qty_invoiced]]&gt;0,"Partial Invoiced","Not Invoiced"),"Fully Invoiced")</f>
        <v>Fully Invoiced</v>
      </c>
      <c r="R3543" t="str">
        <f>IFERROR(VLOOKUP(T[[#This Row],[warehouse]],Table2[],2,FALSE),"--")</f>
        <v>Khtoum Main Warehouse</v>
      </c>
    </row>
    <row r="3544" spans="1:18" x14ac:dyDescent="0.25">
      <c r="A3544" t="s">
        <v>201</v>
      </c>
      <c r="B3544" s="1">
        <v>44593</v>
      </c>
      <c r="C3544" t="s">
        <v>2003</v>
      </c>
      <c r="D3544" t="s">
        <v>20</v>
      </c>
      <c r="E3544" t="s">
        <v>1220</v>
      </c>
      <c r="F3544" t="s">
        <v>1802</v>
      </c>
      <c r="G3544" t="s">
        <v>1803</v>
      </c>
      <c r="H3544" t="s">
        <v>123</v>
      </c>
      <c r="I3544">
        <v>638940</v>
      </c>
      <c r="J3544">
        <v>638940</v>
      </c>
      <c r="K3544">
        <v>638940</v>
      </c>
      <c r="L3544" t="s">
        <v>693</v>
      </c>
      <c r="M3544" t="s">
        <v>132</v>
      </c>
      <c r="N3544">
        <v>11607.478025</v>
      </c>
      <c r="O3544">
        <v>7416482009.2934999</v>
      </c>
      <c r="P3544" t="str">
        <f>IF(T[[#This Row],[qty_ordered]]&lt;&gt;T[[#This Row],[qty_received]],IF(T[[#This Row],[qty_received]]&gt;0,"Partial Received","Not Receviced"),"FullyReceived")</f>
        <v>FullyReceived</v>
      </c>
      <c r="Q3544" t="str">
        <f>IF(T[[#This Row],[qty_received]]&lt;&gt;T[[#This Row],[qty_invoiced]],IF(T[[#This Row],[qty_invoiced]]&gt;0,"Partial Invoiced","Not Invoiced"),"Fully Invoiced")</f>
        <v>Fully Invoiced</v>
      </c>
      <c r="R3544" t="str">
        <f>IFERROR(VLOOKUP(T[[#This Row],[warehouse]],Table2[],2,FALSE),"--")</f>
        <v>Import Virtual Warehouse - PZU</v>
      </c>
    </row>
    <row r="3545" spans="1:18" x14ac:dyDescent="0.25">
      <c r="A3545" t="s">
        <v>201</v>
      </c>
      <c r="B3545" s="1">
        <v>44593</v>
      </c>
      <c r="C3545" t="s">
        <v>2003</v>
      </c>
      <c r="D3545" t="s">
        <v>71</v>
      </c>
      <c r="E3545" t="s">
        <v>1220</v>
      </c>
      <c r="F3545" t="s">
        <v>1307</v>
      </c>
      <c r="G3545" t="s">
        <v>1308</v>
      </c>
      <c r="H3545" t="s">
        <v>149</v>
      </c>
      <c r="I3545">
        <v>6390</v>
      </c>
      <c r="J3545">
        <v>2500</v>
      </c>
      <c r="K3545">
        <v>0</v>
      </c>
      <c r="L3545" t="s">
        <v>693</v>
      </c>
      <c r="M3545" t="s">
        <v>132</v>
      </c>
      <c r="N3545">
        <v>0</v>
      </c>
      <c r="O3545">
        <v>0</v>
      </c>
      <c r="P3545" t="str">
        <f>IF(T[[#This Row],[qty_ordered]]&lt;&gt;T[[#This Row],[qty_received]],IF(T[[#This Row],[qty_received]]&gt;0,"Partial Received","Not Receviced"),"FullyReceived")</f>
        <v>Partial Received</v>
      </c>
      <c r="Q3545" t="str">
        <f>IF(T[[#This Row],[qty_received]]&lt;&gt;T[[#This Row],[qty_invoiced]],IF(T[[#This Row],[qty_invoiced]]&gt;0,"Partial Invoiced","Not Invoiced"),"Fully Invoiced")</f>
        <v>Not Invoiced</v>
      </c>
      <c r="R3545" t="str">
        <f>IFERROR(VLOOKUP(T[[#This Row],[warehouse]],Table2[],2,FALSE),"--")</f>
        <v>Import Virtual Warehouse - PZU</v>
      </c>
    </row>
    <row r="3546" spans="1:18" x14ac:dyDescent="0.25">
      <c r="A3546" t="s">
        <v>84</v>
      </c>
      <c r="B3546" s="1">
        <v>44598</v>
      </c>
      <c r="C3546" t="s">
        <v>2094</v>
      </c>
      <c r="D3546" t="s">
        <v>20</v>
      </c>
      <c r="E3546" t="s">
        <v>908</v>
      </c>
      <c r="F3546" t="s">
        <v>86</v>
      </c>
      <c r="G3546" t="s">
        <v>87</v>
      </c>
      <c r="H3546" t="s">
        <v>24</v>
      </c>
      <c r="I3546">
        <v>500</v>
      </c>
      <c r="J3546">
        <v>0</v>
      </c>
      <c r="K3546">
        <v>0</v>
      </c>
      <c r="L3546" t="s">
        <v>25</v>
      </c>
      <c r="M3546" t="s">
        <v>1485</v>
      </c>
      <c r="N3546">
        <v>772075</v>
      </c>
      <c r="O3546">
        <v>2.9802322387695299E-8</v>
      </c>
      <c r="P3546" t="str">
        <f>IF(T[[#This Row],[qty_ordered]]&lt;&gt;T[[#This Row],[qty_received]],IF(T[[#This Row],[qty_received]]&gt;0,"Partial Received","Not Receviced"),"FullyReceived")</f>
        <v>Not Receviced</v>
      </c>
      <c r="Q3546" t="str">
        <f>IF(T[[#This Row],[qty_received]]&lt;&gt;T[[#This Row],[qty_invoiced]],IF(T[[#This Row],[qty_invoiced]]&gt;0,"Partial Invoiced","Not Invoiced"),"Fully Invoiced")</f>
        <v>Fully Invoiced</v>
      </c>
      <c r="R3546" t="str">
        <f>IFERROR(VLOOKUP(T[[#This Row],[warehouse]],Table2[],2,FALSE),"--")</f>
        <v>SIFTER- ALNAZER-OMDU</v>
      </c>
    </row>
    <row r="3547" spans="1:18" x14ac:dyDescent="0.25">
      <c r="A3547" t="s">
        <v>955</v>
      </c>
      <c r="B3547" s="1">
        <v>44523</v>
      </c>
      <c r="C3547" t="s">
        <v>1967</v>
      </c>
      <c r="D3547" t="s">
        <v>100</v>
      </c>
      <c r="E3547" t="s">
        <v>957</v>
      </c>
      <c r="F3547" t="s">
        <v>86</v>
      </c>
      <c r="G3547" t="s">
        <v>87</v>
      </c>
      <c r="H3547" t="s">
        <v>24</v>
      </c>
      <c r="I3547">
        <v>612.87</v>
      </c>
      <c r="J3547">
        <v>0</v>
      </c>
      <c r="K3547">
        <v>0</v>
      </c>
      <c r="L3547" t="s">
        <v>693</v>
      </c>
      <c r="M3547" t="s">
        <v>132</v>
      </c>
      <c r="N3547">
        <v>489500.22027500003</v>
      </c>
      <c r="O3547">
        <v>0</v>
      </c>
      <c r="P3547" t="str">
        <f>IF(T[[#This Row],[qty_ordered]]&lt;&gt;T[[#This Row],[qty_received]],IF(T[[#This Row],[qty_received]]&gt;0,"Partial Received","Not Receviced"),"FullyReceived")</f>
        <v>Not Receviced</v>
      </c>
      <c r="Q3547" t="str">
        <f>IF(T[[#This Row],[qty_received]]&lt;&gt;T[[#This Row],[qty_invoiced]],IF(T[[#This Row],[qty_invoiced]]&gt;0,"Partial Invoiced","Not Invoiced"),"Fully Invoiced")</f>
        <v>Fully Invoiced</v>
      </c>
      <c r="R3547" t="str">
        <f>IFERROR(VLOOKUP(T[[#This Row],[warehouse]],Table2[],2,FALSE),"--")</f>
        <v>SEEDS SIFTING FACILITY</v>
      </c>
    </row>
    <row r="3548" spans="1:18" x14ac:dyDescent="0.25">
      <c r="A3548" t="s">
        <v>1512</v>
      </c>
      <c r="B3548" s="1">
        <v>44524</v>
      </c>
      <c r="C3548" t="s">
        <v>1513</v>
      </c>
      <c r="D3548" t="s">
        <v>74</v>
      </c>
      <c r="E3548" t="s">
        <v>51</v>
      </c>
      <c r="F3548" t="s">
        <v>183</v>
      </c>
      <c r="G3548" t="s">
        <v>1490</v>
      </c>
      <c r="H3548" t="s">
        <v>54</v>
      </c>
      <c r="I3548">
        <v>400</v>
      </c>
      <c r="J3548">
        <v>0</v>
      </c>
      <c r="K3548">
        <v>1</v>
      </c>
      <c r="L3548" t="s">
        <v>693</v>
      </c>
      <c r="M3548" t="s">
        <v>533</v>
      </c>
      <c r="N3548">
        <v>6000</v>
      </c>
      <c r="O3548">
        <v>0</v>
      </c>
      <c r="P3548" t="str">
        <f>IF(T[[#This Row],[qty_ordered]]&lt;&gt;T[[#This Row],[qty_received]],IF(T[[#This Row],[qty_received]]&gt;0,"Partial Received","Not Receviced"),"FullyReceived")</f>
        <v>Not Receviced</v>
      </c>
      <c r="Q3548" t="str">
        <f>IF(T[[#This Row],[qty_received]]&lt;&gt;T[[#This Row],[qty_invoiced]],IF(T[[#This Row],[qty_invoiced]]&gt;0,"Partial Invoiced","Not Invoiced"),"Fully Invoiced")</f>
        <v>Partial Invoiced</v>
      </c>
      <c r="R3548" t="str">
        <f>IFERROR(VLOOKUP(T[[#This Row],[warehouse]],Table2[],2,FALSE),"--")</f>
        <v>--</v>
      </c>
    </row>
    <row r="3549" spans="1:18" x14ac:dyDescent="0.25">
      <c r="A3549" t="s">
        <v>727</v>
      </c>
      <c r="B3549" s="1">
        <v>44581</v>
      </c>
      <c r="C3549" t="s">
        <v>1970</v>
      </c>
      <c r="D3549" t="s">
        <v>71</v>
      </c>
      <c r="E3549" t="s">
        <v>723</v>
      </c>
      <c r="F3549" t="s">
        <v>219</v>
      </c>
      <c r="G3549" t="s">
        <v>724</v>
      </c>
      <c r="H3549" t="s">
        <v>221</v>
      </c>
      <c r="I3549">
        <v>99663.28</v>
      </c>
      <c r="J3549">
        <v>99663.28</v>
      </c>
      <c r="K3549">
        <v>99663.28</v>
      </c>
      <c r="L3549" t="s">
        <v>693</v>
      </c>
      <c r="M3549" t="s">
        <v>132</v>
      </c>
      <c r="N3549">
        <v>35960</v>
      </c>
      <c r="O3549">
        <v>2491582000</v>
      </c>
      <c r="P3549" t="str">
        <f>IF(T[[#This Row],[qty_ordered]]&lt;&gt;T[[#This Row],[qty_received]],IF(T[[#This Row],[qty_received]]&gt;0,"Partial Received","Not Receviced"),"FullyReceived")</f>
        <v>FullyReceived</v>
      </c>
      <c r="Q3549" t="str">
        <f>IF(T[[#This Row],[qty_received]]&lt;&gt;T[[#This Row],[qty_invoiced]],IF(T[[#This Row],[qty_invoiced]]&gt;0,"Partial Invoiced","Not Invoiced"),"Fully Invoiced")</f>
        <v>Fully Invoiced</v>
      </c>
      <c r="R3549" t="str">
        <f>IFERROR(VLOOKUP(T[[#This Row],[warehouse]],Table2[],2,FALSE),"--")</f>
        <v>YELLOW BEANS</v>
      </c>
    </row>
    <row r="3550" spans="1:18" x14ac:dyDescent="0.25">
      <c r="A3550" t="s">
        <v>727</v>
      </c>
      <c r="B3550" s="1">
        <v>44581</v>
      </c>
      <c r="C3550" t="s">
        <v>1970</v>
      </c>
      <c r="D3550" t="s">
        <v>100</v>
      </c>
      <c r="E3550" t="s">
        <v>723</v>
      </c>
      <c r="F3550" t="s">
        <v>219</v>
      </c>
      <c r="G3550" t="s">
        <v>724</v>
      </c>
      <c r="H3550" t="s">
        <v>221</v>
      </c>
      <c r="I3550">
        <v>68970.259999999995</v>
      </c>
      <c r="J3550">
        <v>68970.259999999995</v>
      </c>
      <c r="K3550">
        <v>68970.259999999995</v>
      </c>
      <c r="L3550" t="s">
        <v>693</v>
      </c>
      <c r="M3550" t="s">
        <v>132</v>
      </c>
      <c r="N3550">
        <v>35960</v>
      </c>
      <c r="O3550">
        <v>1724256500</v>
      </c>
      <c r="P3550" t="str">
        <f>IF(T[[#This Row],[qty_ordered]]&lt;&gt;T[[#This Row],[qty_received]],IF(T[[#This Row],[qty_received]]&gt;0,"Partial Received","Not Receviced"),"FullyReceived")</f>
        <v>FullyReceived</v>
      </c>
      <c r="Q3550" t="str">
        <f>IF(T[[#This Row],[qty_received]]&lt;&gt;T[[#This Row],[qty_invoiced]],IF(T[[#This Row],[qty_invoiced]]&gt;0,"Partial Invoiced","Not Invoiced"),"Fully Invoiced")</f>
        <v>Fully Invoiced</v>
      </c>
      <c r="R3550" t="str">
        <f>IFERROR(VLOOKUP(T[[#This Row],[warehouse]],Table2[],2,FALSE),"--")</f>
        <v>YELLOW BEANS</v>
      </c>
    </row>
    <row r="3551" spans="1:18" x14ac:dyDescent="0.25">
      <c r="A3551" t="s">
        <v>727</v>
      </c>
      <c r="B3551" s="1">
        <v>44581</v>
      </c>
      <c r="C3551" t="s">
        <v>1970</v>
      </c>
      <c r="D3551" t="s">
        <v>88</v>
      </c>
      <c r="E3551" t="s">
        <v>723</v>
      </c>
      <c r="F3551" t="s">
        <v>219</v>
      </c>
      <c r="G3551" t="s">
        <v>724</v>
      </c>
      <c r="H3551" t="s">
        <v>221</v>
      </c>
      <c r="I3551">
        <v>36800</v>
      </c>
      <c r="J3551">
        <v>0</v>
      </c>
      <c r="K3551">
        <v>0</v>
      </c>
      <c r="L3551" t="s">
        <v>693</v>
      </c>
      <c r="M3551" t="s">
        <v>132</v>
      </c>
      <c r="N3551">
        <v>25000</v>
      </c>
      <c r="O3551">
        <v>0</v>
      </c>
      <c r="P3551" t="str">
        <f>IF(T[[#This Row],[qty_ordered]]&lt;&gt;T[[#This Row],[qty_received]],IF(T[[#This Row],[qty_received]]&gt;0,"Partial Received","Not Receviced"),"FullyReceived")</f>
        <v>Not Receviced</v>
      </c>
      <c r="Q3551" t="str">
        <f>IF(T[[#This Row],[qty_received]]&lt;&gt;T[[#This Row],[qty_invoiced]],IF(T[[#This Row],[qty_invoiced]]&gt;0,"Partial Invoiced","Not Invoiced"),"Fully Invoiced")</f>
        <v>Fully Invoiced</v>
      </c>
      <c r="R3551" t="str">
        <f>IFERROR(VLOOKUP(T[[#This Row],[warehouse]],Table2[],2,FALSE),"--")</f>
        <v>YELLOW BEANS</v>
      </c>
    </row>
    <row r="3552" spans="1:18" x14ac:dyDescent="0.25">
      <c r="A3552" t="s">
        <v>1194</v>
      </c>
      <c r="B3552" s="1">
        <v>44586</v>
      </c>
      <c r="C3552" t="s">
        <v>1599</v>
      </c>
      <c r="D3552" t="s">
        <v>71</v>
      </c>
      <c r="E3552" t="s">
        <v>723</v>
      </c>
      <c r="F3552" t="s">
        <v>219</v>
      </c>
      <c r="G3552" t="s">
        <v>724</v>
      </c>
      <c r="H3552" t="s">
        <v>221</v>
      </c>
      <c r="I3552">
        <v>32788</v>
      </c>
      <c r="J3552">
        <v>20912.75</v>
      </c>
      <c r="K3552">
        <v>20912.75</v>
      </c>
      <c r="L3552" t="s">
        <v>693</v>
      </c>
      <c r="M3552" t="s">
        <v>132</v>
      </c>
      <c r="N3552">
        <v>24399.170429000002</v>
      </c>
      <c r="O3552">
        <v>510253751.38906997</v>
      </c>
      <c r="P3552" t="str">
        <f>IF(T[[#This Row],[qty_ordered]]&lt;&gt;T[[#This Row],[qty_received]],IF(T[[#This Row],[qty_received]]&gt;0,"Partial Received","Not Receviced"),"FullyReceived")</f>
        <v>Partial Received</v>
      </c>
      <c r="Q3552" t="str">
        <f>IF(T[[#This Row],[qty_received]]&lt;&gt;T[[#This Row],[qty_invoiced]],IF(T[[#This Row],[qty_invoiced]]&gt;0,"Partial Invoiced","Not Invoiced"),"Fully Invoiced")</f>
        <v>Fully Invoiced</v>
      </c>
      <c r="R3552" t="str">
        <f>IFERROR(VLOOKUP(T[[#This Row],[warehouse]],Table2[],2,FALSE),"--")</f>
        <v>YELLOW BEANS</v>
      </c>
    </row>
    <row r="3553" spans="1:18" x14ac:dyDescent="0.25">
      <c r="A3553" t="s">
        <v>955</v>
      </c>
      <c r="B3553" s="1">
        <v>44626</v>
      </c>
      <c r="C3553" t="s">
        <v>2095</v>
      </c>
      <c r="D3553" t="s">
        <v>71</v>
      </c>
      <c r="E3553" t="s">
        <v>192</v>
      </c>
      <c r="F3553" t="s">
        <v>86</v>
      </c>
      <c r="G3553" t="s">
        <v>87</v>
      </c>
      <c r="H3553" t="s">
        <v>24</v>
      </c>
      <c r="I3553">
        <v>299.62</v>
      </c>
      <c r="J3553">
        <v>0</v>
      </c>
      <c r="K3553">
        <v>0</v>
      </c>
      <c r="L3553" t="s">
        <v>693</v>
      </c>
      <c r="M3553" t="s">
        <v>1485</v>
      </c>
      <c r="N3553">
        <v>667512.18209699995</v>
      </c>
      <c r="O3553">
        <v>0</v>
      </c>
      <c r="P3553" t="str">
        <f>IF(T[[#This Row],[qty_ordered]]&lt;&gt;T[[#This Row],[qty_received]],IF(T[[#This Row],[qty_received]]&gt;0,"Partial Received","Not Receviced"),"FullyReceived")</f>
        <v>Not Receviced</v>
      </c>
      <c r="Q3553" t="str">
        <f>IF(T[[#This Row],[qty_received]]&lt;&gt;T[[#This Row],[qty_invoiced]],IF(T[[#This Row],[qty_invoiced]]&gt;0,"Partial Invoiced","Not Invoiced"),"Fully Invoiced")</f>
        <v>Fully Invoiced</v>
      </c>
      <c r="R3553" t="str">
        <f>IFERROR(VLOOKUP(T[[#This Row],[warehouse]],Table2[],2,FALSE),"--")</f>
        <v>BAYADER SIFTER-OMD</v>
      </c>
    </row>
    <row r="3554" spans="1:18" x14ac:dyDescent="0.25">
      <c r="A3554" t="s">
        <v>1194</v>
      </c>
      <c r="B3554" s="1">
        <v>44586</v>
      </c>
      <c r="C3554" t="s">
        <v>1599</v>
      </c>
      <c r="D3554" t="s">
        <v>100</v>
      </c>
      <c r="E3554" t="s">
        <v>723</v>
      </c>
      <c r="F3554" t="s">
        <v>219</v>
      </c>
      <c r="G3554" t="s">
        <v>724</v>
      </c>
      <c r="H3554" t="s">
        <v>221</v>
      </c>
      <c r="I3554">
        <v>33661.839999999997</v>
      </c>
      <c r="J3554">
        <v>33661.839999999997</v>
      </c>
      <c r="K3554">
        <v>33661.839999999997</v>
      </c>
      <c r="L3554" t="s">
        <v>693</v>
      </c>
      <c r="M3554" t="s">
        <v>132</v>
      </c>
      <c r="N3554">
        <v>40300</v>
      </c>
      <c r="O3554">
        <v>821304627.11224496</v>
      </c>
      <c r="P3554" t="str">
        <f>IF(T[[#This Row],[qty_ordered]]&lt;&gt;T[[#This Row],[qty_received]],IF(T[[#This Row],[qty_received]]&gt;0,"Partial Received","Not Receviced"),"FullyReceived")</f>
        <v>FullyReceived</v>
      </c>
      <c r="Q3554" t="str">
        <f>IF(T[[#This Row],[qty_received]]&lt;&gt;T[[#This Row],[qty_invoiced]],IF(T[[#This Row],[qty_invoiced]]&gt;0,"Partial Invoiced","Not Invoiced"),"Fully Invoiced")</f>
        <v>Fully Invoiced</v>
      </c>
      <c r="R3554" t="str">
        <f>IFERROR(VLOOKUP(T[[#This Row],[warehouse]],Table2[],2,FALSE),"--")</f>
        <v>YELLOW BEANS</v>
      </c>
    </row>
    <row r="3555" spans="1:18" x14ac:dyDescent="0.25">
      <c r="A3555" t="s">
        <v>235</v>
      </c>
      <c r="B3555" s="1">
        <v>44573</v>
      </c>
      <c r="C3555" t="s">
        <v>1951</v>
      </c>
      <c r="D3555" t="s">
        <v>324</v>
      </c>
      <c r="E3555" t="s">
        <v>51</v>
      </c>
      <c r="F3555" t="s">
        <v>546</v>
      </c>
      <c r="G3555" t="s">
        <v>2096</v>
      </c>
      <c r="H3555" t="s">
        <v>54</v>
      </c>
      <c r="I3555">
        <v>12000</v>
      </c>
      <c r="J3555">
        <v>0</v>
      </c>
      <c r="K3555">
        <v>1</v>
      </c>
      <c r="L3555" t="s">
        <v>693</v>
      </c>
      <c r="M3555" t="s">
        <v>533</v>
      </c>
      <c r="N3555">
        <v>15.5</v>
      </c>
      <c r="O3555">
        <v>0</v>
      </c>
      <c r="P3555" t="str">
        <f>IF(T[[#This Row],[qty_ordered]]&lt;&gt;T[[#This Row],[qty_received]],IF(T[[#This Row],[qty_received]]&gt;0,"Partial Received","Not Receviced"),"FullyReceived")</f>
        <v>Not Receviced</v>
      </c>
      <c r="Q3555" t="str">
        <f>IF(T[[#This Row],[qty_received]]&lt;&gt;T[[#This Row],[qty_invoiced]],IF(T[[#This Row],[qty_invoiced]]&gt;0,"Partial Invoiced","Not Invoiced"),"Fully Invoiced")</f>
        <v>Partial Invoiced</v>
      </c>
      <c r="R3555" t="str">
        <f>IFERROR(VLOOKUP(T[[#This Row],[warehouse]],Table2[],2,FALSE),"--")</f>
        <v>--</v>
      </c>
    </row>
    <row r="3556" spans="1:18" x14ac:dyDescent="0.25">
      <c r="A3556" t="s">
        <v>201</v>
      </c>
      <c r="B3556" s="1">
        <v>45127</v>
      </c>
      <c r="C3556" t="s">
        <v>3132</v>
      </c>
      <c r="D3556" t="s">
        <v>71</v>
      </c>
      <c r="E3556" t="s">
        <v>1220</v>
      </c>
      <c r="F3556" t="s">
        <v>2893</v>
      </c>
      <c r="G3556" t="s">
        <v>2894</v>
      </c>
      <c r="H3556" t="s">
        <v>711</v>
      </c>
      <c r="I3556">
        <v>12500</v>
      </c>
      <c r="J3556">
        <v>12500</v>
      </c>
      <c r="K3556">
        <v>12500</v>
      </c>
      <c r="L3556" t="s">
        <v>693</v>
      </c>
      <c r="M3556" t="s">
        <v>3133</v>
      </c>
      <c r="N3556">
        <v>12882.473128</v>
      </c>
      <c r="O3556">
        <v>161030914.09999999</v>
      </c>
      <c r="P3556" t="str">
        <f>IF(T[[#This Row],[qty_ordered]]&lt;&gt;T[[#This Row],[qty_received]],IF(T[[#This Row],[qty_received]]&gt;0,"Partial Received","Not Receviced"),"FullyReceived")</f>
        <v>FullyReceived</v>
      </c>
      <c r="Q3556" t="str">
        <f>IF(T[[#This Row],[qty_received]]&lt;&gt;T[[#This Row],[qty_invoiced]],IF(T[[#This Row],[qty_invoiced]]&gt;0,"Partial Invoiced","Not Invoiced"),"Fully Invoiced")</f>
        <v>Fully Invoiced</v>
      </c>
      <c r="R3556" t="str">
        <f>IFERROR(VLOOKUP(T[[#This Row],[warehouse]],Table2[],2,FALSE),"--")</f>
        <v>Import Virtual Warehouse - PZU</v>
      </c>
    </row>
    <row r="3557" spans="1:18" x14ac:dyDescent="0.25">
      <c r="A3557" t="s">
        <v>201</v>
      </c>
      <c r="B3557" s="1">
        <v>45160</v>
      </c>
      <c r="C3557" t="s">
        <v>3233</v>
      </c>
      <c r="D3557" t="s">
        <v>20</v>
      </c>
      <c r="E3557" t="s">
        <v>1220</v>
      </c>
      <c r="F3557" t="s">
        <v>3192</v>
      </c>
      <c r="G3557" t="s">
        <v>3193</v>
      </c>
      <c r="H3557" t="s">
        <v>711</v>
      </c>
      <c r="I3557">
        <v>300000</v>
      </c>
      <c r="J3557">
        <v>300000</v>
      </c>
      <c r="K3557">
        <v>300000</v>
      </c>
      <c r="L3557" t="s">
        <v>693</v>
      </c>
      <c r="M3557" t="s">
        <v>3133</v>
      </c>
      <c r="N3557">
        <v>11151.218065999999</v>
      </c>
      <c r="O3557">
        <v>3345365419.8000002</v>
      </c>
      <c r="P3557" t="str">
        <f>IF(T[[#This Row],[qty_ordered]]&lt;&gt;T[[#This Row],[qty_received]],IF(T[[#This Row],[qty_received]]&gt;0,"Partial Received","Not Receviced"),"FullyReceived")</f>
        <v>FullyReceived</v>
      </c>
      <c r="Q3557" t="str">
        <f>IF(T[[#This Row],[qty_received]]&lt;&gt;T[[#This Row],[qty_invoiced]],IF(T[[#This Row],[qty_invoiced]]&gt;0,"Partial Invoiced","Not Invoiced"),"Fully Invoiced")</f>
        <v>Fully Invoiced</v>
      </c>
      <c r="R3557" t="str">
        <f>IFERROR(VLOOKUP(T[[#This Row],[warehouse]],Table2[],2,FALSE),"--")</f>
        <v>Import Virtual Warehouse - PZU</v>
      </c>
    </row>
    <row r="3558" spans="1:18" x14ac:dyDescent="0.25">
      <c r="A3558" t="s">
        <v>201</v>
      </c>
      <c r="B3558" s="1">
        <v>45160</v>
      </c>
      <c r="C3558" t="s">
        <v>3234</v>
      </c>
      <c r="D3558" t="s">
        <v>20</v>
      </c>
      <c r="E3558" t="s">
        <v>1220</v>
      </c>
      <c r="F3558" t="s">
        <v>2893</v>
      </c>
      <c r="G3558" t="s">
        <v>2894</v>
      </c>
      <c r="H3558" t="s">
        <v>711</v>
      </c>
      <c r="I3558">
        <v>25000</v>
      </c>
      <c r="J3558">
        <v>25000</v>
      </c>
      <c r="K3558">
        <v>25000</v>
      </c>
      <c r="L3558" t="s">
        <v>693</v>
      </c>
      <c r="M3558" t="s">
        <v>3133</v>
      </c>
      <c r="N3558">
        <v>12882.473128</v>
      </c>
      <c r="O3558">
        <v>322061828.19999999</v>
      </c>
      <c r="P3558" t="str">
        <f>IF(T[[#This Row],[qty_ordered]]&lt;&gt;T[[#This Row],[qty_received]],IF(T[[#This Row],[qty_received]]&gt;0,"Partial Received","Not Receviced"),"FullyReceived")</f>
        <v>FullyReceived</v>
      </c>
      <c r="Q3558" t="str">
        <f>IF(T[[#This Row],[qty_received]]&lt;&gt;T[[#This Row],[qty_invoiced]],IF(T[[#This Row],[qty_invoiced]]&gt;0,"Partial Invoiced","Not Invoiced"),"Fully Invoiced")</f>
        <v>Fully Invoiced</v>
      </c>
      <c r="R3558" t="str">
        <f>IFERROR(VLOOKUP(T[[#This Row],[warehouse]],Table2[],2,FALSE),"--")</f>
        <v>Import Virtual Warehouse - PZU</v>
      </c>
    </row>
    <row r="3559" spans="1:18" x14ac:dyDescent="0.25">
      <c r="A3559" t="s">
        <v>201</v>
      </c>
      <c r="B3559" s="1">
        <v>45160</v>
      </c>
      <c r="C3559" t="s">
        <v>3234</v>
      </c>
      <c r="D3559" t="s">
        <v>71</v>
      </c>
      <c r="E3559" t="s">
        <v>1220</v>
      </c>
      <c r="F3559" t="s">
        <v>2893</v>
      </c>
      <c r="G3559" t="s">
        <v>2894</v>
      </c>
      <c r="H3559" t="s">
        <v>711</v>
      </c>
      <c r="I3559">
        <v>100000</v>
      </c>
      <c r="J3559">
        <v>100000</v>
      </c>
      <c r="K3559">
        <v>100000</v>
      </c>
      <c r="L3559" t="s">
        <v>693</v>
      </c>
      <c r="M3559" t="s">
        <v>3133</v>
      </c>
      <c r="N3559">
        <v>12727.436600000001</v>
      </c>
      <c r="O3559">
        <v>1272743660</v>
      </c>
      <c r="P3559" t="str">
        <f>IF(T[[#This Row],[qty_ordered]]&lt;&gt;T[[#This Row],[qty_received]],IF(T[[#This Row],[qty_received]]&gt;0,"Partial Received","Not Receviced"),"FullyReceived")</f>
        <v>FullyReceived</v>
      </c>
      <c r="Q3559" t="str">
        <f>IF(T[[#This Row],[qty_received]]&lt;&gt;T[[#This Row],[qty_invoiced]],IF(T[[#This Row],[qty_invoiced]]&gt;0,"Partial Invoiced","Not Invoiced"),"Fully Invoiced")</f>
        <v>Fully Invoiced</v>
      </c>
      <c r="R3559" t="str">
        <f>IFERROR(VLOOKUP(T[[#This Row],[warehouse]],Table2[],2,FALSE),"--")</f>
        <v>Import Virtual Warehouse - PZU</v>
      </c>
    </row>
    <row r="3560" spans="1:18" x14ac:dyDescent="0.25">
      <c r="A3560" t="s">
        <v>303</v>
      </c>
      <c r="B3560" s="1">
        <v>44998</v>
      </c>
      <c r="C3560" t="s">
        <v>3091</v>
      </c>
      <c r="D3560" t="s">
        <v>71</v>
      </c>
      <c r="E3560" t="s">
        <v>66</v>
      </c>
      <c r="F3560" t="s">
        <v>3097</v>
      </c>
      <c r="G3560" t="s">
        <v>3098</v>
      </c>
      <c r="H3560" t="s">
        <v>531</v>
      </c>
      <c r="I3560">
        <v>1188</v>
      </c>
      <c r="J3560">
        <v>1188</v>
      </c>
      <c r="K3560">
        <v>1188</v>
      </c>
      <c r="L3560" t="s">
        <v>693</v>
      </c>
      <c r="M3560" t="s">
        <v>51</v>
      </c>
      <c r="N3560">
        <v>75925.08</v>
      </c>
      <c r="O3560">
        <v>90198995.040000007</v>
      </c>
      <c r="P3560" t="str">
        <f>IF(T[[#This Row],[qty_ordered]]&lt;&gt;T[[#This Row],[qty_received]],IF(T[[#This Row],[qty_received]]&gt;0,"Partial Received","Not Receviced"),"FullyReceived")</f>
        <v>FullyReceived</v>
      </c>
      <c r="Q3560" t="str">
        <f>IF(T[[#This Row],[qty_received]]&lt;&gt;T[[#This Row],[qty_invoiced]],IF(T[[#This Row],[qty_invoiced]]&gt;0,"Partial Invoiced","Not Invoiced"),"Fully Invoiced")</f>
        <v>Fully Invoiced</v>
      </c>
      <c r="R3560" t="str">
        <f>IFERROR(VLOOKUP(T[[#This Row],[warehouse]],Table2[],2,FALSE),"--")</f>
        <v>PZU Main Warehouse</v>
      </c>
    </row>
    <row r="3561" spans="1:18" x14ac:dyDescent="0.25">
      <c r="A3561" t="s">
        <v>303</v>
      </c>
      <c r="B3561" s="1">
        <v>44945</v>
      </c>
      <c r="C3561" t="s">
        <v>3054</v>
      </c>
      <c r="D3561" t="s">
        <v>71</v>
      </c>
      <c r="E3561" t="s">
        <v>66</v>
      </c>
      <c r="F3561" t="s">
        <v>949</v>
      </c>
      <c r="G3561" t="s">
        <v>950</v>
      </c>
      <c r="H3561" t="s">
        <v>531</v>
      </c>
      <c r="I3561">
        <v>276</v>
      </c>
      <c r="J3561">
        <v>276</v>
      </c>
      <c r="K3561">
        <v>276</v>
      </c>
      <c r="L3561" t="s">
        <v>693</v>
      </c>
      <c r="M3561" t="s">
        <v>51</v>
      </c>
      <c r="N3561">
        <v>43808</v>
      </c>
      <c r="O3561">
        <v>12091008</v>
      </c>
      <c r="P3561" t="str">
        <f>IF(T[[#This Row],[qty_ordered]]&lt;&gt;T[[#This Row],[qty_received]],IF(T[[#This Row],[qty_received]]&gt;0,"Partial Received","Not Receviced"),"FullyReceived")</f>
        <v>FullyReceived</v>
      </c>
      <c r="Q3561" t="str">
        <f>IF(T[[#This Row],[qty_received]]&lt;&gt;T[[#This Row],[qty_invoiced]],IF(T[[#This Row],[qty_invoiced]]&gt;0,"Partial Invoiced","Not Invoiced"),"Fully Invoiced")</f>
        <v>Fully Invoiced</v>
      </c>
      <c r="R3561" t="str">
        <f>IFERROR(VLOOKUP(T[[#This Row],[warehouse]],Table2[],2,FALSE),"--")</f>
        <v>PZU Main Warehouse</v>
      </c>
    </row>
    <row r="3562" spans="1:18" x14ac:dyDescent="0.25">
      <c r="A3562" t="s">
        <v>303</v>
      </c>
      <c r="B3562" s="1">
        <v>45215</v>
      </c>
      <c r="C3562" t="s">
        <v>3235</v>
      </c>
      <c r="D3562" t="s">
        <v>20</v>
      </c>
      <c r="E3562" t="s">
        <v>66</v>
      </c>
      <c r="F3562" t="s">
        <v>3097</v>
      </c>
      <c r="G3562" t="s">
        <v>3098</v>
      </c>
      <c r="H3562" t="s">
        <v>531</v>
      </c>
      <c r="I3562">
        <v>900</v>
      </c>
      <c r="J3562">
        <v>0</v>
      </c>
      <c r="K3562">
        <v>0</v>
      </c>
      <c r="L3562" t="s">
        <v>693</v>
      </c>
      <c r="M3562" t="s">
        <v>132</v>
      </c>
      <c r="N3562">
        <v>91500</v>
      </c>
      <c r="O3562">
        <v>0</v>
      </c>
      <c r="P3562" t="str">
        <f>IF(T[[#This Row],[qty_ordered]]&lt;&gt;T[[#This Row],[qty_received]],IF(T[[#This Row],[qty_received]]&gt;0,"Partial Received","Not Receviced"),"FullyReceived")</f>
        <v>Not Receviced</v>
      </c>
      <c r="Q3562" t="str">
        <f>IF(T[[#This Row],[qty_received]]&lt;&gt;T[[#This Row],[qty_invoiced]],IF(T[[#This Row],[qty_invoiced]]&gt;0,"Partial Invoiced","Not Invoiced"),"Fully Invoiced")</f>
        <v>Fully Invoiced</v>
      </c>
      <c r="R3562" t="str">
        <f>IFERROR(VLOOKUP(T[[#This Row],[warehouse]],Table2[],2,FALSE),"--")</f>
        <v>PZU Main Warehouse</v>
      </c>
    </row>
    <row r="3563" spans="1:18" x14ac:dyDescent="0.25">
      <c r="A3563" t="s">
        <v>1639</v>
      </c>
      <c r="B3563" s="1">
        <v>45234</v>
      </c>
      <c r="C3563" t="s">
        <v>3236</v>
      </c>
      <c r="D3563" t="s">
        <v>20</v>
      </c>
      <c r="E3563" t="s">
        <v>111</v>
      </c>
      <c r="F3563" t="s">
        <v>86</v>
      </c>
      <c r="G3563" t="s">
        <v>87</v>
      </c>
      <c r="H3563" t="s">
        <v>24</v>
      </c>
      <c r="I3563">
        <v>604.08000000000004</v>
      </c>
      <c r="J3563">
        <v>604.08000000000004</v>
      </c>
      <c r="K3563">
        <v>509.63</v>
      </c>
      <c r="L3563" t="s">
        <v>693</v>
      </c>
      <c r="M3563" t="s">
        <v>3144</v>
      </c>
      <c r="N3563">
        <v>1466667.0577769999</v>
      </c>
      <c r="O3563">
        <v>885984236.26192999</v>
      </c>
      <c r="P3563" t="str">
        <f>IF(T[[#This Row],[qty_ordered]]&lt;&gt;T[[#This Row],[qty_received]],IF(T[[#This Row],[qty_received]]&gt;0,"Partial Received","Not Receviced"),"FullyReceived")</f>
        <v>FullyReceived</v>
      </c>
      <c r="Q3563" t="str">
        <f>IF(T[[#This Row],[qty_received]]&lt;&gt;T[[#This Row],[qty_invoiced]],IF(T[[#This Row],[qty_invoiced]]&gt;0,"Partial Invoiced","Not Invoiced"),"Fully Invoiced")</f>
        <v>Partial Invoiced</v>
      </c>
      <c r="R3563" t="str">
        <f>IFERROR(VLOOKUP(T[[#This Row],[warehouse]],Table2[],2,FALSE),"--")</f>
        <v>Sifting PZU-Al Jawhra</v>
      </c>
    </row>
    <row r="3564" spans="1:18" x14ac:dyDescent="0.25">
      <c r="A3564" t="s">
        <v>3148</v>
      </c>
      <c r="B3564" s="1">
        <v>45236</v>
      </c>
      <c r="C3564" t="s">
        <v>3237</v>
      </c>
      <c r="D3564" t="s">
        <v>20</v>
      </c>
      <c r="E3564" t="s">
        <v>203</v>
      </c>
      <c r="F3564" t="s">
        <v>147</v>
      </c>
      <c r="G3564" t="s">
        <v>148</v>
      </c>
      <c r="H3564" t="s">
        <v>149</v>
      </c>
      <c r="I3564">
        <v>80000</v>
      </c>
      <c r="J3564">
        <v>80000</v>
      </c>
      <c r="K3564">
        <v>80000</v>
      </c>
      <c r="L3564" t="s">
        <v>693</v>
      </c>
      <c r="M3564" t="s">
        <v>3133</v>
      </c>
      <c r="N3564">
        <v>300</v>
      </c>
      <c r="O3564">
        <v>24000000</v>
      </c>
      <c r="P3564" t="str">
        <f>IF(T[[#This Row],[qty_ordered]]&lt;&gt;T[[#This Row],[qty_received]],IF(T[[#This Row],[qty_received]]&gt;0,"Partial Received","Not Receviced"),"FullyReceived")</f>
        <v>FullyReceived</v>
      </c>
      <c r="Q3564" t="str">
        <f>IF(T[[#This Row],[qty_received]]&lt;&gt;T[[#This Row],[qty_invoiced]],IF(T[[#This Row],[qty_invoiced]]&gt;0,"Partial Invoiced","Not Invoiced"),"Fully Invoiced")</f>
        <v>Fully Invoiced</v>
      </c>
      <c r="R3564" t="str">
        <f>IFERROR(VLOOKUP(T[[#This Row],[warehouse]],Table2[],2,FALSE),"--")</f>
        <v>PZU Packaging Warehouse</v>
      </c>
    </row>
    <row r="3565" spans="1:18" x14ac:dyDescent="0.25">
      <c r="A3565" t="s">
        <v>303</v>
      </c>
      <c r="B3565" s="1">
        <v>44999</v>
      </c>
      <c r="C3565" t="s">
        <v>3096</v>
      </c>
      <c r="D3565" t="s">
        <v>71</v>
      </c>
      <c r="E3565" t="s">
        <v>66</v>
      </c>
      <c r="F3565" t="s">
        <v>3097</v>
      </c>
      <c r="G3565" t="s">
        <v>1861</v>
      </c>
      <c r="H3565" t="s">
        <v>531</v>
      </c>
      <c r="I3565">
        <v>1000</v>
      </c>
      <c r="J3565">
        <v>900</v>
      </c>
      <c r="K3565">
        <v>0</v>
      </c>
      <c r="L3565" t="s">
        <v>693</v>
      </c>
      <c r="M3565" t="s">
        <v>51</v>
      </c>
      <c r="N3565">
        <v>91500</v>
      </c>
      <c r="O3565">
        <v>82350000</v>
      </c>
      <c r="P3565" t="str">
        <f>IF(T[[#This Row],[qty_ordered]]&lt;&gt;T[[#This Row],[qty_received]],IF(T[[#This Row],[qty_received]]&gt;0,"Partial Received","Not Receviced"),"FullyReceived")</f>
        <v>Partial Received</v>
      </c>
      <c r="Q3565" t="str">
        <f>IF(T[[#This Row],[qty_received]]&lt;&gt;T[[#This Row],[qty_invoiced]],IF(T[[#This Row],[qty_invoiced]]&gt;0,"Partial Invoiced","Not Invoiced"),"Fully Invoiced")</f>
        <v>Not Invoiced</v>
      </c>
      <c r="R3565" t="str">
        <f>IFERROR(VLOOKUP(T[[#This Row],[warehouse]],Table2[],2,FALSE),"--")</f>
        <v>PZU Main Warehouse</v>
      </c>
    </row>
    <row r="3566" spans="1:18" x14ac:dyDescent="0.25">
      <c r="A3566" t="s">
        <v>84</v>
      </c>
      <c r="B3566" s="1">
        <v>45242</v>
      </c>
      <c r="C3566" t="s">
        <v>3238</v>
      </c>
      <c r="D3566" t="s">
        <v>20</v>
      </c>
      <c r="E3566" t="s">
        <v>552</v>
      </c>
      <c r="F3566" t="s">
        <v>108</v>
      </c>
      <c r="G3566" t="s">
        <v>109</v>
      </c>
      <c r="H3566" t="s">
        <v>24</v>
      </c>
      <c r="I3566">
        <v>1000</v>
      </c>
      <c r="J3566">
        <v>463.18</v>
      </c>
      <c r="K3566">
        <v>0</v>
      </c>
      <c r="L3566" t="s">
        <v>693</v>
      </c>
      <c r="M3566" t="s">
        <v>3144</v>
      </c>
      <c r="N3566">
        <v>1490750</v>
      </c>
      <c r="O3566">
        <v>690485585</v>
      </c>
      <c r="P3566" t="str">
        <f>IF(T[[#This Row],[qty_ordered]]&lt;&gt;T[[#This Row],[qty_received]],IF(T[[#This Row],[qty_received]]&gt;0,"Partial Received","Not Receviced"),"FullyReceived")</f>
        <v>Partial Received</v>
      </c>
      <c r="Q3566" t="str">
        <f>IF(T[[#This Row],[qty_received]]&lt;&gt;T[[#This Row],[qty_invoiced]],IF(T[[#This Row],[qty_invoiced]]&gt;0,"Partial Invoiced","Not Invoiced"),"Fully Invoiced")</f>
        <v>Not Invoiced</v>
      </c>
      <c r="R3566" t="str">
        <f>IFERROR(VLOOKUP(T[[#This Row],[warehouse]],Table2[],2,FALSE),"--")</f>
        <v>SIFTER - SAN DA-PZU</v>
      </c>
    </row>
    <row r="3567" spans="1:18" x14ac:dyDescent="0.25">
      <c r="A3567" t="s">
        <v>242</v>
      </c>
      <c r="B3567" s="1">
        <v>45242</v>
      </c>
      <c r="C3567" t="s">
        <v>3239</v>
      </c>
      <c r="D3567" t="s">
        <v>20</v>
      </c>
      <c r="E3567" t="s">
        <v>405</v>
      </c>
      <c r="F3567" t="s">
        <v>244</v>
      </c>
      <c r="G3567" t="s">
        <v>245</v>
      </c>
      <c r="H3567" t="s">
        <v>24</v>
      </c>
      <c r="I3567">
        <v>461.53800000000001</v>
      </c>
      <c r="J3567">
        <v>129.18</v>
      </c>
      <c r="K3567">
        <v>204.98</v>
      </c>
      <c r="L3567" t="s">
        <v>693</v>
      </c>
      <c r="M3567" t="s">
        <v>3144</v>
      </c>
      <c r="N3567">
        <v>1300001.3000129999</v>
      </c>
      <c r="O3567">
        <v>167934167.93567899</v>
      </c>
      <c r="P3567" t="str">
        <f>IF(T[[#This Row],[qty_ordered]]&lt;&gt;T[[#This Row],[qty_received]],IF(T[[#This Row],[qty_received]]&gt;0,"Partial Received","Not Receviced"),"FullyReceived")</f>
        <v>Partial Received</v>
      </c>
      <c r="Q3567" t="str">
        <f>IF(T[[#This Row],[qty_received]]&lt;&gt;T[[#This Row],[qty_invoiced]],IF(T[[#This Row],[qty_invoiced]]&gt;0,"Partial Invoiced","Not Invoiced"),"Fully Invoiced")</f>
        <v>Partial Invoiced</v>
      </c>
      <c r="R3567" t="str">
        <f>IFERROR(VLOOKUP(T[[#This Row],[warehouse]],Table2[],2,FALSE),"--")</f>
        <v>GINNING ISHRAG-MDNI</v>
      </c>
    </row>
    <row r="3568" spans="1:18" x14ac:dyDescent="0.25">
      <c r="A3568" t="s">
        <v>201</v>
      </c>
      <c r="B3568" s="1">
        <v>45169</v>
      </c>
      <c r="C3568" t="s">
        <v>3240</v>
      </c>
      <c r="D3568" t="s">
        <v>20</v>
      </c>
      <c r="E3568" t="s">
        <v>1220</v>
      </c>
      <c r="F3568" t="s">
        <v>1221</v>
      </c>
      <c r="G3568" t="s">
        <v>1634</v>
      </c>
      <c r="H3568" t="s">
        <v>123</v>
      </c>
      <c r="I3568">
        <v>100000</v>
      </c>
      <c r="J3568">
        <v>100000</v>
      </c>
      <c r="K3568">
        <v>100000</v>
      </c>
      <c r="L3568" t="s">
        <v>693</v>
      </c>
      <c r="M3568" t="s">
        <v>132</v>
      </c>
      <c r="N3568">
        <v>25424.413668000001</v>
      </c>
      <c r="O3568">
        <v>2542441366.8000002</v>
      </c>
      <c r="P3568" t="str">
        <f>IF(T[[#This Row],[qty_ordered]]&lt;&gt;T[[#This Row],[qty_received]],IF(T[[#This Row],[qty_received]]&gt;0,"Partial Received","Not Receviced"),"FullyReceived")</f>
        <v>FullyReceived</v>
      </c>
      <c r="Q3568" t="str">
        <f>IF(T[[#This Row],[qty_received]]&lt;&gt;T[[#This Row],[qty_invoiced]],IF(T[[#This Row],[qty_invoiced]]&gt;0,"Partial Invoiced","Not Invoiced"),"Fully Invoiced")</f>
        <v>Fully Invoiced</v>
      </c>
      <c r="R3568" t="str">
        <f>IFERROR(VLOOKUP(T[[#This Row],[warehouse]],Table2[],2,FALSE),"--")</f>
        <v>Import Virtual Warehouse - PZU</v>
      </c>
    </row>
    <row r="3569" spans="1:18" x14ac:dyDescent="0.25">
      <c r="A3569" t="s">
        <v>201</v>
      </c>
      <c r="B3569" s="1">
        <v>45169</v>
      </c>
      <c r="C3569" t="s">
        <v>3240</v>
      </c>
      <c r="D3569" t="s">
        <v>71</v>
      </c>
      <c r="E3569" t="s">
        <v>1220</v>
      </c>
      <c r="F3569" t="s">
        <v>1221</v>
      </c>
      <c r="G3569" t="s">
        <v>1634</v>
      </c>
      <c r="H3569" t="s">
        <v>123</v>
      </c>
      <c r="I3569">
        <v>100000</v>
      </c>
      <c r="J3569">
        <v>100000</v>
      </c>
      <c r="K3569">
        <v>100000</v>
      </c>
      <c r="L3569" t="s">
        <v>693</v>
      </c>
      <c r="M3569" t="s">
        <v>132</v>
      </c>
      <c r="N3569">
        <v>23785.491655999998</v>
      </c>
      <c r="O3569">
        <v>2378549165.5999999</v>
      </c>
      <c r="P3569" t="str">
        <f>IF(T[[#This Row],[qty_ordered]]&lt;&gt;T[[#This Row],[qty_received]],IF(T[[#This Row],[qty_received]]&gt;0,"Partial Received","Not Receviced"),"FullyReceived")</f>
        <v>FullyReceived</v>
      </c>
      <c r="Q3569" t="str">
        <f>IF(T[[#This Row],[qty_received]]&lt;&gt;T[[#This Row],[qty_invoiced]],IF(T[[#This Row],[qty_invoiced]]&gt;0,"Partial Invoiced","Not Invoiced"),"Fully Invoiced")</f>
        <v>Fully Invoiced</v>
      </c>
      <c r="R3569" t="str">
        <f>IFERROR(VLOOKUP(T[[#This Row],[warehouse]],Table2[],2,FALSE),"--")</f>
        <v>Import Virtual Warehouse - PZU</v>
      </c>
    </row>
    <row r="3570" spans="1:18" x14ac:dyDescent="0.25">
      <c r="A3570" t="s">
        <v>201</v>
      </c>
      <c r="B3570" s="1">
        <v>45169</v>
      </c>
      <c r="C3570" t="s">
        <v>3240</v>
      </c>
      <c r="D3570" t="s">
        <v>100</v>
      </c>
      <c r="E3570" t="s">
        <v>1220</v>
      </c>
      <c r="F3570" t="s">
        <v>1307</v>
      </c>
      <c r="G3570" t="s">
        <v>1308</v>
      </c>
      <c r="H3570" t="s">
        <v>149</v>
      </c>
      <c r="I3570">
        <v>4000</v>
      </c>
      <c r="J3570">
        <v>1200</v>
      </c>
      <c r="K3570">
        <v>0</v>
      </c>
      <c r="L3570" t="s">
        <v>693</v>
      </c>
      <c r="M3570" t="s">
        <v>132</v>
      </c>
      <c r="N3570">
        <v>299.99999747200002</v>
      </c>
      <c r="O3570">
        <v>359999.99696640001</v>
      </c>
      <c r="P3570" t="str">
        <f>IF(T[[#This Row],[qty_ordered]]&lt;&gt;T[[#This Row],[qty_received]],IF(T[[#This Row],[qty_received]]&gt;0,"Partial Received","Not Receviced"),"FullyReceived")</f>
        <v>Partial Received</v>
      </c>
      <c r="Q3570" t="str">
        <f>IF(T[[#This Row],[qty_received]]&lt;&gt;T[[#This Row],[qty_invoiced]],IF(T[[#This Row],[qty_invoiced]]&gt;0,"Partial Invoiced","Not Invoiced"),"Fully Invoiced")</f>
        <v>Not Invoiced</v>
      </c>
      <c r="R3570" t="str">
        <f>IFERROR(VLOOKUP(T[[#This Row],[warehouse]],Table2[],2,FALSE),"--")</f>
        <v>Import Virtual Warehouse - PZU</v>
      </c>
    </row>
    <row r="3571" spans="1:18" x14ac:dyDescent="0.25">
      <c r="A3571" t="s">
        <v>228</v>
      </c>
      <c r="B3571" s="1">
        <v>45222</v>
      </c>
      <c r="C3571" t="s">
        <v>3143</v>
      </c>
      <c r="D3571" t="s">
        <v>71</v>
      </c>
      <c r="E3571" t="s">
        <v>239</v>
      </c>
      <c r="F3571" t="s">
        <v>230</v>
      </c>
      <c r="G3571" t="s">
        <v>231</v>
      </c>
      <c r="H3571" t="s">
        <v>24</v>
      </c>
      <c r="I3571">
        <v>1000</v>
      </c>
      <c r="J3571">
        <v>0</v>
      </c>
      <c r="K3571">
        <v>0</v>
      </c>
      <c r="L3571" t="s">
        <v>693</v>
      </c>
      <c r="M3571" t="s">
        <v>3144</v>
      </c>
      <c r="N3571">
        <v>1490750</v>
      </c>
      <c r="O3571">
        <v>0</v>
      </c>
      <c r="P3571" t="str">
        <f>IF(T[[#This Row],[qty_ordered]]&lt;&gt;T[[#This Row],[qty_received]],IF(T[[#This Row],[qty_received]]&gt;0,"Partial Received","Not Receviced"),"FullyReceived")</f>
        <v>Not Receviced</v>
      </c>
      <c r="Q3571" t="str">
        <f>IF(T[[#This Row],[qty_received]]&lt;&gt;T[[#This Row],[qty_invoiced]],IF(T[[#This Row],[qty_invoiced]]&gt;0,"Partial Invoiced","Not Invoiced"),"Fully Invoiced")</f>
        <v>Fully Invoiced</v>
      </c>
      <c r="R3571" t="str">
        <f>IFERROR(VLOOKUP(T[[#This Row],[warehouse]],Table2[],2,FALSE),"--")</f>
        <v xml:space="preserve">Gadarif Main Store </v>
      </c>
    </row>
    <row r="3572" spans="1:18" x14ac:dyDescent="0.25">
      <c r="A3572" t="s">
        <v>3241</v>
      </c>
      <c r="B3572" s="1">
        <v>45229</v>
      </c>
      <c r="C3572" t="s">
        <v>3242</v>
      </c>
      <c r="D3572" t="s">
        <v>20</v>
      </c>
      <c r="E3572" t="s">
        <v>723</v>
      </c>
      <c r="F3572" t="s">
        <v>219</v>
      </c>
      <c r="G3572" t="s">
        <v>724</v>
      </c>
      <c r="H3572" t="s">
        <v>221</v>
      </c>
      <c r="I3572">
        <v>10584.539000000001</v>
      </c>
      <c r="J3572">
        <v>10584.539000000001</v>
      </c>
      <c r="K3572">
        <v>0</v>
      </c>
      <c r="L3572" t="s">
        <v>693</v>
      </c>
      <c r="M3572" t="s">
        <v>1485</v>
      </c>
      <c r="N3572">
        <v>66296.861499999999</v>
      </c>
      <c r="O3572">
        <v>701721716.124349</v>
      </c>
      <c r="P3572" t="str">
        <f>IF(T[[#This Row],[qty_ordered]]&lt;&gt;T[[#This Row],[qty_received]],IF(T[[#This Row],[qty_received]]&gt;0,"Partial Received","Not Receviced"),"FullyReceived")</f>
        <v>FullyReceived</v>
      </c>
      <c r="Q3572" t="str">
        <f>IF(T[[#This Row],[qty_received]]&lt;&gt;T[[#This Row],[qty_invoiced]],IF(T[[#This Row],[qty_invoiced]]&gt;0,"Partial Invoiced","Not Invoiced"),"Fully Invoiced")</f>
        <v>Not Invoiced</v>
      </c>
      <c r="R3572" t="str">
        <f>IFERROR(VLOOKUP(T[[#This Row],[warehouse]],Table2[],2,FALSE),"--")</f>
        <v>YELLOW BEANS</v>
      </c>
    </row>
    <row r="3573" spans="1:18" x14ac:dyDescent="0.25">
      <c r="A3573" t="s">
        <v>242</v>
      </c>
      <c r="B3573" s="1">
        <v>45245</v>
      </c>
      <c r="C3573" t="s">
        <v>3243</v>
      </c>
      <c r="D3573" t="s">
        <v>20</v>
      </c>
      <c r="E3573" t="s">
        <v>405</v>
      </c>
      <c r="F3573" t="s">
        <v>244</v>
      </c>
      <c r="G3573" t="s">
        <v>245</v>
      </c>
      <c r="H3573" t="s">
        <v>24</v>
      </c>
      <c r="I3573">
        <v>400</v>
      </c>
      <c r="J3573">
        <v>387.5</v>
      </c>
      <c r="K3573">
        <v>288.41000000000003</v>
      </c>
      <c r="L3573" t="s">
        <v>693</v>
      </c>
      <c r="M3573" t="s">
        <v>1485</v>
      </c>
      <c r="N3573">
        <v>1300000</v>
      </c>
      <c r="O3573">
        <v>503750000</v>
      </c>
      <c r="P3573" t="str">
        <f>IF(T[[#This Row],[qty_ordered]]&lt;&gt;T[[#This Row],[qty_received]],IF(T[[#This Row],[qty_received]]&gt;0,"Partial Received","Not Receviced"),"FullyReceived")</f>
        <v>Partial Received</v>
      </c>
      <c r="Q3573" t="str">
        <f>IF(T[[#This Row],[qty_received]]&lt;&gt;T[[#This Row],[qty_invoiced]],IF(T[[#This Row],[qty_invoiced]]&gt;0,"Partial Invoiced","Not Invoiced"),"Fully Invoiced")</f>
        <v>Partial Invoiced</v>
      </c>
      <c r="R3573" t="str">
        <f>IFERROR(VLOOKUP(T[[#This Row],[warehouse]],Table2[],2,FALSE),"--")</f>
        <v>GINNING ISHRAG-MDNI</v>
      </c>
    </row>
    <row r="3574" spans="1:18" x14ac:dyDescent="0.25">
      <c r="A3574" t="s">
        <v>1639</v>
      </c>
      <c r="B3574" s="1">
        <v>45224</v>
      </c>
      <c r="C3574" t="s">
        <v>3166</v>
      </c>
      <c r="D3574" t="s">
        <v>71</v>
      </c>
      <c r="E3574" t="s">
        <v>3348</v>
      </c>
      <c r="F3574" t="s">
        <v>486</v>
      </c>
      <c r="G3574" t="s">
        <v>487</v>
      </c>
      <c r="H3574" t="s">
        <v>24</v>
      </c>
      <c r="I3574">
        <v>653.41999999999996</v>
      </c>
      <c r="J3574">
        <v>653.41999999999996</v>
      </c>
      <c r="K3574">
        <v>528.5</v>
      </c>
      <c r="L3574" t="s">
        <v>693</v>
      </c>
      <c r="M3574" t="s">
        <v>3144</v>
      </c>
      <c r="N3574">
        <v>1363375</v>
      </c>
      <c r="O3574">
        <v>890856492.5</v>
      </c>
      <c r="P3574" t="str">
        <f>IF(T[[#This Row],[qty_ordered]]&lt;&gt;T[[#This Row],[qty_received]],IF(T[[#This Row],[qty_received]]&gt;0,"Partial Received","Not Receviced"),"FullyReceived")</f>
        <v>FullyReceived</v>
      </c>
      <c r="Q3574" t="str">
        <f>IF(T[[#This Row],[qty_received]]&lt;&gt;T[[#This Row],[qty_invoiced]],IF(T[[#This Row],[qty_invoiced]]&gt;0,"Partial Invoiced","Not Invoiced"),"Fully Invoiced")</f>
        <v>Partial Invoiced</v>
      </c>
      <c r="R3574" t="str">
        <f>IFERROR(VLOOKUP(T[[#This Row],[warehouse]],Table2[],2,FALSE),"--")</f>
        <v>--</v>
      </c>
    </row>
    <row r="3575" spans="1:18" x14ac:dyDescent="0.25">
      <c r="A3575" t="s">
        <v>228</v>
      </c>
      <c r="B3575" s="1">
        <v>45256</v>
      </c>
      <c r="C3575" t="s">
        <v>3362</v>
      </c>
      <c r="D3575" t="s">
        <v>20</v>
      </c>
      <c r="E3575" t="s">
        <v>239</v>
      </c>
      <c r="F3575" t="s">
        <v>230</v>
      </c>
      <c r="G3575" t="s">
        <v>231</v>
      </c>
      <c r="H3575" t="s">
        <v>24</v>
      </c>
      <c r="I3575">
        <v>500</v>
      </c>
      <c r="J3575">
        <v>71.91</v>
      </c>
      <c r="K3575">
        <v>0</v>
      </c>
      <c r="L3575" t="s">
        <v>693</v>
      </c>
      <c r="M3575" t="s">
        <v>1485</v>
      </c>
      <c r="N3575">
        <v>1513000</v>
      </c>
      <c r="O3575">
        <v>108799830</v>
      </c>
      <c r="P3575" t="str">
        <f>IF(T[[#This Row],[qty_ordered]]&lt;&gt;T[[#This Row],[qty_received]],IF(T[[#This Row],[qty_received]]&gt;0,"Partial Received","Not Receviced"),"FullyReceived")</f>
        <v>Partial Received</v>
      </c>
      <c r="Q3575" t="str">
        <f>IF(T[[#This Row],[qty_received]]&lt;&gt;T[[#This Row],[qty_invoiced]],IF(T[[#This Row],[qty_invoiced]]&gt;0,"Partial Invoiced","Not Invoiced"),"Fully Invoiced")</f>
        <v>Not Invoiced</v>
      </c>
      <c r="R3575" t="str">
        <f>IFERROR(VLOOKUP(T[[#This Row],[warehouse]],Table2[],2,FALSE),"--")</f>
        <v xml:space="preserve">Gadarif Main Store </v>
      </c>
    </row>
    <row r="3576" spans="1:18" x14ac:dyDescent="0.25">
      <c r="A3576" t="s">
        <v>228</v>
      </c>
      <c r="B3576" s="1">
        <v>45229</v>
      </c>
      <c r="C3576" t="s">
        <v>3230</v>
      </c>
      <c r="D3576" t="s">
        <v>71</v>
      </c>
      <c r="E3576" t="s">
        <v>239</v>
      </c>
      <c r="F3576" t="s">
        <v>230</v>
      </c>
      <c r="G3576" t="s">
        <v>231</v>
      </c>
      <c r="H3576" t="s">
        <v>24</v>
      </c>
      <c r="I3576">
        <v>1025.7080000000001</v>
      </c>
      <c r="J3576">
        <v>0</v>
      </c>
      <c r="K3576">
        <v>0</v>
      </c>
      <c r="L3576" t="s">
        <v>693</v>
      </c>
      <c r="M3576" t="s">
        <v>1485</v>
      </c>
      <c r="N3576">
        <v>1646501.406833</v>
      </c>
      <c r="O3576">
        <v>0</v>
      </c>
      <c r="P3576" t="str">
        <f>IF(T[[#This Row],[qty_ordered]]&lt;&gt;T[[#This Row],[qty_received]],IF(T[[#This Row],[qty_received]]&gt;0,"Partial Received","Not Receviced"),"FullyReceived")</f>
        <v>Not Receviced</v>
      </c>
      <c r="Q3576" t="str">
        <f>IF(T[[#This Row],[qty_received]]&lt;&gt;T[[#This Row],[qty_invoiced]],IF(T[[#This Row],[qty_invoiced]]&gt;0,"Partial Invoiced","Not Invoiced"),"Fully Invoiced")</f>
        <v>Fully Invoiced</v>
      </c>
      <c r="R3576" t="str">
        <f>IFERROR(VLOOKUP(T[[#This Row],[warehouse]],Table2[],2,FALSE),"--")</f>
        <v xml:space="preserve">Gadarif Main Store </v>
      </c>
    </row>
    <row r="3577" spans="1:18" x14ac:dyDescent="0.25">
      <c r="A3577" t="s">
        <v>201</v>
      </c>
      <c r="B3577" s="1">
        <v>45263</v>
      </c>
      <c r="C3577" t="s">
        <v>3367</v>
      </c>
      <c r="D3577" t="s">
        <v>88</v>
      </c>
      <c r="E3577" t="s">
        <v>203</v>
      </c>
      <c r="F3577" t="s">
        <v>312</v>
      </c>
      <c r="G3577" t="s">
        <v>313</v>
      </c>
      <c r="H3577" t="s">
        <v>149</v>
      </c>
      <c r="I3577">
        <v>43750</v>
      </c>
      <c r="J3577">
        <v>0</v>
      </c>
      <c r="K3577">
        <v>0</v>
      </c>
      <c r="L3577" t="s">
        <v>693</v>
      </c>
      <c r="M3577" t="s">
        <v>3133</v>
      </c>
      <c r="N3577">
        <v>172.88896800000001</v>
      </c>
      <c r="O3577">
        <v>0</v>
      </c>
      <c r="P3577" t="str">
        <f>IF(T[[#This Row],[qty_ordered]]&lt;&gt;T[[#This Row],[qty_received]],IF(T[[#This Row],[qty_received]]&gt;0,"Partial Received","Not Receviced"),"FullyReceived")</f>
        <v>Not Receviced</v>
      </c>
      <c r="Q3577" t="str">
        <f>IF(T[[#This Row],[qty_received]]&lt;&gt;T[[#This Row],[qty_invoiced]],IF(T[[#This Row],[qty_invoiced]]&gt;0,"Partial Invoiced","Not Invoiced"),"Fully Invoiced")</f>
        <v>Fully Invoiced</v>
      </c>
      <c r="R3577" t="str">
        <f>IFERROR(VLOOKUP(T[[#This Row],[warehouse]],Table2[],2,FALSE),"--")</f>
        <v>PZU Packaging Warehouse</v>
      </c>
    </row>
    <row r="3578" spans="1:18" x14ac:dyDescent="0.25">
      <c r="A3578" t="s">
        <v>201</v>
      </c>
      <c r="B3578" s="1">
        <v>45263</v>
      </c>
      <c r="C3578" t="s">
        <v>3367</v>
      </c>
      <c r="D3578" t="s">
        <v>74</v>
      </c>
      <c r="E3578" t="s">
        <v>51</v>
      </c>
      <c r="F3578" t="s">
        <v>933</v>
      </c>
      <c r="G3578" t="s">
        <v>3142</v>
      </c>
      <c r="H3578" t="s">
        <v>54</v>
      </c>
      <c r="I3578">
        <v>8</v>
      </c>
      <c r="J3578">
        <v>0</v>
      </c>
      <c r="K3578">
        <v>0</v>
      </c>
      <c r="L3578" t="s">
        <v>693</v>
      </c>
      <c r="M3578" t="s">
        <v>3133</v>
      </c>
      <c r="N3578">
        <v>1621409.8559999999</v>
      </c>
      <c r="O3578">
        <v>0</v>
      </c>
      <c r="P3578" t="str">
        <f>IF(T[[#This Row],[qty_ordered]]&lt;&gt;T[[#This Row],[qty_received]],IF(T[[#This Row],[qty_received]]&gt;0,"Partial Received","Not Receviced"),"FullyReceived")</f>
        <v>Not Receviced</v>
      </c>
      <c r="Q3578" t="str">
        <f>IF(T[[#This Row],[qty_received]]&lt;&gt;T[[#This Row],[qty_invoiced]],IF(T[[#This Row],[qty_invoiced]]&gt;0,"Partial Invoiced","Not Invoiced"),"Fully Invoiced")</f>
        <v>Fully Invoiced</v>
      </c>
      <c r="R3578" t="str">
        <f>IFERROR(VLOOKUP(T[[#This Row],[warehouse]],Table2[],2,FALSE),"--")</f>
        <v>--</v>
      </c>
    </row>
    <row r="3579" spans="1:18" x14ac:dyDescent="0.25">
      <c r="A3579" t="s">
        <v>228</v>
      </c>
      <c r="B3579" s="1">
        <v>45272</v>
      </c>
      <c r="C3579" t="s">
        <v>3375</v>
      </c>
      <c r="D3579" t="s">
        <v>20</v>
      </c>
      <c r="E3579" t="s">
        <v>239</v>
      </c>
      <c r="F3579" t="s">
        <v>230</v>
      </c>
      <c r="G3579" t="s">
        <v>231</v>
      </c>
      <c r="H3579" t="s">
        <v>24</v>
      </c>
      <c r="I3579">
        <v>1000</v>
      </c>
      <c r="J3579">
        <v>0</v>
      </c>
      <c r="K3579">
        <v>0</v>
      </c>
      <c r="L3579" t="s">
        <v>693</v>
      </c>
      <c r="M3579" t="s">
        <v>1485</v>
      </c>
      <c r="N3579">
        <v>1624250</v>
      </c>
      <c r="O3579">
        <v>0</v>
      </c>
      <c r="P3579" t="str">
        <f>IF(T[[#This Row],[qty_ordered]]&lt;&gt;T[[#This Row],[qty_received]],IF(T[[#This Row],[qty_received]]&gt;0,"Partial Received","Not Receviced"),"FullyReceived")</f>
        <v>Not Receviced</v>
      </c>
      <c r="Q3579" t="str">
        <f>IF(T[[#This Row],[qty_received]]&lt;&gt;T[[#This Row],[qty_invoiced]],IF(T[[#This Row],[qty_invoiced]]&gt;0,"Partial Invoiced","Not Invoiced"),"Fully Invoiced")</f>
        <v>Fully Invoiced</v>
      </c>
      <c r="R3579" t="str">
        <f>IFERROR(VLOOKUP(T[[#This Row],[warehouse]],Table2[],2,FALSE),"--")</f>
        <v xml:space="preserve">Gadarif Main Store </v>
      </c>
    </row>
    <row r="3580" spans="1:18" x14ac:dyDescent="0.25">
      <c r="A3580" t="s">
        <v>3040</v>
      </c>
      <c r="B3580" s="1">
        <v>44994</v>
      </c>
      <c r="C3580" t="s">
        <v>3078</v>
      </c>
      <c r="D3580" t="s">
        <v>71</v>
      </c>
      <c r="E3580" t="s">
        <v>621</v>
      </c>
      <c r="F3580" t="s">
        <v>196</v>
      </c>
      <c r="G3580" t="s">
        <v>197</v>
      </c>
      <c r="H3580" t="s">
        <v>24</v>
      </c>
      <c r="I3580">
        <v>87</v>
      </c>
      <c r="J3580">
        <v>87</v>
      </c>
      <c r="K3580">
        <v>87</v>
      </c>
      <c r="L3580" t="s">
        <v>693</v>
      </c>
      <c r="M3580" t="s">
        <v>51</v>
      </c>
      <c r="N3580">
        <v>200000</v>
      </c>
      <c r="O3580">
        <v>17400000</v>
      </c>
      <c r="P3580" t="str">
        <f>IF(T[[#This Row],[qty_ordered]]&lt;&gt;T[[#This Row],[qty_received]],IF(T[[#This Row],[qty_received]]&gt;0,"Partial Received","Not Receviced"),"FullyReceived")</f>
        <v>FullyReceived</v>
      </c>
      <c r="Q3580" t="str">
        <f>IF(T[[#This Row],[qty_received]]&lt;&gt;T[[#This Row],[qty_invoiced]],IF(T[[#This Row],[qty_invoiced]]&gt;0,"Partial Invoiced","Not Invoiced"),"Fully Invoiced")</f>
        <v>Fully Invoiced</v>
      </c>
      <c r="R3580" t="str">
        <f>IFERROR(VLOOKUP(T[[#This Row],[warehouse]],Table2[],2,FALSE),"--")</f>
        <v>SIFTER CONCRETE SILO</v>
      </c>
    </row>
    <row r="3581" spans="1:18" x14ac:dyDescent="0.25">
      <c r="A3581" t="s">
        <v>84</v>
      </c>
      <c r="B3581" s="1">
        <v>45029</v>
      </c>
      <c r="C3581" t="s">
        <v>3131</v>
      </c>
      <c r="D3581" t="s">
        <v>71</v>
      </c>
      <c r="E3581" t="s">
        <v>1142</v>
      </c>
      <c r="F3581" t="s">
        <v>103</v>
      </c>
      <c r="G3581" t="s">
        <v>104</v>
      </c>
      <c r="H3581" t="s">
        <v>24</v>
      </c>
      <c r="I3581">
        <v>49.5</v>
      </c>
      <c r="J3581">
        <v>49.5</v>
      </c>
      <c r="K3581">
        <v>49.5</v>
      </c>
      <c r="L3581" t="s">
        <v>693</v>
      </c>
      <c r="M3581" t="s">
        <v>132</v>
      </c>
      <c r="N3581">
        <v>405000</v>
      </c>
      <c r="O3581">
        <v>20047500</v>
      </c>
      <c r="P3581" t="str">
        <f>IF(T[[#This Row],[qty_ordered]]&lt;&gt;T[[#This Row],[qty_received]],IF(T[[#This Row],[qty_received]]&gt;0,"Partial Received","Not Receviced"),"FullyReceived")</f>
        <v>FullyReceived</v>
      </c>
      <c r="Q3581" t="str">
        <f>IF(T[[#This Row],[qty_received]]&lt;&gt;T[[#This Row],[qty_invoiced]],IF(T[[#This Row],[qty_invoiced]]&gt;0,"Partial Invoiced","Not Invoiced"),"Fully Invoiced")</f>
        <v>Fully Invoiced</v>
      </c>
      <c r="R3581" t="str">
        <f>IFERROR(VLOOKUP(T[[#This Row],[warehouse]],Table2[],2,FALSE),"--")</f>
        <v>SAVOLA W/H FOR EXPOR</v>
      </c>
    </row>
    <row r="3582" spans="1:18" x14ac:dyDescent="0.25">
      <c r="A3582" t="s">
        <v>201</v>
      </c>
      <c r="B3582" s="1">
        <v>45196</v>
      </c>
      <c r="C3582" t="s">
        <v>3244</v>
      </c>
      <c r="D3582" t="s">
        <v>20</v>
      </c>
      <c r="E3582" t="s">
        <v>1220</v>
      </c>
      <c r="F3582" t="s">
        <v>1221</v>
      </c>
      <c r="G3582" t="s">
        <v>1634</v>
      </c>
      <c r="H3582" t="s">
        <v>123</v>
      </c>
      <c r="I3582">
        <v>177200</v>
      </c>
      <c r="J3582">
        <v>177200</v>
      </c>
      <c r="K3582">
        <v>177200</v>
      </c>
      <c r="L3582" t="s">
        <v>693</v>
      </c>
      <c r="M3582" t="s">
        <v>132</v>
      </c>
      <c r="N3582">
        <v>23071.809052000001</v>
      </c>
      <c r="O3582">
        <v>4088324564.0144</v>
      </c>
      <c r="P3582" t="str">
        <f>IF(T[[#This Row],[qty_ordered]]&lt;&gt;T[[#This Row],[qty_received]],IF(T[[#This Row],[qty_received]]&gt;0,"Partial Received","Not Receviced"),"FullyReceived")</f>
        <v>FullyReceived</v>
      </c>
      <c r="Q3582" t="str">
        <f>IF(T[[#This Row],[qty_received]]&lt;&gt;T[[#This Row],[qty_invoiced]],IF(T[[#This Row],[qty_invoiced]]&gt;0,"Partial Invoiced","Not Invoiced"),"Fully Invoiced")</f>
        <v>Fully Invoiced</v>
      </c>
      <c r="R3582" t="str">
        <f>IFERROR(VLOOKUP(T[[#This Row],[warehouse]],Table2[],2,FALSE),"--")</f>
        <v>Import Virtual Warehouse - PZU</v>
      </c>
    </row>
    <row r="3583" spans="1:18" x14ac:dyDescent="0.25">
      <c r="A3583" t="s">
        <v>973</v>
      </c>
      <c r="B3583" s="1">
        <v>44571</v>
      </c>
      <c r="C3583" t="s">
        <v>1942</v>
      </c>
      <c r="D3583" t="s">
        <v>71</v>
      </c>
      <c r="E3583" t="s">
        <v>281</v>
      </c>
      <c r="F3583" t="s">
        <v>526</v>
      </c>
      <c r="G3583" t="s">
        <v>472</v>
      </c>
      <c r="H3583" t="s">
        <v>123</v>
      </c>
      <c r="I3583">
        <v>10000</v>
      </c>
      <c r="J3583">
        <v>9900</v>
      </c>
      <c r="K3583">
        <v>9900</v>
      </c>
      <c r="L3583" t="s">
        <v>25</v>
      </c>
      <c r="M3583" t="s">
        <v>1485</v>
      </c>
      <c r="N3583">
        <v>18350</v>
      </c>
      <c r="O3583">
        <v>181665000</v>
      </c>
      <c r="P3583" t="str">
        <f>IF(T[[#This Row],[qty_ordered]]&lt;&gt;T[[#This Row],[qty_received]],IF(T[[#This Row],[qty_received]]&gt;0,"Partial Received","Not Receviced"),"FullyReceived")</f>
        <v>Partial Received</v>
      </c>
      <c r="Q3583" t="str">
        <f>IF(T[[#This Row],[qty_received]]&lt;&gt;T[[#This Row],[qty_invoiced]],IF(T[[#This Row],[qty_invoiced]]&gt;0,"Partial Invoiced","Not Invoiced"),"Fully Invoiced")</f>
        <v>Fully Invoiced</v>
      </c>
      <c r="R3583" t="str">
        <f>IFERROR(VLOOKUP(T[[#This Row],[warehouse]],Table2[],2,FALSE),"--")</f>
        <v>Crusher Alm Eldin-KH</v>
      </c>
    </row>
    <row r="3584" spans="1:18" x14ac:dyDescent="0.25">
      <c r="A3584" t="s">
        <v>1475</v>
      </c>
      <c r="B3584" s="1">
        <v>44535</v>
      </c>
      <c r="C3584" t="s">
        <v>1526</v>
      </c>
      <c r="D3584" t="s">
        <v>322</v>
      </c>
      <c r="E3584" t="s">
        <v>51</v>
      </c>
      <c r="F3584" t="s">
        <v>674</v>
      </c>
      <c r="G3584" t="s">
        <v>2097</v>
      </c>
      <c r="H3584" t="s">
        <v>54</v>
      </c>
      <c r="I3584">
        <v>12369.28</v>
      </c>
      <c r="J3584">
        <v>0</v>
      </c>
      <c r="K3584">
        <v>1</v>
      </c>
      <c r="L3584" t="s">
        <v>693</v>
      </c>
      <c r="M3584" t="s">
        <v>533</v>
      </c>
      <c r="N3584">
        <v>7500</v>
      </c>
      <c r="O3584">
        <v>0</v>
      </c>
      <c r="P3584" t="str">
        <f>IF(T[[#This Row],[qty_ordered]]&lt;&gt;T[[#This Row],[qty_received]],IF(T[[#This Row],[qty_received]]&gt;0,"Partial Received","Not Receviced"),"FullyReceived")</f>
        <v>Not Receviced</v>
      </c>
      <c r="Q3584" t="str">
        <f>IF(T[[#This Row],[qty_received]]&lt;&gt;T[[#This Row],[qty_invoiced]],IF(T[[#This Row],[qty_invoiced]]&gt;0,"Partial Invoiced","Not Invoiced"),"Fully Invoiced")</f>
        <v>Partial Invoiced</v>
      </c>
      <c r="R3584" t="str">
        <f>IFERROR(VLOOKUP(T[[#This Row],[warehouse]],Table2[],2,FALSE),"--")</f>
        <v>--</v>
      </c>
    </row>
    <row r="3585" spans="1:18" x14ac:dyDescent="0.25">
      <c r="A3585" t="s">
        <v>1475</v>
      </c>
      <c r="B3585" s="1">
        <v>44535</v>
      </c>
      <c r="C3585" t="s">
        <v>1526</v>
      </c>
      <c r="D3585" t="s">
        <v>323</v>
      </c>
      <c r="E3585" t="s">
        <v>51</v>
      </c>
      <c r="F3585" t="s">
        <v>278</v>
      </c>
      <c r="G3585" t="s">
        <v>2098</v>
      </c>
      <c r="H3585" t="s">
        <v>54</v>
      </c>
      <c r="I3585">
        <v>14310</v>
      </c>
      <c r="J3585">
        <v>0</v>
      </c>
      <c r="K3585">
        <v>1</v>
      </c>
      <c r="L3585" t="s">
        <v>693</v>
      </c>
      <c r="M3585" t="s">
        <v>533</v>
      </c>
      <c r="N3585">
        <v>100</v>
      </c>
      <c r="O3585">
        <v>0</v>
      </c>
      <c r="P3585" t="str">
        <f>IF(T[[#This Row],[qty_ordered]]&lt;&gt;T[[#This Row],[qty_received]],IF(T[[#This Row],[qty_received]]&gt;0,"Partial Received","Not Receviced"),"FullyReceived")</f>
        <v>Not Receviced</v>
      </c>
      <c r="Q3585" t="str">
        <f>IF(T[[#This Row],[qty_received]]&lt;&gt;T[[#This Row],[qty_invoiced]],IF(T[[#This Row],[qty_invoiced]]&gt;0,"Partial Invoiced","Not Invoiced"),"Fully Invoiced")</f>
        <v>Partial Invoiced</v>
      </c>
      <c r="R3585" t="str">
        <f>IFERROR(VLOOKUP(T[[#This Row],[warehouse]],Table2[],2,FALSE),"--")</f>
        <v>--</v>
      </c>
    </row>
    <row r="3586" spans="1:18" x14ac:dyDescent="0.25">
      <c r="A3586" t="s">
        <v>1475</v>
      </c>
      <c r="B3586" s="1">
        <v>44535</v>
      </c>
      <c r="C3586" t="s">
        <v>1526</v>
      </c>
      <c r="D3586" t="s">
        <v>324</v>
      </c>
      <c r="E3586" t="s">
        <v>51</v>
      </c>
      <c r="F3586" t="s">
        <v>278</v>
      </c>
      <c r="G3586" t="s">
        <v>2098</v>
      </c>
      <c r="H3586" t="s">
        <v>54</v>
      </c>
      <c r="I3586">
        <v>14310</v>
      </c>
      <c r="J3586">
        <v>0</v>
      </c>
      <c r="K3586">
        <v>1</v>
      </c>
      <c r="L3586" t="s">
        <v>693</v>
      </c>
      <c r="M3586" t="s">
        <v>533</v>
      </c>
      <c r="N3586">
        <v>300</v>
      </c>
      <c r="O3586">
        <v>0</v>
      </c>
      <c r="P3586" t="str">
        <f>IF(T[[#This Row],[qty_ordered]]&lt;&gt;T[[#This Row],[qty_received]],IF(T[[#This Row],[qty_received]]&gt;0,"Partial Received","Not Receviced"),"FullyReceived")</f>
        <v>Not Receviced</v>
      </c>
      <c r="Q3586" t="str">
        <f>IF(T[[#This Row],[qty_received]]&lt;&gt;T[[#This Row],[qty_invoiced]],IF(T[[#This Row],[qty_invoiced]]&gt;0,"Partial Invoiced","Not Invoiced"),"Fully Invoiced")</f>
        <v>Partial Invoiced</v>
      </c>
      <c r="R3586" t="str">
        <f>IFERROR(VLOOKUP(T[[#This Row],[warehouse]],Table2[],2,FALSE),"--")</f>
        <v>--</v>
      </c>
    </row>
    <row r="3587" spans="1:18" x14ac:dyDescent="0.25">
      <c r="A3587" t="s">
        <v>1475</v>
      </c>
      <c r="B3587" s="1">
        <v>44535</v>
      </c>
      <c r="C3587" t="s">
        <v>1526</v>
      </c>
      <c r="D3587" t="s">
        <v>325</v>
      </c>
      <c r="E3587" t="s">
        <v>51</v>
      </c>
      <c r="F3587" t="s">
        <v>384</v>
      </c>
      <c r="G3587" t="s">
        <v>2099</v>
      </c>
      <c r="H3587" t="s">
        <v>54</v>
      </c>
      <c r="I3587">
        <v>1241</v>
      </c>
      <c r="J3587">
        <v>0</v>
      </c>
      <c r="K3587">
        <v>1</v>
      </c>
      <c r="L3587" t="s">
        <v>693</v>
      </c>
      <c r="M3587" t="s">
        <v>533</v>
      </c>
      <c r="N3587">
        <v>216.59951699999999</v>
      </c>
      <c r="O3587">
        <v>0</v>
      </c>
      <c r="P3587" t="str">
        <f>IF(T[[#This Row],[qty_ordered]]&lt;&gt;T[[#This Row],[qty_received]],IF(T[[#This Row],[qty_received]]&gt;0,"Partial Received","Not Receviced"),"FullyReceived")</f>
        <v>Not Receviced</v>
      </c>
      <c r="Q3587" t="str">
        <f>IF(T[[#This Row],[qty_received]]&lt;&gt;T[[#This Row],[qty_invoiced]],IF(T[[#This Row],[qty_invoiced]]&gt;0,"Partial Invoiced","Not Invoiced"),"Fully Invoiced")</f>
        <v>Partial Invoiced</v>
      </c>
      <c r="R3587" t="str">
        <f>IFERROR(VLOOKUP(T[[#This Row],[warehouse]],Table2[],2,FALSE),"--")</f>
        <v>--</v>
      </c>
    </row>
    <row r="3588" spans="1:18" x14ac:dyDescent="0.25">
      <c r="A3588" t="s">
        <v>1475</v>
      </c>
      <c r="B3588" s="1">
        <v>44535</v>
      </c>
      <c r="C3588" t="s">
        <v>1526</v>
      </c>
      <c r="D3588" t="s">
        <v>451</v>
      </c>
      <c r="E3588" t="s">
        <v>51</v>
      </c>
      <c r="F3588" t="s">
        <v>793</v>
      </c>
      <c r="G3588" t="s">
        <v>2100</v>
      </c>
      <c r="H3588" t="s">
        <v>54</v>
      </c>
      <c r="I3588">
        <v>84</v>
      </c>
      <c r="J3588">
        <v>0</v>
      </c>
      <c r="K3588">
        <v>1</v>
      </c>
      <c r="L3588" t="s">
        <v>693</v>
      </c>
      <c r="M3588" t="s">
        <v>533</v>
      </c>
      <c r="N3588">
        <v>600</v>
      </c>
      <c r="O3588">
        <v>0</v>
      </c>
      <c r="P3588" t="str">
        <f>IF(T[[#This Row],[qty_ordered]]&lt;&gt;T[[#This Row],[qty_received]],IF(T[[#This Row],[qty_received]]&gt;0,"Partial Received","Not Receviced"),"FullyReceived")</f>
        <v>Not Receviced</v>
      </c>
      <c r="Q3588" t="str">
        <f>IF(T[[#This Row],[qty_received]]&lt;&gt;T[[#This Row],[qty_invoiced]],IF(T[[#This Row],[qty_invoiced]]&gt;0,"Partial Invoiced","Not Invoiced"),"Fully Invoiced")</f>
        <v>Partial Invoiced</v>
      </c>
      <c r="R3588" t="str">
        <f>IFERROR(VLOOKUP(T[[#This Row],[warehouse]],Table2[],2,FALSE),"--")</f>
        <v>--</v>
      </c>
    </row>
    <row r="3589" spans="1:18" x14ac:dyDescent="0.25">
      <c r="A3589" t="s">
        <v>1475</v>
      </c>
      <c r="B3589" s="1">
        <v>44535</v>
      </c>
      <c r="C3589" t="s">
        <v>1526</v>
      </c>
      <c r="D3589" t="s">
        <v>452</v>
      </c>
      <c r="E3589" t="s">
        <v>51</v>
      </c>
      <c r="F3589" t="s">
        <v>793</v>
      </c>
      <c r="G3589" t="s">
        <v>2100</v>
      </c>
      <c r="H3589" t="s">
        <v>54</v>
      </c>
      <c r="I3589">
        <v>122</v>
      </c>
      <c r="J3589">
        <v>0</v>
      </c>
      <c r="K3589">
        <v>1</v>
      </c>
      <c r="L3589" t="s">
        <v>693</v>
      </c>
      <c r="M3589" t="s">
        <v>533</v>
      </c>
      <c r="N3589">
        <v>400</v>
      </c>
      <c r="O3589">
        <v>0</v>
      </c>
      <c r="P3589" t="str">
        <f>IF(T[[#This Row],[qty_ordered]]&lt;&gt;T[[#This Row],[qty_received]],IF(T[[#This Row],[qty_received]]&gt;0,"Partial Received","Not Receviced"),"FullyReceived")</f>
        <v>Not Receviced</v>
      </c>
      <c r="Q3589" t="str">
        <f>IF(T[[#This Row],[qty_received]]&lt;&gt;T[[#This Row],[qty_invoiced]],IF(T[[#This Row],[qty_invoiced]]&gt;0,"Partial Invoiced","Not Invoiced"),"Fully Invoiced")</f>
        <v>Partial Invoiced</v>
      </c>
      <c r="R3589" t="str">
        <f>IFERROR(VLOOKUP(T[[#This Row],[warehouse]],Table2[],2,FALSE),"--")</f>
        <v>--</v>
      </c>
    </row>
    <row r="3590" spans="1:18" x14ac:dyDescent="0.25">
      <c r="A3590" t="s">
        <v>1868</v>
      </c>
      <c r="B3590" s="1">
        <v>44601</v>
      </c>
      <c r="C3590" t="s">
        <v>2101</v>
      </c>
      <c r="D3590" t="s">
        <v>20</v>
      </c>
      <c r="E3590" t="s">
        <v>146</v>
      </c>
      <c r="F3590" t="s">
        <v>147</v>
      </c>
      <c r="G3590" t="s">
        <v>148</v>
      </c>
      <c r="H3590" t="s">
        <v>149</v>
      </c>
      <c r="I3590">
        <v>48200</v>
      </c>
      <c r="J3590">
        <v>48200</v>
      </c>
      <c r="K3590">
        <v>48200</v>
      </c>
      <c r="L3590" t="s">
        <v>25</v>
      </c>
      <c r="M3590" t="s">
        <v>1404</v>
      </c>
      <c r="N3590">
        <v>183</v>
      </c>
      <c r="O3590">
        <v>8820600</v>
      </c>
      <c r="P3590" t="str">
        <f>IF(T[[#This Row],[qty_ordered]]&lt;&gt;T[[#This Row],[qty_received]],IF(T[[#This Row],[qty_received]]&gt;0,"Partial Received","Not Receviced"),"FullyReceived")</f>
        <v>FullyReceived</v>
      </c>
      <c r="Q3590" t="str">
        <f>IF(T[[#This Row],[qty_received]]&lt;&gt;T[[#This Row],[qty_invoiced]],IF(T[[#This Row],[qty_invoiced]]&gt;0,"Partial Invoiced","Not Invoiced"),"Fully Invoiced")</f>
        <v>Fully Invoiced</v>
      </c>
      <c r="R3590" t="str">
        <f>IFERROR(VLOOKUP(T[[#This Row],[warehouse]],Table2[],2,FALSE),"--")</f>
        <v>Khtoum Main Warehouse</v>
      </c>
    </row>
    <row r="3591" spans="1:18" x14ac:dyDescent="0.25">
      <c r="A3591" t="s">
        <v>201</v>
      </c>
      <c r="B3591" s="1">
        <v>44522</v>
      </c>
      <c r="C3591" t="s">
        <v>2050</v>
      </c>
      <c r="D3591" t="s">
        <v>71</v>
      </c>
      <c r="E3591" t="s">
        <v>1220</v>
      </c>
      <c r="F3591" t="s">
        <v>1307</v>
      </c>
      <c r="G3591" t="s">
        <v>1308</v>
      </c>
      <c r="H3591" t="s">
        <v>149</v>
      </c>
      <c r="I3591">
        <v>3350</v>
      </c>
      <c r="J3591">
        <v>3350</v>
      </c>
      <c r="K3591">
        <v>0</v>
      </c>
      <c r="L3591" t="s">
        <v>693</v>
      </c>
      <c r="M3591" t="s">
        <v>744</v>
      </c>
      <c r="N3591">
        <v>0</v>
      </c>
      <c r="O3591">
        <v>0</v>
      </c>
      <c r="P3591" t="str">
        <f>IF(T[[#This Row],[qty_ordered]]&lt;&gt;T[[#This Row],[qty_received]],IF(T[[#This Row],[qty_received]]&gt;0,"Partial Received","Not Receviced"),"FullyReceived")</f>
        <v>FullyReceived</v>
      </c>
      <c r="Q3591" t="str">
        <f>IF(T[[#This Row],[qty_received]]&lt;&gt;T[[#This Row],[qty_invoiced]],IF(T[[#This Row],[qty_invoiced]]&gt;0,"Partial Invoiced","Not Invoiced"),"Fully Invoiced")</f>
        <v>Not Invoiced</v>
      </c>
      <c r="R3591" t="str">
        <f>IFERROR(VLOOKUP(T[[#This Row],[warehouse]],Table2[],2,FALSE),"--")</f>
        <v>Import Virtual Warehouse - PZU</v>
      </c>
    </row>
    <row r="3592" spans="1:18" x14ac:dyDescent="0.25">
      <c r="A3592" t="s">
        <v>84</v>
      </c>
      <c r="B3592" s="1">
        <v>44559</v>
      </c>
      <c r="C3592" t="s">
        <v>1515</v>
      </c>
      <c r="D3592" t="s">
        <v>74</v>
      </c>
      <c r="E3592" t="s">
        <v>66</v>
      </c>
      <c r="F3592" t="s">
        <v>108</v>
      </c>
      <c r="G3592" t="s">
        <v>109</v>
      </c>
      <c r="H3592" t="s">
        <v>24</v>
      </c>
      <c r="I3592">
        <v>392.52199999999999</v>
      </c>
      <c r="J3592">
        <v>0</v>
      </c>
      <c r="K3592">
        <v>0</v>
      </c>
      <c r="L3592" t="s">
        <v>25</v>
      </c>
      <c r="M3592" t="s">
        <v>1485</v>
      </c>
      <c r="N3592">
        <v>509525.58073099999</v>
      </c>
      <c r="O3592">
        <v>0</v>
      </c>
      <c r="P3592" t="str">
        <f>IF(T[[#This Row],[qty_ordered]]&lt;&gt;T[[#This Row],[qty_received]],IF(T[[#This Row],[qty_received]]&gt;0,"Partial Received","Not Receviced"),"FullyReceived")</f>
        <v>Not Receviced</v>
      </c>
      <c r="Q3592" t="str">
        <f>IF(T[[#This Row],[qty_received]]&lt;&gt;T[[#This Row],[qty_invoiced]],IF(T[[#This Row],[qty_invoiced]]&gt;0,"Partial Invoiced","Not Invoiced"),"Fully Invoiced")</f>
        <v>Fully Invoiced</v>
      </c>
      <c r="R3592" t="str">
        <f>IFERROR(VLOOKUP(T[[#This Row],[warehouse]],Table2[],2,FALSE),"--")</f>
        <v>PZU Main Warehouse</v>
      </c>
    </row>
    <row r="3593" spans="1:18" x14ac:dyDescent="0.25">
      <c r="A3593" t="s">
        <v>959</v>
      </c>
      <c r="B3593" s="1">
        <v>44606</v>
      </c>
      <c r="C3593" t="s">
        <v>2102</v>
      </c>
      <c r="D3593" t="s">
        <v>20</v>
      </c>
      <c r="E3593" t="s">
        <v>214</v>
      </c>
      <c r="F3593" t="s">
        <v>167</v>
      </c>
      <c r="G3593" t="s">
        <v>156</v>
      </c>
      <c r="H3593" t="s">
        <v>24</v>
      </c>
      <c r="I3593">
        <v>500</v>
      </c>
      <c r="J3593">
        <v>500</v>
      </c>
      <c r="K3593">
        <v>500</v>
      </c>
      <c r="L3593" t="s">
        <v>25</v>
      </c>
      <c r="M3593" t="s">
        <v>707</v>
      </c>
      <c r="N3593">
        <v>720000</v>
      </c>
      <c r="O3593">
        <v>360000000</v>
      </c>
      <c r="P3593" t="str">
        <f>IF(T[[#This Row],[qty_ordered]]&lt;&gt;T[[#This Row],[qty_received]],IF(T[[#This Row],[qty_received]]&gt;0,"Partial Received","Not Receviced"),"FullyReceived")</f>
        <v>FullyReceived</v>
      </c>
      <c r="Q3593" t="str">
        <f>IF(T[[#This Row],[qty_received]]&lt;&gt;T[[#This Row],[qty_invoiced]],IF(T[[#This Row],[qty_invoiced]]&gt;0,"Partial Invoiced","Not Invoiced"),"Fully Invoiced")</f>
        <v>Fully Invoiced</v>
      </c>
      <c r="R3593" t="str">
        <f>IFERROR(VLOOKUP(T[[#This Row],[warehouse]],Table2[],2,FALSE),"--")</f>
        <v>CRUSHER ELBALOLA</v>
      </c>
    </row>
    <row r="3594" spans="1:18" x14ac:dyDescent="0.25">
      <c r="A3594" t="s">
        <v>727</v>
      </c>
      <c r="B3594" s="1">
        <v>44581</v>
      </c>
      <c r="C3594" t="s">
        <v>1970</v>
      </c>
      <c r="D3594" t="s">
        <v>74</v>
      </c>
      <c r="E3594" t="s">
        <v>723</v>
      </c>
      <c r="F3594" t="s">
        <v>219</v>
      </c>
      <c r="G3594" t="s">
        <v>724</v>
      </c>
      <c r="H3594" t="s">
        <v>221</v>
      </c>
      <c r="I3594">
        <v>49800</v>
      </c>
      <c r="J3594">
        <v>0</v>
      </c>
      <c r="K3594">
        <v>0</v>
      </c>
      <c r="L3594" t="s">
        <v>693</v>
      </c>
      <c r="M3594" t="s">
        <v>132</v>
      </c>
      <c r="N3594">
        <v>25000</v>
      </c>
      <c r="O3594">
        <v>0</v>
      </c>
      <c r="P3594" t="str">
        <f>IF(T[[#This Row],[qty_ordered]]&lt;&gt;T[[#This Row],[qty_received]],IF(T[[#This Row],[qty_received]]&gt;0,"Partial Received","Not Receviced"),"FullyReceived")</f>
        <v>Not Receviced</v>
      </c>
      <c r="Q3594" t="str">
        <f>IF(T[[#This Row],[qty_received]]&lt;&gt;T[[#This Row],[qty_invoiced]],IF(T[[#This Row],[qty_invoiced]]&gt;0,"Partial Invoiced","Not Invoiced"),"Fully Invoiced")</f>
        <v>Fully Invoiced</v>
      </c>
      <c r="R3594" t="str">
        <f>IFERROR(VLOOKUP(T[[#This Row],[warehouse]],Table2[],2,FALSE),"--")</f>
        <v>YELLOW BEANS</v>
      </c>
    </row>
    <row r="3595" spans="1:18" x14ac:dyDescent="0.25">
      <c r="A3595" t="s">
        <v>1194</v>
      </c>
      <c r="B3595" s="1">
        <v>44586</v>
      </c>
      <c r="C3595" t="s">
        <v>1599</v>
      </c>
      <c r="D3595" t="s">
        <v>88</v>
      </c>
      <c r="E3595" t="s">
        <v>723</v>
      </c>
      <c r="F3595" t="s">
        <v>219</v>
      </c>
      <c r="G3595" t="s">
        <v>724</v>
      </c>
      <c r="H3595" t="s">
        <v>221</v>
      </c>
      <c r="I3595">
        <v>319673.48</v>
      </c>
      <c r="J3595">
        <v>0</v>
      </c>
      <c r="K3595">
        <v>0</v>
      </c>
      <c r="L3595" t="s">
        <v>693</v>
      </c>
      <c r="M3595" t="s">
        <v>132</v>
      </c>
      <c r="N3595">
        <v>24399.8970459999</v>
      </c>
      <c r="O3595">
        <v>0</v>
      </c>
      <c r="P3595" t="str">
        <f>IF(T[[#This Row],[qty_ordered]]&lt;&gt;T[[#This Row],[qty_received]],IF(T[[#This Row],[qty_received]]&gt;0,"Partial Received","Not Receviced"),"FullyReceived")</f>
        <v>Not Receviced</v>
      </c>
      <c r="Q3595" t="str">
        <f>IF(T[[#This Row],[qty_received]]&lt;&gt;T[[#This Row],[qty_invoiced]],IF(T[[#This Row],[qty_invoiced]]&gt;0,"Partial Invoiced","Not Invoiced"),"Fully Invoiced")</f>
        <v>Fully Invoiced</v>
      </c>
      <c r="R3595" t="str">
        <f>IFERROR(VLOOKUP(T[[#This Row],[warehouse]],Table2[],2,FALSE),"--")</f>
        <v>YELLOW BEANS</v>
      </c>
    </row>
    <row r="3596" spans="1:18" x14ac:dyDescent="0.25">
      <c r="A3596" t="s">
        <v>955</v>
      </c>
      <c r="B3596" s="1">
        <v>44586</v>
      </c>
      <c r="C3596" t="s">
        <v>1740</v>
      </c>
      <c r="D3596" t="s">
        <v>71</v>
      </c>
      <c r="E3596" t="s">
        <v>1551</v>
      </c>
      <c r="F3596" t="s">
        <v>486</v>
      </c>
      <c r="G3596" t="s">
        <v>487</v>
      </c>
      <c r="H3596" t="s">
        <v>24</v>
      </c>
      <c r="I3596">
        <v>1000</v>
      </c>
      <c r="J3596">
        <v>368.22</v>
      </c>
      <c r="K3596">
        <v>368.22</v>
      </c>
      <c r="L3596" t="s">
        <v>25</v>
      </c>
      <c r="M3596" t="s">
        <v>1485</v>
      </c>
      <c r="N3596">
        <v>511750</v>
      </c>
      <c r="O3596">
        <v>188436585</v>
      </c>
      <c r="P3596" t="str">
        <f>IF(T[[#This Row],[qty_ordered]]&lt;&gt;T[[#This Row],[qty_received]],IF(T[[#This Row],[qty_received]]&gt;0,"Partial Received","Not Receviced"),"FullyReceived")</f>
        <v>Partial Received</v>
      </c>
      <c r="Q3596" t="str">
        <f>IF(T[[#This Row],[qty_received]]&lt;&gt;T[[#This Row],[qty_invoiced]],IF(T[[#This Row],[qty_invoiced]]&gt;0,"Partial Invoiced","Not Invoiced"),"Fully Invoiced")</f>
        <v>Fully Invoiced</v>
      </c>
      <c r="R3596" t="str">
        <f>IFERROR(VLOOKUP(T[[#This Row],[warehouse]],Table2[],2,FALSE),"--")</f>
        <v xml:space="preserve">TEITAL SIFTING </v>
      </c>
    </row>
    <row r="3597" spans="1:18" x14ac:dyDescent="0.25">
      <c r="A3597" t="s">
        <v>1118</v>
      </c>
      <c r="B3597" s="1">
        <v>44579</v>
      </c>
      <c r="C3597" t="s">
        <v>1682</v>
      </c>
      <c r="D3597" t="s">
        <v>71</v>
      </c>
      <c r="E3597" t="s">
        <v>660</v>
      </c>
      <c r="F3597" t="s">
        <v>1439</v>
      </c>
      <c r="G3597" t="s">
        <v>1440</v>
      </c>
      <c r="H3597" t="s">
        <v>1087</v>
      </c>
      <c r="I3597">
        <v>935</v>
      </c>
      <c r="J3597">
        <v>0</v>
      </c>
      <c r="K3597">
        <v>0</v>
      </c>
      <c r="L3597" t="s">
        <v>25</v>
      </c>
      <c r="M3597" t="s">
        <v>1485</v>
      </c>
      <c r="N3597">
        <v>30000</v>
      </c>
      <c r="O3597">
        <v>0</v>
      </c>
      <c r="P3597" t="str">
        <f>IF(T[[#This Row],[qty_ordered]]&lt;&gt;T[[#This Row],[qty_received]],IF(T[[#This Row],[qty_received]]&gt;0,"Partial Received","Not Receviced"),"FullyReceived")</f>
        <v>Not Receviced</v>
      </c>
      <c r="Q3597" t="str">
        <f>IF(T[[#This Row],[qty_received]]&lt;&gt;T[[#This Row],[qty_invoiced]],IF(T[[#This Row],[qty_invoiced]]&gt;0,"Partial Invoiced","Not Invoiced"),"Fully Invoiced")</f>
        <v>Fully Invoiced</v>
      </c>
      <c r="R3597" t="str">
        <f>IFERROR(VLOOKUP(T[[#This Row],[warehouse]],Table2[],2,FALSE),"--")</f>
        <v>SLAUGHTER HOUSE</v>
      </c>
    </row>
    <row r="3598" spans="1:18" x14ac:dyDescent="0.25">
      <c r="A3598" t="s">
        <v>242</v>
      </c>
      <c r="B3598" s="1">
        <v>44581</v>
      </c>
      <c r="C3598" t="s">
        <v>1963</v>
      </c>
      <c r="D3598" t="s">
        <v>100</v>
      </c>
      <c r="E3598" t="s">
        <v>405</v>
      </c>
      <c r="F3598" t="s">
        <v>244</v>
      </c>
      <c r="G3598" t="s">
        <v>245</v>
      </c>
      <c r="H3598" t="s">
        <v>24</v>
      </c>
      <c r="I3598">
        <v>101.5</v>
      </c>
      <c r="J3598">
        <v>101.5</v>
      </c>
      <c r="K3598">
        <v>101.5</v>
      </c>
      <c r="L3598" t="s">
        <v>25</v>
      </c>
      <c r="M3598" t="s">
        <v>1485</v>
      </c>
      <c r="N3598">
        <v>840000</v>
      </c>
      <c r="O3598">
        <v>85260000</v>
      </c>
      <c r="P3598" t="str">
        <f>IF(T[[#This Row],[qty_ordered]]&lt;&gt;T[[#This Row],[qty_received]],IF(T[[#This Row],[qty_received]]&gt;0,"Partial Received","Not Receviced"),"FullyReceived")</f>
        <v>FullyReceived</v>
      </c>
      <c r="Q3598" t="str">
        <f>IF(T[[#This Row],[qty_received]]&lt;&gt;T[[#This Row],[qty_invoiced]],IF(T[[#This Row],[qty_invoiced]]&gt;0,"Partial Invoiced","Not Invoiced"),"Fully Invoiced")</f>
        <v>Fully Invoiced</v>
      </c>
      <c r="R3598" t="str">
        <f>IFERROR(VLOOKUP(T[[#This Row],[warehouse]],Table2[],2,FALSE),"--")</f>
        <v>GINNING ISHRAG-MDNI</v>
      </c>
    </row>
    <row r="3599" spans="1:18" x14ac:dyDescent="0.25">
      <c r="A3599" t="s">
        <v>560</v>
      </c>
      <c r="B3599" s="1">
        <v>44606</v>
      </c>
      <c r="C3599" t="s">
        <v>1544</v>
      </c>
      <c r="D3599" t="s">
        <v>20</v>
      </c>
      <c r="E3599" t="s">
        <v>51</v>
      </c>
      <c r="F3599" t="s">
        <v>164</v>
      </c>
      <c r="G3599" t="s">
        <v>2103</v>
      </c>
      <c r="H3599" t="s">
        <v>54</v>
      </c>
      <c r="I3599">
        <v>21.38</v>
      </c>
      <c r="J3599">
        <v>0</v>
      </c>
      <c r="K3599">
        <v>1</v>
      </c>
      <c r="L3599" t="s">
        <v>693</v>
      </c>
      <c r="M3599" t="s">
        <v>2836</v>
      </c>
      <c r="N3599">
        <v>5250</v>
      </c>
      <c r="O3599">
        <v>0</v>
      </c>
      <c r="P3599" t="str">
        <f>IF(T[[#This Row],[qty_ordered]]&lt;&gt;T[[#This Row],[qty_received]],IF(T[[#This Row],[qty_received]]&gt;0,"Partial Received","Not Receviced"),"FullyReceived")</f>
        <v>Not Receviced</v>
      </c>
      <c r="Q3599" t="str">
        <f>IF(T[[#This Row],[qty_received]]&lt;&gt;T[[#This Row],[qty_invoiced]],IF(T[[#This Row],[qty_invoiced]]&gt;0,"Partial Invoiced","Not Invoiced"),"Fully Invoiced")</f>
        <v>Partial Invoiced</v>
      </c>
      <c r="R3599" t="str">
        <f>IFERROR(VLOOKUP(T[[#This Row],[warehouse]],Table2[],2,FALSE),"--")</f>
        <v>--</v>
      </c>
    </row>
    <row r="3600" spans="1:18" x14ac:dyDescent="0.25">
      <c r="A3600" t="s">
        <v>2104</v>
      </c>
      <c r="B3600" s="1">
        <v>44598</v>
      </c>
      <c r="C3600" t="s">
        <v>2105</v>
      </c>
      <c r="D3600" t="s">
        <v>20</v>
      </c>
      <c r="E3600" t="s">
        <v>51</v>
      </c>
      <c r="F3600" t="s">
        <v>52</v>
      </c>
      <c r="G3600" t="s">
        <v>53</v>
      </c>
      <c r="H3600" t="s">
        <v>54</v>
      </c>
      <c r="I3600">
        <v>1</v>
      </c>
      <c r="J3600">
        <v>0</v>
      </c>
      <c r="K3600">
        <v>1</v>
      </c>
      <c r="L3600" t="s">
        <v>693</v>
      </c>
      <c r="M3600" t="s">
        <v>132</v>
      </c>
      <c r="N3600">
        <v>1520000</v>
      </c>
      <c r="O3600">
        <v>0</v>
      </c>
      <c r="P3600" t="str">
        <f>IF(T[[#This Row],[qty_ordered]]&lt;&gt;T[[#This Row],[qty_received]],IF(T[[#This Row],[qty_received]]&gt;0,"Partial Received","Not Receviced"),"FullyReceived")</f>
        <v>Not Receviced</v>
      </c>
      <c r="Q3600" t="str">
        <f>IF(T[[#This Row],[qty_received]]&lt;&gt;T[[#This Row],[qty_invoiced]],IF(T[[#This Row],[qty_invoiced]]&gt;0,"Partial Invoiced","Not Invoiced"),"Fully Invoiced")</f>
        <v>Partial Invoiced</v>
      </c>
      <c r="R3600" t="str">
        <f>IFERROR(VLOOKUP(T[[#This Row],[warehouse]],Table2[],2,FALSE),"--")</f>
        <v>--</v>
      </c>
    </row>
    <row r="3601" spans="1:18" x14ac:dyDescent="0.25">
      <c r="A3601" t="s">
        <v>560</v>
      </c>
      <c r="B3601" s="1">
        <v>44606</v>
      </c>
      <c r="C3601" t="s">
        <v>1544</v>
      </c>
      <c r="D3601" t="s">
        <v>71</v>
      </c>
      <c r="E3601" t="s">
        <v>51</v>
      </c>
      <c r="F3601" t="s">
        <v>164</v>
      </c>
      <c r="G3601" t="s">
        <v>2103</v>
      </c>
      <c r="H3601" t="s">
        <v>54</v>
      </c>
      <c r="I3601">
        <v>31.5</v>
      </c>
      <c r="J3601">
        <v>0</v>
      </c>
      <c r="K3601">
        <v>1</v>
      </c>
      <c r="L3601" t="s">
        <v>693</v>
      </c>
      <c r="M3601" t="s">
        <v>2836</v>
      </c>
      <c r="N3601">
        <v>5250</v>
      </c>
      <c r="O3601">
        <v>0</v>
      </c>
      <c r="P3601" t="str">
        <f>IF(T[[#This Row],[qty_ordered]]&lt;&gt;T[[#This Row],[qty_received]],IF(T[[#This Row],[qty_received]]&gt;0,"Partial Received","Not Receviced"),"FullyReceived")</f>
        <v>Not Receviced</v>
      </c>
      <c r="Q3601" t="str">
        <f>IF(T[[#This Row],[qty_received]]&lt;&gt;T[[#This Row],[qty_invoiced]],IF(T[[#This Row],[qty_invoiced]]&gt;0,"Partial Invoiced","Not Invoiced"),"Fully Invoiced")</f>
        <v>Partial Invoiced</v>
      </c>
      <c r="R3601" t="str">
        <f>IFERROR(VLOOKUP(T[[#This Row],[warehouse]],Table2[],2,FALSE),"--")</f>
        <v>--</v>
      </c>
    </row>
    <row r="3602" spans="1:18" x14ac:dyDescent="0.25">
      <c r="A3602" t="s">
        <v>560</v>
      </c>
      <c r="B3602" s="1">
        <v>44572</v>
      </c>
      <c r="C3602" t="s">
        <v>1651</v>
      </c>
      <c r="D3602" t="s">
        <v>71</v>
      </c>
      <c r="E3602" t="s">
        <v>51</v>
      </c>
      <c r="F3602" t="s">
        <v>164</v>
      </c>
      <c r="G3602" t="s">
        <v>2106</v>
      </c>
      <c r="H3602" t="s">
        <v>54</v>
      </c>
      <c r="I3602">
        <v>7</v>
      </c>
      <c r="J3602">
        <v>0</v>
      </c>
      <c r="K3602">
        <v>1</v>
      </c>
      <c r="L3602" t="s">
        <v>693</v>
      </c>
      <c r="M3602" t="s">
        <v>2836</v>
      </c>
      <c r="N3602">
        <v>5250</v>
      </c>
      <c r="O3602">
        <v>0</v>
      </c>
      <c r="P3602" t="str">
        <f>IF(T[[#This Row],[qty_ordered]]&lt;&gt;T[[#This Row],[qty_received]],IF(T[[#This Row],[qty_received]]&gt;0,"Partial Received","Not Receviced"),"FullyReceived")</f>
        <v>Not Receviced</v>
      </c>
      <c r="Q3602" t="str">
        <f>IF(T[[#This Row],[qty_received]]&lt;&gt;T[[#This Row],[qty_invoiced]],IF(T[[#This Row],[qty_invoiced]]&gt;0,"Partial Invoiced","Not Invoiced"),"Fully Invoiced")</f>
        <v>Partial Invoiced</v>
      </c>
      <c r="R3602" t="str">
        <f>IFERROR(VLOOKUP(T[[#This Row],[warehouse]],Table2[],2,FALSE),"--")</f>
        <v>--</v>
      </c>
    </row>
    <row r="3603" spans="1:18" x14ac:dyDescent="0.25">
      <c r="A3603" t="s">
        <v>560</v>
      </c>
      <c r="B3603" s="1">
        <v>44606</v>
      </c>
      <c r="C3603" t="s">
        <v>1546</v>
      </c>
      <c r="D3603" t="s">
        <v>20</v>
      </c>
      <c r="E3603" t="s">
        <v>51</v>
      </c>
      <c r="F3603" t="s">
        <v>164</v>
      </c>
      <c r="G3603" t="s">
        <v>2107</v>
      </c>
      <c r="H3603" t="s">
        <v>54</v>
      </c>
      <c r="I3603">
        <v>12.88</v>
      </c>
      <c r="J3603">
        <v>0</v>
      </c>
      <c r="K3603">
        <v>1</v>
      </c>
      <c r="L3603" t="s">
        <v>693</v>
      </c>
      <c r="M3603" t="s">
        <v>2836</v>
      </c>
      <c r="N3603">
        <v>5250</v>
      </c>
      <c r="O3603">
        <v>0</v>
      </c>
      <c r="P3603" t="str">
        <f>IF(T[[#This Row],[qty_ordered]]&lt;&gt;T[[#This Row],[qty_received]],IF(T[[#This Row],[qty_received]]&gt;0,"Partial Received","Not Receviced"),"FullyReceived")</f>
        <v>Not Receviced</v>
      </c>
      <c r="Q3603" t="str">
        <f>IF(T[[#This Row],[qty_received]]&lt;&gt;T[[#This Row],[qty_invoiced]],IF(T[[#This Row],[qty_invoiced]]&gt;0,"Partial Invoiced","Not Invoiced"),"Fully Invoiced")</f>
        <v>Partial Invoiced</v>
      </c>
      <c r="R3603" t="str">
        <f>IFERROR(VLOOKUP(T[[#This Row],[warehouse]],Table2[],2,FALSE),"--")</f>
        <v>--</v>
      </c>
    </row>
    <row r="3604" spans="1:18" x14ac:dyDescent="0.25">
      <c r="A3604" t="s">
        <v>560</v>
      </c>
      <c r="B3604" s="1">
        <v>44606</v>
      </c>
      <c r="C3604" t="s">
        <v>1546</v>
      </c>
      <c r="D3604" t="s">
        <v>71</v>
      </c>
      <c r="E3604" t="s">
        <v>51</v>
      </c>
      <c r="F3604" t="s">
        <v>164</v>
      </c>
      <c r="G3604" t="s">
        <v>2107</v>
      </c>
      <c r="H3604" t="s">
        <v>54</v>
      </c>
      <c r="I3604">
        <v>3</v>
      </c>
      <c r="J3604">
        <v>0</v>
      </c>
      <c r="K3604">
        <v>1</v>
      </c>
      <c r="L3604" t="s">
        <v>693</v>
      </c>
      <c r="M3604" t="s">
        <v>2836</v>
      </c>
      <c r="N3604">
        <v>5250</v>
      </c>
      <c r="O3604">
        <v>0</v>
      </c>
      <c r="P3604" t="str">
        <f>IF(T[[#This Row],[qty_ordered]]&lt;&gt;T[[#This Row],[qty_received]],IF(T[[#This Row],[qty_received]]&gt;0,"Partial Received","Not Receviced"),"FullyReceived")</f>
        <v>Not Receviced</v>
      </c>
      <c r="Q3604" t="str">
        <f>IF(T[[#This Row],[qty_received]]&lt;&gt;T[[#This Row],[qty_invoiced]],IF(T[[#This Row],[qty_invoiced]]&gt;0,"Partial Invoiced","Not Invoiced"),"Fully Invoiced")</f>
        <v>Partial Invoiced</v>
      </c>
      <c r="R3604" t="str">
        <f>IFERROR(VLOOKUP(T[[#This Row],[warehouse]],Table2[],2,FALSE),"--")</f>
        <v>--</v>
      </c>
    </row>
    <row r="3605" spans="1:18" x14ac:dyDescent="0.25">
      <c r="A3605" t="s">
        <v>228</v>
      </c>
      <c r="B3605" s="1">
        <v>44537</v>
      </c>
      <c r="C3605" t="s">
        <v>1492</v>
      </c>
      <c r="D3605" t="s">
        <v>100</v>
      </c>
      <c r="E3605" t="s">
        <v>621</v>
      </c>
      <c r="F3605" t="s">
        <v>196</v>
      </c>
      <c r="G3605" t="s">
        <v>197</v>
      </c>
      <c r="H3605" t="s">
        <v>24</v>
      </c>
      <c r="I3605">
        <v>4210.53</v>
      </c>
      <c r="J3605">
        <v>0</v>
      </c>
      <c r="K3605">
        <v>0</v>
      </c>
      <c r="L3605" t="s">
        <v>25</v>
      </c>
      <c r="M3605" t="s">
        <v>1485</v>
      </c>
      <c r="N3605">
        <v>118749.896093</v>
      </c>
      <c r="O3605">
        <v>0</v>
      </c>
      <c r="P3605" t="str">
        <f>IF(T[[#This Row],[qty_ordered]]&lt;&gt;T[[#This Row],[qty_received]],IF(T[[#This Row],[qty_received]]&gt;0,"Partial Received","Not Receviced"),"FullyReceived")</f>
        <v>Not Receviced</v>
      </c>
      <c r="Q3605" t="str">
        <f>IF(T[[#This Row],[qty_received]]&lt;&gt;T[[#This Row],[qty_invoiced]],IF(T[[#This Row],[qty_invoiced]]&gt;0,"Partial Invoiced","Not Invoiced"),"Fully Invoiced")</f>
        <v>Fully Invoiced</v>
      </c>
      <c r="R3605" t="str">
        <f>IFERROR(VLOOKUP(T[[#This Row],[warehouse]],Table2[],2,FALSE),"--")</f>
        <v>SIFTER CONCRETE SILO</v>
      </c>
    </row>
    <row r="3606" spans="1:18" x14ac:dyDescent="0.25">
      <c r="A3606" t="s">
        <v>252</v>
      </c>
      <c r="B3606" s="1">
        <v>44531</v>
      </c>
      <c r="C3606" t="s">
        <v>1491</v>
      </c>
      <c r="D3606" t="s">
        <v>74</v>
      </c>
      <c r="E3606" t="s">
        <v>51</v>
      </c>
      <c r="F3606" t="s">
        <v>183</v>
      </c>
      <c r="G3606" t="s">
        <v>2108</v>
      </c>
      <c r="H3606" t="s">
        <v>54</v>
      </c>
      <c r="I3606">
        <v>400</v>
      </c>
      <c r="J3606">
        <v>0</v>
      </c>
      <c r="K3606">
        <v>1</v>
      </c>
      <c r="L3606" t="s">
        <v>693</v>
      </c>
      <c r="M3606" t="s">
        <v>533</v>
      </c>
      <c r="N3606">
        <v>6250</v>
      </c>
      <c r="O3606">
        <v>0</v>
      </c>
      <c r="P3606" t="str">
        <f>IF(T[[#This Row],[qty_ordered]]&lt;&gt;T[[#This Row],[qty_received]],IF(T[[#This Row],[qty_received]]&gt;0,"Partial Received","Not Receviced"),"FullyReceived")</f>
        <v>Not Receviced</v>
      </c>
      <c r="Q3606" t="str">
        <f>IF(T[[#This Row],[qty_received]]&lt;&gt;T[[#This Row],[qty_invoiced]],IF(T[[#This Row],[qty_invoiced]]&gt;0,"Partial Invoiced","Not Invoiced"),"Fully Invoiced")</f>
        <v>Partial Invoiced</v>
      </c>
      <c r="R3606" t="str">
        <f>IFERROR(VLOOKUP(T[[#This Row],[warehouse]],Table2[],2,FALSE),"--")</f>
        <v>--</v>
      </c>
    </row>
    <row r="3607" spans="1:18" x14ac:dyDescent="0.25">
      <c r="A3607" t="s">
        <v>84</v>
      </c>
      <c r="B3607" s="1">
        <v>44559</v>
      </c>
      <c r="C3607" t="s">
        <v>1515</v>
      </c>
      <c r="D3607" t="s">
        <v>100</v>
      </c>
      <c r="E3607" t="s">
        <v>268</v>
      </c>
      <c r="F3607" t="s">
        <v>108</v>
      </c>
      <c r="G3607" t="s">
        <v>109</v>
      </c>
      <c r="H3607" t="s">
        <v>24</v>
      </c>
      <c r="I3607">
        <v>1000</v>
      </c>
      <c r="J3607">
        <v>34.72</v>
      </c>
      <c r="K3607">
        <v>34.72</v>
      </c>
      <c r="L3607" t="s">
        <v>25</v>
      </c>
      <c r="M3607" t="s">
        <v>1485</v>
      </c>
      <c r="N3607">
        <v>513126.717</v>
      </c>
      <c r="O3607">
        <v>17815759.614239998</v>
      </c>
      <c r="P3607" t="str">
        <f>IF(T[[#This Row],[qty_ordered]]&lt;&gt;T[[#This Row],[qty_received]],IF(T[[#This Row],[qty_received]]&gt;0,"Partial Received","Not Receviced"),"FullyReceived")</f>
        <v>Partial Received</v>
      </c>
      <c r="Q3607" t="str">
        <f>IF(T[[#This Row],[qty_received]]&lt;&gt;T[[#This Row],[qty_invoiced]],IF(T[[#This Row],[qty_invoiced]]&gt;0,"Partial Invoiced","Not Invoiced"),"Fully Invoiced")</f>
        <v>Fully Invoiced</v>
      </c>
      <c r="R3607" t="str">
        <f>IFERROR(VLOOKUP(T[[#This Row],[warehouse]],Table2[],2,FALSE),"--")</f>
        <v>SIFTING- HASABO</v>
      </c>
    </row>
    <row r="3608" spans="1:18" x14ac:dyDescent="0.25">
      <c r="A3608" t="s">
        <v>1059</v>
      </c>
      <c r="B3608" s="1">
        <v>44594</v>
      </c>
      <c r="C3608" t="s">
        <v>1560</v>
      </c>
      <c r="D3608" t="s">
        <v>71</v>
      </c>
      <c r="E3608" t="s">
        <v>51</v>
      </c>
      <c r="F3608" t="s">
        <v>266</v>
      </c>
      <c r="G3608" t="s">
        <v>2109</v>
      </c>
      <c r="H3608" t="s">
        <v>54</v>
      </c>
      <c r="I3608">
        <v>135420</v>
      </c>
      <c r="J3608">
        <v>0</v>
      </c>
      <c r="K3608">
        <v>1</v>
      </c>
      <c r="L3608" t="s">
        <v>693</v>
      </c>
      <c r="M3608" t="s">
        <v>533</v>
      </c>
      <c r="N3608">
        <v>111.50003700000001</v>
      </c>
      <c r="O3608">
        <v>0</v>
      </c>
      <c r="P3608" t="str">
        <f>IF(T[[#This Row],[qty_ordered]]&lt;&gt;T[[#This Row],[qty_received]],IF(T[[#This Row],[qty_received]]&gt;0,"Partial Received","Not Receviced"),"FullyReceived")</f>
        <v>Not Receviced</v>
      </c>
      <c r="Q3608" t="str">
        <f>IF(T[[#This Row],[qty_received]]&lt;&gt;T[[#This Row],[qty_invoiced]],IF(T[[#This Row],[qty_invoiced]]&gt;0,"Partial Invoiced","Not Invoiced"),"Fully Invoiced")</f>
        <v>Partial Invoiced</v>
      </c>
      <c r="R3608" t="str">
        <f>IFERROR(VLOOKUP(T[[#This Row],[warehouse]],Table2[],2,FALSE),"--")</f>
        <v>--</v>
      </c>
    </row>
    <row r="3609" spans="1:18" x14ac:dyDescent="0.25">
      <c r="A3609" t="s">
        <v>1059</v>
      </c>
      <c r="B3609" s="1">
        <v>44594</v>
      </c>
      <c r="C3609" t="s">
        <v>1560</v>
      </c>
      <c r="D3609" t="s">
        <v>100</v>
      </c>
      <c r="E3609" t="s">
        <v>51</v>
      </c>
      <c r="F3609" t="s">
        <v>164</v>
      </c>
      <c r="G3609" t="s">
        <v>2110</v>
      </c>
      <c r="H3609" t="s">
        <v>54</v>
      </c>
      <c r="I3609">
        <v>28000</v>
      </c>
      <c r="J3609">
        <v>0</v>
      </c>
      <c r="K3609">
        <v>1</v>
      </c>
      <c r="L3609" t="s">
        <v>693</v>
      </c>
      <c r="M3609" t="s">
        <v>533</v>
      </c>
      <c r="N3609">
        <v>75</v>
      </c>
      <c r="O3609">
        <v>0</v>
      </c>
      <c r="P3609" t="str">
        <f>IF(T[[#This Row],[qty_ordered]]&lt;&gt;T[[#This Row],[qty_received]],IF(T[[#This Row],[qty_received]]&gt;0,"Partial Received","Not Receviced"),"FullyReceived")</f>
        <v>Not Receviced</v>
      </c>
      <c r="Q3609" t="str">
        <f>IF(T[[#This Row],[qty_received]]&lt;&gt;T[[#This Row],[qty_invoiced]],IF(T[[#This Row],[qty_invoiced]]&gt;0,"Partial Invoiced","Not Invoiced"),"Fully Invoiced")</f>
        <v>Partial Invoiced</v>
      </c>
      <c r="R3609" t="str">
        <f>IFERROR(VLOOKUP(T[[#This Row],[warehouse]],Table2[],2,FALSE),"--")</f>
        <v>--</v>
      </c>
    </row>
    <row r="3610" spans="1:18" x14ac:dyDescent="0.25">
      <c r="A3610" t="s">
        <v>1059</v>
      </c>
      <c r="B3610" s="1">
        <v>44594</v>
      </c>
      <c r="C3610" t="s">
        <v>1560</v>
      </c>
      <c r="D3610" t="s">
        <v>88</v>
      </c>
      <c r="E3610" t="s">
        <v>51</v>
      </c>
      <c r="F3610" t="s">
        <v>278</v>
      </c>
      <c r="G3610" t="s">
        <v>2111</v>
      </c>
      <c r="H3610" t="s">
        <v>54</v>
      </c>
      <c r="I3610">
        <v>10043</v>
      </c>
      <c r="J3610">
        <v>0</v>
      </c>
      <c r="K3610">
        <v>1</v>
      </c>
      <c r="L3610" t="s">
        <v>693</v>
      </c>
      <c r="M3610" t="s">
        <v>533</v>
      </c>
      <c r="N3610">
        <v>646.71910800000001</v>
      </c>
      <c r="O3610">
        <v>0</v>
      </c>
      <c r="P3610" t="str">
        <f>IF(T[[#This Row],[qty_ordered]]&lt;&gt;T[[#This Row],[qty_received]],IF(T[[#This Row],[qty_received]]&gt;0,"Partial Received","Not Receviced"),"FullyReceived")</f>
        <v>Not Receviced</v>
      </c>
      <c r="Q3610" t="str">
        <f>IF(T[[#This Row],[qty_received]]&lt;&gt;T[[#This Row],[qty_invoiced]],IF(T[[#This Row],[qty_invoiced]]&gt;0,"Partial Invoiced","Not Invoiced"),"Fully Invoiced")</f>
        <v>Partial Invoiced</v>
      </c>
      <c r="R3610" t="str">
        <f>IFERROR(VLOOKUP(T[[#This Row],[warehouse]],Table2[],2,FALSE),"--")</f>
        <v>--</v>
      </c>
    </row>
    <row r="3611" spans="1:18" x14ac:dyDescent="0.25">
      <c r="A3611" t="s">
        <v>1059</v>
      </c>
      <c r="B3611" s="1">
        <v>44594</v>
      </c>
      <c r="C3611" t="s">
        <v>1560</v>
      </c>
      <c r="D3611" t="s">
        <v>74</v>
      </c>
      <c r="E3611" t="s">
        <v>51</v>
      </c>
      <c r="F3611" t="s">
        <v>267</v>
      </c>
      <c r="G3611" t="s">
        <v>2112</v>
      </c>
      <c r="H3611" t="s">
        <v>54</v>
      </c>
      <c r="I3611">
        <v>10000</v>
      </c>
      <c r="J3611">
        <v>0</v>
      </c>
      <c r="K3611">
        <v>1</v>
      </c>
      <c r="L3611" t="s">
        <v>693</v>
      </c>
      <c r="M3611" t="s">
        <v>533</v>
      </c>
      <c r="N3611">
        <v>1000</v>
      </c>
      <c r="O3611">
        <v>0</v>
      </c>
      <c r="P3611" t="str">
        <f>IF(T[[#This Row],[qty_ordered]]&lt;&gt;T[[#This Row],[qty_received]],IF(T[[#This Row],[qty_received]]&gt;0,"Partial Received","Not Receviced"),"FullyReceived")</f>
        <v>Not Receviced</v>
      </c>
      <c r="Q3611" t="str">
        <f>IF(T[[#This Row],[qty_received]]&lt;&gt;T[[#This Row],[qty_invoiced]],IF(T[[#This Row],[qty_invoiced]]&gt;0,"Partial Invoiced","Not Invoiced"),"Fully Invoiced")</f>
        <v>Partial Invoiced</v>
      </c>
      <c r="R3611" t="str">
        <f>IFERROR(VLOOKUP(T[[#This Row],[warehouse]],Table2[],2,FALSE),"--")</f>
        <v>--</v>
      </c>
    </row>
    <row r="3612" spans="1:18" x14ac:dyDescent="0.25">
      <c r="A3612" t="s">
        <v>1059</v>
      </c>
      <c r="B3612" s="1">
        <v>44594</v>
      </c>
      <c r="C3612" t="s">
        <v>1560</v>
      </c>
      <c r="D3612" t="s">
        <v>76</v>
      </c>
      <c r="E3612" t="s">
        <v>51</v>
      </c>
      <c r="F3612" t="s">
        <v>183</v>
      </c>
      <c r="G3612" t="s">
        <v>2113</v>
      </c>
      <c r="H3612" t="s">
        <v>54</v>
      </c>
      <c r="I3612">
        <v>10044</v>
      </c>
      <c r="J3612">
        <v>0</v>
      </c>
      <c r="K3612">
        <v>1</v>
      </c>
      <c r="L3612" t="s">
        <v>693</v>
      </c>
      <c r="M3612" t="s">
        <v>533</v>
      </c>
      <c r="N3612">
        <v>2000</v>
      </c>
      <c r="O3612">
        <v>0</v>
      </c>
      <c r="P3612" t="str">
        <f>IF(T[[#This Row],[qty_ordered]]&lt;&gt;T[[#This Row],[qty_received]],IF(T[[#This Row],[qty_received]]&gt;0,"Partial Received","Not Receviced"),"FullyReceived")</f>
        <v>Not Receviced</v>
      </c>
      <c r="Q3612" t="str">
        <f>IF(T[[#This Row],[qty_received]]&lt;&gt;T[[#This Row],[qty_invoiced]],IF(T[[#This Row],[qty_invoiced]]&gt;0,"Partial Invoiced","Not Invoiced"),"Fully Invoiced")</f>
        <v>Partial Invoiced</v>
      </c>
      <c r="R3612" t="str">
        <f>IFERROR(VLOOKUP(T[[#This Row],[warehouse]],Table2[],2,FALSE),"--")</f>
        <v>--</v>
      </c>
    </row>
    <row r="3613" spans="1:18" x14ac:dyDescent="0.25">
      <c r="A3613" t="s">
        <v>1059</v>
      </c>
      <c r="B3613" s="1">
        <v>44594</v>
      </c>
      <c r="C3613" t="s">
        <v>1560</v>
      </c>
      <c r="D3613" t="s">
        <v>212</v>
      </c>
      <c r="E3613" t="s">
        <v>51</v>
      </c>
      <c r="F3613" t="s">
        <v>262</v>
      </c>
      <c r="G3613" t="s">
        <v>2114</v>
      </c>
      <c r="H3613" t="s">
        <v>54</v>
      </c>
      <c r="I3613">
        <v>93700</v>
      </c>
      <c r="J3613">
        <v>0</v>
      </c>
      <c r="K3613">
        <v>1</v>
      </c>
      <c r="L3613" t="s">
        <v>693</v>
      </c>
      <c r="M3613" t="s">
        <v>533</v>
      </c>
      <c r="N3613">
        <v>45.346339999999998</v>
      </c>
      <c r="O3613">
        <v>0</v>
      </c>
      <c r="P3613" t="str">
        <f>IF(T[[#This Row],[qty_ordered]]&lt;&gt;T[[#This Row],[qty_received]],IF(T[[#This Row],[qty_received]]&gt;0,"Partial Received","Not Receviced"),"FullyReceived")</f>
        <v>Not Receviced</v>
      </c>
      <c r="Q3613" t="str">
        <f>IF(T[[#This Row],[qty_received]]&lt;&gt;T[[#This Row],[qty_invoiced]],IF(T[[#This Row],[qty_invoiced]]&gt;0,"Partial Invoiced","Not Invoiced"),"Fully Invoiced")</f>
        <v>Partial Invoiced</v>
      </c>
      <c r="R3613" t="str">
        <f>IFERROR(VLOOKUP(T[[#This Row],[warehouse]],Table2[],2,FALSE),"--")</f>
        <v>--</v>
      </c>
    </row>
    <row r="3614" spans="1:18" x14ac:dyDescent="0.25">
      <c r="A3614" t="s">
        <v>1059</v>
      </c>
      <c r="B3614" s="1">
        <v>44594</v>
      </c>
      <c r="C3614" t="s">
        <v>1560</v>
      </c>
      <c r="D3614" t="s">
        <v>322</v>
      </c>
      <c r="E3614" t="s">
        <v>51</v>
      </c>
      <c r="F3614" t="s">
        <v>278</v>
      </c>
      <c r="G3614" t="s">
        <v>2115</v>
      </c>
      <c r="H3614" t="s">
        <v>54</v>
      </c>
      <c r="I3614">
        <v>1140</v>
      </c>
      <c r="J3614">
        <v>0</v>
      </c>
      <c r="K3614">
        <v>1</v>
      </c>
      <c r="L3614" t="s">
        <v>693</v>
      </c>
      <c r="M3614" t="s">
        <v>533</v>
      </c>
      <c r="N3614">
        <v>500</v>
      </c>
      <c r="O3614">
        <v>0</v>
      </c>
      <c r="P3614" t="str">
        <f>IF(T[[#This Row],[qty_ordered]]&lt;&gt;T[[#This Row],[qty_received]],IF(T[[#This Row],[qty_received]]&gt;0,"Partial Received","Not Receviced"),"FullyReceived")</f>
        <v>Not Receviced</v>
      </c>
      <c r="Q3614" t="str">
        <f>IF(T[[#This Row],[qty_received]]&lt;&gt;T[[#This Row],[qty_invoiced]],IF(T[[#This Row],[qty_invoiced]]&gt;0,"Partial Invoiced","Not Invoiced"),"Fully Invoiced")</f>
        <v>Partial Invoiced</v>
      </c>
      <c r="R3614" t="str">
        <f>IFERROR(VLOOKUP(T[[#This Row],[warehouse]],Table2[],2,FALSE),"--")</f>
        <v>--</v>
      </c>
    </row>
    <row r="3615" spans="1:18" x14ac:dyDescent="0.25">
      <c r="A3615" t="s">
        <v>1059</v>
      </c>
      <c r="B3615" s="1">
        <v>44594</v>
      </c>
      <c r="C3615" t="s">
        <v>1560</v>
      </c>
      <c r="D3615" t="s">
        <v>323</v>
      </c>
      <c r="E3615" t="s">
        <v>51</v>
      </c>
      <c r="F3615" t="s">
        <v>278</v>
      </c>
      <c r="G3615" t="s">
        <v>2115</v>
      </c>
      <c r="H3615" t="s">
        <v>54</v>
      </c>
      <c r="I3615">
        <v>456</v>
      </c>
      <c r="J3615">
        <v>0</v>
      </c>
      <c r="K3615">
        <v>1</v>
      </c>
      <c r="L3615" t="s">
        <v>693</v>
      </c>
      <c r="M3615" t="s">
        <v>533</v>
      </c>
      <c r="N3615">
        <v>750</v>
      </c>
      <c r="O3615">
        <v>0</v>
      </c>
      <c r="P3615" t="str">
        <f>IF(T[[#This Row],[qty_ordered]]&lt;&gt;T[[#This Row],[qty_received]],IF(T[[#This Row],[qty_received]]&gt;0,"Partial Received","Not Receviced"),"FullyReceived")</f>
        <v>Not Receviced</v>
      </c>
      <c r="Q3615" t="str">
        <f>IF(T[[#This Row],[qty_received]]&lt;&gt;T[[#This Row],[qty_invoiced]],IF(T[[#This Row],[qty_invoiced]]&gt;0,"Partial Invoiced","Not Invoiced"),"Fully Invoiced")</f>
        <v>Partial Invoiced</v>
      </c>
      <c r="R3615" t="str">
        <f>IFERROR(VLOOKUP(T[[#This Row],[warehouse]],Table2[],2,FALSE),"--")</f>
        <v>--</v>
      </c>
    </row>
    <row r="3616" spans="1:18" x14ac:dyDescent="0.25">
      <c r="A3616" t="s">
        <v>1059</v>
      </c>
      <c r="B3616" s="1">
        <v>44594</v>
      </c>
      <c r="C3616" t="s">
        <v>1560</v>
      </c>
      <c r="D3616" t="s">
        <v>324</v>
      </c>
      <c r="E3616" t="s">
        <v>51</v>
      </c>
      <c r="F3616" t="s">
        <v>753</v>
      </c>
      <c r="G3616" t="s">
        <v>2116</v>
      </c>
      <c r="H3616" t="s">
        <v>54</v>
      </c>
      <c r="I3616">
        <v>228</v>
      </c>
      <c r="J3616">
        <v>0</v>
      </c>
      <c r="K3616">
        <v>1</v>
      </c>
      <c r="L3616" t="s">
        <v>693</v>
      </c>
      <c r="M3616" t="s">
        <v>533</v>
      </c>
      <c r="N3616">
        <v>680</v>
      </c>
      <c r="O3616">
        <v>0</v>
      </c>
      <c r="P3616" t="str">
        <f>IF(T[[#This Row],[qty_ordered]]&lt;&gt;T[[#This Row],[qty_received]],IF(T[[#This Row],[qty_received]]&gt;0,"Partial Received","Not Receviced"),"FullyReceived")</f>
        <v>Not Receviced</v>
      </c>
      <c r="Q3616" t="str">
        <f>IF(T[[#This Row],[qty_received]]&lt;&gt;T[[#This Row],[qty_invoiced]],IF(T[[#This Row],[qty_invoiced]]&gt;0,"Partial Invoiced","Not Invoiced"),"Fully Invoiced")</f>
        <v>Partial Invoiced</v>
      </c>
      <c r="R3616" t="str">
        <f>IFERROR(VLOOKUP(T[[#This Row],[warehouse]],Table2[],2,FALSE),"--")</f>
        <v>--</v>
      </c>
    </row>
    <row r="3617" spans="1:18" x14ac:dyDescent="0.25">
      <c r="A3617" t="s">
        <v>985</v>
      </c>
      <c r="B3617" s="1">
        <v>44531</v>
      </c>
      <c r="C3617" t="s">
        <v>1489</v>
      </c>
      <c r="D3617" t="s">
        <v>323</v>
      </c>
      <c r="E3617" t="s">
        <v>51</v>
      </c>
      <c r="F3617" t="s">
        <v>183</v>
      </c>
      <c r="G3617" t="s">
        <v>2117</v>
      </c>
      <c r="H3617" t="s">
        <v>54</v>
      </c>
      <c r="I3617">
        <v>500</v>
      </c>
      <c r="J3617">
        <v>0</v>
      </c>
      <c r="K3617">
        <v>1</v>
      </c>
      <c r="L3617" t="s">
        <v>693</v>
      </c>
      <c r="M3617" t="s">
        <v>533</v>
      </c>
      <c r="N3617">
        <v>6000</v>
      </c>
      <c r="O3617">
        <v>0</v>
      </c>
      <c r="P3617" t="str">
        <f>IF(T[[#This Row],[qty_ordered]]&lt;&gt;T[[#This Row],[qty_received]],IF(T[[#This Row],[qty_received]]&gt;0,"Partial Received","Not Receviced"),"FullyReceived")</f>
        <v>Not Receviced</v>
      </c>
      <c r="Q3617" t="str">
        <f>IF(T[[#This Row],[qty_received]]&lt;&gt;T[[#This Row],[qty_invoiced]],IF(T[[#This Row],[qty_invoiced]]&gt;0,"Partial Invoiced","Not Invoiced"),"Fully Invoiced")</f>
        <v>Partial Invoiced</v>
      </c>
      <c r="R3617" t="str">
        <f>IFERROR(VLOOKUP(T[[#This Row],[warehouse]],Table2[],2,FALSE),"--")</f>
        <v>--</v>
      </c>
    </row>
    <row r="3618" spans="1:18" x14ac:dyDescent="0.25">
      <c r="A3618" t="s">
        <v>84</v>
      </c>
      <c r="B3618" s="1">
        <v>44598</v>
      </c>
      <c r="C3618" t="s">
        <v>2094</v>
      </c>
      <c r="D3618" t="s">
        <v>71</v>
      </c>
      <c r="E3618" t="s">
        <v>192</v>
      </c>
      <c r="F3618" t="s">
        <v>86</v>
      </c>
      <c r="G3618" t="s">
        <v>87</v>
      </c>
      <c r="H3618" t="s">
        <v>24</v>
      </c>
      <c r="I3618">
        <v>1000</v>
      </c>
      <c r="J3618">
        <v>365.98</v>
      </c>
      <c r="K3618">
        <v>365.98</v>
      </c>
      <c r="L3618" t="s">
        <v>25</v>
      </c>
      <c r="M3618" t="s">
        <v>1485</v>
      </c>
      <c r="N3618">
        <v>538450</v>
      </c>
      <c r="O3618">
        <v>197061931</v>
      </c>
      <c r="P3618" t="str">
        <f>IF(T[[#This Row],[qty_ordered]]&lt;&gt;T[[#This Row],[qty_received]],IF(T[[#This Row],[qty_received]]&gt;0,"Partial Received","Not Receviced"),"FullyReceived")</f>
        <v>Partial Received</v>
      </c>
      <c r="Q3618" t="str">
        <f>IF(T[[#This Row],[qty_received]]&lt;&gt;T[[#This Row],[qty_invoiced]],IF(T[[#This Row],[qty_invoiced]]&gt;0,"Partial Invoiced","Not Invoiced"),"Fully Invoiced")</f>
        <v>Fully Invoiced</v>
      </c>
      <c r="R3618" t="str">
        <f>IFERROR(VLOOKUP(T[[#This Row],[warehouse]],Table2[],2,FALSE),"--")</f>
        <v>BAYADER SIFTER-OMD</v>
      </c>
    </row>
    <row r="3619" spans="1:18" x14ac:dyDescent="0.25">
      <c r="A3619" t="s">
        <v>1591</v>
      </c>
      <c r="B3619" s="1">
        <v>44594</v>
      </c>
      <c r="C3619" t="s">
        <v>1592</v>
      </c>
      <c r="D3619" t="s">
        <v>71</v>
      </c>
      <c r="E3619" t="s">
        <v>51</v>
      </c>
      <c r="F3619" t="s">
        <v>52</v>
      </c>
      <c r="G3619" t="s">
        <v>1593</v>
      </c>
      <c r="H3619" t="s">
        <v>54</v>
      </c>
      <c r="I3619">
        <v>139.21</v>
      </c>
      <c r="J3619">
        <v>0</v>
      </c>
      <c r="K3619">
        <v>0</v>
      </c>
      <c r="L3619" t="s">
        <v>693</v>
      </c>
      <c r="M3619" t="s">
        <v>132</v>
      </c>
      <c r="N3619">
        <v>39735</v>
      </c>
      <c r="O3619">
        <v>0</v>
      </c>
      <c r="P3619" t="str">
        <f>IF(T[[#This Row],[qty_ordered]]&lt;&gt;T[[#This Row],[qty_received]],IF(T[[#This Row],[qty_received]]&gt;0,"Partial Received","Not Receviced"),"FullyReceived")</f>
        <v>Not Receviced</v>
      </c>
      <c r="Q3619" t="str">
        <f>IF(T[[#This Row],[qty_received]]&lt;&gt;T[[#This Row],[qty_invoiced]],IF(T[[#This Row],[qty_invoiced]]&gt;0,"Partial Invoiced","Not Invoiced"),"Fully Invoiced")</f>
        <v>Fully Invoiced</v>
      </c>
      <c r="R3619" t="str">
        <f>IFERROR(VLOOKUP(T[[#This Row],[warehouse]],Table2[],2,FALSE),"--")</f>
        <v>--</v>
      </c>
    </row>
    <row r="3620" spans="1:18" x14ac:dyDescent="0.25">
      <c r="A3620" t="s">
        <v>228</v>
      </c>
      <c r="B3620" s="1">
        <v>44537</v>
      </c>
      <c r="C3620" t="s">
        <v>1492</v>
      </c>
      <c r="D3620" t="s">
        <v>88</v>
      </c>
      <c r="E3620" t="s">
        <v>621</v>
      </c>
      <c r="F3620" t="s">
        <v>196</v>
      </c>
      <c r="G3620" t="s">
        <v>197</v>
      </c>
      <c r="H3620" t="s">
        <v>24</v>
      </c>
      <c r="I3620">
        <v>3204.56</v>
      </c>
      <c r="J3620">
        <v>0</v>
      </c>
      <c r="K3620">
        <v>0</v>
      </c>
      <c r="L3620" t="s">
        <v>25</v>
      </c>
      <c r="M3620" t="s">
        <v>1485</v>
      </c>
      <c r="N3620">
        <v>124822.12846599999</v>
      </c>
      <c r="O3620">
        <v>0</v>
      </c>
      <c r="P3620" t="str">
        <f>IF(T[[#This Row],[qty_ordered]]&lt;&gt;T[[#This Row],[qty_received]],IF(T[[#This Row],[qty_received]]&gt;0,"Partial Received","Not Receviced"),"FullyReceived")</f>
        <v>Not Receviced</v>
      </c>
      <c r="Q3620" t="str">
        <f>IF(T[[#This Row],[qty_received]]&lt;&gt;T[[#This Row],[qty_invoiced]],IF(T[[#This Row],[qty_invoiced]]&gt;0,"Partial Invoiced","Not Invoiced"),"Fully Invoiced")</f>
        <v>Fully Invoiced</v>
      </c>
      <c r="R3620" t="str">
        <f>IFERROR(VLOOKUP(T[[#This Row],[warehouse]],Table2[],2,FALSE),"--")</f>
        <v>SIFTER CONCRETE SILO</v>
      </c>
    </row>
    <row r="3621" spans="1:18" x14ac:dyDescent="0.25">
      <c r="A3621" t="s">
        <v>1146</v>
      </c>
      <c r="B3621" s="1">
        <v>44592</v>
      </c>
      <c r="C3621" t="s">
        <v>2067</v>
      </c>
      <c r="D3621" t="s">
        <v>71</v>
      </c>
      <c r="E3621" t="s">
        <v>2068</v>
      </c>
      <c r="F3621" t="s">
        <v>2069</v>
      </c>
      <c r="G3621" t="s">
        <v>2070</v>
      </c>
      <c r="H3621" t="s">
        <v>24</v>
      </c>
      <c r="I3621">
        <v>244.25</v>
      </c>
      <c r="J3621">
        <v>0</v>
      </c>
      <c r="K3621">
        <v>0</v>
      </c>
      <c r="L3621" t="s">
        <v>25</v>
      </c>
      <c r="M3621" t="s">
        <v>1485</v>
      </c>
      <c r="N3621">
        <v>204708.29068500001</v>
      </c>
      <c r="O3621">
        <v>0</v>
      </c>
      <c r="P3621" t="str">
        <f>IF(T[[#This Row],[qty_ordered]]&lt;&gt;T[[#This Row],[qty_received]],IF(T[[#This Row],[qty_received]]&gt;0,"Partial Received","Not Receviced"),"FullyReceived")</f>
        <v>Not Receviced</v>
      </c>
      <c r="Q3621" t="str">
        <f>IF(T[[#This Row],[qty_received]]&lt;&gt;T[[#This Row],[qty_invoiced]],IF(T[[#This Row],[qty_invoiced]]&gt;0,"Partial Invoiced","Not Invoiced"),"Fully Invoiced")</f>
        <v>Fully Invoiced</v>
      </c>
      <c r="R3621" t="str">
        <f>IFERROR(VLOOKUP(T[[#This Row],[warehouse]],Table2[],2,FALSE),"--")</f>
        <v xml:space="preserve">ADEEB SHELLER </v>
      </c>
    </row>
    <row r="3622" spans="1:18" x14ac:dyDescent="0.25">
      <c r="A3622" t="s">
        <v>228</v>
      </c>
      <c r="B3622" s="1">
        <v>44537</v>
      </c>
      <c r="C3622" t="s">
        <v>1492</v>
      </c>
      <c r="D3622" t="s">
        <v>74</v>
      </c>
      <c r="E3622" t="s">
        <v>66</v>
      </c>
      <c r="F3622" t="s">
        <v>196</v>
      </c>
      <c r="G3622" t="s">
        <v>197</v>
      </c>
      <c r="H3622" t="s">
        <v>24</v>
      </c>
      <c r="I3622">
        <v>503.33</v>
      </c>
      <c r="J3622">
        <v>0</v>
      </c>
      <c r="K3622">
        <v>0</v>
      </c>
      <c r="L3622" t="s">
        <v>25</v>
      </c>
      <c r="M3622" t="s">
        <v>1485</v>
      </c>
      <c r="N3622">
        <v>124822.21467</v>
      </c>
      <c r="O3622">
        <v>0</v>
      </c>
      <c r="P3622" t="str">
        <f>IF(T[[#This Row],[qty_ordered]]&lt;&gt;T[[#This Row],[qty_received]],IF(T[[#This Row],[qty_received]]&gt;0,"Partial Received","Not Receviced"),"FullyReceived")</f>
        <v>Not Receviced</v>
      </c>
      <c r="Q3622" t="str">
        <f>IF(T[[#This Row],[qty_received]]&lt;&gt;T[[#This Row],[qty_invoiced]],IF(T[[#This Row],[qty_invoiced]]&gt;0,"Partial Invoiced","Not Invoiced"),"Fully Invoiced")</f>
        <v>Fully Invoiced</v>
      </c>
      <c r="R3622" t="str">
        <f>IFERROR(VLOOKUP(T[[#This Row],[warehouse]],Table2[],2,FALSE),"--")</f>
        <v>PZU Main Warehouse</v>
      </c>
    </row>
    <row r="3623" spans="1:18" x14ac:dyDescent="0.25">
      <c r="A3623" t="s">
        <v>725</v>
      </c>
      <c r="B3623" s="1">
        <v>44221</v>
      </c>
      <c r="C3623" t="s">
        <v>1199</v>
      </c>
      <c r="D3623" t="s">
        <v>100</v>
      </c>
      <c r="E3623" t="s">
        <v>723</v>
      </c>
      <c r="F3623" t="s">
        <v>219</v>
      </c>
      <c r="G3623" t="s">
        <v>724</v>
      </c>
      <c r="H3623" t="s">
        <v>221</v>
      </c>
      <c r="I3623">
        <v>440.39</v>
      </c>
      <c r="J3623">
        <v>440.39</v>
      </c>
      <c r="K3623">
        <v>0</v>
      </c>
      <c r="L3623" t="s">
        <v>693</v>
      </c>
      <c r="M3623" t="s">
        <v>132</v>
      </c>
      <c r="N3623">
        <v>22470</v>
      </c>
      <c r="O3623">
        <v>9895563.3000000007</v>
      </c>
      <c r="P3623" t="str">
        <f>IF(T[[#This Row],[qty_ordered]]&lt;&gt;T[[#This Row],[qty_received]],IF(T[[#This Row],[qty_received]]&gt;0,"Partial Received","Not Receviced"),"FullyReceived")</f>
        <v>FullyReceived</v>
      </c>
      <c r="Q3623" t="str">
        <f>IF(T[[#This Row],[qty_received]]&lt;&gt;T[[#This Row],[qty_invoiced]],IF(T[[#This Row],[qty_invoiced]]&gt;0,"Partial Invoiced","Not Invoiced"),"Fully Invoiced")</f>
        <v>Not Invoiced</v>
      </c>
      <c r="R3623" t="str">
        <f>IFERROR(VLOOKUP(T[[#This Row],[warehouse]],Table2[],2,FALSE),"--")</f>
        <v>YELLOW BEANS</v>
      </c>
    </row>
    <row r="3624" spans="1:18" x14ac:dyDescent="0.25">
      <c r="A3624" t="s">
        <v>242</v>
      </c>
      <c r="B3624" s="1">
        <v>44591</v>
      </c>
      <c r="C3624" t="s">
        <v>1974</v>
      </c>
      <c r="D3624" t="s">
        <v>71</v>
      </c>
      <c r="E3624" t="s">
        <v>405</v>
      </c>
      <c r="F3624" t="s">
        <v>244</v>
      </c>
      <c r="G3624" t="s">
        <v>245</v>
      </c>
      <c r="H3624" t="s">
        <v>24</v>
      </c>
      <c r="I3624">
        <v>97.62</v>
      </c>
      <c r="J3624">
        <v>0</v>
      </c>
      <c r="K3624">
        <v>0</v>
      </c>
      <c r="L3624" t="s">
        <v>25</v>
      </c>
      <c r="M3624" t="s">
        <v>1485</v>
      </c>
      <c r="N3624">
        <v>839991.80495799996</v>
      </c>
      <c r="O3624">
        <v>0</v>
      </c>
      <c r="P3624" t="str">
        <f>IF(T[[#This Row],[qty_ordered]]&lt;&gt;T[[#This Row],[qty_received]],IF(T[[#This Row],[qty_received]]&gt;0,"Partial Received","Not Receviced"),"FullyReceived")</f>
        <v>Not Receviced</v>
      </c>
      <c r="Q3624" t="str">
        <f>IF(T[[#This Row],[qty_received]]&lt;&gt;T[[#This Row],[qty_invoiced]],IF(T[[#This Row],[qty_invoiced]]&gt;0,"Partial Invoiced","Not Invoiced"),"Fully Invoiced")</f>
        <v>Fully Invoiced</v>
      </c>
      <c r="R3624" t="str">
        <f>IFERROR(VLOOKUP(T[[#This Row],[warehouse]],Table2[],2,FALSE),"--")</f>
        <v>GINNING ISHRAG-MDNI</v>
      </c>
    </row>
    <row r="3625" spans="1:18" x14ac:dyDescent="0.25">
      <c r="A3625" t="s">
        <v>727</v>
      </c>
      <c r="B3625" s="1">
        <v>44581</v>
      </c>
      <c r="C3625" t="s">
        <v>1970</v>
      </c>
      <c r="D3625" t="s">
        <v>76</v>
      </c>
      <c r="E3625" t="s">
        <v>723</v>
      </c>
      <c r="F3625" t="s">
        <v>219</v>
      </c>
      <c r="G3625" t="s">
        <v>724</v>
      </c>
      <c r="H3625" t="s">
        <v>221</v>
      </c>
      <c r="I3625">
        <v>52000</v>
      </c>
      <c r="J3625">
        <v>0</v>
      </c>
      <c r="K3625">
        <v>0</v>
      </c>
      <c r="L3625" t="s">
        <v>693</v>
      </c>
      <c r="M3625" t="s">
        <v>132</v>
      </c>
      <c r="N3625">
        <v>25000</v>
      </c>
      <c r="O3625">
        <v>0</v>
      </c>
      <c r="P3625" t="str">
        <f>IF(T[[#This Row],[qty_ordered]]&lt;&gt;T[[#This Row],[qty_received]],IF(T[[#This Row],[qty_received]]&gt;0,"Partial Received","Not Receviced"),"FullyReceived")</f>
        <v>Not Receviced</v>
      </c>
      <c r="Q3625" t="str">
        <f>IF(T[[#This Row],[qty_received]]&lt;&gt;T[[#This Row],[qty_invoiced]],IF(T[[#This Row],[qty_invoiced]]&gt;0,"Partial Invoiced","Not Invoiced"),"Fully Invoiced")</f>
        <v>Fully Invoiced</v>
      </c>
      <c r="R3625" t="str">
        <f>IFERROR(VLOOKUP(T[[#This Row],[warehouse]],Table2[],2,FALSE),"--")</f>
        <v>YELLOW BEANS</v>
      </c>
    </row>
    <row r="3626" spans="1:18" x14ac:dyDescent="0.25">
      <c r="A3626" t="s">
        <v>1591</v>
      </c>
      <c r="B3626" s="1">
        <v>44594</v>
      </c>
      <c r="C3626" t="s">
        <v>1592</v>
      </c>
      <c r="D3626" t="s">
        <v>100</v>
      </c>
      <c r="E3626" t="s">
        <v>51</v>
      </c>
      <c r="F3626" t="s">
        <v>52</v>
      </c>
      <c r="G3626" t="s">
        <v>53</v>
      </c>
      <c r="H3626" t="s">
        <v>54</v>
      </c>
      <c r="I3626">
        <v>174.22</v>
      </c>
      <c r="J3626">
        <v>0</v>
      </c>
      <c r="K3626">
        <v>1</v>
      </c>
      <c r="L3626" t="s">
        <v>693</v>
      </c>
      <c r="M3626" t="s">
        <v>132</v>
      </c>
      <c r="N3626">
        <v>39870</v>
      </c>
      <c r="O3626">
        <v>0</v>
      </c>
      <c r="P3626" t="str">
        <f>IF(T[[#This Row],[qty_ordered]]&lt;&gt;T[[#This Row],[qty_received]],IF(T[[#This Row],[qty_received]]&gt;0,"Partial Received","Not Receviced"),"FullyReceived")</f>
        <v>Not Receviced</v>
      </c>
      <c r="Q3626" t="str">
        <f>IF(T[[#This Row],[qty_received]]&lt;&gt;T[[#This Row],[qty_invoiced]],IF(T[[#This Row],[qty_invoiced]]&gt;0,"Partial Invoiced","Not Invoiced"),"Fully Invoiced")</f>
        <v>Partial Invoiced</v>
      </c>
      <c r="R3626" t="str">
        <f>IFERROR(VLOOKUP(T[[#This Row],[warehouse]],Table2[],2,FALSE),"--")</f>
        <v>--</v>
      </c>
    </row>
    <row r="3627" spans="1:18" x14ac:dyDescent="0.25">
      <c r="A3627" t="s">
        <v>1591</v>
      </c>
      <c r="B3627" s="1">
        <v>44594</v>
      </c>
      <c r="C3627" t="s">
        <v>1592</v>
      </c>
      <c r="D3627" t="s">
        <v>88</v>
      </c>
      <c r="E3627" t="s">
        <v>51</v>
      </c>
      <c r="F3627" t="s">
        <v>52</v>
      </c>
      <c r="G3627" t="s">
        <v>53</v>
      </c>
      <c r="H3627" t="s">
        <v>54</v>
      </c>
      <c r="I3627">
        <v>26.5</v>
      </c>
      <c r="J3627">
        <v>0</v>
      </c>
      <c r="K3627">
        <v>1</v>
      </c>
      <c r="L3627" t="s">
        <v>693</v>
      </c>
      <c r="M3627" t="s">
        <v>132</v>
      </c>
      <c r="N3627">
        <v>39870</v>
      </c>
      <c r="O3627">
        <v>0</v>
      </c>
      <c r="P3627" t="str">
        <f>IF(T[[#This Row],[qty_ordered]]&lt;&gt;T[[#This Row],[qty_received]],IF(T[[#This Row],[qty_received]]&gt;0,"Partial Received","Not Receviced"),"FullyReceived")</f>
        <v>Not Receviced</v>
      </c>
      <c r="Q3627" t="str">
        <f>IF(T[[#This Row],[qty_received]]&lt;&gt;T[[#This Row],[qty_invoiced]],IF(T[[#This Row],[qty_invoiced]]&gt;0,"Partial Invoiced","Not Invoiced"),"Fully Invoiced")</f>
        <v>Partial Invoiced</v>
      </c>
      <c r="R3627" t="str">
        <f>IFERROR(VLOOKUP(T[[#This Row],[warehouse]],Table2[],2,FALSE),"--")</f>
        <v>--</v>
      </c>
    </row>
    <row r="3628" spans="1:18" x14ac:dyDescent="0.25">
      <c r="A3628" t="s">
        <v>235</v>
      </c>
      <c r="B3628" s="1">
        <v>44612</v>
      </c>
      <c r="C3628" t="s">
        <v>2118</v>
      </c>
      <c r="D3628" t="s">
        <v>20</v>
      </c>
      <c r="E3628" t="s">
        <v>51</v>
      </c>
      <c r="F3628" t="s">
        <v>546</v>
      </c>
      <c r="G3628" t="s">
        <v>1748</v>
      </c>
      <c r="H3628" t="s">
        <v>54</v>
      </c>
      <c r="I3628">
        <v>4000</v>
      </c>
      <c r="J3628">
        <v>0</v>
      </c>
      <c r="K3628">
        <v>1</v>
      </c>
      <c r="L3628" t="s">
        <v>693</v>
      </c>
      <c r="M3628" t="s">
        <v>533</v>
      </c>
      <c r="N3628">
        <v>16</v>
      </c>
      <c r="O3628">
        <v>0</v>
      </c>
      <c r="P3628" t="str">
        <f>IF(T[[#This Row],[qty_ordered]]&lt;&gt;T[[#This Row],[qty_received]],IF(T[[#This Row],[qty_received]]&gt;0,"Partial Received","Not Receviced"),"FullyReceived")</f>
        <v>Not Receviced</v>
      </c>
      <c r="Q3628" t="str">
        <f>IF(T[[#This Row],[qty_received]]&lt;&gt;T[[#This Row],[qty_invoiced]],IF(T[[#This Row],[qty_invoiced]]&gt;0,"Partial Invoiced","Not Invoiced"),"Fully Invoiced")</f>
        <v>Partial Invoiced</v>
      </c>
      <c r="R3628" t="str">
        <f>IFERROR(VLOOKUP(T[[#This Row],[warehouse]],Table2[],2,FALSE),"--")</f>
        <v>--</v>
      </c>
    </row>
    <row r="3629" spans="1:18" x14ac:dyDescent="0.25">
      <c r="A3629" t="s">
        <v>1475</v>
      </c>
      <c r="B3629" s="1">
        <v>44535</v>
      </c>
      <c r="C3629" t="s">
        <v>1526</v>
      </c>
      <c r="D3629" t="s">
        <v>614</v>
      </c>
      <c r="E3629" t="s">
        <v>51</v>
      </c>
      <c r="F3629" t="s">
        <v>674</v>
      </c>
      <c r="G3629" t="s">
        <v>2097</v>
      </c>
      <c r="H3629" t="s">
        <v>54</v>
      </c>
      <c r="I3629">
        <v>12402.950999999999</v>
      </c>
      <c r="J3629">
        <v>0</v>
      </c>
      <c r="K3629">
        <v>1</v>
      </c>
      <c r="L3629" t="s">
        <v>693</v>
      </c>
      <c r="M3629" t="s">
        <v>533</v>
      </c>
      <c r="N3629">
        <v>7500</v>
      </c>
      <c r="O3629">
        <v>0</v>
      </c>
      <c r="P3629" t="str">
        <f>IF(T[[#This Row],[qty_ordered]]&lt;&gt;T[[#This Row],[qty_received]],IF(T[[#This Row],[qty_received]]&gt;0,"Partial Received","Not Receviced"),"FullyReceived")</f>
        <v>Not Receviced</v>
      </c>
      <c r="Q3629" t="str">
        <f>IF(T[[#This Row],[qty_received]]&lt;&gt;T[[#This Row],[qty_invoiced]],IF(T[[#This Row],[qty_invoiced]]&gt;0,"Partial Invoiced","Not Invoiced"),"Fully Invoiced")</f>
        <v>Partial Invoiced</v>
      </c>
      <c r="R3629" t="str">
        <f>IFERROR(VLOOKUP(T[[#This Row],[warehouse]],Table2[],2,FALSE),"--")</f>
        <v>--</v>
      </c>
    </row>
    <row r="3630" spans="1:18" x14ac:dyDescent="0.25">
      <c r="A3630" t="s">
        <v>1475</v>
      </c>
      <c r="B3630" s="1">
        <v>44535</v>
      </c>
      <c r="C3630" t="s">
        <v>1526</v>
      </c>
      <c r="D3630" t="s">
        <v>615</v>
      </c>
      <c r="E3630" t="s">
        <v>51</v>
      </c>
      <c r="F3630" t="s">
        <v>278</v>
      </c>
      <c r="G3630" t="s">
        <v>2098</v>
      </c>
      <c r="H3630" t="s">
        <v>54</v>
      </c>
      <c r="I3630">
        <v>13164</v>
      </c>
      <c r="J3630">
        <v>0</v>
      </c>
      <c r="K3630">
        <v>1</v>
      </c>
      <c r="L3630" t="s">
        <v>693</v>
      </c>
      <c r="M3630" t="s">
        <v>533</v>
      </c>
      <c r="N3630">
        <v>100</v>
      </c>
      <c r="O3630">
        <v>0</v>
      </c>
      <c r="P3630" t="str">
        <f>IF(T[[#This Row],[qty_ordered]]&lt;&gt;T[[#This Row],[qty_received]],IF(T[[#This Row],[qty_received]]&gt;0,"Partial Received","Not Receviced"),"FullyReceived")</f>
        <v>Not Receviced</v>
      </c>
      <c r="Q3630" t="str">
        <f>IF(T[[#This Row],[qty_received]]&lt;&gt;T[[#This Row],[qty_invoiced]],IF(T[[#This Row],[qty_invoiced]]&gt;0,"Partial Invoiced","Not Invoiced"),"Fully Invoiced")</f>
        <v>Partial Invoiced</v>
      </c>
      <c r="R3630" t="str">
        <f>IFERROR(VLOOKUP(T[[#This Row],[warehouse]],Table2[],2,FALSE),"--")</f>
        <v>--</v>
      </c>
    </row>
    <row r="3631" spans="1:18" x14ac:dyDescent="0.25">
      <c r="A3631" t="s">
        <v>1475</v>
      </c>
      <c r="B3631" s="1">
        <v>44535</v>
      </c>
      <c r="C3631" t="s">
        <v>1526</v>
      </c>
      <c r="D3631" t="s">
        <v>752</v>
      </c>
      <c r="E3631" t="s">
        <v>51</v>
      </c>
      <c r="F3631" t="s">
        <v>278</v>
      </c>
      <c r="G3631" t="s">
        <v>2098</v>
      </c>
      <c r="H3631" t="s">
        <v>54</v>
      </c>
      <c r="I3631">
        <v>300</v>
      </c>
      <c r="J3631">
        <v>0</v>
      </c>
      <c r="K3631">
        <v>1</v>
      </c>
      <c r="L3631" t="s">
        <v>693</v>
      </c>
      <c r="M3631" t="s">
        <v>533</v>
      </c>
      <c r="N3631">
        <v>13164</v>
      </c>
      <c r="O3631">
        <v>0</v>
      </c>
      <c r="P3631" t="str">
        <f>IF(T[[#This Row],[qty_ordered]]&lt;&gt;T[[#This Row],[qty_received]],IF(T[[#This Row],[qty_received]]&gt;0,"Partial Received","Not Receviced"),"FullyReceived")</f>
        <v>Not Receviced</v>
      </c>
      <c r="Q3631" t="str">
        <f>IF(T[[#This Row],[qty_received]]&lt;&gt;T[[#This Row],[qty_invoiced]],IF(T[[#This Row],[qty_invoiced]]&gt;0,"Partial Invoiced","Not Invoiced"),"Fully Invoiced")</f>
        <v>Partial Invoiced</v>
      </c>
      <c r="R3631" t="str">
        <f>IFERROR(VLOOKUP(T[[#This Row],[warehouse]],Table2[],2,FALSE),"--")</f>
        <v>--</v>
      </c>
    </row>
    <row r="3632" spans="1:18" x14ac:dyDescent="0.25">
      <c r="A3632" t="s">
        <v>1475</v>
      </c>
      <c r="B3632" s="1">
        <v>44535</v>
      </c>
      <c r="C3632" t="s">
        <v>1526</v>
      </c>
      <c r="D3632" t="s">
        <v>759</v>
      </c>
      <c r="E3632" t="s">
        <v>51</v>
      </c>
      <c r="F3632" t="s">
        <v>384</v>
      </c>
      <c r="G3632" t="s">
        <v>2099</v>
      </c>
      <c r="H3632" t="s">
        <v>54</v>
      </c>
      <c r="I3632">
        <v>475</v>
      </c>
      <c r="J3632">
        <v>0</v>
      </c>
      <c r="K3632">
        <v>1</v>
      </c>
      <c r="L3632" t="s">
        <v>693</v>
      </c>
      <c r="M3632" t="s">
        <v>533</v>
      </c>
      <c r="N3632">
        <v>750</v>
      </c>
      <c r="O3632">
        <v>0</v>
      </c>
      <c r="P3632" t="str">
        <f>IF(T[[#This Row],[qty_ordered]]&lt;&gt;T[[#This Row],[qty_received]],IF(T[[#This Row],[qty_received]]&gt;0,"Partial Received","Not Receviced"),"FullyReceived")</f>
        <v>Not Receviced</v>
      </c>
      <c r="Q3632" t="str">
        <f>IF(T[[#This Row],[qty_received]]&lt;&gt;T[[#This Row],[qty_invoiced]],IF(T[[#This Row],[qty_invoiced]]&gt;0,"Partial Invoiced","Not Invoiced"),"Fully Invoiced")</f>
        <v>Partial Invoiced</v>
      </c>
      <c r="R3632" t="str">
        <f>IFERROR(VLOOKUP(T[[#This Row],[warehouse]],Table2[],2,FALSE),"--")</f>
        <v>--</v>
      </c>
    </row>
    <row r="3633" spans="1:18" x14ac:dyDescent="0.25">
      <c r="A3633" t="s">
        <v>1475</v>
      </c>
      <c r="B3633" s="1">
        <v>44535</v>
      </c>
      <c r="C3633" t="s">
        <v>1526</v>
      </c>
      <c r="D3633" t="s">
        <v>694</v>
      </c>
      <c r="E3633" t="s">
        <v>51</v>
      </c>
      <c r="F3633" t="s">
        <v>793</v>
      </c>
      <c r="G3633" t="s">
        <v>2100</v>
      </c>
      <c r="H3633" t="s">
        <v>54</v>
      </c>
      <c r="I3633">
        <v>115</v>
      </c>
      <c r="J3633">
        <v>0</v>
      </c>
      <c r="K3633">
        <v>1</v>
      </c>
      <c r="L3633" t="s">
        <v>693</v>
      </c>
      <c r="M3633" t="s">
        <v>533</v>
      </c>
      <c r="N3633">
        <v>600</v>
      </c>
      <c r="O3633">
        <v>0</v>
      </c>
      <c r="P3633" t="str">
        <f>IF(T[[#This Row],[qty_ordered]]&lt;&gt;T[[#This Row],[qty_received]],IF(T[[#This Row],[qty_received]]&gt;0,"Partial Received","Not Receviced"),"FullyReceived")</f>
        <v>Not Receviced</v>
      </c>
      <c r="Q3633" t="str">
        <f>IF(T[[#This Row],[qty_received]]&lt;&gt;T[[#This Row],[qty_invoiced]],IF(T[[#This Row],[qty_invoiced]]&gt;0,"Partial Invoiced","Not Invoiced"),"Fully Invoiced")</f>
        <v>Partial Invoiced</v>
      </c>
      <c r="R3633" t="str">
        <f>IFERROR(VLOOKUP(T[[#This Row],[warehouse]],Table2[],2,FALSE),"--")</f>
        <v>--</v>
      </c>
    </row>
    <row r="3634" spans="1:18" x14ac:dyDescent="0.25">
      <c r="A3634" t="s">
        <v>1475</v>
      </c>
      <c r="B3634" s="1">
        <v>44535</v>
      </c>
      <c r="C3634" t="s">
        <v>1526</v>
      </c>
      <c r="D3634" t="s">
        <v>760</v>
      </c>
      <c r="E3634" t="s">
        <v>51</v>
      </c>
      <c r="F3634" t="s">
        <v>278</v>
      </c>
      <c r="G3634" t="s">
        <v>2098</v>
      </c>
      <c r="H3634" t="s">
        <v>54</v>
      </c>
      <c r="I3634">
        <v>363</v>
      </c>
      <c r="J3634">
        <v>0</v>
      </c>
      <c r="K3634">
        <v>1</v>
      </c>
      <c r="L3634" t="s">
        <v>693</v>
      </c>
      <c r="M3634" t="s">
        <v>533</v>
      </c>
      <c r="N3634">
        <v>400</v>
      </c>
      <c r="O3634">
        <v>0</v>
      </c>
      <c r="P3634" t="str">
        <f>IF(T[[#This Row],[qty_ordered]]&lt;&gt;T[[#This Row],[qty_received]],IF(T[[#This Row],[qty_received]]&gt;0,"Partial Received","Not Receviced"),"FullyReceived")</f>
        <v>Not Receviced</v>
      </c>
      <c r="Q3634" t="str">
        <f>IF(T[[#This Row],[qty_received]]&lt;&gt;T[[#This Row],[qty_invoiced]],IF(T[[#This Row],[qty_invoiced]]&gt;0,"Partial Invoiced","Not Invoiced"),"Fully Invoiced")</f>
        <v>Partial Invoiced</v>
      </c>
      <c r="R3634" t="str">
        <f>IFERROR(VLOOKUP(T[[#This Row],[warehouse]],Table2[],2,FALSE),"--")</f>
        <v>--</v>
      </c>
    </row>
    <row r="3635" spans="1:18" x14ac:dyDescent="0.25">
      <c r="A3635" t="s">
        <v>398</v>
      </c>
      <c r="B3635" s="1">
        <v>44598</v>
      </c>
      <c r="C3635" t="s">
        <v>2119</v>
      </c>
      <c r="D3635" t="s">
        <v>20</v>
      </c>
      <c r="E3635" t="s">
        <v>51</v>
      </c>
      <c r="F3635" t="s">
        <v>183</v>
      </c>
      <c r="G3635" t="s">
        <v>2120</v>
      </c>
      <c r="H3635" t="s">
        <v>54</v>
      </c>
      <c r="I3635">
        <v>500</v>
      </c>
      <c r="J3635">
        <v>0</v>
      </c>
      <c r="K3635">
        <v>0</v>
      </c>
      <c r="L3635" t="s">
        <v>59</v>
      </c>
      <c r="M3635" t="s">
        <v>533</v>
      </c>
      <c r="N3635">
        <v>8000</v>
      </c>
      <c r="O3635">
        <v>0</v>
      </c>
      <c r="P3635" t="str">
        <f>IF(T[[#This Row],[qty_ordered]]&lt;&gt;T[[#This Row],[qty_received]],IF(T[[#This Row],[qty_received]]&gt;0,"Partial Received","Not Receviced"),"FullyReceived")</f>
        <v>Not Receviced</v>
      </c>
      <c r="Q3635" t="str">
        <f>IF(T[[#This Row],[qty_received]]&lt;&gt;T[[#This Row],[qty_invoiced]],IF(T[[#This Row],[qty_invoiced]]&gt;0,"Partial Invoiced","Not Invoiced"),"Fully Invoiced")</f>
        <v>Fully Invoiced</v>
      </c>
      <c r="R3635" t="str">
        <f>IFERROR(VLOOKUP(T[[#This Row],[warehouse]],Table2[],2,FALSE),"--")</f>
        <v>--</v>
      </c>
    </row>
    <row r="3636" spans="1:18" x14ac:dyDescent="0.25">
      <c r="A3636" t="s">
        <v>224</v>
      </c>
      <c r="B3636" s="1">
        <v>44598</v>
      </c>
      <c r="C3636" t="s">
        <v>1773</v>
      </c>
      <c r="D3636" t="s">
        <v>20</v>
      </c>
      <c r="E3636" t="s">
        <v>51</v>
      </c>
      <c r="F3636" t="s">
        <v>183</v>
      </c>
      <c r="G3636" t="s">
        <v>1632</v>
      </c>
      <c r="H3636" t="s">
        <v>54</v>
      </c>
      <c r="I3636">
        <v>250</v>
      </c>
      <c r="J3636">
        <v>0</v>
      </c>
      <c r="K3636">
        <v>1</v>
      </c>
      <c r="L3636" t="s">
        <v>693</v>
      </c>
      <c r="M3636" t="s">
        <v>533</v>
      </c>
      <c r="N3636">
        <v>7000</v>
      </c>
      <c r="O3636">
        <v>0</v>
      </c>
      <c r="P3636" t="str">
        <f>IF(T[[#This Row],[qty_ordered]]&lt;&gt;T[[#This Row],[qty_received]],IF(T[[#This Row],[qty_received]]&gt;0,"Partial Received","Not Receviced"),"FullyReceived")</f>
        <v>Not Receviced</v>
      </c>
      <c r="Q3636" t="str">
        <f>IF(T[[#This Row],[qty_received]]&lt;&gt;T[[#This Row],[qty_invoiced]],IF(T[[#This Row],[qty_invoiced]]&gt;0,"Partial Invoiced","Not Invoiced"),"Fully Invoiced")</f>
        <v>Partial Invoiced</v>
      </c>
      <c r="R3636" t="str">
        <f>IFERROR(VLOOKUP(T[[#This Row],[warehouse]],Table2[],2,FALSE),"--")</f>
        <v>--</v>
      </c>
    </row>
    <row r="3637" spans="1:18" x14ac:dyDescent="0.25">
      <c r="A3637" t="s">
        <v>84</v>
      </c>
      <c r="B3637" s="1">
        <v>44559</v>
      </c>
      <c r="C3637" t="s">
        <v>1515</v>
      </c>
      <c r="D3637" t="s">
        <v>88</v>
      </c>
      <c r="E3637" t="s">
        <v>908</v>
      </c>
      <c r="F3637" t="s">
        <v>108</v>
      </c>
      <c r="G3637" t="s">
        <v>109</v>
      </c>
      <c r="H3637" t="s">
        <v>24</v>
      </c>
      <c r="I3637">
        <v>589</v>
      </c>
      <c r="J3637">
        <v>0</v>
      </c>
      <c r="K3637">
        <v>0</v>
      </c>
      <c r="L3637" t="s">
        <v>25</v>
      </c>
      <c r="M3637" t="s">
        <v>1485</v>
      </c>
      <c r="N3637">
        <v>509337.860781</v>
      </c>
      <c r="O3637">
        <v>0</v>
      </c>
      <c r="P3637" t="str">
        <f>IF(T[[#This Row],[qty_ordered]]&lt;&gt;T[[#This Row],[qty_received]],IF(T[[#This Row],[qty_received]]&gt;0,"Partial Received","Not Receviced"),"FullyReceived")</f>
        <v>Not Receviced</v>
      </c>
      <c r="Q3637" t="str">
        <f>IF(T[[#This Row],[qty_received]]&lt;&gt;T[[#This Row],[qty_invoiced]],IF(T[[#This Row],[qty_invoiced]]&gt;0,"Partial Invoiced","Not Invoiced"),"Fully Invoiced")</f>
        <v>Fully Invoiced</v>
      </c>
      <c r="R3637" t="str">
        <f>IFERROR(VLOOKUP(T[[#This Row],[warehouse]],Table2[],2,FALSE),"--")</f>
        <v>SIFTER- ALNAZER-OMDU</v>
      </c>
    </row>
    <row r="3638" spans="1:18" x14ac:dyDescent="0.25">
      <c r="A3638" t="s">
        <v>560</v>
      </c>
      <c r="B3638" s="1">
        <v>44404</v>
      </c>
      <c r="C3638" t="s">
        <v>1424</v>
      </c>
      <c r="D3638" t="s">
        <v>322</v>
      </c>
      <c r="E3638" t="s">
        <v>51</v>
      </c>
      <c r="F3638" t="s">
        <v>52</v>
      </c>
      <c r="G3638" t="s">
        <v>1425</v>
      </c>
      <c r="H3638" t="s">
        <v>54</v>
      </c>
      <c r="I3638">
        <v>27.63</v>
      </c>
      <c r="J3638">
        <v>0</v>
      </c>
      <c r="K3638">
        <v>1</v>
      </c>
      <c r="L3638" t="s">
        <v>693</v>
      </c>
      <c r="M3638" t="s">
        <v>707</v>
      </c>
      <c r="N3638">
        <v>5250.0180959999998</v>
      </c>
      <c r="O3638">
        <v>0</v>
      </c>
      <c r="P3638" t="str">
        <f>IF(T[[#This Row],[qty_ordered]]&lt;&gt;T[[#This Row],[qty_received]],IF(T[[#This Row],[qty_received]]&gt;0,"Partial Received","Not Receviced"),"FullyReceived")</f>
        <v>Not Receviced</v>
      </c>
      <c r="Q3638" t="str">
        <f>IF(T[[#This Row],[qty_received]]&lt;&gt;T[[#This Row],[qty_invoiced]],IF(T[[#This Row],[qty_invoiced]]&gt;0,"Partial Invoiced","Not Invoiced"),"Fully Invoiced")</f>
        <v>Partial Invoiced</v>
      </c>
      <c r="R3638" t="str">
        <f>IFERROR(VLOOKUP(T[[#This Row],[warehouse]],Table2[],2,FALSE),"--")</f>
        <v>--</v>
      </c>
    </row>
    <row r="3639" spans="1:18" x14ac:dyDescent="0.25">
      <c r="A3639" t="s">
        <v>2121</v>
      </c>
      <c r="B3639" s="1">
        <v>44605</v>
      </c>
      <c r="C3639" t="s">
        <v>2122</v>
      </c>
      <c r="D3639" t="s">
        <v>20</v>
      </c>
      <c r="E3639" t="s">
        <v>723</v>
      </c>
      <c r="F3639" t="s">
        <v>219</v>
      </c>
      <c r="G3639" t="s">
        <v>724</v>
      </c>
      <c r="H3639" t="s">
        <v>221</v>
      </c>
      <c r="I3639">
        <v>76123.61</v>
      </c>
      <c r="J3639">
        <v>76123.61</v>
      </c>
      <c r="K3639">
        <v>76123.61</v>
      </c>
      <c r="L3639" t="s">
        <v>693</v>
      </c>
      <c r="M3639" t="s">
        <v>707</v>
      </c>
      <c r="N3639">
        <v>24497.599999999999</v>
      </c>
      <c r="O3639">
        <v>1907495861.1040001</v>
      </c>
      <c r="P3639" t="str">
        <f>IF(T[[#This Row],[qty_ordered]]&lt;&gt;T[[#This Row],[qty_received]],IF(T[[#This Row],[qty_received]]&gt;0,"Partial Received","Not Receviced"),"FullyReceived")</f>
        <v>FullyReceived</v>
      </c>
      <c r="Q3639" t="str">
        <f>IF(T[[#This Row],[qty_received]]&lt;&gt;T[[#This Row],[qty_invoiced]],IF(T[[#This Row],[qty_invoiced]]&gt;0,"Partial Invoiced","Not Invoiced"),"Fully Invoiced")</f>
        <v>Fully Invoiced</v>
      </c>
      <c r="R3639" t="str">
        <f>IFERROR(VLOOKUP(T[[#This Row],[warehouse]],Table2[],2,FALSE),"--")</f>
        <v>YELLOW BEANS</v>
      </c>
    </row>
    <row r="3640" spans="1:18" x14ac:dyDescent="0.25">
      <c r="A3640" t="s">
        <v>2121</v>
      </c>
      <c r="B3640" s="1">
        <v>44605</v>
      </c>
      <c r="C3640" t="s">
        <v>2122</v>
      </c>
      <c r="D3640" t="s">
        <v>71</v>
      </c>
      <c r="E3640" t="s">
        <v>723</v>
      </c>
      <c r="F3640" t="s">
        <v>219</v>
      </c>
      <c r="G3640" t="s">
        <v>724</v>
      </c>
      <c r="H3640" t="s">
        <v>221</v>
      </c>
      <c r="I3640">
        <v>54181.15</v>
      </c>
      <c r="J3640">
        <v>54181.15</v>
      </c>
      <c r="K3640">
        <v>54181.15</v>
      </c>
      <c r="L3640" t="s">
        <v>693</v>
      </c>
      <c r="M3640" t="s">
        <v>707</v>
      </c>
      <c r="N3640">
        <v>40300</v>
      </c>
      <c r="O3640">
        <v>1359946875.5111401</v>
      </c>
      <c r="P3640" t="str">
        <f>IF(T[[#This Row],[qty_ordered]]&lt;&gt;T[[#This Row],[qty_received]],IF(T[[#This Row],[qty_received]]&gt;0,"Partial Received","Not Receviced"),"FullyReceived")</f>
        <v>FullyReceived</v>
      </c>
      <c r="Q3640" t="str">
        <f>IF(T[[#This Row],[qty_received]]&lt;&gt;T[[#This Row],[qty_invoiced]],IF(T[[#This Row],[qty_invoiced]]&gt;0,"Partial Invoiced","Not Invoiced"),"Fully Invoiced")</f>
        <v>Fully Invoiced</v>
      </c>
      <c r="R3640" t="str">
        <f>IFERROR(VLOOKUP(T[[#This Row],[warehouse]],Table2[],2,FALSE),"--")</f>
        <v>YELLOW BEANS</v>
      </c>
    </row>
    <row r="3641" spans="1:18" x14ac:dyDescent="0.25">
      <c r="A3641" t="s">
        <v>235</v>
      </c>
      <c r="B3641" s="1">
        <v>44612</v>
      </c>
      <c r="C3641" t="s">
        <v>2118</v>
      </c>
      <c r="D3641" t="s">
        <v>71</v>
      </c>
      <c r="E3641" t="s">
        <v>51</v>
      </c>
      <c r="F3641" t="s">
        <v>546</v>
      </c>
      <c r="G3641" t="s">
        <v>2123</v>
      </c>
      <c r="H3641" t="s">
        <v>54</v>
      </c>
      <c r="I3641">
        <v>10000</v>
      </c>
      <c r="J3641">
        <v>0</v>
      </c>
      <c r="K3641">
        <v>1</v>
      </c>
      <c r="L3641" t="s">
        <v>693</v>
      </c>
      <c r="M3641" t="s">
        <v>533</v>
      </c>
      <c r="N3641">
        <v>15.4</v>
      </c>
      <c r="O3641">
        <v>0</v>
      </c>
      <c r="P3641" t="str">
        <f>IF(T[[#This Row],[qty_ordered]]&lt;&gt;T[[#This Row],[qty_received]],IF(T[[#This Row],[qty_received]]&gt;0,"Partial Received","Not Receviced"),"FullyReceived")</f>
        <v>Not Receviced</v>
      </c>
      <c r="Q3641" t="str">
        <f>IF(T[[#This Row],[qty_received]]&lt;&gt;T[[#This Row],[qty_invoiced]],IF(T[[#This Row],[qty_invoiced]]&gt;0,"Partial Invoiced","Not Invoiced"),"Fully Invoiced")</f>
        <v>Partial Invoiced</v>
      </c>
      <c r="R3641" t="str">
        <f>IFERROR(VLOOKUP(T[[#This Row],[warehouse]],Table2[],2,FALSE),"--")</f>
        <v>--</v>
      </c>
    </row>
    <row r="3642" spans="1:18" x14ac:dyDescent="0.25">
      <c r="A3642" t="s">
        <v>235</v>
      </c>
      <c r="B3642" s="1">
        <v>44573</v>
      </c>
      <c r="C3642" t="s">
        <v>1951</v>
      </c>
      <c r="D3642" t="s">
        <v>322</v>
      </c>
      <c r="E3642" t="s">
        <v>51</v>
      </c>
      <c r="F3642" t="s">
        <v>546</v>
      </c>
      <c r="G3642" t="s">
        <v>2124</v>
      </c>
      <c r="H3642" t="s">
        <v>54</v>
      </c>
      <c r="I3642">
        <v>12000</v>
      </c>
      <c r="J3642">
        <v>0</v>
      </c>
      <c r="K3642">
        <v>1</v>
      </c>
      <c r="L3642" t="s">
        <v>693</v>
      </c>
      <c r="M3642" t="s">
        <v>533</v>
      </c>
      <c r="N3642">
        <v>15.5</v>
      </c>
      <c r="O3642">
        <v>0</v>
      </c>
      <c r="P3642" t="str">
        <f>IF(T[[#This Row],[qty_ordered]]&lt;&gt;T[[#This Row],[qty_received]],IF(T[[#This Row],[qty_received]]&gt;0,"Partial Received","Not Receviced"),"FullyReceived")</f>
        <v>Not Receviced</v>
      </c>
      <c r="Q3642" t="str">
        <f>IF(T[[#This Row],[qty_received]]&lt;&gt;T[[#This Row],[qty_invoiced]],IF(T[[#This Row],[qty_invoiced]]&gt;0,"Partial Invoiced","Not Invoiced"),"Fully Invoiced")</f>
        <v>Partial Invoiced</v>
      </c>
      <c r="R3642" t="str">
        <f>IFERROR(VLOOKUP(T[[#This Row],[warehouse]],Table2[],2,FALSE),"--")</f>
        <v>--</v>
      </c>
    </row>
    <row r="3643" spans="1:18" x14ac:dyDescent="0.25">
      <c r="A3643" t="s">
        <v>235</v>
      </c>
      <c r="B3643" s="1">
        <v>44573</v>
      </c>
      <c r="C3643" t="s">
        <v>1951</v>
      </c>
      <c r="D3643" t="s">
        <v>323</v>
      </c>
      <c r="E3643" t="s">
        <v>51</v>
      </c>
      <c r="F3643" t="s">
        <v>546</v>
      </c>
      <c r="G3643" t="s">
        <v>2125</v>
      </c>
      <c r="H3643" t="s">
        <v>54</v>
      </c>
      <c r="I3643">
        <v>12000</v>
      </c>
      <c r="J3643">
        <v>0</v>
      </c>
      <c r="K3643">
        <v>1</v>
      </c>
      <c r="L3643" t="s">
        <v>693</v>
      </c>
      <c r="M3643" t="s">
        <v>533</v>
      </c>
      <c r="N3643">
        <v>15.5</v>
      </c>
      <c r="O3643">
        <v>0</v>
      </c>
      <c r="P3643" t="str">
        <f>IF(T[[#This Row],[qty_ordered]]&lt;&gt;T[[#This Row],[qty_received]],IF(T[[#This Row],[qty_received]]&gt;0,"Partial Received","Not Receviced"),"FullyReceived")</f>
        <v>Not Receviced</v>
      </c>
      <c r="Q3643" t="str">
        <f>IF(T[[#This Row],[qty_received]]&lt;&gt;T[[#This Row],[qty_invoiced]],IF(T[[#This Row],[qty_invoiced]]&gt;0,"Partial Invoiced","Not Invoiced"),"Fully Invoiced")</f>
        <v>Partial Invoiced</v>
      </c>
      <c r="R3643" t="str">
        <f>IFERROR(VLOOKUP(T[[#This Row],[warehouse]],Table2[],2,FALSE),"--")</f>
        <v>--</v>
      </c>
    </row>
    <row r="3644" spans="1:18" x14ac:dyDescent="0.25">
      <c r="A3644" t="s">
        <v>252</v>
      </c>
      <c r="B3644" s="1">
        <v>44531</v>
      </c>
      <c r="C3644" t="s">
        <v>1491</v>
      </c>
      <c r="D3644" t="s">
        <v>212</v>
      </c>
      <c r="E3644" t="s">
        <v>51</v>
      </c>
      <c r="F3644" t="s">
        <v>183</v>
      </c>
      <c r="G3644" t="s">
        <v>1828</v>
      </c>
      <c r="H3644" t="s">
        <v>54</v>
      </c>
      <c r="I3644">
        <v>615.70000000000005</v>
      </c>
      <c r="J3644">
        <v>0</v>
      </c>
      <c r="K3644">
        <v>1</v>
      </c>
      <c r="L3644" t="s">
        <v>693</v>
      </c>
      <c r="M3644" t="s">
        <v>533</v>
      </c>
      <c r="N3644">
        <v>6250</v>
      </c>
      <c r="O3644">
        <v>0</v>
      </c>
      <c r="P3644" t="str">
        <f>IF(T[[#This Row],[qty_ordered]]&lt;&gt;T[[#This Row],[qty_received]],IF(T[[#This Row],[qty_received]]&gt;0,"Partial Received","Not Receviced"),"FullyReceived")</f>
        <v>Not Receviced</v>
      </c>
      <c r="Q3644" t="str">
        <f>IF(T[[#This Row],[qty_received]]&lt;&gt;T[[#This Row],[qty_invoiced]],IF(T[[#This Row],[qty_invoiced]]&gt;0,"Partial Invoiced","Not Invoiced"),"Fully Invoiced")</f>
        <v>Partial Invoiced</v>
      </c>
      <c r="R3644" t="str">
        <f>IFERROR(VLOOKUP(T[[#This Row],[warehouse]],Table2[],2,FALSE),"--")</f>
        <v>--</v>
      </c>
    </row>
    <row r="3645" spans="1:18" x14ac:dyDescent="0.25">
      <c r="A3645" t="s">
        <v>269</v>
      </c>
      <c r="B3645" s="1">
        <v>44612</v>
      </c>
      <c r="C3645" t="s">
        <v>2126</v>
      </c>
      <c r="D3645" t="s">
        <v>20</v>
      </c>
      <c r="E3645" t="s">
        <v>51</v>
      </c>
      <c r="F3645" t="s">
        <v>183</v>
      </c>
      <c r="G3645" t="s">
        <v>2127</v>
      </c>
      <c r="H3645" t="s">
        <v>54</v>
      </c>
      <c r="I3645">
        <v>275.38</v>
      </c>
      <c r="J3645">
        <v>0</v>
      </c>
      <c r="K3645">
        <v>1</v>
      </c>
      <c r="L3645" t="s">
        <v>693</v>
      </c>
      <c r="M3645" t="s">
        <v>533</v>
      </c>
      <c r="N3645">
        <v>6500</v>
      </c>
      <c r="O3645">
        <v>0</v>
      </c>
      <c r="P3645" t="str">
        <f>IF(T[[#This Row],[qty_ordered]]&lt;&gt;T[[#This Row],[qty_received]],IF(T[[#This Row],[qty_received]]&gt;0,"Partial Received","Not Receviced"),"FullyReceived")</f>
        <v>Not Receviced</v>
      </c>
      <c r="Q3645" t="str">
        <f>IF(T[[#This Row],[qty_received]]&lt;&gt;T[[#This Row],[qty_invoiced]],IF(T[[#This Row],[qty_invoiced]]&gt;0,"Partial Invoiced","Not Invoiced"),"Fully Invoiced")</f>
        <v>Partial Invoiced</v>
      </c>
      <c r="R3645" t="str">
        <f>IFERROR(VLOOKUP(T[[#This Row],[warehouse]],Table2[],2,FALSE),"--")</f>
        <v>--</v>
      </c>
    </row>
    <row r="3646" spans="1:18" x14ac:dyDescent="0.25">
      <c r="A3646" t="s">
        <v>423</v>
      </c>
      <c r="B3646" s="1">
        <v>44546</v>
      </c>
      <c r="C3646" t="s">
        <v>1498</v>
      </c>
      <c r="D3646" t="s">
        <v>71</v>
      </c>
      <c r="E3646" t="s">
        <v>51</v>
      </c>
      <c r="F3646" t="s">
        <v>546</v>
      </c>
      <c r="G3646" t="s">
        <v>1953</v>
      </c>
      <c r="H3646" t="s">
        <v>54</v>
      </c>
      <c r="I3646">
        <v>10000</v>
      </c>
      <c r="J3646">
        <v>0</v>
      </c>
      <c r="K3646">
        <v>1</v>
      </c>
      <c r="L3646" t="s">
        <v>693</v>
      </c>
      <c r="M3646" t="s">
        <v>2836</v>
      </c>
      <c r="N3646">
        <v>15.5</v>
      </c>
      <c r="O3646">
        <v>0</v>
      </c>
      <c r="P3646" t="str">
        <f>IF(T[[#This Row],[qty_ordered]]&lt;&gt;T[[#This Row],[qty_received]],IF(T[[#This Row],[qty_received]]&gt;0,"Partial Received","Not Receviced"),"FullyReceived")</f>
        <v>Not Receviced</v>
      </c>
      <c r="Q3646" t="str">
        <f>IF(T[[#This Row],[qty_received]]&lt;&gt;T[[#This Row],[qty_invoiced]],IF(T[[#This Row],[qty_invoiced]]&gt;0,"Partial Invoiced","Not Invoiced"),"Fully Invoiced")</f>
        <v>Partial Invoiced</v>
      </c>
      <c r="R3646" t="str">
        <f>IFERROR(VLOOKUP(T[[#This Row],[warehouse]],Table2[],2,FALSE),"--")</f>
        <v>--</v>
      </c>
    </row>
    <row r="3647" spans="1:18" x14ac:dyDescent="0.25">
      <c r="A3647" t="s">
        <v>423</v>
      </c>
      <c r="B3647" s="1">
        <v>44546</v>
      </c>
      <c r="C3647" t="s">
        <v>1502</v>
      </c>
      <c r="D3647" t="s">
        <v>615</v>
      </c>
      <c r="E3647" t="s">
        <v>51</v>
      </c>
      <c r="F3647" t="s">
        <v>546</v>
      </c>
      <c r="G3647" t="s">
        <v>2128</v>
      </c>
      <c r="H3647" t="s">
        <v>54</v>
      </c>
      <c r="I3647">
        <v>10000</v>
      </c>
      <c r="J3647">
        <v>0</v>
      </c>
      <c r="K3647">
        <v>1</v>
      </c>
      <c r="L3647" t="s">
        <v>693</v>
      </c>
      <c r="M3647" t="s">
        <v>2836</v>
      </c>
      <c r="N3647">
        <v>15.5</v>
      </c>
      <c r="O3647">
        <v>0</v>
      </c>
      <c r="P3647" t="str">
        <f>IF(T[[#This Row],[qty_ordered]]&lt;&gt;T[[#This Row],[qty_received]],IF(T[[#This Row],[qty_received]]&gt;0,"Partial Received","Not Receviced"),"FullyReceived")</f>
        <v>Not Receviced</v>
      </c>
      <c r="Q3647" t="str">
        <f>IF(T[[#This Row],[qty_received]]&lt;&gt;T[[#This Row],[qty_invoiced]],IF(T[[#This Row],[qty_invoiced]]&gt;0,"Partial Invoiced","Not Invoiced"),"Fully Invoiced")</f>
        <v>Partial Invoiced</v>
      </c>
      <c r="R3647" t="str">
        <f>IFERROR(VLOOKUP(T[[#This Row],[warehouse]],Table2[],2,FALSE),"--")</f>
        <v>--</v>
      </c>
    </row>
    <row r="3648" spans="1:18" x14ac:dyDescent="0.25">
      <c r="A3648" t="s">
        <v>423</v>
      </c>
      <c r="B3648" s="1">
        <v>44546</v>
      </c>
      <c r="C3648" t="s">
        <v>1500</v>
      </c>
      <c r="D3648" t="s">
        <v>88</v>
      </c>
      <c r="E3648" t="s">
        <v>51</v>
      </c>
      <c r="F3648" t="s">
        <v>546</v>
      </c>
      <c r="G3648" t="s">
        <v>2129</v>
      </c>
      <c r="H3648" t="s">
        <v>54</v>
      </c>
      <c r="I3648">
        <v>10000</v>
      </c>
      <c r="J3648">
        <v>0</v>
      </c>
      <c r="K3648">
        <v>1</v>
      </c>
      <c r="L3648" t="s">
        <v>693</v>
      </c>
      <c r="M3648" t="s">
        <v>533</v>
      </c>
      <c r="N3648">
        <v>40</v>
      </c>
      <c r="O3648">
        <v>0</v>
      </c>
      <c r="P3648" t="str">
        <f>IF(T[[#This Row],[qty_ordered]]&lt;&gt;T[[#This Row],[qty_received]],IF(T[[#This Row],[qty_received]]&gt;0,"Partial Received","Not Receviced"),"FullyReceived")</f>
        <v>Not Receviced</v>
      </c>
      <c r="Q3648" t="str">
        <f>IF(T[[#This Row],[qty_received]]&lt;&gt;T[[#This Row],[qty_invoiced]],IF(T[[#This Row],[qty_invoiced]]&gt;0,"Partial Invoiced","Not Invoiced"),"Fully Invoiced")</f>
        <v>Partial Invoiced</v>
      </c>
      <c r="R3648" t="str">
        <f>IFERROR(VLOOKUP(T[[#This Row],[warehouse]],Table2[],2,FALSE),"--")</f>
        <v>--</v>
      </c>
    </row>
    <row r="3649" spans="1:18" x14ac:dyDescent="0.25">
      <c r="A3649" t="s">
        <v>560</v>
      </c>
      <c r="B3649" s="1">
        <v>44606</v>
      </c>
      <c r="C3649" t="s">
        <v>1537</v>
      </c>
      <c r="D3649" t="s">
        <v>20</v>
      </c>
      <c r="E3649" t="s">
        <v>51</v>
      </c>
      <c r="F3649" t="s">
        <v>164</v>
      </c>
      <c r="G3649" t="s">
        <v>2130</v>
      </c>
      <c r="H3649" t="s">
        <v>54</v>
      </c>
      <c r="I3649">
        <v>6</v>
      </c>
      <c r="J3649">
        <v>0</v>
      </c>
      <c r="K3649">
        <v>1</v>
      </c>
      <c r="L3649" t="s">
        <v>693</v>
      </c>
      <c r="M3649" t="s">
        <v>533</v>
      </c>
      <c r="N3649">
        <v>5250</v>
      </c>
      <c r="O3649">
        <v>0</v>
      </c>
      <c r="P3649" t="str">
        <f>IF(T[[#This Row],[qty_ordered]]&lt;&gt;T[[#This Row],[qty_received]],IF(T[[#This Row],[qty_received]]&gt;0,"Partial Received","Not Receviced"),"FullyReceived")</f>
        <v>Not Receviced</v>
      </c>
      <c r="Q3649" t="str">
        <f>IF(T[[#This Row],[qty_received]]&lt;&gt;T[[#This Row],[qty_invoiced]],IF(T[[#This Row],[qty_invoiced]]&gt;0,"Partial Invoiced","Not Invoiced"),"Fully Invoiced")</f>
        <v>Partial Invoiced</v>
      </c>
      <c r="R3649" t="str">
        <f>IFERROR(VLOOKUP(T[[#This Row],[warehouse]],Table2[],2,FALSE),"--")</f>
        <v>--</v>
      </c>
    </row>
    <row r="3650" spans="1:18" x14ac:dyDescent="0.25">
      <c r="A3650" t="s">
        <v>560</v>
      </c>
      <c r="B3650" s="1">
        <v>44606</v>
      </c>
      <c r="C3650" t="s">
        <v>1537</v>
      </c>
      <c r="D3650" t="s">
        <v>71</v>
      </c>
      <c r="E3650" t="s">
        <v>51</v>
      </c>
      <c r="F3650" t="s">
        <v>164</v>
      </c>
      <c r="G3650" t="s">
        <v>2130</v>
      </c>
      <c r="H3650" t="s">
        <v>54</v>
      </c>
      <c r="I3650">
        <v>27</v>
      </c>
      <c r="J3650">
        <v>0</v>
      </c>
      <c r="K3650">
        <v>1</v>
      </c>
      <c r="L3650" t="s">
        <v>693</v>
      </c>
      <c r="M3650" t="s">
        <v>533</v>
      </c>
      <c r="N3650">
        <v>5250</v>
      </c>
      <c r="O3650">
        <v>0</v>
      </c>
      <c r="P3650" t="str">
        <f>IF(T[[#This Row],[qty_ordered]]&lt;&gt;T[[#This Row],[qty_received]],IF(T[[#This Row],[qty_received]]&gt;0,"Partial Received","Not Receviced"),"FullyReceived")</f>
        <v>Not Receviced</v>
      </c>
      <c r="Q3650" t="str">
        <f>IF(T[[#This Row],[qty_received]]&lt;&gt;T[[#This Row],[qty_invoiced]],IF(T[[#This Row],[qty_invoiced]]&gt;0,"Partial Invoiced","Not Invoiced"),"Fully Invoiced")</f>
        <v>Partial Invoiced</v>
      </c>
      <c r="R3650" t="str">
        <f>IFERROR(VLOOKUP(T[[#This Row],[warehouse]],Table2[],2,FALSE),"--")</f>
        <v>--</v>
      </c>
    </row>
    <row r="3651" spans="1:18" x14ac:dyDescent="0.25">
      <c r="A3651" t="s">
        <v>560</v>
      </c>
      <c r="B3651" s="1">
        <v>44606</v>
      </c>
      <c r="C3651" t="s">
        <v>1537</v>
      </c>
      <c r="D3651" t="s">
        <v>100</v>
      </c>
      <c r="E3651" t="s">
        <v>51</v>
      </c>
      <c r="F3651" t="s">
        <v>164</v>
      </c>
      <c r="G3651" t="s">
        <v>2130</v>
      </c>
      <c r="H3651" t="s">
        <v>54</v>
      </c>
      <c r="I3651">
        <v>3.5</v>
      </c>
      <c r="J3651">
        <v>0</v>
      </c>
      <c r="K3651">
        <v>1</v>
      </c>
      <c r="L3651" t="s">
        <v>693</v>
      </c>
      <c r="M3651" t="s">
        <v>533</v>
      </c>
      <c r="N3651">
        <v>5250</v>
      </c>
      <c r="O3651">
        <v>0</v>
      </c>
      <c r="P3651" t="str">
        <f>IF(T[[#This Row],[qty_ordered]]&lt;&gt;T[[#This Row],[qty_received]],IF(T[[#This Row],[qty_received]]&gt;0,"Partial Received","Not Receviced"),"FullyReceived")</f>
        <v>Not Receviced</v>
      </c>
      <c r="Q3651" t="str">
        <f>IF(T[[#This Row],[qty_received]]&lt;&gt;T[[#This Row],[qty_invoiced]],IF(T[[#This Row],[qty_invoiced]]&gt;0,"Partial Invoiced","Not Invoiced"),"Fully Invoiced")</f>
        <v>Partial Invoiced</v>
      </c>
      <c r="R3651" t="str">
        <f>IFERROR(VLOOKUP(T[[#This Row],[warehouse]],Table2[],2,FALSE),"--")</f>
        <v>--</v>
      </c>
    </row>
    <row r="3652" spans="1:18" x14ac:dyDescent="0.25">
      <c r="A3652" t="s">
        <v>560</v>
      </c>
      <c r="B3652" s="1">
        <v>44544</v>
      </c>
      <c r="C3652" t="s">
        <v>1542</v>
      </c>
      <c r="D3652" t="s">
        <v>322</v>
      </c>
      <c r="E3652" t="s">
        <v>51</v>
      </c>
      <c r="F3652" t="s">
        <v>164</v>
      </c>
      <c r="G3652" t="s">
        <v>2131</v>
      </c>
      <c r="H3652" t="s">
        <v>54</v>
      </c>
      <c r="I3652">
        <v>29</v>
      </c>
      <c r="J3652">
        <v>0</v>
      </c>
      <c r="K3652">
        <v>1</v>
      </c>
      <c r="L3652" t="s">
        <v>693</v>
      </c>
      <c r="M3652" t="s">
        <v>533</v>
      </c>
      <c r="N3652">
        <v>5250</v>
      </c>
      <c r="O3652">
        <v>0</v>
      </c>
      <c r="P3652" t="str">
        <f>IF(T[[#This Row],[qty_ordered]]&lt;&gt;T[[#This Row],[qty_received]],IF(T[[#This Row],[qty_received]]&gt;0,"Partial Received","Not Receviced"),"FullyReceived")</f>
        <v>Not Receviced</v>
      </c>
      <c r="Q3652" t="str">
        <f>IF(T[[#This Row],[qty_received]]&lt;&gt;T[[#This Row],[qty_invoiced]],IF(T[[#This Row],[qty_invoiced]]&gt;0,"Partial Invoiced","Not Invoiced"),"Fully Invoiced")</f>
        <v>Partial Invoiced</v>
      </c>
      <c r="R3652" t="str">
        <f>IFERROR(VLOOKUP(T[[#This Row],[warehouse]],Table2[],2,FALSE),"--")</f>
        <v>--</v>
      </c>
    </row>
    <row r="3653" spans="1:18" x14ac:dyDescent="0.25">
      <c r="A3653" t="s">
        <v>560</v>
      </c>
      <c r="B3653" s="1">
        <v>44544</v>
      </c>
      <c r="C3653" t="s">
        <v>1542</v>
      </c>
      <c r="D3653" t="s">
        <v>323</v>
      </c>
      <c r="E3653" t="s">
        <v>51</v>
      </c>
      <c r="F3653" t="s">
        <v>164</v>
      </c>
      <c r="G3653" t="s">
        <v>2131</v>
      </c>
      <c r="H3653" t="s">
        <v>54</v>
      </c>
      <c r="I3653">
        <v>28.88</v>
      </c>
      <c r="J3653">
        <v>0</v>
      </c>
      <c r="K3653">
        <v>1</v>
      </c>
      <c r="L3653" t="s">
        <v>693</v>
      </c>
      <c r="M3653" t="s">
        <v>533</v>
      </c>
      <c r="N3653">
        <v>5250</v>
      </c>
      <c r="O3653">
        <v>0</v>
      </c>
      <c r="P3653" t="str">
        <f>IF(T[[#This Row],[qty_ordered]]&lt;&gt;T[[#This Row],[qty_received]],IF(T[[#This Row],[qty_received]]&gt;0,"Partial Received","Not Receviced"),"FullyReceived")</f>
        <v>Not Receviced</v>
      </c>
      <c r="Q3653" t="str">
        <f>IF(T[[#This Row],[qty_received]]&lt;&gt;T[[#This Row],[qty_invoiced]],IF(T[[#This Row],[qty_invoiced]]&gt;0,"Partial Invoiced","Not Invoiced"),"Fully Invoiced")</f>
        <v>Partial Invoiced</v>
      </c>
      <c r="R3653" t="str">
        <f>IFERROR(VLOOKUP(T[[#This Row],[warehouse]],Table2[],2,FALSE),"--")</f>
        <v>--</v>
      </c>
    </row>
    <row r="3654" spans="1:18" x14ac:dyDescent="0.25">
      <c r="A3654" t="s">
        <v>1977</v>
      </c>
      <c r="B3654" s="1">
        <v>44606</v>
      </c>
      <c r="C3654" t="s">
        <v>1978</v>
      </c>
      <c r="D3654" t="s">
        <v>20</v>
      </c>
      <c r="E3654" t="s">
        <v>51</v>
      </c>
      <c r="F3654" t="s">
        <v>183</v>
      </c>
      <c r="G3654" t="s">
        <v>2132</v>
      </c>
      <c r="H3654" t="s">
        <v>54</v>
      </c>
      <c r="I3654">
        <v>500</v>
      </c>
      <c r="J3654">
        <v>0</v>
      </c>
      <c r="K3654">
        <v>1</v>
      </c>
      <c r="L3654" t="s">
        <v>693</v>
      </c>
      <c r="M3654" t="s">
        <v>533</v>
      </c>
      <c r="N3654">
        <v>8000</v>
      </c>
      <c r="O3654">
        <v>0</v>
      </c>
      <c r="P3654" t="str">
        <f>IF(T[[#This Row],[qty_ordered]]&lt;&gt;T[[#This Row],[qty_received]],IF(T[[#This Row],[qty_received]]&gt;0,"Partial Received","Not Receviced"),"FullyReceived")</f>
        <v>Not Receviced</v>
      </c>
      <c r="Q3654" t="str">
        <f>IF(T[[#This Row],[qty_received]]&lt;&gt;T[[#This Row],[qty_invoiced]],IF(T[[#This Row],[qty_invoiced]]&gt;0,"Partial Invoiced","Not Invoiced"),"Fully Invoiced")</f>
        <v>Partial Invoiced</v>
      </c>
      <c r="R3654" t="str">
        <f>IFERROR(VLOOKUP(T[[#This Row],[warehouse]],Table2[],2,FALSE),"--")</f>
        <v>--</v>
      </c>
    </row>
    <row r="3655" spans="1:18" x14ac:dyDescent="0.25">
      <c r="A3655" t="s">
        <v>560</v>
      </c>
      <c r="B3655" s="1">
        <v>44572</v>
      </c>
      <c r="C3655" t="s">
        <v>1531</v>
      </c>
      <c r="D3655" t="s">
        <v>88</v>
      </c>
      <c r="E3655" t="s">
        <v>51</v>
      </c>
      <c r="F3655" t="s">
        <v>164</v>
      </c>
      <c r="G3655" t="s">
        <v>2133</v>
      </c>
      <c r="H3655" t="s">
        <v>54</v>
      </c>
      <c r="I3655">
        <v>21</v>
      </c>
      <c r="J3655">
        <v>0</v>
      </c>
      <c r="K3655">
        <v>1</v>
      </c>
      <c r="L3655" t="s">
        <v>693</v>
      </c>
      <c r="M3655" t="s">
        <v>533</v>
      </c>
      <c r="N3655">
        <v>5250</v>
      </c>
      <c r="O3655">
        <v>0</v>
      </c>
      <c r="P3655" t="str">
        <f>IF(T[[#This Row],[qty_ordered]]&lt;&gt;T[[#This Row],[qty_received]],IF(T[[#This Row],[qty_received]]&gt;0,"Partial Received","Not Receviced"),"FullyReceived")</f>
        <v>Not Receviced</v>
      </c>
      <c r="Q3655" t="str">
        <f>IF(T[[#This Row],[qty_received]]&lt;&gt;T[[#This Row],[qty_invoiced]],IF(T[[#This Row],[qty_invoiced]]&gt;0,"Partial Invoiced","Not Invoiced"),"Fully Invoiced")</f>
        <v>Partial Invoiced</v>
      </c>
      <c r="R3655" t="str">
        <f>IFERROR(VLOOKUP(T[[#This Row],[warehouse]],Table2[],2,FALSE),"--")</f>
        <v>--</v>
      </c>
    </row>
    <row r="3656" spans="1:18" x14ac:dyDescent="0.25">
      <c r="A3656" t="s">
        <v>560</v>
      </c>
      <c r="B3656" s="1">
        <v>44572</v>
      </c>
      <c r="C3656" t="s">
        <v>1531</v>
      </c>
      <c r="D3656" t="s">
        <v>74</v>
      </c>
      <c r="E3656" t="s">
        <v>51</v>
      </c>
      <c r="F3656" t="s">
        <v>164</v>
      </c>
      <c r="G3656" t="s">
        <v>2134</v>
      </c>
      <c r="H3656" t="s">
        <v>54</v>
      </c>
      <c r="I3656">
        <v>19.13</v>
      </c>
      <c r="J3656">
        <v>0</v>
      </c>
      <c r="K3656">
        <v>1</v>
      </c>
      <c r="L3656" t="s">
        <v>693</v>
      </c>
      <c r="M3656" t="s">
        <v>533</v>
      </c>
      <c r="N3656">
        <v>5250</v>
      </c>
      <c r="O3656">
        <v>0</v>
      </c>
      <c r="P3656" t="str">
        <f>IF(T[[#This Row],[qty_ordered]]&lt;&gt;T[[#This Row],[qty_received]],IF(T[[#This Row],[qty_received]]&gt;0,"Partial Received","Not Receviced"),"FullyReceived")</f>
        <v>Not Receviced</v>
      </c>
      <c r="Q3656" t="str">
        <f>IF(T[[#This Row],[qty_received]]&lt;&gt;T[[#This Row],[qty_invoiced]],IF(T[[#This Row],[qty_invoiced]]&gt;0,"Partial Invoiced","Not Invoiced"),"Fully Invoiced")</f>
        <v>Partial Invoiced</v>
      </c>
      <c r="R3656" t="str">
        <f>IFERROR(VLOOKUP(T[[#This Row],[warehouse]],Table2[],2,FALSE),"--")</f>
        <v>--</v>
      </c>
    </row>
    <row r="3657" spans="1:18" x14ac:dyDescent="0.25">
      <c r="A3657" t="s">
        <v>560</v>
      </c>
      <c r="B3657" s="1">
        <v>44572</v>
      </c>
      <c r="C3657" t="s">
        <v>1531</v>
      </c>
      <c r="D3657" t="s">
        <v>76</v>
      </c>
      <c r="E3657" t="s">
        <v>51</v>
      </c>
      <c r="F3657" t="s">
        <v>164</v>
      </c>
      <c r="G3657" t="s">
        <v>2134</v>
      </c>
      <c r="H3657" t="s">
        <v>54</v>
      </c>
      <c r="I3657">
        <v>32.130000000000003</v>
      </c>
      <c r="J3657">
        <v>0</v>
      </c>
      <c r="K3657">
        <v>1</v>
      </c>
      <c r="L3657" t="s">
        <v>693</v>
      </c>
      <c r="M3657" t="s">
        <v>533</v>
      </c>
      <c r="N3657">
        <v>5250</v>
      </c>
      <c r="O3657">
        <v>0</v>
      </c>
      <c r="P3657" t="str">
        <f>IF(T[[#This Row],[qty_ordered]]&lt;&gt;T[[#This Row],[qty_received]],IF(T[[#This Row],[qty_received]]&gt;0,"Partial Received","Not Receviced"),"FullyReceived")</f>
        <v>Not Receviced</v>
      </c>
      <c r="Q3657" t="str">
        <f>IF(T[[#This Row],[qty_received]]&lt;&gt;T[[#This Row],[qty_invoiced]],IF(T[[#This Row],[qty_invoiced]]&gt;0,"Partial Invoiced","Not Invoiced"),"Fully Invoiced")</f>
        <v>Partial Invoiced</v>
      </c>
      <c r="R3657" t="str">
        <f>IFERROR(VLOOKUP(T[[#This Row],[warehouse]],Table2[],2,FALSE),"--")</f>
        <v>--</v>
      </c>
    </row>
    <row r="3658" spans="1:18" x14ac:dyDescent="0.25">
      <c r="A3658" t="s">
        <v>560</v>
      </c>
      <c r="B3658" s="1">
        <v>44544</v>
      </c>
      <c r="C3658" t="s">
        <v>1522</v>
      </c>
      <c r="D3658" t="s">
        <v>74</v>
      </c>
      <c r="E3658" t="s">
        <v>51</v>
      </c>
      <c r="F3658" t="s">
        <v>164</v>
      </c>
      <c r="G3658" t="s">
        <v>2135</v>
      </c>
      <c r="H3658" t="s">
        <v>54</v>
      </c>
      <c r="I3658">
        <v>27.63</v>
      </c>
      <c r="J3658">
        <v>0</v>
      </c>
      <c r="K3658">
        <v>1</v>
      </c>
      <c r="L3658" t="s">
        <v>693</v>
      </c>
      <c r="M3658" t="s">
        <v>2836</v>
      </c>
      <c r="N3658">
        <v>5250</v>
      </c>
      <c r="O3658">
        <v>0</v>
      </c>
      <c r="P3658" t="str">
        <f>IF(T[[#This Row],[qty_ordered]]&lt;&gt;T[[#This Row],[qty_received]],IF(T[[#This Row],[qty_received]]&gt;0,"Partial Received","Not Receviced"),"FullyReceived")</f>
        <v>Not Receviced</v>
      </c>
      <c r="Q3658" t="str">
        <f>IF(T[[#This Row],[qty_received]]&lt;&gt;T[[#This Row],[qty_invoiced]],IF(T[[#This Row],[qty_invoiced]]&gt;0,"Partial Invoiced","Not Invoiced"),"Fully Invoiced")</f>
        <v>Partial Invoiced</v>
      </c>
      <c r="R3658" t="str">
        <f>IFERROR(VLOOKUP(T[[#This Row],[warehouse]],Table2[],2,FALSE),"--")</f>
        <v>--</v>
      </c>
    </row>
    <row r="3659" spans="1:18" x14ac:dyDescent="0.25">
      <c r="A3659" t="s">
        <v>560</v>
      </c>
      <c r="B3659" s="1">
        <v>44544</v>
      </c>
      <c r="C3659" t="s">
        <v>1522</v>
      </c>
      <c r="D3659" t="s">
        <v>76</v>
      </c>
      <c r="E3659" t="s">
        <v>51</v>
      </c>
      <c r="F3659" t="s">
        <v>164</v>
      </c>
      <c r="G3659" t="s">
        <v>2136</v>
      </c>
      <c r="H3659" t="s">
        <v>54</v>
      </c>
      <c r="I3659">
        <v>29.76</v>
      </c>
      <c r="J3659">
        <v>0</v>
      </c>
      <c r="K3659">
        <v>1</v>
      </c>
      <c r="L3659" t="s">
        <v>693</v>
      </c>
      <c r="M3659" t="s">
        <v>2836</v>
      </c>
      <c r="N3659">
        <v>5250</v>
      </c>
      <c r="O3659">
        <v>0</v>
      </c>
      <c r="P3659" t="str">
        <f>IF(T[[#This Row],[qty_ordered]]&lt;&gt;T[[#This Row],[qty_received]],IF(T[[#This Row],[qty_received]]&gt;0,"Partial Received","Not Receviced"),"FullyReceived")</f>
        <v>Not Receviced</v>
      </c>
      <c r="Q3659" t="str">
        <f>IF(T[[#This Row],[qty_received]]&lt;&gt;T[[#This Row],[qty_invoiced]],IF(T[[#This Row],[qty_invoiced]]&gt;0,"Partial Invoiced","Not Invoiced"),"Fully Invoiced")</f>
        <v>Partial Invoiced</v>
      </c>
      <c r="R3659" t="str">
        <f>IFERROR(VLOOKUP(T[[#This Row],[warehouse]],Table2[],2,FALSE),"--")</f>
        <v>--</v>
      </c>
    </row>
    <row r="3660" spans="1:18" x14ac:dyDescent="0.25">
      <c r="A3660" t="s">
        <v>560</v>
      </c>
      <c r="B3660" s="1">
        <v>44544</v>
      </c>
      <c r="C3660" t="s">
        <v>1522</v>
      </c>
      <c r="D3660" t="s">
        <v>212</v>
      </c>
      <c r="E3660" t="s">
        <v>51</v>
      </c>
      <c r="F3660" t="s">
        <v>164</v>
      </c>
      <c r="G3660" t="s">
        <v>2137</v>
      </c>
      <c r="H3660" t="s">
        <v>54</v>
      </c>
      <c r="I3660">
        <v>2</v>
      </c>
      <c r="J3660">
        <v>0</v>
      </c>
      <c r="K3660">
        <v>1</v>
      </c>
      <c r="L3660" t="s">
        <v>693</v>
      </c>
      <c r="M3660" t="s">
        <v>2836</v>
      </c>
      <c r="N3660">
        <v>5250</v>
      </c>
      <c r="O3660">
        <v>0</v>
      </c>
      <c r="P3660" t="str">
        <f>IF(T[[#This Row],[qty_ordered]]&lt;&gt;T[[#This Row],[qty_received]],IF(T[[#This Row],[qty_received]]&gt;0,"Partial Received","Not Receviced"),"FullyReceived")</f>
        <v>Not Receviced</v>
      </c>
      <c r="Q3660" t="str">
        <f>IF(T[[#This Row],[qty_received]]&lt;&gt;T[[#This Row],[qty_invoiced]],IF(T[[#This Row],[qty_invoiced]]&gt;0,"Partial Invoiced","Not Invoiced"),"Fully Invoiced")</f>
        <v>Partial Invoiced</v>
      </c>
      <c r="R3660" t="str">
        <f>IFERROR(VLOOKUP(T[[#This Row],[warehouse]],Table2[],2,FALSE),"--")</f>
        <v>--</v>
      </c>
    </row>
    <row r="3661" spans="1:18" x14ac:dyDescent="0.25">
      <c r="A3661" t="s">
        <v>560</v>
      </c>
      <c r="B3661" s="1">
        <v>44544</v>
      </c>
      <c r="C3661" t="s">
        <v>1522</v>
      </c>
      <c r="D3661" t="s">
        <v>322</v>
      </c>
      <c r="E3661" t="s">
        <v>51</v>
      </c>
      <c r="F3661" t="s">
        <v>164</v>
      </c>
      <c r="G3661" t="s">
        <v>2136</v>
      </c>
      <c r="H3661" t="s">
        <v>54</v>
      </c>
      <c r="I3661">
        <v>38.880000000000003</v>
      </c>
      <c r="J3661">
        <v>0</v>
      </c>
      <c r="K3661">
        <v>1</v>
      </c>
      <c r="L3661" t="s">
        <v>693</v>
      </c>
      <c r="M3661" t="s">
        <v>2836</v>
      </c>
      <c r="N3661">
        <v>5250</v>
      </c>
      <c r="O3661">
        <v>0</v>
      </c>
      <c r="P3661" t="str">
        <f>IF(T[[#This Row],[qty_ordered]]&lt;&gt;T[[#This Row],[qty_received]],IF(T[[#This Row],[qty_received]]&gt;0,"Partial Received","Not Receviced"),"FullyReceived")</f>
        <v>Not Receviced</v>
      </c>
      <c r="Q3661" t="str">
        <f>IF(T[[#This Row],[qty_received]]&lt;&gt;T[[#This Row],[qty_invoiced]],IF(T[[#This Row],[qty_invoiced]]&gt;0,"Partial Invoiced","Not Invoiced"),"Fully Invoiced")</f>
        <v>Partial Invoiced</v>
      </c>
      <c r="R3661" t="str">
        <f>IFERROR(VLOOKUP(T[[#This Row],[warehouse]],Table2[],2,FALSE),"--")</f>
        <v>--</v>
      </c>
    </row>
    <row r="3662" spans="1:18" x14ac:dyDescent="0.25">
      <c r="A3662" t="s">
        <v>560</v>
      </c>
      <c r="B3662" s="1">
        <v>44544</v>
      </c>
      <c r="C3662" t="s">
        <v>1524</v>
      </c>
      <c r="D3662" t="s">
        <v>325</v>
      </c>
      <c r="E3662" t="s">
        <v>51</v>
      </c>
      <c r="F3662" t="s">
        <v>164</v>
      </c>
      <c r="G3662" t="s">
        <v>2138</v>
      </c>
      <c r="H3662" t="s">
        <v>54</v>
      </c>
      <c r="I3662">
        <v>36.380000000000003</v>
      </c>
      <c r="J3662">
        <v>0</v>
      </c>
      <c r="K3662">
        <v>1</v>
      </c>
      <c r="L3662" t="s">
        <v>693</v>
      </c>
      <c r="M3662" t="s">
        <v>2836</v>
      </c>
      <c r="N3662">
        <v>5250</v>
      </c>
      <c r="O3662">
        <v>0</v>
      </c>
      <c r="P3662" t="str">
        <f>IF(T[[#This Row],[qty_ordered]]&lt;&gt;T[[#This Row],[qty_received]],IF(T[[#This Row],[qty_received]]&gt;0,"Partial Received","Not Receviced"),"FullyReceived")</f>
        <v>Not Receviced</v>
      </c>
      <c r="Q3662" t="str">
        <f>IF(T[[#This Row],[qty_received]]&lt;&gt;T[[#This Row],[qty_invoiced]],IF(T[[#This Row],[qty_invoiced]]&gt;0,"Partial Invoiced","Not Invoiced"),"Fully Invoiced")</f>
        <v>Partial Invoiced</v>
      </c>
      <c r="R3662" t="str">
        <f>IFERROR(VLOOKUP(T[[#This Row],[warehouse]],Table2[],2,FALSE),"--")</f>
        <v>--</v>
      </c>
    </row>
    <row r="3663" spans="1:18" x14ac:dyDescent="0.25">
      <c r="A3663" t="s">
        <v>560</v>
      </c>
      <c r="B3663" s="1">
        <v>44544</v>
      </c>
      <c r="C3663" t="s">
        <v>1524</v>
      </c>
      <c r="D3663" t="s">
        <v>451</v>
      </c>
      <c r="E3663" t="s">
        <v>51</v>
      </c>
      <c r="F3663" t="s">
        <v>164</v>
      </c>
      <c r="G3663" t="s">
        <v>2138</v>
      </c>
      <c r="H3663" t="s">
        <v>54</v>
      </c>
      <c r="I3663">
        <v>36.25</v>
      </c>
      <c r="J3663">
        <v>0</v>
      </c>
      <c r="K3663">
        <v>1</v>
      </c>
      <c r="L3663" t="s">
        <v>693</v>
      </c>
      <c r="M3663" t="s">
        <v>2836</v>
      </c>
      <c r="N3663">
        <v>5250</v>
      </c>
      <c r="O3663">
        <v>0</v>
      </c>
      <c r="P3663" t="str">
        <f>IF(T[[#This Row],[qty_ordered]]&lt;&gt;T[[#This Row],[qty_received]],IF(T[[#This Row],[qty_received]]&gt;0,"Partial Received","Not Receviced"),"FullyReceived")</f>
        <v>Not Receviced</v>
      </c>
      <c r="Q3663" t="str">
        <f>IF(T[[#This Row],[qty_received]]&lt;&gt;T[[#This Row],[qty_invoiced]],IF(T[[#This Row],[qty_invoiced]]&gt;0,"Partial Invoiced","Not Invoiced"),"Fully Invoiced")</f>
        <v>Partial Invoiced</v>
      </c>
      <c r="R3663" t="str">
        <f>IFERROR(VLOOKUP(T[[#This Row],[warehouse]],Table2[],2,FALSE),"--")</f>
        <v>--</v>
      </c>
    </row>
    <row r="3664" spans="1:18" x14ac:dyDescent="0.25">
      <c r="A3664" t="s">
        <v>560</v>
      </c>
      <c r="B3664" s="1">
        <v>44544</v>
      </c>
      <c r="C3664" t="s">
        <v>1524</v>
      </c>
      <c r="D3664" t="s">
        <v>452</v>
      </c>
      <c r="E3664" t="s">
        <v>51</v>
      </c>
      <c r="F3664" t="s">
        <v>164</v>
      </c>
      <c r="G3664" t="s">
        <v>2138</v>
      </c>
      <c r="H3664" t="s">
        <v>54</v>
      </c>
      <c r="I3664">
        <v>35.880000000000003</v>
      </c>
      <c r="J3664">
        <v>0</v>
      </c>
      <c r="K3664">
        <v>1</v>
      </c>
      <c r="L3664" t="s">
        <v>693</v>
      </c>
      <c r="M3664" t="s">
        <v>2836</v>
      </c>
      <c r="N3664">
        <v>5250</v>
      </c>
      <c r="O3664">
        <v>0</v>
      </c>
      <c r="P3664" t="str">
        <f>IF(T[[#This Row],[qty_ordered]]&lt;&gt;T[[#This Row],[qty_received]],IF(T[[#This Row],[qty_received]]&gt;0,"Partial Received","Not Receviced"),"FullyReceived")</f>
        <v>Not Receviced</v>
      </c>
      <c r="Q3664" t="str">
        <f>IF(T[[#This Row],[qty_received]]&lt;&gt;T[[#This Row],[qty_invoiced]],IF(T[[#This Row],[qty_invoiced]]&gt;0,"Partial Invoiced","Not Invoiced"),"Fully Invoiced")</f>
        <v>Partial Invoiced</v>
      </c>
      <c r="R3664" t="str">
        <f>IFERROR(VLOOKUP(T[[#This Row],[warehouse]],Table2[],2,FALSE),"--")</f>
        <v>--</v>
      </c>
    </row>
    <row r="3665" spans="1:18" x14ac:dyDescent="0.25">
      <c r="A3665" t="s">
        <v>560</v>
      </c>
      <c r="B3665" s="1">
        <v>44544</v>
      </c>
      <c r="C3665" t="s">
        <v>1524</v>
      </c>
      <c r="D3665" t="s">
        <v>614</v>
      </c>
      <c r="E3665" t="s">
        <v>51</v>
      </c>
      <c r="F3665" t="s">
        <v>164</v>
      </c>
      <c r="G3665" t="s">
        <v>2139</v>
      </c>
      <c r="H3665" t="s">
        <v>54</v>
      </c>
      <c r="I3665">
        <v>29.38</v>
      </c>
      <c r="J3665">
        <v>0</v>
      </c>
      <c r="K3665">
        <v>1</v>
      </c>
      <c r="L3665" t="s">
        <v>693</v>
      </c>
      <c r="M3665" t="s">
        <v>2836</v>
      </c>
      <c r="N3665">
        <v>5250</v>
      </c>
      <c r="O3665">
        <v>0</v>
      </c>
      <c r="P3665" t="str">
        <f>IF(T[[#This Row],[qty_ordered]]&lt;&gt;T[[#This Row],[qty_received]],IF(T[[#This Row],[qty_received]]&gt;0,"Partial Received","Not Receviced"),"FullyReceived")</f>
        <v>Not Receviced</v>
      </c>
      <c r="Q3665" t="str">
        <f>IF(T[[#This Row],[qty_received]]&lt;&gt;T[[#This Row],[qty_invoiced]],IF(T[[#This Row],[qty_invoiced]]&gt;0,"Partial Invoiced","Not Invoiced"),"Fully Invoiced")</f>
        <v>Partial Invoiced</v>
      </c>
      <c r="R3665" t="str">
        <f>IFERROR(VLOOKUP(T[[#This Row],[warehouse]],Table2[],2,FALSE),"--")</f>
        <v>--</v>
      </c>
    </row>
    <row r="3666" spans="1:18" x14ac:dyDescent="0.25">
      <c r="A3666" t="s">
        <v>560</v>
      </c>
      <c r="B3666" s="1">
        <v>44544</v>
      </c>
      <c r="C3666" t="s">
        <v>1524</v>
      </c>
      <c r="D3666" t="s">
        <v>615</v>
      </c>
      <c r="E3666" t="s">
        <v>51</v>
      </c>
      <c r="F3666" t="s">
        <v>164</v>
      </c>
      <c r="G3666" t="s">
        <v>2139</v>
      </c>
      <c r="H3666" t="s">
        <v>54</v>
      </c>
      <c r="I3666">
        <v>36.5</v>
      </c>
      <c r="J3666">
        <v>0</v>
      </c>
      <c r="K3666">
        <v>1</v>
      </c>
      <c r="L3666" t="s">
        <v>693</v>
      </c>
      <c r="M3666" t="s">
        <v>2836</v>
      </c>
      <c r="N3666">
        <v>5250</v>
      </c>
      <c r="O3666">
        <v>0</v>
      </c>
      <c r="P3666" t="str">
        <f>IF(T[[#This Row],[qty_ordered]]&lt;&gt;T[[#This Row],[qty_received]],IF(T[[#This Row],[qty_received]]&gt;0,"Partial Received","Not Receviced"),"FullyReceived")</f>
        <v>Not Receviced</v>
      </c>
      <c r="Q3666" t="str">
        <f>IF(T[[#This Row],[qty_received]]&lt;&gt;T[[#This Row],[qty_invoiced]],IF(T[[#This Row],[qty_invoiced]]&gt;0,"Partial Invoiced","Not Invoiced"),"Fully Invoiced")</f>
        <v>Partial Invoiced</v>
      </c>
      <c r="R3666" t="str">
        <f>IFERROR(VLOOKUP(T[[#This Row],[warehouse]],Table2[],2,FALSE),"--")</f>
        <v>--</v>
      </c>
    </row>
    <row r="3667" spans="1:18" x14ac:dyDescent="0.25">
      <c r="A3667" t="s">
        <v>727</v>
      </c>
      <c r="B3667" s="1">
        <v>44581</v>
      </c>
      <c r="C3667" t="s">
        <v>1970</v>
      </c>
      <c r="D3667" t="s">
        <v>212</v>
      </c>
      <c r="E3667" t="s">
        <v>723</v>
      </c>
      <c r="F3667" t="s">
        <v>219</v>
      </c>
      <c r="G3667" t="s">
        <v>724</v>
      </c>
      <c r="H3667" t="s">
        <v>221</v>
      </c>
      <c r="I3667">
        <v>25000</v>
      </c>
      <c r="J3667">
        <v>0</v>
      </c>
      <c r="K3667">
        <v>0</v>
      </c>
      <c r="L3667" t="s">
        <v>693</v>
      </c>
      <c r="M3667" t="s">
        <v>132</v>
      </c>
      <c r="N3667">
        <v>20000</v>
      </c>
      <c r="O3667">
        <v>0</v>
      </c>
      <c r="P3667" t="str">
        <f>IF(T[[#This Row],[qty_ordered]]&lt;&gt;T[[#This Row],[qty_received]],IF(T[[#This Row],[qty_received]]&gt;0,"Partial Received","Not Receviced"),"FullyReceived")</f>
        <v>Not Receviced</v>
      </c>
      <c r="Q3667" t="str">
        <f>IF(T[[#This Row],[qty_received]]&lt;&gt;T[[#This Row],[qty_invoiced]],IF(T[[#This Row],[qty_invoiced]]&gt;0,"Partial Invoiced","Not Invoiced"),"Fully Invoiced")</f>
        <v>Fully Invoiced</v>
      </c>
      <c r="R3667" t="str">
        <f>IFERROR(VLOOKUP(T[[#This Row],[warehouse]],Table2[],2,FALSE),"--")</f>
        <v>YELLOW BEANS</v>
      </c>
    </row>
    <row r="3668" spans="1:18" x14ac:dyDescent="0.25">
      <c r="A3668" t="s">
        <v>252</v>
      </c>
      <c r="B3668" s="1">
        <v>44531</v>
      </c>
      <c r="C3668" t="s">
        <v>1491</v>
      </c>
      <c r="D3668" t="s">
        <v>76</v>
      </c>
      <c r="E3668" t="s">
        <v>51</v>
      </c>
      <c r="F3668" t="s">
        <v>183</v>
      </c>
      <c r="G3668" t="s">
        <v>1774</v>
      </c>
      <c r="H3668" t="s">
        <v>54</v>
      </c>
      <c r="I3668">
        <v>122.8</v>
      </c>
      <c r="J3668">
        <v>0</v>
      </c>
      <c r="K3668">
        <v>1</v>
      </c>
      <c r="L3668" t="s">
        <v>693</v>
      </c>
      <c r="M3668" t="s">
        <v>533</v>
      </c>
      <c r="N3668">
        <v>6250</v>
      </c>
      <c r="O3668">
        <v>0</v>
      </c>
      <c r="P3668" t="str">
        <f>IF(T[[#This Row],[qty_ordered]]&lt;&gt;T[[#This Row],[qty_received]],IF(T[[#This Row],[qty_received]]&gt;0,"Partial Received","Not Receviced"),"FullyReceived")</f>
        <v>Not Receviced</v>
      </c>
      <c r="Q3668" t="str">
        <f>IF(T[[#This Row],[qty_received]]&lt;&gt;T[[#This Row],[qty_invoiced]],IF(T[[#This Row],[qty_invoiced]]&gt;0,"Partial Invoiced","Not Invoiced"),"Fully Invoiced")</f>
        <v>Partial Invoiced</v>
      </c>
      <c r="R3668" t="str">
        <f>IFERROR(VLOOKUP(T[[#This Row],[warehouse]],Table2[],2,FALSE),"--")</f>
        <v>--</v>
      </c>
    </row>
    <row r="3669" spans="1:18" x14ac:dyDescent="0.25">
      <c r="A3669" t="s">
        <v>735</v>
      </c>
      <c r="B3669" s="1">
        <v>44609</v>
      </c>
      <c r="C3669" t="s">
        <v>2140</v>
      </c>
      <c r="D3669" t="s">
        <v>20</v>
      </c>
      <c r="E3669" t="s">
        <v>51</v>
      </c>
      <c r="F3669" t="s">
        <v>183</v>
      </c>
      <c r="G3669" t="s">
        <v>1813</v>
      </c>
      <c r="H3669" t="s">
        <v>54</v>
      </c>
      <c r="I3669">
        <v>192.8</v>
      </c>
      <c r="J3669">
        <v>0</v>
      </c>
      <c r="K3669">
        <v>1</v>
      </c>
      <c r="L3669" t="s">
        <v>693</v>
      </c>
      <c r="M3669" t="s">
        <v>533</v>
      </c>
      <c r="N3669">
        <v>6500</v>
      </c>
      <c r="O3669">
        <v>0</v>
      </c>
      <c r="P3669" t="str">
        <f>IF(T[[#This Row],[qty_ordered]]&lt;&gt;T[[#This Row],[qty_received]],IF(T[[#This Row],[qty_received]]&gt;0,"Partial Received","Not Receviced"),"FullyReceived")</f>
        <v>Not Receviced</v>
      </c>
      <c r="Q3669" t="str">
        <f>IF(T[[#This Row],[qty_received]]&lt;&gt;T[[#This Row],[qty_invoiced]],IF(T[[#This Row],[qty_invoiced]]&gt;0,"Partial Invoiced","Not Invoiced"),"Fully Invoiced")</f>
        <v>Partial Invoiced</v>
      </c>
      <c r="R3669" t="str">
        <f>IFERROR(VLOOKUP(T[[#This Row],[warehouse]],Table2[],2,FALSE),"--")</f>
        <v>--</v>
      </c>
    </row>
    <row r="3670" spans="1:18" x14ac:dyDescent="0.25">
      <c r="A3670" t="s">
        <v>959</v>
      </c>
      <c r="B3670" s="1">
        <v>44606</v>
      </c>
      <c r="C3670" t="s">
        <v>2102</v>
      </c>
      <c r="D3670" t="s">
        <v>71</v>
      </c>
      <c r="E3670" t="s">
        <v>214</v>
      </c>
      <c r="F3670" t="s">
        <v>167</v>
      </c>
      <c r="G3670" t="s">
        <v>156</v>
      </c>
      <c r="H3670" t="s">
        <v>24</v>
      </c>
      <c r="I3670">
        <v>500</v>
      </c>
      <c r="J3670">
        <v>500</v>
      </c>
      <c r="K3670">
        <v>500</v>
      </c>
      <c r="L3670" t="s">
        <v>25</v>
      </c>
      <c r="M3670" t="s">
        <v>707</v>
      </c>
      <c r="N3670">
        <v>720000</v>
      </c>
      <c r="O3670">
        <v>360000000</v>
      </c>
      <c r="P3670" t="str">
        <f>IF(T[[#This Row],[qty_ordered]]&lt;&gt;T[[#This Row],[qty_received]],IF(T[[#This Row],[qty_received]]&gt;0,"Partial Received","Not Receviced"),"FullyReceived")</f>
        <v>FullyReceived</v>
      </c>
      <c r="Q3670" t="str">
        <f>IF(T[[#This Row],[qty_received]]&lt;&gt;T[[#This Row],[qty_invoiced]],IF(T[[#This Row],[qty_invoiced]]&gt;0,"Partial Invoiced","Not Invoiced"),"Fully Invoiced")</f>
        <v>Fully Invoiced</v>
      </c>
      <c r="R3670" t="str">
        <f>IFERROR(VLOOKUP(T[[#This Row],[warehouse]],Table2[],2,FALSE),"--")</f>
        <v>CRUSHER ELBALOLA</v>
      </c>
    </row>
    <row r="3671" spans="1:18" x14ac:dyDescent="0.25">
      <c r="A3671" t="s">
        <v>242</v>
      </c>
      <c r="B3671" s="1">
        <v>44581</v>
      </c>
      <c r="C3671" t="s">
        <v>1963</v>
      </c>
      <c r="D3671" t="s">
        <v>88</v>
      </c>
      <c r="E3671" t="s">
        <v>405</v>
      </c>
      <c r="F3671" t="s">
        <v>244</v>
      </c>
      <c r="G3671" t="s">
        <v>245</v>
      </c>
      <c r="H3671" t="s">
        <v>24</v>
      </c>
      <c r="I3671">
        <v>105.68</v>
      </c>
      <c r="J3671">
        <v>105.68</v>
      </c>
      <c r="K3671">
        <v>105.68</v>
      </c>
      <c r="L3671" t="s">
        <v>25</v>
      </c>
      <c r="M3671" t="s">
        <v>1485</v>
      </c>
      <c r="N3671">
        <v>840000</v>
      </c>
      <c r="O3671">
        <v>88771200</v>
      </c>
      <c r="P3671" t="str">
        <f>IF(T[[#This Row],[qty_ordered]]&lt;&gt;T[[#This Row],[qty_received]],IF(T[[#This Row],[qty_received]]&gt;0,"Partial Received","Not Receviced"),"FullyReceived")</f>
        <v>FullyReceived</v>
      </c>
      <c r="Q3671" t="str">
        <f>IF(T[[#This Row],[qty_received]]&lt;&gt;T[[#This Row],[qty_invoiced]],IF(T[[#This Row],[qty_invoiced]]&gt;0,"Partial Invoiced","Not Invoiced"),"Fully Invoiced")</f>
        <v>Fully Invoiced</v>
      </c>
      <c r="R3671" t="str">
        <f>IFERROR(VLOOKUP(T[[#This Row],[warehouse]],Table2[],2,FALSE),"--")</f>
        <v>GINNING ISHRAG-MDNI</v>
      </c>
    </row>
    <row r="3672" spans="1:18" x14ac:dyDescent="0.25">
      <c r="A3672" t="s">
        <v>1044</v>
      </c>
      <c r="B3672" s="1">
        <v>44672</v>
      </c>
      <c r="C3672" t="s">
        <v>2141</v>
      </c>
      <c r="D3672" t="s">
        <v>20</v>
      </c>
      <c r="E3672" t="s">
        <v>51</v>
      </c>
      <c r="F3672" t="s">
        <v>52</v>
      </c>
      <c r="G3672" t="s">
        <v>1427</v>
      </c>
      <c r="H3672" t="s">
        <v>54</v>
      </c>
      <c r="I3672">
        <v>33</v>
      </c>
      <c r="J3672">
        <v>0</v>
      </c>
      <c r="K3672">
        <v>0</v>
      </c>
      <c r="L3672" t="s">
        <v>693</v>
      </c>
      <c r="M3672" t="s">
        <v>1485</v>
      </c>
      <c r="N3672">
        <v>35000</v>
      </c>
      <c r="O3672">
        <v>0</v>
      </c>
      <c r="P3672" t="str">
        <f>IF(T[[#This Row],[qty_ordered]]&lt;&gt;T[[#This Row],[qty_received]],IF(T[[#This Row],[qty_received]]&gt;0,"Partial Received","Not Receviced"),"FullyReceived")</f>
        <v>Not Receviced</v>
      </c>
      <c r="Q3672" t="str">
        <f>IF(T[[#This Row],[qty_received]]&lt;&gt;T[[#This Row],[qty_invoiced]],IF(T[[#This Row],[qty_invoiced]]&gt;0,"Partial Invoiced","Not Invoiced"),"Fully Invoiced")</f>
        <v>Fully Invoiced</v>
      </c>
      <c r="R3672" t="str">
        <f>IFERROR(VLOOKUP(T[[#This Row],[warehouse]],Table2[],2,FALSE),"--")</f>
        <v>--</v>
      </c>
    </row>
    <row r="3673" spans="1:18" x14ac:dyDescent="0.25">
      <c r="A3673" t="s">
        <v>1630</v>
      </c>
      <c r="B3673" s="1">
        <v>44661</v>
      </c>
      <c r="C3673" t="s">
        <v>1631</v>
      </c>
      <c r="D3673" t="s">
        <v>71</v>
      </c>
      <c r="E3673" t="s">
        <v>51</v>
      </c>
      <c r="F3673" t="s">
        <v>183</v>
      </c>
      <c r="G3673" t="s">
        <v>1488</v>
      </c>
      <c r="H3673" t="s">
        <v>54</v>
      </c>
      <c r="I3673">
        <v>200</v>
      </c>
      <c r="J3673">
        <v>0</v>
      </c>
      <c r="K3673">
        <v>1</v>
      </c>
      <c r="L3673" t="s">
        <v>693</v>
      </c>
      <c r="M3673" t="s">
        <v>533</v>
      </c>
      <c r="N3673">
        <v>7000</v>
      </c>
      <c r="O3673">
        <v>0</v>
      </c>
      <c r="P3673" t="str">
        <f>IF(T[[#This Row],[qty_ordered]]&lt;&gt;T[[#This Row],[qty_received]],IF(T[[#This Row],[qty_received]]&gt;0,"Partial Received","Not Receviced"),"FullyReceived")</f>
        <v>Not Receviced</v>
      </c>
      <c r="Q3673" t="str">
        <f>IF(T[[#This Row],[qty_received]]&lt;&gt;T[[#This Row],[qty_invoiced]],IF(T[[#This Row],[qty_invoiced]]&gt;0,"Partial Invoiced","Not Invoiced"),"Fully Invoiced")</f>
        <v>Partial Invoiced</v>
      </c>
      <c r="R3673" t="str">
        <f>IFERROR(VLOOKUP(T[[#This Row],[warehouse]],Table2[],2,FALSE),"--")</f>
        <v>--</v>
      </c>
    </row>
    <row r="3674" spans="1:18" x14ac:dyDescent="0.25">
      <c r="A3674" t="s">
        <v>618</v>
      </c>
      <c r="B3674" s="1">
        <v>44530</v>
      </c>
      <c r="C3674" t="s">
        <v>1550</v>
      </c>
      <c r="D3674" t="s">
        <v>322</v>
      </c>
      <c r="E3674" t="s">
        <v>908</v>
      </c>
      <c r="F3674" t="s">
        <v>86</v>
      </c>
      <c r="G3674" t="s">
        <v>87</v>
      </c>
      <c r="H3674" t="s">
        <v>24</v>
      </c>
      <c r="I3674">
        <v>500</v>
      </c>
      <c r="J3674">
        <v>272.36</v>
      </c>
      <c r="K3674">
        <v>272.36</v>
      </c>
      <c r="L3674" t="s">
        <v>25</v>
      </c>
      <c r="M3674" t="s">
        <v>1485</v>
      </c>
      <c r="N3674">
        <v>583731</v>
      </c>
      <c r="O3674">
        <v>158984975.16</v>
      </c>
      <c r="P3674" t="str">
        <f>IF(T[[#This Row],[qty_ordered]]&lt;&gt;T[[#This Row],[qty_received]],IF(T[[#This Row],[qty_received]]&gt;0,"Partial Received","Not Receviced"),"FullyReceived")</f>
        <v>Partial Received</v>
      </c>
      <c r="Q3674" t="str">
        <f>IF(T[[#This Row],[qty_received]]&lt;&gt;T[[#This Row],[qty_invoiced]],IF(T[[#This Row],[qty_invoiced]]&gt;0,"Partial Invoiced","Not Invoiced"),"Fully Invoiced")</f>
        <v>Fully Invoiced</v>
      </c>
      <c r="R3674" t="str">
        <f>IFERROR(VLOOKUP(T[[#This Row],[warehouse]],Table2[],2,FALSE),"--")</f>
        <v>SIFTER- ALNAZER-OMDU</v>
      </c>
    </row>
    <row r="3675" spans="1:18" x14ac:dyDescent="0.25">
      <c r="A3675" t="s">
        <v>804</v>
      </c>
      <c r="B3675" s="1">
        <v>44423</v>
      </c>
      <c r="C3675" t="s">
        <v>1940</v>
      </c>
      <c r="D3675" t="s">
        <v>71</v>
      </c>
      <c r="E3675" t="s">
        <v>51</v>
      </c>
      <c r="F3675" t="s">
        <v>806</v>
      </c>
      <c r="G3675" t="s">
        <v>806</v>
      </c>
      <c r="H3675" t="s">
        <v>54</v>
      </c>
      <c r="I3675">
        <v>16000</v>
      </c>
      <c r="J3675">
        <v>0</v>
      </c>
      <c r="K3675">
        <v>1</v>
      </c>
      <c r="L3675" t="s">
        <v>693</v>
      </c>
      <c r="M3675" t="s">
        <v>132</v>
      </c>
      <c r="N3675">
        <v>4412.1000000000004</v>
      </c>
      <c r="O3675">
        <v>0</v>
      </c>
      <c r="P3675" t="str">
        <f>IF(T[[#This Row],[qty_ordered]]&lt;&gt;T[[#This Row],[qty_received]],IF(T[[#This Row],[qty_received]]&gt;0,"Partial Received","Not Receviced"),"FullyReceived")</f>
        <v>Not Receviced</v>
      </c>
      <c r="Q3675" t="str">
        <f>IF(T[[#This Row],[qty_received]]&lt;&gt;T[[#This Row],[qty_invoiced]],IF(T[[#This Row],[qty_invoiced]]&gt;0,"Partial Invoiced","Not Invoiced"),"Fully Invoiced")</f>
        <v>Partial Invoiced</v>
      </c>
      <c r="R3675" t="str">
        <f>IFERROR(VLOOKUP(T[[#This Row],[warehouse]],Table2[],2,FALSE),"--")</f>
        <v>--</v>
      </c>
    </row>
    <row r="3676" spans="1:18" x14ac:dyDescent="0.25">
      <c r="A3676" t="s">
        <v>1619</v>
      </c>
      <c r="B3676" s="1">
        <v>44661</v>
      </c>
      <c r="C3676" t="s">
        <v>1620</v>
      </c>
      <c r="D3676" t="s">
        <v>71</v>
      </c>
      <c r="E3676" t="s">
        <v>723</v>
      </c>
      <c r="F3676" t="s">
        <v>219</v>
      </c>
      <c r="G3676" t="s">
        <v>724</v>
      </c>
      <c r="H3676" t="s">
        <v>221</v>
      </c>
      <c r="I3676">
        <v>4109</v>
      </c>
      <c r="J3676">
        <v>0</v>
      </c>
      <c r="K3676">
        <v>0</v>
      </c>
      <c r="L3676" t="s">
        <v>693</v>
      </c>
      <c r="M3676" t="s">
        <v>707</v>
      </c>
      <c r="N3676">
        <v>35161.92052</v>
      </c>
      <c r="O3676">
        <v>0</v>
      </c>
      <c r="P3676" t="str">
        <f>IF(T[[#This Row],[qty_ordered]]&lt;&gt;T[[#This Row],[qty_received]],IF(T[[#This Row],[qty_received]]&gt;0,"Partial Received","Not Receviced"),"FullyReceived")</f>
        <v>Not Receviced</v>
      </c>
      <c r="Q3676" t="str">
        <f>IF(T[[#This Row],[qty_received]]&lt;&gt;T[[#This Row],[qty_invoiced]],IF(T[[#This Row],[qty_invoiced]]&gt;0,"Partial Invoiced","Not Invoiced"),"Fully Invoiced")</f>
        <v>Fully Invoiced</v>
      </c>
      <c r="R3676" t="str">
        <f>IFERROR(VLOOKUP(T[[#This Row],[warehouse]],Table2[],2,FALSE),"--")</f>
        <v>YELLOW BEANS</v>
      </c>
    </row>
    <row r="3677" spans="1:18" x14ac:dyDescent="0.25">
      <c r="A3677" t="s">
        <v>201</v>
      </c>
      <c r="B3677" s="1">
        <v>44678</v>
      </c>
      <c r="C3677" t="s">
        <v>2142</v>
      </c>
      <c r="D3677" t="s">
        <v>20</v>
      </c>
      <c r="E3677" t="s">
        <v>1220</v>
      </c>
      <c r="F3677" t="s">
        <v>2143</v>
      </c>
      <c r="G3677" t="s">
        <v>2144</v>
      </c>
      <c r="H3677" t="s">
        <v>24</v>
      </c>
      <c r="I3677">
        <v>35998.307999999997</v>
      </c>
      <c r="J3677">
        <v>35998</v>
      </c>
      <c r="K3677">
        <v>35998</v>
      </c>
      <c r="L3677" t="s">
        <v>25</v>
      </c>
      <c r="M3677" t="s">
        <v>207</v>
      </c>
      <c r="N3677">
        <v>676602.59539999999</v>
      </c>
      <c r="O3677">
        <v>24356548622.808601</v>
      </c>
      <c r="P3677" t="str">
        <f>IF(T[[#This Row],[qty_ordered]]&lt;&gt;T[[#This Row],[qty_received]],IF(T[[#This Row],[qty_received]]&gt;0,"Partial Received","Not Receviced"),"FullyReceived")</f>
        <v>Partial Received</v>
      </c>
      <c r="Q3677" t="str">
        <f>IF(T[[#This Row],[qty_received]]&lt;&gt;T[[#This Row],[qty_invoiced]],IF(T[[#This Row],[qty_invoiced]]&gt;0,"Partial Invoiced","Not Invoiced"),"Fully Invoiced")</f>
        <v>Fully Invoiced</v>
      </c>
      <c r="R3677" t="str">
        <f>IFERROR(VLOOKUP(T[[#This Row],[warehouse]],Table2[],2,FALSE),"--")</f>
        <v>Import Virtual Warehouse - PZU</v>
      </c>
    </row>
    <row r="3678" spans="1:18" x14ac:dyDescent="0.25">
      <c r="A3678" t="s">
        <v>1170</v>
      </c>
      <c r="B3678" s="1">
        <v>44621</v>
      </c>
      <c r="C3678" t="s">
        <v>2010</v>
      </c>
      <c r="D3678" t="s">
        <v>71</v>
      </c>
      <c r="E3678" t="s">
        <v>2145</v>
      </c>
      <c r="F3678" t="s">
        <v>406</v>
      </c>
      <c r="G3678" t="s">
        <v>407</v>
      </c>
      <c r="H3678" t="s">
        <v>24</v>
      </c>
      <c r="I3678">
        <v>1523.7449999999999</v>
      </c>
      <c r="J3678">
        <v>1523.7449999999999</v>
      </c>
      <c r="K3678">
        <v>1523.75</v>
      </c>
      <c r="L3678" t="s">
        <v>25</v>
      </c>
      <c r="M3678" t="s">
        <v>707</v>
      </c>
      <c r="N3678">
        <v>309240.98200199998</v>
      </c>
      <c r="O3678">
        <v>471204400.120637</v>
      </c>
      <c r="P3678" t="str">
        <f>IF(T[[#This Row],[qty_ordered]]&lt;&gt;T[[#This Row],[qty_received]],IF(T[[#This Row],[qty_received]]&gt;0,"Partial Received","Not Receviced"),"FullyReceived")</f>
        <v>FullyReceived</v>
      </c>
      <c r="Q3678" t="str">
        <f>IF(T[[#This Row],[qty_received]]&lt;&gt;T[[#This Row],[qty_invoiced]],IF(T[[#This Row],[qty_invoiced]]&gt;0,"Partial Invoiced","Not Invoiced"),"Fully Invoiced")</f>
        <v>Partial Invoiced</v>
      </c>
      <c r="R3678" t="str">
        <f>IFERROR(VLOOKUP(T[[#This Row],[warehouse]],Table2[],2,FALSE),"--")</f>
        <v>SCC New Halfa Ginning</v>
      </c>
    </row>
    <row r="3679" spans="1:18" x14ac:dyDescent="0.25">
      <c r="A3679" t="s">
        <v>224</v>
      </c>
      <c r="B3679" s="1">
        <v>44598</v>
      </c>
      <c r="C3679" t="s">
        <v>1773</v>
      </c>
      <c r="D3679" t="s">
        <v>74</v>
      </c>
      <c r="E3679" t="s">
        <v>51</v>
      </c>
      <c r="F3679" t="s">
        <v>183</v>
      </c>
      <c r="G3679" t="s">
        <v>2108</v>
      </c>
      <c r="H3679" t="s">
        <v>54</v>
      </c>
      <c r="I3679">
        <v>34.5</v>
      </c>
      <c r="J3679">
        <v>0</v>
      </c>
      <c r="K3679">
        <v>1</v>
      </c>
      <c r="L3679" t="s">
        <v>693</v>
      </c>
      <c r="M3679" t="s">
        <v>533</v>
      </c>
      <c r="N3679">
        <v>7000</v>
      </c>
      <c r="O3679">
        <v>0</v>
      </c>
      <c r="P3679" t="str">
        <f>IF(T[[#This Row],[qty_ordered]]&lt;&gt;T[[#This Row],[qty_received]],IF(T[[#This Row],[qty_received]]&gt;0,"Partial Received","Not Receviced"),"FullyReceived")</f>
        <v>Not Receviced</v>
      </c>
      <c r="Q3679" t="str">
        <f>IF(T[[#This Row],[qty_received]]&lt;&gt;T[[#This Row],[qty_invoiced]],IF(T[[#This Row],[qty_invoiced]]&gt;0,"Partial Invoiced","Not Invoiced"),"Fully Invoiced")</f>
        <v>Partial Invoiced</v>
      </c>
      <c r="R3679" t="str">
        <f>IFERROR(VLOOKUP(T[[#This Row],[warehouse]],Table2[],2,FALSE),"--")</f>
        <v>--</v>
      </c>
    </row>
    <row r="3680" spans="1:18" x14ac:dyDescent="0.25">
      <c r="A3680" t="s">
        <v>201</v>
      </c>
      <c r="B3680" s="1">
        <v>44696</v>
      </c>
      <c r="C3680" t="s">
        <v>2146</v>
      </c>
      <c r="D3680" t="s">
        <v>20</v>
      </c>
      <c r="E3680" t="s">
        <v>51</v>
      </c>
      <c r="F3680" t="s">
        <v>933</v>
      </c>
      <c r="G3680" t="s">
        <v>2147</v>
      </c>
      <c r="H3680" t="s">
        <v>54</v>
      </c>
      <c r="I3680">
        <v>300</v>
      </c>
      <c r="J3680">
        <v>0</v>
      </c>
      <c r="K3680">
        <v>0</v>
      </c>
      <c r="L3680" t="s">
        <v>25</v>
      </c>
      <c r="M3680" t="s">
        <v>1404</v>
      </c>
      <c r="N3680">
        <v>30441.45</v>
      </c>
      <c r="O3680">
        <v>0</v>
      </c>
      <c r="P3680" t="str">
        <f>IF(T[[#This Row],[qty_ordered]]&lt;&gt;T[[#This Row],[qty_received]],IF(T[[#This Row],[qty_received]]&gt;0,"Partial Received","Not Receviced"),"FullyReceived")</f>
        <v>Not Receviced</v>
      </c>
      <c r="Q3680" t="str">
        <f>IF(T[[#This Row],[qty_received]]&lt;&gt;T[[#This Row],[qty_invoiced]],IF(T[[#This Row],[qty_invoiced]]&gt;0,"Partial Invoiced","Not Invoiced"),"Fully Invoiced")</f>
        <v>Fully Invoiced</v>
      </c>
      <c r="R3680" t="str">
        <f>IFERROR(VLOOKUP(T[[#This Row],[warehouse]],Table2[],2,FALSE),"--")</f>
        <v>--</v>
      </c>
    </row>
    <row r="3681" spans="1:18" x14ac:dyDescent="0.25">
      <c r="A3681" t="s">
        <v>1553</v>
      </c>
      <c r="B3681" s="1">
        <v>44620</v>
      </c>
      <c r="C3681" t="s">
        <v>1554</v>
      </c>
      <c r="D3681" t="s">
        <v>325</v>
      </c>
      <c r="E3681" t="s">
        <v>51</v>
      </c>
      <c r="F3681" t="s">
        <v>1555</v>
      </c>
      <c r="G3681" t="s">
        <v>2148</v>
      </c>
      <c r="H3681" t="s">
        <v>54</v>
      </c>
      <c r="I3681">
        <v>238</v>
      </c>
      <c r="J3681">
        <v>0</v>
      </c>
      <c r="K3681">
        <v>1</v>
      </c>
      <c r="L3681" t="s">
        <v>693</v>
      </c>
      <c r="M3681" t="s">
        <v>533</v>
      </c>
      <c r="N3681">
        <v>20000</v>
      </c>
      <c r="O3681">
        <v>0</v>
      </c>
      <c r="P3681" t="str">
        <f>IF(T[[#This Row],[qty_ordered]]&lt;&gt;T[[#This Row],[qty_received]],IF(T[[#This Row],[qty_received]]&gt;0,"Partial Received","Not Receviced"),"FullyReceived")</f>
        <v>Not Receviced</v>
      </c>
      <c r="Q3681" t="str">
        <f>IF(T[[#This Row],[qty_received]]&lt;&gt;T[[#This Row],[qty_invoiced]],IF(T[[#This Row],[qty_invoiced]]&gt;0,"Partial Invoiced","Not Invoiced"),"Fully Invoiced")</f>
        <v>Partial Invoiced</v>
      </c>
      <c r="R3681" t="str">
        <f>IFERROR(VLOOKUP(T[[#This Row],[warehouse]],Table2[],2,FALSE),"--")</f>
        <v>--</v>
      </c>
    </row>
    <row r="3682" spans="1:18" x14ac:dyDescent="0.25">
      <c r="A3682" t="s">
        <v>560</v>
      </c>
      <c r="B3682" s="1">
        <v>44544</v>
      </c>
      <c r="C3682" t="s">
        <v>1522</v>
      </c>
      <c r="D3682" t="s">
        <v>759</v>
      </c>
      <c r="E3682" t="s">
        <v>51</v>
      </c>
      <c r="F3682" t="s">
        <v>164</v>
      </c>
      <c r="G3682" t="s">
        <v>2149</v>
      </c>
      <c r="H3682" t="s">
        <v>54</v>
      </c>
      <c r="I3682">
        <v>20.63</v>
      </c>
      <c r="J3682">
        <v>0</v>
      </c>
      <c r="K3682">
        <v>1</v>
      </c>
      <c r="L3682" t="s">
        <v>693</v>
      </c>
      <c r="M3682" t="s">
        <v>2836</v>
      </c>
      <c r="N3682">
        <v>5250</v>
      </c>
      <c r="O3682">
        <v>0</v>
      </c>
      <c r="P3682" t="str">
        <f>IF(T[[#This Row],[qty_ordered]]&lt;&gt;T[[#This Row],[qty_received]],IF(T[[#This Row],[qty_received]]&gt;0,"Partial Received","Not Receviced"),"FullyReceived")</f>
        <v>Not Receviced</v>
      </c>
      <c r="Q3682" t="str">
        <f>IF(T[[#This Row],[qty_received]]&lt;&gt;T[[#This Row],[qty_invoiced]],IF(T[[#This Row],[qty_invoiced]]&gt;0,"Partial Invoiced","Not Invoiced"),"Fully Invoiced")</f>
        <v>Partial Invoiced</v>
      </c>
      <c r="R3682" t="str">
        <f>IFERROR(VLOOKUP(T[[#This Row],[warehouse]],Table2[],2,FALSE),"--")</f>
        <v>--</v>
      </c>
    </row>
    <row r="3683" spans="1:18" x14ac:dyDescent="0.25">
      <c r="A3683" t="s">
        <v>560</v>
      </c>
      <c r="B3683" s="1">
        <v>44544</v>
      </c>
      <c r="C3683" t="s">
        <v>1522</v>
      </c>
      <c r="D3683" t="s">
        <v>694</v>
      </c>
      <c r="E3683" t="s">
        <v>51</v>
      </c>
      <c r="F3683" t="s">
        <v>164</v>
      </c>
      <c r="G3683" t="s">
        <v>2149</v>
      </c>
      <c r="H3683" t="s">
        <v>54</v>
      </c>
      <c r="I3683">
        <v>67</v>
      </c>
      <c r="J3683">
        <v>0</v>
      </c>
      <c r="K3683">
        <v>1</v>
      </c>
      <c r="L3683" t="s">
        <v>693</v>
      </c>
      <c r="M3683" t="s">
        <v>2836</v>
      </c>
      <c r="N3683">
        <v>5250</v>
      </c>
      <c r="O3683">
        <v>0</v>
      </c>
      <c r="P3683" t="str">
        <f>IF(T[[#This Row],[qty_ordered]]&lt;&gt;T[[#This Row],[qty_received]],IF(T[[#This Row],[qty_received]]&gt;0,"Partial Received","Not Receviced"),"FullyReceived")</f>
        <v>Not Receviced</v>
      </c>
      <c r="Q3683" t="str">
        <f>IF(T[[#This Row],[qty_received]]&lt;&gt;T[[#This Row],[qty_invoiced]],IF(T[[#This Row],[qty_invoiced]]&gt;0,"Partial Invoiced","Not Invoiced"),"Fully Invoiced")</f>
        <v>Partial Invoiced</v>
      </c>
      <c r="R3683" t="str">
        <f>IFERROR(VLOOKUP(T[[#This Row],[warehouse]],Table2[],2,FALSE),"--")</f>
        <v>--</v>
      </c>
    </row>
    <row r="3684" spans="1:18" x14ac:dyDescent="0.25">
      <c r="A3684" t="s">
        <v>1892</v>
      </c>
      <c r="B3684" s="1">
        <v>44675</v>
      </c>
      <c r="C3684" t="s">
        <v>2150</v>
      </c>
      <c r="D3684" t="s">
        <v>20</v>
      </c>
      <c r="E3684" t="s">
        <v>1438</v>
      </c>
      <c r="F3684" t="s">
        <v>1439</v>
      </c>
      <c r="G3684" t="s">
        <v>1440</v>
      </c>
      <c r="H3684" t="s">
        <v>1087</v>
      </c>
      <c r="I3684">
        <v>1053</v>
      </c>
      <c r="J3684">
        <v>1053</v>
      </c>
      <c r="K3684">
        <v>1053</v>
      </c>
      <c r="L3684" t="s">
        <v>25</v>
      </c>
      <c r="M3684" t="s">
        <v>1485</v>
      </c>
      <c r="N3684">
        <v>29150</v>
      </c>
      <c r="O3684">
        <v>36784943.264510997</v>
      </c>
      <c r="P3684" t="str">
        <f>IF(T[[#This Row],[qty_ordered]]&lt;&gt;T[[#This Row],[qty_received]],IF(T[[#This Row],[qty_received]]&gt;0,"Partial Received","Not Receviced"),"FullyReceived")</f>
        <v>FullyReceived</v>
      </c>
      <c r="Q3684" t="str">
        <f>IF(T[[#This Row],[qty_received]]&lt;&gt;T[[#This Row],[qty_invoiced]],IF(T[[#This Row],[qty_invoiced]]&gt;0,"Partial Invoiced","Not Invoiced"),"Fully Invoiced")</f>
        <v>Fully Invoiced</v>
      </c>
      <c r="R3684" t="str">
        <f>IFERROR(VLOOKUP(T[[#This Row],[warehouse]],Table2[],2,FALSE),"--")</f>
        <v>Livestock Barn</v>
      </c>
    </row>
    <row r="3685" spans="1:18" x14ac:dyDescent="0.25">
      <c r="A3685" t="s">
        <v>1892</v>
      </c>
      <c r="B3685" s="1">
        <v>44675</v>
      </c>
      <c r="C3685" t="s">
        <v>2150</v>
      </c>
      <c r="D3685" t="s">
        <v>71</v>
      </c>
      <c r="E3685" t="s">
        <v>1438</v>
      </c>
      <c r="F3685" t="s">
        <v>1439</v>
      </c>
      <c r="G3685" t="s">
        <v>1440</v>
      </c>
      <c r="H3685" t="s">
        <v>1087</v>
      </c>
      <c r="I3685">
        <v>1558</v>
      </c>
      <c r="J3685">
        <v>1005</v>
      </c>
      <c r="K3685">
        <v>1009</v>
      </c>
      <c r="L3685" t="s">
        <v>25</v>
      </c>
      <c r="M3685" t="s">
        <v>1485</v>
      </c>
      <c r="N3685">
        <v>34941.057605000002</v>
      </c>
      <c r="O3685">
        <v>35115762.893025003</v>
      </c>
      <c r="P3685" t="str">
        <f>IF(T[[#This Row],[qty_ordered]]&lt;&gt;T[[#This Row],[qty_received]],IF(T[[#This Row],[qty_received]]&gt;0,"Partial Received","Not Receviced"),"FullyReceived")</f>
        <v>Partial Received</v>
      </c>
      <c r="Q3685" t="str">
        <f>IF(T[[#This Row],[qty_received]]&lt;&gt;T[[#This Row],[qty_invoiced]],IF(T[[#This Row],[qty_invoiced]]&gt;0,"Partial Invoiced","Not Invoiced"),"Fully Invoiced")</f>
        <v>Partial Invoiced</v>
      </c>
      <c r="R3685" t="str">
        <f>IFERROR(VLOOKUP(T[[#This Row],[warehouse]],Table2[],2,FALSE),"--")</f>
        <v>Livestock Barn</v>
      </c>
    </row>
    <row r="3686" spans="1:18" x14ac:dyDescent="0.25">
      <c r="A3686" t="s">
        <v>1591</v>
      </c>
      <c r="B3686" s="1">
        <v>44594</v>
      </c>
      <c r="C3686" t="s">
        <v>1592</v>
      </c>
      <c r="D3686" t="s">
        <v>323</v>
      </c>
      <c r="E3686" t="s">
        <v>51</v>
      </c>
      <c r="F3686" t="s">
        <v>52</v>
      </c>
      <c r="G3686" t="s">
        <v>1593</v>
      </c>
      <c r="H3686" t="s">
        <v>54</v>
      </c>
      <c r="I3686">
        <v>283.77</v>
      </c>
      <c r="J3686">
        <v>0</v>
      </c>
      <c r="K3686">
        <v>1</v>
      </c>
      <c r="L3686" t="s">
        <v>693</v>
      </c>
      <c r="M3686" t="s">
        <v>132</v>
      </c>
      <c r="N3686">
        <v>33888.6</v>
      </c>
      <c r="O3686">
        <v>0</v>
      </c>
      <c r="P3686" t="str">
        <f>IF(T[[#This Row],[qty_ordered]]&lt;&gt;T[[#This Row],[qty_received]],IF(T[[#This Row],[qty_received]]&gt;0,"Partial Received","Not Receviced"),"FullyReceived")</f>
        <v>Not Receviced</v>
      </c>
      <c r="Q3686" t="str">
        <f>IF(T[[#This Row],[qty_received]]&lt;&gt;T[[#This Row],[qty_invoiced]],IF(T[[#This Row],[qty_invoiced]]&gt;0,"Partial Invoiced","Not Invoiced"),"Fully Invoiced")</f>
        <v>Partial Invoiced</v>
      </c>
      <c r="R3686" t="str">
        <f>IFERROR(VLOOKUP(T[[#This Row],[warehouse]],Table2[],2,FALSE),"--")</f>
        <v>--</v>
      </c>
    </row>
    <row r="3687" spans="1:18" x14ac:dyDescent="0.25">
      <c r="A3687" t="s">
        <v>242</v>
      </c>
      <c r="B3687" s="1">
        <v>44581</v>
      </c>
      <c r="C3687" t="s">
        <v>1963</v>
      </c>
      <c r="D3687" t="s">
        <v>212</v>
      </c>
      <c r="E3687" t="s">
        <v>405</v>
      </c>
      <c r="F3687" t="s">
        <v>244</v>
      </c>
      <c r="G3687" t="s">
        <v>245</v>
      </c>
      <c r="H3687" t="s">
        <v>24</v>
      </c>
      <c r="I3687">
        <v>104.02</v>
      </c>
      <c r="J3687">
        <v>104.02</v>
      </c>
      <c r="K3687">
        <v>104.02</v>
      </c>
      <c r="L3687" t="s">
        <v>25</v>
      </c>
      <c r="M3687" t="s">
        <v>1485</v>
      </c>
      <c r="N3687">
        <v>850000</v>
      </c>
      <c r="O3687">
        <v>88417000</v>
      </c>
      <c r="P3687" t="str">
        <f>IF(T[[#This Row],[qty_ordered]]&lt;&gt;T[[#This Row],[qty_received]],IF(T[[#This Row],[qty_received]]&gt;0,"Partial Received","Not Receviced"),"FullyReceived")</f>
        <v>FullyReceived</v>
      </c>
      <c r="Q3687" t="str">
        <f>IF(T[[#This Row],[qty_received]]&lt;&gt;T[[#This Row],[qty_invoiced]],IF(T[[#This Row],[qty_invoiced]]&gt;0,"Partial Invoiced","Not Invoiced"),"Fully Invoiced")</f>
        <v>Fully Invoiced</v>
      </c>
      <c r="R3687" t="str">
        <f>IFERROR(VLOOKUP(T[[#This Row],[warehouse]],Table2[],2,FALSE),"--")</f>
        <v>GINNING ISHRAG-MDNI</v>
      </c>
    </row>
    <row r="3688" spans="1:18" x14ac:dyDescent="0.25">
      <c r="A3688" t="s">
        <v>235</v>
      </c>
      <c r="B3688" s="1">
        <v>44586</v>
      </c>
      <c r="C3688" t="s">
        <v>1715</v>
      </c>
      <c r="D3688" t="s">
        <v>71</v>
      </c>
      <c r="E3688" t="s">
        <v>51</v>
      </c>
      <c r="F3688" t="s">
        <v>546</v>
      </c>
      <c r="G3688" t="s">
        <v>1573</v>
      </c>
      <c r="H3688" t="s">
        <v>54</v>
      </c>
      <c r="I3688">
        <v>3000</v>
      </c>
      <c r="J3688">
        <v>0</v>
      </c>
      <c r="K3688">
        <v>1</v>
      </c>
      <c r="L3688" t="s">
        <v>693</v>
      </c>
      <c r="M3688" t="s">
        <v>2836</v>
      </c>
      <c r="N3688">
        <v>16.333333</v>
      </c>
      <c r="O3688">
        <v>0</v>
      </c>
      <c r="P3688" t="str">
        <f>IF(T[[#This Row],[qty_ordered]]&lt;&gt;T[[#This Row],[qty_received]],IF(T[[#This Row],[qty_received]]&gt;0,"Partial Received","Not Receviced"),"FullyReceived")</f>
        <v>Not Receviced</v>
      </c>
      <c r="Q3688" t="str">
        <f>IF(T[[#This Row],[qty_received]]&lt;&gt;T[[#This Row],[qty_invoiced]],IF(T[[#This Row],[qty_invoiced]]&gt;0,"Partial Invoiced","Not Invoiced"),"Fully Invoiced")</f>
        <v>Partial Invoiced</v>
      </c>
      <c r="R3688" t="str">
        <f>IFERROR(VLOOKUP(T[[#This Row],[warehouse]],Table2[],2,FALSE),"--")</f>
        <v>--</v>
      </c>
    </row>
    <row r="3689" spans="1:18" x14ac:dyDescent="0.25">
      <c r="A3689" t="s">
        <v>560</v>
      </c>
      <c r="B3689" s="1">
        <v>44544</v>
      </c>
      <c r="C3689" t="s">
        <v>1522</v>
      </c>
      <c r="D3689" t="s">
        <v>760</v>
      </c>
      <c r="E3689" t="s">
        <v>51</v>
      </c>
      <c r="F3689" t="s">
        <v>164</v>
      </c>
      <c r="G3689" t="s">
        <v>2149</v>
      </c>
      <c r="H3689" t="s">
        <v>54</v>
      </c>
      <c r="I3689">
        <v>24</v>
      </c>
      <c r="J3689">
        <v>0</v>
      </c>
      <c r="K3689">
        <v>1</v>
      </c>
      <c r="L3689" t="s">
        <v>693</v>
      </c>
      <c r="M3689" t="s">
        <v>2836</v>
      </c>
      <c r="N3689">
        <v>5250</v>
      </c>
      <c r="O3689">
        <v>0</v>
      </c>
      <c r="P3689" t="str">
        <f>IF(T[[#This Row],[qty_ordered]]&lt;&gt;T[[#This Row],[qty_received]],IF(T[[#This Row],[qty_received]]&gt;0,"Partial Received","Not Receviced"),"FullyReceived")</f>
        <v>Not Receviced</v>
      </c>
      <c r="Q3689" t="str">
        <f>IF(T[[#This Row],[qty_received]]&lt;&gt;T[[#This Row],[qty_invoiced]],IF(T[[#This Row],[qty_invoiced]]&gt;0,"Partial Invoiced","Not Invoiced"),"Fully Invoiced")</f>
        <v>Partial Invoiced</v>
      </c>
      <c r="R3689" t="str">
        <f>IFERROR(VLOOKUP(T[[#This Row],[warehouse]],Table2[],2,FALSE),"--")</f>
        <v>--</v>
      </c>
    </row>
    <row r="3690" spans="1:18" x14ac:dyDescent="0.25">
      <c r="A3690" t="s">
        <v>560</v>
      </c>
      <c r="B3690" s="1">
        <v>44544</v>
      </c>
      <c r="C3690" t="s">
        <v>1522</v>
      </c>
      <c r="D3690" t="s">
        <v>591</v>
      </c>
      <c r="E3690" t="s">
        <v>51</v>
      </c>
      <c r="F3690" t="s">
        <v>164</v>
      </c>
      <c r="G3690" t="s">
        <v>2149</v>
      </c>
      <c r="H3690" t="s">
        <v>54</v>
      </c>
      <c r="I3690">
        <v>43.25</v>
      </c>
      <c r="J3690">
        <v>0</v>
      </c>
      <c r="K3690">
        <v>1</v>
      </c>
      <c r="L3690" t="s">
        <v>693</v>
      </c>
      <c r="M3690" t="s">
        <v>2836</v>
      </c>
      <c r="N3690">
        <v>5250</v>
      </c>
      <c r="O3690">
        <v>0</v>
      </c>
      <c r="P3690" t="str">
        <f>IF(T[[#This Row],[qty_ordered]]&lt;&gt;T[[#This Row],[qty_received]],IF(T[[#This Row],[qty_received]]&gt;0,"Partial Received","Not Receviced"),"FullyReceived")</f>
        <v>Not Receviced</v>
      </c>
      <c r="Q3690" t="str">
        <f>IF(T[[#This Row],[qty_received]]&lt;&gt;T[[#This Row],[qty_invoiced]],IF(T[[#This Row],[qty_invoiced]]&gt;0,"Partial Invoiced","Not Invoiced"),"Fully Invoiced")</f>
        <v>Partial Invoiced</v>
      </c>
      <c r="R3690" t="str">
        <f>IFERROR(VLOOKUP(T[[#This Row],[warehouse]],Table2[],2,FALSE),"--")</f>
        <v>--</v>
      </c>
    </row>
    <row r="3691" spans="1:18" x14ac:dyDescent="0.25">
      <c r="A3691" t="s">
        <v>560</v>
      </c>
      <c r="B3691" s="1">
        <v>44544</v>
      </c>
      <c r="C3691" t="s">
        <v>1522</v>
      </c>
      <c r="D3691" t="s">
        <v>592</v>
      </c>
      <c r="E3691" t="s">
        <v>51</v>
      </c>
      <c r="F3691" t="s">
        <v>164</v>
      </c>
      <c r="G3691" t="s">
        <v>2149</v>
      </c>
      <c r="H3691" t="s">
        <v>54</v>
      </c>
      <c r="I3691">
        <v>27</v>
      </c>
      <c r="J3691">
        <v>0</v>
      </c>
      <c r="K3691">
        <v>1</v>
      </c>
      <c r="L3691" t="s">
        <v>693</v>
      </c>
      <c r="M3691" t="s">
        <v>2836</v>
      </c>
      <c r="N3691">
        <v>5250</v>
      </c>
      <c r="O3691">
        <v>0</v>
      </c>
      <c r="P3691" t="str">
        <f>IF(T[[#This Row],[qty_ordered]]&lt;&gt;T[[#This Row],[qty_received]],IF(T[[#This Row],[qty_received]]&gt;0,"Partial Received","Not Receviced"),"FullyReceived")</f>
        <v>Not Receviced</v>
      </c>
      <c r="Q3691" t="str">
        <f>IF(T[[#This Row],[qty_received]]&lt;&gt;T[[#This Row],[qty_invoiced]],IF(T[[#This Row],[qty_invoiced]]&gt;0,"Partial Invoiced","Not Invoiced"),"Fully Invoiced")</f>
        <v>Partial Invoiced</v>
      </c>
      <c r="R3691" t="str">
        <f>IFERROR(VLOOKUP(T[[#This Row],[warehouse]],Table2[],2,FALSE),"--")</f>
        <v>--</v>
      </c>
    </row>
    <row r="3692" spans="1:18" x14ac:dyDescent="0.25">
      <c r="A3692" t="s">
        <v>560</v>
      </c>
      <c r="B3692" s="1">
        <v>44544</v>
      </c>
      <c r="C3692" t="s">
        <v>1522</v>
      </c>
      <c r="D3692" t="s">
        <v>593</v>
      </c>
      <c r="E3692" t="s">
        <v>51</v>
      </c>
      <c r="F3692" t="s">
        <v>164</v>
      </c>
      <c r="G3692" t="s">
        <v>2149</v>
      </c>
      <c r="H3692" t="s">
        <v>54</v>
      </c>
      <c r="I3692">
        <v>19</v>
      </c>
      <c r="J3692">
        <v>0</v>
      </c>
      <c r="K3692">
        <v>1</v>
      </c>
      <c r="L3692" t="s">
        <v>693</v>
      </c>
      <c r="M3692" t="s">
        <v>2836</v>
      </c>
      <c r="N3692">
        <v>5250</v>
      </c>
      <c r="O3692">
        <v>0</v>
      </c>
      <c r="P3692" t="str">
        <f>IF(T[[#This Row],[qty_ordered]]&lt;&gt;T[[#This Row],[qty_received]],IF(T[[#This Row],[qty_received]]&gt;0,"Partial Received","Not Receviced"),"FullyReceived")</f>
        <v>Not Receviced</v>
      </c>
      <c r="Q3692" t="str">
        <f>IF(T[[#This Row],[qty_received]]&lt;&gt;T[[#This Row],[qty_invoiced]],IF(T[[#This Row],[qty_invoiced]]&gt;0,"Partial Invoiced","Not Invoiced"),"Fully Invoiced")</f>
        <v>Partial Invoiced</v>
      </c>
      <c r="R3692" t="str">
        <f>IFERROR(VLOOKUP(T[[#This Row],[warehouse]],Table2[],2,FALSE),"--")</f>
        <v>--</v>
      </c>
    </row>
    <row r="3693" spans="1:18" x14ac:dyDescent="0.25">
      <c r="A3693" t="s">
        <v>560</v>
      </c>
      <c r="B3693" s="1">
        <v>44698</v>
      </c>
      <c r="C3693" t="s">
        <v>2151</v>
      </c>
      <c r="D3693" t="s">
        <v>20</v>
      </c>
      <c r="E3693" t="s">
        <v>51</v>
      </c>
      <c r="F3693" t="s">
        <v>164</v>
      </c>
      <c r="G3693" t="s">
        <v>2152</v>
      </c>
      <c r="H3693" t="s">
        <v>54</v>
      </c>
      <c r="I3693">
        <v>10</v>
      </c>
      <c r="J3693">
        <v>0</v>
      </c>
      <c r="K3693">
        <v>1</v>
      </c>
      <c r="L3693" t="s">
        <v>693</v>
      </c>
      <c r="M3693" t="s">
        <v>533</v>
      </c>
      <c r="N3693">
        <v>5250</v>
      </c>
      <c r="O3693">
        <v>0</v>
      </c>
      <c r="P3693" t="str">
        <f>IF(T[[#This Row],[qty_ordered]]&lt;&gt;T[[#This Row],[qty_received]],IF(T[[#This Row],[qty_received]]&gt;0,"Partial Received","Not Receviced"),"FullyReceived")</f>
        <v>Not Receviced</v>
      </c>
      <c r="Q3693" t="str">
        <f>IF(T[[#This Row],[qty_received]]&lt;&gt;T[[#This Row],[qty_invoiced]],IF(T[[#This Row],[qty_invoiced]]&gt;0,"Partial Invoiced","Not Invoiced"),"Fully Invoiced")</f>
        <v>Partial Invoiced</v>
      </c>
      <c r="R3693" t="str">
        <f>IFERROR(VLOOKUP(T[[#This Row],[warehouse]],Table2[],2,FALSE),"--")</f>
        <v>--</v>
      </c>
    </row>
    <row r="3694" spans="1:18" x14ac:dyDescent="0.25">
      <c r="A3694" t="s">
        <v>560</v>
      </c>
      <c r="B3694" s="1">
        <v>44634</v>
      </c>
      <c r="C3694" t="s">
        <v>1539</v>
      </c>
      <c r="D3694" t="s">
        <v>100</v>
      </c>
      <c r="E3694" t="s">
        <v>51</v>
      </c>
      <c r="F3694" t="s">
        <v>164</v>
      </c>
      <c r="G3694" t="s">
        <v>2153</v>
      </c>
      <c r="H3694" t="s">
        <v>54</v>
      </c>
      <c r="I3694">
        <v>25</v>
      </c>
      <c r="J3694">
        <v>0</v>
      </c>
      <c r="K3694">
        <v>1</v>
      </c>
      <c r="L3694" t="s">
        <v>693</v>
      </c>
      <c r="M3694" t="s">
        <v>2836</v>
      </c>
      <c r="N3694">
        <v>5250</v>
      </c>
      <c r="O3694">
        <v>0</v>
      </c>
      <c r="P3694" t="str">
        <f>IF(T[[#This Row],[qty_ordered]]&lt;&gt;T[[#This Row],[qty_received]],IF(T[[#This Row],[qty_received]]&gt;0,"Partial Received","Not Receviced"),"FullyReceived")</f>
        <v>Not Receviced</v>
      </c>
      <c r="Q3694" t="str">
        <f>IF(T[[#This Row],[qty_received]]&lt;&gt;T[[#This Row],[qty_invoiced]],IF(T[[#This Row],[qty_invoiced]]&gt;0,"Partial Invoiced","Not Invoiced"),"Fully Invoiced")</f>
        <v>Partial Invoiced</v>
      </c>
      <c r="R3694" t="str">
        <f>IFERROR(VLOOKUP(T[[#This Row],[warehouse]],Table2[],2,FALSE),"--")</f>
        <v>--</v>
      </c>
    </row>
    <row r="3695" spans="1:18" x14ac:dyDescent="0.25">
      <c r="A3695" t="s">
        <v>560</v>
      </c>
      <c r="B3695" s="1">
        <v>44572</v>
      </c>
      <c r="C3695" t="s">
        <v>1651</v>
      </c>
      <c r="D3695" t="s">
        <v>76</v>
      </c>
      <c r="E3695" t="s">
        <v>51</v>
      </c>
      <c r="F3695" t="s">
        <v>164</v>
      </c>
      <c r="G3695" t="s">
        <v>2154</v>
      </c>
      <c r="H3695" t="s">
        <v>54</v>
      </c>
      <c r="I3695">
        <v>22</v>
      </c>
      <c r="J3695">
        <v>0</v>
      </c>
      <c r="K3695">
        <v>1</v>
      </c>
      <c r="L3695" t="s">
        <v>693</v>
      </c>
      <c r="M3695" t="s">
        <v>2836</v>
      </c>
      <c r="N3695">
        <v>5250</v>
      </c>
      <c r="O3695">
        <v>0</v>
      </c>
      <c r="P3695" t="str">
        <f>IF(T[[#This Row],[qty_ordered]]&lt;&gt;T[[#This Row],[qty_received]],IF(T[[#This Row],[qty_received]]&gt;0,"Partial Received","Not Receviced"),"FullyReceived")</f>
        <v>Not Receviced</v>
      </c>
      <c r="Q3695" t="str">
        <f>IF(T[[#This Row],[qty_received]]&lt;&gt;T[[#This Row],[qty_invoiced]],IF(T[[#This Row],[qty_invoiced]]&gt;0,"Partial Invoiced","Not Invoiced"),"Fully Invoiced")</f>
        <v>Partial Invoiced</v>
      </c>
      <c r="R3695" t="str">
        <f>IFERROR(VLOOKUP(T[[#This Row],[warehouse]],Table2[],2,FALSE),"--")</f>
        <v>--</v>
      </c>
    </row>
    <row r="3696" spans="1:18" x14ac:dyDescent="0.25">
      <c r="A3696" t="s">
        <v>462</v>
      </c>
      <c r="B3696" s="1">
        <v>44676</v>
      </c>
      <c r="C3696" t="s">
        <v>1706</v>
      </c>
      <c r="D3696" t="s">
        <v>20</v>
      </c>
      <c r="E3696" t="s">
        <v>51</v>
      </c>
      <c r="F3696" t="s">
        <v>247</v>
      </c>
      <c r="G3696" t="s">
        <v>2155</v>
      </c>
      <c r="H3696" t="s">
        <v>54</v>
      </c>
      <c r="I3696">
        <v>1500</v>
      </c>
      <c r="J3696">
        <v>0</v>
      </c>
      <c r="K3696">
        <v>1</v>
      </c>
      <c r="L3696" t="s">
        <v>693</v>
      </c>
      <c r="M3696" t="s">
        <v>533</v>
      </c>
      <c r="N3696">
        <v>33000</v>
      </c>
      <c r="O3696">
        <v>0</v>
      </c>
      <c r="P3696" t="str">
        <f>IF(T[[#This Row],[qty_ordered]]&lt;&gt;T[[#This Row],[qty_received]],IF(T[[#This Row],[qty_received]]&gt;0,"Partial Received","Not Receviced"),"FullyReceived")</f>
        <v>Not Receviced</v>
      </c>
      <c r="Q3696" t="str">
        <f>IF(T[[#This Row],[qty_received]]&lt;&gt;T[[#This Row],[qty_invoiced]],IF(T[[#This Row],[qty_invoiced]]&gt;0,"Partial Invoiced","Not Invoiced"),"Fully Invoiced")</f>
        <v>Partial Invoiced</v>
      </c>
      <c r="R3696" t="str">
        <f>IFERROR(VLOOKUP(T[[#This Row],[warehouse]],Table2[],2,FALSE),"--")</f>
        <v>--</v>
      </c>
    </row>
    <row r="3697" spans="1:18" x14ac:dyDescent="0.25">
      <c r="A3697" t="s">
        <v>462</v>
      </c>
      <c r="B3697" s="1">
        <v>44676</v>
      </c>
      <c r="C3697" t="s">
        <v>1706</v>
      </c>
      <c r="D3697" t="s">
        <v>71</v>
      </c>
      <c r="E3697" t="s">
        <v>51</v>
      </c>
      <c r="F3697" t="s">
        <v>278</v>
      </c>
      <c r="G3697" t="s">
        <v>2156</v>
      </c>
      <c r="H3697" t="s">
        <v>54</v>
      </c>
      <c r="I3697">
        <v>17921</v>
      </c>
      <c r="J3697">
        <v>0</v>
      </c>
      <c r="K3697">
        <v>1</v>
      </c>
      <c r="L3697" t="s">
        <v>693</v>
      </c>
      <c r="M3697" t="s">
        <v>533</v>
      </c>
      <c r="N3697">
        <v>52.672004999999999</v>
      </c>
      <c r="O3697">
        <v>0</v>
      </c>
      <c r="P3697" t="str">
        <f>IF(T[[#This Row],[qty_ordered]]&lt;&gt;T[[#This Row],[qty_received]],IF(T[[#This Row],[qty_received]]&gt;0,"Partial Received","Not Receviced"),"FullyReceived")</f>
        <v>Not Receviced</v>
      </c>
      <c r="Q3697" t="str">
        <f>IF(T[[#This Row],[qty_received]]&lt;&gt;T[[#This Row],[qty_invoiced]],IF(T[[#This Row],[qty_invoiced]]&gt;0,"Partial Invoiced","Not Invoiced"),"Fully Invoiced")</f>
        <v>Partial Invoiced</v>
      </c>
      <c r="R3697" t="str">
        <f>IFERROR(VLOOKUP(T[[#This Row],[warehouse]],Table2[],2,FALSE),"--")</f>
        <v>--</v>
      </c>
    </row>
    <row r="3698" spans="1:18" x14ac:dyDescent="0.25">
      <c r="A3698" t="s">
        <v>462</v>
      </c>
      <c r="B3698" s="1">
        <v>44676</v>
      </c>
      <c r="C3698" t="s">
        <v>1706</v>
      </c>
      <c r="D3698" t="s">
        <v>100</v>
      </c>
      <c r="E3698" t="s">
        <v>51</v>
      </c>
      <c r="F3698" t="s">
        <v>373</v>
      </c>
      <c r="G3698" t="s">
        <v>2157</v>
      </c>
      <c r="H3698" t="s">
        <v>54</v>
      </c>
      <c r="I3698">
        <v>10983</v>
      </c>
      <c r="J3698">
        <v>0</v>
      </c>
      <c r="K3698">
        <v>1</v>
      </c>
      <c r="L3698" t="s">
        <v>693</v>
      </c>
      <c r="M3698" t="s">
        <v>533</v>
      </c>
      <c r="N3698">
        <v>50</v>
      </c>
      <c r="O3698">
        <v>0</v>
      </c>
      <c r="P3698" t="str">
        <f>IF(T[[#This Row],[qty_ordered]]&lt;&gt;T[[#This Row],[qty_received]],IF(T[[#This Row],[qty_received]]&gt;0,"Partial Received","Not Receviced"),"FullyReceived")</f>
        <v>Not Receviced</v>
      </c>
      <c r="Q3698" t="str">
        <f>IF(T[[#This Row],[qty_received]]&lt;&gt;T[[#This Row],[qty_invoiced]],IF(T[[#This Row],[qty_invoiced]]&gt;0,"Partial Invoiced","Not Invoiced"),"Fully Invoiced")</f>
        <v>Partial Invoiced</v>
      </c>
      <c r="R3698" t="str">
        <f>IFERROR(VLOOKUP(T[[#This Row],[warehouse]],Table2[],2,FALSE),"--")</f>
        <v>--</v>
      </c>
    </row>
    <row r="3699" spans="1:18" x14ac:dyDescent="0.25">
      <c r="A3699" t="s">
        <v>462</v>
      </c>
      <c r="B3699" s="1">
        <v>44676</v>
      </c>
      <c r="C3699" t="s">
        <v>1706</v>
      </c>
      <c r="D3699" t="s">
        <v>88</v>
      </c>
      <c r="E3699" t="s">
        <v>51</v>
      </c>
      <c r="F3699" t="s">
        <v>433</v>
      </c>
      <c r="G3699" t="s">
        <v>2158</v>
      </c>
      <c r="H3699" t="s">
        <v>54</v>
      </c>
      <c r="I3699">
        <v>10983</v>
      </c>
      <c r="J3699">
        <v>0</v>
      </c>
      <c r="K3699">
        <v>1</v>
      </c>
      <c r="L3699" t="s">
        <v>693</v>
      </c>
      <c r="M3699" t="s">
        <v>533</v>
      </c>
      <c r="N3699">
        <v>17.130565000000001</v>
      </c>
      <c r="O3699">
        <v>0</v>
      </c>
      <c r="P3699" t="str">
        <f>IF(T[[#This Row],[qty_ordered]]&lt;&gt;T[[#This Row],[qty_received]],IF(T[[#This Row],[qty_received]]&gt;0,"Partial Received","Not Receviced"),"FullyReceived")</f>
        <v>Not Receviced</v>
      </c>
      <c r="Q3699" t="str">
        <f>IF(T[[#This Row],[qty_received]]&lt;&gt;T[[#This Row],[qty_invoiced]],IF(T[[#This Row],[qty_invoiced]]&gt;0,"Partial Invoiced","Not Invoiced"),"Fully Invoiced")</f>
        <v>Partial Invoiced</v>
      </c>
      <c r="R3699" t="str">
        <f>IFERROR(VLOOKUP(T[[#This Row],[warehouse]],Table2[],2,FALSE),"--")</f>
        <v>--</v>
      </c>
    </row>
    <row r="3700" spans="1:18" x14ac:dyDescent="0.25">
      <c r="A3700" t="s">
        <v>959</v>
      </c>
      <c r="B3700" s="1">
        <v>44635</v>
      </c>
      <c r="C3700" t="s">
        <v>2159</v>
      </c>
      <c r="D3700" t="s">
        <v>71</v>
      </c>
      <c r="E3700" t="s">
        <v>66</v>
      </c>
      <c r="F3700" t="s">
        <v>167</v>
      </c>
      <c r="G3700" t="s">
        <v>156</v>
      </c>
      <c r="H3700" t="s">
        <v>24</v>
      </c>
      <c r="I3700">
        <v>200</v>
      </c>
      <c r="J3700">
        <v>78.72</v>
      </c>
      <c r="K3700">
        <v>78.72</v>
      </c>
      <c r="L3700" t="s">
        <v>25</v>
      </c>
      <c r="M3700" t="s">
        <v>707</v>
      </c>
      <c r="N3700">
        <v>1120000</v>
      </c>
      <c r="O3700">
        <v>88166400</v>
      </c>
      <c r="P3700" t="str">
        <f>IF(T[[#This Row],[qty_ordered]]&lt;&gt;T[[#This Row],[qty_received]],IF(T[[#This Row],[qty_received]]&gt;0,"Partial Received","Not Receviced"),"FullyReceived")</f>
        <v>Partial Received</v>
      </c>
      <c r="Q3700" t="str">
        <f>IF(T[[#This Row],[qty_received]]&lt;&gt;T[[#This Row],[qty_invoiced]],IF(T[[#This Row],[qty_invoiced]]&gt;0,"Partial Invoiced","Not Invoiced"),"Fully Invoiced")</f>
        <v>Fully Invoiced</v>
      </c>
      <c r="R3700" t="str">
        <f>IFERROR(VLOOKUP(T[[#This Row],[warehouse]],Table2[],2,FALSE),"--")</f>
        <v>PZU Main Warehouse</v>
      </c>
    </row>
    <row r="3701" spans="1:18" x14ac:dyDescent="0.25">
      <c r="A3701" t="s">
        <v>462</v>
      </c>
      <c r="B3701" s="1">
        <v>44676</v>
      </c>
      <c r="C3701" t="s">
        <v>1706</v>
      </c>
      <c r="D3701" t="s">
        <v>76</v>
      </c>
      <c r="E3701" t="s">
        <v>51</v>
      </c>
      <c r="F3701" t="s">
        <v>793</v>
      </c>
      <c r="G3701" t="s">
        <v>2160</v>
      </c>
      <c r="H3701" t="s">
        <v>54</v>
      </c>
      <c r="I3701">
        <v>1</v>
      </c>
      <c r="J3701">
        <v>0</v>
      </c>
      <c r="K3701">
        <v>1</v>
      </c>
      <c r="L3701" t="s">
        <v>693</v>
      </c>
      <c r="M3701" t="s">
        <v>533</v>
      </c>
      <c r="N3701">
        <v>3000</v>
      </c>
      <c r="O3701">
        <v>0</v>
      </c>
      <c r="P3701" t="str">
        <f>IF(T[[#This Row],[qty_ordered]]&lt;&gt;T[[#This Row],[qty_received]],IF(T[[#This Row],[qty_received]]&gt;0,"Partial Received","Not Receviced"),"FullyReceived")</f>
        <v>Not Receviced</v>
      </c>
      <c r="Q3701" t="str">
        <f>IF(T[[#This Row],[qty_received]]&lt;&gt;T[[#This Row],[qty_invoiced]],IF(T[[#This Row],[qty_invoiced]]&gt;0,"Partial Invoiced","Not Invoiced"),"Fully Invoiced")</f>
        <v>Partial Invoiced</v>
      </c>
      <c r="R3701" t="str">
        <f>IFERROR(VLOOKUP(T[[#This Row],[warehouse]],Table2[],2,FALSE),"--")</f>
        <v>--</v>
      </c>
    </row>
    <row r="3702" spans="1:18" x14ac:dyDescent="0.25">
      <c r="A3702" t="s">
        <v>423</v>
      </c>
      <c r="B3702" s="1">
        <v>44677</v>
      </c>
      <c r="C3702" t="s">
        <v>2161</v>
      </c>
      <c r="D3702" t="s">
        <v>20</v>
      </c>
      <c r="E3702" t="s">
        <v>203</v>
      </c>
      <c r="F3702" t="s">
        <v>1677</v>
      </c>
      <c r="G3702" t="s">
        <v>1678</v>
      </c>
      <c r="H3702" t="s">
        <v>149</v>
      </c>
      <c r="I3702">
        <v>200000</v>
      </c>
      <c r="J3702">
        <v>185500</v>
      </c>
      <c r="K3702">
        <v>185500</v>
      </c>
      <c r="L3702" t="s">
        <v>693</v>
      </c>
      <c r="M3702" t="s">
        <v>1404</v>
      </c>
      <c r="N3702">
        <v>378</v>
      </c>
      <c r="O3702">
        <v>70119000</v>
      </c>
      <c r="P3702" t="str">
        <f>IF(T[[#This Row],[qty_ordered]]&lt;&gt;T[[#This Row],[qty_received]],IF(T[[#This Row],[qty_received]]&gt;0,"Partial Received","Not Receviced"),"FullyReceived")</f>
        <v>Partial Received</v>
      </c>
      <c r="Q3702" t="str">
        <f>IF(T[[#This Row],[qty_received]]&lt;&gt;T[[#This Row],[qty_invoiced]],IF(T[[#This Row],[qty_invoiced]]&gt;0,"Partial Invoiced","Not Invoiced"),"Fully Invoiced")</f>
        <v>Fully Invoiced</v>
      </c>
      <c r="R3702" t="str">
        <f>IFERROR(VLOOKUP(T[[#This Row],[warehouse]],Table2[],2,FALSE),"--")</f>
        <v>PZU Packaging Warehouse</v>
      </c>
    </row>
    <row r="3703" spans="1:18" x14ac:dyDescent="0.25">
      <c r="A3703" t="s">
        <v>1868</v>
      </c>
      <c r="B3703" s="1">
        <v>44677</v>
      </c>
      <c r="C3703" t="s">
        <v>2162</v>
      </c>
      <c r="D3703" t="s">
        <v>20</v>
      </c>
      <c r="E3703" t="s">
        <v>203</v>
      </c>
      <c r="F3703" t="s">
        <v>1677</v>
      </c>
      <c r="G3703" t="s">
        <v>1678</v>
      </c>
      <c r="H3703" t="s">
        <v>149</v>
      </c>
      <c r="I3703">
        <v>100000</v>
      </c>
      <c r="J3703">
        <v>100000</v>
      </c>
      <c r="K3703">
        <v>100000</v>
      </c>
      <c r="L3703" t="s">
        <v>693</v>
      </c>
      <c r="M3703" t="s">
        <v>1404</v>
      </c>
      <c r="N3703">
        <v>420</v>
      </c>
      <c r="O3703">
        <v>42000000</v>
      </c>
      <c r="P3703" t="str">
        <f>IF(T[[#This Row],[qty_ordered]]&lt;&gt;T[[#This Row],[qty_received]],IF(T[[#This Row],[qty_received]]&gt;0,"Partial Received","Not Receviced"),"FullyReceived")</f>
        <v>FullyReceived</v>
      </c>
      <c r="Q3703" t="str">
        <f>IF(T[[#This Row],[qty_received]]&lt;&gt;T[[#This Row],[qty_invoiced]],IF(T[[#This Row],[qty_invoiced]]&gt;0,"Partial Invoiced","Not Invoiced"),"Fully Invoiced")</f>
        <v>Fully Invoiced</v>
      </c>
      <c r="R3703" t="str">
        <f>IFERROR(VLOOKUP(T[[#This Row],[warehouse]],Table2[],2,FALSE),"--")</f>
        <v>PZU Packaging Warehouse</v>
      </c>
    </row>
    <row r="3704" spans="1:18" x14ac:dyDescent="0.25">
      <c r="A3704" t="s">
        <v>1868</v>
      </c>
      <c r="B3704" s="1">
        <v>44677</v>
      </c>
      <c r="C3704" t="s">
        <v>2162</v>
      </c>
      <c r="D3704" t="s">
        <v>71</v>
      </c>
      <c r="E3704" t="s">
        <v>203</v>
      </c>
      <c r="F3704" t="s">
        <v>1677</v>
      </c>
      <c r="G3704" t="s">
        <v>1678</v>
      </c>
      <c r="H3704" t="s">
        <v>149</v>
      </c>
      <c r="I3704">
        <v>150000</v>
      </c>
      <c r="J3704">
        <v>98000</v>
      </c>
      <c r="K3704">
        <v>31000</v>
      </c>
      <c r="L3704" t="s">
        <v>693</v>
      </c>
      <c r="M3704" t="s">
        <v>1404</v>
      </c>
      <c r="N3704">
        <v>406</v>
      </c>
      <c r="O3704">
        <v>39788000</v>
      </c>
      <c r="P3704" t="str">
        <f>IF(T[[#This Row],[qty_ordered]]&lt;&gt;T[[#This Row],[qty_received]],IF(T[[#This Row],[qty_received]]&gt;0,"Partial Received","Not Receviced"),"FullyReceived")</f>
        <v>Partial Received</v>
      </c>
      <c r="Q3704" t="str">
        <f>IF(T[[#This Row],[qty_received]]&lt;&gt;T[[#This Row],[qty_invoiced]],IF(T[[#This Row],[qty_invoiced]]&gt;0,"Partial Invoiced","Not Invoiced"),"Fully Invoiced")</f>
        <v>Partial Invoiced</v>
      </c>
      <c r="R3704" t="str">
        <f>IFERROR(VLOOKUP(T[[#This Row],[warehouse]],Table2[],2,FALSE),"--")</f>
        <v>PZU Packaging Warehouse</v>
      </c>
    </row>
    <row r="3705" spans="1:18" x14ac:dyDescent="0.25">
      <c r="A3705" t="s">
        <v>2163</v>
      </c>
      <c r="B3705" s="1">
        <v>44677</v>
      </c>
      <c r="C3705" t="s">
        <v>2164</v>
      </c>
      <c r="D3705" t="s">
        <v>20</v>
      </c>
      <c r="E3705" t="s">
        <v>203</v>
      </c>
      <c r="F3705" t="s">
        <v>1677</v>
      </c>
      <c r="G3705" t="s">
        <v>1678</v>
      </c>
      <c r="H3705" t="s">
        <v>149</v>
      </c>
      <c r="I3705">
        <v>50000</v>
      </c>
      <c r="J3705">
        <v>0</v>
      </c>
      <c r="K3705">
        <v>0</v>
      </c>
      <c r="L3705" t="s">
        <v>25</v>
      </c>
      <c r="M3705" t="s">
        <v>1404</v>
      </c>
      <c r="N3705">
        <v>246505.24</v>
      </c>
      <c r="O3705">
        <v>151618000</v>
      </c>
      <c r="P3705" t="str">
        <f>IF(T[[#This Row],[qty_ordered]]&lt;&gt;T[[#This Row],[qty_received]],IF(T[[#This Row],[qty_received]]&gt;0,"Partial Received","Not Receviced"),"FullyReceived")</f>
        <v>Not Receviced</v>
      </c>
      <c r="Q3705" t="str">
        <f>IF(T[[#This Row],[qty_received]]&lt;&gt;T[[#This Row],[qty_invoiced]],IF(T[[#This Row],[qty_invoiced]]&gt;0,"Partial Invoiced","Not Invoiced"),"Fully Invoiced")</f>
        <v>Fully Invoiced</v>
      </c>
      <c r="R3705" t="str">
        <f>IFERROR(VLOOKUP(T[[#This Row],[warehouse]],Table2[],2,FALSE),"--")</f>
        <v>PZU Packaging Warehouse</v>
      </c>
    </row>
    <row r="3706" spans="1:18" x14ac:dyDescent="0.25">
      <c r="A3706" t="s">
        <v>1118</v>
      </c>
      <c r="B3706" s="1">
        <v>44579</v>
      </c>
      <c r="C3706" t="s">
        <v>1682</v>
      </c>
      <c r="D3706" t="s">
        <v>76</v>
      </c>
      <c r="E3706" t="s">
        <v>1438</v>
      </c>
      <c r="F3706" t="s">
        <v>1439</v>
      </c>
      <c r="G3706" t="s">
        <v>1440</v>
      </c>
      <c r="H3706" t="s">
        <v>1087</v>
      </c>
      <c r="I3706">
        <v>734</v>
      </c>
      <c r="J3706">
        <v>734</v>
      </c>
      <c r="K3706">
        <v>734</v>
      </c>
      <c r="L3706" t="s">
        <v>25</v>
      </c>
      <c r="M3706" t="s">
        <v>1485</v>
      </c>
      <c r="N3706">
        <v>41570.781999999999</v>
      </c>
      <c r="O3706">
        <v>30512953.988000002</v>
      </c>
      <c r="P3706" t="str">
        <f>IF(T[[#This Row],[qty_ordered]]&lt;&gt;T[[#This Row],[qty_received]],IF(T[[#This Row],[qty_received]]&gt;0,"Partial Received","Not Receviced"),"FullyReceived")</f>
        <v>FullyReceived</v>
      </c>
      <c r="Q3706" t="str">
        <f>IF(T[[#This Row],[qty_received]]&lt;&gt;T[[#This Row],[qty_invoiced]],IF(T[[#This Row],[qty_invoiced]]&gt;0,"Partial Invoiced","Not Invoiced"),"Fully Invoiced")</f>
        <v>Fully Invoiced</v>
      </c>
      <c r="R3706" t="str">
        <f>IFERROR(VLOOKUP(T[[#This Row],[warehouse]],Table2[],2,FALSE),"--")</f>
        <v>Livestock Barn</v>
      </c>
    </row>
    <row r="3707" spans="1:18" x14ac:dyDescent="0.25">
      <c r="A3707" t="s">
        <v>1597</v>
      </c>
      <c r="B3707" s="1">
        <v>44663</v>
      </c>
      <c r="C3707" t="s">
        <v>1598</v>
      </c>
      <c r="D3707" t="s">
        <v>100</v>
      </c>
      <c r="E3707" t="s">
        <v>1438</v>
      </c>
      <c r="F3707" t="s">
        <v>1439</v>
      </c>
      <c r="G3707" t="s">
        <v>1440</v>
      </c>
      <c r="H3707" t="s">
        <v>1087</v>
      </c>
      <c r="I3707">
        <v>943</v>
      </c>
      <c r="J3707">
        <v>478</v>
      </c>
      <c r="K3707">
        <v>478</v>
      </c>
      <c r="L3707" t="s">
        <v>693</v>
      </c>
      <c r="M3707" t="s">
        <v>1485</v>
      </c>
      <c r="N3707">
        <v>40318.822899999999</v>
      </c>
      <c r="O3707">
        <v>19272397.3462</v>
      </c>
      <c r="P3707" t="str">
        <f>IF(T[[#This Row],[qty_ordered]]&lt;&gt;T[[#This Row],[qty_received]],IF(T[[#This Row],[qty_received]]&gt;0,"Partial Received","Not Receviced"),"FullyReceived")</f>
        <v>Partial Received</v>
      </c>
      <c r="Q3707" t="str">
        <f>IF(T[[#This Row],[qty_received]]&lt;&gt;T[[#This Row],[qty_invoiced]],IF(T[[#This Row],[qty_invoiced]]&gt;0,"Partial Invoiced","Not Invoiced"),"Fully Invoiced")</f>
        <v>Fully Invoiced</v>
      </c>
      <c r="R3707" t="str">
        <f>IFERROR(VLOOKUP(T[[#This Row],[warehouse]],Table2[],2,FALSE),"--")</f>
        <v>Livestock Barn</v>
      </c>
    </row>
    <row r="3708" spans="1:18" x14ac:dyDescent="0.25">
      <c r="A3708" t="s">
        <v>252</v>
      </c>
      <c r="B3708" s="1">
        <v>44531</v>
      </c>
      <c r="C3708" t="s">
        <v>1491</v>
      </c>
      <c r="D3708" t="s">
        <v>20</v>
      </c>
      <c r="E3708" t="s">
        <v>51</v>
      </c>
      <c r="F3708" t="s">
        <v>183</v>
      </c>
      <c r="G3708" t="s">
        <v>2165</v>
      </c>
      <c r="H3708" t="s">
        <v>54</v>
      </c>
      <c r="I3708">
        <v>367.5</v>
      </c>
      <c r="J3708">
        <v>0</v>
      </c>
      <c r="K3708">
        <v>1</v>
      </c>
      <c r="L3708" t="s">
        <v>693</v>
      </c>
      <c r="M3708" t="s">
        <v>533</v>
      </c>
      <c r="N3708">
        <v>6250</v>
      </c>
      <c r="O3708">
        <v>0</v>
      </c>
      <c r="P3708" t="str">
        <f>IF(T[[#This Row],[qty_ordered]]&lt;&gt;T[[#This Row],[qty_received]],IF(T[[#This Row],[qty_received]]&gt;0,"Partial Received","Not Receviced"),"FullyReceived")</f>
        <v>Not Receviced</v>
      </c>
      <c r="Q3708" t="str">
        <f>IF(T[[#This Row],[qty_received]]&lt;&gt;T[[#This Row],[qty_invoiced]],IF(T[[#This Row],[qty_invoiced]]&gt;0,"Partial Invoiced","Not Invoiced"),"Fully Invoiced")</f>
        <v>Partial Invoiced</v>
      </c>
      <c r="R3708" t="str">
        <f>IFERROR(VLOOKUP(T[[#This Row],[warehouse]],Table2[],2,FALSE),"--")</f>
        <v>--</v>
      </c>
    </row>
    <row r="3709" spans="1:18" x14ac:dyDescent="0.25">
      <c r="A3709" t="s">
        <v>560</v>
      </c>
      <c r="B3709" s="1">
        <v>44544</v>
      </c>
      <c r="C3709" t="s">
        <v>1524</v>
      </c>
      <c r="D3709" t="s">
        <v>74</v>
      </c>
      <c r="E3709" t="s">
        <v>51</v>
      </c>
      <c r="F3709" t="s">
        <v>164</v>
      </c>
      <c r="G3709" t="s">
        <v>2058</v>
      </c>
      <c r="H3709" t="s">
        <v>54</v>
      </c>
      <c r="I3709">
        <v>24.25</v>
      </c>
      <c r="J3709">
        <v>0</v>
      </c>
      <c r="K3709">
        <v>1</v>
      </c>
      <c r="L3709" t="s">
        <v>693</v>
      </c>
      <c r="M3709" t="s">
        <v>2836</v>
      </c>
      <c r="N3709">
        <v>4130.1855670000004</v>
      </c>
      <c r="O3709">
        <v>0</v>
      </c>
      <c r="P3709" t="str">
        <f>IF(T[[#This Row],[qty_ordered]]&lt;&gt;T[[#This Row],[qty_received]],IF(T[[#This Row],[qty_received]]&gt;0,"Partial Received","Not Receviced"),"FullyReceived")</f>
        <v>Not Receviced</v>
      </c>
      <c r="Q3709" t="str">
        <f>IF(T[[#This Row],[qty_received]]&lt;&gt;T[[#This Row],[qty_invoiced]],IF(T[[#This Row],[qty_invoiced]]&gt;0,"Partial Invoiced","Not Invoiced"),"Fully Invoiced")</f>
        <v>Partial Invoiced</v>
      </c>
      <c r="R3709" t="str">
        <f>IFERROR(VLOOKUP(T[[#This Row],[warehouse]],Table2[],2,FALSE),"--")</f>
        <v>--</v>
      </c>
    </row>
    <row r="3710" spans="1:18" x14ac:dyDescent="0.25">
      <c r="A3710" t="s">
        <v>144</v>
      </c>
      <c r="B3710" s="1">
        <v>44593</v>
      </c>
      <c r="C3710" t="s">
        <v>2088</v>
      </c>
      <c r="D3710" t="s">
        <v>71</v>
      </c>
      <c r="E3710" t="s">
        <v>203</v>
      </c>
      <c r="F3710" t="s">
        <v>294</v>
      </c>
      <c r="G3710" t="s">
        <v>295</v>
      </c>
      <c r="H3710" t="s">
        <v>149</v>
      </c>
      <c r="I3710">
        <v>600</v>
      </c>
      <c r="J3710">
        <v>600</v>
      </c>
      <c r="K3710">
        <v>600</v>
      </c>
      <c r="L3710" t="s">
        <v>25</v>
      </c>
      <c r="M3710" t="s">
        <v>1404</v>
      </c>
      <c r="N3710">
        <v>37.943820000000002</v>
      </c>
      <c r="O3710">
        <v>22766.292000000001</v>
      </c>
      <c r="P3710" t="str">
        <f>IF(T[[#This Row],[qty_ordered]]&lt;&gt;T[[#This Row],[qty_received]],IF(T[[#This Row],[qty_received]]&gt;0,"Partial Received","Not Receviced"),"FullyReceived")</f>
        <v>FullyReceived</v>
      </c>
      <c r="Q3710" t="str">
        <f>IF(T[[#This Row],[qty_received]]&lt;&gt;T[[#This Row],[qty_invoiced]],IF(T[[#This Row],[qty_invoiced]]&gt;0,"Partial Invoiced","Not Invoiced"),"Fully Invoiced")</f>
        <v>Fully Invoiced</v>
      </c>
      <c r="R3710" t="str">
        <f>IFERROR(VLOOKUP(T[[#This Row],[warehouse]],Table2[],2,FALSE),"--")</f>
        <v>PZU Packaging Warehouse</v>
      </c>
    </row>
    <row r="3711" spans="1:18" x14ac:dyDescent="0.25">
      <c r="A3711" t="s">
        <v>1059</v>
      </c>
      <c r="B3711" s="1">
        <v>44594</v>
      </c>
      <c r="C3711" t="s">
        <v>1560</v>
      </c>
      <c r="D3711" t="s">
        <v>614</v>
      </c>
      <c r="E3711" t="s">
        <v>51</v>
      </c>
      <c r="F3711" t="s">
        <v>2166</v>
      </c>
      <c r="G3711" t="s">
        <v>2167</v>
      </c>
      <c r="H3711" t="s">
        <v>54</v>
      </c>
      <c r="I3711">
        <v>269</v>
      </c>
      <c r="J3711">
        <v>0</v>
      </c>
      <c r="K3711">
        <v>1</v>
      </c>
      <c r="L3711" t="s">
        <v>693</v>
      </c>
      <c r="M3711" t="s">
        <v>533</v>
      </c>
      <c r="N3711">
        <v>750</v>
      </c>
      <c r="O3711">
        <v>0</v>
      </c>
      <c r="P3711" t="str">
        <f>IF(T[[#This Row],[qty_ordered]]&lt;&gt;T[[#This Row],[qty_received]],IF(T[[#This Row],[qty_received]]&gt;0,"Partial Received","Not Receviced"),"FullyReceived")</f>
        <v>Not Receviced</v>
      </c>
      <c r="Q3711" t="str">
        <f>IF(T[[#This Row],[qty_received]]&lt;&gt;T[[#This Row],[qty_invoiced]],IF(T[[#This Row],[qty_invoiced]]&gt;0,"Partial Invoiced","Not Invoiced"),"Fully Invoiced")</f>
        <v>Partial Invoiced</v>
      </c>
      <c r="R3711" t="str">
        <f>IFERROR(VLOOKUP(T[[#This Row],[warehouse]],Table2[],2,FALSE),"--")</f>
        <v>--</v>
      </c>
    </row>
    <row r="3712" spans="1:18" x14ac:dyDescent="0.25">
      <c r="A3712" t="s">
        <v>228</v>
      </c>
      <c r="B3712" s="1">
        <v>44537</v>
      </c>
      <c r="C3712" t="s">
        <v>1492</v>
      </c>
      <c r="D3712" t="s">
        <v>212</v>
      </c>
      <c r="E3712" t="s">
        <v>66</v>
      </c>
      <c r="F3712" t="s">
        <v>196</v>
      </c>
      <c r="G3712" t="s">
        <v>197</v>
      </c>
      <c r="H3712" t="s">
        <v>24</v>
      </c>
      <c r="I3712">
        <v>2666.6660000000002</v>
      </c>
      <c r="J3712">
        <v>0</v>
      </c>
      <c r="K3712">
        <v>0</v>
      </c>
      <c r="L3712" t="s">
        <v>25</v>
      </c>
      <c r="M3712" t="s">
        <v>1485</v>
      </c>
      <c r="N3712">
        <v>150000.03750000001</v>
      </c>
      <c r="O3712">
        <v>0</v>
      </c>
      <c r="P3712" t="str">
        <f>IF(T[[#This Row],[qty_ordered]]&lt;&gt;T[[#This Row],[qty_received]],IF(T[[#This Row],[qty_received]]&gt;0,"Partial Received","Not Receviced"),"FullyReceived")</f>
        <v>Not Receviced</v>
      </c>
      <c r="Q3712" t="str">
        <f>IF(T[[#This Row],[qty_received]]&lt;&gt;T[[#This Row],[qty_invoiced]],IF(T[[#This Row],[qty_invoiced]]&gt;0,"Partial Invoiced","Not Invoiced"),"Fully Invoiced")</f>
        <v>Fully Invoiced</v>
      </c>
      <c r="R3712" t="str">
        <f>IFERROR(VLOOKUP(T[[#This Row],[warehouse]],Table2[],2,FALSE),"--")</f>
        <v>PZU Main Warehouse</v>
      </c>
    </row>
    <row r="3713" spans="1:18" x14ac:dyDescent="0.25">
      <c r="A3713" t="s">
        <v>242</v>
      </c>
      <c r="B3713" s="1">
        <v>44591</v>
      </c>
      <c r="C3713" t="s">
        <v>1974</v>
      </c>
      <c r="D3713" t="s">
        <v>88</v>
      </c>
      <c r="E3713" t="s">
        <v>405</v>
      </c>
      <c r="F3713" t="s">
        <v>244</v>
      </c>
      <c r="G3713" t="s">
        <v>245</v>
      </c>
      <c r="H3713" t="s">
        <v>24</v>
      </c>
      <c r="I3713">
        <v>470.58800000000002</v>
      </c>
      <c r="J3713">
        <v>0</v>
      </c>
      <c r="K3713">
        <v>0</v>
      </c>
      <c r="L3713" t="s">
        <v>25</v>
      </c>
      <c r="M3713" t="s">
        <v>1485</v>
      </c>
      <c r="N3713">
        <v>850000.42500000005</v>
      </c>
      <c r="O3713">
        <v>0</v>
      </c>
      <c r="P3713" t="str">
        <f>IF(T[[#This Row],[qty_ordered]]&lt;&gt;T[[#This Row],[qty_received]],IF(T[[#This Row],[qty_received]]&gt;0,"Partial Received","Not Receviced"),"FullyReceived")</f>
        <v>Not Receviced</v>
      </c>
      <c r="Q3713" t="str">
        <f>IF(T[[#This Row],[qty_received]]&lt;&gt;T[[#This Row],[qty_invoiced]],IF(T[[#This Row],[qty_invoiced]]&gt;0,"Partial Invoiced","Not Invoiced"),"Fully Invoiced")</f>
        <v>Fully Invoiced</v>
      </c>
      <c r="R3713" t="str">
        <f>IFERROR(VLOOKUP(T[[#This Row],[warehouse]],Table2[],2,FALSE),"--")</f>
        <v>GINNING ISHRAG-MDNI</v>
      </c>
    </row>
    <row r="3714" spans="1:18" x14ac:dyDescent="0.25">
      <c r="A3714" t="s">
        <v>1591</v>
      </c>
      <c r="B3714" s="1">
        <v>44594</v>
      </c>
      <c r="C3714" t="s">
        <v>1592</v>
      </c>
      <c r="D3714" t="s">
        <v>212</v>
      </c>
      <c r="E3714" t="s">
        <v>51</v>
      </c>
      <c r="F3714" t="s">
        <v>52</v>
      </c>
      <c r="G3714" t="s">
        <v>53</v>
      </c>
      <c r="H3714" t="s">
        <v>54</v>
      </c>
      <c r="I3714">
        <v>162.80000000000001</v>
      </c>
      <c r="J3714">
        <v>0</v>
      </c>
      <c r="K3714">
        <v>1</v>
      </c>
      <c r="L3714" t="s">
        <v>693</v>
      </c>
      <c r="M3714" t="s">
        <v>132</v>
      </c>
      <c r="N3714">
        <v>39915</v>
      </c>
      <c r="O3714">
        <v>0</v>
      </c>
      <c r="P3714" t="str">
        <f>IF(T[[#This Row],[qty_ordered]]&lt;&gt;T[[#This Row],[qty_received]],IF(T[[#This Row],[qty_received]]&gt;0,"Partial Received","Not Receviced"),"FullyReceived")</f>
        <v>Not Receviced</v>
      </c>
      <c r="Q3714" t="str">
        <f>IF(T[[#This Row],[qty_received]]&lt;&gt;T[[#This Row],[qty_invoiced]],IF(T[[#This Row],[qty_invoiced]]&gt;0,"Partial Invoiced","Not Invoiced"),"Fully Invoiced")</f>
        <v>Partial Invoiced</v>
      </c>
      <c r="R3714" t="str">
        <f>IFERROR(VLOOKUP(T[[#This Row],[warehouse]],Table2[],2,FALSE),"--")</f>
        <v>--</v>
      </c>
    </row>
    <row r="3715" spans="1:18" x14ac:dyDescent="0.25">
      <c r="A3715" t="s">
        <v>224</v>
      </c>
      <c r="B3715" s="1">
        <v>44598</v>
      </c>
      <c r="C3715" t="s">
        <v>1773</v>
      </c>
      <c r="D3715" t="s">
        <v>100</v>
      </c>
      <c r="E3715" t="s">
        <v>51</v>
      </c>
      <c r="F3715" t="s">
        <v>183</v>
      </c>
      <c r="G3715" t="s">
        <v>1968</v>
      </c>
      <c r="H3715" t="s">
        <v>54</v>
      </c>
      <c r="I3715">
        <v>250</v>
      </c>
      <c r="J3715">
        <v>0</v>
      </c>
      <c r="K3715">
        <v>1</v>
      </c>
      <c r="L3715" t="s">
        <v>693</v>
      </c>
      <c r="M3715" t="s">
        <v>533</v>
      </c>
      <c r="N3715">
        <v>7000</v>
      </c>
      <c r="O3715">
        <v>0</v>
      </c>
      <c r="P3715" t="str">
        <f>IF(T[[#This Row],[qty_ordered]]&lt;&gt;T[[#This Row],[qty_received]],IF(T[[#This Row],[qty_received]]&gt;0,"Partial Received","Not Receviced"),"FullyReceived")</f>
        <v>Not Receviced</v>
      </c>
      <c r="Q3715" t="str">
        <f>IF(T[[#This Row],[qty_received]]&lt;&gt;T[[#This Row],[qty_invoiced]],IF(T[[#This Row],[qty_invoiced]]&gt;0,"Partial Invoiced","Not Invoiced"),"Fully Invoiced")</f>
        <v>Partial Invoiced</v>
      </c>
      <c r="R3715" t="str">
        <f>IFERROR(VLOOKUP(T[[#This Row],[warehouse]],Table2[],2,FALSE),"--")</f>
        <v>--</v>
      </c>
    </row>
    <row r="3716" spans="1:18" x14ac:dyDescent="0.25">
      <c r="A3716" t="s">
        <v>1114</v>
      </c>
      <c r="B3716" s="1">
        <v>44634</v>
      </c>
      <c r="C3716" t="s">
        <v>2168</v>
      </c>
      <c r="D3716" t="s">
        <v>20</v>
      </c>
      <c r="E3716" t="s">
        <v>660</v>
      </c>
      <c r="F3716" t="s">
        <v>1188</v>
      </c>
      <c r="G3716" t="s">
        <v>1189</v>
      </c>
      <c r="H3716" t="s">
        <v>1087</v>
      </c>
      <c r="I3716">
        <v>338</v>
      </c>
      <c r="J3716">
        <v>0</v>
      </c>
      <c r="K3716">
        <v>0</v>
      </c>
      <c r="L3716" t="s">
        <v>25</v>
      </c>
      <c r="M3716" t="s">
        <v>1485</v>
      </c>
      <c r="N3716">
        <v>310650.88757299999</v>
      </c>
      <c r="O3716">
        <v>0</v>
      </c>
      <c r="P3716" t="str">
        <f>IF(T[[#This Row],[qty_ordered]]&lt;&gt;T[[#This Row],[qty_received]],IF(T[[#This Row],[qty_received]]&gt;0,"Partial Received","Not Receviced"),"FullyReceived")</f>
        <v>Not Receviced</v>
      </c>
      <c r="Q3716" t="str">
        <f>IF(T[[#This Row],[qty_received]]&lt;&gt;T[[#This Row],[qty_invoiced]],IF(T[[#This Row],[qty_invoiced]]&gt;0,"Partial Invoiced","Not Invoiced"),"Fully Invoiced")</f>
        <v>Fully Invoiced</v>
      </c>
      <c r="R3716" t="str">
        <f>IFERROR(VLOOKUP(T[[#This Row],[warehouse]],Table2[],2,FALSE),"--")</f>
        <v>SLAUGHTER HOUSE</v>
      </c>
    </row>
    <row r="3717" spans="1:18" x14ac:dyDescent="0.25">
      <c r="A3717" t="s">
        <v>1059</v>
      </c>
      <c r="B3717" s="1">
        <v>44594</v>
      </c>
      <c r="C3717" t="s">
        <v>1560</v>
      </c>
      <c r="D3717" t="s">
        <v>759</v>
      </c>
      <c r="E3717" t="s">
        <v>51</v>
      </c>
      <c r="F3717" t="s">
        <v>164</v>
      </c>
      <c r="G3717" t="s">
        <v>2169</v>
      </c>
      <c r="H3717" t="s">
        <v>54</v>
      </c>
      <c r="I3717">
        <v>4000</v>
      </c>
      <c r="J3717">
        <v>0</v>
      </c>
      <c r="K3717">
        <v>1</v>
      </c>
      <c r="L3717" t="s">
        <v>693</v>
      </c>
      <c r="M3717" t="s">
        <v>533</v>
      </c>
      <c r="N3717">
        <v>75</v>
      </c>
      <c r="O3717">
        <v>0</v>
      </c>
      <c r="P3717" t="str">
        <f>IF(T[[#This Row],[qty_ordered]]&lt;&gt;T[[#This Row],[qty_received]],IF(T[[#This Row],[qty_received]]&gt;0,"Partial Received","Not Receviced"),"FullyReceived")</f>
        <v>Not Receviced</v>
      </c>
      <c r="Q3717" t="str">
        <f>IF(T[[#This Row],[qty_received]]&lt;&gt;T[[#This Row],[qty_invoiced]],IF(T[[#This Row],[qty_invoiced]]&gt;0,"Partial Invoiced","Not Invoiced"),"Fully Invoiced")</f>
        <v>Partial Invoiced</v>
      </c>
      <c r="R3717" t="str">
        <f>IFERROR(VLOOKUP(T[[#This Row],[warehouse]],Table2[],2,FALSE),"--")</f>
        <v>--</v>
      </c>
    </row>
    <row r="3718" spans="1:18" x14ac:dyDescent="0.25">
      <c r="A3718" t="s">
        <v>1059</v>
      </c>
      <c r="B3718" s="1">
        <v>44594</v>
      </c>
      <c r="C3718" t="s">
        <v>1560</v>
      </c>
      <c r="D3718" t="s">
        <v>694</v>
      </c>
      <c r="E3718" t="s">
        <v>51</v>
      </c>
      <c r="F3718" t="s">
        <v>267</v>
      </c>
      <c r="G3718" t="s">
        <v>2170</v>
      </c>
      <c r="H3718" t="s">
        <v>54</v>
      </c>
      <c r="I3718">
        <v>4740</v>
      </c>
      <c r="J3718">
        <v>0</v>
      </c>
      <c r="K3718">
        <v>1</v>
      </c>
      <c r="L3718" t="s">
        <v>693</v>
      </c>
      <c r="M3718" t="s">
        <v>533</v>
      </c>
      <c r="N3718">
        <v>120</v>
      </c>
      <c r="O3718">
        <v>0</v>
      </c>
      <c r="P3718" t="str">
        <f>IF(T[[#This Row],[qty_ordered]]&lt;&gt;T[[#This Row],[qty_received]],IF(T[[#This Row],[qty_received]]&gt;0,"Partial Received","Not Receviced"),"FullyReceived")</f>
        <v>Not Receviced</v>
      </c>
      <c r="Q3718" t="str">
        <f>IF(T[[#This Row],[qty_received]]&lt;&gt;T[[#This Row],[qty_invoiced]],IF(T[[#This Row],[qty_invoiced]]&gt;0,"Partial Invoiced","Not Invoiced"),"Fully Invoiced")</f>
        <v>Partial Invoiced</v>
      </c>
      <c r="R3718" t="str">
        <f>IFERROR(VLOOKUP(T[[#This Row],[warehouse]],Table2[],2,FALSE),"--")</f>
        <v>--</v>
      </c>
    </row>
    <row r="3719" spans="1:18" x14ac:dyDescent="0.25">
      <c r="A3719" t="s">
        <v>1059</v>
      </c>
      <c r="B3719" s="1">
        <v>44594</v>
      </c>
      <c r="C3719" t="s">
        <v>1560</v>
      </c>
      <c r="D3719" t="s">
        <v>760</v>
      </c>
      <c r="E3719" t="s">
        <v>51</v>
      </c>
      <c r="F3719" t="s">
        <v>183</v>
      </c>
      <c r="G3719" t="s">
        <v>2171</v>
      </c>
      <c r="H3719" t="s">
        <v>54</v>
      </c>
      <c r="I3719">
        <v>392</v>
      </c>
      <c r="J3719">
        <v>0</v>
      </c>
      <c r="K3719">
        <v>1</v>
      </c>
      <c r="L3719" t="s">
        <v>693</v>
      </c>
      <c r="M3719" t="s">
        <v>533</v>
      </c>
      <c r="N3719">
        <v>2000</v>
      </c>
      <c r="O3719">
        <v>0</v>
      </c>
      <c r="P3719" t="str">
        <f>IF(T[[#This Row],[qty_ordered]]&lt;&gt;T[[#This Row],[qty_received]],IF(T[[#This Row],[qty_received]]&gt;0,"Partial Received","Not Receviced"),"FullyReceived")</f>
        <v>Not Receviced</v>
      </c>
      <c r="Q3719" t="str">
        <f>IF(T[[#This Row],[qty_received]]&lt;&gt;T[[#This Row],[qty_invoiced]],IF(T[[#This Row],[qty_invoiced]]&gt;0,"Partial Invoiced","Not Invoiced"),"Fully Invoiced")</f>
        <v>Partial Invoiced</v>
      </c>
      <c r="R3719" t="str">
        <f>IFERROR(VLOOKUP(T[[#This Row],[warehouse]],Table2[],2,FALSE),"--")</f>
        <v>--</v>
      </c>
    </row>
    <row r="3720" spans="1:18" x14ac:dyDescent="0.25">
      <c r="A3720" t="s">
        <v>84</v>
      </c>
      <c r="B3720" s="1">
        <v>44559</v>
      </c>
      <c r="C3720" t="s">
        <v>1515</v>
      </c>
      <c r="D3720" t="s">
        <v>76</v>
      </c>
      <c r="E3720" t="s">
        <v>908</v>
      </c>
      <c r="F3720" t="s">
        <v>108</v>
      </c>
      <c r="G3720" t="s">
        <v>109</v>
      </c>
      <c r="H3720" t="s">
        <v>24</v>
      </c>
      <c r="I3720">
        <v>773.22</v>
      </c>
      <c r="J3720">
        <v>0</v>
      </c>
      <c r="K3720">
        <v>0</v>
      </c>
      <c r="L3720" t="s">
        <v>25</v>
      </c>
      <c r="M3720" t="s">
        <v>1485</v>
      </c>
      <c r="N3720">
        <v>517317.19303600001</v>
      </c>
      <c r="O3720">
        <v>0</v>
      </c>
      <c r="P3720" t="str">
        <f>IF(T[[#This Row],[qty_ordered]]&lt;&gt;T[[#This Row],[qty_received]],IF(T[[#This Row],[qty_received]]&gt;0,"Partial Received","Not Receviced"),"FullyReceived")</f>
        <v>Not Receviced</v>
      </c>
      <c r="Q3720" t="str">
        <f>IF(T[[#This Row],[qty_received]]&lt;&gt;T[[#This Row],[qty_invoiced]],IF(T[[#This Row],[qty_invoiced]]&gt;0,"Partial Invoiced","Not Invoiced"),"Fully Invoiced")</f>
        <v>Fully Invoiced</v>
      </c>
      <c r="R3720" t="str">
        <f>IFERROR(VLOOKUP(T[[#This Row],[warehouse]],Table2[],2,FALSE),"--")</f>
        <v>SIFTER- ALNAZER-OMDU</v>
      </c>
    </row>
    <row r="3721" spans="1:18" x14ac:dyDescent="0.25">
      <c r="A3721" t="s">
        <v>1059</v>
      </c>
      <c r="B3721" s="1">
        <v>44594</v>
      </c>
      <c r="C3721" t="s">
        <v>1560</v>
      </c>
      <c r="D3721" t="s">
        <v>591</v>
      </c>
      <c r="E3721" t="s">
        <v>51</v>
      </c>
      <c r="F3721" t="s">
        <v>278</v>
      </c>
      <c r="G3721" t="s">
        <v>2172</v>
      </c>
      <c r="H3721" t="s">
        <v>54</v>
      </c>
      <c r="I3721">
        <v>269</v>
      </c>
      <c r="J3721">
        <v>0</v>
      </c>
      <c r="K3721">
        <v>1</v>
      </c>
      <c r="L3721" t="s">
        <v>693</v>
      </c>
      <c r="M3721" t="s">
        <v>533</v>
      </c>
      <c r="N3721">
        <v>750</v>
      </c>
      <c r="O3721">
        <v>0</v>
      </c>
      <c r="P3721" t="str">
        <f>IF(T[[#This Row],[qty_ordered]]&lt;&gt;T[[#This Row],[qty_received]],IF(T[[#This Row],[qty_received]]&gt;0,"Partial Received","Not Receviced"),"FullyReceived")</f>
        <v>Not Receviced</v>
      </c>
      <c r="Q3721" t="str">
        <f>IF(T[[#This Row],[qty_received]]&lt;&gt;T[[#This Row],[qty_invoiced]],IF(T[[#This Row],[qty_invoiced]]&gt;0,"Partial Invoiced","Not Invoiced"),"Fully Invoiced")</f>
        <v>Partial Invoiced</v>
      </c>
      <c r="R3721" t="str">
        <f>IFERROR(VLOOKUP(T[[#This Row],[warehouse]],Table2[],2,FALSE),"--")</f>
        <v>--</v>
      </c>
    </row>
    <row r="3722" spans="1:18" x14ac:dyDescent="0.25">
      <c r="A3722" t="s">
        <v>1059</v>
      </c>
      <c r="B3722" s="1">
        <v>44594</v>
      </c>
      <c r="C3722" t="s">
        <v>1560</v>
      </c>
      <c r="D3722" t="s">
        <v>592</v>
      </c>
      <c r="E3722" t="s">
        <v>51</v>
      </c>
      <c r="F3722" t="s">
        <v>753</v>
      </c>
      <c r="G3722" t="s">
        <v>2173</v>
      </c>
      <c r="H3722" t="s">
        <v>54</v>
      </c>
      <c r="I3722">
        <v>392</v>
      </c>
      <c r="J3722">
        <v>0</v>
      </c>
      <c r="K3722">
        <v>1</v>
      </c>
      <c r="L3722" t="s">
        <v>693</v>
      </c>
      <c r="M3722" t="s">
        <v>533</v>
      </c>
      <c r="N3722">
        <v>804.27040799999997</v>
      </c>
      <c r="O3722">
        <v>0</v>
      </c>
      <c r="P3722" t="str">
        <f>IF(T[[#This Row],[qty_ordered]]&lt;&gt;T[[#This Row],[qty_received]],IF(T[[#This Row],[qty_received]]&gt;0,"Partial Received","Not Receviced"),"FullyReceived")</f>
        <v>Not Receviced</v>
      </c>
      <c r="Q3722" t="str">
        <f>IF(T[[#This Row],[qty_received]]&lt;&gt;T[[#This Row],[qty_invoiced]],IF(T[[#This Row],[qty_invoiced]]&gt;0,"Partial Invoiced","Not Invoiced"),"Fully Invoiced")</f>
        <v>Partial Invoiced</v>
      </c>
      <c r="R3722" t="str">
        <f>IFERROR(VLOOKUP(T[[#This Row],[warehouse]],Table2[],2,FALSE),"--")</f>
        <v>--</v>
      </c>
    </row>
    <row r="3723" spans="1:18" x14ac:dyDescent="0.25">
      <c r="A3723" t="s">
        <v>1059</v>
      </c>
      <c r="B3723" s="1">
        <v>44594</v>
      </c>
      <c r="C3723" t="s">
        <v>1560</v>
      </c>
      <c r="D3723" t="s">
        <v>593</v>
      </c>
      <c r="E3723" t="s">
        <v>51</v>
      </c>
      <c r="F3723" t="s">
        <v>267</v>
      </c>
      <c r="G3723" t="s">
        <v>2170</v>
      </c>
      <c r="H3723" t="s">
        <v>54</v>
      </c>
      <c r="I3723">
        <v>133200</v>
      </c>
      <c r="J3723">
        <v>0</v>
      </c>
      <c r="K3723">
        <v>1</v>
      </c>
      <c r="L3723" t="s">
        <v>693</v>
      </c>
      <c r="M3723" t="s">
        <v>533</v>
      </c>
      <c r="N3723">
        <v>2.5</v>
      </c>
      <c r="O3723">
        <v>0</v>
      </c>
      <c r="P3723" t="str">
        <f>IF(T[[#This Row],[qty_ordered]]&lt;&gt;T[[#This Row],[qty_received]],IF(T[[#This Row],[qty_received]]&gt;0,"Partial Received","Not Receviced"),"FullyReceived")</f>
        <v>Not Receviced</v>
      </c>
      <c r="Q3723" t="str">
        <f>IF(T[[#This Row],[qty_received]]&lt;&gt;T[[#This Row],[qty_invoiced]],IF(T[[#This Row],[qty_invoiced]]&gt;0,"Partial Invoiced","Not Invoiced"),"Fully Invoiced")</f>
        <v>Partial Invoiced</v>
      </c>
      <c r="R3723" t="str">
        <f>IFERROR(VLOOKUP(T[[#This Row],[warehouse]],Table2[],2,FALSE),"--")</f>
        <v>--</v>
      </c>
    </row>
    <row r="3724" spans="1:18" x14ac:dyDescent="0.25">
      <c r="A3724" t="s">
        <v>1059</v>
      </c>
      <c r="B3724" s="1">
        <v>44594</v>
      </c>
      <c r="C3724" t="s">
        <v>1560</v>
      </c>
      <c r="D3724" t="s">
        <v>594</v>
      </c>
      <c r="E3724" t="s">
        <v>51</v>
      </c>
      <c r="F3724" t="s">
        <v>254</v>
      </c>
      <c r="G3724" t="s">
        <v>2174</v>
      </c>
      <c r="H3724" t="s">
        <v>54</v>
      </c>
      <c r="I3724">
        <v>46300</v>
      </c>
      <c r="J3724">
        <v>0</v>
      </c>
      <c r="K3724">
        <v>1</v>
      </c>
      <c r="L3724" t="s">
        <v>693</v>
      </c>
      <c r="M3724" t="s">
        <v>533</v>
      </c>
      <c r="N3724">
        <v>50</v>
      </c>
      <c r="O3724">
        <v>0</v>
      </c>
      <c r="P3724" t="str">
        <f>IF(T[[#This Row],[qty_ordered]]&lt;&gt;T[[#This Row],[qty_received]],IF(T[[#This Row],[qty_received]]&gt;0,"Partial Received","Not Receviced"),"FullyReceived")</f>
        <v>Not Receviced</v>
      </c>
      <c r="Q3724" t="str">
        <f>IF(T[[#This Row],[qty_received]]&lt;&gt;T[[#This Row],[qty_invoiced]],IF(T[[#This Row],[qty_invoiced]]&gt;0,"Partial Invoiced","Not Invoiced"),"Fully Invoiced")</f>
        <v>Partial Invoiced</v>
      </c>
      <c r="R3724" t="str">
        <f>IFERROR(VLOOKUP(T[[#This Row],[warehouse]],Table2[],2,FALSE),"--")</f>
        <v>--</v>
      </c>
    </row>
    <row r="3725" spans="1:18" x14ac:dyDescent="0.25">
      <c r="A3725" t="s">
        <v>2175</v>
      </c>
      <c r="B3725" s="1">
        <v>44622</v>
      </c>
      <c r="C3725" t="s">
        <v>2176</v>
      </c>
      <c r="D3725" t="s">
        <v>20</v>
      </c>
      <c r="E3725" t="s">
        <v>621</v>
      </c>
      <c r="F3725" t="s">
        <v>196</v>
      </c>
      <c r="G3725" t="s">
        <v>197</v>
      </c>
      <c r="H3725" t="s">
        <v>24</v>
      </c>
      <c r="I3725">
        <v>3000</v>
      </c>
      <c r="J3725">
        <v>3000</v>
      </c>
      <c r="K3725">
        <v>3000</v>
      </c>
      <c r="L3725" t="s">
        <v>25</v>
      </c>
      <c r="M3725" t="s">
        <v>1485</v>
      </c>
      <c r="N3725">
        <v>151236</v>
      </c>
      <c r="O3725">
        <v>453708000</v>
      </c>
      <c r="P3725" t="str">
        <f>IF(T[[#This Row],[qty_ordered]]&lt;&gt;T[[#This Row],[qty_received]],IF(T[[#This Row],[qty_received]]&gt;0,"Partial Received","Not Receviced"),"FullyReceived")</f>
        <v>FullyReceived</v>
      </c>
      <c r="Q3725" t="str">
        <f>IF(T[[#This Row],[qty_received]]&lt;&gt;T[[#This Row],[qty_invoiced]],IF(T[[#This Row],[qty_invoiced]]&gt;0,"Partial Invoiced","Not Invoiced"),"Fully Invoiced")</f>
        <v>Fully Invoiced</v>
      </c>
      <c r="R3725" t="str">
        <f>IFERROR(VLOOKUP(T[[#This Row],[warehouse]],Table2[],2,FALSE),"--")</f>
        <v>SIFTER CONCRETE SILO</v>
      </c>
    </row>
    <row r="3726" spans="1:18" x14ac:dyDescent="0.25">
      <c r="A3726" t="s">
        <v>1553</v>
      </c>
      <c r="B3726" s="1">
        <v>44620</v>
      </c>
      <c r="C3726" t="s">
        <v>1554</v>
      </c>
      <c r="D3726" t="s">
        <v>20</v>
      </c>
      <c r="E3726" t="s">
        <v>51</v>
      </c>
      <c r="F3726" t="s">
        <v>1555</v>
      </c>
      <c r="G3726" t="s">
        <v>2177</v>
      </c>
      <c r="H3726" t="s">
        <v>54</v>
      </c>
      <c r="I3726">
        <v>250</v>
      </c>
      <c r="J3726">
        <v>0</v>
      </c>
      <c r="K3726">
        <v>1</v>
      </c>
      <c r="L3726" t="s">
        <v>693</v>
      </c>
      <c r="M3726" t="s">
        <v>533</v>
      </c>
      <c r="N3726">
        <v>13000</v>
      </c>
      <c r="O3726">
        <v>0</v>
      </c>
      <c r="P3726" t="str">
        <f>IF(T[[#This Row],[qty_ordered]]&lt;&gt;T[[#This Row],[qty_received]],IF(T[[#This Row],[qty_received]]&gt;0,"Partial Received","Not Receviced"),"FullyReceived")</f>
        <v>Not Receviced</v>
      </c>
      <c r="Q3726" t="str">
        <f>IF(T[[#This Row],[qty_received]]&lt;&gt;T[[#This Row],[qty_invoiced]],IF(T[[#This Row],[qty_invoiced]]&gt;0,"Partial Invoiced","Not Invoiced"),"Fully Invoiced")</f>
        <v>Partial Invoiced</v>
      </c>
      <c r="R3726" t="str">
        <f>IFERROR(VLOOKUP(T[[#This Row],[warehouse]],Table2[],2,FALSE),"--")</f>
        <v>--</v>
      </c>
    </row>
    <row r="3727" spans="1:18" x14ac:dyDescent="0.25">
      <c r="A3727" t="s">
        <v>1553</v>
      </c>
      <c r="B3727" s="1">
        <v>44620</v>
      </c>
      <c r="C3727" t="s">
        <v>1554</v>
      </c>
      <c r="D3727" t="s">
        <v>71</v>
      </c>
      <c r="E3727" t="s">
        <v>51</v>
      </c>
      <c r="F3727" t="s">
        <v>278</v>
      </c>
      <c r="G3727" t="s">
        <v>2156</v>
      </c>
      <c r="H3727" t="s">
        <v>54</v>
      </c>
      <c r="I3727">
        <v>27575</v>
      </c>
      <c r="J3727">
        <v>0</v>
      </c>
      <c r="K3727">
        <v>1</v>
      </c>
      <c r="L3727" t="s">
        <v>693</v>
      </c>
      <c r="M3727" t="s">
        <v>533</v>
      </c>
      <c r="N3727">
        <v>60</v>
      </c>
      <c r="O3727">
        <v>0</v>
      </c>
      <c r="P3727" t="str">
        <f>IF(T[[#This Row],[qty_ordered]]&lt;&gt;T[[#This Row],[qty_received]],IF(T[[#This Row],[qty_received]]&gt;0,"Partial Received","Not Receviced"),"FullyReceived")</f>
        <v>Not Receviced</v>
      </c>
      <c r="Q3727" t="str">
        <f>IF(T[[#This Row],[qty_received]]&lt;&gt;T[[#This Row],[qty_invoiced]],IF(T[[#This Row],[qty_invoiced]]&gt;0,"Partial Invoiced","Not Invoiced"),"Fully Invoiced")</f>
        <v>Partial Invoiced</v>
      </c>
      <c r="R3727" t="str">
        <f>IFERROR(VLOOKUP(T[[#This Row],[warehouse]],Table2[],2,FALSE),"--")</f>
        <v>--</v>
      </c>
    </row>
    <row r="3728" spans="1:18" x14ac:dyDescent="0.25">
      <c r="A3728" t="s">
        <v>1553</v>
      </c>
      <c r="B3728" s="1">
        <v>44620</v>
      </c>
      <c r="C3728" t="s">
        <v>1554</v>
      </c>
      <c r="D3728" t="s">
        <v>100</v>
      </c>
      <c r="E3728" t="s">
        <v>51</v>
      </c>
      <c r="F3728" t="s">
        <v>2166</v>
      </c>
      <c r="G3728" t="s">
        <v>2178</v>
      </c>
      <c r="H3728" t="s">
        <v>54</v>
      </c>
      <c r="I3728">
        <v>1000</v>
      </c>
      <c r="J3728">
        <v>0</v>
      </c>
      <c r="K3728">
        <v>1</v>
      </c>
      <c r="L3728" t="s">
        <v>693</v>
      </c>
      <c r="M3728" t="s">
        <v>533</v>
      </c>
      <c r="N3728">
        <v>2520</v>
      </c>
      <c r="O3728">
        <v>0</v>
      </c>
      <c r="P3728" t="str">
        <f>IF(T[[#This Row],[qty_ordered]]&lt;&gt;T[[#This Row],[qty_received]],IF(T[[#This Row],[qty_received]]&gt;0,"Partial Received","Not Receviced"),"FullyReceived")</f>
        <v>Not Receviced</v>
      </c>
      <c r="Q3728" t="str">
        <f>IF(T[[#This Row],[qty_received]]&lt;&gt;T[[#This Row],[qty_invoiced]],IF(T[[#This Row],[qty_invoiced]]&gt;0,"Partial Invoiced","Not Invoiced"),"Fully Invoiced")</f>
        <v>Partial Invoiced</v>
      </c>
      <c r="R3728" t="str">
        <f>IFERROR(VLOOKUP(T[[#This Row],[warehouse]],Table2[],2,FALSE),"--")</f>
        <v>--</v>
      </c>
    </row>
    <row r="3729" spans="1:18" x14ac:dyDescent="0.25">
      <c r="A3729" t="s">
        <v>973</v>
      </c>
      <c r="B3729" s="1">
        <v>44623</v>
      </c>
      <c r="C3729" t="s">
        <v>2179</v>
      </c>
      <c r="D3729" t="s">
        <v>20</v>
      </c>
      <c r="E3729" t="s">
        <v>281</v>
      </c>
      <c r="F3729" t="s">
        <v>167</v>
      </c>
      <c r="G3729" t="s">
        <v>156</v>
      </c>
      <c r="H3729" t="s">
        <v>24</v>
      </c>
      <c r="I3729">
        <v>220</v>
      </c>
      <c r="J3729">
        <v>220</v>
      </c>
      <c r="K3729">
        <v>220</v>
      </c>
      <c r="L3729" t="s">
        <v>25</v>
      </c>
      <c r="M3729" t="s">
        <v>1485</v>
      </c>
      <c r="N3729">
        <v>900000</v>
      </c>
      <c r="O3729">
        <v>198000000</v>
      </c>
      <c r="P3729" t="str">
        <f>IF(T[[#This Row],[qty_ordered]]&lt;&gt;T[[#This Row],[qty_received]],IF(T[[#This Row],[qty_received]]&gt;0,"Partial Received","Not Receviced"),"FullyReceived")</f>
        <v>FullyReceived</v>
      </c>
      <c r="Q3729" t="str">
        <f>IF(T[[#This Row],[qty_received]]&lt;&gt;T[[#This Row],[qty_invoiced]],IF(T[[#This Row],[qty_invoiced]]&gt;0,"Partial Invoiced","Not Invoiced"),"Fully Invoiced")</f>
        <v>Fully Invoiced</v>
      </c>
      <c r="R3729" t="str">
        <f>IFERROR(VLOOKUP(T[[#This Row],[warehouse]],Table2[],2,FALSE),"--")</f>
        <v>Crusher Alm Eldin-KH</v>
      </c>
    </row>
    <row r="3730" spans="1:18" x14ac:dyDescent="0.25">
      <c r="A3730" t="s">
        <v>242</v>
      </c>
      <c r="B3730" s="1">
        <v>44581</v>
      </c>
      <c r="C3730" t="s">
        <v>1552</v>
      </c>
      <c r="D3730" t="s">
        <v>212</v>
      </c>
      <c r="E3730" t="s">
        <v>405</v>
      </c>
      <c r="F3730" t="s">
        <v>244</v>
      </c>
      <c r="G3730" t="s">
        <v>245</v>
      </c>
      <c r="H3730" t="s">
        <v>24</v>
      </c>
      <c r="I3730">
        <v>200</v>
      </c>
      <c r="J3730">
        <v>175.48</v>
      </c>
      <c r="K3730">
        <v>175.48</v>
      </c>
      <c r="L3730" t="s">
        <v>25</v>
      </c>
      <c r="M3730" t="s">
        <v>1485</v>
      </c>
      <c r="N3730">
        <v>850000</v>
      </c>
      <c r="O3730">
        <v>149158000</v>
      </c>
      <c r="P3730" t="str">
        <f>IF(T[[#This Row],[qty_ordered]]&lt;&gt;T[[#This Row],[qty_received]],IF(T[[#This Row],[qty_received]]&gt;0,"Partial Received","Not Receviced"),"FullyReceived")</f>
        <v>Partial Received</v>
      </c>
      <c r="Q3730" t="str">
        <f>IF(T[[#This Row],[qty_received]]&lt;&gt;T[[#This Row],[qty_invoiced]],IF(T[[#This Row],[qty_invoiced]]&gt;0,"Partial Invoiced","Not Invoiced"),"Fully Invoiced")</f>
        <v>Fully Invoiced</v>
      </c>
      <c r="R3730" t="str">
        <f>IFERROR(VLOOKUP(T[[#This Row],[warehouse]],Table2[],2,FALSE),"--")</f>
        <v>GINNING ISHRAG-MDNI</v>
      </c>
    </row>
    <row r="3731" spans="1:18" x14ac:dyDescent="0.25">
      <c r="A3731" t="s">
        <v>1630</v>
      </c>
      <c r="B3731" s="1">
        <v>44623</v>
      </c>
      <c r="C3731" t="s">
        <v>2180</v>
      </c>
      <c r="D3731" t="s">
        <v>20</v>
      </c>
      <c r="E3731" t="s">
        <v>51</v>
      </c>
      <c r="F3731" t="s">
        <v>183</v>
      </c>
      <c r="G3731" t="s">
        <v>1813</v>
      </c>
      <c r="H3731" t="s">
        <v>54</v>
      </c>
      <c r="I3731">
        <v>366.35</v>
      </c>
      <c r="J3731">
        <v>0</v>
      </c>
      <c r="K3731">
        <v>1</v>
      </c>
      <c r="L3731" t="s">
        <v>693</v>
      </c>
      <c r="M3731" t="s">
        <v>533</v>
      </c>
      <c r="N3731">
        <v>7000</v>
      </c>
      <c r="O3731">
        <v>0</v>
      </c>
      <c r="P3731" t="str">
        <f>IF(T[[#This Row],[qty_ordered]]&lt;&gt;T[[#This Row],[qty_received]],IF(T[[#This Row],[qty_received]]&gt;0,"Partial Received","Not Receviced"),"FullyReceived")</f>
        <v>Not Receviced</v>
      </c>
      <c r="Q3731" t="str">
        <f>IF(T[[#This Row],[qty_received]]&lt;&gt;T[[#This Row],[qty_invoiced]],IF(T[[#This Row],[qty_invoiced]]&gt;0,"Partial Invoiced","Not Invoiced"),"Fully Invoiced")</f>
        <v>Partial Invoiced</v>
      </c>
      <c r="R3731" t="str">
        <f>IFERROR(VLOOKUP(T[[#This Row],[warehouse]],Table2[],2,FALSE),"--")</f>
        <v>--</v>
      </c>
    </row>
    <row r="3732" spans="1:18" x14ac:dyDescent="0.25">
      <c r="A3732" t="s">
        <v>400</v>
      </c>
      <c r="B3732" s="1">
        <v>44594</v>
      </c>
      <c r="C3732" t="s">
        <v>1700</v>
      </c>
      <c r="D3732" t="s">
        <v>74</v>
      </c>
      <c r="E3732" t="s">
        <v>51</v>
      </c>
      <c r="F3732" t="s">
        <v>278</v>
      </c>
      <c r="G3732" t="s">
        <v>1629</v>
      </c>
      <c r="H3732" t="s">
        <v>54</v>
      </c>
      <c r="I3732">
        <v>1</v>
      </c>
      <c r="J3732">
        <v>0</v>
      </c>
      <c r="K3732">
        <v>1</v>
      </c>
      <c r="L3732" t="s">
        <v>693</v>
      </c>
      <c r="M3732" t="s">
        <v>533</v>
      </c>
      <c r="N3732">
        <v>358810</v>
      </c>
      <c r="O3732">
        <v>0</v>
      </c>
      <c r="P3732" t="str">
        <f>IF(T[[#This Row],[qty_ordered]]&lt;&gt;T[[#This Row],[qty_received]],IF(T[[#This Row],[qty_received]]&gt;0,"Partial Received","Not Receviced"),"FullyReceived")</f>
        <v>Not Receviced</v>
      </c>
      <c r="Q3732" t="str">
        <f>IF(T[[#This Row],[qty_received]]&lt;&gt;T[[#This Row],[qty_invoiced]],IF(T[[#This Row],[qty_invoiced]]&gt;0,"Partial Invoiced","Not Invoiced"),"Fully Invoiced")</f>
        <v>Partial Invoiced</v>
      </c>
      <c r="R3732" t="str">
        <f>IFERROR(VLOOKUP(T[[#This Row],[warehouse]],Table2[],2,FALSE),"--")</f>
        <v>--</v>
      </c>
    </row>
    <row r="3733" spans="1:18" x14ac:dyDescent="0.25">
      <c r="A3733" t="s">
        <v>959</v>
      </c>
      <c r="B3733" s="1">
        <v>44641</v>
      </c>
      <c r="C3733" t="s">
        <v>2181</v>
      </c>
      <c r="D3733" t="s">
        <v>71</v>
      </c>
      <c r="E3733" t="s">
        <v>214</v>
      </c>
      <c r="F3733" t="s">
        <v>167</v>
      </c>
      <c r="G3733" t="s">
        <v>156</v>
      </c>
      <c r="H3733" t="s">
        <v>24</v>
      </c>
      <c r="I3733">
        <v>300</v>
      </c>
      <c r="J3733">
        <v>300</v>
      </c>
      <c r="K3733">
        <v>300</v>
      </c>
      <c r="L3733" t="s">
        <v>25</v>
      </c>
      <c r="M3733" t="s">
        <v>707</v>
      </c>
      <c r="N3733">
        <v>1190000</v>
      </c>
      <c r="O3733">
        <v>357000000</v>
      </c>
      <c r="P3733" t="str">
        <f>IF(T[[#This Row],[qty_ordered]]&lt;&gt;T[[#This Row],[qty_received]],IF(T[[#This Row],[qty_received]]&gt;0,"Partial Received","Not Receviced"),"FullyReceived")</f>
        <v>FullyReceived</v>
      </c>
      <c r="Q3733" t="str">
        <f>IF(T[[#This Row],[qty_received]]&lt;&gt;T[[#This Row],[qty_invoiced]],IF(T[[#This Row],[qty_invoiced]]&gt;0,"Partial Invoiced","Not Invoiced"),"Fully Invoiced")</f>
        <v>Fully Invoiced</v>
      </c>
      <c r="R3733" t="str">
        <f>IFERROR(VLOOKUP(T[[#This Row],[warehouse]],Table2[],2,FALSE),"--")</f>
        <v>CRUSHER ELBALOLA</v>
      </c>
    </row>
    <row r="3734" spans="1:18" x14ac:dyDescent="0.25">
      <c r="A3734" t="s">
        <v>973</v>
      </c>
      <c r="B3734" s="1">
        <v>44623</v>
      </c>
      <c r="C3734" t="s">
        <v>2182</v>
      </c>
      <c r="D3734" t="s">
        <v>20</v>
      </c>
      <c r="E3734" t="s">
        <v>281</v>
      </c>
      <c r="F3734" t="s">
        <v>526</v>
      </c>
      <c r="G3734" t="s">
        <v>472</v>
      </c>
      <c r="H3734" t="s">
        <v>123</v>
      </c>
      <c r="I3734">
        <v>6000</v>
      </c>
      <c r="J3734">
        <v>6000</v>
      </c>
      <c r="K3734">
        <v>6000</v>
      </c>
      <c r="L3734" t="s">
        <v>693</v>
      </c>
      <c r="M3734" t="s">
        <v>707</v>
      </c>
      <c r="N3734">
        <v>21750</v>
      </c>
      <c r="O3734">
        <v>130500000</v>
      </c>
      <c r="P3734" t="str">
        <f>IF(T[[#This Row],[qty_ordered]]&lt;&gt;T[[#This Row],[qty_received]],IF(T[[#This Row],[qty_received]]&gt;0,"Partial Received","Not Receviced"),"FullyReceived")</f>
        <v>FullyReceived</v>
      </c>
      <c r="Q3734" t="str">
        <f>IF(T[[#This Row],[qty_received]]&lt;&gt;T[[#This Row],[qty_invoiced]],IF(T[[#This Row],[qty_invoiced]]&gt;0,"Partial Invoiced","Not Invoiced"),"Fully Invoiced")</f>
        <v>Fully Invoiced</v>
      </c>
      <c r="R3734" t="str">
        <f>IFERROR(VLOOKUP(T[[#This Row],[warehouse]],Table2[],2,FALSE),"--")</f>
        <v>Crusher Alm Eldin-KH</v>
      </c>
    </row>
    <row r="3735" spans="1:18" x14ac:dyDescent="0.25">
      <c r="A3735" t="s">
        <v>959</v>
      </c>
      <c r="B3735" s="1">
        <v>44606</v>
      </c>
      <c r="C3735" t="s">
        <v>2102</v>
      </c>
      <c r="D3735" t="s">
        <v>100</v>
      </c>
      <c r="E3735" t="s">
        <v>214</v>
      </c>
      <c r="F3735" t="s">
        <v>167</v>
      </c>
      <c r="G3735" t="s">
        <v>156</v>
      </c>
      <c r="H3735" t="s">
        <v>24</v>
      </c>
      <c r="I3735">
        <v>210</v>
      </c>
      <c r="J3735">
        <v>210</v>
      </c>
      <c r="K3735">
        <v>210</v>
      </c>
      <c r="L3735" t="s">
        <v>25</v>
      </c>
      <c r="M3735" t="s">
        <v>707</v>
      </c>
      <c r="N3735">
        <v>950000</v>
      </c>
      <c r="O3735">
        <v>199500000</v>
      </c>
      <c r="P3735" t="str">
        <f>IF(T[[#This Row],[qty_ordered]]&lt;&gt;T[[#This Row],[qty_received]],IF(T[[#This Row],[qty_received]]&gt;0,"Partial Received","Not Receviced"),"FullyReceived")</f>
        <v>FullyReceived</v>
      </c>
      <c r="Q3735" t="str">
        <f>IF(T[[#This Row],[qty_received]]&lt;&gt;T[[#This Row],[qty_invoiced]],IF(T[[#This Row],[qty_invoiced]]&gt;0,"Partial Invoiced","Not Invoiced"),"Fully Invoiced")</f>
        <v>Fully Invoiced</v>
      </c>
      <c r="R3735" t="str">
        <f>IFERROR(VLOOKUP(T[[#This Row],[warehouse]],Table2[],2,FALSE),"--")</f>
        <v>CRUSHER ELBALOLA</v>
      </c>
    </row>
    <row r="3736" spans="1:18" x14ac:dyDescent="0.25">
      <c r="A3736" t="s">
        <v>1146</v>
      </c>
      <c r="B3736" s="1">
        <v>44592</v>
      </c>
      <c r="C3736" t="s">
        <v>2067</v>
      </c>
      <c r="D3736" t="s">
        <v>100</v>
      </c>
      <c r="E3736" t="s">
        <v>2068</v>
      </c>
      <c r="F3736" t="s">
        <v>2069</v>
      </c>
      <c r="G3736" t="s">
        <v>2070</v>
      </c>
      <c r="H3736" t="s">
        <v>24</v>
      </c>
      <c r="I3736">
        <v>363.18</v>
      </c>
      <c r="J3736">
        <v>0</v>
      </c>
      <c r="K3736">
        <v>0</v>
      </c>
      <c r="L3736" t="s">
        <v>25</v>
      </c>
      <c r="M3736" t="s">
        <v>1485</v>
      </c>
      <c r="N3736">
        <v>220276.44693999999</v>
      </c>
      <c r="O3736">
        <v>0</v>
      </c>
      <c r="P3736" t="str">
        <f>IF(T[[#This Row],[qty_ordered]]&lt;&gt;T[[#This Row],[qty_received]],IF(T[[#This Row],[qty_received]]&gt;0,"Partial Received","Not Receviced"),"FullyReceived")</f>
        <v>Not Receviced</v>
      </c>
      <c r="Q3736" t="str">
        <f>IF(T[[#This Row],[qty_received]]&lt;&gt;T[[#This Row],[qty_invoiced]],IF(T[[#This Row],[qty_invoiced]]&gt;0,"Partial Invoiced","Not Invoiced"),"Fully Invoiced")</f>
        <v>Fully Invoiced</v>
      </c>
      <c r="R3736" t="str">
        <f>IFERROR(VLOOKUP(T[[#This Row],[warehouse]],Table2[],2,FALSE),"--")</f>
        <v xml:space="preserve">ADEEB SHELLER </v>
      </c>
    </row>
    <row r="3737" spans="1:18" x14ac:dyDescent="0.25">
      <c r="A3737" t="s">
        <v>959</v>
      </c>
      <c r="B3737" s="1">
        <v>44644</v>
      </c>
      <c r="C3737" t="s">
        <v>2183</v>
      </c>
      <c r="D3737" t="s">
        <v>20</v>
      </c>
      <c r="E3737" t="s">
        <v>214</v>
      </c>
      <c r="F3737" t="s">
        <v>167</v>
      </c>
      <c r="G3737" t="s">
        <v>156</v>
      </c>
      <c r="H3737" t="s">
        <v>24</v>
      </c>
      <c r="I3737">
        <v>500</v>
      </c>
      <c r="J3737">
        <v>500</v>
      </c>
      <c r="K3737">
        <v>500</v>
      </c>
      <c r="L3737" t="s">
        <v>25</v>
      </c>
      <c r="M3737" t="s">
        <v>707</v>
      </c>
      <c r="N3737">
        <v>1235000</v>
      </c>
      <c r="O3737">
        <v>617500000</v>
      </c>
      <c r="P3737" t="str">
        <f>IF(T[[#This Row],[qty_ordered]]&lt;&gt;T[[#This Row],[qty_received]],IF(T[[#This Row],[qty_received]]&gt;0,"Partial Received","Not Receviced"),"FullyReceived")</f>
        <v>FullyReceived</v>
      </c>
      <c r="Q3737" t="str">
        <f>IF(T[[#This Row],[qty_received]]&lt;&gt;T[[#This Row],[qty_invoiced]],IF(T[[#This Row],[qty_invoiced]]&gt;0,"Partial Invoiced","Not Invoiced"),"Fully Invoiced")</f>
        <v>Fully Invoiced</v>
      </c>
      <c r="R3737" t="str">
        <f>IFERROR(VLOOKUP(T[[#This Row],[warehouse]],Table2[],2,FALSE),"--")</f>
        <v>CRUSHER ELBALOLA</v>
      </c>
    </row>
    <row r="3738" spans="1:18" x14ac:dyDescent="0.25">
      <c r="A3738" t="s">
        <v>1475</v>
      </c>
      <c r="B3738" s="1">
        <v>44535</v>
      </c>
      <c r="C3738" t="s">
        <v>1526</v>
      </c>
      <c r="D3738" t="s">
        <v>591</v>
      </c>
      <c r="E3738" t="s">
        <v>51</v>
      </c>
      <c r="F3738" t="s">
        <v>674</v>
      </c>
      <c r="G3738" t="s">
        <v>2184</v>
      </c>
      <c r="H3738" t="s">
        <v>54</v>
      </c>
      <c r="I3738">
        <v>18929.32</v>
      </c>
      <c r="J3738">
        <v>0</v>
      </c>
      <c r="K3738">
        <v>1</v>
      </c>
      <c r="L3738" t="s">
        <v>693</v>
      </c>
      <c r="M3738" t="s">
        <v>533</v>
      </c>
      <c r="N3738">
        <v>7500</v>
      </c>
      <c r="O3738">
        <v>0</v>
      </c>
      <c r="P3738" t="str">
        <f>IF(T[[#This Row],[qty_ordered]]&lt;&gt;T[[#This Row],[qty_received]],IF(T[[#This Row],[qty_received]]&gt;0,"Partial Received","Not Receviced"),"FullyReceived")</f>
        <v>Not Receviced</v>
      </c>
      <c r="Q3738" t="str">
        <f>IF(T[[#This Row],[qty_received]]&lt;&gt;T[[#This Row],[qty_invoiced]],IF(T[[#This Row],[qty_invoiced]]&gt;0,"Partial Invoiced","Not Invoiced"),"Fully Invoiced")</f>
        <v>Partial Invoiced</v>
      </c>
      <c r="R3738" t="str">
        <f>IFERROR(VLOOKUP(T[[#This Row],[warehouse]],Table2[],2,FALSE),"--")</f>
        <v>--</v>
      </c>
    </row>
    <row r="3739" spans="1:18" x14ac:dyDescent="0.25">
      <c r="A3739" t="s">
        <v>1475</v>
      </c>
      <c r="B3739" s="1">
        <v>44535</v>
      </c>
      <c r="C3739" t="s">
        <v>1526</v>
      </c>
      <c r="D3739" t="s">
        <v>592</v>
      </c>
      <c r="E3739" t="s">
        <v>51</v>
      </c>
      <c r="F3739" t="s">
        <v>278</v>
      </c>
      <c r="G3739" t="s">
        <v>2185</v>
      </c>
      <c r="H3739" t="s">
        <v>54</v>
      </c>
      <c r="I3739">
        <v>27901</v>
      </c>
      <c r="J3739">
        <v>0</v>
      </c>
      <c r="K3739">
        <v>1</v>
      </c>
      <c r="L3739" t="s">
        <v>693</v>
      </c>
      <c r="M3739" t="s">
        <v>533</v>
      </c>
      <c r="N3739">
        <v>100</v>
      </c>
      <c r="O3739">
        <v>0</v>
      </c>
      <c r="P3739" t="str">
        <f>IF(T[[#This Row],[qty_ordered]]&lt;&gt;T[[#This Row],[qty_received]],IF(T[[#This Row],[qty_received]]&gt;0,"Partial Received","Not Receviced"),"FullyReceived")</f>
        <v>Not Receviced</v>
      </c>
      <c r="Q3739" t="str">
        <f>IF(T[[#This Row],[qty_received]]&lt;&gt;T[[#This Row],[qty_invoiced]],IF(T[[#This Row],[qty_invoiced]]&gt;0,"Partial Invoiced","Not Invoiced"),"Fully Invoiced")</f>
        <v>Partial Invoiced</v>
      </c>
      <c r="R3739" t="str">
        <f>IFERROR(VLOOKUP(T[[#This Row],[warehouse]],Table2[],2,FALSE),"--")</f>
        <v>--</v>
      </c>
    </row>
    <row r="3740" spans="1:18" x14ac:dyDescent="0.25">
      <c r="A3740" t="s">
        <v>1475</v>
      </c>
      <c r="B3740" s="1">
        <v>44535</v>
      </c>
      <c r="C3740" t="s">
        <v>1526</v>
      </c>
      <c r="D3740" t="s">
        <v>593</v>
      </c>
      <c r="E3740" t="s">
        <v>51</v>
      </c>
      <c r="F3740" t="s">
        <v>278</v>
      </c>
      <c r="G3740" t="s">
        <v>2185</v>
      </c>
      <c r="H3740" t="s">
        <v>54</v>
      </c>
      <c r="I3740">
        <v>27901</v>
      </c>
      <c r="J3740">
        <v>0</v>
      </c>
      <c r="K3740">
        <v>1</v>
      </c>
      <c r="L3740" t="s">
        <v>693</v>
      </c>
      <c r="M3740" t="s">
        <v>533</v>
      </c>
      <c r="N3740">
        <v>300</v>
      </c>
      <c r="O3740">
        <v>0</v>
      </c>
      <c r="P3740" t="str">
        <f>IF(T[[#This Row],[qty_ordered]]&lt;&gt;T[[#This Row],[qty_received]],IF(T[[#This Row],[qty_received]]&gt;0,"Partial Received","Not Receviced"),"FullyReceived")</f>
        <v>Not Receviced</v>
      </c>
      <c r="Q3740" t="str">
        <f>IF(T[[#This Row],[qty_received]]&lt;&gt;T[[#This Row],[qty_invoiced]],IF(T[[#This Row],[qty_invoiced]]&gt;0,"Partial Invoiced","Not Invoiced"),"Fully Invoiced")</f>
        <v>Partial Invoiced</v>
      </c>
      <c r="R3740" t="str">
        <f>IFERROR(VLOOKUP(T[[#This Row],[warehouse]],Table2[],2,FALSE),"--")</f>
        <v>--</v>
      </c>
    </row>
    <row r="3741" spans="1:18" x14ac:dyDescent="0.25">
      <c r="A3741" t="s">
        <v>1475</v>
      </c>
      <c r="B3741" s="1">
        <v>44535</v>
      </c>
      <c r="C3741" t="s">
        <v>1526</v>
      </c>
      <c r="D3741" t="s">
        <v>594</v>
      </c>
      <c r="E3741" t="s">
        <v>51</v>
      </c>
      <c r="F3741" t="s">
        <v>384</v>
      </c>
      <c r="G3741" t="s">
        <v>2186</v>
      </c>
      <c r="H3741" t="s">
        <v>54</v>
      </c>
      <c r="I3741">
        <v>8035</v>
      </c>
      <c r="J3741">
        <v>0</v>
      </c>
      <c r="K3741">
        <v>1</v>
      </c>
      <c r="L3741" t="s">
        <v>693</v>
      </c>
      <c r="M3741" t="s">
        <v>533</v>
      </c>
      <c r="N3741">
        <v>100</v>
      </c>
      <c r="O3741">
        <v>0</v>
      </c>
      <c r="P3741" t="str">
        <f>IF(T[[#This Row],[qty_ordered]]&lt;&gt;T[[#This Row],[qty_received]],IF(T[[#This Row],[qty_received]]&gt;0,"Partial Received","Not Receviced"),"FullyReceived")</f>
        <v>Not Receviced</v>
      </c>
      <c r="Q3741" t="str">
        <f>IF(T[[#This Row],[qty_received]]&lt;&gt;T[[#This Row],[qty_invoiced]],IF(T[[#This Row],[qty_invoiced]]&gt;0,"Partial Invoiced","Not Invoiced"),"Fully Invoiced")</f>
        <v>Partial Invoiced</v>
      </c>
      <c r="R3741" t="str">
        <f>IFERROR(VLOOKUP(T[[#This Row],[warehouse]],Table2[],2,FALSE),"--")</f>
        <v>--</v>
      </c>
    </row>
    <row r="3742" spans="1:18" x14ac:dyDescent="0.25">
      <c r="A3742" t="s">
        <v>1475</v>
      </c>
      <c r="B3742" s="1">
        <v>44535</v>
      </c>
      <c r="C3742" t="s">
        <v>1526</v>
      </c>
      <c r="D3742" t="s">
        <v>595</v>
      </c>
      <c r="E3742" t="s">
        <v>51</v>
      </c>
      <c r="F3742" t="s">
        <v>793</v>
      </c>
      <c r="G3742" t="s">
        <v>2187</v>
      </c>
      <c r="H3742" t="s">
        <v>54</v>
      </c>
      <c r="I3742">
        <v>215</v>
      </c>
      <c r="J3742">
        <v>0</v>
      </c>
      <c r="K3742">
        <v>1</v>
      </c>
      <c r="L3742" t="s">
        <v>693</v>
      </c>
      <c r="M3742" t="s">
        <v>533</v>
      </c>
      <c r="N3742">
        <v>600</v>
      </c>
      <c r="O3742">
        <v>0</v>
      </c>
      <c r="P3742" t="str">
        <f>IF(T[[#This Row],[qty_ordered]]&lt;&gt;T[[#This Row],[qty_received]],IF(T[[#This Row],[qty_received]]&gt;0,"Partial Received","Not Receviced"),"FullyReceived")</f>
        <v>Not Receviced</v>
      </c>
      <c r="Q3742" t="str">
        <f>IF(T[[#This Row],[qty_received]]&lt;&gt;T[[#This Row],[qty_invoiced]],IF(T[[#This Row],[qty_invoiced]]&gt;0,"Partial Invoiced","Not Invoiced"),"Fully Invoiced")</f>
        <v>Partial Invoiced</v>
      </c>
      <c r="R3742" t="str">
        <f>IFERROR(VLOOKUP(T[[#This Row],[warehouse]],Table2[],2,FALSE),"--")</f>
        <v>--</v>
      </c>
    </row>
    <row r="3743" spans="1:18" x14ac:dyDescent="0.25">
      <c r="A3743" t="s">
        <v>1475</v>
      </c>
      <c r="B3743" s="1">
        <v>44535</v>
      </c>
      <c r="C3743" t="s">
        <v>1526</v>
      </c>
      <c r="D3743" t="s">
        <v>596</v>
      </c>
      <c r="E3743" t="s">
        <v>51</v>
      </c>
      <c r="F3743" t="s">
        <v>793</v>
      </c>
      <c r="G3743" t="s">
        <v>2187</v>
      </c>
      <c r="H3743" t="s">
        <v>54</v>
      </c>
      <c r="I3743">
        <v>48</v>
      </c>
      <c r="J3743">
        <v>0</v>
      </c>
      <c r="K3743">
        <v>1</v>
      </c>
      <c r="L3743" t="s">
        <v>693</v>
      </c>
      <c r="M3743" t="s">
        <v>533</v>
      </c>
      <c r="N3743">
        <v>400</v>
      </c>
      <c r="O3743">
        <v>0</v>
      </c>
      <c r="P3743" t="str">
        <f>IF(T[[#This Row],[qty_ordered]]&lt;&gt;T[[#This Row],[qty_received]],IF(T[[#This Row],[qty_received]]&gt;0,"Partial Received","Not Receviced"),"FullyReceived")</f>
        <v>Not Receviced</v>
      </c>
      <c r="Q3743" t="str">
        <f>IF(T[[#This Row],[qty_received]]&lt;&gt;T[[#This Row],[qty_invoiced]],IF(T[[#This Row],[qty_invoiced]]&gt;0,"Partial Invoiced","Not Invoiced"),"Fully Invoiced")</f>
        <v>Partial Invoiced</v>
      </c>
      <c r="R3743" t="str">
        <f>IFERROR(VLOOKUP(T[[#This Row],[warehouse]],Table2[],2,FALSE),"--")</f>
        <v>--</v>
      </c>
    </row>
    <row r="3744" spans="1:18" x14ac:dyDescent="0.25">
      <c r="A3744" t="s">
        <v>1454</v>
      </c>
      <c r="B3744" s="1">
        <v>44622</v>
      </c>
      <c r="C3744" t="s">
        <v>1795</v>
      </c>
      <c r="D3744" t="s">
        <v>20</v>
      </c>
      <c r="E3744" t="s">
        <v>146</v>
      </c>
      <c r="F3744" t="s">
        <v>1456</v>
      </c>
      <c r="G3744" t="s">
        <v>1457</v>
      </c>
      <c r="H3744" t="s">
        <v>417</v>
      </c>
      <c r="I3744">
        <v>1860</v>
      </c>
      <c r="J3744">
        <v>1860</v>
      </c>
      <c r="K3744">
        <v>1860</v>
      </c>
      <c r="L3744" t="s">
        <v>25</v>
      </c>
      <c r="M3744" t="s">
        <v>575</v>
      </c>
      <c r="N3744">
        <v>780</v>
      </c>
      <c r="O3744">
        <v>1450800</v>
      </c>
      <c r="P3744" t="str">
        <f>IF(T[[#This Row],[qty_ordered]]&lt;&gt;T[[#This Row],[qty_received]],IF(T[[#This Row],[qty_received]]&gt;0,"Partial Received","Not Receviced"),"FullyReceived")</f>
        <v>FullyReceived</v>
      </c>
      <c r="Q3744" t="str">
        <f>IF(T[[#This Row],[qty_received]]&lt;&gt;T[[#This Row],[qty_invoiced]],IF(T[[#This Row],[qty_invoiced]]&gt;0,"Partial Invoiced","Not Invoiced"),"Fully Invoiced")</f>
        <v>Fully Invoiced</v>
      </c>
      <c r="R3744" t="str">
        <f>IFERROR(VLOOKUP(T[[#This Row],[warehouse]],Table2[],2,FALSE),"--")</f>
        <v>Khtoum Main Warehouse</v>
      </c>
    </row>
    <row r="3745" spans="1:18" x14ac:dyDescent="0.25">
      <c r="A3745" t="s">
        <v>1118</v>
      </c>
      <c r="B3745" s="1">
        <v>44579</v>
      </c>
      <c r="C3745" t="s">
        <v>1682</v>
      </c>
      <c r="D3745" t="s">
        <v>74</v>
      </c>
      <c r="E3745" t="s">
        <v>660</v>
      </c>
      <c r="F3745" t="s">
        <v>1439</v>
      </c>
      <c r="G3745" t="s">
        <v>1440</v>
      </c>
      <c r="H3745" t="s">
        <v>1087</v>
      </c>
      <c r="I3745">
        <v>876</v>
      </c>
      <c r="J3745">
        <v>876</v>
      </c>
      <c r="K3745">
        <v>876</v>
      </c>
      <c r="L3745" t="s">
        <v>25</v>
      </c>
      <c r="M3745" t="s">
        <v>1485</v>
      </c>
      <c r="N3745">
        <v>29150</v>
      </c>
      <c r="O3745">
        <v>25804453.999644</v>
      </c>
      <c r="P3745" t="str">
        <f>IF(T[[#This Row],[qty_ordered]]&lt;&gt;T[[#This Row],[qty_received]],IF(T[[#This Row],[qty_received]]&gt;0,"Partial Received","Not Receviced"),"FullyReceived")</f>
        <v>FullyReceived</v>
      </c>
      <c r="Q3745" t="str">
        <f>IF(T[[#This Row],[qty_received]]&lt;&gt;T[[#This Row],[qty_invoiced]],IF(T[[#This Row],[qty_invoiced]]&gt;0,"Partial Invoiced","Not Invoiced"),"Fully Invoiced")</f>
        <v>Fully Invoiced</v>
      </c>
      <c r="R3745" t="str">
        <f>IFERROR(VLOOKUP(T[[#This Row],[warehouse]],Table2[],2,FALSE),"--")</f>
        <v>SLAUGHTER HOUSE</v>
      </c>
    </row>
    <row r="3746" spans="1:18" x14ac:dyDescent="0.25">
      <c r="A3746" t="s">
        <v>224</v>
      </c>
      <c r="B3746" s="1">
        <v>44598</v>
      </c>
      <c r="C3746" t="s">
        <v>1773</v>
      </c>
      <c r="D3746" t="s">
        <v>88</v>
      </c>
      <c r="E3746" t="s">
        <v>51</v>
      </c>
      <c r="F3746" t="s">
        <v>183</v>
      </c>
      <c r="G3746" t="s">
        <v>2077</v>
      </c>
      <c r="H3746" t="s">
        <v>54</v>
      </c>
      <c r="I3746">
        <v>169.7</v>
      </c>
      <c r="J3746">
        <v>0</v>
      </c>
      <c r="K3746">
        <v>1</v>
      </c>
      <c r="L3746" t="s">
        <v>693</v>
      </c>
      <c r="M3746" t="s">
        <v>533</v>
      </c>
      <c r="N3746">
        <v>7000</v>
      </c>
      <c r="O3746">
        <v>0</v>
      </c>
      <c r="P3746" t="str">
        <f>IF(T[[#This Row],[qty_ordered]]&lt;&gt;T[[#This Row],[qty_received]],IF(T[[#This Row],[qty_received]]&gt;0,"Partial Received","Not Receviced"),"FullyReceived")</f>
        <v>Not Receviced</v>
      </c>
      <c r="Q3746" t="str">
        <f>IF(T[[#This Row],[qty_received]]&lt;&gt;T[[#This Row],[qty_invoiced]],IF(T[[#This Row],[qty_invoiced]]&gt;0,"Partial Invoiced","Not Invoiced"),"Fully Invoiced")</f>
        <v>Partial Invoiced</v>
      </c>
      <c r="R3746" t="str">
        <f>IFERROR(VLOOKUP(T[[#This Row],[warehouse]],Table2[],2,FALSE),"--")</f>
        <v>--</v>
      </c>
    </row>
    <row r="3747" spans="1:18" x14ac:dyDescent="0.25">
      <c r="A3747" t="s">
        <v>84</v>
      </c>
      <c r="B3747" s="1">
        <v>44635</v>
      </c>
      <c r="C3747" t="s">
        <v>2188</v>
      </c>
      <c r="D3747" t="s">
        <v>20</v>
      </c>
      <c r="E3747" t="s">
        <v>1142</v>
      </c>
      <c r="F3747" t="s">
        <v>130</v>
      </c>
      <c r="G3747" t="s">
        <v>131</v>
      </c>
      <c r="H3747" t="s">
        <v>24</v>
      </c>
      <c r="I3747">
        <v>1000</v>
      </c>
      <c r="J3747">
        <v>276.98</v>
      </c>
      <c r="K3747">
        <v>276.98</v>
      </c>
      <c r="L3747" t="s">
        <v>25</v>
      </c>
      <c r="M3747" t="s">
        <v>1485</v>
      </c>
      <c r="N3747">
        <v>231400</v>
      </c>
      <c r="O3747">
        <v>64093172</v>
      </c>
      <c r="P3747" t="str">
        <f>IF(T[[#This Row],[qty_ordered]]&lt;&gt;T[[#This Row],[qty_received]],IF(T[[#This Row],[qty_received]]&gt;0,"Partial Received","Not Receviced"),"FullyReceived")</f>
        <v>Partial Received</v>
      </c>
      <c r="Q3747" t="str">
        <f>IF(T[[#This Row],[qty_received]]&lt;&gt;T[[#This Row],[qty_invoiced]],IF(T[[#This Row],[qty_invoiced]]&gt;0,"Partial Invoiced","Not Invoiced"),"Fully Invoiced")</f>
        <v>Fully Invoiced</v>
      </c>
      <c r="R3747" t="str">
        <f>IFERROR(VLOOKUP(T[[#This Row],[warehouse]],Table2[],2,FALSE),"--")</f>
        <v>SAVOLA W/H FOR EXPOR</v>
      </c>
    </row>
    <row r="3748" spans="1:18" x14ac:dyDescent="0.25">
      <c r="A3748" t="s">
        <v>1312</v>
      </c>
      <c r="B3748" s="1">
        <v>44623</v>
      </c>
      <c r="C3748" t="s">
        <v>1595</v>
      </c>
      <c r="D3748" t="s">
        <v>20</v>
      </c>
      <c r="E3748" t="s">
        <v>146</v>
      </c>
      <c r="F3748" t="s">
        <v>2189</v>
      </c>
      <c r="G3748" t="s">
        <v>2190</v>
      </c>
      <c r="H3748" t="s">
        <v>149</v>
      </c>
      <c r="I3748">
        <v>6000</v>
      </c>
      <c r="J3748">
        <v>6000</v>
      </c>
      <c r="K3748">
        <v>0</v>
      </c>
      <c r="L3748" t="s">
        <v>25</v>
      </c>
      <c r="M3748" t="s">
        <v>1223</v>
      </c>
      <c r="N3748">
        <v>968.35</v>
      </c>
      <c r="O3748">
        <v>5810100</v>
      </c>
      <c r="P3748" t="str">
        <f>IF(T[[#This Row],[qty_ordered]]&lt;&gt;T[[#This Row],[qty_received]],IF(T[[#This Row],[qty_received]]&gt;0,"Partial Received","Not Receviced"),"FullyReceived")</f>
        <v>FullyReceived</v>
      </c>
      <c r="Q3748" t="str">
        <f>IF(T[[#This Row],[qty_received]]&lt;&gt;T[[#This Row],[qty_invoiced]],IF(T[[#This Row],[qty_invoiced]]&gt;0,"Partial Invoiced","Not Invoiced"),"Fully Invoiced")</f>
        <v>Not Invoiced</v>
      </c>
      <c r="R3748" t="str">
        <f>IFERROR(VLOOKUP(T[[#This Row],[warehouse]],Table2[],2,FALSE),"--")</f>
        <v>Khtoum Main Warehouse</v>
      </c>
    </row>
    <row r="3749" spans="1:18" x14ac:dyDescent="0.25">
      <c r="A3749" t="s">
        <v>959</v>
      </c>
      <c r="B3749" s="1">
        <v>44635</v>
      </c>
      <c r="C3749" t="s">
        <v>2159</v>
      </c>
      <c r="D3749" t="s">
        <v>20</v>
      </c>
      <c r="E3749" t="s">
        <v>214</v>
      </c>
      <c r="F3749" t="s">
        <v>167</v>
      </c>
      <c r="G3749" t="s">
        <v>156</v>
      </c>
      <c r="H3749" t="s">
        <v>24</v>
      </c>
      <c r="I3749">
        <v>1000</v>
      </c>
      <c r="J3749">
        <v>1000</v>
      </c>
      <c r="K3749">
        <v>1000</v>
      </c>
      <c r="L3749" t="s">
        <v>25</v>
      </c>
      <c r="M3749" t="s">
        <v>707</v>
      </c>
      <c r="N3749">
        <v>1120000</v>
      </c>
      <c r="O3749">
        <v>1120000000</v>
      </c>
      <c r="P3749" t="str">
        <f>IF(T[[#This Row],[qty_ordered]]&lt;&gt;T[[#This Row],[qty_received]],IF(T[[#This Row],[qty_received]]&gt;0,"Partial Received","Not Receviced"),"FullyReceived")</f>
        <v>FullyReceived</v>
      </c>
      <c r="Q3749" t="str">
        <f>IF(T[[#This Row],[qty_received]]&lt;&gt;T[[#This Row],[qty_invoiced]],IF(T[[#This Row],[qty_invoiced]]&gt;0,"Partial Invoiced","Not Invoiced"),"Fully Invoiced")</f>
        <v>Fully Invoiced</v>
      </c>
      <c r="R3749" t="str">
        <f>IFERROR(VLOOKUP(T[[#This Row],[warehouse]],Table2[],2,FALSE),"--")</f>
        <v>CRUSHER ELBALOLA</v>
      </c>
    </row>
    <row r="3750" spans="1:18" x14ac:dyDescent="0.25">
      <c r="A3750" t="s">
        <v>201</v>
      </c>
      <c r="B3750" s="1">
        <v>44629</v>
      </c>
      <c r="C3750" t="s">
        <v>2191</v>
      </c>
      <c r="D3750" t="s">
        <v>20</v>
      </c>
      <c r="E3750" t="s">
        <v>1220</v>
      </c>
      <c r="F3750" t="s">
        <v>1221</v>
      </c>
      <c r="G3750" t="s">
        <v>1634</v>
      </c>
      <c r="H3750" t="s">
        <v>123</v>
      </c>
      <c r="I3750">
        <v>120000</v>
      </c>
      <c r="J3750">
        <v>120000</v>
      </c>
      <c r="K3750">
        <v>120000</v>
      </c>
      <c r="L3750" t="s">
        <v>25</v>
      </c>
      <c r="M3750" t="s">
        <v>132</v>
      </c>
      <c r="N3750">
        <v>13379.2438908</v>
      </c>
      <c r="O3750">
        <v>1605509266.8959999</v>
      </c>
      <c r="P3750" t="str">
        <f>IF(T[[#This Row],[qty_ordered]]&lt;&gt;T[[#This Row],[qty_received]],IF(T[[#This Row],[qty_received]]&gt;0,"Partial Received","Not Receviced"),"FullyReceived")</f>
        <v>FullyReceived</v>
      </c>
      <c r="Q3750" t="str">
        <f>IF(T[[#This Row],[qty_received]]&lt;&gt;T[[#This Row],[qty_invoiced]],IF(T[[#This Row],[qty_invoiced]]&gt;0,"Partial Invoiced","Not Invoiced"),"Fully Invoiced")</f>
        <v>Fully Invoiced</v>
      </c>
      <c r="R3750" t="str">
        <f>IFERROR(VLOOKUP(T[[#This Row],[warehouse]],Table2[],2,FALSE),"--")</f>
        <v>Import Virtual Warehouse - PZU</v>
      </c>
    </row>
    <row r="3751" spans="1:18" x14ac:dyDescent="0.25">
      <c r="A3751" t="s">
        <v>201</v>
      </c>
      <c r="B3751" s="1">
        <v>44629</v>
      </c>
      <c r="C3751" t="s">
        <v>2191</v>
      </c>
      <c r="D3751" t="s">
        <v>71</v>
      </c>
      <c r="E3751" t="s">
        <v>1220</v>
      </c>
      <c r="F3751" t="s">
        <v>1338</v>
      </c>
      <c r="G3751" t="s">
        <v>1339</v>
      </c>
      <c r="H3751" t="s">
        <v>123</v>
      </c>
      <c r="I3751">
        <v>80000</v>
      </c>
      <c r="J3751">
        <v>80000</v>
      </c>
      <c r="K3751">
        <v>80000</v>
      </c>
      <c r="L3751" t="s">
        <v>25</v>
      </c>
      <c r="M3751" t="s">
        <v>132</v>
      </c>
      <c r="N3751">
        <v>13379.2438908</v>
      </c>
      <c r="O3751">
        <v>1070339511.2640001</v>
      </c>
      <c r="P3751" t="str">
        <f>IF(T[[#This Row],[qty_ordered]]&lt;&gt;T[[#This Row],[qty_received]],IF(T[[#This Row],[qty_received]]&gt;0,"Partial Received","Not Receviced"),"FullyReceived")</f>
        <v>FullyReceived</v>
      </c>
      <c r="Q3751" t="str">
        <f>IF(T[[#This Row],[qty_received]]&lt;&gt;T[[#This Row],[qty_invoiced]],IF(T[[#This Row],[qty_invoiced]]&gt;0,"Partial Invoiced","Not Invoiced"),"Fully Invoiced")</f>
        <v>Fully Invoiced</v>
      </c>
      <c r="R3751" t="str">
        <f>IFERROR(VLOOKUP(T[[#This Row],[warehouse]],Table2[],2,FALSE),"--")</f>
        <v>Import Virtual Warehouse - PZU</v>
      </c>
    </row>
    <row r="3752" spans="1:18" x14ac:dyDescent="0.25">
      <c r="A3752" t="s">
        <v>201</v>
      </c>
      <c r="B3752" s="1">
        <v>44629</v>
      </c>
      <c r="C3752" t="s">
        <v>2191</v>
      </c>
      <c r="D3752" t="s">
        <v>100</v>
      </c>
      <c r="E3752" t="s">
        <v>1220</v>
      </c>
      <c r="F3752" t="s">
        <v>1307</v>
      </c>
      <c r="G3752" t="s">
        <v>1308</v>
      </c>
      <c r="H3752" t="s">
        <v>149</v>
      </c>
      <c r="I3752">
        <v>2000</v>
      </c>
      <c r="J3752">
        <v>1000</v>
      </c>
      <c r="K3752">
        <v>0</v>
      </c>
      <c r="L3752" t="s">
        <v>25</v>
      </c>
      <c r="M3752" t="s">
        <v>132</v>
      </c>
      <c r="N3752">
        <v>0</v>
      </c>
      <c r="O3752">
        <v>0</v>
      </c>
      <c r="P3752" t="str">
        <f>IF(T[[#This Row],[qty_ordered]]&lt;&gt;T[[#This Row],[qty_received]],IF(T[[#This Row],[qty_received]]&gt;0,"Partial Received","Not Receviced"),"FullyReceived")</f>
        <v>Partial Received</v>
      </c>
      <c r="Q3752" t="str">
        <f>IF(T[[#This Row],[qty_received]]&lt;&gt;T[[#This Row],[qty_invoiced]],IF(T[[#This Row],[qty_invoiced]]&gt;0,"Partial Invoiced","Not Invoiced"),"Fully Invoiced")</f>
        <v>Not Invoiced</v>
      </c>
      <c r="R3752" t="str">
        <f>IFERROR(VLOOKUP(T[[#This Row],[warehouse]],Table2[],2,FALSE),"--")</f>
        <v>Import Virtual Warehouse - PZU</v>
      </c>
    </row>
    <row r="3753" spans="1:18" x14ac:dyDescent="0.25">
      <c r="A3753" t="s">
        <v>985</v>
      </c>
      <c r="B3753" s="1">
        <v>44531</v>
      </c>
      <c r="C3753" t="s">
        <v>1489</v>
      </c>
      <c r="D3753" t="s">
        <v>325</v>
      </c>
      <c r="E3753" t="s">
        <v>51</v>
      </c>
      <c r="F3753" t="s">
        <v>183</v>
      </c>
      <c r="G3753" t="s">
        <v>2192</v>
      </c>
      <c r="H3753" t="s">
        <v>54</v>
      </c>
      <c r="I3753">
        <v>450</v>
      </c>
      <c r="J3753">
        <v>0</v>
      </c>
      <c r="K3753">
        <v>1</v>
      </c>
      <c r="L3753" t="s">
        <v>693</v>
      </c>
      <c r="M3753" t="s">
        <v>533</v>
      </c>
      <c r="N3753">
        <v>6000</v>
      </c>
      <c r="O3753">
        <v>0</v>
      </c>
      <c r="P3753" t="str">
        <f>IF(T[[#This Row],[qty_ordered]]&lt;&gt;T[[#This Row],[qty_received]],IF(T[[#This Row],[qty_received]]&gt;0,"Partial Received","Not Receviced"),"FullyReceived")</f>
        <v>Not Receviced</v>
      </c>
      <c r="Q3753" t="str">
        <f>IF(T[[#This Row],[qty_received]]&lt;&gt;T[[#This Row],[qty_invoiced]],IF(T[[#This Row],[qty_invoiced]]&gt;0,"Partial Invoiced","Not Invoiced"),"Fully Invoiced")</f>
        <v>Partial Invoiced</v>
      </c>
      <c r="R3753" t="str">
        <f>IFERROR(VLOOKUP(T[[#This Row],[warehouse]],Table2[],2,FALSE),"--")</f>
        <v>--</v>
      </c>
    </row>
    <row r="3754" spans="1:18" x14ac:dyDescent="0.25">
      <c r="A3754" t="s">
        <v>228</v>
      </c>
      <c r="B3754" s="1">
        <v>44537</v>
      </c>
      <c r="C3754" t="s">
        <v>1492</v>
      </c>
      <c r="D3754" t="s">
        <v>323</v>
      </c>
      <c r="E3754" t="s">
        <v>66</v>
      </c>
      <c r="F3754" t="s">
        <v>196</v>
      </c>
      <c r="G3754" t="s">
        <v>197</v>
      </c>
      <c r="H3754" t="s">
        <v>24</v>
      </c>
      <c r="I3754">
        <v>1991.53</v>
      </c>
      <c r="J3754">
        <v>0</v>
      </c>
      <c r="K3754">
        <v>0</v>
      </c>
      <c r="L3754" t="s">
        <v>25</v>
      </c>
      <c r="M3754" t="s">
        <v>1485</v>
      </c>
      <c r="N3754">
        <v>150637.951726</v>
      </c>
      <c r="O3754">
        <v>0</v>
      </c>
      <c r="P3754" t="str">
        <f>IF(T[[#This Row],[qty_ordered]]&lt;&gt;T[[#This Row],[qty_received]],IF(T[[#This Row],[qty_received]]&gt;0,"Partial Received","Not Receviced"),"FullyReceived")</f>
        <v>Not Receviced</v>
      </c>
      <c r="Q3754" t="str">
        <f>IF(T[[#This Row],[qty_received]]&lt;&gt;T[[#This Row],[qty_invoiced]],IF(T[[#This Row],[qty_invoiced]]&gt;0,"Partial Invoiced","Not Invoiced"),"Fully Invoiced")</f>
        <v>Fully Invoiced</v>
      </c>
      <c r="R3754" t="str">
        <f>IFERROR(VLOOKUP(T[[#This Row],[warehouse]],Table2[],2,FALSE),"--")</f>
        <v>PZU Main Warehouse</v>
      </c>
    </row>
    <row r="3755" spans="1:18" x14ac:dyDescent="0.25">
      <c r="A3755" t="s">
        <v>1475</v>
      </c>
      <c r="B3755" s="1">
        <v>44535</v>
      </c>
      <c r="C3755" t="s">
        <v>1526</v>
      </c>
      <c r="D3755" t="s">
        <v>507</v>
      </c>
      <c r="E3755" t="s">
        <v>51</v>
      </c>
      <c r="F3755" t="s">
        <v>674</v>
      </c>
      <c r="G3755" t="s">
        <v>2193</v>
      </c>
      <c r="H3755" t="s">
        <v>54</v>
      </c>
      <c r="I3755">
        <v>3526.41</v>
      </c>
      <c r="J3755">
        <v>0</v>
      </c>
      <c r="K3755">
        <v>1</v>
      </c>
      <c r="L3755" t="s">
        <v>693</v>
      </c>
      <c r="M3755" t="s">
        <v>533</v>
      </c>
      <c r="N3755">
        <v>7500</v>
      </c>
      <c r="O3755">
        <v>0</v>
      </c>
      <c r="P3755" t="str">
        <f>IF(T[[#This Row],[qty_ordered]]&lt;&gt;T[[#This Row],[qty_received]],IF(T[[#This Row],[qty_received]]&gt;0,"Partial Received","Not Receviced"),"FullyReceived")</f>
        <v>Not Receviced</v>
      </c>
      <c r="Q3755" t="str">
        <f>IF(T[[#This Row],[qty_received]]&lt;&gt;T[[#This Row],[qty_invoiced]],IF(T[[#This Row],[qty_invoiced]]&gt;0,"Partial Invoiced","Not Invoiced"),"Fully Invoiced")</f>
        <v>Partial Invoiced</v>
      </c>
      <c r="R3755" t="str">
        <f>IFERROR(VLOOKUP(T[[#This Row],[warehouse]],Table2[],2,FALSE),"--")</f>
        <v>--</v>
      </c>
    </row>
    <row r="3756" spans="1:18" x14ac:dyDescent="0.25">
      <c r="A3756" t="s">
        <v>423</v>
      </c>
      <c r="B3756" s="1">
        <v>44594</v>
      </c>
      <c r="C3756" t="s">
        <v>1984</v>
      </c>
      <c r="D3756" t="s">
        <v>76</v>
      </c>
      <c r="E3756" t="s">
        <v>51</v>
      </c>
      <c r="F3756" t="s">
        <v>546</v>
      </c>
      <c r="G3756" t="s">
        <v>2194</v>
      </c>
      <c r="H3756" t="s">
        <v>54</v>
      </c>
      <c r="I3756">
        <v>15000</v>
      </c>
      <c r="J3756">
        <v>0</v>
      </c>
      <c r="K3756">
        <v>1</v>
      </c>
      <c r="L3756" t="s">
        <v>693</v>
      </c>
      <c r="M3756" t="s">
        <v>533</v>
      </c>
      <c r="N3756">
        <v>22</v>
      </c>
      <c r="O3756">
        <v>0</v>
      </c>
      <c r="P3756" t="str">
        <f>IF(T[[#This Row],[qty_ordered]]&lt;&gt;T[[#This Row],[qty_received]],IF(T[[#This Row],[qty_received]]&gt;0,"Partial Received","Not Receviced"),"FullyReceived")</f>
        <v>Not Receviced</v>
      </c>
      <c r="Q3756" t="str">
        <f>IF(T[[#This Row],[qty_received]]&lt;&gt;T[[#This Row],[qty_invoiced]],IF(T[[#This Row],[qty_invoiced]]&gt;0,"Partial Invoiced","Not Invoiced"),"Fully Invoiced")</f>
        <v>Partial Invoiced</v>
      </c>
      <c r="R3756" t="str">
        <f>IFERROR(VLOOKUP(T[[#This Row],[warehouse]],Table2[],2,FALSE),"--")</f>
        <v>--</v>
      </c>
    </row>
    <row r="3757" spans="1:18" x14ac:dyDescent="0.25">
      <c r="A3757" t="s">
        <v>423</v>
      </c>
      <c r="B3757" s="1">
        <v>44594</v>
      </c>
      <c r="C3757" t="s">
        <v>1984</v>
      </c>
      <c r="D3757" t="s">
        <v>212</v>
      </c>
      <c r="E3757" t="s">
        <v>51</v>
      </c>
      <c r="F3757" t="s">
        <v>546</v>
      </c>
      <c r="G3757" t="s">
        <v>2195</v>
      </c>
      <c r="H3757" t="s">
        <v>54</v>
      </c>
      <c r="I3757">
        <v>15000</v>
      </c>
      <c r="J3757">
        <v>0</v>
      </c>
      <c r="K3757">
        <v>1</v>
      </c>
      <c r="L3757" t="s">
        <v>693</v>
      </c>
      <c r="M3757" t="s">
        <v>533</v>
      </c>
      <c r="N3757">
        <v>22</v>
      </c>
      <c r="O3757">
        <v>0</v>
      </c>
      <c r="P3757" t="str">
        <f>IF(T[[#This Row],[qty_ordered]]&lt;&gt;T[[#This Row],[qty_received]],IF(T[[#This Row],[qty_received]]&gt;0,"Partial Received","Not Receviced"),"FullyReceived")</f>
        <v>Not Receviced</v>
      </c>
      <c r="Q3757" t="str">
        <f>IF(T[[#This Row],[qty_received]]&lt;&gt;T[[#This Row],[qty_invoiced]],IF(T[[#This Row],[qty_invoiced]]&gt;0,"Partial Invoiced","Not Invoiced"),"Fully Invoiced")</f>
        <v>Partial Invoiced</v>
      </c>
      <c r="R3757" t="str">
        <f>IFERROR(VLOOKUP(T[[#This Row],[warehouse]],Table2[],2,FALSE),"--")</f>
        <v>--</v>
      </c>
    </row>
    <row r="3758" spans="1:18" x14ac:dyDescent="0.25">
      <c r="A3758" t="s">
        <v>423</v>
      </c>
      <c r="B3758" s="1">
        <v>44594</v>
      </c>
      <c r="C3758" t="s">
        <v>1984</v>
      </c>
      <c r="D3758" t="s">
        <v>322</v>
      </c>
      <c r="E3758" t="s">
        <v>51</v>
      </c>
      <c r="F3758" t="s">
        <v>546</v>
      </c>
      <c r="G3758" t="s">
        <v>2196</v>
      </c>
      <c r="H3758" t="s">
        <v>54</v>
      </c>
      <c r="I3758">
        <v>10000</v>
      </c>
      <c r="J3758">
        <v>0</v>
      </c>
      <c r="K3758">
        <v>1</v>
      </c>
      <c r="L3758" t="s">
        <v>693</v>
      </c>
      <c r="M3758" t="s">
        <v>533</v>
      </c>
      <c r="N3758">
        <v>22</v>
      </c>
      <c r="O3758">
        <v>0</v>
      </c>
      <c r="P3758" t="str">
        <f>IF(T[[#This Row],[qty_ordered]]&lt;&gt;T[[#This Row],[qty_received]],IF(T[[#This Row],[qty_received]]&gt;0,"Partial Received","Not Receviced"),"FullyReceived")</f>
        <v>Not Receviced</v>
      </c>
      <c r="Q3758" t="str">
        <f>IF(T[[#This Row],[qty_received]]&lt;&gt;T[[#This Row],[qty_invoiced]],IF(T[[#This Row],[qty_invoiced]]&gt;0,"Partial Invoiced","Not Invoiced"),"Fully Invoiced")</f>
        <v>Partial Invoiced</v>
      </c>
      <c r="R3758" t="str">
        <f>IFERROR(VLOOKUP(T[[#This Row],[warehouse]],Table2[],2,FALSE),"--")</f>
        <v>--</v>
      </c>
    </row>
    <row r="3759" spans="1:18" x14ac:dyDescent="0.25">
      <c r="A3759" t="s">
        <v>2104</v>
      </c>
      <c r="B3759" s="1">
        <v>44598</v>
      </c>
      <c r="C3759" t="s">
        <v>2105</v>
      </c>
      <c r="D3759" t="s">
        <v>71</v>
      </c>
      <c r="E3759" t="s">
        <v>51</v>
      </c>
      <c r="F3759" t="s">
        <v>52</v>
      </c>
      <c r="G3759" t="s">
        <v>2197</v>
      </c>
      <c r="H3759" t="s">
        <v>54</v>
      </c>
      <c r="I3759">
        <v>1</v>
      </c>
      <c r="J3759">
        <v>0</v>
      </c>
      <c r="K3759">
        <v>1</v>
      </c>
      <c r="L3759" t="s">
        <v>693</v>
      </c>
      <c r="M3759" t="s">
        <v>132</v>
      </c>
      <c r="N3759">
        <v>110792</v>
      </c>
      <c r="O3759">
        <v>0</v>
      </c>
      <c r="P3759" t="str">
        <f>IF(T[[#This Row],[qty_ordered]]&lt;&gt;T[[#This Row],[qty_received]],IF(T[[#This Row],[qty_received]]&gt;0,"Partial Received","Not Receviced"),"FullyReceived")</f>
        <v>Not Receviced</v>
      </c>
      <c r="Q3759" t="str">
        <f>IF(T[[#This Row],[qty_received]]&lt;&gt;T[[#This Row],[qty_invoiced]],IF(T[[#This Row],[qty_invoiced]]&gt;0,"Partial Invoiced","Not Invoiced"),"Fully Invoiced")</f>
        <v>Partial Invoiced</v>
      </c>
      <c r="R3759" t="str">
        <f>IFERROR(VLOOKUP(T[[#This Row],[warehouse]],Table2[],2,FALSE),"--")</f>
        <v>--</v>
      </c>
    </row>
    <row r="3760" spans="1:18" x14ac:dyDescent="0.25">
      <c r="A3760" t="s">
        <v>959</v>
      </c>
      <c r="B3760" s="1">
        <v>44629</v>
      </c>
      <c r="C3760" t="s">
        <v>2198</v>
      </c>
      <c r="D3760" t="s">
        <v>20</v>
      </c>
      <c r="E3760" t="s">
        <v>214</v>
      </c>
      <c r="F3760" t="s">
        <v>167</v>
      </c>
      <c r="G3760" t="s">
        <v>156</v>
      </c>
      <c r="H3760" t="s">
        <v>24</v>
      </c>
      <c r="I3760">
        <v>1000</v>
      </c>
      <c r="J3760">
        <v>1000</v>
      </c>
      <c r="K3760">
        <v>1000</v>
      </c>
      <c r="L3760" t="s">
        <v>25</v>
      </c>
      <c r="M3760" t="s">
        <v>707</v>
      </c>
      <c r="N3760">
        <v>1100000</v>
      </c>
      <c r="O3760">
        <v>1100000000</v>
      </c>
      <c r="P3760" t="str">
        <f>IF(T[[#This Row],[qty_ordered]]&lt;&gt;T[[#This Row],[qty_received]],IF(T[[#This Row],[qty_received]]&gt;0,"Partial Received","Not Receviced"),"FullyReceived")</f>
        <v>FullyReceived</v>
      </c>
      <c r="Q3760" t="str">
        <f>IF(T[[#This Row],[qty_received]]&lt;&gt;T[[#This Row],[qty_invoiced]],IF(T[[#This Row],[qty_invoiced]]&gt;0,"Partial Invoiced","Not Invoiced"),"Fully Invoiced")</f>
        <v>Fully Invoiced</v>
      </c>
      <c r="R3760" t="str">
        <f>IFERROR(VLOOKUP(T[[#This Row],[warehouse]],Table2[],2,FALSE),"--")</f>
        <v>CRUSHER ELBALOLA</v>
      </c>
    </row>
    <row r="3761" spans="1:18" x14ac:dyDescent="0.25">
      <c r="A3761" t="s">
        <v>1316</v>
      </c>
      <c r="B3761" s="1">
        <v>44592</v>
      </c>
      <c r="C3761" t="s">
        <v>1824</v>
      </c>
      <c r="D3761" t="s">
        <v>100</v>
      </c>
      <c r="E3761" t="s">
        <v>51</v>
      </c>
      <c r="F3761" t="s">
        <v>2166</v>
      </c>
      <c r="G3761" t="s">
        <v>2199</v>
      </c>
      <c r="H3761" t="s">
        <v>54</v>
      </c>
      <c r="I3761">
        <v>500</v>
      </c>
      <c r="J3761">
        <v>0</v>
      </c>
      <c r="K3761">
        <v>1</v>
      </c>
      <c r="L3761" t="s">
        <v>693</v>
      </c>
      <c r="M3761" t="s">
        <v>533</v>
      </c>
      <c r="N3761">
        <v>8000</v>
      </c>
      <c r="O3761">
        <v>0</v>
      </c>
      <c r="P3761" t="str">
        <f>IF(T[[#This Row],[qty_ordered]]&lt;&gt;T[[#This Row],[qty_received]],IF(T[[#This Row],[qty_received]]&gt;0,"Partial Received","Not Receviced"),"FullyReceived")</f>
        <v>Not Receviced</v>
      </c>
      <c r="Q3761" t="str">
        <f>IF(T[[#This Row],[qty_received]]&lt;&gt;T[[#This Row],[qty_invoiced]],IF(T[[#This Row],[qty_invoiced]]&gt;0,"Partial Invoiced","Not Invoiced"),"Fully Invoiced")</f>
        <v>Partial Invoiced</v>
      </c>
      <c r="R3761" t="str">
        <f>IFERROR(VLOOKUP(T[[#This Row],[warehouse]],Table2[],2,FALSE),"--")</f>
        <v>--</v>
      </c>
    </row>
    <row r="3762" spans="1:18" x14ac:dyDescent="0.25">
      <c r="A3762" t="s">
        <v>1475</v>
      </c>
      <c r="B3762" s="1">
        <v>44535</v>
      </c>
      <c r="C3762" t="s">
        <v>1526</v>
      </c>
      <c r="D3762" t="s">
        <v>508</v>
      </c>
      <c r="E3762" t="s">
        <v>51</v>
      </c>
      <c r="F3762" t="s">
        <v>278</v>
      </c>
      <c r="G3762" t="s">
        <v>2200</v>
      </c>
      <c r="H3762" t="s">
        <v>54</v>
      </c>
      <c r="I3762">
        <v>3521</v>
      </c>
      <c r="J3762">
        <v>0</v>
      </c>
      <c r="K3762">
        <v>1</v>
      </c>
      <c r="L3762" t="s">
        <v>693</v>
      </c>
      <c r="M3762" t="s">
        <v>533</v>
      </c>
      <c r="N3762">
        <v>100</v>
      </c>
      <c r="O3762">
        <v>0</v>
      </c>
      <c r="P3762" t="str">
        <f>IF(T[[#This Row],[qty_ordered]]&lt;&gt;T[[#This Row],[qty_received]],IF(T[[#This Row],[qty_received]]&gt;0,"Partial Received","Not Receviced"),"FullyReceived")</f>
        <v>Not Receviced</v>
      </c>
      <c r="Q3762" t="str">
        <f>IF(T[[#This Row],[qty_received]]&lt;&gt;T[[#This Row],[qty_invoiced]],IF(T[[#This Row],[qty_invoiced]]&gt;0,"Partial Invoiced","Not Invoiced"),"Fully Invoiced")</f>
        <v>Partial Invoiced</v>
      </c>
      <c r="R3762" t="str">
        <f>IFERROR(VLOOKUP(T[[#This Row],[warehouse]],Table2[],2,FALSE),"--")</f>
        <v>--</v>
      </c>
    </row>
    <row r="3763" spans="1:18" x14ac:dyDescent="0.25">
      <c r="A3763" t="s">
        <v>1475</v>
      </c>
      <c r="B3763" s="1">
        <v>44535</v>
      </c>
      <c r="C3763" t="s">
        <v>1526</v>
      </c>
      <c r="D3763" t="s">
        <v>509</v>
      </c>
      <c r="E3763" t="s">
        <v>51</v>
      </c>
      <c r="F3763" t="s">
        <v>278</v>
      </c>
      <c r="G3763" t="s">
        <v>2201</v>
      </c>
      <c r="H3763" t="s">
        <v>54</v>
      </c>
      <c r="I3763">
        <v>3521</v>
      </c>
      <c r="J3763">
        <v>0</v>
      </c>
      <c r="K3763">
        <v>1</v>
      </c>
      <c r="L3763" t="s">
        <v>693</v>
      </c>
      <c r="M3763" t="s">
        <v>533</v>
      </c>
      <c r="N3763">
        <v>300</v>
      </c>
      <c r="O3763">
        <v>0</v>
      </c>
      <c r="P3763" t="str">
        <f>IF(T[[#This Row],[qty_ordered]]&lt;&gt;T[[#This Row],[qty_received]],IF(T[[#This Row],[qty_received]]&gt;0,"Partial Received","Not Receviced"),"FullyReceived")</f>
        <v>Not Receviced</v>
      </c>
      <c r="Q3763" t="str">
        <f>IF(T[[#This Row],[qty_received]]&lt;&gt;T[[#This Row],[qty_invoiced]],IF(T[[#This Row],[qty_invoiced]]&gt;0,"Partial Invoiced","Not Invoiced"),"Fully Invoiced")</f>
        <v>Partial Invoiced</v>
      </c>
      <c r="R3763" t="str">
        <f>IFERROR(VLOOKUP(T[[#This Row],[warehouse]],Table2[],2,FALSE),"--")</f>
        <v>--</v>
      </c>
    </row>
    <row r="3764" spans="1:18" x14ac:dyDescent="0.25">
      <c r="A3764" t="s">
        <v>1475</v>
      </c>
      <c r="B3764" s="1">
        <v>44535</v>
      </c>
      <c r="C3764" t="s">
        <v>1526</v>
      </c>
      <c r="D3764" t="s">
        <v>510</v>
      </c>
      <c r="E3764" t="s">
        <v>51</v>
      </c>
      <c r="F3764" t="s">
        <v>384</v>
      </c>
      <c r="G3764" t="s">
        <v>2202</v>
      </c>
      <c r="H3764" t="s">
        <v>54</v>
      </c>
      <c r="I3764">
        <v>491</v>
      </c>
      <c r="J3764">
        <v>0</v>
      </c>
      <c r="K3764">
        <v>1</v>
      </c>
      <c r="L3764" t="s">
        <v>693</v>
      </c>
      <c r="M3764" t="s">
        <v>533</v>
      </c>
      <c r="N3764">
        <v>200</v>
      </c>
      <c r="O3764">
        <v>0</v>
      </c>
      <c r="P3764" t="str">
        <f>IF(T[[#This Row],[qty_ordered]]&lt;&gt;T[[#This Row],[qty_received]],IF(T[[#This Row],[qty_received]]&gt;0,"Partial Received","Not Receviced"),"FullyReceived")</f>
        <v>Not Receviced</v>
      </c>
      <c r="Q3764" t="str">
        <f>IF(T[[#This Row],[qty_received]]&lt;&gt;T[[#This Row],[qty_invoiced]],IF(T[[#This Row],[qty_invoiced]]&gt;0,"Partial Invoiced","Not Invoiced"),"Fully Invoiced")</f>
        <v>Partial Invoiced</v>
      </c>
      <c r="R3764" t="str">
        <f>IFERROR(VLOOKUP(T[[#This Row],[warehouse]],Table2[],2,FALSE),"--")</f>
        <v>--</v>
      </c>
    </row>
    <row r="3765" spans="1:18" x14ac:dyDescent="0.25">
      <c r="A3765" t="s">
        <v>1475</v>
      </c>
      <c r="B3765" s="1">
        <v>44535</v>
      </c>
      <c r="C3765" t="s">
        <v>1526</v>
      </c>
      <c r="D3765" t="s">
        <v>511</v>
      </c>
      <c r="E3765" t="s">
        <v>51</v>
      </c>
      <c r="F3765" t="s">
        <v>793</v>
      </c>
      <c r="G3765" t="s">
        <v>2203</v>
      </c>
      <c r="H3765" t="s">
        <v>54</v>
      </c>
      <c r="I3765">
        <v>77</v>
      </c>
      <c r="J3765">
        <v>0</v>
      </c>
      <c r="K3765">
        <v>1</v>
      </c>
      <c r="L3765" t="s">
        <v>693</v>
      </c>
      <c r="M3765" t="s">
        <v>533</v>
      </c>
      <c r="N3765">
        <v>600</v>
      </c>
      <c r="O3765">
        <v>0</v>
      </c>
      <c r="P3765" t="str">
        <f>IF(T[[#This Row],[qty_ordered]]&lt;&gt;T[[#This Row],[qty_received]],IF(T[[#This Row],[qty_received]]&gt;0,"Partial Received","Not Receviced"),"FullyReceived")</f>
        <v>Not Receviced</v>
      </c>
      <c r="Q3765" t="str">
        <f>IF(T[[#This Row],[qty_received]]&lt;&gt;T[[#This Row],[qty_invoiced]],IF(T[[#This Row],[qty_invoiced]]&gt;0,"Partial Invoiced","Not Invoiced"),"Fully Invoiced")</f>
        <v>Partial Invoiced</v>
      </c>
      <c r="R3765" t="str">
        <f>IFERROR(VLOOKUP(T[[#This Row],[warehouse]],Table2[],2,FALSE),"--")</f>
        <v>--</v>
      </c>
    </row>
    <row r="3766" spans="1:18" x14ac:dyDescent="0.25">
      <c r="A3766" t="s">
        <v>1475</v>
      </c>
      <c r="B3766" s="1">
        <v>44630</v>
      </c>
      <c r="C3766" t="s">
        <v>2204</v>
      </c>
      <c r="D3766" t="s">
        <v>20</v>
      </c>
      <c r="E3766" t="s">
        <v>51</v>
      </c>
      <c r="F3766" t="s">
        <v>2205</v>
      </c>
      <c r="G3766" t="s">
        <v>2206</v>
      </c>
      <c r="H3766" t="s">
        <v>54</v>
      </c>
      <c r="I3766">
        <v>900</v>
      </c>
      <c r="J3766">
        <v>0</v>
      </c>
      <c r="K3766">
        <v>1</v>
      </c>
      <c r="L3766" t="s">
        <v>693</v>
      </c>
      <c r="M3766" t="s">
        <v>533</v>
      </c>
      <c r="N3766">
        <v>12500</v>
      </c>
      <c r="O3766">
        <v>0</v>
      </c>
      <c r="P3766" t="str">
        <f>IF(T[[#This Row],[qty_ordered]]&lt;&gt;T[[#This Row],[qty_received]],IF(T[[#This Row],[qty_received]]&gt;0,"Partial Received","Not Receviced"),"FullyReceived")</f>
        <v>Not Receviced</v>
      </c>
      <c r="Q3766" t="str">
        <f>IF(T[[#This Row],[qty_received]]&lt;&gt;T[[#This Row],[qty_invoiced]],IF(T[[#This Row],[qty_invoiced]]&gt;0,"Partial Invoiced","Not Invoiced"),"Fully Invoiced")</f>
        <v>Partial Invoiced</v>
      </c>
      <c r="R3766" t="str">
        <f>IFERROR(VLOOKUP(T[[#This Row],[warehouse]],Table2[],2,FALSE),"--")</f>
        <v>--</v>
      </c>
    </row>
    <row r="3767" spans="1:18" x14ac:dyDescent="0.25">
      <c r="A3767" t="s">
        <v>1475</v>
      </c>
      <c r="B3767" s="1">
        <v>44630</v>
      </c>
      <c r="C3767" t="s">
        <v>2204</v>
      </c>
      <c r="D3767" t="s">
        <v>71</v>
      </c>
      <c r="E3767" t="s">
        <v>51</v>
      </c>
      <c r="F3767" t="s">
        <v>278</v>
      </c>
      <c r="G3767" t="s">
        <v>2207</v>
      </c>
      <c r="H3767" t="s">
        <v>54</v>
      </c>
      <c r="I3767">
        <v>27275</v>
      </c>
      <c r="J3767">
        <v>0</v>
      </c>
      <c r="K3767">
        <v>1</v>
      </c>
      <c r="L3767" t="s">
        <v>693</v>
      </c>
      <c r="M3767" t="s">
        <v>533</v>
      </c>
      <c r="N3767">
        <v>150</v>
      </c>
      <c r="O3767">
        <v>0</v>
      </c>
      <c r="P3767" t="str">
        <f>IF(T[[#This Row],[qty_ordered]]&lt;&gt;T[[#This Row],[qty_received]],IF(T[[#This Row],[qty_received]]&gt;0,"Partial Received","Not Receviced"),"FullyReceived")</f>
        <v>Not Receviced</v>
      </c>
      <c r="Q3767" t="str">
        <f>IF(T[[#This Row],[qty_received]]&lt;&gt;T[[#This Row],[qty_invoiced]],IF(T[[#This Row],[qty_invoiced]]&gt;0,"Partial Invoiced","Not Invoiced"),"Fully Invoiced")</f>
        <v>Partial Invoiced</v>
      </c>
      <c r="R3767" t="str">
        <f>IFERROR(VLOOKUP(T[[#This Row],[warehouse]],Table2[],2,FALSE),"--")</f>
        <v>--</v>
      </c>
    </row>
    <row r="3768" spans="1:18" x14ac:dyDescent="0.25">
      <c r="A3768" t="s">
        <v>955</v>
      </c>
      <c r="B3768" s="1">
        <v>44626</v>
      </c>
      <c r="C3768" t="s">
        <v>2095</v>
      </c>
      <c r="D3768" t="s">
        <v>20</v>
      </c>
      <c r="E3768" t="s">
        <v>192</v>
      </c>
      <c r="F3768" t="s">
        <v>86</v>
      </c>
      <c r="G3768" t="s">
        <v>87</v>
      </c>
      <c r="H3768" t="s">
        <v>24</v>
      </c>
      <c r="I3768">
        <v>1000</v>
      </c>
      <c r="J3768">
        <v>66.150000000000006</v>
      </c>
      <c r="K3768">
        <v>66.150000000000006</v>
      </c>
      <c r="L3768" t="s">
        <v>693</v>
      </c>
      <c r="M3768" t="s">
        <v>1485</v>
      </c>
      <c r="N3768">
        <v>552968.06000000006</v>
      </c>
      <c r="O3768">
        <v>36578837.169</v>
      </c>
      <c r="P3768" t="str">
        <f>IF(T[[#This Row],[qty_ordered]]&lt;&gt;T[[#This Row],[qty_received]],IF(T[[#This Row],[qty_received]]&gt;0,"Partial Received","Not Receviced"),"FullyReceived")</f>
        <v>Partial Received</v>
      </c>
      <c r="Q3768" t="str">
        <f>IF(T[[#This Row],[qty_received]]&lt;&gt;T[[#This Row],[qty_invoiced]],IF(T[[#This Row],[qty_invoiced]]&gt;0,"Partial Invoiced","Not Invoiced"),"Fully Invoiced")</f>
        <v>Fully Invoiced</v>
      </c>
      <c r="R3768" t="str">
        <f>IFERROR(VLOOKUP(T[[#This Row],[warehouse]],Table2[],2,FALSE),"--")</f>
        <v>BAYADER SIFTER-OMD</v>
      </c>
    </row>
    <row r="3769" spans="1:18" x14ac:dyDescent="0.25">
      <c r="A3769" t="s">
        <v>973</v>
      </c>
      <c r="B3769" s="1">
        <v>44623</v>
      </c>
      <c r="C3769" t="s">
        <v>2179</v>
      </c>
      <c r="D3769" t="s">
        <v>71</v>
      </c>
      <c r="E3769" t="s">
        <v>281</v>
      </c>
      <c r="F3769" t="s">
        <v>167</v>
      </c>
      <c r="G3769" t="s">
        <v>156</v>
      </c>
      <c r="H3769" t="s">
        <v>24</v>
      </c>
      <c r="I3769">
        <v>101.5</v>
      </c>
      <c r="J3769">
        <v>101.5</v>
      </c>
      <c r="K3769">
        <v>101.5</v>
      </c>
      <c r="L3769" t="s">
        <v>25</v>
      </c>
      <c r="M3769" t="s">
        <v>1485</v>
      </c>
      <c r="N3769">
        <v>720000</v>
      </c>
      <c r="O3769">
        <v>73080000</v>
      </c>
      <c r="P3769" t="str">
        <f>IF(T[[#This Row],[qty_ordered]]&lt;&gt;T[[#This Row],[qty_received]],IF(T[[#This Row],[qty_received]]&gt;0,"Partial Received","Not Receviced"),"FullyReceived")</f>
        <v>FullyReceived</v>
      </c>
      <c r="Q3769" t="str">
        <f>IF(T[[#This Row],[qty_received]]&lt;&gt;T[[#This Row],[qty_invoiced]],IF(T[[#This Row],[qty_invoiced]]&gt;0,"Partial Invoiced","Not Invoiced"),"Fully Invoiced")</f>
        <v>Fully Invoiced</v>
      </c>
      <c r="R3769" t="str">
        <f>IFERROR(VLOOKUP(T[[#This Row],[warehouse]],Table2[],2,FALSE),"--")</f>
        <v>Crusher Alm Eldin-KH</v>
      </c>
    </row>
    <row r="3770" spans="1:18" x14ac:dyDescent="0.25">
      <c r="A3770" t="s">
        <v>1345</v>
      </c>
      <c r="B3770" s="1">
        <v>44354</v>
      </c>
      <c r="C3770" t="s">
        <v>1346</v>
      </c>
      <c r="D3770" t="s">
        <v>100</v>
      </c>
      <c r="E3770" t="s">
        <v>51</v>
      </c>
      <c r="F3770" t="s">
        <v>52</v>
      </c>
      <c r="G3770" t="s">
        <v>53</v>
      </c>
      <c r="H3770" t="s">
        <v>54</v>
      </c>
      <c r="I3770">
        <v>60</v>
      </c>
      <c r="J3770">
        <v>0</v>
      </c>
      <c r="K3770">
        <v>1</v>
      </c>
      <c r="L3770" t="s">
        <v>25</v>
      </c>
      <c r="M3770" t="s">
        <v>132</v>
      </c>
      <c r="N3770">
        <v>10000</v>
      </c>
      <c r="O3770">
        <v>0</v>
      </c>
      <c r="P3770" t="str">
        <f>IF(T[[#This Row],[qty_ordered]]&lt;&gt;T[[#This Row],[qty_received]],IF(T[[#This Row],[qty_received]]&gt;0,"Partial Received","Not Receviced"),"FullyReceived")</f>
        <v>Not Receviced</v>
      </c>
      <c r="Q3770" t="str">
        <f>IF(T[[#This Row],[qty_received]]&lt;&gt;T[[#This Row],[qty_invoiced]],IF(T[[#This Row],[qty_invoiced]]&gt;0,"Partial Invoiced","Not Invoiced"),"Fully Invoiced")</f>
        <v>Partial Invoiced</v>
      </c>
      <c r="R3770" t="str">
        <f>IFERROR(VLOOKUP(T[[#This Row],[warehouse]],Table2[],2,FALSE),"--")</f>
        <v>--</v>
      </c>
    </row>
    <row r="3771" spans="1:18" x14ac:dyDescent="0.25">
      <c r="A3771" t="s">
        <v>1623</v>
      </c>
      <c r="B3771" s="1">
        <v>44588</v>
      </c>
      <c r="C3771" t="s">
        <v>1624</v>
      </c>
      <c r="D3771" t="s">
        <v>76</v>
      </c>
      <c r="E3771" t="s">
        <v>51</v>
      </c>
      <c r="F3771" t="s">
        <v>753</v>
      </c>
      <c r="G3771" t="s">
        <v>2208</v>
      </c>
      <c r="H3771" t="s">
        <v>54</v>
      </c>
      <c r="I3771">
        <v>0.17</v>
      </c>
      <c r="J3771">
        <v>0</v>
      </c>
      <c r="K3771">
        <v>1</v>
      </c>
      <c r="L3771" t="s">
        <v>693</v>
      </c>
      <c r="M3771" t="s">
        <v>533</v>
      </c>
      <c r="N3771">
        <v>53702448</v>
      </c>
      <c r="O3771">
        <v>0</v>
      </c>
      <c r="P3771" t="str">
        <f>IF(T[[#This Row],[qty_ordered]]&lt;&gt;T[[#This Row],[qty_received]],IF(T[[#This Row],[qty_received]]&gt;0,"Partial Received","Not Receviced"),"FullyReceived")</f>
        <v>Not Receviced</v>
      </c>
      <c r="Q3771" t="str">
        <f>IF(T[[#This Row],[qty_received]]&lt;&gt;T[[#This Row],[qty_invoiced]],IF(T[[#This Row],[qty_invoiced]]&gt;0,"Partial Invoiced","Not Invoiced"),"Fully Invoiced")</f>
        <v>Partial Invoiced</v>
      </c>
      <c r="R3771" t="str">
        <f>IFERROR(VLOOKUP(T[[#This Row],[warehouse]],Table2[],2,FALSE),"--")</f>
        <v>--</v>
      </c>
    </row>
    <row r="3772" spans="1:18" x14ac:dyDescent="0.25">
      <c r="A3772" t="s">
        <v>795</v>
      </c>
      <c r="B3772" s="1">
        <v>44627</v>
      </c>
      <c r="C3772" t="s">
        <v>1549</v>
      </c>
      <c r="D3772" t="s">
        <v>20</v>
      </c>
      <c r="E3772" t="s">
        <v>1139</v>
      </c>
      <c r="F3772" t="s">
        <v>287</v>
      </c>
      <c r="G3772" t="s">
        <v>288</v>
      </c>
      <c r="H3772" t="s">
        <v>24</v>
      </c>
      <c r="I3772">
        <v>1000</v>
      </c>
      <c r="J3772">
        <v>985.95</v>
      </c>
      <c r="K3772">
        <v>985.95</v>
      </c>
      <c r="L3772" t="s">
        <v>25</v>
      </c>
      <c r="M3772" t="s">
        <v>707</v>
      </c>
      <c r="N3772">
        <v>286034.58</v>
      </c>
      <c r="O3772">
        <v>282015794.15100002</v>
      </c>
      <c r="P3772" t="str">
        <f>IF(T[[#This Row],[qty_ordered]]&lt;&gt;T[[#This Row],[qty_received]],IF(T[[#This Row],[qty_received]]&gt;0,"Partial Received","Not Receviced"),"FullyReceived")</f>
        <v>Partial Received</v>
      </c>
      <c r="Q3772" t="str">
        <f>IF(T[[#This Row],[qty_received]]&lt;&gt;T[[#This Row],[qty_invoiced]],IF(T[[#This Row],[qty_invoiced]]&gt;0,"Partial Invoiced","Not Invoiced"),"Fully Invoiced")</f>
        <v>Fully Invoiced</v>
      </c>
      <c r="R3772" t="str">
        <f>IFERROR(VLOOKUP(T[[#This Row],[warehouse]],Table2[],2,FALSE),"--")</f>
        <v>Magzoub Sorting - OMD</v>
      </c>
    </row>
    <row r="3773" spans="1:18" x14ac:dyDescent="0.25">
      <c r="A3773" t="s">
        <v>1475</v>
      </c>
      <c r="B3773" s="1">
        <v>44630</v>
      </c>
      <c r="C3773" t="s">
        <v>2204</v>
      </c>
      <c r="D3773" t="s">
        <v>100</v>
      </c>
      <c r="E3773" t="s">
        <v>51</v>
      </c>
      <c r="F3773" t="s">
        <v>384</v>
      </c>
      <c r="G3773" t="s">
        <v>2209</v>
      </c>
      <c r="H3773" t="s">
        <v>54</v>
      </c>
      <c r="I3773">
        <v>10891</v>
      </c>
      <c r="J3773">
        <v>0</v>
      </c>
      <c r="K3773">
        <v>1</v>
      </c>
      <c r="L3773" t="s">
        <v>693</v>
      </c>
      <c r="M3773" t="s">
        <v>533</v>
      </c>
      <c r="N3773">
        <v>60</v>
      </c>
      <c r="O3773">
        <v>0</v>
      </c>
      <c r="P3773" t="str">
        <f>IF(T[[#This Row],[qty_ordered]]&lt;&gt;T[[#This Row],[qty_received]],IF(T[[#This Row],[qty_received]]&gt;0,"Partial Received","Not Receviced"),"FullyReceived")</f>
        <v>Not Receviced</v>
      </c>
      <c r="Q3773" t="str">
        <f>IF(T[[#This Row],[qty_received]]&lt;&gt;T[[#This Row],[qty_invoiced]],IF(T[[#This Row],[qty_invoiced]]&gt;0,"Partial Invoiced","Not Invoiced"),"Fully Invoiced")</f>
        <v>Partial Invoiced</v>
      </c>
      <c r="R3773" t="str">
        <f>IFERROR(VLOOKUP(T[[#This Row],[warehouse]],Table2[],2,FALSE),"--")</f>
        <v>--</v>
      </c>
    </row>
    <row r="3774" spans="1:18" x14ac:dyDescent="0.25">
      <c r="A3774" t="s">
        <v>1114</v>
      </c>
      <c r="B3774" s="1">
        <v>44635</v>
      </c>
      <c r="C3774" t="s">
        <v>1638</v>
      </c>
      <c r="D3774" t="s">
        <v>20</v>
      </c>
      <c r="E3774" t="s">
        <v>1438</v>
      </c>
      <c r="F3774" t="s">
        <v>1439</v>
      </c>
      <c r="G3774" t="s">
        <v>1440</v>
      </c>
      <c r="H3774" t="s">
        <v>1087</v>
      </c>
      <c r="I3774">
        <v>5292</v>
      </c>
      <c r="J3774">
        <v>4819</v>
      </c>
      <c r="K3774">
        <v>5765</v>
      </c>
      <c r="L3774" t="s">
        <v>25</v>
      </c>
      <c r="M3774" t="s">
        <v>1485</v>
      </c>
      <c r="N3774">
        <v>29150</v>
      </c>
      <c r="O3774">
        <v>170137343.67646</v>
      </c>
      <c r="P3774" t="str">
        <f>IF(T[[#This Row],[qty_ordered]]&lt;&gt;T[[#This Row],[qty_received]],IF(T[[#This Row],[qty_received]]&gt;0,"Partial Received","Not Receviced"),"FullyReceived")</f>
        <v>Partial Received</v>
      </c>
      <c r="Q3774" t="str">
        <f>IF(T[[#This Row],[qty_received]]&lt;&gt;T[[#This Row],[qty_invoiced]],IF(T[[#This Row],[qty_invoiced]]&gt;0,"Partial Invoiced","Not Invoiced"),"Fully Invoiced")</f>
        <v>Partial Invoiced</v>
      </c>
      <c r="R3774" t="str">
        <f>IFERROR(VLOOKUP(T[[#This Row],[warehouse]],Table2[],2,FALSE),"--")</f>
        <v>Livestock Barn</v>
      </c>
    </row>
    <row r="3775" spans="1:18" x14ac:dyDescent="0.25">
      <c r="A3775" t="s">
        <v>795</v>
      </c>
      <c r="B3775" s="1">
        <v>44627</v>
      </c>
      <c r="C3775" t="s">
        <v>1549</v>
      </c>
      <c r="D3775" t="s">
        <v>71</v>
      </c>
      <c r="E3775" t="s">
        <v>629</v>
      </c>
      <c r="F3775" t="s">
        <v>287</v>
      </c>
      <c r="G3775" t="s">
        <v>288</v>
      </c>
      <c r="H3775" t="s">
        <v>24</v>
      </c>
      <c r="I3775">
        <v>1073.8</v>
      </c>
      <c r="J3775">
        <v>1073.8</v>
      </c>
      <c r="K3775">
        <v>1073.8</v>
      </c>
      <c r="L3775" t="s">
        <v>25</v>
      </c>
      <c r="M3775" t="s">
        <v>707</v>
      </c>
      <c r="N3775">
        <v>316232.59999999998</v>
      </c>
      <c r="O3775">
        <v>339570565.88</v>
      </c>
      <c r="P3775" t="str">
        <f>IF(T[[#This Row],[qty_ordered]]&lt;&gt;T[[#This Row],[qty_received]],IF(T[[#This Row],[qty_received]]&gt;0,"Partial Received","Not Receviced"),"FullyReceived")</f>
        <v>FullyReceived</v>
      </c>
      <c r="Q3775" t="str">
        <f>IF(T[[#This Row],[qty_received]]&lt;&gt;T[[#This Row],[qty_invoiced]],IF(T[[#This Row],[qty_invoiced]]&gt;0,"Partial Invoiced","Not Invoiced"),"Fully Invoiced")</f>
        <v>Fully Invoiced</v>
      </c>
      <c r="R3775" t="str">
        <f>IFERROR(VLOOKUP(T[[#This Row],[warehouse]],Table2[],2,FALSE),"--")</f>
        <v>SOPC Sifting &amp; Sorting</v>
      </c>
    </row>
    <row r="3776" spans="1:18" x14ac:dyDescent="0.25">
      <c r="A3776" t="s">
        <v>1975</v>
      </c>
      <c r="B3776" s="1">
        <v>44637</v>
      </c>
      <c r="C3776" t="s">
        <v>2210</v>
      </c>
      <c r="D3776" t="s">
        <v>20</v>
      </c>
      <c r="E3776" t="s">
        <v>1139</v>
      </c>
      <c r="F3776" t="s">
        <v>287</v>
      </c>
      <c r="G3776" t="s">
        <v>288</v>
      </c>
      <c r="H3776" t="s">
        <v>24</v>
      </c>
      <c r="I3776">
        <v>501.86</v>
      </c>
      <c r="J3776">
        <v>501.86</v>
      </c>
      <c r="K3776">
        <v>501.86</v>
      </c>
      <c r="L3776" t="s">
        <v>25</v>
      </c>
      <c r="M3776" t="s">
        <v>132</v>
      </c>
      <c r="N3776">
        <v>415300</v>
      </c>
      <c r="O3776">
        <v>208422458</v>
      </c>
      <c r="P3776" t="str">
        <f>IF(T[[#This Row],[qty_ordered]]&lt;&gt;T[[#This Row],[qty_received]],IF(T[[#This Row],[qty_received]]&gt;0,"Partial Received","Not Receviced"),"FullyReceived")</f>
        <v>FullyReceived</v>
      </c>
      <c r="Q3776" t="str">
        <f>IF(T[[#This Row],[qty_received]]&lt;&gt;T[[#This Row],[qty_invoiced]],IF(T[[#This Row],[qty_invoiced]]&gt;0,"Partial Invoiced","Not Invoiced"),"Fully Invoiced")</f>
        <v>Fully Invoiced</v>
      </c>
      <c r="R3776" t="str">
        <f>IFERROR(VLOOKUP(T[[#This Row],[warehouse]],Table2[],2,FALSE),"--")</f>
        <v>Magzoub Sorting - OMD</v>
      </c>
    </row>
    <row r="3777" spans="1:18" x14ac:dyDescent="0.25">
      <c r="A3777" t="s">
        <v>2175</v>
      </c>
      <c r="B3777" s="1">
        <v>44640</v>
      </c>
      <c r="C3777" t="s">
        <v>2211</v>
      </c>
      <c r="D3777" t="s">
        <v>20</v>
      </c>
      <c r="E3777" t="s">
        <v>621</v>
      </c>
      <c r="F3777" t="s">
        <v>196</v>
      </c>
      <c r="G3777" t="s">
        <v>197</v>
      </c>
      <c r="H3777" t="s">
        <v>24</v>
      </c>
      <c r="I3777">
        <v>7000</v>
      </c>
      <c r="J3777">
        <v>5534.19</v>
      </c>
      <c r="K3777">
        <v>5534.19</v>
      </c>
      <c r="L3777" t="s">
        <v>25</v>
      </c>
      <c r="M3777" t="s">
        <v>707</v>
      </c>
      <c r="N3777">
        <v>177713.08</v>
      </c>
      <c r="O3777">
        <v>983497950.20519996</v>
      </c>
      <c r="P3777" t="str">
        <f>IF(T[[#This Row],[qty_ordered]]&lt;&gt;T[[#This Row],[qty_received]],IF(T[[#This Row],[qty_received]]&gt;0,"Partial Received","Not Receviced"),"FullyReceived")</f>
        <v>Partial Received</v>
      </c>
      <c r="Q3777" t="str">
        <f>IF(T[[#This Row],[qty_received]]&lt;&gt;T[[#This Row],[qty_invoiced]],IF(T[[#This Row],[qty_invoiced]]&gt;0,"Partial Invoiced","Not Invoiced"),"Fully Invoiced")</f>
        <v>Fully Invoiced</v>
      </c>
      <c r="R3777" t="str">
        <f>IFERROR(VLOOKUP(T[[#This Row],[warehouse]],Table2[],2,FALSE),"--")</f>
        <v>SIFTER CONCRETE SILO</v>
      </c>
    </row>
    <row r="3778" spans="1:18" x14ac:dyDescent="0.25">
      <c r="A3778" t="s">
        <v>1170</v>
      </c>
      <c r="B3778" s="1">
        <v>44640</v>
      </c>
      <c r="C3778" t="s">
        <v>2212</v>
      </c>
      <c r="D3778" t="s">
        <v>20</v>
      </c>
      <c r="E3778" t="s">
        <v>1289</v>
      </c>
      <c r="F3778" t="s">
        <v>406</v>
      </c>
      <c r="G3778" t="s">
        <v>407</v>
      </c>
      <c r="H3778" t="s">
        <v>24</v>
      </c>
      <c r="I3778">
        <v>1000</v>
      </c>
      <c r="J3778">
        <v>178.66900000000001</v>
      </c>
      <c r="K3778">
        <v>178.67</v>
      </c>
      <c r="L3778" t="s">
        <v>25</v>
      </c>
      <c r="M3778" t="s">
        <v>707</v>
      </c>
      <c r="N3778">
        <v>307944.13</v>
      </c>
      <c r="O3778">
        <v>55020069.762970001</v>
      </c>
      <c r="P3778" t="str">
        <f>IF(T[[#This Row],[qty_ordered]]&lt;&gt;T[[#This Row],[qty_received]],IF(T[[#This Row],[qty_received]]&gt;0,"Partial Received","Not Receviced"),"FullyReceived")</f>
        <v>Partial Received</v>
      </c>
      <c r="Q3778" t="str">
        <f>IF(T[[#This Row],[qty_received]]&lt;&gt;T[[#This Row],[qty_invoiced]],IF(T[[#This Row],[qty_invoiced]]&gt;0,"Partial Invoiced","Not Invoiced"),"Fully Invoiced")</f>
        <v>Partial Invoiced</v>
      </c>
      <c r="R3778" t="str">
        <f>IFERROR(VLOOKUP(T[[#This Row],[warehouse]],Table2[],2,FALSE),"--")</f>
        <v>MSG GINNING GDARIF</v>
      </c>
    </row>
    <row r="3779" spans="1:18" x14ac:dyDescent="0.25">
      <c r="A3779" t="s">
        <v>955</v>
      </c>
      <c r="B3779" s="1">
        <v>44508</v>
      </c>
      <c r="C3779" t="s">
        <v>2031</v>
      </c>
      <c r="D3779" t="s">
        <v>212</v>
      </c>
      <c r="E3779" t="s">
        <v>162</v>
      </c>
      <c r="F3779" t="s">
        <v>108</v>
      </c>
      <c r="G3779" t="s">
        <v>109</v>
      </c>
      <c r="H3779" t="s">
        <v>24</v>
      </c>
      <c r="I3779">
        <v>635.5</v>
      </c>
      <c r="J3779">
        <v>635.5</v>
      </c>
      <c r="K3779">
        <v>635.26300000000003</v>
      </c>
      <c r="L3779" t="s">
        <v>25</v>
      </c>
      <c r="M3779" t="s">
        <v>1485</v>
      </c>
      <c r="N3779">
        <v>489394.54</v>
      </c>
      <c r="O3779">
        <v>311010230.17000002</v>
      </c>
      <c r="P3779" t="str">
        <f>IF(T[[#This Row],[qty_ordered]]&lt;&gt;T[[#This Row],[qty_received]],IF(T[[#This Row],[qty_received]]&gt;0,"Partial Received","Not Receviced"),"FullyReceived")</f>
        <v>FullyReceived</v>
      </c>
      <c r="Q3779" t="str">
        <f>IF(T[[#This Row],[qty_received]]&lt;&gt;T[[#This Row],[qty_invoiced]],IF(T[[#This Row],[qty_invoiced]]&gt;0,"Partial Invoiced","Not Invoiced"),"Fully Invoiced")</f>
        <v>Partial Invoiced</v>
      </c>
      <c r="R3779" t="str">
        <f>IFERROR(VLOOKUP(T[[#This Row],[warehouse]],Table2[],2,FALSE),"--")</f>
        <v>Sifters Mahasilna</v>
      </c>
    </row>
    <row r="3780" spans="1:18" x14ac:dyDescent="0.25">
      <c r="A3780" t="s">
        <v>1316</v>
      </c>
      <c r="B3780" s="1">
        <v>44592</v>
      </c>
      <c r="C3780" t="s">
        <v>1824</v>
      </c>
      <c r="D3780" t="s">
        <v>71</v>
      </c>
      <c r="E3780" t="s">
        <v>51</v>
      </c>
      <c r="F3780" t="s">
        <v>1641</v>
      </c>
      <c r="G3780" t="s">
        <v>1979</v>
      </c>
      <c r="H3780" t="s">
        <v>54</v>
      </c>
      <c r="I3780">
        <v>281.82</v>
      </c>
      <c r="J3780">
        <v>0</v>
      </c>
      <c r="K3780">
        <v>1</v>
      </c>
      <c r="L3780" t="s">
        <v>693</v>
      </c>
      <c r="M3780" t="s">
        <v>533</v>
      </c>
      <c r="N3780">
        <v>8000</v>
      </c>
      <c r="O3780">
        <v>0</v>
      </c>
      <c r="P3780" t="str">
        <f>IF(T[[#This Row],[qty_ordered]]&lt;&gt;T[[#This Row],[qty_received]],IF(T[[#This Row],[qty_received]]&gt;0,"Partial Received","Not Receviced"),"FullyReceived")</f>
        <v>Not Receviced</v>
      </c>
      <c r="Q3780" t="str">
        <f>IF(T[[#This Row],[qty_received]]&lt;&gt;T[[#This Row],[qty_invoiced]],IF(T[[#This Row],[qty_invoiced]]&gt;0,"Partial Invoiced","Not Invoiced"),"Fully Invoiced")</f>
        <v>Partial Invoiced</v>
      </c>
      <c r="R3780" t="str">
        <f>IFERROR(VLOOKUP(T[[#This Row],[warehouse]],Table2[],2,FALSE),"--")</f>
        <v>--</v>
      </c>
    </row>
    <row r="3781" spans="1:18" x14ac:dyDescent="0.25">
      <c r="A3781" t="s">
        <v>228</v>
      </c>
      <c r="B3781" s="1">
        <v>44537</v>
      </c>
      <c r="C3781" t="s">
        <v>1492</v>
      </c>
      <c r="D3781" t="s">
        <v>322</v>
      </c>
      <c r="E3781" t="s">
        <v>66</v>
      </c>
      <c r="F3781" t="s">
        <v>196</v>
      </c>
      <c r="G3781" t="s">
        <v>197</v>
      </c>
      <c r="H3781" t="s">
        <v>24</v>
      </c>
      <c r="I3781">
        <v>5461.6</v>
      </c>
      <c r="J3781">
        <v>0</v>
      </c>
      <c r="K3781">
        <v>0</v>
      </c>
      <c r="L3781" t="s">
        <v>25</v>
      </c>
      <c r="M3781" t="s">
        <v>1485</v>
      </c>
      <c r="N3781">
        <v>128167.569942</v>
      </c>
      <c r="O3781">
        <v>0</v>
      </c>
      <c r="P3781" t="str">
        <f>IF(T[[#This Row],[qty_ordered]]&lt;&gt;T[[#This Row],[qty_received]],IF(T[[#This Row],[qty_received]]&gt;0,"Partial Received","Not Receviced"),"FullyReceived")</f>
        <v>Not Receviced</v>
      </c>
      <c r="Q3781" t="str">
        <f>IF(T[[#This Row],[qty_received]]&lt;&gt;T[[#This Row],[qty_invoiced]],IF(T[[#This Row],[qty_invoiced]]&gt;0,"Partial Invoiced","Not Invoiced"),"Fully Invoiced")</f>
        <v>Fully Invoiced</v>
      </c>
      <c r="R3781" t="str">
        <f>IFERROR(VLOOKUP(T[[#This Row],[warehouse]],Table2[],2,FALSE),"--")</f>
        <v>PZU Main Warehouse</v>
      </c>
    </row>
    <row r="3782" spans="1:18" x14ac:dyDescent="0.25">
      <c r="A3782" t="s">
        <v>560</v>
      </c>
      <c r="B3782" s="1">
        <v>44544</v>
      </c>
      <c r="C3782" t="s">
        <v>1522</v>
      </c>
      <c r="D3782" t="s">
        <v>323</v>
      </c>
      <c r="E3782" t="s">
        <v>51</v>
      </c>
      <c r="F3782" t="s">
        <v>164</v>
      </c>
      <c r="G3782" t="s">
        <v>1536</v>
      </c>
      <c r="H3782" t="s">
        <v>54</v>
      </c>
      <c r="I3782">
        <v>50.13</v>
      </c>
      <c r="J3782">
        <v>0</v>
      </c>
      <c r="K3782">
        <v>1</v>
      </c>
      <c r="L3782" t="s">
        <v>693</v>
      </c>
      <c r="M3782" t="s">
        <v>2836</v>
      </c>
      <c r="N3782">
        <v>5250</v>
      </c>
      <c r="O3782">
        <v>0</v>
      </c>
      <c r="P3782" t="str">
        <f>IF(T[[#This Row],[qty_ordered]]&lt;&gt;T[[#This Row],[qty_received]],IF(T[[#This Row],[qty_received]]&gt;0,"Partial Received","Not Receviced"),"FullyReceived")</f>
        <v>Not Receviced</v>
      </c>
      <c r="Q3782" t="str">
        <f>IF(T[[#This Row],[qty_received]]&lt;&gt;T[[#This Row],[qty_invoiced]],IF(T[[#This Row],[qty_invoiced]]&gt;0,"Partial Invoiced","Not Invoiced"),"Fully Invoiced")</f>
        <v>Partial Invoiced</v>
      </c>
      <c r="R3782" t="str">
        <f>IFERROR(VLOOKUP(T[[#This Row],[warehouse]],Table2[],2,FALSE),"--")</f>
        <v>--</v>
      </c>
    </row>
    <row r="3783" spans="1:18" x14ac:dyDescent="0.25">
      <c r="A3783" t="s">
        <v>959</v>
      </c>
      <c r="B3783" s="1">
        <v>44641</v>
      </c>
      <c r="C3783" t="s">
        <v>2181</v>
      </c>
      <c r="D3783" t="s">
        <v>20</v>
      </c>
      <c r="E3783" t="s">
        <v>214</v>
      </c>
      <c r="F3783" t="s">
        <v>167</v>
      </c>
      <c r="G3783" t="s">
        <v>156</v>
      </c>
      <c r="H3783" t="s">
        <v>24</v>
      </c>
      <c r="I3783">
        <v>600</v>
      </c>
      <c r="J3783">
        <v>600</v>
      </c>
      <c r="K3783">
        <v>600</v>
      </c>
      <c r="L3783" t="s">
        <v>25</v>
      </c>
      <c r="M3783" t="s">
        <v>707</v>
      </c>
      <c r="N3783">
        <v>1190000</v>
      </c>
      <c r="O3783">
        <v>714000000</v>
      </c>
      <c r="P3783" t="str">
        <f>IF(T[[#This Row],[qty_ordered]]&lt;&gt;T[[#This Row],[qty_received]],IF(T[[#This Row],[qty_received]]&gt;0,"Partial Received","Not Receviced"),"FullyReceived")</f>
        <v>FullyReceived</v>
      </c>
      <c r="Q3783" t="str">
        <f>IF(T[[#This Row],[qty_received]]&lt;&gt;T[[#This Row],[qty_invoiced]],IF(T[[#This Row],[qty_invoiced]]&gt;0,"Partial Invoiced","Not Invoiced"),"Fully Invoiced")</f>
        <v>Fully Invoiced</v>
      </c>
      <c r="R3783" t="str">
        <f>IFERROR(VLOOKUP(T[[#This Row],[warehouse]],Table2[],2,FALSE),"--")</f>
        <v>CRUSHER ELBALOLA</v>
      </c>
    </row>
    <row r="3784" spans="1:18" x14ac:dyDescent="0.25">
      <c r="A3784" t="s">
        <v>821</v>
      </c>
      <c r="B3784" s="1">
        <v>44641</v>
      </c>
      <c r="C3784" t="s">
        <v>2213</v>
      </c>
      <c r="D3784" t="s">
        <v>20</v>
      </c>
      <c r="E3784" t="s">
        <v>1289</v>
      </c>
      <c r="F3784" t="s">
        <v>406</v>
      </c>
      <c r="G3784" t="s">
        <v>407</v>
      </c>
      <c r="H3784" t="s">
        <v>24</v>
      </c>
      <c r="I3784">
        <v>1000</v>
      </c>
      <c r="J3784">
        <v>0</v>
      </c>
      <c r="K3784">
        <v>0</v>
      </c>
      <c r="L3784" t="s">
        <v>25</v>
      </c>
      <c r="M3784" t="s">
        <v>1485</v>
      </c>
      <c r="N3784">
        <v>224595510.308</v>
      </c>
      <c r="O3784">
        <v>0</v>
      </c>
      <c r="P3784" t="str">
        <f>IF(T[[#This Row],[qty_ordered]]&lt;&gt;T[[#This Row],[qty_received]],IF(T[[#This Row],[qty_received]]&gt;0,"Partial Received","Not Receviced"),"FullyReceived")</f>
        <v>Not Receviced</v>
      </c>
      <c r="Q3784" t="str">
        <f>IF(T[[#This Row],[qty_received]]&lt;&gt;T[[#This Row],[qty_invoiced]],IF(T[[#This Row],[qty_invoiced]]&gt;0,"Partial Invoiced","Not Invoiced"),"Fully Invoiced")</f>
        <v>Fully Invoiced</v>
      </c>
      <c r="R3784" t="str">
        <f>IFERROR(VLOOKUP(T[[#This Row],[warehouse]],Table2[],2,FALSE),"--")</f>
        <v>MSG GINNING GDARIF</v>
      </c>
    </row>
    <row r="3785" spans="1:18" x14ac:dyDescent="0.25">
      <c r="A3785" t="s">
        <v>1623</v>
      </c>
      <c r="B3785" s="1">
        <v>44588</v>
      </c>
      <c r="C3785" t="s">
        <v>1624</v>
      </c>
      <c r="D3785" t="s">
        <v>88</v>
      </c>
      <c r="E3785" t="s">
        <v>51</v>
      </c>
      <c r="F3785" t="s">
        <v>753</v>
      </c>
      <c r="G3785" t="s">
        <v>2214</v>
      </c>
      <c r="H3785" t="s">
        <v>54</v>
      </c>
      <c r="I3785">
        <v>0.17</v>
      </c>
      <c r="J3785">
        <v>0</v>
      </c>
      <c r="K3785">
        <v>1</v>
      </c>
      <c r="L3785" t="s">
        <v>693</v>
      </c>
      <c r="M3785" t="s">
        <v>533</v>
      </c>
      <c r="N3785">
        <v>63000000</v>
      </c>
      <c r="O3785">
        <v>0</v>
      </c>
      <c r="P3785" t="str">
        <f>IF(T[[#This Row],[qty_ordered]]&lt;&gt;T[[#This Row],[qty_received]],IF(T[[#This Row],[qty_received]]&gt;0,"Partial Received","Not Receviced"),"FullyReceived")</f>
        <v>Not Receviced</v>
      </c>
      <c r="Q3785" t="str">
        <f>IF(T[[#This Row],[qty_received]]&lt;&gt;T[[#This Row],[qty_invoiced]],IF(T[[#This Row],[qty_invoiced]]&gt;0,"Partial Invoiced","Not Invoiced"),"Fully Invoiced")</f>
        <v>Partial Invoiced</v>
      </c>
      <c r="R3785" t="str">
        <f>IFERROR(VLOOKUP(T[[#This Row],[warehouse]],Table2[],2,FALSE),"--")</f>
        <v>--</v>
      </c>
    </row>
    <row r="3786" spans="1:18" x14ac:dyDescent="0.25">
      <c r="A3786" t="s">
        <v>1312</v>
      </c>
      <c r="B3786" s="1">
        <v>44647</v>
      </c>
      <c r="C3786" t="s">
        <v>2215</v>
      </c>
      <c r="D3786" t="s">
        <v>20</v>
      </c>
      <c r="E3786" t="s">
        <v>146</v>
      </c>
      <c r="F3786" t="s">
        <v>1314</v>
      </c>
      <c r="G3786" t="s">
        <v>1315</v>
      </c>
      <c r="H3786" t="s">
        <v>54</v>
      </c>
      <c r="I3786">
        <v>50000</v>
      </c>
      <c r="J3786">
        <v>42200</v>
      </c>
      <c r="K3786">
        <v>0</v>
      </c>
      <c r="L3786" t="s">
        <v>693</v>
      </c>
      <c r="M3786" t="s">
        <v>744</v>
      </c>
      <c r="N3786">
        <v>393.75</v>
      </c>
      <c r="O3786">
        <v>16616250</v>
      </c>
      <c r="P3786" t="str">
        <f>IF(T[[#This Row],[qty_ordered]]&lt;&gt;T[[#This Row],[qty_received]],IF(T[[#This Row],[qty_received]]&gt;0,"Partial Received","Not Receviced"),"FullyReceived")</f>
        <v>Partial Received</v>
      </c>
      <c r="Q3786" t="str">
        <f>IF(T[[#This Row],[qty_received]]&lt;&gt;T[[#This Row],[qty_invoiced]],IF(T[[#This Row],[qty_invoiced]]&gt;0,"Partial Invoiced","Not Invoiced"),"Fully Invoiced")</f>
        <v>Not Invoiced</v>
      </c>
      <c r="R3786" t="str">
        <f>IFERROR(VLOOKUP(T[[#This Row],[warehouse]],Table2[],2,FALSE),"--")</f>
        <v>Khtoum Main Warehouse</v>
      </c>
    </row>
    <row r="3787" spans="1:18" x14ac:dyDescent="0.25">
      <c r="A3787" t="s">
        <v>955</v>
      </c>
      <c r="B3787" s="1">
        <v>44648</v>
      </c>
      <c r="C3787" t="s">
        <v>2216</v>
      </c>
      <c r="D3787" t="s">
        <v>20</v>
      </c>
      <c r="E3787" t="s">
        <v>2009</v>
      </c>
      <c r="F3787" t="s">
        <v>86</v>
      </c>
      <c r="G3787" t="s">
        <v>87</v>
      </c>
      <c r="H3787" t="s">
        <v>24</v>
      </c>
      <c r="I3787">
        <v>1000</v>
      </c>
      <c r="J3787">
        <v>0</v>
      </c>
      <c r="K3787">
        <v>0</v>
      </c>
      <c r="L3787" t="s">
        <v>25</v>
      </c>
      <c r="M3787" t="s">
        <v>1485</v>
      </c>
      <c r="N3787">
        <v>745375</v>
      </c>
      <c r="O3787">
        <v>0</v>
      </c>
      <c r="P3787" t="str">
        <f>IF(T[[#This Row],[qty_ordered]]&lt;&gt;T[[#This Row],[qty_received]],IF(T[[#This Row],[qty_received]]&gt;0,"Partial Received","Not Receviced"),"FullyReceived")</f>
        <v>Not Receviced</v>
      </c>
      <c r="Q3787" t="str">
        <f>IF(T[[#This Row],[qty_received]]&lt;&gt;T[[#This Row],[qty_invoiced]],IF(T[[#This Row],[qty_invoiced]]&gt;0,"Partial Invoiced","Not Invoiced"),"Fully Invoiced")</f>
        <v>Fully Invoiced</v>
      </c>
      <c r="R3787" t="str">
        <f>IFERROR(VLOOKUP(T[[#This Row],[warehouse]],Table2[],2,FALSE),"--")</f>
        <v>Omdurman Commodites Warehouse</v>
      </c>
    </row>
    <row r="3788" spans="1:18" x14ac:dyDescent="0.25">
      <c r="A3788" t="s">
        <v>252</v>
      </c>
      <c r="B3788" s="1">
        <v>44531</v>
      </c>
      <c r="C3788" t="s">
        <v>1491</v>
      </c>
      <c r="D3788" t="s">
        <v>324</v>
      </c>
      <c r="E3788" t="s">
        <v>51</v>
      </c>
      <c r="F3788" t="s">
        <v>183</v>
      </c>
      <c r="G3788" t="s">
        <v>2217</v>
      </c>
      <c r="H3788" t="s">
        <v>54</v>
      </c>
      <c r="I3788">
        <v>300</v>
      </c>
      <c r="J3788">
        <v>0</v>
      </c>
      <c r="K3788">
        <v>1</v>
      </c>
      <c r="L3788" t="s">
        <v>693</v>
      </c>
      <c r="M3788" t="s">
        <v>533</v>
      </c>
      <c r="N3788">
        <v>7000</v>
      </c>
      <c r="O3788">
        <v>0</v>
      </c>
      <c r="P3788" t="str">
        <f>IF(T[[#This Row],[qty_ordered]]&lt;&gt;T[[#This Row],[qty_received]],IF(T[[#This Row],[qty_received]]&gt;0,"Partial Received","Not Receviced"),"FullyReceived")</f>
        <v>Not Receviced</v>
      </c>
      <c r="Q3788" t="str">
        <f>IF(T[[#This Row],[qty_received]]&lt;&gt;T[[#This Row],[qty_invoiced]],IF(T[[#This Row],[qty_invoiced]]&gt;0,"Partial Invoiced","Not Invoiced"),"Fully Invoiced")</f>
        <v>Partial Invoiced</v>
      </c>
      <c r="R3788" t="str">
        <f>IFERROR(VLOOKUP(T[[#This Row],[warehouse]],Table2[],2,FALSE),"--")</f>
        <v>--</v>
      </c>
    </row>
    <row r="3789" spans="1:18" x14ac:dyDescent="0.25">
      <c r="A3789" t="s">
        <v>252</v>
      </c>
      <c r="B3789" s="1">
        <v>44634</v>
      </c>
      <c r="C3789" t="s">
        <v>1590</v>
      </c>
      <c r="D3789" t="s">
        <v>20</v>
      </c>
      <c r="E3789" t="s">
        <v>51</v>
      </c>
      <c r="F3789" t="s">
        <v>183</v>
      </c>
      <c r="G3789" t="s">
        <v>1991</v>
      </c>
      <c r="H3789" t="s">
        <v>54</v>
      </c>
      <c r="I3789">
        <v>300</v>
      </c>
      <c r="J3789">
        <v>0</v>
      </c>
      <c r="K3789">
        <v>1</v>
      </c>
      <c r="L3789" t="s">
        <v>693</v>
      </c>
      <c r="M3789" t="s">
        <v>533</v>
      </c>
      <c r="N3789">
        <v>7000</v>
      </c>
      <c r="O3789">
        <v>0</v>
      </c>
      <c r="P3789" t="str">
        <f>IF(T[[#This Row],[qty_ordered]]&lt;&gt;T[[#This Row],[qty_received]],IF(T[[#This Row],[qty_received]]&gt;0,"Partial Received","Not Receviced"),"FullyReceived")</f>
        <v>Not Receviced</v>
      </c>
      <c r="Q3789" t="str">
        <f>IF(T[[#This Row],[qty_received]]&lt;&gt;T[[#This Row],[qty_invoiced]],IF(T[[#This Row],[qty_invoiced]]&gt;0,"Partial Invoiced","Not Invoiced"),"Fully Invoiced")</f>
        <v>Partial Invoiced</v>
      </c>
      <c r="R3789" t="str">
        <f>IFERROR(VLOOKUP(T[[#This Row],[warehouse]],Table2[],2,FALSE),"--")</f>
        <v>--</v>
      </c>
    </row>
    <row r="3790" spans="1:18" x14ac:dyDescent="0.25">
      <c r="A3790" t="s">
        <v>423</v>
      </c>
      <c r="B3790" s="1">
        <v>44546</v>
      </c>
      <c r="C3790" t="s">
        <v>1500</v>
      </c>
      <c r="D3790" t="s">
        <v>74</v>
      </c>
      <c r="E3790" t="s">
        <v>51</v>
      </c>
      <c r="F3790" t="s">
        <v>546</v>
      </c>
      <c r="G3790" t="s">
        <v>2218</v>
      </c>
      <c r="H3790" t="s">
        <v>54</v>
      </c>
      <c r="I3790">
        <v>7000</v>
      </c>
      <c r="J3790">
        <v>0</v>
      </c>
      <c r="K3790">
        <v>1</v>
      </c>
      <c r="L3790" t="s">
        <v>693</v>
      </c>
      <c r="M3790" t="s">
        <v>533</v>
      </c>
      <c r="N3790">
        <v>44</v>
      </c>
      <c r="O3790">
        <v>0</v>
      </c>
      <c r="P3790" t="str">
        <f>IF(T[[#This Row],[qty_ordered]]&lt;&gt;T[[#This Row],[qty_received]],IF(T[[#This Row],[qty_received]]&gt;0,"Partial Received","Not Receviced"),"FullyReceived")</f>
        <v>Not Receviced</v>
      </c>
      <c r="Q3790" t="str">
        <f>IF(T[[#This Row],[qty_received]]&lt;&gt;T[[#This Row],[qty_invoiced]],IF(T[[#This Row],[qty_invoiced]]&gt;0,"Partial Invoiced","Not Invoiced"),"Fully Invoiced")</f>
        <v>Partial Invoiced</v>
      </c>
      <c r="R3790" t="str">
        <f>IFERROR(VLOOKUP(T[[#This Row],[warehouse]],Table2[],2,FALSE),"--")</f>
        <v>--</v>
      </c>
    </row>
    <row r="3791" spans="1:18" x14ac:dyDescent="0.25">
      <c r="A3791" t="s">
        <v>423</v>
      </c>
      <c r="B3791" s="1">
        <v>44546</v>
      </c>
      <c r="C3791" t="s">
        <v>1500</v>
      </c>
      <c r="D3791" t="s">
        <v>76</v>
      </c>
      <c r="E3791" t="s">
        <v>51</v>
      </c>
      <c r="F3791" t="s">
        <v>546</v>
      </c>
      <c r="G3791" t="s">
        <v>2219</v>
      </c>
      <c r="H3791" t="s">
        <v>54</v>
      </c>
      <c r="I3791">
        <v>20000</v>
      </c>
      <c r="J3791">
        <v>0</v>
      </c>
      <c r="K3791">
        <v>1</v>
      </c>
      <c r="L3791" t="s">
        <v>693</v>
      </c>
      <c r="M3791" t="s">
        <v>533</v>
      </c>
      <c r="N3791">
        <v>44</v>
      </c>
      <c r="O3791">
        <v>0</v>
      </c>
      <c r="P3791" t="str">
        <f>IF(T[[#This Row],[qty_ordered]]&lt;&gt;T[[#This Row],[qty_received]],IF(T[[#This Row],[qty_received]]&gt;0,"Partial Received","Not Receviced"),"FullyReceived")</f>
        <v>Not Receviced</v>
      </c>
      <c r="Q3791" t="str">
        <f>IF(T[[#This Row],[qty_received]]&lt;&gt;T[[#This Row],[qty_invoiced]],IF(T[[#This Row],[qty_invoiced]]&gt;0,"Partial Invoiced","Not Invoiced"),"Fully Invoiced")</f>
        <v>Partial Invoiced</v>
      </c>
      <c r="R3791" t="str">
        <f>IFERROR(VLOOKUP(T[[#This Row],[warehouse]],Table2[],2,FALSE),"--")</f>
        <v>--</v>
      </c>
    </row>
    <row r="3792" spans="1:18" x14ac:dyDescent="0.25">
      <c r="A3792" t="s">
        <v>1475</v>
      </c>
      <c r="B3792" s="1">
        <v>44535</v>
      </c>
      <c r="C3792" t="s">
        <v>1526</v>
      </c>
      <c r="D3792" t="s">
        <v>1322</v>
      </c>
      <c r="E3792" t="s">
        <v>51</v>
      </c>
      <c r="F3792" t="s">
        <v>278</v>
      </c>
      <c r="G3792" t="s">
        <v>2220</v>
      </c>
      <c r="H3792" t="s">
        <v>54</v>
      </c>
      <c r="I3792">
        <v>2288</v>
      </c>
      <c r="J3792">
        <v>0</v>
      </c>
      <c r="K3792">
        <v>1</v>
      </c>
      <c r="L3792" t="s">
        <v>693</v>
      </c>
      <c r="M3792" t="s">
        <v>533</v>
      </c>
      <c r="N3792">
        <v>100</v>
      </c>
      <c r="O3792">
        <v>0</v>
      </c>
      <c r="P3792" t="str">
        <f>IF(T[[#This Row],[qty_ordered]]&lt;&gt;T[[#This Row],[qty_received]],IF(T[[#This Row],[qty_received]]&gt;0,"Partial Received","Not Receviced"),"FullyReceived")</f>
        <v>Not Receviced</v>
      </c>
      <c r="Q3792" t="str">
        <f>IF(T[[#This Row],[qty_received]]&lt;&gt;T[[#This Row],[qty_invoiced]],IF(T[[#This Row],[qty_invoiced]]&gt;0,"Partial Invoiced","Not Invoiced"),"Fully Invoiced")</f>
        <v>Partial Invoiced</v>
      </c>
      <c r="R3792" t="str">
        <f>IFERROR(VLOOKUP(T[[#This Row],[warehouse]],Table2[],2,FALSE),"--")</f>
        <v>--</v>
      </c>
    </row>
    <row r="3793" spans="1:18" x14ac:dyDescent="0.25">
      <c r="A3793" t="s">
        <v>1475</v>
      </c>
      <c r="B3793" s="1">
        <v>44535</v>
      </c>
      <c r="C3793" t="s">
        <v>1526</v>
      </c>
      <c r="D3793" t="s">
        <v>1323</v>
      </c>
      <c r="E3793" t="s">
        <v>51</v>
      </c>
      <c r="F3793" t="s">
        <v>278</v>
      </c>
      <c r="G3793" t="s">
        <v>2220</v>
      </c>
      <c r="H3793" t="s">
        <v>54</v>
      </c>
      <c r="I3793">
        <v>480</v>
      </c>
      <c r="J3793">
        <v>0</v>
      </c>
      <c r="K3793">
        <v>1</v>
      </c>
      <c r="L3793" t="s">
        <v>693</v>
      </c>
      <c r="M3793" t="s">
        <v>533</v>
      </c>
      <c r="N3793">
        <v>1200</v>
      </c>
      <c r="O3793">
        <v>0</v>
      </c>
      <c r="P3793" t="str">
        <f>IF(T[[#This Row],[qty_ordered]]&lt;&gt;T[[#This Row],[qty_received]],IF(T[[#This Row],[qty_received]]&gt;0,"Partial Received","Not Receviced"),"FullyReceived")</f>
        <v>Not Receviced</v>
      </c>
      <c r="Q3793" t="str">
        <f>IF(T[[#This Row],[qty_received]]&lt;&gt;T[[#This Row],[qty_invoiced]],IF(T[[#This Row],[qty_invoiced]]&gt;0,"Partial Invoiced","Not Invoiced"),"Fully Invoiced")</f>
        <v>Partial Invoiced</v>
      </c>
      <c r="R3793" t="str">
        <f>IFERROR(VLOOKUP(T[[#This Row],[warehouse]],Table2[],2,FALSE),"--")</f>
        <v>--</v>
      </c>
    </row>
    <row r="3794" spans="1:18" x14ac:dyDescent="0.25">
      <c r="A3794" t="s">
        <v>1475</v>
      </c>
      <c r="B3794" s="1">
        <v>44535</v>
      </c>
      <c r="C3794" t="s">
        <v>1526</v>
      </c>
      <c r="D3794" t="s">
        <v>1471</v>
      </c>
      <c r="E3794" t="s">
        <v>51</v>
      </c>
      <c r="F3794" t="s">
        <v>278</v>
      </c>
      <c r="G3794" t="s">
        <v>2220</v>
      </c>
      <c r="H3794" t="s">
        <v>54</v>
      </c>
      <c r="I3794">
        <v>2288</v>
      </c>
      <c r="J3794">
        <v>0</v>
      </c>
      <c r="K3794">
        <v>1</v>
      </c>
      <c r="L3794" t="s">
        <v>693</v>
      </c>
      <c r="M3794" t="s">
        <v>533</v>
      </c>
      <c r="N3794">
        <v>300</v>
      </c>
      <c r="O3794">
        <v>0</v>
      </c>
      <c r="P3794" t="str">
        <f>IF(T[[#This Row],[qty_ordered]]&lt;&gt;T[[#This Row],[qty_received]],IF(T[[#This Row],[qty_received]]&gt;0,"Partial Received","Not Receviced"),"FullyReceived")</f>
        <v>Not Receviced</v>
      </c>
      <c r="Q3794" t="str">
        <f>IF(T[[#This Row],[qty_received]]&lt;&gt;T[[#This Row],[qty_invoiced]],IF(T[[#This Row],[qty_invoiced]]&gt;0,"Partial Invoiced","Not Invoiced"),"Fully Invoiced")</f>
        <v>Partial Invoiced</v>
      </c>
      <c r="R3794" t="str">
        <f>IFERROR(VLOOKUP(T[[#This Row],[warehouse]],Table2[],2,FALSE),"--")</f>
        <v>--</v>
      </c>
    </row>
    <row r="3795" spans="1:18" x14ac:dyDescent="0.25">
      <c r="A3795" t="s">
        <v>1475</v>
      </c>
      <c r="B3795" s="1">
        <v>44535</v>
      </c>
      <c r="C3795" t="s">
        <v>1526</v>
      </c>
      <c r="D3795" t="s">
        <v>1873</v>
      </c>
      <c r="E3795" t="s">
        <v>51</v>
      </c>
      <c r="F3795" t="s">
        <v>278</v>
      </c>
      <c r="G3795" t="s">
        <v>2220</v>
      </c>
      <c r="H3795" t="s">
        <v>54</v>
      </c>
      <c r="I3795">
        <v>480</v>
      </c>
      <c r="J3795">
        <v>0</v>
      </c>
      <c r="K3795">
        <v>1</v>
      </c>
      <c r="L3795" t="s">
        <v>693</v>
      </c>
      <c r="M3795" t="s">
        <v>533</v>
      </c>
      <c r="N3795">
        <v>300</v>
      </c>
      <c r="O3795">
        <v>0</v>
      </c>
      <c r="P3795" t="str">
        <f>IF(T[[#This Row],[qty_ordered]]&lt;&gt;T[[#This Row],[qty_received]],IF(T[[#This Row],[qty_received]]&gt;0,"Partial Received","Not Receviced"),"FullyReceived")</f>
        <v>Not Receviced</v>
      </c>
      <c r="Q3795" t="str">
        <f>IF(T[[#This Row],[qty_received]]&lt;&gt;T[[#This Row],[qty_invoiced]],IF(T[[#This Row],[qty_invoiced]]&gt;0,"Partial Invoiced","Not Invoiced"),"Fully Invoiced")</f>
        <v>Partial Invoiced</v>
      </c>
      <c r="R3795" t="str">
        <f>IFERROR(VLOOKUP(T[[#This Row],[warehouse]],Table2[],2,FALSE),"--")</f>
        <v>--</v>
      </c>
    </row>
    <row r="3796" spans="1:18" x14ac:dyDescent="0.25">
      <c r="A3796" t="s">
        <v>1475</v>
      </c>
      <c r="B3796" s="1">
        <v>44535</v>
      </c>
      <c r="C3796" t="s">
        <v>1526</v>
      </c>
      <c r="D3796" t="s">
        <v>1874</v>
      </c>
      <c r="E3796" t="s">
        <v>51</v>
      </c>
      <c r="F3796" t="s">
        <v>384</v>
      </c>
      <c r="G3796" t="s">
        <v>2221</v>
      </c>
      <c r="H3796" t="s">
        <v>54</v>
      </c>
      <c r="I3796">
        <v>4649</v>
      </c>
      <c r="J3796">
        <v>0</v>
      </c>
      <c r="K3796">
        <v>1</v>
      </c>
      <c r="L3796" t="s">
        <v>693</v>
      </c>
      <c r="M3796" t="s">
        <v>533</v>
      </c>
      <c r="N3796">
        <v>255</v>
      </c>
      <c r="O3796">
        <v>0</v>
      </c>
      <c r="P3796" t="str">
        <f>IF(T[[#This Row],[qty_ordered]]&lt;&gt;T[[#This Row],[qty_received]],IF(T[[#This Row],[qty_received]]&gt;0,"Partial Received","Not Receviced"),"FullyReceived")</f>
        <v>Not Receviced</v>
      </c>
      <c r="Q3796" t="str">
        <f>IF(T[[#This Row],[qty_received]]&lt;&gt;T[[#This Row],[qty_invoiced]],IF(T[[#This Row],[qty_invoiced]]&gt;0,"Partial Invoiced","Not Invoiced"),"Fully Invoiced")</f>
        <v>Partial Invoiced</v>
      </c>
      <c r="R3796" t="str">
        <f>IFERROR(VLOOKUP(T[[#This Row],[warehouse]],Table2[],2,FALSE),"--")</f>
        <v>--</v>
      </c>
    </row>
    <row r="3797" spans="1:18" x14ac:dyDescent="0.25">
      <c r="A3797" t="s">
        <v>1475</v>
      </c>
      <c r="B3797" s="1">
        <v>44535</v>
      </c>
      <c r="C3797" t="s">
        <v>1526</v>
      </c>
      <c r="D3797" t="s">
        <v>1875</v>
      </c>
      <c r="E3797" t="s">
        <v>51</v>
      </c>
      <c r="F3797" t="s">
        <v>793</v>
      </c>
      <c r="G3797" t="s">
        <v>2222</v>
      </c>
      <c r="H3797" t="s">
        <v>54</v>
      </c>
      <c r="I3797">
        <v>81</v>
      </c>
      <c r="J3797">
        <v>0</v>
      </c>
      <c r="K3797">
        <v>1</v>
      </c>
      <c r="L3797" t="s">
        <v>693</v>
      </c>
      <c r="M3797" t="s">
        <v>533</v>
      </c>
      <c r="N3797">
        <v>600</v>
      </c>
      <c r="O3797">
        <v>0</v>
      </c>
      <c r="P3797" t="str">
        <f>IF(T[[#This Row],[qty_ordered]]&lt;&gt;T[[#This Row],[qty_received]],IF(T[[#This Row],[qty_received]]&gt;0,"Partial Received","Not Receviced"),"FullyReceived")</f>
        <v>Not Receviced</v>
      </c>
      <c r="Q3797" t="str">
        <f>IF(T[[#This Row],[qty_received]]&lt;&gt;T[[#This Row],[qty_invoiced]],IF(T[[#This Row],[qty_invoiced]]&gt;0,"Partial Invoiced","Not Invoiced"),"Fully Invoiced")</f>
        <v>Partial Invoiced</v>
      </c>
      <c r="R3797" t="str">
        <f>IFERROR(VLOOKUP(T[[#This Row],[warehouse]],Table2[],2,FALSE),"--")</f>
        <v>--</v>
      </c>
    </row>
    <row r="3798" spans="1:18" x14ac:dyDescent="0.25">
      <c r="A3798" t="s">
        <v>1475</v>
      </c>
      <c r="B3798" s="1">
        <v>44535</v>
      </c>
      <c r="C3798" t="s">
        <v>1526</v>
      </c>
      <c r="D3798" t="s">
        <v>1876</v>
      </c>
      <c r="E3798" t="s">
        <v>51</v>
      </c>
      <c r="F3798" t="s">
        <v>390</v>
      </c>
      <c r="G3798" t="s">
        <v>2223</v>
      </c>
      <c r="H3798" t="s">
        <v>54</v>
      </c>
      <c r="I3798">
        <v>2495</v>
      </c>
      <c r="J3798">
        <v>0</v>
      </c>
      <c r="K3798">
        <v>1</v>
      </c>
      <c r="L3798" t="s">
        <v>693</v>
      </c>
      <c r="M3798" t="s">
        <v>533</v>
      </c>
      <c r="N3798">
        <v>2000</v>
      </c>
      <c r="O3798">
        <v>0</v>
      </c>
      <c r="P3798" t="str">
        <f>IF(T[[#This Row],[qty_ordered]]&lt;&gt;T[[#This Row],[qty_received]],IF(T[[#This Row],[qty_received]]&gt;0,"Partial Received","Not Receviced"),"FullyReceived")</f>
        <v>Not Receviced</v>
      </c>
      <c r="Q3798" t="str">
        <f>IF(T[[#This Row],[qty_received]]&lt;&gt;T[[#This Row],[qty_invoiced]],IF(T[[#This Row],[qty_invoiced]]&gt;0,"Partial Invoiced","Not Invoiced"),"Fully Invoiced")</f>
        <v>Partial Invoiced</v>
      </c>
      <c r="R3798" t="str">
        <f>IFERROR(VLOOKUP(T[[#This Row],[warehouse]],Table2[],2,FALSE),"--")</f>
        <v>--</v>
      </c>
    </row>
    <row r="3799" spans="1:18" x14ac:dyDescent="0.25">
      <c r="A3799" t="s">
        <v>985</v>
      </c>
      <c r="B3799" s="1">
        <v>44774</v>
      </c>
      <c r="C3799" t="s">
        <v>1818</v>
      </c>
      <c r="D3799" t="s">
        <v>71</v>
      </c>
      <c r="E3799" t="s">
        <v>51</v>
      </c>
      <c r="F3799" t="s">
        <v>183</v>
      </c>
      <c r="G3799" t="s">
        <v>2224</v>
      </c>
      <c r="H3799" t="s">
        <v>54</v>
      </c>
      <c r="I3799">
        <v>160</v>
      </c>
      <c r="J3799">
        <v>0</v>
      </c>
      <c r="K3799">
        <v>1</v>
      </c>
      <c r="L3799" t="s">
        <v>693</v>
      </c>
      <c r="M3799" t="s">
        <v>533</v>
      </c>
      <c r="N3799">
        <v>8000</v>
      </c>
      <c r="O3799">
        <v>0</v>
      </c>
      <c r="P3799" t="str">
        <f>IF(T[[#This Row],[qty_ordered]]&lt;&gt;T[[#This Row],[qty_received]],IF(T[[#This Row],[qty_received]]&gt;0,"Partial Received","Not Receviced"),"FullyReceived")</f>
        <v>Not Receviced</v>
      </c>
      <c r="Q3799" t="str">
        <f>IF(T[[#This Row],[qty_received]]&lt;&gt;T[[#This Row],[qty_invoiced]],IF(T[[#This Row],[qty_invoiced]]&gt;0,"Partial Invoiced","Not Invoiced"),"Fully Invoiced")</f>
        <v>Partial Invoiced</v>
      </c>
      <c r="R3799" t="str">
        <f>IFERROR(VLOOKUP(T[[#This Row],[warehouse]],Table2[],2,FALSE),"--")</f>
        <v>--</v>
      </c>
    </row>
    <row r="3800" spans="1:18" x14ac:dyDescent="0.25">
      <c r="A3800" t="s">
        <v>242</v>
      </c>
      <c r="B3800" s="1">
        <v>44796</v>
      </c>
      <c r="C3800" t="s">
        <v>2225</v>
      </c>
      <c r="D3800" t="s">
        <v>20</v>
      </c>
      <c r="E3800" t="s">
        <v>66</v>
      </c>
      <c r="F3800" t="s">
        <v>244</v>
      </c>
      <c r="G3800" t="s">
        <v>245</v>
      </c>
      <c r="H3800" t="s">
        <v>24</v>
      </c>
      <c r="I3800">
        <v>495.1</v>
      </c>
      <c r="J3800">
        <v>495.1</v>
      </c>
      <c r="K3800">
        <v>495.1</v>
      </c>
      <c r="L3800" t="s">
        <v>693</v>
      </c>
      <c r="M3800" t="s">
        <v>707</v>
      </c>
      <c r="N3800">
        <v>1200000</v>
      </c>
      <c r="O3800">
        <v>594120000</v>
      </c>
      <c r="P3800" t="str">
        <f>IF(T[[#This Row],[qty_ordered]]&lt;&gt;T[[#This Row],[qty_received]],IF(T[[#This Row],[qty_received]]&gt;0,"Partial Received","Not Receviced"),"FullyReceived")</f>
        <v>FullyReceived</v>
      </c>
      <c r="Q3800" t="str">
        <f>IF(T[[#This Row],[qty_received]]&lt;&gt;T[[#This Row],[qty_invoiced]],IF(T[[#This Row],[qty_invoiced]]&gt;0,"Partial Invoiced","Not Invoiced"),"Fully Invoiced")</f>
        <v>Fully Invoiced</v>
      </c>
      <c r="R3800" t="str">
        <f>IFERROR(VLOOKUP(T[[#This Row],[warehouse]],Table2[],2,FALSE),"--")</f>
        <v>PZU Main Warehouse</v>
      </c>
    </row>
    <row r="3801" spans="1:18" x14ac:dyDescent="0.25">
      <c r="A3801" t="s">
        <v>1639</v>
      </c>
      <c r="B3801" s="1">
        <v>44804</v>
      </c>
      <c r="C3801" t="s">
        <v>2379</v>
      </c>
      <c r="D3801" t="s">
        <v>20</v>
      </c>
      <c r="E3801" t="s">
        <v>66</v>
      </c>
      <c r="F3801" t="s">
        <v>86</v>
      </c>
      <c r="G3801" t="s">
        <v>87</v>
      </c>
      <c r="H3801" t="s">
        <v>24</v>
      </c>
      <c r="I3801">
        <v>270</v>
      </c>
      <c r="J3801">
        <v>0</v>
      </c>
      <c r="K3801">
        <v>0</v>
      </c>
      <c r="L3801" t="s">
        <v>693</v>
      </c>
      <c r="M3801" t="s">
        <v>707</v>
      </c>
      <c r="N3801">
        <v>840000</v>
      </c>
      <c r="O3801">
        <v>0</v>
      </c>
      <c r="P3801" t="str">
        <f>IF(T[[#This Row],[qty_ordered]]&lt;&gt;T[[#This Row],[qty_received]],IF(T[[#This Row],[qty_received]]&gt;0,"Partial Received","Not Receviced"),"FullyReceived")</f>
        <v>Not Receviced</v>
      </c>
      <c r="Q3801" t="str">
        <f>IF(T[[#This Row],[qty_received]]&lt;&gt;T[[#This Row],[qty_invoiced]],IF(T[[#This Row],[qty_invoiced]]&gt;0,"Partial Invoiced","Not Invoiced"),"Fully Invoiced")</f>
        <v>Fully Invoiced</v>
      </c>
      <c r="R3801" t="str">
        <f>IFERROR(VLOOKUP(T[[#This Row],[warehouse]],Table2[],2,FALSE),"--")</f>
        <v>PZU Main Warehouse</v>
      </c>
    </row>
    <row r="3802" spans="1:18" x14ac:dyDescent="0.25">
      <c r="A3802" t="s">
        <v>955</v>
      </c>
      <c r="B3802" s="1">
        <v>44802</v>
      </c>
      <c r="C3802" t="s">
        <v>1894</v>
      </c>
      <c r="D3802" t="s">
        <v>71</v>
      </c>
      <c r="E3802" t="s">
        <v>1438</v>
      </c>
      <c r="F3802" t="s">
        <v>1439</v>
      </c>
      <c r="G3802" t="s">
        <v>1440</v>
      </c>
      <c r="H3802" t="s">
        <v>1087</v>
      </c>
      <c r="I3802">
        <v>1000</v>
      </c>
      <c r="J3802">
        <v>0</v>
      </c>
      <c r="K3802">
        <v>0</v>
      </c>
      <c r="L3802" t="s">
        <v>693</v>
      </c>
      <c r="M3802" t="s">
        <v>132</v>
      </c>
      <c r="N3802">
        <v>40000</v>
      </c>
      <c r="O3802">
        <v>0</v>
      </c>
      <c r="P3802" t="str">
        <f>IF(T[[#This Row],[qty_ordered]]&lt;&gt;T[[#This Row],[qty_received]],IF(T[[#This Row],[qty_received]]&gt;0,"Partial Received","Not Receviced"),"FullyReceived")</f>
        <v>Not Receviced</v>
      </c>
      <c r="Q3802" t="str">
        <f>IF(T[[#This Row],[qty_received]]&lt;&gt;T[[#This Row],[qty_invoiced]],IF(T[[#This Row],[qty_invoiced]]&gt;0,"Partial Invoiced","Not Invoiced"),"Fully Invoiced")</f>
        <v>Fully Invoiced</v>
      </c>
      <c r="R3802" t="str">
        <f>IFERROR(VLOOKUP(T[[#This Row],[warehouse]],Table2[],2,FALSE),"--")</f>
        <v>Livestock Barn</v>
      </c>
    </row>
    <row r="3803" spans="1:18" x14ac:dyDescent="0.25">
      <c r="A3803" t="s">
        <v>201</v>
      </c>
      <c r="B3803" s="1">
        <v>44810</v>
      </c>
      <c r="C3803" t="s">
        <v>2375</v>
      </c>
      <c r="D3803" t="s">
        <v>20</v>
      </c>
      <c r="E3803" t="s">
        <v>1220</v>
      </c>
      <c r="F3803" t="s">
        <v>1221</v>
      </c>
      <c r="G3803" t="s">
        <v>1634</v>
      </c>
      <c r="H3803" t="s">
        <v>123</v>
      </c>
      <c r="I3803">
        <v>96055</v>
      </c>
      <c r="J3803">
        <v>96055</v>
      </c>
      <c r="K3803">
        <v>96055</v>
      </c>
      <c r="L3803" t="s">
        <v>693</v>
      </c>
      <c r="M3803" t="s">
        <v>707</v>
      </c>
      <c r="N3803">
        <v>21072.0321396</v>
      </c>
      <c r="O3803">
        <v>2024074047.1692801</v>
      </c>
      <c r="P3803" t="str">
        <f>IF(T[[#This Row],[qty_ordered]]&lt;&gt;T[[#This Row],[qty_received]],IF(T[[#This Row],[qty_received]]&gt;0,"Partial Received","Not Receviced"),"FullyReceived")</f>
        <v>FullyReceived</v>
      </c>
      <c r="Q3803" t="str">
        <f>IF(T[[#This Row],[qty_received]]&lt;&gt;T[[#This Row],[qty_invoiced]],IF(T[[#This Row],[qty_invoiced]]&gt;0,"Partial Invoiced","Not Invoiced"),"Fully Invoiced")</f>
        <v>Fully Invoiced</v>
      </c>
      <c r="R3803" t="str">
        <f>IFERROR(VLOOKUP(T[[#This Row],[warehouse]],Table2[],2,FALSE),"--")</f>
        <v>Import Virtual Warehouse - PZU</v>
      </c>
    </row>
    <row r="3804" spans="1:18" x14ac:dyDescent="0.25">
      <c r="A3804" t="s">
        <v>303</v>
      </c>
      <c r="B3804" s="1">
        <v>44746</v>
      </c>
      <c r="C3804" t="s">
        <v>2226</v>
      </c>
      <c r="D3804" t="s">
        <v>20</v>
      </c>
      <c r="E3804" t="s">
        <v>66</v>
      </c>
      <c r="F3804" t="s">
        <v>529</v>
      </c>
      <c r="G3804" t="s">
        <v>530</v>
      </c>
      <c r="H3804" t="s">
        <v>531</v>
      </c>
      <c r="I3804">
        <v>6655</v>
      </c>
      <c r="J3804">
        <v>6655</v>
      </c>
      <c r="K3804">
        <v>6655</v>
      </c>
      <c r="L3804" t="s">
        <v>693</v>
      </c>
      <c r="M3804" t="s">
        <v>707</v>
      </c>
      <c r="N3804">
        <v>70000</v>
      </c>
      <c r="O3804">
        <v>465850000</v>
      </c>
      <c r="P3804" t="str">
        <f>IF(T[[#This Row],[qty_ordered]]&lt;&gt;T[[#This Row],[qty_received]],IF(T[[#This Row],[qty_received]]&gt;0,"Partial Received","Not Receviced"),"FullyReceived")</f>
        <v>FullyReceived</v>
      </c>
      <c r="Q3804" t="str">
        <f>IF(T[[#This Row],[qty_received]]&lt;&gt;T[[#This Row],[qty_invoiced]],IF(T[[#This Row],[qty_invoiced]]&gt;0,"Partial Invoiced","Not Invoiced"),"Fully Invoiced")</f>
        <v>Fully Invoiced</v>
      </c>
      <c r="R3804" t="str">
        <f>IFERROR(VLOOKUP(T[[#This Row],[warehouse]],Table2[],2,FALSE),"--")</f>
        <v>PZU Main Warehouse</v>
      </c>
    </row>
    <row r="3805" spans="1:18" x14ac:dyDescent="0.25">
      <c r="A3805" t="s">
        <v>1059</v>
      </c>
      <c r="B3805" s="1">
        <v>44594</v>
      </c>
      <c r="C3805" t="s">
        <v>1560</v>
      </c>
      <c r="D3805" t="s">
        <v>858</v>
      </c>
      <c r="E3805" t="s">
        <v>51</v>
      </c>
      <c r="F3805" t="s">
        <v>2166</v>
      </c>
      <c r="G3805" t="s">
        <v>2227</v>
      </c>
      <c r="H3805" t="s">
        <v>54</v>
      </c>
      <c r="I3805">
        <v>3068</v>
      </c>
      <c r="J3805">
        <v>0</v>
      </c>
      <c r="K3805">
        <v>1</v>
      </c>
      <c r="L3805" t="s">
        <v>693</v>
      </c>
      <c r="M3805" t="s">
        <v>533</v>
      </c>
      <c r="N3805">
        <v>750</v>
      </c>
      <c r="O3805">
        <v>0</v>
      </c>
      <c r="P3805" t="str">
        <f>IF(T[[#This Row],[qty_ordered]]&lt;&gt;T[[#This Row],[qty_received]],IF(T[[#This Row],[qty_received]]&gt;0,"Partial Received","Not Receviced"),"FullyReceived")</f>
        <v>Not Receviced</v>
      </c>
      <c r="Q3805" t="str">
        <f>IF(T[[#This Row],[qty_received]]&lt;&gt;T[[#This Row],[qty_invoiced]],IF(T[[#This Row],[qty_invoiced]]&gt;0,"Partial Invoiced","Not Invoiced"),"Fully Invoiced")</f>
        <v>Partial Invoiced</v>
      </c>
      <c r="R3805" t="str">
        <f>IFERROR(VLOOKUP(T[[#This Row],[warehouse]],Table2[],2,FALSE),"--")</f>
        <v>--</v>
      </c>
    </row>
    <row r="3806" spans="1:18" x14ac:dyDescent="0.25">
      <c r="A3806" t="s">
        <v>1059</v>
      </c>
      <c r="B3806" s="1">
        <v>44594</v>
      </c>
      <c r="C3806" t="s">
        <v>1560</v>
      </c>
      <c r="D3806" t="s">
        <v>860</v>
      </c>
      <c r="E3806" t="s">
        <v>51</v>
      </c>
      <c r="F3806" t="s">
        <v>2228</v>
      </c>
      <c r="G3806" t="s">
        <v>2229</v>
      </c>
      <c r="H3806" t="s">
        <v>54</v>
      </c>
      <c r="I3806">
        <v>68</v>
      </c>
      <c r="J3806">
        <v>0</v>
      </c>
      <c r="K3806">
        <v>1</v>
      </c>
      <c r="L3806" t="s">
        <v>693</v>
      </c>
      <c r="M3806" t="s">
        <v>533</v>
      </c>
      <c r="N3806">
        <v>1250</v>
      </c>
      <c r="O3806">
        <v>0</v>
      </c>
      <c r="P3806" t="str">
        <f>IF(T[[#This Row],[qty_ordered]]&lt;&gt;T[[#This Row],[qty_received]],IF(T[[#This Row],[qty_received]]&gt;0,"Partial Received","Not Receviced"),"FullyReceived")</f>
        <v>Not Receviced</v>
      </c>
      <c r="Q3806" t="str">
        <f>IF(T[[#This Row],[qty_received]]&lt;&gt;T[[#This Row],[qty_invoiced]],IF(T[[#This Row],[qty_invoiced]]&gt;0,"Partial Invoiced","Not Invoiced"),"Fully Invoiced")</f>
        <v>Partial Invoiced</v>
      </c>
      <c r="R3806" t="str">
        <f>IFERROR(VLOOKUP(T[[#This Row],[warehouse]],Table2[],2,FALSE),"--")</f>
        <v>--</v>
      </c>
    </row>
    <row r="3807" spans="1:18" x14ac:dyDescent="0.25">
      <c r="A3807" t="s">
        <v>1059</v>
      </c>
      <c r="B3807" s="1">
        <v>44594</v>
      </c>
      <c r="C3807" t="s">
        <v>1560</v>
      </c>
      <c r="D3807" t="s">
        <v>861</v>
      </c>
      <c r="E3807" t="s">
        <v>51</v>
      </c>
      <c r="F3807" t="s">
        <v>753</v>
      </c>
      <c r="G3807" t="s">
        <v>2230</v>
      </c>
      <c r="H3807" t="s">
        <v>54</v>
      </c>
      <c r="I3807">
        <v>0.17</v>
      </c>
      <c r="J3807">
        <v>0</v>
      </c>
      <c r="K3807">
        <v>1</v>
      </c>
      <c r="L3807" t="s">
        <v>693</v>
      </c>
      <c r="M3807" t="s">
        <v>533</v>
      </c>
      <c r="N3807">
        <v>2386000</v>
      </c>
      <c r="O3807">
        <v>0</v>
      </c>
      <c r="P3807" t="str">
        <f>IF(T[[#This Row],[qty_ordered]]&lt;&gt;T[[#This Row],[qty_received]],IF(T[[#This Row],[qty_received]]&gt;0,"Partial Received","Not Receviced"),"FullyReceived")</f>
        <v>Not Receviced</v>
      </c>
      <c r="Q3807" t="str">
        <f>IF(T[[#This Row],[qty_received]]&lt;&gt;T[[#This Row],[qty_invoiced]],IF(T[[#This Row],[qty_invoiced]]&gt;0,"Partial Invoiced","Not Invoiced"),"Fully Invoiced")</f>
        <v>Partial Invoiced</v>
      </c>
      <c r="R3807" t="str">
        <f>IFERROR(VLOOKUP(T[[#This Row],[warehouse]],Table2[],2,FALSE),"--")</f>
        <v>--</v>
      </c>
    </row>
    <row r="3808" spans="1:18" x14ac:dyDescent="0.25">
      <c r="A3808" t="s">
        <v>1059</v>
      </c>
      <c r="B3808" s="1">
        <v>44594</v>
      </c>
      <c r="C3808" t="s">
        <v>1560</v>
      </c>
      <c r="D3808" t="s">
        <v>862</v>
      </c>
      <c r="E3808" t="s">
        <v>51</v>
      </c>
      <c r="F3808" t="s">
        <v>2166</v>
      </c>
      <c r="G3808" t="s">
        <v>2227</v>
      </c>
      <c r="H3808" t="s">
        <v>54</v>
      </c>
      <c r="I3808">
        <v>3068</v>
      </c>
      <c r="J3808">
        <v>0</v>
      </c>
      <c r="K3808">
        <v>1</v>
      </c>
      <c r="L3808" t="s">
        <v>693</v>
      </c>
      <c r="M3808" t="s">
        <v>533</v>
      </c>
      <c r="N3808">
        <v>850</v>
      </c>
      <c r="O3808">
        <v>0</v>
      </c>
      <c r="P3808" t="str">
        <f>IF(T[[#This Row],[qty_ordered]]&lt;&gt;T[[#This Row],[qty_received]],IF(T[[#This Row],[qty_received]]&gt;0,"Partial Received","Not Receviced"),"FullyReceived")</f>
        <v>Not Receviced</v>
      </c>
      <c r="Q3808" t="str">
        <f>IF(T[[#This Row],[qty_received]]&lt;&gt;T[[#This Row],[qty_invoiced]],IF(T[[#This Row],[qty_invoiced]]&gt;0,"Partial Invoiced","Not Invoiced"),"Fully Invoiced")</f>
        <v>Partial Invoiced</v>
      </c>
      <c r="R3808" t="str">
        <f>IFERROR(VLOOKUP(T[[#This Row],[warehouse]],Table2[],2,FALSE),"--")</f>
        <v>--</v>
      </c>
    </row>
    <row r="3809" spans="1:18" x14ac:dyDescent="0.25">
      <c r="A3809" t="s">
        <v>1059</v>
      </c>
      <c r="B3809" s="1">
        <v>44594</v>
      </c>
      <c r="C3809" t="s">
        <v>1560</v>
      </c>
      <c r="D3809" t="s">
        <v>863</v>
      </c>
      <c r="E3809" t="s">
        <v>51</v>
      </c>
      <c r="F3809" t="s">
        <v>2166</v>
      </c>
      <c r="G3809" t="s">
        <v>2227</v>
      </c>
      <c r="H3809" t="s">
        <v>54</v>
      </c>
      <c r="I3809">
        <v>3068</v>
      </c>
      <c r="J3809">
        <v>0</v>
      </c>
      <c r="K3809">
        <v>1</v>
      </c>
      <c r="L3809" t="s">
        <v>693</v>
      </c>
      <c r="M3809" t="s">
        <v>533</v>
      </c>
      <c r="N3809">
        <v>850</v>
      </c>
      <c r="O3809">
        <v>0</v>
      </c>
      <c r="P3809" t="str">
        <f>IF(T[[#This Row],[qty_ordered]]&lt;&gt;T[[#This Row],[qty_received]],IF(T[[#This Row],[qty_received]]&gt;0,"Partial Received","Not Receviced"),"FullyReceived")</f>
        <v>Not Receviced</v>
      </c>
      <c r="Q3809" t="str">
        <f>IF(T[[#This Row],[qty_received]]&lt;&gt;T[[#This Row],[qty_invoiced]],IF(T[[#This Row],[qty_invoiced]]&gt;0,"Partial Invoiced","Not Invoiced"),"Fully Invoiced")</f>
        <v>Partial Invoiced</v>
      </c>
      <c r="R3809" t="str">
        <f>IFERROR(VLOOKUP(T[[#This Row],[warehouse]],Table2[],2,FALSE),"--")</f>
        <v>--</v>
      </c>
    </row>
    <row r="3810" spans="1:18" x14ac:dyDescent="0.25">
      <c r="A3810" t="s">
        <v>1059</v>
      </c>
      <c r="B3810" s="1">
        <v>44594</v>
      </c>
      <c r="C3810" t="s">
        <v>1560</v>
      </c>
      <c r="D3810" t="s">
        <v>864</v>
      </c>
      <c r="E3810" t="s">
        <v>51</v>
      </c>
      <c r="F3810" t="s">
        <v>753</v>
      </c>
      <c r="G3810" t="s">
        <v>2230</v>
      </c>
      <c r="H3810" t="s">
        <v>54</v>
      </c>
      <c r="I3810">
        <v>0.17</v>
      </c>
      <c r="J3810">
        <v>0</v>
      </c>
      <c r="K3810">
        <v>1</v>
      </c>
      <c r="L3810" t="s">
        <v>693</v>
      </c>
      <c r="M3810" t="s">
        <v>533</v>
      </c>
      <c r="N3810">
        <v>5215600</v>
      </c>
      <c r="O3810">
        <v>0</v>
      </c>
      <c r="P3810" t="str">
        <f>IF(T[[#This Row],[qty_ordered]]&lt;&gt;T[[#This Row],[qty_received]],IF(T[[#This Row],[qty_received]]&gt;0,"Partial Received","Not Receviced"),"FullyReceived")</f>
        <v>Not Receviced</v>
      </c>
      <c r="Q3810" t="str">
        <f>IF(T[[#This Row],[qty_received]]&lt;&gt;T[[#This Row],[qty_invoiced]],IF(T[[#This Row],[qty_invoiced]]&gt;0,"Partial Invoiced","Not Invoiced"),"Fully Invoiced")</f>
        <v>Partial Invoiced</v>
      </c>
      <c r="R3810" t="str">
        <f>IFERROR(VLOOKUP(T[[#This Row],[warehouse]],Table2[],2,FALSE),"--")</f>
        <v>--</v>
      </c>
    </row>
    <row r="3811" spans="1:18" x14ac:dyDescent="0.25">
      <c r="A3811" t="s">
        <v>1059</v>
      </c>
      <c r="B3811" s="1">
        <v>44651</v>
      </c>
      <c r="C3811" t="s">
        <v>1578</v>
      </c>
      <c r="D3811" t="s">
        <v>76</v>
      </c>
      <c r="E3811" t="s">
        <v>51</v>
      </c>
      <c r="F3811" t="s">
        <v>369</v>
      </c>
      <c r="G3811" t="s">
        <v>2231</v>
      </c>
      <c r="H3811" t="s">
        <v>54</v>
      </c>
      <c r="I3811">
        <v>1</v>
      </c>
      <c r="J3811">
        <v>0</v>
      </c>
      <c r="K3811">
        <v>1</v>
      </c>
      <c r="L3811" t="s">
        <v>693</v>
      </c>
      <c r="M3811" t="s">
        <v>2836</v>
      </c>
      <c r="N3811">
        <v>29500</v>
      </c>
      <c r="O3811">
        <v>0</v>
      </c>
      <c r="P3811" t="str">
        <f>IF(T[[#This Row],[qty_ordered]]&lt;&gt;T[[#This Row],[qty_received]],IF(T[[#This Row],[qty_received]]&gt;0,"Partial Received","Not Receviced"),"FullyReceived")</f>
        <v>Not Receviced</v>
      </c>
      <c r="Q3811" t="str">
        <f>IF(T[[#This Row],[qty_received]]&lt;&gt;T[[#This Row],[qty_invoiced]],IF(T[[#This Row],[qty_invoiced]]&gt;0,"Partial Invoiced","Not Invoiced"),"Fully Invoiced")</f>
        <v>Partial Invoiced</v>
      </c>
      <c r="R3811" t="str">
        <f>IFERROR(VLOOKUP(T[[#This Row],[warehouse]],Table2[],2,FALSE),"--")</f>
        <v>--</v>
      </c>
    </row>
    <row r="3812" spans="1:18" x14ac:dyDescent="0.25">
      <c r="A3812" t="s">
        <v>1059</v>
      </c>
      <c r="B3812" s="1">
        <v>44651</v>
      </c>
      <c r="C3812" t="s">
        <v>1578</v>
      </c>
      <c r="D3812" t="s">
        <v>212</v>
      </c>
      <c r="E3812" t="s">
        <v>51</v>
      </c>
      <c r="F3812" t="s">
        <v>369</v>
      </c>
      <c r="G3812" t="s">
        <v>2232</v>
      </c>
      <c r="H3812" t="s">
        <v>54</v>
      </c>
      <c r="I3812">
        <v>10000</v>
      </c>
      <c r="J3812">
        <v>0</v>
      </c>
      <c r="K3812">
        <v>1</v>
      </c>
      <c r="L3812" t="s">
        <v>693</v>
      </c>
      <c r="M3812" t="s">
        <v>2836</v>
      </c>
      <c r="N3812">
        <v>1.5</v>
      </c>
      <c r="O3812">
        <v>0</v>
      </c>
      <c r="P3812" t="str">
        <f>IF(T[[#This Row],[qty_ordered]]&lt;&gt;T[[#This Row],[qty_received]],IF(T[[#This Row],[qty_received]]&gt;0,"Partial Received","Not Receviced"),"FullyReceived")</f>
        <v>Not Receviced</v>
      </c>
      <c r="Q3812" t="str">
        <f>IF(T[[#This Row],[qty_received]]&lt;&gt;T[[#This Row],[qty_invoiced]],IF(T[[#This Row],[qty_invoiced]]&gt;0,"Partial Invoiced","Not Invoiced"),"Fully Invoiced")</f>
        <v>Partial Invoiced</v>
      </c>
      <c r="R3812" t="str">
        <f>IFERROR(VLOOKUP(T[[#This Row],[warehouse]],Table2[],2,FALSE),"--")</f>
        <v>--</v>
      </c>
    </row>
    <row r="3813" spans="1:18" x14ac:dyDescent="0.25">
      <c r="A3813" t="s">
        <v>1059</v>
      </c>
      <c r="B3813" s="1">
        <v>44761</v>
      </c>
      <c r="C3813" t="s">
        <v>1783</v>
      </c>
      <c r="D3813" t="s">
        <v>20</v>
      </c>
      <c r="E3813" t="s">
        <v>51</v>
      </c>
      <c r="F3813" t="s">
        <v>254</v>
      </c>
      <c r="G3813" t="s">
        <v>2233</v>
      </c>
      <c r="H3813" t="s">
        <v>54</v>
      </c>
      <c r="I3813">
        <v>2217</v>
      </c>
      <c r="J3813">
        <v>0</v>
      </c>
      <c r="K3813">
        <v>1</v>
      </c>
      <c r="L3813" t="s">
        <v>693</v>
      </c>
      <c r="M3813" t="s">
        <v>2836</v>
      </c>
      <c r="N3813">
        <v>1500</v>
      </c>
      <c r="O3813">
        <v>0</v>
      </c>
      <c r="P3813" t="str">
        <f>IF(T[[#This Row],[qty_ordered]]&lt;&gt;T[[#This Row],[qty_received]],IF(T[[#This Row],[qty_received]]&gt;0,"Partial Received","Not Receviced"),"FullyReceived")</f>
        <v>Not Receviced</v>
      </c>
      <c r="Q3813" t="str">
        <f>IF(T[[#This Row],[qty_received]]&lt;&gt;T[[#This Row],[qty_invoiced]],IF(T[[#This Row],[qty_invoiced]]&gt;0,"Partial Invoiced","Not Invoiced"),"Fully Invoiced")</f>
        <v>Partial Invoiced</v>
      </c>
      <c r="R3813" t="str">
        <f>IFERROR(VLOOKUP(T[[#This Row],[warehouse]],Table2[],2,FALSE),"--")</f>
        <v>--</v>
      </c>
    </row>
    <row r="3814" spans="1:18" x14ac:dyDescent="0.25">
      <c r="A3814" t="s">
        <v>1059</v>
      </c>
      <c r="B3814" s="1">
        <v>44761</v>
      </c>
      <c r="C3814" t="s">
        <v>1783</v>
      </c>
      <c r="D3814" t="s">
        <v>71</v>
      </c>
      <c r="E3814" t="s">
        <v>51</v>
      </c>
      <c r="F3814" t="s">
        <v>254</v>
      </c>
      <c r="G3814" t="s">
        <v>2233</v>
      </c>
      <c r="H3814" t="s">
        <v>54</v>
      </c>
      <c r="I3814">
        <v>1378</v>
      </c>
      <c r="J3814">
        <v>0</v>
      </c>
      <c r="K3814">
        <v>1</v>
      </c>
      <c r="L3814" t="s">
        <v>693</v>
      </c>
      <c r="M3814" t="s">
        <v>2836</v>
      </c>
      <c r="N3814">
        <v>1500</v>
      </c>
      <c r="O3814">
        <v>0</v>
      </c>
      <c r="P3814" t="str">
        <f>IF(T[[#This Row],[qty_ordered]]&lt;&gt;T[[#This Row],[qty_received]],IF(T[[#This Row],[qty_received]]&gt;0,"Partial Received","Not Receviced"),"FullyReceived")</f>
        <v>Not Receviced</v>
      </c>
      <c r="Q3814" t="str">
        <f>IF(T[[#This Row],[qty_received]]&lt;&gt;T[[#This Row],[qty_invoiced]],IF(T[[#This Row],[qty_invoiced]]&gt;0,"Partial Invoiced","Not Invoiced"),"Fully Invoiced")</f>
        <v>Partial Invoiced</v>
      </c>
      <c r="R3814" t="str">
        <f>IFERROR(VLOOKUP(T[[#This Row],[warehouse]],Table2[],2,FALSE),"--")</f>
        <v>--</v>
      </c>
    </row>
    <row r="3815" spans="1:18" x14ac:dyDescent="0.25">
      <c r="A3815" t="s">
        <v>1059</v>
      </c>
      <c r="B3815" s="1">
        <v>44761</v>
      </c>
      <c r="C3815" t="s">
        <v>1783</v>
      </c>
      <c r="D3815" t="s">
        <v>88</v>
      </c>
      <c r="E3815" t="s">
        <v>51</v>
      </c>
      <c r="F3815" t="s">
        <v>266</v>
      </c>
      <c r="G3815" t="s">
        <v>1784</v>
      </c>
      <c r="H3815" t="s">
        <v>54</v>
      </c>
      <c r="I3815">
        <v>1875</v>
      </c>
      <c r="J3815">
        <v>0</v>
      </c>
      <c r="K3815">
        <v>1</v>
      </c>
      <c r="L3815" t="s">
        <v>693</v>
      </c>
      <c r="M3815" t="s">
        <v>2836</v>
      </c>
      <c r="N3815">
        <v>207.50239999999999</v>
      </c>
      <c r="O3815">
        <v>0</v>
      </c>
      <c r="P3815" t="str">
        <f>IF(T[[#This Row],[qty_ordered]]&lt;&gt;T[[#This Row],[qty_received]],IF(T[[#This Row],[qty_received]]&gt;0,"Partial Received","Not Receviced"),"FullyReceived")</f>
        <v>Not Receviced</v>
      </c>
      <c r="Q3815" t="str">
        <f>IF(T[[#This Row],[qty_received]]&lt;&gt;T[[#This Row],[qty_invoiced]],IF(T[[#This Row],[qty_invoiced]]&gt;0,"Partial Invoiced","Not Invoiced"),"Fully Invoiced")</f>
        <v>Partial Invoiced</v>
      </c>
      <c r="R3815" t="str">
        <f>IFERROR(VLOOKUP(T[[#This Row],[warehouse]],Table2[],2,FALSE),"--")</f>
        <v>--</v>
      </c>
    </row>
    <row r="3816" spans="1:18" x14ac:dyDescent="0.25">
      <c r="A3816" t="s">
        <v>1975</v>
      </c>
      <c r="B3816" s="1">
        <v>44634</v>
      </c>
      <c r="C3816" t="s">
        <v>1976</v>
      </c>
      <c r="D3816" t="s">
        <v>71</v>
      </c>
      <c r="E3816" t="s">
        <v>1139</v>
      </c>
      <c r="F3816" t="s">
        <v>287</v>
      </c>
      <c r="G3816" t="s">
        <v>288</v>
      </c>
      <c r="H3816" t="s">
        <v>24</v>
      </c>
      <c r="I3816">
        <v>311.45999999999998</v>
      </c>
      <c r="J3816">
        <v>311.45999999999998</v>
      </c>
      <c r="K3816">
        <v>311.45999999999998</v>
      </c>
      <c r="L3816" t="s">
        <v>25</v>
      </c>
      <c r="M3816" t="s">
        <v>1485</v>
      </c>
      <c r="N3816">
        <v>425300</v>
      </c>
      <c r="O3816">
        <v>132463938</v>
      </c>
      <c r="P3816" t="str">
        <f>IF(T[[#This Row],[qty_ordered]]&lt;&gt;T[[#This Row],[qty_received]],IF(T[[#This Row],[qty_received]]&gt;0,"Partial Received","Not Receviced"),"FullyReceived")</f>
        <v>FullyReceived</v>
      </c>
      <c r="Q3816" t="str">
        <f>IF(T[[#This Row],[qty_received]]&lt;&gt;T[[#This Row],[qty_invoiced]],IF(T[[#This Row],[qty_invoiced]]&gt;0,"Partial Invoiced","Not Invoiced"),"Fully Invoiced")</f>
        <v>Fully Invoiced</v>
      </c>
      <c r="R3816" t="str">
        <f>IFERROR(VLOOKUP(T[[#This Row],[warehouse]],Table2[],2,FALSE),"--")</f>
        <v>Magzoub Sorting - OMD</v>
      </c>
    </row>
    <row r="3817" spans="1:18" x14ac:dyDescent="0.25">
      <c r="A3817" t="s">
        <v>1685</v>
      </c>
      <c r="B3817" s="1">
        <v>44629</v>
      </c>
      <c r="C3817" t="s">
        <v>2234</v>
      </c>
      <c r="D3817" t="s">
        <v>20</v>
      </c>
      <c r="E3817" t="s">
        <v>51</v>
      </c>
      <c r="F3817" t="s">
        <v>52</v>
      </c>
      <c r="G3817" t="s">
        <v>53</v>
      </c>
      <c r="H3817" t="s">
        <v>54</v>
      </c>
      <c r="I3817">
        <v>242.81</v>
      </c>
      <c r="J3817">
        <v>0</v>
      </c>
      <c r="K3817">
        <v>1</v>
      </c>
      <c r="L3817" t="s">
        <v>693</v>
      </c>
      <c r="M3817" t="s">
        <v>707</v>
      </c>
      <c r="N3817">
        <v>464.45749999999998</v>
      </c>
      <c r="O3817">
        <v>0</v>
      </c>
      <c r="P3817" t="str">
        <f>IF(T[[#This Row],[qty_ordered]]&lt;&gt;T[[#This Row],[qty_received]],IF(T[[#This Row],[qty_received]]&gt;0,"Partial Received","Not Receviced"),"FullyReceived")</f>
        <v>Not Receviced</v>
      </c>
      <c r="Q3817" t="str">
        <f>IF(T[[#This Row],[qty_received]]&lt;&gt;T[[#This Row],[qty_invoiced]],IF(T[[#This Row],[qty_invoiced]]&gt;0,"Partial Invoiced","Not Invoiced"),"Fully Invoiced")</f>
        <v>Partial Invoiced</v>
      </c>
      <c r="R3817" t="str">
        <f>IFERROR(VLOOKUP(T[[#This Row],[warehouse]],Table2[],2,FALSE),"--")</f>
        <v>--</v>
      </c>
    </row>
    <row r="3818" spans="1:18" x14ac:dyDescent="0.25">
      <c r="A3818" t="s">
        <v>1685</v>
      </c>
      <c r="B3818" s="1">
        <v>44629</v>
      </c>
      <c r="C3818" t="s">
        <v>2235</v>
      </c>
      <c r="D3818" t="s">
        <v>20</v>
      </c>
      <c r="E3818" t="s">
        <v>51</v>
      </c>
      <c r="F3818" t="s">
        <v>52</v>
      </c>
      <c r="G3818" t="s">
        <v>53</v>
      </c>
      <c r="H3818" t="s">
        <v>54</v>
      </c>
      <c r="I3818">
        <v>246.48</v>
      </c>
      <c r="J3818">
        <v>0</v>
      </c>
      <c r="K3818">
        <v>1</v>
      </c>
      <c r="L3818" t="s">
        <v>693</v>
      </c>
      <c r="M3818" t="s">
        <v>707</v>
      </c>
      <c r="N3818">
        <v>464.45749999999998</v>
      </c>
      <c r="O3818">
        <v>0</v>
      </c>
      <c r="P3818" t="str">
        <f>IF(T[[#This Row],[qty_ordered]]&lt;&gt;T[[#This Row],[qty_received]],IF(T[[#This Row],[qty_received]]&gt;0,"Partial Received","Not Receviced"),"FullyReceived")</f>
        <v>Not Receviced</v>
      </c>
      <c r="Q3818" t="str">
        <f>IF(T[[#This Row],[qty_received]]&lt;&gt;T[[#This Row],[qty_invoiced]],IF(T[[#This Row],[qty_invoiced]]&gt;0,"Partial Invoiced","Not Invoiced"),"Fully Invoiced")</f>
        <v>Partial Invoiced</v>
      </c>
      <c r="R3818" t="str">
        <f>IFERROR(VLOOKUP(T[[#This Row],[warehouse]],Table2[],2,FALSE),"--")</f>
        <v>--</v>
      </c>
    </row>
    <row r="3819" spans="1:18" x14ac:dyDescent="0.25">
      <c r="A3819" t="s">
        <v>353</v>
      </c>
      <c r="B3819" s="1">
        <v>44698</v>
      </c>
      <c r="C3819" t="s">
        <v>2236</v>
      </c>
      <c r="D3819" t="s">
        <v>20</v>
      </c>
      <c r="E3819" t="s">
        <v>203</v>
      </c>
      <c r="F3819" t="s">
        <v>1677</v>
      </c>
      <c r="G3819" t="s">
        <v>1678</v>
      </c>
      <c r="H3819" t="s">
        <v>149</v>
      </c>
      <c r="I3819">
        <v>50000</v>
      </c>
      <c r="J3819">
        <v>50000</v>
      </c>
      <c r="K3819">
        <v>50000</v>
      </c>
      <c r="L3819" t="s">
        <v>25</v>
      </c>
      <c r="M3819" t="s">
        <v>1404</v>
      </c>
      <c r="N3819">
        <v>430</v>
      </c>
      <c r="O3819">
        <v>21500000</v>
      </c>
      <c r="P3819" t="str">
        <f>IF(T[[#This Row],[qty_ordered]]&lt;&gt;T[[#This Row],[qty_received]],IF(T[[#This Row],[qty_received]]&gt;0,"Partial Received","Not Receviced"),"FullyReceived")</f>
        <v>FullyReceived</v>
      </c>
      <c r="Q3819" t="str">
        <f>IF(T[[#This Row],[qty_received]]&lt;&gt;T[[#This Row],[qty_invoiced]],IF(T[[#This Row],[qty_invoiced]]&gt;0,"Partial Invoiced","Not Invoiced"),"Fully Invoiced")</f>
        <v>Fully Invoiced</v>
      </c>
      <c r="R3819" t="str">
        <f>IFERROR(VLOOKUP(T[[#This Row],[warehouse]],Table2[],2,FALSE),"--")</f>
        <v>PZU Packaging Warehouse</v>
      </c>
    </row>
    <row r="3820" spans="1:18" x14ac:dyDescent="0.25">
      <c r="A3820" t="s">
        <v>560</v>
      </c>
      <c r="B3820" s="1">
        <v>44572</v>
      </c>
      <c r="C3820" t="s">
        <v>1651</v>
      </c>
      <c r="D3820" t="s">
        <v>212</v>
      </c>
      <c r="E3820" t="s">
        <v>51</v>
      </c>
      <c r="F3820" t="s">
        <v>164</v>
      </c>
      <c r="G3820" t="s">
        <v>2154</v>
      </c>
      <c r="H3820" t="s">
        <v>54</v>
      </c>
      <c r="I3820">
        <v>16</v>
      </c>
      <c r="J3820">
        <v>0</v>
      </c>
      <c r="K3820">
        <v>1</v>
      </c>
      <c r="L3820" t="s">
        <v>693</v>
      </c>
      <c r="M3820" t="s">
        <v>2836</v>
      </c>
      <c r="N3820">
        <v>5250</v>
      </c>
      <c r="O3820">
        <v>0</v>
      </c>
      <c r="P3820" t="str">
        <f>IF(T[[#This Row],[qty_ordered]]&lt;&gt;T[[#This Row],[qty_received]],IF(T[[#This Row],[qty_received]]&gt;0,"Partial Received","Not Receviced"),"FullyReceived")</f>
        <v>Not Receviced</v>
      </c>
      <c r="Q3820" t="str">
        <f>IF(T[[#This Row],[qty_received]]&lt;&gt;T[[#This Row],[qty_invoiced]],IF(T[[#This Row],[qty_invoiced]]&gt;0,"Partial Invoiced","Not Invoiced"),"Fully Invoiced")</f>
        <v>Partial Invoiced</v>
      </c>
      <c r="R3820" t="str">
        <f>IFERROR(VLOOKUP(T[[#This Row],[warehouse]],Table2[],2,FALSE),"--")</f>
        <v>--</v>
      </c>
    </row>
    <row r="3821" spans="1:18" x14ac:dyDescent="0.25">
      <c r="A3821" t="s">
        <v>560</v>
      </c>
      <c r="B3821" s="1">
        <v>44544</v>
      </c>
      <c r="C3821" t="s">
        <v>1524</v>
      </c>
      <c r="D3821" t="s">
        <v>595</v>
      </c>
      <c r="E3821" t="s">
        <v>51</v>
      </c>
      <c r="F3821" t="s">
        <v>164</v>
      </c>
      <c r="G3821" t="s">
        <v>2237</v>
      </c>
      <c r="H3821" t="s">
        <v>54</v>
      </c>
      <c r="I3821">
        <v>25</v>
      </c>
      <c r="J3821">
        <v>0</v>
      </c>
      <c r="K3821">
        <v>1</v>
      </c>
      <c r="L3821" t="s">
        <v>693</v>
      </c>
      <c r="M3821" t="s">
        <v>2836</v>
      </c>
      <c r="N3821">
        <v>5250</v>
      </c>
      <c r="O3821">
        <v>0</v>
      </c>
      <c r="P3821" t="str">
        <f>IF(T[[#This Row],[qty_ordered]]&lt;&gt;T[[#This Row],[qty_received]],IF(T[[#This Row],[qty_received]]&gt;0,"Partial Received","Not Receviced"),"FullyReceived")</f>
        <v>Not Receviced</v>
      </c>
      <c r="Q3821" t="str">
        <f>IF(T[[#This Row],[qty_received]]&lt;&gt;T[[#This Row],[qty_invoiced]],IF(T[[#This Row],[qty_invoiced]]&gt;0,"Partial Invoiced","Not Invoiced"),"Fully Invoiced")</f>
        <v>Partial Invoiced</v>
      </c>
      <c r="R3821" t="str">
        <f>IFERROR(VLOOKUP(T[[#This Row],[warehouse]],Table2[],2,FALSE),"--")</f>
        <v>--</v>
      </c>
    </row>
    <row r="3822" spans="1:18" x14ac:dyDescent="0.25">
      <c r="A3822" t="s">
        <v>560</v>
      </c>
      <c r="B3822" s="1">
        <v>44544</v>
      </c>
      <c r="C3822" t="s">
        <v>1524</v>
      </c>
      <c r="D3822" t="s">
        <v>596</v>
      </c>
      <c r="E3822" t="s">
        <v>51</v>
      </c>
      <c r="F3822" t="s">
        <v>164</v>
      </c>
      <c r="G3822" t="s">
        <v>2238</v>
      </c>
      <c r="H3822" t="s">
        <v>54</v>
      </c>
      <c r="I3822">
        <v>17</v>
      </c>
      <c r="J3822">
        <v>0</v>
      </c>
      <c r="K3822">
        <v>1</v>
      </c>
      <c r="L3822" t="s">
        <v>693</v>
      </c>
      <c r="M3822" t="s">
        <v>2836</v>
      </c>
      <c r="N3822">
        <v>5250</v>
      </c>
      <c r="O3822">
        <v>0</v>
      </c>
      <c r="P3822" t="str">
        <f>IF(T[[#This Row],[qty_ordered]]&lt;&gt;T[[#This Row],[qty_received]],IF(T[[#This Row],[qty_received]]&gt;0,"Partial Received","Not Receviced"),"FullyReceived")</f>
        <v>Not Receviced</v>
      </c>
      <c r="Q3822" t="str">
        <f>IF(T[[#This Row],[qty_received]]&lt;&gt;T[[#This Row],[qty_invoiced]],IF(T[[#This Row],[qty_invoiced]]&gt;0,"Partial Invoiced","Not Invoiced"),"Fully Invoiced")</f>
        <v>Partial Invoiced</v>
      </c>
      <c r="R3822" t="str">
        <f>IFERROR(VLOOKUP(T[[#This Row],[warehouse]],Table2[],2,FALSE),"--")</f>
        <v>--</v>
      </c>
    </row>
    <row r="3823" spans="1:18" x14ac:dyDescent="0.25">
      <c r="A3823" t="s">
        <v>560</v>
      </c>
      <c r="B3823" s="1">
        <v>44544</v>
      </c>
      <c r="C3823" t="s">
        <v>1542</v>
      </c>
      <c r="D3823" t="s">
        <v>694</v>
      </c>
      <c r="E3823" t="s">
        <v>51</v>
      </c>
      <c r="F3823" t="s">
        <v>164</v>
      </c>
      <c r="G3823" t="s">
        <v>2239</v>
      </c>
      <c r="H3823" t="s">
        <v>54</v>
      </c>
      <c r="I3823">
        <v>25</v>
      </c>
      <c r="J3823">
        <v>0</v>
      </c>
      <c r="K3823">
        <v>1</v>
      </c>
      <c r="L3823" t="s">
        <v>693</v>
      </c>
      <c r="M3823" t="s">
        <v>533</v>
      </c>
      <c r="N3823">
        <v>5250</v>
      </c>
      <c r="O3823">
        <v>0</v>
      </c>
      <c r="P3823" t="str">
        <f>IF(T[[#This Row],[qty_ordered]]&lt;&gt;T[[#This Row],[qty_received]],IF(T[[#This Row],[qty_received]]&gt;0,"Partial Received","Not Receviced"),"FullyReceived")</f>
        <v>Not Receviced</v>
      </c>
      <c r="Q3823" t="str">
        <f>IF(T[[#This Row],[qty_received]]&lt;&gt;T[[#This Row],[qty_invoiced]],IF(T[[#This Row],[qty_invoiced]]&gt;0,"Partial Invoiced","Not Invoiced"),"Fully Invoiced")</f>
        <v>Partial Invoiced</v>
      </c>
      <c r="R3823" t="str">
        <f>IFERROR(VLOOKUP(T[[#This Row],[warehouse]],Table2[],2,FALSE),"--")</f>
        <v>--</v>
      </c>
    </row>
    <row r="3824" spans="1:18" x14ac:dyDescent="0.25">
      <c r="A3824" t="s">
        <v>560</v>
      </c>
      <c r="B3824" s="1">
        <v>44544</v>
      </c>
      <c r="C3824" t="s">
        <v>1542</v>
      </c>
      <c r="D3824" t="s">
        <v>760</v>
      </c>
      <c r="E3824" t="s">
        <v>51</v>
      </c>
      <c r="F3824" t="s">
        <v>164</v>
      </c>
      <c r="G3824" t="s">
        <v>2240</v>
      </c>
      <c r="H3824" t="s">
        <v>54</v>
      </c>
      <c r="I3824">
        <v>26</v>
      </c>
      <c r="J3824">
        <v>0</v>
      </c>
      <c r="K3824">
        <v>1</v>
      </c>
      <c r="L3824" t="s">
        <v>693</v>
      </c>
      <c r="M3824" t="s">
        <v>533</v>
      </c>
      <c r="N3824">
        <v>5250</v>
      </c>
      <c r="O3824">
        <v>0</v>
      </c>
      <c r="P3824" t="str">
        <f>IF(T[[#This Row],[qty_ordered]]&lt;&gt;T[[#This Row],[qty_received]],IF(T[[#This Row],[qty_received]]&gt;0,"Partial Received","Not Receviced"),"FullyReceived")</f>
        <v>Not Receviced</v>
      </c>
      <c r="Q3824" t="str">
        <f>IF(T[[#This Row],[qty_received]]&lt;&gt;T[[#This Row],[qty_invoiced]],IF(T[[#This Row],[qty_invoiced]]&gt;0,"Partial Invoiced","Not Invoiced"),"Fully Invoiced")</f>
        <v>Partial Invoiced</v>
      </c>
      <c r="R3824" t="str">
        <f>IFERROR(VLOOKUP(T[[#This Row],[warehouse]],Table2[],2,FALSE),"--")</f>
        <v>--</v>
      </c>
    </row>
    <row r="3825" spans="1:18" x14ac:dyDescent="0.25">
      <c r="A3825" t="s">
        <v>560</v>
      </c>
      <c r="B3825" s="1">
        <v>44544</v>
      </c>
      <c r="C3825" t="s">
        <v>1542</v>
      </c>
      <c r="D3825" t="s">
        <v>591</v>
      </c>
      <c r="E3825" t="s">
        <v>51</v>
      </c>
      <c r="F3825" t="s">
        <v>164</v>
      </c>
      <c r="G3825" t="s">
        <v>2241</v>
      </c>
      <c r="H3825" t="s">
        <v>54</v>
      </c>
      <c r="I3825">
        <v>22</v>
      </c>
      <c r="J3825">
        <v>0</v>
      </c>
      <c r="K3825">
        <v>1</v>
      </c>
      <c r="L3825" t="s">
        <v>693</v>
      </c>
      <c r="M3825" t="s">
        <v>533</v>
      </c>
      <c r="N3825">
        <v>5250</v>
      </c>
      <c r="O3825">
        <v>0</v>
      </c>
      <c r="P3825" t="str">
        <f>IF(T[[#This Row],[qty_ordered]]&lt;&gt;T[[#This Row],[qty_received]],IF(T[[#This Row],[qty_received]]&gt;0,"Partial Received","Not Receviced"),"FullyReceived")</f>
        <v>Not Receviced</v>
      </c>
      <c r="Q3825" t="str">
        <f>IF(T[[#This Row],[qty_received]]&lt;&gt;T[[#This Row],[qty_invoiced]],IF(T[[#This Row],[qty_invoiced]]&gt;0,"Partial Invoiced","Not Invoiced"),"Fully Invoiced")</f>
        <v>Partial Invoiced</v>
      </c>
      <c r="R3825" t="str">
        <f>IFERROR(VLOOKUP(T[[#This Row],[warehouse]],Table2[],2,FALSE),"--")</f>
        <v>--</v>
      </c>
    </row>
    <row r="3826" spans="1:18" x14ac:dyDescent="0.25">
      <c r="A3826" t="s">
        <v>560</v>
      </c>
      <c r="B3826" s="1">
        <v>44544</v>
      </c>
      <c r="C3826" t="s">
        <v>1542</v>
      </c>
      <c r="D3826" t="s">
        <v>592</v>
      </c>
      <c r="E3826" t="s">
        <v>51</v>
      </c>
      <c r="F3826" t="s">
        <v>164</v>
      </c>
      <c r="G3826" t="s">
        <v>2242</v>
      </c>
      <c r="H3826" t="s">
        <v>54</v>
      </c>
      <c r="I3826">
        <v>25</v>
      </c>
      <c r="J3826">
        <v>0</v>
      </c>
      <c r="K3826">
        <v>1</v>
      </c>
      <c r="L3826" t="s">
        <v>693</v>
      </c>
      <c r="M3826" t="s">
        <v>533</v>
      </c>
      <c r="N3826">
        <v>5250</v>
      </c>
      <c r="O3826">
        <v>0</v>
      </c>
      <c r="P3826" t="str">
        <f>IF(T[[#This Row],[qty_ordered]]&lt;&gt;T[[#This Row],[qty_received]],IF(T[[#This Row],[qty_received]]&gt;0,"Partial Received","Not Receviced"),"FullyReceived")</f>
        <v>Not Receviced</v>
      </c>
      <c r="Q3826" t="str">
        <f>IF(T[[#This Row],[qty_received]]&lt;&gt;T[[#This Row],[qty_invoiced]],IF(T[[#This Row],[qty_invoiced]]&gt;0,"Partial Invoiced","Not Invoiced"),"Fully Invoiced")</f>
        <v>Partial Invoiced</v>
      </c>
      <c r="R3826" t="str">
        <f>IFERROR(VLOOKUP(T[[#This Row],[warehouse]],Table2[],2,FALSE),"--")</f>
        <v>--</v>
      </c>
    </row>
    <row r="3827" spans="1:18" x14ac:dyDescent="0.25">
      <c r="A3827" t="s">
        <v>560</v>
      </c>
      <c r="B3827" s="1">
        <v>44544</v>
      </c>
      <c r="C3827" t="s">
        <v>1542</v>
      </c>
      <c r="D3827" t="s">
        <v>593</v>
      </c>
      <c r="E3827" t="s">
        <v>51</v>
      </c>
      <c r="F3827" t="s">
        <v>164</v>
      </c>
      <c r="G3827" t="s">
        <v>2241</v>
      </c>
      <c r="H3827" t="s">
        <v>54</v>
      </c>
      <c r="I3827">
        <v>27</v>
      </c>
      <c r="J3827">
        <v>0</v>
      </c>
      <c r="K3827">
        <v>1</v>
      </c>
      <c r="L3827" t="s">
        <v>693</v>
      </c>
      <c r="M3827" t="s">
        <v>533</v>
      </c>
      <c r="N3827">
        <v>5250</v>
      </c>
      <c r="O3827">
        <v>0</v>
      </c>
      <c r="P3827" t="str">
        <f>IF(T[[#This Row],[qty_ordered]]&lt;&gt;T[[#This Row],[qty_received]],IF(T[[#This Row],[qty_received]]&gt;0,"Partial Received","Not Receviced"),"FullyReceived")</f>
        <v>Not Receviced</v>
      </c>
      <c r="Q3827" t="str">
        <f>IF(T[[#This Row],[qty_received]]&lt;&gt;T[[#This Row],[qty_invoiced]],IF(T[[#This Row],[qty_invoiced]]&gt;0,"Partial Invoiced","Not Invoiced"),"Fully Invoiced")</f>
        <v>Partial Invoiced</v>
      </c>
      <c r="R3827" t="str">
        <f>IFERROR(VLOOKUP(T[[#This Row],[warehouse]],Table2[],2,FALSE),"--")</f>
        <v>--</v>
      </c>
    </row>
    <row r="3828" spans="1:18" x14ac:dyDescent="0.25">
      <c r="A3828" t="s">
        <v>560</v>
      </c>
      <c r="B3828" s="1">
        <v>44606</v>
      </c>
      <c r="C3828" t="s">
        <v>1546</v>
      </c>
      <c r="D3828" t="s">
        <v>614</v>
      </c>
      <c r="E3828" t="s">
        <v>51</v>
      </c>
      <c r="F3828" t="s">
        <v>164</v>
      </c>
      <c r="G3828" t="s">
        <v>1669</v>
      </c>
      <c r="H3828" t="s">
        <v>54</v>
      </c>
      <c r="I3828">
        <v>25</v>
      </c>
      <c r="J3828">
        <v>0</v>
      </c>
      <c r="K3828">
        <v>1</v>
      </c>
      <c r="L3828" t="s">
        <v>693</v>
      </c>
      <c r="M3828" t="s">
        <v>2836</v>
      </c>
      <c r="N3828">
        <v>5250</v>
      </c>
      <c r="O3828">
        <v>0</v>
      </c>
      <c r="P3828" t="str">
        <f>IF(T[[#This Row],[qty_ordered]]&lt;&gt;T[[#This Row],[qty_received]],IF(T[[#This Row],[qty_received]]&gt;0,"Partial Received","Not Receviced"),"FullyReceived")</f>
        <v>Not Receviced</v>
      </c>
      <c r="Q3828" t="str">
        <f>IF(T[[#This Row],[qty_received]]&lt;&gt;T[[#This Row],[qty_invoiced]],IF(T[[#This Row],[qty_invoiced]]&gt;0,"Partial Invoiced","Not Invoiced"),"Fully Invoiced")</f>
        <v>Partial Invoiced</v>
      </c>
      <c r="R3828" t="str">
        <f>IFERROR(VLOOKUP(T[[#This Row],[warehouse]],Table2[],2,FALSE),"--")</f>
        <v>--</v>
      </c>
    </row>
    <row r="3829" spans="1:18" x14ac:dyDescent="0.25">
      <c r="A3829" t="s">
        <v>1146</v>
      </c>
      <c r="B3829" s="1">
        <v>44592</v>
      </c>
      <c r="C3829" t="s">
        <v>2067</v>
      </c>
      <c r="D3829" t="s">
        <v>88</v>
      </c>
      <c r="E3829" t="s">
        <v>2068</v>
      </c>
      <c r="F3829" t="s">
        <v>2069</v>
      </c>
      <c r="G3829" t="s">
        <v>2070</v>
      </c>
      <c r="H3829" t="s">
        <v>24</v>
      </c>
      <c r="I3829">
        <v>544.77</v>
      </c>
      <c r="J3829">
        <v>0</v>
      </c>
      <c r="K3829">
        <v>0</v>
      </c>
      <c r="L3829" t="s">
        <v>25</v>
      </c>
      <c r="M3829" t="s">
        <v>1485</v>
      </c>
      <c r="N3829">
        <v>220276.44693999999</v>
      </c>
      <c r="O3829">
        <v>0</v>
      </c>
      <c r="P3829" t="str">
        <f>IF(T[[#This Row],[qty_ordered]]&lt;&gt;T[[#This Row],[qty_received]],IF(T[[#This Row],[qty_received]]&gt;0,"Partial Received","Not Receviced"),"FullyReceived")</f>
        <v>Not Receviced</v>
      </c>
      <c r="Q3829" t="str">
        <f>IF(T[[#This Row],[qty_received]]&lt;&gt;T[[#This Row],[qty_invoiced]],IF(T[[#This Row],[qty_invoiced]]&gt;0,"Partial Invoiced","Not Invoiced"),"Fully Invoiced")</f>
        <v>Fully Invoiced</v>
      </c>
      <c r="R3829" t="str">
        <f>IFERROR(VLOOKUP(T[[#This Row],[warehouse]],Table2[],2,FALSE),"--")</f>
        <v xml:space="preserve">ADEEB SHELLER </v>
      </c>
    </row>
    <row r="3830" spans="1:18" x14ac:dyDescent="0.25">
      <c r="A3830" t="s">
        <v>423</v>
      </c>
      <c r="B3830" s="1">
        <v>44698</v>
      </c>
      <c r="C3830" t="s">
        <v>2243</v>
      </c>
      <c r="D3830" t="s">
        <v>20</v>
      </c>
      <c r="E3830" t="s">
        <v>51</v>
      </c>
      <c r="F3830" t="s">
        <v>52</v>
      </c>
      <c r="G3830" t="s">
        <v>2244</v>
      </c>
      <c r="H3830" t="s">
        <v>54</v>
      </c>
      <c r="I3830">
        <v>1</v>
      </c>
      <c r="J3830">
        <v>0</v>
      </c>
      <c r="K3830">
        <v>0</v>
      </c>
      <c r="L3830" t="s">
        <v>693</v>
      </c>
      <c r="M3830" t="s">
        <v>132</v>
      </c>
      <c r="N3830">
        <v>1700000</v>
      </c>
      <c r="O3830">
        <v>0</v>
      </c>
      <c r="P3830" t="str">
        <f>IF(T[[#This Row],[qty_ordered]]&lt;&gt;T[[#This Row],[qty_received]],IF(T[[#This Row],[qty_received]]&gt;0,"Partial Received","Not Receviced"),"FullyReceived")</f>
        <v>Not Receviced</v>
      </c>
      <c r="Q3830" t="str">
        <f>IF(T[[#This Row],[qty_received]]&lt;&gt;T[[#This Row],[qty_invoiced]],IF(T[[#This Row],[qty_invoiced]]&gt;0,"Partial Invoiced","Not Invoiced"),"Fully Invoiced")</f>
        <v>Fully Invoiced</v>
      </c>
      <c r="R3830" t="str">
        <f>IFERROR(VLOOKUP(T[[#This Row],[warehouse]],Table2[],2,FALSE),"--")</f>
        <v>--</v>
      </c>
    </row>
    <row r="3831" spans="1:18" x14ac:dyDescent="0.25">
      <c r="A3831" t="s">
        <v>1114</v>
      </c>
      <c r="B3831" s="1">
        <v>44635</v>
      </c>
      <c r="C3831" t="s">
        <v>1638</v>
      </c>
      <c r="D3831" t="s">
        <v>88</v>
      </c>
      <c r="E3831" t="s">
        <v>1438</v>
      </c>
      <c r="F3831" t="s">
        <v>1439</v>
      </c>
      <c r="G3831" t="s">
        <v>1440</v>
      </c>
      <c r="H3831" t="s">
        <v>1087</v>
      </c>
      <c r="I3831">
        <v>1000</v>
      </c>
      <c r="J3831">
        <v>950</v>
      </c>
      <c r="K3831">
        <v>950</v>
      </c>
      <c r="L3831" t="s">
        <v>25</v>
      </c>
      <c r="M3831" t="s">
        <v>1485</v>
      </c>
      <c r="N3831">
        <v>46000</v>
      </c>
      <c r="O3831">
        <v>43700000</v>
      </c>
      <c r="P3831" t="str">
        <f>IF(T[[#This Row],[qty_ordered]]&lt;&gt;T[[#This Row],[qty_received]],IF(T[[#This Row],[qty_received]]&gt;0,"Partial Received","Not Receviced"),"FullyReceived")</f>
        <v>Partial Received</v>
      </c>
      <c r="Q3831" t="str">
        <f>IF(T[[#This Row],[qty_received]]&lt;&gt;T[[#This Row],[qty_invoiced]],IF(T[[#This Row],[qty_invoiced]]&gt;0,"Partial Invoiced","Not Invoiced"),"Fully Invoiced")</f>
        <v>Fully Invoiced</v>
      </c>
      <c r="R3831" t="str">
        <f>IFERROR(VLOOKUP(T[[#This Row],[warehouse]],Table2[],2,FALSE),"--")</f>
        <v>Livestock Barn</v>
      </c>
    </row>
    <row r="3832" spans="1:18" x14ac:dyDescent="0.25">
      <c r="A3832" t="s">
        <v>1675</v>
      </c>
      <c r="B3832" s="1">
        <v>44704</v>
      </c>
      <c r="C3832" t="s">
        <v>1676</v>
      </c>
      <c r="D3832" t="s">
        <v>20</v>
      </c>
      <c r="E3832" t="s">
        <v>203</v>
      </c>
      <c r="F3832" t="s">
        <v>1677</v>
      </c>
      <c r="G3832" t="s">
        <v>1678</v>
      </c>
      <c r="H3832" t="s">
        <v>149</v>
      </c>
      <c r="I3832">
        <v>130000</v>
      </c>
      <c r="J3832">
        <v>130000</v>
      </c>
      <c r="K3832">
        <v>0</v>
      </c>
      <c r="L3832" t="s">
        <v>693</v>
      </c>
      <c r="M3832" t="s">
        <v>1404</v>
      </c>
      <c r="N3832">
        <v>347.6</v>
      </c>
      <c r="O3832">
        <v>45188000</v>
      </c>
      <c r="P3832" t="str">
        <f>IF(T[[#This Row],[qty_ordered]]&lt;&gt;T[[#This Row],[qty_received]],IF(T[[#This Row],[qty_received]]&gt;0,"Partial Received","Not Receviced"),"FullyReceived")</f>
        <v>FullyReceived</v>
      </c>
      <c r="Q3832" t="str">
        <f>IF(T[[#This Row],[qty_received]]&lt;&gt;T[[#This Row],[qty_invoiced]],IF(T[[#This Row],[qty_invoiced]]&gt;0,"Partial Invoiced","Not Invoiced"),"Fully Invoiced")</f>
        <v>Not Invoiced</v>
      </c>
      <c r="R3832" t="str">
        <f>IFERROR(VLOOKUP(T[[#This Row],[warehouse]],Table2[],2,FALSE),"--")</f>
        <v>PZU Packaging Warehouse</v>
      </c>
    </row>
    <row r="3833" spans="1:18" x14ac:dyDescent="0.25">
      <c r="A3833" t="s">
        <v>423</v>
      </c>
      <c r="B3833" s="1">
        <v>44599</v>
      </c>
      <c r="C3833" t="s">
        <v>1567</v>
      </c>
      <c r="D3833" t="s">
        <v>212</v>
      </c>
      <c r="E3833" t="s">
        <v>51</v>
      </c>
      <c r="F3833" t="s">
        <v>546</v>
      </c>
      <c r="G3833" t="s">
        <v>2245</v>
      </c>
      <c r="H3833" t="s">
        <v>54</v>
      </c>
      <c r="I3833">
        <v>5000</v>
      </c>
      <c r="J3833">
        <v>0</v>
      </c>
      <c r="K3833">
        <v>1</v>
      </c>
      <c r="L3833" t="s">
        <v>693</v>
      </c>
      <c r="M3833" t="s">
        <v>533</v>
      </c>
      <c r="N3833">
        <v>24</v>
      </c>
      <c r="O3833">
        <v>0</v>
      </c>
      <c r="P3833" t="str">
        <f>IF(T[[#This Row],[qty_ordered]]&lt;&gt;T[[#This Row],[qty_received]],IF(T[[#This Row],[qty_received]]&gt;0,"Partial Received","Not Receviced"),"FullyReceived")</f>
        <v>Not Receviced</v>
      </c>
      <c r="Q3833" t="str">
        <f>IF(T[[#This Row],[qty_received]]&lt;&gt;T[[#This Row],[qty_invoiced]],IF(T[[#This Row],[qty_invoiced]]&gt;0,"Partial Invoiced","Not Invoiced"),"Fully Invoiced")</f>
        <v>Partial Invoiced</v>
      </c>
      <c r="R3833" t="str">
        <f>IFERROR(VLOOKUP(T[[#This Row],[warehouse]],Table2[],2,FALSE),"--")</f>
        <v>--</v>
      </c>
    </row>
    <row r="3834" spans="1:18" x14ac:dyDescent="0.25">
      <c r="A3834" t="s">
        <v>423</v>
      </c>
      <c r="B3834" s="1">
        <v>44599</v>
      </c>
      <c r="C3834" t="s">
        <v>1567</v>
      </c>
      <c r="D3834" t="s">
        <v>322</v>
      </c>
      <c r="E3834" t="s">
        <v>51</v>
      </c>
      <c r="F3834" t="s">
        <v>546</v>
      </c>
      <c r="G3834" t="s">
        <v>2246</v>
      </c>
      <c r="H3834" t="s">
        <v>54</v>
      </c>
      <c r="I3834">
        <v>15000</v>
      </c>
      <c r="J3834">
        <v>0</v>
      </c>
      <c r="K3834">
        <v>1</v>
      </c>
      <c r="L3834" t="s">
        <v>693</v>
      </c>
      <c r="M3834" t="s">
        <v>533</v>
      </c>
      <c r="N3834">
        <v>24</v>
      </c>
      <c r="O3834">
        <v>0</v>
      </c>
      <c r="P3834" t="str">
        <f>IF(T[[#This Row],[qty_ordered]]&lt;&gt;T[[#This Row],[qty_received]],IF(T[[#This Row],[qty_received]]&gt;0,"Partial Received","Not Receviced"),"FullyReceived")</f>
        <v>Not Receviced</v>
      </c>
      <c r="Q3834" t="str">
        <f>IF(T[[#This Row],[qty_received]]&lt;&gt;T[[#This Row],[qty_invoiced]],IF(T[[#This Row],[qty_invoiced]]&gt;0,"Partial Invoiced","Not Invoiced"),"Fully Invoiced")</f>
        <v>Partial Invoiced</v>
      </c>
      <c r="R3834" t="str">
        <f>IFERROR(VLOOKUP(T[[#This Row],[warehouse]],Table2[],2,FALSE),"--")</f>
        <v>--</v>
      </c>
    </row>
    <row r="3835" spans="1:18" x14ac:dyDescent="0.25">
      <c r="A3835" t="s">
        <v>423</v>
      </c>
      <c r="B3835" s="1">
        <v>44599</v>
      </c>
      <c r="C3835" t="s">
        <v>1567</v>
      </c>
      <c r="D3835" t="s">
        <v>323</v>
      </c>
      <c r="E3835" t="s">
        <v>51</v>
      </c>
      <c r="F3835" t="s">
        <v>546</v>
      </c>
      <c r="G3835" t="s">
        <v>2247</v>
      </c>
      <c r="H3835" t="s">
        <v>54</v>
      </c>
      <c r="I3835">
        <v>12000</v>
      </c>
      <c r="J3835">
        <v>0</v>
      </c>
      <c r="K3835">
        <v>1</v>
      </c>
      <c r="L3835" t="s">
        <v>693</v>
      </c>
      <c r="M3835" t="s">
        <v>533</v>
      </c>
      <c r="N3835">
        <v>24</v>
      </c>
      <c r="O3835">
        <v>0</v>
      </c>
      <c r="P3835" t="str">
        <f>IF(T[[#This Row],[qty_ordered]]&lt;&gt;T[[#This Row],[qty_received]],IF(T[[#This Row],[qty_received]]&gt;0,"Partial Received","Not Receviced"),"FullyReceived")</f>
        <v>Not Receviced</v>
      </c>
      <c r="Q3835" t="str">
        <f>IF(T[[#This Row],[qty_received]]&lt;&gt;T[[#This Row],[qty_invoiced]],IF(T[[#This Row],[qty_invoiced]]&gt;0,"Partial Invoiced","Not Invoiced"),"Fully Invoiced")</f>
        <v>Partial Invoiced</v>
      </c>
      <c r="R3835" t="str">
        <f>IFERROR(VLOOKUP(T[[#This Row],[warehouse]],Table2[],2,FALSE),"--")</f>
        <v>--</v>
      </c>
    </row>
    <row r="3836" spans="1:18" x14ac:dyDescent="0.25">
      <c r="A3836" t="s">
        <v>1316</v>
      </c>
      <c r="B3836" s="1">
        <v>44592</v>
      </c>
      <c r="C3836" t="s">
        <v>1824</v>
      </c>
      <c r="D3836" t="s">
        <v>74</v>
      </c>
      <c r="E3836" t="s">
        <v>51</v>
      </c>
      <c r="F3836" t="s">
        <v>1641</v>
      </c>
      <c r="G3836" t="s">
        <v>2248</v>
      </c>
      <c r="H3836" t="s">
        <v>54</v>
      </c>
      <c r="I3836">
        <v>327.78</v>
      </c>
      <c r="J3836">
        <v>0</v>
      </c>
      <c r="K3836">
        <v>1</v>
      </c>
      <c r="L3836" t="s">
        <v>693</v>
      </c>
      <c r="M3836" t="s">
        <v>533</v>
      </c>
      <c r="N3836">
        <v>10000</v>
      </c>
      <c r="O3836">
        <v>0</v>
      </c>
      <c r="P3836" t="str">
        <f>IF(T[[#This Row],[qty_ordered]]&lt;&gt;T[[#This Row],[qty_received]],IF(T[[#This Row],[qty_received]]&gt;0,"Partial Received","Not Receviced"),"FullyReceived")</f>
        <v>Not Receviced</v>
      </c>
      <c r="Q3836" t="str">
        <f>IF(T[[#This Row],[qty_received]]&lt;&gt;T[[#This Row],[qty_invoiced]],IF(T[[#This Row],[qty_invoiced]]&gt;0,"Partial Invoiced","Not Invoiced"),"Fully Invoiced")</f>
        <v>Partial Invoiced</v>
      </c>
      <c r="R3836" t="str">
        <f>IFERROR(VLOOKUP(T[[#This Row],[warehouse]],Table2[],2,FALSE),"--")</f>
        <v>--</v>
      </c>
    </row>
    <row r="3837" spans="1:18" x14ac:dyDescent="0.25">
      <c r="A3837" t="s">
        <v>1316</v>
      </c>
      <c r="B3837" s="1">
        <v>44592</v>
      </c>
      <c r="C3837" t="s">
        <v>1824</v>
      </c>
      <c r="D3837" t="s">
        <v>76</v>
      </c>
      <c r="E3837" t="s">
        <v>51</v>
      </c>
      <c r="F3837" t="s">
        <v>1641</v>
      </c>
      <c r="G3837" t="s">
        <v>1642</v>
      </c>
      <c r="H3837" t="s">
        <v>54</v>
      </c>
      <c r="I3837">
        <v>500</v>
      </c>
      <c r="J3837">
        <v>0</v>
      </c>
      <c r="K3837">
        <v>1</v>
      </c>
      <c r="L3837" t="s">
        <v>693</v>
      </c>
      <c r="M3837" t="s">
        <v>533</v>
      </c>
      <c r="N3837">
        <v>10000</v>
      </c>
      <c r="O3837">
        <v>0</v>
      </c>
      <c r="P3837" t="str">
        <f>IF(T[[#This Row],[qty_ordered]]&lt;&gt;T[[#This Row],[qty_received]],IF(T[[#This Row],[qty_received]]&gt;0,"Partial Received","Not Receviced"),"FullyReceived")</f>
        <v>Not Receviced</v>
      </c>
      <c r="Q3837" t="str">
        <f>IF(T[[#This Row],[qty_received]]&lt;&gt;T[[#This Row],[qty_invoiced]],IF(T[[#This Row],[qty_invoiced]]&gt;0,"Partial Invoiced","Not Invoiced"),"Fully Invoiced")</f>
        <v>Partial Invoiced</v>
      </c>
      <c r="R3837" t="str">
        <f>IFERROR(VLOOKUP(T[[#This Row],[warehouse]],Table2[],2,FALSE),"--")</f>
        <v>--</v>
      </c>
    </row>
    <row r="3838" spans="1:18" x14ac:dyDescent="0.25">
      <c r="A3838" t="s">
        <v>1623</v>
      </c>
      <c r="B3838" s="1">
        <v>44588</v>
      </c>
      <c r="C3838" t="s">
        <v>1624</v>
      </c>
      <c r="D3838" t="s">
        <v>324</v>
      </c>
      <c r="E3838" t="s">
        <v>51</v>
      </c>
      <c r="F3838" t="s">
        <v>1641</v>
      </c>
      <c r="G3838" t="s">
        <v>2249</v>
      </c>
      <c r="H3838" t="s">
        <v>54</v>
      </c>
      <c r="I3838">
        <v>1101.2260000000001</v>
      </c>
      <c r="J3838">
        <v>0</v>
      </c>
      <c r="K3838">
        <v>1</v>
      </c>
      <c r="L3838" t="s">
        <v>693</v>
      </c>
      <c r="M3838" t="s">
        <v>533</v>
      </c>
      <c r="N3838">
        <v>11000</v>
      </c>
      <c r="O3838">
        <v>0</v>
      </c>
      <c r="P3838" t="str">
        <f>IF(T[[#This Row],[qty_ordered]]&lt;&gt;T[[#This Row],[qty_received]],IF(T[[#This Row],[qty_received]]&gt;0,"Partial Received","Not Receviced"),"FullyReceived")</f>
        <v>Not Receviced</v>
      </c>
      <c r="Q3838" t="str">
        <f>IF(T[[#This Row],[qty_received]]&lt;&gt;T[[#This Row],[qty_invoiced]],IF(T[[#This Row],[qty_invoiced]]&gt;0,"Partial Invoiced","Not Invoiced"),"Fully Invoiced")</f>
        <v>Partial Invoiced</v>
      </c>
      <c r="R3838" t="str">
        <f>IFERROR(VLOOKUP(T[[#This Row],[warehouse]],Table2[],2,FALSE),"--")</f>
        <v>--</v>
      </c>
    </row>
    <row r="3839" spans="1:18" x14ac:dyDescent="0.25">
      <c r="A3839" t="s">
        <v>1623</v>
      </c>
      <c r="B3839" s="1">
        <v>44588</v>
      </c>
      <c r="C3839" t="s">
        <v>1624</v>
      </c>
      <c r="D3839" t="s">
        <v>325</v>
      </c>
      <c r="E3839" t="s">
        <v>51</v>
      </c>
      <c r="F3839" t="s">
        <v>933</v>
      </c>
      <c r="G3839" t="s">
        <v>933</v>
      </c>
      <c r="H3839" t="s">
        <v>54</v>
      </c>
      <c r="I3839">
        <v>82833</v>
      </c>
      <c r="J3839">
        <v>0</v>
      </c>
      <c r="K3839">
        <v>1</v>
      </c>
      <c r="L3839" t="s">
        <v>693</v>
      </c>
      <c r="M3839" t="s">
        <v>533</v>
      </c>
      <c r="N3839">
        <v>12.2</v>
      </c>
      <c r="O3839">
        <v>0</v>
      </c>
      <c r="P3839" t="str">
        <f>IF(T[[#This Row],[qty_ordered]]&lt;&gt;T[[#This Row],[qty_received]],IF(T[[#This Row],[qty_received]]&gt;0,"Partial Received","Not Receviced"),"FullyReceived")</f>
        <v>Not Receviced</v>
      </c>
      <c r="Q3839" t="str">
        <f>IF(T[[#This Row],[qty_received]]&lt;&gt;T[[#This Row],[qty_invoiced]],IF(T[[#This Row],[qty_invoiced]]&gt;0,"Partial Invoiced","Not Invoiced"),"Fully Invoiced")</f>
        <v>Partial Invoiced</v>
      </c>
      <c r="R3839" t="str">
        <f>IFERROR(VLOOKUP(T[[#This Row],[warehouse]],Table2[],2,FALSE),"--")</f>
        <v>--</v>
      </c>
    </row>
    <row r="3840" spans="1:18" x14ac:dyDescent="0.25">
      <c r="A3840" t="s">
        <v>1623</v>
      </c>
      <c r="B3840" s="1">
        <v>44588</v>
      </c>
      <c r="C3840" t="s">
        <v>1624</v>
      </c>
      <c r="D3840" t="s">
        <v>451</v>
      </c>
      <c r="E3840" t="s">
        <v>51</v>
      </c>
      <c r="F3840" t="s">
        <v>753</v>
      </c>
      <c r="G3840" t="s">
        <v>753</v>
      </c>
      <c r="H3840" t="s">
        <v>54</v>
      </c>
      <c r="I3840">
        <v>0.17</v>
      </c>
      <c r="J3840">
        <v>0</v>
      </c>
      <c r="K3840">
        <v>1</v>
      </c>
      <c r="L3840" t="s">
        <v>693</v>
      </c>
      <c r="M3840" t="s">
        <v>533</v>
      </c>
      <c r="N3840">
        <v>12113486</v>
      </c>
      <c r="O3840">
        <v>0</v>
      </c>
      <c r="P3840" t="str">
        <f>IF(T[[#This Row],[qty_ordered]]&lt;&gt;T[[#This Row],[qty_received]],IF(T[[#This Row],[qty_received]]&gt;0,"Partial Received","Not Receviced"),"FullyReceived")</f>
        <v>Not Receviced</v>
      </c>
      <c r="Q3840" t="str">
        <f>IF(T[[#This Row],[qty_received]]&lt;&gt;T[[#This Row],[qty_invoiced]],IF(T[[#This Row],[qty_invoiced]]&gt;0,"Partial Invoiced","Not Invoiced"),"Fully Invoiced")</f>
        <v>Partial Invoiced</v>
      </c>
      <c r="R3840" t="str">
        <f>IFERROR(VLOOKUP(T[[#This Row],[warehouse]],Table2[],2,FALSE),"--")</f>
        <v>--</v>
      </c>
    </row>
    <row r="3841" spans="1:18" x14ac:dyDescent="0.25">
      <c r="A3841" t="s">
        <v>1868</v>
      </c>
      <c r="B3841" s="1">
        <v>44630</v>
      </c>
      <c r="C3841" t="s">
        <v>2250</v>
      </c>
      <c r="D3841" t="s">
        <v>20</v>
      </c>
      <c r="E3841" t="s">
        <v>146</v>
      </c>
      <c r="F3841" t="s">
        <v>1464</v>
      </c>
      <c r="G3841" t="s">
        <v>1465</v>
      </c>
      <c r="H3841" t="s">
        <v>149</v>
      </c>
      <c r="I3841">
        <v>24000</v>
      </c>
      <c r="J3841">
        <v>24000</v>
      </c>
      <c r="K3841">
        <v>24000</v>
      </c>
      <c r="L3841" t="s">
        <v>25</v>
      </c>
      <c r="M3841" t="s">
        <v>1404</v>
      </c>
      <c r="N3841">
        <v>140</v>
      </c>
      <c r="O3841">
        <v>3360000</v>
      </c>
      <c r="P3841" t="str">
        <f>IF(T[[#This Row],[qty_ordered]]&lt;&gt;T[[#This Row],[qty_received]],IF(T[[#This Row],[qty_received]]&gt;0,"Partial Received","Not Receviced"),"FullyReceived")</f>
        <v>FullyReceived</v>
      </c>
      <c r="Q3841" t="str">
        <f>IF(T[[#This Row],[qty_received]]&lt;&gt;T[[#This Row],[qty_invoiced]],IF(T[[#This Row],[qty_invoiced]]&gt;0,"Partial Invoiced","Not Invoiced"),"Fully Invoiced")</f>
        <v>Fully Invoiced</v>
      </c>
      <c r="R3841" t="str">
        <f>IFERROR(VLOOKUP(T[[#This Row],[warehouse]],Table2[],2,FALSE),"--")</f>
        <v>Khtoum Main Warehouse</v>
      </c>
    </row>
    <row r="3842" spans="1:18" x14ac:dyDescent="0.25">
      <c r="A3842" t="s">
        <v>423</v>
      </c>
      <c r="B3842" s="1">
        <v>44630</v>
      </c>
      <c r="C3842" t="s">
        <v>1734</v>
      </c>
      <c r="D3842" t="s">
        <v>20</v>
      </c>
      <c r="E3842" t="s">
        <v>146</v>
      </c>
      <c r="F3842" t="s">
        <v>943</v>
      </c>
      <c r="G3842" t="s">
        <v>944</v>
      </c>
      <c r="H3842" t="s">
        <v>149</v>
      </c>
      <c r="I3842">
        <v>40000</v>
      </c>
      <c r="J3842">
        <v>40000</v>
      </c>
      <c r="K3842">
        <v>40000</v>
      </c>
      <c r="L3842" t="s">
        <v>693</v>
      </c>
      <c r="M3842" t="s">
        <v>1404</v>
      </c>
      <c r="N3842">
        <v>300</v>
      </c>
      <c r="O3842">
        <v>9600000</v>
      </c>
      <c r="P3842" t="str">
        <f>IF(T[[#This Row],[qty_ordered]]&lt;&gt;T[[#This Row],[qty_received]],IF(T[[#This Row],[qty_received]]&gt;0,"Partial Received","Not Receviced"),"FullyReceived")</f>
        <v>FullyReceived</v>
      </c>
      <c r="Q3842" t="str">
        <f>IF(T[[#This Row],[qty_received]]&lt;&gt;T[[#This Row],[qty_invoiced]],IF(T[[#This Row],[qty_invoiced]]&gt;0,"Partial Invoiced","Not Invoiced"),"Fully Invoiced")</f>
        <v>Fully Invoiced</v>
      </c>
      <c r="R3842" t="str">
        <f>IFERROR(VLOOKUP(T[[#This Row],[warehouse]],Table2[],2,FALSE),"--")</f>
        <v>Khtoum Main Warehouse</v>
      </c>
    </row>
    <row r="3843" spans="1:18" x14ac:dyDescent="0.25">
      <c r="A3843" t="s">
        <v>252</v>
      </c>
      <c r="B3843" s="1">
        <v>44531</v>
      </c>
      <c r="C3843" t="s">
        <v>1491</v>
      </c>
      <c r="D3843" t="s">
        <v>323</v>
      </c>
      <c r="E3843" t="s">
        <v>51</v>
      </c>
      <c r="F3843" t="s">
        <v>183</v>
      </c>
      <c r="G3843" t="s">
        <v>2251</v>
      </c>
      <c r="H3843" t="s">
        <v>54</v>
      </c>
      <c r="I3843">
        <v>919.5</v>
      </c>
      <c r="J3843">
        <v>0</v>
      </c>
      <c r="K3843">
        <v>1</v>
      </c>
      <c r="L3843" t="s">
        <v>693</v>
      </c>
      <c r="M3843" t="s">
        <v>533</v>
      </c>
      <c r="N3843">
        <v>7000</v>
      </c>
      <c r="O3843">
        <v>0</v>
      </c>
      <c r="P3843" t="str">
        <f>IF(T[[#This Row],[qty_ordered]]&lt;&gt;T[[#This Row],[qty_received]],IF(T[[#This Row],[qty_received]]&gt;0,"Partial Received","Not Receviced"),"FullyReceived")</f>
        <v>Not Receviced</v>
      </c>
      <c r="Q3843" t="str">
        <f>IF(T[[#This Row],[qty_received]]&lt;&gt;T[[#This Row],[qty_invoiced]],IF(T[[#This Row],[qty_invoiced]]&gt;0,"Partial Invoiced","Not Invoiced"),"Fully Invoiced")</f>
        <v>Partial Invoiced</v>
      </c>
      <c r="R3843" t="str">
        <f>IFERROR(VLOOKUP(T[[#This Row],[warehouse]],Table2[],2,FALSE),"--")</f>
        <v>--</v>
      </c>
    </row>
    <row r="3844" spans="1:18" x14ac:dyDescent="0.25">
      <c r="A3844" t="s">
        <v>959</v>
      </c>
      <c r="B3844" s="1">
        <v>44710</v>
      </c>
      <c r="C3844" t="s">
        <v>2252</v>
      </c>
      <c r="D3844" t="s">
        <v>20</v>
      </c>
      <c r="E3844" t="s">
        <v>214</v>
      </c>
      <c r="F3844" t="s">
        <v>167</v>
      </c>
      <c r="G3844" t="s">
        <v>156</v>
      </c>
      <c r="H3844" t="s">
        <v>24</v>
      </c>
      <c r="I3844">
        <v>800</v>
      </c>
      <c r="J3844">
        <v>800</v>
      </c>
      <c r="K3844">
        <v>800</v>
      </c>
      <c r="L3844" t="s">
        <v>693</v>
      </c>
      <c r="M3844" t="s">
        <v>1485</v>
      </c>
      <c r="N3844">
        <v>1040000</v>
      </c>
      <c r="O3844">
        <v>832000000</v>
      </c>
      <c r="P3844" t="str">
        <f>IF(T[[#This Row],[qty_ordered]]&lt;&gt;T[[#This Row],[qty_received]],IF(T[[#This Row],[qty_received]]&gt;0,"Partial Received","Not Receviced"),"FullyReceived")</f>
        <v>FullyReceived</v>
      </c>
      <c r="Q3844" t="str">
        <f>IF(T[[#This Row],[qty_received]]&lt;&gt;T[[#This Row],[qty_invoiced]],IF(T[[#This Row],[qty_invoiced]]&gt;0,"Partial Invoiced","Not Invoiced"),"Fully Invoiced")</f>
        <v>Fully Invoiced</v>
      </c>
      <c r="R3844" t="str">
        <f>IFERROR(VLOOKUP(T[[#This Row],[warehouse]],Table2[],2,FALSE),"--")</f>
        <v>CRUSHER ELBALOLA</v>
      </c>
    </row>
    <row r="3845" spans="1:18" x14ac:dyDescent="0.25">
      <c r="A3845" t="s">
        <v>1114</v>
      </c>
      <c r="B3845" s="1">
        <v>44635</v>
      </c>
      <c r="C3845" t="s">
        <v>1638</v>
      </c>
      <c r="D3845" t="s">
        <v>74</v>
      </c>
      <c r="E3845" t="s">
        <v>1438</v>
      </c>
      <c r="F3845" t="s">
        <v>1439</v>
      </c>
      <c r="G3845" t="s">
        <v>1440</v>
      </c>
      <c r="H3845" t="s">
        <v>1087</v>
      </c>
      <c r="I3845">
        <v>2572</v>
      </c>
      <c r="J3845">
        <v>2572</v>
      </c>
      <c r="K3845">
        <v>2572</v>
      </c>
      <c r="L3845" t="s">
        <v>25</v>
      </c>
      <c r="M3845" t="s">
        <v>1485</v>
      </c>
      <c r="N3845">
        <v>29150</v>
      </c>
      <c r="O3845">
        <v>109295150.11304399</v>
      </c>
      <c r="P3845" t="str">
        <f>IF(T[[#This Row],[qty_ordered]]&lt;&gt;T[[#This Row],[qty_received]],IF(T[[#This Row],[qty_received]]&gt;0,"Partial Received","Not Receviced"),"FullyReceived")</f>
        <v>FullyReceived</v>
      </c>
      <c r="Q3845" t="str">
        <f>IF(T[[#This Row],[qty_received]]&lt;&gt;T[[#This Row],[qty_invoiced]],IF(T[[#This Row],[qty_invoiced]]&gt;0,"Partial Invoiced","Not Invoiced"),"Fully Invoiced")</f>
        <v>Fully Invoiced</v>
      </c>
      <c r="R3845" t="str">
        <f>IFERROR(VLOOKUP(T[[#This Row],[warehouse]],Table2[],2,FALSE),"--")</f>
        <v>Livestock Barn</v>
      </c>
    </row>
    <row r="3846" spans="1:18" x14ac:dyDescent="0.25">
      <c r="A3846" t="s">
        <v>2253</v>
      </c>
      <c r="B3846" s="1">
        <v>44712</v>
      </c>
      <c r="C3846" t="s">
        <v>2254</v>
      </c>
      <c r="D3846" t="s">
        <v>20</v>
      </c>
      <c r="E3846" t="s">
        <v>51</v>
      </c>
      <c r="F3846" t="s">
        <v>52</v>
      </c>
      <c r="G3846" t="s">
        <v>2255</v>
      </c>
      <c r="H3846" t="s">
        <v>54</v>
      </c>
      <c r="I3846">
        <v>5</v>
      </c>
      <c r="J3846">
        <v>0</v>
      </c>
      <c r="K3846">
        <v>1</v>
      </c>
      <c r="L3846" t="s">
        <v>693</v>
      </c>
      <c r="M3846" t="s">
        <v>707</v>
      </c>
      <c r="N3846">
        <v>40000</v>
      </c>
      <c r="O3846">
        <v>0</v>
      </c>
      <c r="P3846" t="str">
        <f>IF(T[[#This Row],[qty_ordered]]&lt;&gt;T[[#This Row],[qty_received]],IF(T[[#This Row],[qty_received]]&gt;0,"Partial Received","Not Receviced"),"FullyReceived")</f>
        <v>Not Receviced</v>
      </c>
      <c r="Q3846" t="str">
        <f>IF(T[[#This Row],[qty_received]]&lt;&gt;T[[#This Row],[qty_invoiced]],IF(T[[#This Row],[qty_invoiced]]&gt;0,"Partial Invoiced","Not Invoiced"),"Fully Invoiced")</f>
        <v>Partial Invoiced</v>
      </c>
      <c r="R3846" t="str">
        <f>IFERROR(VLOOKUP(T[[#This Row],[warehouse]],Table2[],2,FALSE),"--")</f>
        <v>--</v>
      </c>
    </row>
    <row r="3847" spans="1:18" x14ac:dyDescent="0.25">
      <c r="A3847" t="s">
        <v>2253</v>
      </c>
      <c r="B3847" s="1">
        <v>44712</v>
      </c>
      <c r="C3847" t="s">
        <v>2254</v>
      </c>
      <c r="D3847" t="s">
        <v>71</v>
      </c>
      <c r="E3847" t="s">
        <v>51</v>
      </c>
      <c r="F3847" t="s">
        <v>52</v>
      </c>
      <c r="G3847" t="s">
        <v>2256</v>
      </c>
      <c r="H3847" t="s">
        <v>54</v>
      </c>
      <c r="I3847">
        <v>1</v>
      </c>
      <c r="J3847">
        <v>0</v>
      </c>
      <c r="K3847">
        <v>1</v>
      </c>
      <c r="L3847" t="s">
        <v>693</v>
      </c>
      <c r="M3847" t="s">
        <v>707</v>
      </c>
      <c r="N3847">
        <v>20000</v>
      </c>
      <c r="O3847">
        <v>0</v>
      </c>
      <c r="P3847" t="str">
        <f>IF(T[[#This Row],[qty_ordered]]&lt;&gt;T[[#This Row],[qty_received]],IF(T[[#This Row],[qty_received]]&gt;0,"Partial Received","Not Receviced"),"FullyReceived")</f>
        <v>Not Receviced</v>
      </c>
      <c r="Q3847" t="str">
        <f>IF(T[[#This Row],[qty_received]]&lt;&gt;T[[#This Row],[qty_invoiced]],IF(T[[#This Row],[qty_invoiced]]&gt;0,"Partial Invoiced","Not Invoiced"),"Fully Invoiced")</f>
        <v>Partial Invoiced</v>
      </c>
      <c r="R3847" t="str">
        <f>IFERROR(VLOOKUP(T[[#This Row],[warehouse]],Table2[],2,FALSE),"--")</f>
        <v>--</v>
      </c>
    </row>
    <row r="3848" spans="1:18" x14ac:dyDescent="0.25">
      <c r="A3848" t="s">
        <v>1114</v>
      </c>
      <c r="B3848" s="1">
        <v>44635</v>
      </c>
      <c r="C3848" t="s">
        <v>1638</v>
      </c>
      <c r="D3848" t="s">
        <v>76</v>
      </c>
      <c r="E3848" t="s">
        <v>1438</v>
      </c>
      <c r="F3848" t="s">
        <v>1439</v>
      </c>
      <c r="G3848" t="s">
        <v>1440</v>
      </c>
      <c r="H3848" t="s">
        <v>1087</v>
      </c>
      <c r="I3848">
        <v>750</v>
      </c>
      <c r="J3848">
        <v>702</v>
      </c>
      <c r="K3848">
        <v>445</v>
      </c>
      <c r="L3848" t="s">
        <v>25</v>
      </c>
      <c r="M3848" t="s">
        <v>1485</v>
      </c>
      <c r="N3848">
        <v>47000</v>
      </c>
      <c r="O3848">
        <v>32994000</v>
      </c>
      <c r="P3848" t="str">
        <f>IF(T[[#This Row],[qty_ordered]]&lt;&gt;T[[#This Row],[qty_received]],IF(T[[#This Row],[qty_received]]&gt;0,"Partial Received","Not Receviced"),"FullyReceived")</f>
        <v>Partial Received</v>
      </c>
      <c r="Q3848" t="str">
        <f>IF(T[[#This Row],[qty_received]]&lt;&gt;T[[#This Row],[qty_invoiced]],IF(T[[#This Row],[qty_invoiced]]&gt;0,"Partial Invoiced","Not Invoiced"),"Fully Invoiced")</f>
        <v>Partial Invoiced</v>
      </c>
      <c r="R3848" t="str">
        <f>IFERROR(VLOOKUP(T[[#This Row],[warehouse]],Table2[],2,FALSE),"--")</f>
        <v>Livestock Barn</v>
      </c>
    </row>
    <row r="3849" spans="1:18" x14ac:dyDescent="0.25">
      <c r="A3849" t="s">
        <v>1316</v>
      </c>
      <c r="B3849" s="1">
        <v>44592</v>
      </c>
      <c r="C3849" t="s">
        <v>1824</v>
      </c>
      <c r="D3849" t="s">
        <v>212</v>
      </c>
      <c r="E3849" t="s">
        <v>51</v>
      </c>
      <c r="F3849" t="s">
        <v>1641</v>
      </c>
      <c r="G3849" t="s">
        <v>2249</v>
      </c>
      <c r="H3849" t="s">
        <v>54</v>
      </c>
      <c r="I3849">
        <v>300</v>
      </c>
      <c r="J3849">
        <v>0</v>
      </c>
      <c r="K3849">
        <v>1</v>
      </c>
      <c r="L3849" t="s">
        <v>693</v>
      </c>
      <c r="M3849" t="s">
        <v>533</v>
      </c>
      <c r="N3849">
        <v>10000</v>
      </c>
      <c r="O3849">
        <v>0</v>
      </c>
      <c r="P3849" t="str">
        <f>IF(T[[#This Row],[qty_ordered]]&lt;&gt;T[[#This Row],[qty_received]],IF(T[[#This Row],[qty_received]]&gt;0,"Partial Received","Not Receviced"),"FullyReceived")</f>
        <v>Not Receviced</v>
      </c>
      <c r="Q3849" t="str">
        <f>IF(T[[#This Row],[qty_received]]&lt;&gt;T[[#This Row],[qty_invoiced]],IF(T[[#This Row],[qty_invoiced]]&gt;0,"Partial Invoiced","Not Invoiced"),"Fully Invoiced")</f>
        <v>Partial Invoiced</v>
      </c>
      <c r="R3849" t="str">
        <f>IFERROR(VLOOKUP(T[[#This Row],[warehouse]],Table2[],2,FALSE),"--")</f>
        <v>--</v>
      </c>
    </row>
    <row r="3850" spans="1:18" x14ac:dyDescent="0.25">
      <c r="A3850" t="s">
        <v>505</v>
      </c>
      <c r="B3850" s="1">
        <v>44718</v>
      </c>
      <c r="C3850" t="s">
        <v>2257</v>
      </c>
      <c r="D3850" t="s">
        <v>20</v>
      </c>
      <c r="E3850" t="s">
        <v>51</v>
      </c>
      <c r="F3850" t="s">
        <v>247</v>
      </c>
      <c r="G3850" t="s">
        <v>2258</v>
      </c>
      <c r="H3850" t="s">
        <v>54</v>
      </c>
      <c r="I3850">
        <v>1500</v>
      </c>
      <c r="J3850">
        <v>0</v>
      </c>
      <c r="K3850">
        <v>1</v>
      </c>
      <c r="L3850" t="s">
        <v>693</v>
      </c>
      <c r="M3850" t="s">
        <v>533</v>
      </c>
      <c r="N3850">
        <v>31000</v>
      </c>
      <c r="O3850">
        <v>0</v>
      </c>
      <c r="P3850" t="str">
        <f>IF(T[[#This Row],[qty_ordered]]&lt;&gt;T[[#This Row],[qty_received]],IF(T[[#This Row],[qty_received]]&gt;0,"Partial Received","Not Receviced"),"FullyReceived")</f>
        <v>Not Receviced</v>
      </c>
      <c r="Q3850" t="str">
        <f>IF(T[[#This Row],[qty_received]]&lt;&gt;T[[#This Row],[qty_invoiced]],IF(T[[#This Row],[qty_invoiced]]&gt;0,"Partial Invoiced","Not Invoiced"),"Fully Invoiced")</f>
        <v>Partial Invoiced</v>
      </c>
      <c r="R3850" t="str">
        <f>IFERROR(VLOOKUP(T[[#This Row],[warehouse]],Table2[],2,FALSE),"--")</f>
        <v>--</v>
      </c>
    </row>
    <row r="3851" spans="1:18" x14ac:dyDescent="0.25">
      <c r="A3851" t="s">
        <v>1600</v>
      </c>
      <c r="B3851" s="1">
        <v>44668</v>
      </c>
      <c r="C3851" t="s">
        <v>1601</v>
      </c>
      <c r="D3851" t="s">
        <v>76</v>
      </c>
      <c r="E3851" t="s">
        <v>51</v>
      </c>
      <c r="F3851" t="s">
        <v>52</v>
      </c>
      <c r="G3851" t="s">
        <v>753</v>
      </c>
      <c r="H3851" t="s">
        <v>54</v>
      </c>
      <c r="I3851">
        <v>1</v>
      </c>
      <c r="J3851">
        <v>0</v>
      </c>
      <c r="K3851">
        <v>1</v>
      </c>
      <c r="L3851" t="s">
        <v>693</v>
      </c>
      <c r="M3851" t="s">
        <v>132</v>
      </c>
      <c r="N3851">
        <v>136000</v>
      </c>
      <c r="O3851">
        <v>0</v>
      </c>
      <c r="P3851" t="str">
        <f>IF(T[[#This Row],[qty_ordered]]&lt;&gt;T[[#This Row],[qty_received]],IF(T[[#This Row],[qty_received]]&gt;0,"Partial Received","Not Receviced"),"FullyReceived")</f>
        <v>Not Receviced</v>
      </c>
      <c r="Q3851" t="str">
        <f>IF(T[[#This Row],[qty_received]]&lt;&gt;T[[#This Row],[qty_invoiced]],IF(T[[#This Row],[qty_invoiced]]&gt;0,"Partial Invoiced","Not Invoiced"),"Fully Invoiced")</f>
        <v>Partial Invoiced</v>
      </c>
      <c r="R3851" t="str">
        <f>IFERROR(VLOOKUP(T[[#This Row],[warehouse]],Table2[],2,FALSE),"--")</f>
        <v>--</v>
      </c>
    </row>
    <row r="3852" spans="1:18" x14ac:dyDescent="0.25">
      <c r="A3852" t="s">
        <v>235</v>
      </c>
      <c r="B3852" s="1">
        <v>44718</v>
      </c>
      <c r="C3852" t="s">
        <v>1822</v>
      </c>
      <c r="D3852" t="s">
        <v>20</v>
      </c>
      <c r="E3852" t="s">
        <v>51</v>
      </c>
      <c r="F3852" t="s">
        <v>546</v>
      </c>
      <c r="G3852" t="s">
        <v>2259</v>
      </c>
      <c r="H3852" t="s">
        <v>54</v>
      </c>
      <c r="I3852">
        <v>5000</v>
      </c>
      <c r="J3852">
        <v>0</v>
      </c>
      <c r="K3852">
        <v>1</v>
      </c>
      <c r="L3852" t="s">
        <v>693</v>
      </c>
      <c r="M3852" t="s">
        <v>533</v>
      </c>
      <c r="N3852">
        <v>21</v>
      </c>
      <c r="O3852">
        <v>0</v>
      </c>
      <c r="P3852" t="str">
        <f>IF(T[[#This Row],[qty_ordered]]&lt;&gt;T[[#This Row],[qty_received]],IF(T[[#This Row],[qty_received]]&gt;0,"Partial Received","Not Receviced"),"FullyReceived")</f>
        <v>Not Receviced</v>
      </c>
      <c r="Q3852" t="str">
        <f>IF(T[[#This Row],[qty_received]]&lt;&gt;T[[#This Row],[qty_invoiced]],IF(T[[#This Row],[qty_invoiced]]&gt;0,"Partial Invoiced","Not Invoiced"),"Fully Invoiced")</f>
        <v>Partial Invoiced</v>
      </c>
      <c r="R3852" t="str">
        <f>IFERROR(VLOOKUP(T[[#This Row],[warehouse]],Table2[],2,FALSE),"--")</f>
        <v>--</v>
      </c>
    </row>
    <row r="3853" spans="1:18" x14ac:dyDescent="0.25">
      <c r="A3853" t="s">
        <v>2175</v>
      </c>
      <c r="B3853" s="1">
        <v>44640</v>
      </c>
      <c r="C3853" t="s">
        <v>2211</v>
      </c>
      <c r="D3853" t="s">
        <v>100</v>
      </c>
      <c r="E3853" t="s">
        <v>620</v>
      </c>
      <c r="F3853" t="s">
        <v>196</v>
      </c>
      <c r="G3853" t="s">
        <v>197</v>
      </c>
      <c r="H3853" t="s">
        <v>24</v>
      </c>
      <c r="I3853">
        <v>1465.81</v>
      </c>
      <c r="J3853">
        <v>1465.81</v>
      </c>
      <c r="K3853">
        <v>0</v>
      </c>
      <c r="L3853" t="s">
        <v>25</v>
      </c>
      <c r="M3853" t="s">
        <v>707</v>
      </c>
      <c r="N3853">
        <v>177400.6</v>
      </c>
      <c r="O3853">
        <v>260035573.486</v>
      </c>
      <c r="P3853" t="str">
        <f>IF(T[[#This Row],[qty_ordered]]&lt;&gt;T[[#This Row],[qty_received]],IF(T[[#This Row],[qty_received]]&gt;0,"Partial Received","Not Receviced"),"FullyReceived")</f>
        <v>FullyReceived</v>
      </c>
      <c r="Q3853" t="str">
        <f>IF(T[[#This Row],[qty_received]]&lt;&gt;T[[#This Row],[qty_invoiced]],IF(T[[#This Row],[qty_invoiced]]&gt;0,"Partial Invoiced","Not Invoiced"),"Fully Invoiced")</f>
        <v>Not Invoiced</v>
      </c>
      <c r="R3853" t="str">
        <f>IFERROR(VLOOKUP(T[[#This Row],[warehouse]],Table2[],2,FALSE),"--")</f>
        <v>SIFTER METALIC SILO</v>
      </c>
    </row>
    <row r="3854" spans="1:18" x14ac:dyDescent="0.25">
      <c r="A3854" t="s">
        <v>1114</v>
      </c>
      <c r="B3854" s="1">
        <v>44770</v>
      </c>
      <c r="C3854" t="s">
        <v>2260</v>
      </c>
      <c r="D3854" t="s">
        <v>20</v>
      </c>
      <c r="E3854" t="s">
        <v>1438</v>
      </c>
      <c r="F3854" t="s">
        <v>1439</v>
      </c>
      <c r="G3854" t="s">
        <v>1440</v>
      </c>
      <c r="H3854" t="s">
        <v>1087</v>
      </c>
      <c r="I3854">
        <v>1992</v>
      </c>
      <c r="J3854">
        <v>1992</v>
      </c>
      <c r="K3854">
        <v>1992</v>
      </c>
      <c r="L3854" t="s">
        <v>693</v>
      </c>
      <c r="M3854" t="s">
        <v>707</v>
      </c>
      <c r="N3854">
        <v>47000</v>
      </c>
      <c r="O3854">
        <v>93624000</v>
      </c>
      <c r="P3854" t="str">
        <f>IF(T[[#This Row],[qty_ordered]]&lt;&gt;T[[#This Row],[qty_received]],IF(T[[#This Row],[qty_received]]&gt;0,"Partial Received","Not Receviced"),"FullyReceived")</f>
        <v>FullyReceived</v>
      </c>
      <c r="Q3854" t="str">
        <f>IF(T[[#This Row],[qty_received]]&lt;&gt;T[[#This Row],[qty_invoiced]],IF(T[[#This Row],[qty_invoiced]]&gt;0,"Partial Invoiced","Not Invoiced"),"Fully Invoiced")</f>
        <v>Fully Invoiced</v>
      </c>
      <c r="R3854" t="str">
        <f>IFERROR(VLOOKUP(T[[#This Row],[warehouse]],Table2[],2,FALSE),"--")</f>
        <v>Livestock Barn</v>
      </c>
    </row>
    <row r="3855" spans="1:18" x14ac:dyDescent="0.25">
      <c r="A3855" t="s">
        <v>1114</v>
      </c>
      <c r="B3855" s="1">
        <v>44635</v>
      </c>
      <c r="C3855" t="s">
        <v>1638</v>
      </c>
      <c r="D3855" t="s">
        <v>212</v>
      </c>
      <c r="E3855" t="s">
        <v>660</v>
      </c>
      <c r="F3855" t="s">
        <v>1451</v>
      </c>
      <c r="G3855" t="s">
        <v>1452</v>
      </c>
      <c r="H3855" t="s">
        <v>1087</v>
      </c>
      <c r="I3855">
        <v>216</v>
      </c>
      <c r="J3855">
        <v>216</v>
      </c>
      <c r="K3855">
        <v>0</v>
      </c>
      <c r="L3855" t="s">
        <v>25</v>
      </c>
      <c r="M3855" t="s">
        <v>1485</v>
      </c>
      <c r="N3855">
        <v>0</v>
      </c>
      <c r="O3855">
        <v>0</v>
      </c>
      <c r="P3855" t="str">
        <f>IF(T[[#This Row],[qty_ordered]]&lt;&gt;T[[#This Row],[qty_received]],IF(T[[#This Row],[qty_received]]&gt;0,"Partial Received","Not Receviced"),"FullyReceived")</f>
        <v>FullyReceived</v>
      </c>
      <c r="Q3855" t="str">
        <f>IF(T[[#This Row],[qty_received]]&lt;&gt;T[[#This Row],[qty_invoiced]],IF(T[[#This Row],[qty_invoiced]]&gt;0,"Partial Invoiced","Not Invoiced"),"Fully Invoiced")</f>
        <v>Not Invoiced</v>
      </c>
      <c r="R3855" t="str">
        <f>IFERROR(VLOOKUP(T[[#This Row],[warehouse]],Table2[],2,FALSE),"--")</f>
        <v>SLAUGHTER HOUSE</v>
      </c>
    </row>
    <row r="3856" spans="1:18" x14ac:dyDescent="0.25">
      <c r="A3856" t="s">
        <v>560</v>
      </c>
      <c r="B3856" s="1">
        <v>44404</v>
      </c>
      <c r="C3856" t="s">
        <v>1424</v>
      </c>
      <c r="D3856" t="s">
        <v>451</v>
      </c>
      <c r="E3856" t="s">
        <v>51</v>
      </c>
      <c r="F3856" t="s">
        <v>52</v>
      </c>
      <c r="G3856" t="s">
        <v>53</v>
      </c>
      <c r="H3856" t="s">
        <v>54</v>
      </c>
      <c r="I3856">
        <v>4</v>
      </c>
      <c r="J3856">
        <v>0</v>
      </c>
      <c r="K3856">
        <v>1</v>
      </c>
      <c r="L3856" t="s">
        <v>693</v>
      </c>
      <c r="M3856" t="s">
        <v>707</v>
      </c>
      <c r="N3856">
        <v>9450</v>
      </c>
      <c r="O3856">
        <v>0</v>
      </c>
      <c r="P3856" t="str">
        <f>IF(T[[#This Row],[qty_ordered]]&lt;&gt;T[[#This Row],[qty_received]],IF(T[[#This Row],[qty_received]]&gt;0,"Partial Received","Not Receviced"),"FullyReceived")</f>
        <v>Not Receviced</v>
      </c>
      <c r="Q3856" t="str">
        <f>IF(T[[#This Row],[qty_received]]&lt;&gt;T[[#This Row],[qty_invoiced]],IF(T[[#This Row],[qty_invoiced]]&gt;0,"Partial Invoiced","Not Invoiced"),"Fully Invoiced")</f>
        <v>Partial Invoiced</v>
      </c>
      <c r="R3856" t="str">
        <f>IFERROR(VLOOKUP(T[[#This Row],[warehouse]],Table2[],2,FALSE),"--")</f>
        <v>--</v>
      </c>
    </row>
    <row r="3857" spans="1:18" x14ac:dyDescent="0.25">
      <c r="A3857" t="s">
        <v>1649</v>
      </c>
      <c r="B3857" s="1">
        <v>44734</v>
      </c>
      <c r="C3857" t="s">
        <v>2261</v>
      </c>
      <c r="D3857" t="s">
        <v>71</v>
      </c>
      <c r="E3857" t="s">
        <v>146</v>
      </c>
      <c r="F3857" t="s">
        <v>1027</v>
      </c>
      <c r="G3857" t="s">
        <v>1028</v>
      </c>
      <c r="H3857" t="s">
        <v>149</v>
      </c>
      <c r="I3857">
        <v>1400</v>
      </c>
      <c r="J3857">
        <v>1400</v>
      </c>
      <c r="K3857">
        <v>1400</v>
      </c>
      <c r="L3857" t="s">
        <v>693</v>
      </c>
      <c r="M3857" t="s">
        <v>418</v>
      </c>
      <c r="N3857">
        <v>650</v>
      </c>
      <c r="O3857">
        <v>910000</v>
      </c>
      <c r="P3857" t="str">
        <f>IF(T[[#This Row],[qty_ordered]]&lt;&gt;T[[#This Row],[qty_received]],IF(T[[#This Row],[qty_received]]&gt;0,"Partial Received","Not Receviced"),"FullyReceived")</f>
        <v>FullyReceived</v>
      </c>
      <c r="Q3857" t="str">
        <f>IF(T[[#This Row],[qty_received]]&lt;&gt;T[[#This Row],[qty_invoiced]],IF(T[[#This Row],[qty_invoiced]]&gt;0,"Partial Invoiced","Not Invoiced"),"Fully Invoiced")</f>
        <v>Fully Invoiced</v>
      </c>
      <c r="R3857" t="str">
        <f>IFERROR(VLOOKUP(T[[#This Row],[warehouse]],Table2[],2,FALSE),"--")</f>
        <v>Khtoum Main Warehouse</v>
      </c>
    </row>
    <row r="3858" spans="1:18" x14ac:dyDescent="0.25">
      <c r="A3858" t="s">
        <v>985</v>
      </c>
      <c r="B3858" s="1">
        <v>44511</v>
      </c>
      <c r="C3858" t="s">
        <v>1856</v>
      </c>
      <c r="D3858" t="s">
        <v>100</v>
      </c>
      <c r="E3858" t="s">
        <v>51</v>
      </c>
      <c r="F3858" t="s">
        <v>183</v>
      </c>
      <c r="G3858" t="s">
        <v>1968</v>
      </c>
      <c r="H3858" t="s">
        <v>54</v>
      </c>
      <c r="I3858">
        <v>200</v>
      </c>
      <c r="J3858">
        <v>0</v>
      </c>
      <c r="K3858">
        <v>1</v>
      </c>
      <c r="L3858" t="s">
        <v>693</v>
      </c>
      <c r="M3858" t="s">
        <v>533</v>
      </c>
      <c r="N3858">
        <v>8000</v>
      </c>
      <c r="O3858">
        <v>0</v>
      </c>
      <c r="P3858" t="str">
        <f>IF(T[[#This Row],[qty_ordered]]&lt;&gt;T[[#This Row],[qty_received]],IF(T[[#This Row],[qty_received]]&gt;0,"Partial Received","Not Receviced"),"FullyReceived")</f>
        <v>Not Receviced</v>
      </c>
      <c r="Q3858" t="str">
        <f>IF(T[[#This Row],[qty_received]]&lt;&gt;T[[#This Row],[qty_invoiced]],IF(T[[#This Row],[qty_invoiced]]&gt;0,"Partial Invoiced","Not Invoiced"),"Fully Invoiced")</f>
        <v>Partial Invoiced</v>
      </c>
      <c r="R3858" t="str">
        <f>IFERROR(VLOOKUP(T[[#This Row],[warehouse]],Table2[],2,FALSE),"--")</f>
        <v>--</v>
      </c>
    </row>
    <row r="3859" spans="1:18" x14ac:dyDescent="0.25">
      <c r="A3859" t="s">
        <v>1775</v>
      </c>
      <c r="B3859" s="1">
        <v>44759</v>
      </c>
      <c r="C3859" t="s">
        <v>1776</v>
      </c>
      <c r="D3859" t="s">
        <v>74</v>
      </c>
      <c r="E3859" t="s">
        <v>51</v>
      </c>
      <c r="F3859" t="s">
        <v>183</v>
      </c>
      <c r="G3859" t="s">
        <v>1628</v>
      </c>
      <c r="H3859" t="s">
        <v>54</v>
      </c>
      <c r="I3859">
        <v>600</v>
      </c>
      <c r="J3859">
        <v>0</v>
      </c>
      <c r="K3859">
        <v>1</v>
      </c>
      <c r="L3859" t="s">
        <v>693</v>
      </c>
      <c r="M3859" t="s">
        <v>533</v>
      </c>
      <c r="N3859">
        <v>12000</v>
      </c>
      <c r="O3859">
        <v>0</v>
      </c>
      <c r="P3859" t="str">
        <f>IF(T[[#This Row],[qty_ordered]]&lt;&gt;T[[#This Row],[qty_received]],IF(T[[#This Row],[qty_received]]&gt;0,"Partial Received","Not Receviced"),"FullyReceived")</f>
        <v>Not Receviced</v>
      </c>
      <c r="Q3859" t="str">
        <f>IF(T[[#This Row],[qty_received]]&lt;&gt;T[[#This Row],[qty_invoiced]],IF(T[[#This Row],[qty_invoiced]]&gt;0,"Partial Invoiced","Not Invoiced"),"Fully Invoiced")</f>
        <v>Partial Invoiced</v>
      </c>
      <c r="R3859" t="str">
        <f>IFERROR(VLOOKUP(T[[#This Row],[warehouse]],Table2[],2,FALSE),"--")</f>
        <v>--</v>
      </c>
    </row>
    <row r="3860" spans="1:18" x14ac:dyDescent="0.25">
      <c r="A3860" t="s">
        <v>303</v>
      </c>
      <c r="B3860" s="1">
        <v>44780</v>
      </c>
      <c r="C3860" t="s">
        <v>2262</v>
      </c>
      <c r="D3860" t="s">
        <v>20</v>
      </c>
      <c r="E3860" t="s">
        <v>66</v>
      </c>
      <c r="F3860" t="s">
        <v>1759</v>
      </c>
      <c r="G3860" t="s">
        <v>1760</v>
      </c>
      <c r="H3860" t="s">
        <v>531</v>
      </c>
      <c r="I3860">
        <v>480</v>
      </c>
      <c r="J3860">
        <v>480</v>
      </c>
      <c r="K3860">
        <v>480</v>
      </c>
      <c r="L3860" t="s">
        <v>693</v>
      </c>
      <c r="M3860" t="s">
        <v>707</v>
      </c>
      <c r="N3860">
        <v>131210.75</v>
      </c>
      <c r="O3860">
        <v>62981160</v>
      </c>
      <c r="P3860" t="str">
        <f>IF(T[[#This Row],[qty_ordered]]&lt;&gt;T[[#This Row],[qty_received]],IF(T[[#This Row],[qty_received]]&gt;0,"Partial Received","Not Receviced"),"FullyReceived")</f>
        <v>FullyReceived</v>
      </c>
      <c r="Q3860" t="str">
        <f>IF(T[[#This Row],[qty_received]]&lt;&gt;T[[#This Row],[qty_invoiced]],IF(T[[#This Row],[qty_invoiced]]&gt;0,"Partial Invoiced","Not Invoiced"),"Fully Invoiced")</f>
        <v>Fully Invoiced</v>
      </c>
      <c r="R3860" t="str">
        <f>IFERROR(VLOOKUP(T[[#This Row],[warehouse]],Table2[],2,FALSE),"--")</f>
        <v>PZU Main Warehouse</v>
      </c>
    </row>
    <row r="3861" spans="1:18" x14ac:dyDescent="0.25">
      <c r="A3861" t="s">
        <v>505</v>
      </c>
      <c r="B3861" s="1">
        <v>44718</v>
      </c>
      <c r="C3861" t="s">
        <v>2257</v>
      </c>
      <c r="D3861" t="s">
        <v>100</v>
      </c>
      <c r="E3861" t="s">
        <v>51</v>
      </c>
      <c r="F3861" t="s">
        <v>247</v>
      </c>
      <c r="G3861" t="s">
        <v>2263</v>
      </c>
      <c r="H3861" t="s">
        <v>54</v>
      </c>
      <c r="I3861">
        <v>1000</v>
      </c>
      <c r="J3861">
        <v>0</v>
      </c>
      <c r="K3861">
        <v>1</v>
      </c>
      <c r="L3861" t="s">
        <v>693</v>
      </c>
      <c r="M3861" t="s">
        <v>533</v>
      </c>
      <c r="N3861">
        <v>31000</v>
      </c>
      <c r="O3861">
        <v>0</v>
      </c>
      <c r="P3861" t="str">
        <f>IF(T[[#This Row],[qty_ordered]]&lt;&gt;T[[#This Row],[qty_received]],IF(T[[#This Row],[qty_received]]&gt;0,"Partial Received","Not Receviced"),"FullyReceived")</f>
        <v>Not Receviced</v>
      </c>
      <c r="Q3861" t="str">
        <f>IF(T[[#This Row],[qty_received]]&lt;&gt;T[[#This Row],[qty_invoiced]],IF(T[[#This Row],[qty_invoiced]]&gt;0,"Partial Invoiced","Not Invoiced"),"Fully Invoiced")</f>
        <v>Partial Invoiced</v>
      </c>
      <c r="R3861" t="str">
        <f>IFERROR(VLOOKUP(T[[#This Row],[warehouse]],Table2[],2,FALSE),"--")</f>
        <v>--</v>
      </c>
    </row>
    <row r="3862" spans="1:18" x14ac:dyDescent="0.25">
      <c r="A3862" t="s">
        <v>400</v>
      </c>
      <c r="B3862" s="1">
        <v>44594</v>
      </c>
      <c r="C3862" t="s">
        <v>1700</v>
      </c>
      <c r="D3862" t="s">
        <v>752</v>
      </c>
      <c r="E3862" t="s">
        <v>51</v>
      </c>
      <c r="F3862" t="s">
        <v>183</v>
      </c>
      <c r="G3862" t="s">
        <v>2264</v>
      </c>
      <c r="H3862" t="s">
        <v>54</v>
      </c>
      <c r="I3862">
        <v>1918.0609999999999</v>
      </c>
      <c r="J3862">
        <v>0</v>
      </c>
      <c r="K3862">
        <v>1</v>
      </c>
      <c r="L3862" t="s">
        <v>693</v>
      </c>
      <c r="M3862" t="s">
        <v>533</v>
      </c>
      <c r="N3862">
        <v>12000</v>
      </c>
      <c r="O3862">
        <v>0</v>
      </c>
      <c r="P3862" t="str">
        <f>IF(T[[#This Row],[qty_ordered]]&lt;&gt;T[[#This Row],[qty_received]],IF(T[[#This Row],[qty_received]]&gt;0,"Partial Received","Not Receviced"),"FullyReceived")</f>
        <v>Not Receviced</v>
      </c>
      <c r="Q3862" t="str">
        <f>IF(T[[#This Row],[qty_received]]&lt;&gt;T[[#This Row],[qty_invoiced]],IF(T[[#This Row],[qty_invoiced]]&gt;0,"Partial Invoiced","Not Invoiced"),"Fully Invoiced")</f>
        <v>Partial Invoiced</v>
      </c>
      <c r="R3862" t="str">
        <f>IFERROR(VLOOKUP(T[[#This Row],[warehouse]],Table2[],2,FALSE),"--")</f>
        <v>--</v>
      </c>
    </row>
    <row r="3863" spans="1:18" x14ac:dyDescent="0.25">
      <c r="A3863" t="s">
        <v>400</v>
      </c>
      <c r="B3863" s="1">
        <v>44594</v>
      </c>
      <c r="C3863" t="s">
        <v>1700</v>
      </c>
      <c r="D3863" t="s">
        <v>759</v>
      </c>
      <c r="E3863" t="s">
        <v>51</v>
      </c>
      <c r="F3863" t="s">
        <v>278</v>
      </c>
      <c r="G3863" t="s">
        <v>2265</v>
      </c>
      <c r="H3863" t="s">
        <v>54</v>
      </c>
      <c r="I3863">
        <v>1</v>
      </c>
      <c r="J3863">
        <v>0</v>
      </c>
      <c r="K3863">
        <v>1</v>
      </c>
      <c r="L3863" t="s">
        <v>693</v>
      </c>
      <c r="M3863" t="s">
        <v>533</v>
      </c>
      <c r="N3863">
        <v>789965</v>
      </c>
      <c r="O3863">
        <v>0</v>
      </c>
      <c r="P3863" t="str">
        <f>IF(T[[#This Row],[qty_ordered]]&lt;&gt;T[[#This Row],[qty_received]],IF(T[[#This Row],[qty_received]]&gt;0,"Partial Received","Not Receviced"),"FullyReceived")</f>
        <v>Not Receviced</v>
      </c>
      <c r="Q3863" t="str">
        <f>IF(T[[#This Row],[qty_received]]&lt;&gt;T[[#This Row],[qty_invoiced]],IF(T[[#This Row],[qty_invoiced]]&gt;0,"Partial Invoiced","Not Invoiced"),"Fully Invoiced")</f>
        <v>Partial Invoiced</v>
      </c>
      <c r="R3863" t="str">
        <f>IFERROR(VLOOKUP(T[[#This Row],[warehouse]],Table2[],2,FALSE),"--")</f>
        <v>--</v>
      </c>
    </row>
    <row r="3864" spans="1:18" x14ac:dyDescent="0.25">
      <c r="A3864" t="s">
        <v>400</v>
      </c>
      <c r="B3864" s="1">
        <v>44594</v>
      </c>
      <c r="C3864" t="s">
        <v>1700</v>
      </c>
      <c r="D3864" t="s">
        <v>694</v>
      </c>
      <c r="E3864" t="s">
        <v>51</v>
      </c>
      <c r="F3864" t="s">
        <v>1703</v>
      </c>
      <c r="G3864" t="s">
        <v>2266</v>
      </c>
      <c r="H3864" t="s">
        <v>54</v>
      </c>
      <c r="I3864">
        <v>69</v>
      </c>
      <c r="J3864">
        <v>0</v>
      </c>
      <c r="K3864">
        <v>1</v>
      </c>
      <c r="L3864" t="s">
        <v>693</v>
      </c>
      <c r="M3864" t="s">
        <v>533</v>
      </c>
      <c r="N3864">
        <v>2000</v>
      </c>
      <c r="O3864">
        <v>0</v>
      </c>
      <c r="P3864" t="str">
        <f>IF(T[[#This Row],[qty_ordered]]&lt;&gt;T[[#This Row],[qty_received]],IF(T[[#This Row],[qty_received]]&gt;0,"Partial Received","Not Receviced"),"FullyReceived")</f>
        <v>Not Receviced</v>
      </c>
      <c r="Q3864" t="str">
        <f>IF(T[[#This Row],[qty_received]]&lt;&gt;T[[#This Row],[qty_invoiced]],IF(T[[#This Row],[qty_invoiced]]&gt;0,"Partial Invoiced","Not Invoiced"),"Fully Invoiced")</f>
        <v>Partial Invoiced</v>
      </c>
      <c r="R3864" t="str">
        <f>IFERROR(VLOOKUP(T[[#This Row],[warehouse]],Table2[],2,FALSE),"--")</f>
        <v>--</v>
      </c>
    </row>
    <row r="3865" spans="1:18" x14ac:dyDescent="0.25">
      <c r="A3865" t="s">
        <v>84</v>
      </c>
      <c r="B3865" s="1">
        <v>44957</v>
      </c>
      <c r="C3865" t="s">
        <v>3208</v>
      </c>
      <c r="D3865" t="s">
        <v>20</v>
      </c>
      <c r="E3865" t="s">
        <v>1139</v>
      </c>
      <c r="F3865" t="s">
        <v>108</v>
      </c>
      <c r="G3865" t="s">
        <v>109</v>
      </c>
      <c r="H3865" t="s">
        <v>24</v>
      </c>
      <c r="I3865">
        <v>339.625</v>
      </c>
      <c r="J3865">
        <v>0</v>
      </c>
      <c r="K3865">
        <v>0</v>
      </c>
      <c r="L3865" t="s">
        <v>693</v>
      </c>
      <c r="M3865" t="s">
        <v>1485</v>
      </c>
      <c r="N3865">
        <v>883327.19911599997</v>
      </c>
      <c r="O3865">
        <v>0</v>
      </c>
      <c r="P3865" t="str">
        <f>IF(T[[#This Row],[qty_ordered]]&lt;&gt;T[[#This Row],[qty_received]],IF(T[[#This Row],[qty_received]]&gt;0,"Partial Received","Not Receviced"),"FullyReceived")</f>
        <v>Not Receviced</v>
      </c>
      <c r="Q3865" t="str">
        <f>IF(T[[#This Row],[qty_received]]&lt;&gt;T[[#This Row],[qty_invoiced]],IF(T[[#This Row],[qty_invoiced]]&gt;0,"Partial Invoiced","Not Invoiced"),"Fully Invoiced")</f>
        <v>Fully Invoiced</v>
      </c>
      <c r="R3865" t="str">
        <f>IFERROR(VLOOKUP(T[[#This Row],[warehouse]],Table2[],2,FALSE),"--")</f>
        <v>Magzoub Sorting - OMD</v>
      </c>
    </row>
    <row r="3866" spans="1:18" x14ac:dyDescent="0.25">
      <c r="A3866" t="s">
        <v>303</v>
      </c>
      <c r="B3866" s="1">
        <v>44943</v>
      </c>
      <c r="C3866" t="s">
        <v>3061</v>
      </c>
      <c r="D3866" t="s">
        <v>71</v>
      </c>
      <c r="E3866" t="s">
        <v>66</v>
      </c>
      <c r="F3866" t="s">
        <v>1860</v>
      </c>
      <c r="G3866" t="s">
        <v>1861</v>
      </c>
      <c r="H3866" t="s">
        <v>531</v>
      </c>
      <c r="I3866">
        <v>1368</v>
      </c>
      <c r="J3866">
        <v>0</v>
      </c>
      <c r="K3866">
        <v>0</v>
      </c>
      <c r="L3866" t="s">
        <v>693</v>
      </c>
      <c r="M3866" t="s">
        <v>1485</v>
      </c>
      <c r="N3866">
        <v>97953.216373999996</v>
      </c>
      <c r="O3866">
        <v>0</v>
      </c>
      <c r="P3866" t="str">
        <f>IF(T[[#This Row],[qty_ordered]]&lt;&gt;T[[#This Row],[qty_received]],IF(T[[#This Row],[qty_received]]&gt;0,"Partial Received","Not Receviced"),"FullyReceived")</f>
        <v>Not Receviced</v>
      </c>
      <c r="Q3866" t="str">
        <f>IF(T[[#This Row],[qty_received]]&lt;&gt;T[[#This Row],[qty_invoiced]],IF(T[[#This Row],[qty_invoiced]]&gt;0,"Partial Invoiced","Not Invoiced"),"Fully Invoiced")</f>
        <v>Fully Invoiced</v>
      </c>
      <c r="R3866" t="str">
        <f>IFERROR(VLOOKUP(T[[#This Row],[warehouse]],Table2[],2,FALSE),"--")</f>
        <v>PZU Main Warehouse</v>
      </c>
    </row>
    <row r="3867" spans="1:18" x14ac:dyDescent="0.25">
      <c r="A3867" t="s">
        <v>2986</v>
      </c>
      <c r="B3867" s="1">
        <v>44963</v>
      </c>
      <c r="C3867" t="s">
        <v>3245</v>
      </c>
      <c r="D3867" t="s">
        <v>20</v>
      </c>
      <c r="E3867" t="s">
        <v>51</v>
      </c>
      <c r="F3867" t="s">
        <v>369</v>
      </c>
      <c r="G3867" t="s">
        <v>369</v>
      </c>
      <c r="H3867" t="s">
        <v>54</v>
      </c>
      <c r="I3867">
        <v>1</v>
      </c>
      <c r="J3867">
        <v>0</v>
      </c>
      <c r="K3867">
        <v>1</v>
      </c>
      <c r="L3867" t="s">
        <v>693</v>
      </c>
      <c r="M3867" t="s">
        <v>1485</v>
      </c>
      <c r="N3867">
        <v>1600000</v>
      </c>
      <c r="O3867">
        <v>0</v>
      </c>
      <c r="P3867" t="str">
        <f>IF(T[[#This Row],[qty_ordered]]&lt;&gt;T[[#This Row],[qty_received]],IF(T[[#This Row],[qty_received]]&gt;0,"Partial Received","Not Receviced"),"FullyReceived")</f>
        <v>Not Receviced</v>
      </c>
      <c r="Q3867" t="str">
        <f>IF(T[[#This Row],[qty_received]]&lt;&gt;T[[#This Row],[qty_invoiced]],IF(T[[#This Row],[qty_invoiced]]&gt;0,"Partial Invoiced","Not Invoiced"),"Fully Invoiced")</f>
        <v>Partial Invoiced</v>
      </c>
      <c r="R3867" t="str">
        <f>IFERROR(VLOOKUP(T[[#This Row],[warehouse]],Table2[],2,FALSE),"--")</f>
        <v>--</v>
      </c>
    </row>
    <row r="3868" spans="1:18" x14ac:dyDescent="0.25">
      <c r="A3868" t="s">
        <v>84</v>
      </c>
      <c r="B3868" s="1">
        <v>44894</v>
      </c>
      <c r="C3868" t="s">
        <v>2898</v>
      </c>
      <c r="D3868" t="s">
        <v>71</v>
      </c>
      <c r="E3868" t="s">
        <v>890</v>
      </c>
      <c r="F3868" t="s">
        <v>108</v>
      </c>
      <c r="G3868" t="s">
        <v>109</v>
      </c>
      <c r="H3868" t="s">
        <v>24</v>
      </c>
      <c r="I3868">
        <v>500</v>
      </c>
      <c r="J3868">
        <v>318.60000000000002</v>
      </c>
      <c r="K3868">
        <v>500</v>
      </c>
      <c r="L3868" t="s">
        <v>693</v>
      </c>
      <c r="M3868" t="s">
        <v>1485</v>
      </c>
      <c r="N3868">
        <v>883325</v>
      </c>
      <c r="O3868">
        <v>281427345</v>
      </c>
      <c r="P3868" t="str">
        <f>IF(T[[#This Row],[qty_ordered]]&lt;&gt;T[[#This Row],[qty_received]],IF(T[[#This Row],[qty_received]]&gt;0,"Partial Received","Not Receviced"),"FullyReceived")</f>
        <v>Partial Received</v>
      </c>
      <c r="Q3868" t="str">
        <f>IF(T[[#This Row],[qty_received]]&lt;&gt;T[[#This Row],[qty_invoiced]],IF(T[[#This Row],[qty_invoiced]]&gt;0,"Partial Invoiced","Not Invoiced"),"Fully Invoiced")</f>
        <v>Partial Invoiced</v>
      </c>
      <c r="R3868" t="str">
        <f>IFERROR(VLOOKUP(T[[#This Row],[warehouse]],Table2[],2,FALSE),"--")</f>
        <v>GREEN CROPS SIFTING</v>
      </c>
    </row>
    <row r="3869" spans="1:18" x14ac:dyDescent="0.25">
      <c r="A3869" t="s">
        <v>955</v>
      </c>
      <c r="B3869" s="1">
        <v>44916</v>
      </c>
      <c r="C3869" t="s">
        <v>2972</v>
      </c>
      <c r="D3869" t="s">
        <v>71</v>
      </c>
      <c r="E3869" t="s">
        <v>268</v>
      </c>
      <c r="F3869" t="s">
        <v>486</v>
      </c>
      <c r="G3869" t="s">
        <v>487</v>
      </c>
      <c r="H3869" t="s">
        <v>24</v>
      </c>
      <c r="I3869">
        <v>576</v>
      </c>
      <c r="J3869">
        <v>211.06</v>
      </c>
      <c r="K3869">
        <v>211.06</v>
      </c>
      <c r="L3869" t="s">
        <v>693</v>
      </c>
      <c r="M3869" t="s">
        <v>1485</v>
      </c>
      <c r="N3869">
        <v>694444.44444400002</v>
      </c>
      <c r="O3869">
        <v>146569444.44435099</v>
      </c>
      <c r="P3869" t="str">
        <f>IF(T[[#This Row],[qty_ordered]]&lt;&gt;T[[#This Row],[qty_received]],IF(T[[#This Row],[qty_received]]&gt;0,"Partial Received","Not Receviced"),"FullyReceived")</f>
        <v>Partial Received</v>
      </c>
      <c r="Q3869" t="str">
        <f>IF(T[[#This Row],[qty_received]]&lt;&gt;T[[#This Row],[qty_invoiced]],IF(T[[#This Row],[qty_invoiced]]&gt;0,"Partial Invoiced","Not Invoiced"),"Fully Invoiced")</f>
        <v>Fully Invoiced</v>
      </c>
      <c r="R3869" t="str">
        <f>IFERROR(VLOOKUP(T[[#This Row],[warehouse]],Table2[],2,FALSE),"--")</f>
        <v>SIFTING- HASABO</v>
      </c>
    </row>
    <row r="3870" spans="1:18" x14ac:dyDescent="0.25">
      <c r="A3870" t="s">
        <v>1728</v>
      </c>
      <c r="B3870" s="1">
        <v>44970</v>
      </c>
      <c r="C3870" t="s">
        <v>3246</v>
      </c>
      <c r="D3870" t="s">
        <v>20</v>
      </c>
      <c r="E3870" t="s">
        <v>1430</v>
      </c>
      <c r="F3870" t="s">
        <v>691</v>
      </c>
      <c r="G3870" t="s">
        <v>478</v>
      </c>
      <c r="H3870" t="s">
        <v>24</v>
      </c>
      <c r="I3870">
        <v>59</v>
      </c>
      <c r="J3870">
        <v>0</v>
      </c>
      <c r="K3870">
        <v>0</v>
      </c>
      <c r="L3870" t="s">
        <v>693</v>
      </c>
      <c r="M3870" t="s">
        <v>1485</v>
      </c>
      <c r="N3870">
        <v>627118.64406700002</v>
      </c>
      <c r="O3870">
        <v>0</v>
      </c>
      <c r="P3870" t="str">
        <f>IF(T[[#This Row],[qty_ordered]]&lt;&gt;T[[#This Row],[qty_received]],IF(T[[#This Row],[qty_received]]&gt;0,"Partial Received","Not Receviced"),"FullyReceived")</f>
        <v>Not Receviced</v>
      </c>
      <c r="Q3870" t="str">
        <f>IF(T[[#This Row],[qty_received]]&lt;&gt;T[[#This Row],[qty_invoiced]],IF(T[[#This Row],[qty_invoiced]]&gt;0,"Partial Invoiced","Not Invoiced"),"Fully Invoiced")</f>
        <v>Fully Invoiced</v>
      </c>
      <c r="R3870" t="str">
        <f>IFERROR(VLOOKUP(T[[#This Row],[warehouse]],Table2[],2,FALSE),"--")</f>
        <v>Obaid Gum Arabic Centre</v>
      </c>
    </row>
    <row r="3871" spans="1:18" x14ac:dyDescent="0.25">
      <c r="A3871" t="s">
        <v>1728</v>
      </c>
      <c r="B3871" s="1">
        <v>44970</v>
      </c>
      <c r="C3871" t="s">
        <v>3247</v>
      </c>
      <c r="D3871" t="s">
        <v>20</v>
      </c>
      <c r="E3871" t="s">
        <v>1142</v>
      </c>
      <c r="F3871" t="s">
        <v>130</v>
      </c>
      <c r="G3871" t="s">
        <v>131</v>
      </c>
      <c r="H3871" t="s">
        <v>24</v>
      </c>
      <c r="I3871">
        <v>86</v>
      </c>
      <c r="J3871">
        <v>35.53</v>
      </c>
      <c r="K3871">
        <v>0</v>
      </c>
      <c r="L3871" t="s">
        <v>693</v>
      </c>
      <c r="M3871" t="s">
        <v>1485</v>
      </c>
      <c r="N3871">
        <v>209302.32558100001</v>
      </c>
      <c r="O3871">
        <v>7436511.6278929301</v>
      </c>
      <c r="P3871" t="str">
        <f>IF(T[[#This Row],[qty_ordered]]&lt;&gt;T[[#This Row],[qty_received]],IF(T[[#This Row],[qty_received]]&gt;0,"Partial Received","Not Receviced"),"FullyReceived")</f>
        <v>Partial Received</v>
      </c>
      <c r="Q3871" t="str">
        <f>IF(T[[#This Row],[qty_received]]&lt;&gt;T[[#This Row],[qty_invoiced]],IF(T[[#This Row],[qty_invoiced]]&gt;0,"Partial Invoiced","Not Invoiced"),"Fully Invoiced")</f>
        <v>Not Invoiced</v>
      </c>
      <c r="R3871" t="str">
        <f>IFERROR(VLOOKUP(T[[#This Row],[warehouse]],Table2[],2,FALSE),"--")</f>
        <v>SAVOLA W/H FOR EXPOR</v>
      </c>
    </row>
    <row r="3872" spans="1:18" x14ac:dyDescent="0.25">
      <c r="A3872" t="s">
        <v>955</v>
      </c>
      <c r="B3872" s="1">
        <v>44970</v>
      </c>
      <c r="C3872" t="s">
        <v>3248</v>
      </c>
      <c r="D3872" t="s">
        <v>20</v>
      </c>
      <c r="E3872" t="s">
        <v>51</v>
      </c>
      <c r="F3872" t="s">
        <v>369</v>
      </c>
      <c r="G3872" t="s">
        <v>369</v>
      </c>
      <c r="H3872" t="s">
        <v>54</v>
      </c>
      <c r="I3872">
        <v>1</v>
      </c>
      <c r="J3872">
        <v>0</v>
      </c>
      <c r="K3872">
        <v>0</v>
      </c>
      <c r="L3872" t="s">
        <v>51</v>
      </c>
      <c r="M3872" t="s">
        <v>1485</v>
      </c>
      <c r="N3872">
        <v>700000</v>
      </c>
      <c r="O3872">
        <v>0</v>
      </c>
      <c r="P3872" t="str">
        <f>IF(T[[#This Row],[qty_ordered]]&lt;&gt;T[[#This Row],[qty_received]],IF(T[[#This Row],[qty_received]]&gt;0,"Partial Received","Not Receviced"),"FullyReceived")</f>
        <v>Not Receviced</v>
      </c>
      <c r="Q3872" t="str">
        <f>IF(T[[#This Row],[qty_received]]&lt;&gt;T[[#This Row],[qty_invoiced]],IF(T[[#This Row],[qty_invoiced]]&gt;0,"Partial Invoiced","Not Invoiced"),"Fully Invoiced")</f>
        <v>Fully Invoiced</v>
      </c>
      <c r="R3872" t="str">
        <f>IFERROR(VLOOKUP(T[[#This Row],[warehouse]],Table2[],2,FALSE),"--")</f>
        <v>--</v>
      </c>
    </row>
    <row r="3873" spans="1:18" x14ac:dyDescent="0.25">
      <c r="A3873" t="s">
        <v>597</v>
      </c>
      <c r="B3873" s="1">
        <v>44936</v>
      </c>
      <c r="C3873" t="s">
        <v>3039</v>
      </c>
      <c r="D3873" t="s">
        <v>88</v>
      </c>
      <c r="E3873" t="s">
        <v>51</v>
      </c>
      <c r="F3873" t="s">
        <v>3249</v>
      </c>
      <c r="G3873" t="s">
        <v>3250</v>
      </c>
      <c r="H3873" t="s">
        <v>54</v>
      </c>
      <c r="I3873">
        <v>275</v>
      </c>
      <c r="J3873">
        <v>0</v>
      </c>
      <c r="K3873">
        <v>1</v>
      </c>
      <c r="L3873" t="s">
        <v>693</v>
      </c>
      <c r="M3873" t="s">
        <v>2836</v>
      </c>
      <c r="N3873">
        <v>600</v>
      </c>
      <c r="O3873">
        <v>0</v>
      </c>
      <c r="P3873" t="str">
        <f>IF(T[[#This Row],[qty_ordered]]&lt;&gt;T[[#This Row],[qty_received]],IF(T[[#This Row],[qty_received]]&gt;0,"Partial Received","Not Receviced"),"FullyReceived")</f>
        <v>Not Receviced</v>
      </c>
      <c r="Q3873" t="str">
        <f>IF(T[[#This Row],[qty_received]]&lt;&gt;T[[#This Row],[qty_invoiced]],IF(T[[#This Row],[qty_invoiced]]&gt;0,"Partial Invoiced","Not Invoiced"),"Fully Invoiced")</f>
        <v>Partial Invoiced</v>
      </c>
      <c r="R3873" t="str">
        <f>IFERROR(VLOOKUP(T[[#This Row],[warehouse]],Table2[],2,FALSE),"--")</f>
        <v>--</v>
      </c>
    </row>
    <row r="3874" spans="1:18" x14ac:dyDescent="0.25">
      <c r="A3874" t="s">
        <v>597</v>
      </c>
      <c r="B3874" s="1">
        <v>44936</v>
      </c>
      <c r="C3874" t="s">
        <v>3039</v>
      </c>
      <c r="D3874" t="s">
        <v>74</v>
      </c>
      <c r="E3874" t="s">
        <v>51</v>
      </c>
      <c r="F3874" t="s">
        <v>1703</v>
      </c>
      <c r="G3874" t="s">
        <v>1704</v>
      </c>
      <c r="H3874" t="s">
        <v>54</v>
      </c>
      <c r="I3874">
        <v>132</v>
      </c>
      <c r="J3874">
        <v>0</v>
      </c>
      <c r="K3874">
        <v>1</v>
      </c>
      <c r="L3874" t="s">
        <v>693</v>
      </c>
      <c r="M3874" t="s">
        <v>2836</v>
      </c>
      <c r="N3874">
        <v>2500</v>
      </c>
      <c r="O3874">
        <v>0</v>
      </c>
      <c r="P3874" t="str">
        <f>IF(T[[#This Row],[qty_ordered]]&lt;&gt;T[[#This Row],[qty_received]],IF(T[[#This Row],[qty_received]]&gt;0,"Partial Received","Not Receviced"),"FullyReceived")</f>
        <v>Not Receviced</v>
      </c>
      <c r="Q3874" t="str">
        <f>IF(T[[#This Row],[qty_received]]&lt;&gt;T[[#This Row],[qty_invoiced]],IF(T[[#This Row],[qty_invoiced]]&gt;0,"Partial Invoiced","Not Invoiced"),"Fully Invoiced")</f>
        <v>Partial Invoiced</v>
      </c>
      <c r="R3874" t="str">
        <f>IFERROR(VLOOKUP(T[[#This Row],[warehouse]],Table2[],2,FALSE),"--")</f>
        <v>--</v>
      </c>
    </row>
    <row r="3875" spans="1:18" x14ac:dyDescent="0.25">
      <c r="A3875" t="s">
        <v>597</v>
      </c>
      <c r="B3875" s="1">
        <v>44936</v>
      </c>
      <c r="C3875" t="s">
        <v>3039</v>
      </c>
      <c r="D3875" t="s">
        <v>76</v>
      </c>
      <c r="E3875" t="s">
        <v>51</v>
      </c>
      <c r="F3875" t="s">
        <v>254</v>
      </c>
      <c r="G3875" t="s">
        <v>3251</v>
      </c>
      <c r="H3875" t="s">
        <v>54</v>
      </c>
      <c r="I3875">
        <v>875</v>
      </c>
      <c r="J3875">
        <v>0</v>
      </c>
      <c r="K3875">
        <v>1</v>
      </c>
      <c r="L3875" t="s">
        <v>693</v>
      </c>
      <c r="M3875" t="s">
        <v>2836</v>
      </c>
      <c r="N3875">
        <v>40</v>
      </c>
      <c r="O3875">
        <v>0</v>
      </c>
      <c r="P3875" t="str">
        <f>IF(T[[#This Row],[qty_ordered]]&lt;&gt;T[[#This Row],[qty_received]],IF(T[[#This Row],[qty_received]]&gt;0,"Partial Received","Not Receviced"),"FullyReceived")</f>
        <v>Not Receviced</v>
      </c>
      <c r="Q3875" t="str">
        <f>IF(T[[#This Row],[qty_received]]&lt;&gt;T[[#This Row],[qty_invoiced]],IF(T[[#This Row],[qty_invoiced]]&gt;0,"Partial Invoiced","Not Invoiced"),"Fully Invoiced")</f>
        <v>Partial Invoiced</v>
      </c>
      <c r="R3875" t="str">
        <f>IFERROR(VLOOKUP(T[[#This Row],[warehouse]],Table2[],2,FALSE),"--")</f>
        <v>--</v>
      </c>
    </row>
    <row r="3876" spans="1:18" x14ac:dyDescent="0.25">
      <c r="A3876" t="s">
        <v>597</v>
      </c>
      <c r="B3876" s="1">
        <v>44936</v>
      </c>
      <c r="C3876" t="s">
        <v>3039</v>
      </c>
      <c r="D3876" t="s">
        <v>212</v>
      </c>
      <c r="E3876" t="s">
        <v>51</v>
      </c>
      <c r="F3876" t="s">
        <v>185</v>
      </c>
      <c r="G3876" t="s">
        <v>3252</v>
      </c>
      <c r="H3876" t="s">
        <v>54</v>
      </c>
      <c r="I3876">
        <v>245</v>
      </c>
      <c r="J3876">
        <v>0</v>
      </c>
      <c r="K3876">
        <v>1</v>
      </c>
      <c r="L3876" t="s">
        <v>693</v>
      </c>
      <c r="M3876" t="s">
        <v>2836</v>
      </c>
      <c r="N3876">
        <v>80</v>
      </c>
      <c r="O3876">
        <v>0</v>
      </c>
      <c r="P3876" t="str">
        <f>IF(T[[#This Row],[qty_ordered]]&lt;&gt;T[[#This Row],[qty_received]],IF(T[[#This Row],[qty_received]]&gt;0,"Partial Received","Not Receviced"),"FullyReceived")</f>
        <v>Not Receviced</v>
      </c>
      <c r="Q3876" t="str">
        <f>IF(T[[#This Row],[qty_received]]&lt;&gt;T[[#This Row],[qty_invoiced]],IF(T[[#This Row],[qty_invoiced]]&gt;0,"Partial Invoiced","Not Invoiced"),"Fully Invoiced")</f>
        <v>Partial Invoiced</v>
      </c>
      <c r="R3876" t="str">
        <f>IFERROR(VLOOKUP(T[[#This Row],[warehouse]],Table2[],2,FALSE),"--")</f>
        <v>--</v>
      </c>
    </row>
    <row r="3877" spans="1:18" x14ac:dyDescent="0.25">
      <c r="A3877" t="s">
        <v>989</v>
      </c>
      <c r="B3877" s="1">
        <v>44924</v>
      </c>
      <c r="C3877" t="s">
        <v>2992</v>
      </c>
      <c r="D3877" t="s">
        <v>88</v>
      </c>
      <c r="E3877" t="s">
        <v>51</v>
      </c>
      <c r="F3877" t="s">
        <v>183</v>
      </c>
      <c r="G3877" t="s">
        <v>2077</v>
      </c>
      <c r="H3877" t="s">
        <v>54</v>
      </c>
      <c r="I3877">
        <v>300</v>
      </c>
      <c r="J3877">
        <v>0</v>
      </c>
      <c r="K3877">
        <v>1</v>
      </c>
      <c r="L3877" t="s">
        <v>693</v>
      </c>
      <c r="M3877" t="s">
        <v>51</v>
      </c>
      <c r="N3877">
        <v>13000</v>
      </c>
      <c r="O3877">
        <v>0</v>
      </c>
      <c r="P3877" t="str">
        <f>IF(T[[#This Row],[qty_ordered]]&lt;&gt;T[[#This Row],[qty_received]],IF(T[[#This Row],[qty_received]]&gt;0,"Partial Received","Not Receviced"),"FullyReceived")</f>
        <v>Not Receviced</v>
      </c>
      <c r="Q3877" t="str">
        <f>IF(T[[#This Row],[qty_received]]&lt;&gt;T[[#This Row],[qty_invoiced]],IF(T[[#This Row],[qty_invoiced]]&gt;0,"Partial Invoiced","Not Invoiced"),"Fully Invoiced")</f>
        <v>Partial Invoiced</v>
      </c>
      <c r="R3877" t="str">
        <f>IFERROR(VLOOKUP(T[[#This Row],[warehouse]],Table2[],2,FALSE),"--")</f>
        <v>--</v>
      </c>
    </row>
    <row r="3878" spans="1:18" x14ac:dyDescent="0.25">
      <c r="A3878" t="s">
        <v>795</v>
      </c>
      <c r="B3878" s="1">
        <v>44962</v>
      </c>
      <c r="C3878" t="s">
        <v>3204</v>
      </c>
      <c r="D3878" t="s">
        <v>71</v>
      </c>
      <c r="E3878" t="s">
        <v>629</v>
      </c>
      <c r="F3878" t="s">
        <v>287</v>
      </c>
      <c r="G3878" t="s">
        <v>288</v>
      </c>
      <c r="H3878" t="s">
        <v>24</v>
      </c>
      <c r="I3878">
        <v>977.05</v>
      </c>
      <c r="J3878">
        <v>977.05</v>
      </c>
      <c r="K3878">
        <v>977.05</v>
      </c>
      <c r="L3878" t="s">
        <v>693</v>
      </c>
      <c r="M3878" t="s">
        <v>707</v>
      </c>
      <c r="N3878">
        <v>600240.09603799996</v>
      </c>
      <c r="O3878">
        <v>586464585.83392799</v>
      </c>
      <c r="P3878" t="str">
        <f>IF(T[[#This Row],[qty_ordered]]&lt;&gt;T[[#This Row],[qty_received]],IF(T[[#This Row],[qty_received]]&gt;0,"Partial Received","Not Receviced"),"FullyReceived")</f>
        <v>FullyReceived</v>
      </c>
      <c r="Q3878" t="str">
        <f>IF(T[[#This Row],[qty_received]]&lt;&gt;T[[#This Row],[qty_invoiced]],IF(T[[#This Row],[qty_invoiced]]&gt;0,"Partial Invoiced","Not Invoiced"),"Fully Invoiced")</f>
        <v>Fully Invoiced</v>
      </c>
      <c r="R3878" t="str">
        <f>IFERROR(VLOOKUP(T[[#This Row],[warehouse]],Table2[],2,FALSE),"--")</f>
        <v>SOPC Sifting &amp; Sorting</v>
      </c>
    </row>
    <row r="3879" spans="1:18" x14ac:dyDescent="0.25">
      <c r="A3879" t="s">
        <v>201</v>
      </c>
      <c r="B3879" s="1">
        <v>44976</v>
      </c>
      <c r="C3879" t="s">
        <v>3253</v>
      </c>
      <c r="D3879" t="s">
        <v>20</v>
      </c>
      <c r="E3879" t="s">
        <v>1220</v>
      </c>
      <c r="F3879" t="s">
        <v>1221</v>
      </c>
      <c r="G3879" t="s">
        <v>1634</v>
      </c>
      <c r="H3879" t="s">
        <v>123</v>
      </c>
      <c r="I3879">
        <v>208805</v>
      </c>
      <c r="J3879">
        <v>208805</v>
      </c>
      <c r="K3879">
        <v>208805</v>
      </c>
      <c r="L3879" t="s">
        <v>693</v>
      </c>
      <c r="M3879" t="s">
        <v>707</v>
      </c>
      <c r="N3879">
        <v>18433.271387299999</v>
      </c>
      <c r="O3879">
        <v>3848959232.0251799</v>
      </c>
      <c r="P3879" t="str">
        <f>IF(T[[#This Row],[qty_ordered]]&lt;&gt;T[[#This Row],[qty_received]],IF(T[[#This Row],[qty_received]]&gt;0,"Partial Received","Not Receviced"),"FullyReceived")</f>
        <v>FullyReceived</v>
      </c>
      <c r="Q3879" t="str">
        <f>IF(T[[#This Row],[qty_received]]&lt;&gt;T[[#This Row],[qty_invoiced]],IF(T[[#This Row],[qty_invoiced]]&gt;0,"Partial Invoiced","Not Invoiced"),"Fully Invoiced")</f>
        <v>Fully Invoiced</v>
      </c>
      <c r="R3879" t="str">
        <f>IFERROR(VLOOKUP(T[[#This Row],[warehouse]],Table2[],2,FALSE),"--")</f>
        <v>Import Virtual Warehouse - PZU</v>
      </c>
    </row>
    <row r="3880" spans="1:18" x14ac:dyDescent="0.25">
      <c r="A3880" t="s">
        <v>201</v>
      </c>
      <c r="B3880" s="1">
        <v>44976</v>
      </c>
      <c r="C3880" t="s">
        <v>3253</v>
      </c>
      <c r="D3880" t="s">
        <v>71</v>
      </c>
      <c r="E3880" t="s">
        <v>1220</v>
      </c>
      <c r="F3880" t="s">
        <v>1307</v>
      </c>
      <c r="G3880" t="s">
        <v>1308</v>
      </c>
      <c r="H3880" t="s">
        <v>149</v>
      </c>
      <c r="I3880">
        <v>9000</v>
      </c>
      <c r="J3880">
        <v>1150</v>
      </c>
      <c r="K3880">
        <v>0</v>
      </c>
      <c r="L3880" t="s">
        <v>693</v>
      </c>
      <c r="M3880" t="s">
        <v>707</v>
      </c>
      <c r="N3880">
        <v>0</v>
      </c>
      <c r="O3880">
        <v>0</v>
      </c>
      <c r="P3880" t="str">
        <f>IF(T[[#This Row],[qty_ordered]]&lt;&gt;T[[#This Row],[qty_received]],IF(T[[#This Row],[qty_received]]&gt;0,"Partial Received","Not Receviced"),"FullyReceived")</f>
        <v>Partial Received</v>
      </c>
      <c r="Q3880" t="str">
        <f>IF(T[[#This Row],[qty_received]]&lt;&gt;T[[#This Row],[qty_invoiced]],IF(T[[#This Row],[qty_invoiced]]&gt;0,"Partial Invoiced","Not Invoiced"),"Fully Invoiced")</f>
        <v>Not Invoiced</v>
      </c>
      <c r="R3880" t="str">
        <f>IFERROR(VLOOKUP(T[[#This Row],[warehouse]],Table2[],2,FALSE),"--")</f>
        <v>Import Virtual Warehouse - PZU</v>
      </c>
    </row>
    <row r="3881" spans="1:18" x14ac:dyDescent="0.25">
      <c r="A3881" t="s">
        <v>3057</v>
      </c>
      <c r="B3881" s="1">
        <v>44976</v>
      </c>
      <c r="C3881" t="s">
        <v>3254</v>
      </c>
      <c r="D3881" t="s">
        <v>20</v>
      </c>
      <c r="E3881" t="s">
        <v>51</v>
      </c>
      <c r="F3881" t="s">
        <v>674</v>
      </c>
      <c r="G3881" t="s">
        <v>3007</v>
      </c>
      <c r="H3881" t="s">
        <v>54</v>
      </c>
      <c r="I3881">
        <v>4120.13</v>
      </c>
      <c r="J3881">
        <v>0</v>
      </c>
      <c r="K3881">
        <v>1</v>
      </c>
      <c r="L3881" t="s">
        <v>693</v>
      </c>
      <c r="M3881" t="s">
        <v>2836</v>
      </c>
      <c r="N3881">
        <v>10000</v>
      </c>
      <c r="O3881">
        <v>0</v>
      </c>
      <c r="P3881" t="str">
        <f>IF(T[[#This Row],[qty_ordered]]&lt;&gt;T[[#This Row],[qty_received]],IF(T[[#This Row],[qty_received]]&gt;0,"Partial Received","Not Receviced"),"FullyReceived")</f>
        <v>Not Receviced</v>
      </c>
      <c r="Q3881" t="str">
        <f>IF(T[[#This Row],[qty_received]]&lt;&gt;T[[#This Row],[qty_invoiced]],IF(T[[#This Row],[qty_invoiced]]&gt;0,"Partial Invoiced","Not Invoiced"),"Fully Invoiced")</f>
        <v>Partial Invoiced</v>
      </c>
      <c r="R3881" t="str">
        <f>IFERROR(VLOOKUP(T[[#This Row],[warehouse]],Table2[],2,FALSE),"--")</f>
        <v>--</v>
      </c>
    </row>
    <row r="3882" spans="1:18" x14ac:dyDescent="0.25">
      <c r="A3882" t="s">
        <v>3057</v>
      </c>
      <c r="B3882" s="1">
        <v>44976</v>
      </c>
      <c r="C3882" t="s">
        <v>3254</v>
      </c>
      <c r="D3882" t="s">
        <v>71</v>
      </c>
      <c r="E3882" t="s">
        <v>51</v>
      </c>
      <c r="F3882" t="s">
        <v>278</v>
      </c>
      <c r="G3882" t="s">
        <v>3255</v>
      </c>
      <c r="H3882" t="s">
        <v>54</v>
      </c>
      <c r="I3882">
        <v>4120.13</v>
      </c>
      <c r="J3882">
        <v>0</v>
      </c>
      <c r="K3882">
        <v>1</v>
      </c>
      <c r="L3882" t="s">
        <v>693</v>
      </c>
      <c r="M3882" t="s">
        <v>2836</v>
      </c>
      <c r="N3882">
        <v>40</v>
      </c>
      <c r="O3882">
        <v>0</v>
      </c>
      <c r="P3882" t="str">
        <f>IF(T[[#This Row],[qty_ordered]]&lt;&gt;T[[#This Row],[qty_received]],IF(T[[#This Row],[qty_received]]&gt;0,"Partial Received","Not Receviced"),"FullyReceived")</f>
        <v>Not Receviced</v>
      </c>
      <c r="Q3882" t="str">
        <f>IF(T[[#This Row],[qty_received]]&lt;&gt;T[[#This Row],[qty_invoiced]],IF(T[[#This Row],[qty_invoiced]]&gt;0,"Partial Invoiced","Not Invoiced"),"Fully Invoiced")</f>
        <v>Partial Invoiced</v>
      </c>
      <c r="R3882" t="str">
        <f>IFERROR(VLOOKUP(T[[#This Row],[warehouse]],Table2[],2,FALSE),"--")</f>
        <v>--</v>
      </c>
    </row>
    <row r="3883" spans="1:18" x14ac:dyDescent="0.25">
      <c r="A3883" t="s">
        <v>3057</v>
      </c>
      <c r="B3883" s="1">
        <v>44976</v>
      </c>
      <c r="C3883" t="s">
        <v>3254</v>
      </c>
      <c r="D3883" t="s">
        <v>100</v>
      </c>
      <c r="E3883" t="s">
        <v>51</v>
      </c>
      <c r="F3883" t="s">
        <v>254</v>
      </c>
      <c r="G3883" t="s">
        <v>3256</v>
      </c>
      <c r="H3883" t="s">
        <v>54</v>
      </c>
      <c r="I3883">
        <v>7973</v>
      </c>
      <c r="J3883">
        <v>0</v>
      </c>
      <c r="K3883">
        <v>1</v>
      </c>
      <c r="L3883" t="s">
        <v>693</v>
      </c>
      <c r="M3883" t="s">
        <v>2836</v>
      </c>
      <c r="N3883">
        <v>40</v>
      </c>
      <c r="O3883">
        <v>0</v>
      </c>
      <c r="P3883" t="str">
        <f>IF(T[[#This Row],[qty_ordered]]&lt;&gt;T[[#This Row],[qty_received]],IF(T[[#This Row],[qty_received]]&gt;0,"Partial Received","Not Receviced"),"FullyReceived")</f>
        <v>Not Receviced</v>
      </c>
      <c r="Q3883" t="str">
        <f>IF(T[[#This Row],[qty_received]]&lt;&gt;T[[#This Row],[qty_invoiced]],IF(T[[#This Row],[qty_invoiced]]&gt;0,"Partial Invoiced","Not Invoiced"),"Fully Invoiced")</f>
        <v>Partial Invoiced</v>
      </c>
      <c r="R3883" t="str">
        <f>IFERROR(VLOOKUP(T[[#This Row],[warehouse]],Table2[],2,FALSE),"--")</f>
        <v>--</v>
      </c>
    </row>
    <row r="3884" spans="1:18" x14ac:dyDescent="0.25">
      <c r="A3884" t="s">
        <v>3057</v>
      </c>
      <c r="B3884" s="1">
        <v>44976</v>
      </c>
      <c r="C3884" t="s">
        <v>3254</v>
      </c>
      <c r="D3884" t="s">
        <v>88</v>
      </c>
      <c r="E3884" t="s">
        <v>51</v>
      </c>
      <c r="F3884" t="s">
        <v>278</v>
      </c>
      <c r="G3884" t="s">
        <v>3255</v>
      </c>
      <c r="H3884" t="s">
        <v>54</v>
      </c>
      <c r="I3884">
        <v>43</v>
      </c>
      <c r="J3884">
        <v>0</v>
      </c>
      <c r="K3884">
        <v>1</v>
      </c>
      <c r="L3884" t="s">
        <v>693</v>
      </c>
      <c r="M3884" t="s">
        <v>2836</v>
      </c>
      <c r="N3884">
        <v>15000</v>
      </c>
      <c r="O3884">
        <v>0</v>
      </c>
      <c r="P3884" t="str">
        <f>IF(T[[#This Row],[qty_ordered]]&lt;&gt;T[[#This Row],[qty_received]],IF(T[[#This Row],[qty_received]]&gt;0,"Partial Received","Not Receviced"),"FullyReceived")</f>
        <v>Not Receviced</v>
      </c>
      <c r="Q3884" t="str">
        <f>IF(T[[#This Row],[qty_received]]&lt;&gt;T[[#This Row],[qty_invoiced]],IF(T[[#This Row],[qty_invoiced]]&gt;0,"Partial Invoiced","Not Invoiced"),"Fully Invoiced")</f>
        <v>Partial Invoiced</v>
      </c>
      <c r="R3884" t="str">
        <f>IFERROR(VLOOKUP(T[[#This Row],[warehouse]],Table2[],2,FALSE),"--")</f>
        <v>--</v>
      </c>
    </row>
    <row r="3885" spans="1:18" x14ac:dyDescent="0.25">
      <c r="A3885" t="s">
        <v>437</v>
      </c>
      <c r="B3885" s="1">
        <v>44924</v>
      </c>
      <c r="C3885" t="s">
        <v>3001</v>
      </c>
      <c r="D3885" t="s">
        <v>71</v>
      </c>
      <c r="E3885" t="s">
        <v>51</v>
      </c>
      <c r="F3885" t="s">
        <v>183</v>
      </c>
      <c r="G3885" t="s">
        <v>3257</v>
      </c>
      <c r="H3885" t="s">
        <v>54</v>
      </c>
      <c r="I3885">
        <v>972.21100000000001</v>
      </c>
      <c r="J3885">
        <v>0</v>
      </c>
      <c r="K3885">
        <v>1</v>
      </c>
      <c r="L3885" t="s">
        <v>693</v>
      </c>
      <c r="M3885" t="s">
        <v>51</v>
      </c>
      <c r="N3885">
        <v>13000</v>
      </c>
      <c r="O3885">
        <v>0</v>
      </c>
      <c r="P3885" t="str">
        <f>IF(T[[#This Row],[qty_ordered]]&lt;&gt;T[[#This Row],[qty_received]],IF(T[[#This Row],[qty_received]]&gt;0,"Partial Received","Not Receviced"),"FullyReceived")</f>
        <v>Not Receviced</v>
      </c>
      <c r="Q3885" t="str">
        <f>IF(T[[#This Row],[qty_received]]&lt;&gt;T[[#This Row],[qty_invoiced]],IF(T[[#This Row],[qty_invoiced]]&gt;0,"Partial Invoiced","Not Invoiced"),"Fully Invoiced")</f>
        <v>Partial Invoiced</v>
      </c>
      <c r="R3885" t="str">
        <f>IFERROR(VLOOKUP(T[[#This Row],[warehouse]],Table2[],2,FALSE),"--")</f>
        <v>--</v>
      </c>
    </row>
    <row r="3886" spans="1:18" x14ac:dyDescent="0.25">
      <c r="A3886" t="s">
        <v>2377</v>
      </c>
      <c r="B3886" s="1">
        <v>44978</v>
      </c>
      <c r="C3886" t="s">
        <v>3258</v>
      </c>
      <c r="D3886" t="s">
        <v>20</v>
      </c>
      <c r="E3886" t="s">
        <v>1220</v>
      </c>
      <c r="F3886" t="s">
        <v>1221</v>
      </c>
      <c r="G3886" t="s">
        <v>1634</v>
      </c>
      <c r="H3886" t="s">
        <v>123</v>
      </c>
      <c r="I3886">
        <v>241195</v>
      </c>
      <c r="J3886">
        <v>241195</v>
      </c>
      <c r="K3886">
        <v>241195</v>
      </c>
      <c r="L3886" t="s">
        <v>693</v>
      </c>
      <c r="M3886" t="s">
        <v>51</v>
      </c>
      <c r="N3886">
        <v>18895.62</v>
      </c>
      <c r="O3886">
        <v>4557529065.8999996</v>
      </c>
      <c r="P3886" t="str">
        <f>IF(T[[#This Row],[qty_ordered]]&lt;&gt;T[[#This Row],[qty_received]],IF(T[[#This Row],[qty_received]]&gt;0,"Partial Received","Not Receviced"),"FullyReceived")</f>
        <v>FullyReceived</v>
      </c>
      <c r="Q3886" t="str">
        <f>IF(T[[#This Row],[qty_received]]&lt;&gt;T[[#This Row],[qty_invoiced]],IF(T[[#This Row],[qty_invoiced]]&gt;0,"Partial Invoiced","Not Invoiced"),"Fully Invoiced")</f>
        <v>Fully Invoiced</v>
      </c>
      <c r="R3886" t="str">
        <f>IFERROR(VLOOKUP(T[[#This Row],[warehouse]],Table2[],2,FALSE),"--")</f>
        <v>Import Virtual Warehouse - PZU</v>
      </c>
    </row>
    <row r="3887" spans="1:18" x14ac:dyDescent="0.25">
      <c r="A3887" t="s">
        <v>955</v>
      </c>
      <c r="B3887" s="1">
        <v>44916</v>
      </c>
      <c r="C3887" t="s">
        <v>2972</v>
      </c>
      <c r="D3887" t="s">
        <v>100</v>
      </c>
      <c r="E3887" t="s">
        <v>268</v>
      </c>
      <c r="F3887" t="s">
        <v>486</v>
      </c>
      <c r="G3887" t="s">
        <v>487</v>
      </c>
      <c r="H3887" t="s">
        <v>24</v>
      </c>
      <c r="I3887">
        <v>4.13</v>
      </c>
      <c r="J3887">
        <v>0</v>
      </c>
      <c r="K3887">
        <v>0</v>
      </c>
      <c r="L3887" t="s">
        <v>693</v>
      </c>
      <c r="M3887" t="s">
        <v>1485</v>
      </c>
      <c r="N3887">
        <v>856750.12106499996</v>
      </c>
      <c r="O3887">
        <v>0</v>
      </c>
      <c r="P3887" t="str">
        <f>IF(T[[#This Row],[qty_ordered]]&lt;&gt;T[[#This Row],[qty_received]],IF(T[[#This Row],[qty_received]]&gt;0,"Partial Received","Not Receviced"),"FullyReceived")</f>
        <v>Not Receviced</v>
      </c>
      <c r="Q3887" t="str">
        <f>IF(T[[#This Row],[qty_received]]&lt;&gt;T[[#This Row],[qty_invoiced]],IF(T[[#This Row],[qty_invoiced]]&gt;0,"Partial Invoiced","Not Invoiced"),"Fully Invoiced")</f>
        <v>Fully Invoiced</v>
      </c>
      <c r="R3887" t="str">
        <f>IFERROR(VLOOKUP(T[[#This Row],[warehouse]],Table2[],2,FALSE),"--")</f>
        <v>SIFTING- HASABO</v>
      </c>
    </row>
    <row r="3888" spans="1:18" x14ac:dyDescent="0.25">
      <c r="A3888" t="s">
        <v>795</v>
      </c>
      <c r="B3888" s="1">
        <v>44962</v>
      </c>
      <c r="C3888" t="s">
        <v>3204</v>
      </c>
      <c r="D3888" t="s">
        <v>88</v>
      </c>
      <c r="E3888" t="s">
        <v>629</v>
      </c>
      <c r="F3888" t="s">
        <v>287</v>
      </c>
      <c r="G3888" t="s">
        <v>288</v>
      </c>
      <c r="H3888" t="s">
        <v>24</v>
      </c>
      <c r="I3888">
        <v>455</v>
      </c>
      <c r="J3888">
        <v>0</v>
      </c>
      <c r="K3888">
        <v>0</v>
      </c>
      <c r="L3888" t="s">
        <v>693</v>
      </c>
      <c r="M3888" t="s">
        <v>707</v>
      </c>
      <c r="N3888">
        <v>659340.65934100002</v>
      </c>
      <c r="O3888">
        <v>0</v>
      </c>
      <c r="P3888" t="str">
        <f>IF(T[[#This Row],[qty_ordered]]&lt;&gt;T[[#This Row],[qty_received]],IF(T[[#This Row],[qty_received]]&gt;0,"Partial Received","Not Receviced"),"FullyReceived")</f>
        <v>Not Receviced</v>
      </c>
      <c r="Q3888" t="str">
        <f>IF(T[[#This Row],[qty_received]]&lt;&gt;T[[#This Row],[qty_invoiced]],IF(T[[#This Row],[qty_invoiced]]&gt;0,"Partial Invoiced","Not Invoiced"),"Fully Invoiced")</f>
        <v>Fully Invoiced</v>
      </c>
      <c r="R3888" t="str">
        <f>IFERROR(VLOOKUP(T[[#This Row],[warehouse]],Table2[],2,FALSE),"--")</f>
        <v>SOPC Sifting &amp; Sorting</v>
      </c>
    </row>
    <row r="3889" spans="1:18" x14ac:dyDescent="0.25">
      <c r="A3889" t="s">
        <v>560</v>
      </c>
      <c r="B3889" s="1">
        <v>44572</v>
      </c>
      <c r="C3889" t="s">
        <v>1651</v>
      </c>
      <c r="D3889" t="s">
        <v>507</v>
      </c>
      <c r="E3889" t="s">
        <v>51</v>
      </c>
      <c r="F3889" t="s">
        <v>164</v>
      </c>
      <c r="G3889" t="s">
        <v>2940</v>
      </c>
      <c r="H3889" t="s">
        <v>54</v>
      </c>
      <c r="I3889">
        <v>26</v>
      </c>
      <c r="J3889">
        <v>0</v>
      </c>
      <c r="K3889">
        <v>1</v>
      </c>
      <c r="L3889" t="s">
        <v>693</v>
      </c>
      <c r="M3889" t="s">
        <v>2836</v>
      </c>
      <c r="N3889">
        <v>9450</v>
      </c>
      <c r="O3889">
        <v>0</v>
      </c>
      <c r="P3889" t="str">
        <f>IF(T[[#This Row],[qty_ordered]]&lt;&gt;T[[#This Row],[qty_received]],IF(T[[#This Row],[qty_received]]&gt;0,"Partial Received","Not Receviced"),"FullyReceived")</f>
        <v>Not Receviced</v>
      </c>
      <c r="Q3889" t="str">
        <f>IF(T[[#This Row],[qty_received]]&lt;&gt;T[[#This Row],[qty_invoiced]],IF(T[[#This Row],[qty_invoiced]]&gt;0,"Partial Invoiced","Not Invoiced"),"Fully Invoiced")</f>
        <v>Partial Invoiced</v>
      </c>
      <c r="R3889" t="str">
        <f>IFERROR(VLOOKUP(T[[#This Row],[warehouse]],Table2[],2,FALSE),"--")</f>
        <v>--</v>
      </c>
    </row>
    <row r="3890" spans="1:18" x14ac:dyDescent="0.25">
      <c r="A3890" t="s">
        <v>560</v>
      </c>
      <c r="B3890" s="1">
        <v>44572</v>
      </c>
      <c r="C3890" t="s">
        <v>1651</v>
      </c>
      <c r="D3890" t="s">
        <v>508</v>
      </c>
      <c r="E3890" t="s">
        <v>51</v>
      </c>
      <c r="F3890" t="s">
        <v>164</v>
      </c>
      <c r="G3890" t="s">
        <v>2940</v>
      </c>
      <c r="H3890" t="s">
        <v>54</v>
      </c>
      <c r="I3890">
        <v>26</v>
      </c>
      <c r="J3890">
        <v>0</v>
      </c>
      <c r="K3890">
        <v>1</v>
      </c>
      <c r="L3890" t="s">
        <v>693</v>
      </c>
      <c r="M3890" t="s">
        <v>2836</v>
      </c>
      <c r="N3890">
        <v>9450</v>
      </c>
      <c r="O3890">
        <v>0</v>
      </c>
      <c r="P3890" t="str">
        <f>IF(T[[#This Row],[qty_ordered]]&lt;&gt;T[[#This Row],[qty_received]],IF(T[[#This Row],[qty_received]]&gt;0,"Partial Received","Not Receviced"),"FullyReceived")</f>
        <v>Not Receviced</v>
      </c>
      <c r="Q3890" t="str">
        <f>IF(T[[#This Row],[qty_received]]&lt;&gt;T[[#This Row],[qty_invoiced]],IF(T[[#This Row],[qty_invoiced]]&gt;0,"Partial Invoiced","Not Invoiced"),"Fully Invoiced")</f>
        <v>Partial Invoiced</v>
      </c>
      <c r="R3890" t="str">
        <f>IFERROR(VLOOKUP(T[[#This Row],[warehouse]],Table2[],2,FALSE),"--")</f>
        <v>--</v>
      </c>
    </row>
    <row r="3891" spans="1:18" x14ac:dyDescent="0.25">
      <c r="A3891" t="s">
        <v>560</v>
      </c>
      <c r="B3891" s="1">
        <v>44606</v>
      </c>
      <c r="C3891" t="s">
        <v>1544</v>
      </c>
      <c r="D3891" t="s">
        <v>759</v>
      </c>
      <c r="E3891" t="s">
        <v>51</v>
      </c>
      <c r="F3891" t="s">
        <v>164</v>
      </c>
      <c r="G3891" t="s">
        <v>2941</v>
      </c>
      <c r="H3891" t="s">
        <v>54</v>
      </c>
      <c r="I3891">
        <v>9</v>
      </c>
      <c r="J3891">
        <v>0</v>
      </c>
      <c r="K3891">
        <v>1</v>
      </c>
      <c r="L3891" t="s">
        <v>693</v>
      </c>
      <c r="M3891" t="s">
        <v>2836</v>
      </c>
      <c r="N3891">
        <v>9450</v>
      </c>
      <c r="O3891">
        <v>0</v>
      </c>
      <c r="P3891" t="str">
        <f>IF(T[[#This Row],[qty_ordered]]&lt;&gt;T[[#This Row],[qty_received]],IF(T[[#This Row],[qty_received]]&gt;0,"Partial Received","Not Receviced"),"FullyReceived")</f>
        <v>Not Receviced</v>
      </c>
      <c r="Q3891" t="str">
        <f>IF(T[[#This Row],[qty_received]]&lt;&gt;T[[#This Row],[qty_invoiced]],IF(T[[#This Row],[qty_invoiced]]&gt;0,"Partial Invoiced","Not Invoiced"),"Fully Invoiced")</f>
        <v>Partial Invoiced</v>
      </c>
      <c r="R3891" t="str">
        <f>IFERROR(VLOOKUP(T[[#This Row],[warehouse]],Table2[],2,FALSE),"--")</f>
        <v>--</v>
      </c>
    </row>
    <row r="3892" spans="1:18" x14ac:dyDescent="0.25">
      <c r="A3892" t="s">
        <v>560</v>
      </c>
      <c r="B3892" s="1">
        <v>44544</v>
      </c>
      <c r="C3892" t="s">
        <v>2056</v>
      </c>
      <c r="D3892" t="s">
        <v>325</v>
      </c>
      <c r="E3892" t="s">
        <v>51</v>
      </c>
      <c r="F3892" t="s">
        <v>164</v>
      </c>
      <c r="G3892" t="s">
        <v>2942</v>
      </c>
      <c r="H3892" t="s">
        <v>54</v>
      </c>
      <c r="I3892">
        <v>26</v>
      </c>
      <c r="J3892">
        <v>0</v>
      </c>
      <c r="K3892">
        <v>1</v>
      </c>
      <c r="L3892" t="s">
        <v>693</v>
      </c>
      <c r="M3892" t="s">
        <v>2836</v>
      </c>
      <c r="N3892">
        <v>9450</v>
      </c>
      <c r="O3892">
        <v>0</v>
      </c>
      <c r="P3892" t="str">
        <f>IF(T[[#This Row],[qty_ordered]]&lt;&gt;T[[#This Row],[qty_received]],IF(T[[#This Row],[qty_received]]&gt;0,"Partial Received","Not Receviced"),"FullyReceived")</f>
        <v>Not Receviced</v>
      </c>
      <c r="Q3892" t="str">
        <f>IF(T[[#This Row],[qty_received]]&lt;&gt;T[[#This Row],[qty_invoiced]],IF(T[[#This Row],[qty_invoiced]]&gt;0,"Partial Invoiced","Not Invoiced"),"Fully Invoiced")</f>
        <v>Partial Invoiced</v>
      </c>
      <c r="R3892" t="str">
        <f>IFERROR(VLOOKUP(T[[#This Row],[warehouse]],Table2[],2,FALSE),"--")</f>
        <v>--</v>
      </c>
    </row>
    <row r="3893" spans="1:18" x14ac:dyDescent="0.25">
      <c r="A3893" t="s">
        <v>2304</v>
      </c>
      <c r="B3893" s="1">
        <v>44907</v>
      </c>
      <c r="C3893" t="s">
        <v>2947</v>
      </c>
      <c r="D3893" t="s">
        <v>20</v>
      </c>
      <c r="E3893" t="s">
        <v>51</v>
      </c>
      <c r="F3893" t="s">
        <v>164</v>
      </c>
      <c r="G3893" t="s">
        <v>2948</v>
      </c>
      <c r="H3893" t="s">
        <v>54</v>
      </c>
      <c r="I3893">
        <v>382.49</v>
      </c>
      <c r="J3893">
        <v>0</v>
      </c>
      <c r="K3893">
        <v>1</v>
      </c>
      <c r="L3893" t="s">
        <v>693</v>
      </c>
      <c r="M3893" t="s">
        <v>2836</v>
      </c>
      <c r="N3893">
        <v>200</v>
      </c>
      <c r="O3893">
        <v>0</v>
      </c>
      <c r="P3893" t="str">
        <f>IF(T[[#This Row],[qty_ordered]]&lt;&gt;T[[#This Row],[qty_received]],IF(T[[#This Row],[qty_received]]&gt;0,"Partial Received","Not Receviced"),"FullyReceived")</f>
        <v>Not Receviced</v>
      </c>
      <c r="Q3893" t="str">
        <f>IF(T[[#This Row],[qty_received]]&lt;&gt;T[[#This Row],[qty_invoiced]],IF(T[[#This Row],[qty_invoiced]]&gt;0,"Partial Invoiced","Not Invoiced"),"Fully Invoiced")</f>
        <v>Partial Invoiced</v>
      </c>
      <c r="R3893" t="str">
        <f>IFERROR(VLOOKUP(T[[#This Row],[warehouse]],Table2[],2,FALSE),"--")</f>
        <v>--</v>
      </c>
    </row>
    <row r="3894" spans="1:18" x14ac:dyDescent="0.25">
      <c r="A3894" t="s">
        <v>989</v>
      </c>
      <c r="B3894" s="1">
        <v>44879</v>
      </c>
      <c r="C3894" t="s">
        <v>2590</v>
      </c>
      <c r="D3894" t="s">
        <v>100</v>
      </c>
      <c r="E3894" t="s">
        <v>51</v>
      </c>
      <c r="F3894" t="s">
        <v>183</v>
      </c>
      <c r="G3894" t="s">
        <v>1668</v>
      </c>
      <c r="H3894" t="s">
        <v>54</v>
      </c>
      <c r="I3894">
        <v>150</v>
      </c>
      <c r="J3894">
        <v>0</v>
      </c>
      <c r="K3894">
        <v>1</v>
      </c>
      <c r="L3894" t="s">
        <v>693</v>
      </c>
      <c r="M3894" t="s">
        <v>2836</v>
      </c>
      <c r="N3894">
        <v>13000</v>
      </c>
      <c r="O3894">
        <v>0</v>
      </c>
      <c r="P3894" t="str">
        <f>IF(T[[#This Row],[qty_ordered]]&lt;&gt;T[[#This Row],[qty_received]],IF(T[[#This Row],[qty_received]]&gt;0,"Partial Received","Not Receviced"),"FullyReceived")</f>
        <v>Not Receviced</v>
      </c>
      <c r="Q3894" t="str">
        <f>IF(T[[#This Row],[qty_received]]&lt;&gt;T[[#This Row],[qty_invoiced]],IF(T[[#This Row],[qty_invoiced]]&gt;0,"Partial Invoiced","Not Invoiced"),"Fully Invoiced")</f>
        <v>Partial Invoiced</v>
      </c>
      <c r="R3894" t="str">
        <f>IFERROR(VLOOKUP(T[[#This Row],[warehouse]],Table2[],2,FALSE),"--")</f>
        <v>--</v>
      </c>
    </row>
    <row r="3895" spans="1:18" x14ac:dyDescent="0.25">
      <c r="A3895" t="s">
        <v>2951</v>
      </c>
      <c r="B3895" s="1">
        <v>44909</v>
      </c>
      <c r="C3895" t="s">
        <v>2952</v>
      </c>
      <c r="D3895" t="s">
        <v>20</v>
      </c>
      <c r="E3895" t="s">
        <v>629</v>
      </c>
      <c r="F3895" t="s">
        <v>2069</v>
      </c>
      <c r="G3895" t="s">
        <v>2070</v>
      </c>
      <c r="H3895" t="s">
        <v>24</v>
      </c>
      <c r="I3895">
        <v>546</v>
      </c>
      <c r="J3895">
        <v>0</v>
      </c>
      <c r="K3895">
        <v>0</v>
      </c>
      <c r="L3895" t="s">
        <v>693</v>
      </c>
      <c r="M3895" t="s">
        <v>707</v>
      </c>
      <c r="N3895">
        <v>311355.31135500001</v>
      </c>
      <c r="O3895">
        <v>0</v>
      </c>
      <c r="P3895" t="str">
        <f>IF(T[[#This Row],[qty_ordered]]&lt;&gt;T[[#This Row],[qty_received]],IF(T[[#This Row],[qty_received]]&gt;0,"Partial Received","Not Receviced"),"FullyReceived")</f>
        <v>Not Receviced</v>
      </c>
      <c r="Q3895" t="str">
        <f>IF(T[[#This Row],[qty_received]]&lt;&gt;T[[#This Row],[qty_invoiced]],IF(T[[#This Row],[qty_invoiced]]&gt;0,"Partial Invoiced","Not Invoiced"),"Fully Invoiced")</f>
        <v>Fully Invoiced</v>
      </c>
      <c r="R3895" t="str">
        <f>IFERROR(VLOOKUP(T[[#This Row],[warehouse]],Table2[],2,FALSE),"--")</f>
        <v>SOPC Sifting &amp; Sorting</v>
      </c>
    </row>
    <row r="3896" spans="1:18" x14ac:dyDescent="0.25">
      <c r="A3896" t="s">
        <v>1639</v>
      </c>
      <c r="B3896" s="1">
        <v>44909</v>
      </c>
      <c r="C3896" t="s">
        <v>2954</v>
      </c>
      <c r="D3896" t="s">
        <v>71</v>
      </c>
      <c r="E3896" t="s">
        <v>908</v>
      </c>
      <c r="F3896" t="s">
        <v>86</v>
      </c>
      <c r="G3896" t="s">
        <v>87</v>
      </c>
      <c r="H3896" t="s">
        <v>24</v>
      </c>
      <c r="I3896">
        <v>140.41</v>
      </c>
      <c r="J3896">
        <v>140.41</v>
      </c>
      <c r="K3896">
        <v>140.41</v>
      </c>
      <c r="L3896" t="s">
        <v>693</v>
      </c>
      <c r="M3896" t="s">
        <v>1485</v>
      </c>
      <c r="N3896">
        <v>961206.58086700004</v>
      </c>
      <c r="O3896">
        <v>134963016.01953501</v>
      </c>
      <c r="P3896" t="str">
        <f>IF(T[[#This Row],[qty_ordered]]&lt;&gt;T[[#This Row],[qty_received]],IF(T[[#This Row],[qty_received]]&gt;0,"Partial Received","Not Receviced"),"FullyReceived")</f>
        <v>FullyReceived</v>
      </c>
      <c r="Q3896" t="str">
        <f>IF(T[[#This Row],[qty_received]]&lt;&gt;T[[#This Row],[qty_invoiced]],IF(T[[#This Row],[qty_invoiced]]&gt;0,"Partial Invoiced","Not Invoiced"),"Fully Invoiced")</f>
        <v>Fully Invoiced</v>
      </c>
      <c r="R3896" t="str">
        <f>IFERROR(VLOOKUP(T[[#This Row],[warehouse]],Table2[],2,FALSE),"--")</f>
        <v>SIFTER- ALNAZER-OMDU</v>
      </c>
    </row>
    <row r="3897" spans="1:18" x14ac:dyDescent="0.25">
      <c r="A3897" t="s">
        <v>989</v>
      </c>
      <c r="B3897" s="1">
        <v>44879</v>
      </c>
      <c r="C3897" t="s">
        <v>2590</v>
      </c>
      <c r="D3897" t="s">
        <v>88</v>
      </c>
      <c r="E3897" t="s">
        <v>51</v>
      </c>
      <c r="F3897" t="s">
        <v>183</v>
      </c>
      <c r="G3897" t="s">
        <v>1490</v>
      </c>
      <c r="H3897" t="s">
        <v>54</v>
      </c>
      <c r="I3897">
        <v>266.91000000000003</v>
      </c>
      <c r="J3897">
        <v>0</v>
      </c>
      <c r="K3897">
        <v>1</v>
      </c>
      <c r="L3897" t="s">
        <v>693</v>
      </c>
      <c r="M3897" t="s">
        <v>2836</v>
      </c>
      <c r="N3897">
        <v>13000</v>
      </c>
      <c r="O3897">
        <v>0</v>
      </c>
      <c r="P3897" t="str">
        <f>IF(T[[#This Row],[qty_ordered]]&lt;&gt;T[[#This Row],[qty_received]],IF(T[[#This Row],[qty_received]]&gt;0,"Partial Received","Not Receviced"),"FullyReceived")</f>
        <v>Not Receviced</v>
      </c>
      <c r="Q3897" t="str">
        <f>IF(T[[#This Row],[qty_received]]&lt;&gt;T[[#This Row],[qty_invoiced]],IF(T[[#This Row],[qty_invoiced]]&gt;0,"Partial Invoiced","Not Invoiced"),"Fully Invoiced")</f>
        <v>Partial Invoiced</v>
      </c>
      <c r="R3897" t="str">
        <f>IFERROR(VLOOKUP(T[[#This Row],[warehouse]],Table2[],2,FALSE),"--")</f>
        <v>--</v>
      </c>
    </row>
    <row r="3898" spans="1:18" x14ac:dyDescent="0.25">
      <c r="A3898" t="s">
        <v>2551</v>
      </c>
      <c r="B3898" s="1">
        <v>44917</v>
      </c>
      <c r="C3898" t="s">
        <v>2962</v>
      </c>
      <c r="D3898" t="s">
        <v>20</v>
      </c>
      <c r="E3898" t="s">
        <v>51</v>
      </c>
      <c r="F3898" t="s">
        <v>1073</v>
      </c>
      <c r="G3898" t="s">
        <v>1073</v>
      </c>
      <c r="H3898" t="s">
        <v>54</v>
      </c>
      <c r="I3898">
        <v>2</v>
      </c>
      <c r="J3898">
        <v>0</v>
      </c>
      <c r="K3898">
        <v>1</v>
      </c>
      <c r="L3898" t="s">
        <v>693</v>
      </c>
      <c r="M3898" t="s">
        <v>707</v>
      </c>
      <c r="N3898">
        <v>187747.44</v>
      </c>
      <c r="O3898">
        <v>0</v>
      </c>
      <c r="P3898" t="str">
        <f>IF(T[[#This Row],[qty_ordered]]&lt;&gt;T[[#This Row],[qty_received]],IF(T[[#This Row],[qty_received]]&gt;0,"Partial Received","Not Receviced"),"FullyReceived")</f>
        <v>Not Receviced</v>
      </c>
      <c r="Q3898" t="str">
        <f>IF(T[[#This Row],[qty_received]]&lt;&gt;T[[#This Row],[qty_invoiced]],IF(T[[#This Row],[qty_invoiced]]&gt;0,"Partial Invoiced","Not Invoiced"),"Fully Invoiced")</f>
        <v>Partial Invoiced</v>
      </c>
      <c r="R3898" t="str">
        <f>IFERROR(VLOOKUP(T[[#This Row],[warehouse]],Table2[],2,FALSE),"--")</f>
        <v>--</v>
      </c>
    </row>
    <row r="3899" spans="1:18" x14ac:dyDescent="0.25">
      <c r="A3899" t="s">
        <v>1316</v>
      </c>
      <c r="B3899" s="1">
        <v>44917</v>
      </c>
      <c r="C3899" t="s">
        <v>2975</v>
      </c>
      <c r="D3899" t="s">
        <v>20</v>
      </c>
      <c r="E3899" t="s">
        <v>51</v>
      </c>
      <c r="F3899" t="s">
        <v>183</v>
      </c>
      <c r="G3899" t="s">
        <v>1991</v>
      </c>
      <c r="H3899" t="s">
        <v>54</v>
      </c>
      <c r="I3899">
        <v>269.52999999999997</v>
      </c>
      <c r="J3899">
        <v>0</v>
      </c>
      <c r="K3899">
        <v>1</v>
      </c>
      <c r="L3899" t="s">
        <v>693</v>
      </c>
      <c r="M3899" t="s">
        <v>2836</v>
      </c>
      <c r="N3899">
        <v>13000</v>
      </c>
      <c r="O3899">
        <v>0</v>
      </c>
      <c r="P3899" t="str">
        <f>IF(T[[#This Row],[qty_ordered]]&lt;&gt;T[[#This Row],[qty_received]],IF(T[[#This Row],[qty_received]]&gt;0,"Partial Received","Not Receviced"),"FullyReceived")</f>
        <v>Not Receviced</v>
      </c>
      <c r="Q3899" t="str">
        <f>IF(T[[#This Row],[qty_received]]&lt;&gt;T[[#This Row],[qty_invoiced]],IF(T[[#This Row],[qty_invoiced]]&gt;0,"Partial Invoiced","Not Invoiced"),"Fully Invoiced")</f>
        <v>Partial Invoiced</v>
      </c>
      <c r="R3899" t="str">
        <f>IFERROR(VLOOKUP(T[[#This Row],[warehouse]],Table2[],2,FALSE),"--")</f>
        <v>--</v>
      </c>
    </row>
    <row r="3900" spans="1:18" x14ac:dyDescent="0.25">
      <c r="A3900" t="s">
        <v>423</v>
      </c>
      <c r="B3900" s="1">
        <v>44886</v>
      </c>
      <c r="C3900" t="s">
        <v>2879</v>
      </c>
      <c r="D3900" t="s">
        <v>76</v>
      </c>
      <c r="E3900" t="s">
        <v>51</v>
      </c>
      <c r="F3900" t="s">
        <v>546</v>
      </c>
      <c r="G3900" t="s">
        <v>1507</v>
      </c>
      <c r="H3900" t="s">
        <v>54</v>
      </c>
      <c r="I3900">
        <v>2200</v>
      </c>
      <c r="J3900">
        <v>0</v>
      </c>
      <c r="K3900">
        <v>1</v>
      </c>
      <c r="L3900" t="s">
        <v>693</v>
      </c>
      <c r="M3900" t="s">
        <v>2836</v>
      </c>
      <c r="N3900">
        <v>26</v>
      </c>
      <c r="O3900">
        <v>0</v>
      </c>
      <c r="P3900" t="str">
        <f>IF(T[[#This Row],[qty_ordered]]&lt;&gt;T[[#This Row],[qty_received]],IF(T[[#This Row],[qty_received]]&gt;0,"Partial Received","Not Receviced"),"FullyReceived")</f>
        <v>Not Receviced</v>
      </c>
      <c r="Q3900" t="str">
        <f>IF(T[[#This Row],[qty_received]]&lt;&gt;T[[#This Row],[qty_invoiced]],IF(T[[#This Row],[qty_invoiced]]&gt;0,"Partial Invoiced","Not Invoiced"),"Fully Invoiced")</f>
        <v>Partial Invoiced</v>
      </c>
      <c r="R3900" t="str">
        <f>IFERROR(VLOOKUP(T[[#This Row],[warehouse]],Table2[],2,FALSE),"--")</f>
        <v>--</v>
      </c>
    </row>
    <row r="3901" spans="1:18" x14ac:dyDescent="0.25">
      <c r="A3901" t="s">
        <v>955</v>
      </c>
      <c r="B3901" s="1">
        <v>44626</v>
      </c>
      <c r="C3901" t="s">
        <v>2095</v>
      </c>
      <c r="D3901" t="s">
        <v>100</v>
      </c>
      <c r="E3901" t="s">
        <v>957</v>
      </c>
      <c r="F3901" t="s">
        <v>86</v>
      </c>
      <c r="G3901" t="s">
        <v>87</v>
      </c>
      <c r="H3901" t="s">
        <v>24</v>
      </c>
      <c r="I3901">
        <v>500</v>
      </c>
      <c r="J3901">
        <v>51.32</v>
      </c>
      <c r="K3901">
        <v>51.32</v>
      </c>
      <c r="L3901" t="s">
        <v>693</v>
      </c>
      <c r="M3901" t="s">
        <v>1485</v>
      </c>
      <c r="N3901">
        <v>622222</v>
      </c>
      <c r="O3901">
        <v>31932433.039999999</v>
      </c>
      <c r="P3901" t="str">
        <f>IF(T[[#This Row],[qty_ordered]]&lt;&gt;T[[#This Row],[qty_received]],IF(T[[#This Row],[qty_received]]&gt;0,"Partial Received","Not Receviced"),"FullyReceived")</f>
        <v>Partial Received</v>
      </c>
      <c r="Q3901" t="str">
        <f>IF(T[[#This Row],[qty_received]]&lt;&gt;T[[#This Row],[qty_invoiced]],IF(T[[#This Row],[qty_invoiced]]&gt;0,"Partial Invoiced","Not Invoiced"),"Fully Invoiced")</f>
        <v>Fully Invoiced</v>
      </c>
      <c r="R3901" t="str">
        <f>IFERROR(VLOOKUP(T[[#This Row],[warehouse]],Table2[],2,FALSE),"--")</f>
        <v>SEEDS SIFTING FACILITY</v>
      </c>
    </row>
    <row r="3902" spans="1:18" x14ac:dyDescent="0.25">
      <c r="A3902" t="s">
        <v>795</v>
      </c>
      <c r="B3902" s="1">
        <v>44550</v>
      </c>
      <c r="C3902" t="s">
        <v>1494</v>
      </c>
      <c r="D3902" t="s">
        <v>74</v>
      </c>
      <c r="E3902" t="s">
        <v>226</v>
      </c>
      <c r="F3902" t="s">
        <v>287</v>
      </c>
      <c r="G3902" t="s">
        <v>288</v>
      </c>
      <c r="H3902" t="s">
        <v>24</v>
      </c>
      <c r="I3902">
        <v>4810.09</v>
      </c>
      <c r="J3902">
        <v>0</v>
      </c>
      <c r="K3902">
        <v>0</v>
      </c>
      <c r="L3902" t="s">
        <v>25</v>
      </c>
      <c r="M3902" t="s">
        <v>1485</v>
      </c>
      <c r="N3902">
        <v>322239.29281900002</v>
      </c>
      <c r="O3902">
        <v>0</v>
      </c>
      <c r="P3902" t="str">
        <f>IF(T[[#This Row],[qty_ordered]]&lt;&gt;T[[#This Row],[qty_received]],IF(T[[#This Row],[qty_received]]&gt;0,"Partial Received","Not Receviced"),"FullyReceived")</f>
        <v>Not Receviced</v>
      </c>
      <c r="Q3902" t="str">
        <f>IF(T[[#This Row],[qty_received]]&lt;&gt;T[[#This Row],[qty_invoiced]],IF(T[[#This Row],[qty_invoiced]]&gt;0,"Partial Invoiced","Not Invoiced"),"Fully Invoiced")</f>
        <v>Fully Invoiced</v>
      </c>
      <c r="R3902" t="str">
        <f>IFERROR(VLOOKUP(T[[#This Row],[warehouse]],Table2[],2,FALSE),"--")</f>
        <v>Karrar Sorting and Sifting - OMD</v>
      </c>
    </row>
    <row r="3903" spans="1:18" x14ac:dyDescent="0.25">
      <c r="A3903" t="s">
        <v>2267</v>
      </c>
      <c r="B3903" s="1">
        <v>44636</v>
      </c>
      <c r="C3903" t="s">
        <v>2268</v>
      </c>
      <c r="D3903" t="s">
        <v>20</v>
      </c>
      <c r="E3903" t="s">
        <v>723</v>
      </c>
      <c r="F3903" t="s">
        <v>219</v>
      </c>
      <c r="G3903" t="s">
        <v>724</v>
      </c>
      <c r="H3903" t="s">
        <v>221</v>
      </c>
      <c r="I3903">
        <v>18243.439999999999</v>
      </c>
      <c r="J3903">
        <v>18243.439999999999</v>
      </c>
      <c r="K3903">
        <v>18243.439999999999</v>
      </c>
      <c r="L3903" t="s">
        <v>25</v>
      </c>
      <c r="M3903" t="s">
        <v>707</v>
      </c>
      <c r="N3903">
        <v>36800</v>
      </c>
      <c r="O3903">
        <v>671358592</v>
      </c>
      <c r="P3903" t="str">
        <f>IF(T[[#This Row],[qty_ordered]]&lt;&gt;T[[#This Row],[qty_received]],IF(T[[#This Row],[qty_received]]&gt;0,"Partial Received","Not Receviced"),"FullyReceived")</f>
        <v>FullyReceived</v>
      </c>
      <c r="Q3903" t="str">
        <f>IF(T[[#This Row],[qty_received]]&lt;&gt;T[[#This Row],[qty_invoiced]],IF(T[[#This Row],[qty_invoiced]]&gt;0,"Partial Invoiced","Not Invoiced"),"Fully Invoiced")</f>
        <v>Fully Invoiced</v>
      </c>
      <c r="R3903" t="str">
        <f>IFERROR(VLOOKUP(T[[#This Row],[warehouse]],Table2[],2,FALSE),"--")</f>
        <v>YELLOW BEANS</v>
      </c>
    </row>
    <row r="3904" spans="1:18" x14ac:dyDescent="0.25">
      <c r="A3904" t="s">
        <v>1316</v>
      </c>
      <c r="B3904" s="1">
        <v>44592</v>
      </c>
      <c r="C3904" t="s">
        <v>1824</v>
      </c>
      <c r="D3904" t="s">
        <v>88</v>
      </c>
      <c r="E3904" t="s">
        <v>51</v>
      </c>
      <c r="F3904" t="s">
        <v>1641</v>
      </c>
      <c r="G3904" t="s">
        <v>2269</v>
      </c>
      <c r="H3904" t="s">
        <v>54</v>
      </c>
      <c r="I3904">
        <v>218.18</v>
      </c>
      <c r="J3904">
        <v>0</v>
      </c>
      <c r="K3904">
        <v>1</v>
      </c>
      <c r="L3904" t="s">
        <v>693</v>
      </c>
      <c r="M3904" t="s">
        <v>533</v>
      </c>
      <c r="N3904">
        <v>8000</v>
      </c>
      <c r="O3904">
        <v>0</v>
      </c>
      <c r="P3904" t="str">
        <f>IF(T[[#This Row],[qty_ordered]]&lt;&gt;T[[#This Row],[qty_received]],IF(T[[#This Row],[qty_received]]&gt;0,"Partial Received","Not Receviced"),"FullyReceived")</f>
        <v>Not Receviced</v>
      </c>
      <c r="Q3904" t="str">
        <f>IF(T[[#This Row],[qty_received]]&lt;&gt;T[[#This Row],[qty_invoiced]],IF(T[[#This Row],[qty_invoiced]]&gt;0,"Partial Invoiced","Not Invoiced"),"Fully Invoiced")</f>
        <v>Partial Invoiced</v>
      </c>
      <c r="R3904" t="str">
        <f>IFERROR(VLOOKUP(T[[#This Row],[warehouse]],Table2[],2,FALSE),"--")</f>
        <v>--</v>
      </c>
    </row>
    <row r="3905" spans="1:18" x14ac:dyDescent="0.25">
      <c r="A3905" t="s">
        <v>1194</v>
      </c>
      <c r="B3905" s="1">
        <v>44586</v>
      </c>
      <c r="C3905" t="s">
        <v>1599</v>
      </c>
      <c r="D3905" t="s">
        <v>74</v>
      </c>
      <c r="E3905" t="s">
        <v>723</v>
      </c>
      <c r="F3905" t="s">
        <v>219</v>
      </c>
      <c r="G3905" t="s">
        <v>724</v>
      </c>
      <c r="H3905" t="s">
        <v>221</v>
      </c>
      <c r="I3905">
        <v>211097.52</v>
      </c>
      <c r="J3905">
        <v>211097.52</v>
      </c>
      <c r="K3905">
        <v>211097.52</v>
      </c>
      <c r="L3905" t="s">
        <v>693</v>
      </c>
      <c r="M3905" t="s">
        <v>132</v>
      </c>
      <c r="N3905">
        <v>40300</v>
      </c>
      <c r="O3905">
        <v>7333644807.3918104</v>
      </c>
      <c r="P3905" t="str">
        <f>IF(T[[#This Row],[qty_ordered]]&lt;&gt;T[[#This Row],[qty_received]],IF(T[[#This Row],[qty_received]]&gt;0,"Partial Received","Not Receviced"),"FullyReceived")</f>
        <v>FullyReceived</v>
      </c>
      <c r="Q3905" t="str">
        <f>IF(T[[#This Row],[qty_received]]&lt;&gt;T[[#This Row],[qty_invoiced]],IF(T[[#This Row],[qty_invoiced]]&gt;0,"Partial Invoiced","Not Invoiced"),"Fully Invoiced")</f>
        <v>Fully Invoiced</v>
      </c>
      <c r="R3905" t="str">
        <f>IFERROR(VLOOKUP(T[[#This Row],[warehouse]],Table2[],2,FALSE),"--")</f>
        <v>YELLOW BEANS</v>
      </c>
    </row>
    <row r="3906" spans="1:18" x14ac:dyDescent="0.25">
      <c r="A3906" t="s">
        <v>2121</v>
      </c>
      <c r="B3906" s="1">
        <v>44605</v>
      </c>
      <c r="C3906" t="s">
        <v>2122</v>
      </c>
      <c r="D3906" t="s">
        <v>100</v>
      </c>
      <c r="E3906" t="s">
        <v>723</v>
      </c>
      <c r="F3906" t="s">
        <v>219</v>
      </c>
      <c r="G3906" t="s">
        <v>724</v>
      </c>
      <c r="H3906" t="s">
        <v>221</v>
      </c>
      <c r="I3906">
        <v>350597.64</v>
      </c>
      <c r="J3906">
        <v>0</v>
      </c>
      <c r="K3906">
        <v>0</v>
      </c>
      <c r="L3906" t="s">
        <v>693</v>
      </c>
      <c r="M3906" t="s">
        <v>707</v>
      </c>
      <c r="N3906">
        <v>25099.997821000001</v>
      </c>
      <c r="O3906">
        <v>0</v>
      </c>
      <c r="P3906" t="str">
        <f>IF(T[[#This Row],[qty_ordered]]&lt;&gt;T[[#This Row],[qty_received]],IF(T[[#This Row],[qty_received]]&gt;0,"Partial Received","Not Receviced"),"FullyReceived")</f>
        <v>Not Receviced</v>
      </c>
      <c r="Q3906" t="str">
        <f>IF(T[[#This Row],[qty_received]]&lt;&gt;T[[#This Row],[qty_invoiced]],IF(T[[#This Row],[qty_invoiced]]&gt;0,"Partial Invoiced","Not Invoiced"),"Fully Invoiced")</f>
        <v>Fully Invoiced</v>
      </c>
      <c r="R3906" t="str">
        <f>IFERROR(VLOOKUP(T[[#This Row],[warehouse]],Table2[],2,FALSE),"--")</f>
        <v>YELLOW BEANS</v>
      </c>
    </row>
    <row r="3907" spans="1:18" x14ac:dyDescent="0.25">
      <c r="A3907" t="s">
        <v>2121</v>
      </c>
      <c r="B3907" s="1">
        <v>44605</v>
      </c>
      <c r="C3907" t="s">
        <v>2122</v>
      </c>
      <c r="D3907" t="s">
        <v>88</v>
      </c>
      <c r="E3907" t="s">
        <v>723</v>
      </c>
      <c r="F3907" t="s">
        <v>219</v>
      </c>
      <c r="G3907" t="s">
        <v>724</v>
      </c>
      <c r="H3907" t="s">
        <v>221</v>
      </c>
      <c r="I3907">
        <v>188799.59</v>
      </c>
      <c r="J3907">
        <v>188799.59</v>
      </c>
      <c r="K3907">
        <v>188799.59</v>
      </c>
      <c r="L3907" t="s">
        <v>693</v>
      </c>
      <c r="M3907" t="s">
        <v>707</v>
      </c>
      <c r="N3907">
        <v>40300</v>
      </c>
      <c r="O3907">
        <v>6366326270.9959002</v>
      </c>
      <c r="P3907" t="str">
        <f>IF(T[[#This Row],[qty_ordered]]&lt;&gt;T[[#This Row],[qty_received]],IF(T[[#This Row],[qty_received]]&gt;0,"Partial Received","Not Receviced"),"FullyReceived")</f>
        <v>FullyReceived</v>
      </c>
      <c r="Q3907" t="str">
        <f>IF(T[[#This Row],[qty_received]]&lt;&gt;T[[#This Row],[qty_invoiced]],IF(T[[#This Row],[qty_invoiced]]&gt;0,"Partial Invoiced","Not Invoiced"),"Fully Invoiced")</f>
        <v>Fully Invoiced</v>
      </c>
      <c r="R3907" t="str">
        <f>IFERROR(VLOOKUP(T[[#This Row],[warehouse]],Table2[],2,FALSE),"--")</f>
        <v>YELLOW BEANS</v>
      </c>
    </row>
    <row r="3908" spans="1:18" x14ac:dyDescent="0.25">
      <c r="A3908" t="s">
        <v>1623</v>
      </c>
      <c r="B3908" s="1">
        <v>44588</v>
      </c>
      <c r="C3908" t="s">
        <v>1624</v>
      </c>
      <c r="D3908" t="s">
        <v>74</v>
      </c>
      <c r="E3908" t="s">
        <v>51</v>
      </c>
      <c r="F3908" t="s">
        <v>1641</v>
      </c>
      <c r="G3908" t="s">
        <v>2270</v>
      </c>
      <c r="H3908" t="s">
        <v>54</v>
      </c>
      <c r="I3908">
        <v>4500</v>
      </c>
      <c r="J3908">
        <v>0</v>
      </c>
      <c r="K3908">
        <v>1</v>
      </c>
      <c r="L3908" t="s">
        <v>693</v>
      </c>
      <c r="M3908" t="s">
        <v>533</v>
      </c>
      <c r="N3908">
        <v>12000</v>
      </c>
      <c r="O3908">
        <v>0</v>
      </c>
      <c r="P3908" t="str">
        <f>IF(T[[#This Row],[qty_ordered]]&lt;&gt;T[[#This Row],[qty_received]],IF(T[[#This Row],[qty_received]]&gt;0,"Partial Received","Not Receviced"),"FullyReceived")</f>
        <v>Not Receviced</v>
      </c>
      <c r="Q3908" t="str">
        <f>IF(T[[#This Row],[qty_received]]&lt;&gt;T[[#This Row],[qty_invoiced]],IF(T[[#This Row],[qty_invoiced]]&gt;0,"Partial Invoiced","Not Invoiced"),"Fully Invoiced")</f>
        <v>Partial Invoiced</v>
      </c>
      <c r="R3908" t="str">
        <f>IFERROR(VLOOKUP(T[[#This Row],[warehouse]],Table2[],2,FALSE),"--")</f>
        <v>--</v>
      </c>
    </row>
    <row r="3909" spans="1:18" x14ac:dyDescent="0.25">
      <c r="A3909" t="s">
        <v>560</v>
      </c>
      <c r="B3909" s="1">
        <v>44404</v>
      </c>
      <c r="C3909" t="s">
        <v>1424</v>
      </c>
      <c r="D3909" t="s">
        <v>323</v>
      </c>
      <c r="E3909" t="s">
        <v>51</v>
      </c>
      <c r="F3909" t="s">
        <v>52</v>
      </c>
      <c r="G3909" t="s">
        <v>53</v>
      </c>
      <c r="H3909" t="s">
        <v>54</v>
      </c>
      <c r="I3909">
        <v>24</v>
      </c>
      <c r="J3909">
        <v>0</v>
      </c>
      <c r="K3909">
        <v>1</v>
      </c>
      <c r="L3909" t="s">
        <v>693</v>
      </c>
      <c r="M3909" t="s">
        <v>707</v>
      </c>
      <c r="N3909">
        <v>5250</v>
      </c>
      <c r="O3909">
        <v>0</v>
      </c>
      <c r="P3909" t="str">
        <f>IF(T[[#This Row],[qty_ordered]]&lt;&gt;T[[#This Row],[qty_received]],IF(T[[#This Row],[qty_received]]&gt;0,"Partial Received","Not Receviced"),"FullyReceived")</f>
        <v>Not Receviced</v>
      </c>
      <c r="Q3909" t="str">
        <f>IF(T[[#This Row],[qty_received]]&lt;&gt;T[[#This Row],[qty_invoiced]],IF(T[[#This Row],[qty_invoiced]]&gt;0,"Partial Invoiced","Not Invoiced"),"Fully Invoiced")</f>
        <v>Partial Invoiced</v>
      </c>
      <c r="R3909" t="str">
        <f>IFERROR(VLOOKUP(T[[#This Row],[warehouse]],Table2[],2,FALSE),"--")</f>
        <v>--</v>
      </c>
    </row>
    <row r="3910" spans="1:18" x14ac:dyDescent="0.25">
      <c r="A3910" t="s">
        <v>725</v>
      </c>
      <c r="B3910" s="1">
        <v>44644</v>
      </c>
      <c r="C3910" t="s">
        <v>1994</v>
      </c>
      <c r="D3910" t="s">
        <v>20</v>
      </c>
      <c r="E3910" t="s">
        <v>723</v>
      </c>
      <c r="F3910" t="s">
        <v>219</v>
      </c>
      <c r="G3910" t="s">
        <v>724</v>
      </c>
      <c r="H3910" t="s">
        <v>221</v>
      </c>
      <c r="I3910">
        <v>164287.07</v>
      </c>
      <c r="J3910">
        <v>164287.07</v>
      </c>
      <c r="K3910">
        <v>164287.07</v>
      </c>
      <c r="L3910" t="s">
        <v>693</v>
      </c>
      <c r="M3910" t="s">
        <v>707</v>
      </c>
      <c r="N3910">
        <v>37499.999890999999</v>
      </c>
      <c r="O3910">
        <v>6160765107.0927095</v>
      </c>
      <c r="P3910" t="str">
        <f>IF(T[[#This Row],[qty_ordered]]&lt;&gt;T[[#This Row],[qty_received]],IF(T[[#This Row],[qty_received]]&gt;0,"Partial Received","Not Receviced"),"FullyReceived")</f>
        <v>FullyReceived</v>
      </c>
      <c r="Q3910" t="str">
        <f>IF(T[[#This Row],[qty_received]]&lt;&gt;T[[#This Row],[qty_invoiced]],IF(T[[#This Row],[qty_invoiced]]&gt;0,"Partial Invoiced","Not Invoiced"),"Fully Invoiced")</f>
        <v>Fully Invoiced</v>
      </c>
      <c r="R3910" t="str">
        <f>IFERROR(VLOOKUP(T[[#This Row],[warehouse]],Table2[],2,FALSE),"--")</f>
        <v>YELLOW BEANS</v>
      </c>
    </row>
    <row r="3911" spans="1:18" x14ac:dyDescent="0.25">
      <c r="A3911" t="s">
        <v>725</v>
      </c>
      <c r="B3911" s="1">
        <v>44644</v>
      </c>
      <c r="C3911" t="s">
        <v>1994</v>
      </c>
      <c r="D3911" t="s">
        <v>71</v>
      </c>
      <c r="E3911" t="s">
        <v>723</v>
      </c>
      <c r="F3911" t="s">
        <v>219</v>
      </c>
      <c r="G3911" t="s">
        <v>724</v>
      </c>
      <c r="H3911" t="s">
        <v>221</v>
      </c>
      <c r="I3911">
        <v>112000</v>
      </c>
      <c r="J3911">
        <v>0</v>
      </c>
      <c r="K3911">
        <v>0</v>
      </c>
      <c r="L3911" t="s">
        <v>693</v>
      </c>
      <c r="M3911" t="s">
        <v>707</v>
      </c>
      <c r="N3911">
        <v>37500</v>
      </c>
      <c r="O3911">
        <v>0</v>
      </c>
      <c r="P3911" t="str">
        <f>IF(T[[#This Row],[qty_ordered]]&lt;&gt;T[[#This Row],[qty_received]],IF(T[[#This Row],[qty_received]]&gt;0,"Partial Received","Not Receviced"),"FullyReceived")</f>
        <v>Not Receviced</v>
      </c>
      <c r="Q3911" t="str">
        <f>IF(T[[#This Row],[qty_received]]&lt;&gt;T[[#This Row],[qty_invoiced]],IF(T[[#This Row],[qty_invoiced]]&gt;0,"Partial Invoiced","Not Invoiced"),"Fully Invoiced")</f>
        <v>Fully Invoiced</v>
      </c>
      <c r="R3911" t="str">
        <f>IFERROR(VLOOKUP(T[[#This Row],[warehouse]],Table2[],2,FALSE),"--")</f>
        <v>YELLOW BEANS</v>
      </c>
    </row>
    <row r="3912" spans="1:18" x14ac:dyDescent="0.25">
      <c r="A3912" t="s">
        <v>228</v>
      </c>
      <c r="B3912" s="1">
        <v>44650</v>
      </c>
      <c r="C3912" t="s">
        <v>2271</v>
      </c>
      <c r="D3912" t="s">
        <v>20</v>
      </c>
      <c r="E3912" t="s">
        <v>239</v>
      </c>
      <c r="F3912" t="s">
        <v>230</v>
      </c>
      <c r="G3912" t="s">
        <v>231</v>
      </c>
      <c r="H3912" t="s">
        <v>24</v>
      </c>
      <c r="I3912">
        <v>1000</v>
      </c>
      <c r="J3912">
        <v>0</v>
      </c>
      <c r="K3912">
        <v>0</v>
      </c>
      <c r="L3912" t="s">
        <v>25</v>
      </c>
      <c r="M3912" t="s">
        <v>1485</v>
      </c>
      <c r="N3912">
        <v>583896</v>
      </c>
      <c r="O3912">
        <v>0</v>
      </c>
      <c r="P3912" t="str">
        <f>IF(T[[#This Row],[qty_ordered]]&lt;&gt;T[[#This Row],[qty_received]],IF(T[[#This Row],[qty_received]]&gt;0,"Partial Received","Not Receviced"),"FullyReceived")</f>
        <v>Not Receviced</v>
      </c>
      <c r="Q3912" t="str">
        <f>IF(T[[#This Row],[qty_received]]&lt;&gt;T[[#This Row],[qty_invoiced]],IF(T[[#This Row],[qty_invoiced]]&gt;0,"Partial Invoiced","Not Invoiced"),"Fully Invoiced")</f>
        <v>Fully Invoiced</v>
      </c>
      <c r="R3912" t="str">
        <f>IFERROR(VLOOKUP(T[[#This Row],[warehouse]],Table2[],2,FALSE),"--")</f>
        <v xml:space="preserve">Gadarif Main Store </v>
      </c>
    </row>
    <row r="3913" spans="1:18" x14ac:dyDescent="0.25">
      <c r="A3913" t="s">
        <v>1685</v>
      </c>
      <c r="B3913" s="1">
        <v>44719</v>
      </c>
      <c r="C3913" t="s">
        <v>2272</v>
      </c>
      <c r="D3913" t="s">
        <v>20</v>
      </c>
      <c r="E3913" t="s">
        <v>51</v>
      </c>
      <c r="F3913" t="s">
        <v>52</v>
      </c>
      <c r="G3913" t="s">
        <v>53</v>
      </c>
      <c r="H3913" t="s">
        <v>54</v>
      </c>
      <c r="I3913">
        <v>225.82</v>
      </c>
      <c r="J3913">
        <v>0</v>
      </c>
      <c r="K3913">
        <v>1</v>
      </c>
      <c r="L3913" t="s">
        <v>693</v>
      </c>
      <c r="M3913" t="s">
        <v>707</v>
      </c>
      <c r="N3913">
        <v>1146.5360000000001</v>
      </c>
      <c r="O3913">
        <v>0</v>
      </c>
      <c r="P3913" t="str">
        <f>IF(T[[#This Row],[qty_ordered]]&lt;&gt;T[[#This Row],[qty_received]],IF(T[[#This Row],[qty_received]]&gt;0,"Partial Received","Not Receviced"),"FullyReceived")</f>
        <v>Not Receviced</v>
      </c>
      <c r="Q3913" t="str">
        <f>IF(T[[#This Row],[qty_received]]&lt;&gt;T[[#This Row],[qty_invoiced]],IF(T[[#This Row],[qty_invoiced]]&gt;0,"Partial Invoiced","Not Invoiced"),"Fully Invoiced")</f>
        <v>Partial Invoiced</v>
      </c>
      <c r="R3913" t="str">
        <f>IFERROR(VLOOKUP(T[[#This Row],[warehouse]],Table2[],2,FALSE),"--")</f>
        <v>--</v>
      </c>
    </row>
    <row r="3914" spans="1:18" x14ac:dyDescent="0.25">
      <c r="A3914" t="s">
        <v>1413</v>
      </c>
      <c r="B3914" s="1">
        <v>44725</v>
      </c>
      <c r="C3914" t="s">
        <v>2273</v>
      </c>
      <c r="D3914" t="s">
        <v>20</v>
      </c>
      <c r="E3914" t="s">
        <v>1730</v>
      </c>
      <c r="F3914" t="s">
        <v>406</v>
      </c>
      <c r="G3914" t="s">
        <v>407</v>
      </c>
      <c r="H3914" t="s">
        <v>24</v>
      </c>
      <c r="I3914">
        <v>500</v>
      </c>
      <c r="J3914">
        <v>0</v>
      </c>
      <c r="K3914">
        <v>0</v>
      </c>
      <c r="L3914" t="s">
        <v>693</v>
      </c>
      <c r="M3914" t="s">
        <v>707</v>
      </c>
      <c r="N3914">
        <v>297787.64</v>
      </c>
      <c r="O3914">
        <v>0</v>
      </c>
      <c r="P3914" t="str">
        <f>IF(T[[#This Row],[qty_ordered]]&lt;&gt;T[[#This Row],[qty_received]],IF(T[[#This Row],[qty_received]]&gt;0,"Partial Received","Not Receviced"),"FullyReceived")</f>
        <v>Not Receviced</v>
      </c>
      <c r="Q3914" t="str">
        <f>IF(T[[#This Row],[qty_received]]&lt;&gt;T[[#This Row],[qty_invoiced]],IF(T[[#This Row],[qty_invoiced]]&gt;0,"Partial Invoiced","Not Invoiced"),"Fully Invoiced")</f>
        <v>Fully Invoiced</v>
      </c>
      <c r="R3914" t="str">
        <f>IFERROR(VLOOKUP(T[[#This Row],[warehouse]],Table2[],2,FALSE),"--")</f>
        <v>MSG GINNING MDANI</v>
      </c>
    </row>
    <row r="3915" spans="1:18" x14ac:dyDescent="0.25">
      <c r="A3915" t="s">
        <v>955</v>
      </c>
      <c r="B3915" s="1">
        <v>44725</v>
      </c>
      <c r="C3915" t="s">
        <v>2274</v>
      </c>
      <c r="D3915" t="s">
        <v>20</v>
      </c>
      <c r="E3915" t="s">
        <v>908</v>
      </c>
      <c r="F3915" t="s">
        <v>108</v>
      </c>
      <c r="G3915" t="s">
        <v>109</v>
      </c>
      <c r="H3915" t="s">
        <v>24</v>
      </c>
      <c r="I3915">
        <v>500</v>
      </c>
      <c r="J3915">
        <v>232.18</v>
      </c>
      <c r="K3915">
        <v>232.18</v>
      </c>
      <c r="L3915" t="s">
        <v>693</v>
      </c>
      <c r="M3915" t="s">
        <v>707</v>
      </c>
      <c r="N3915">
        <v>627450</v>
      </c>
      <c r="O3915">
        <v>145681341</v>
      </c>
      <c r="P3915" t="str">
        <f>IF(T[[#This Row],[qty_ordered]]&lt;&gt;T[[#This Row],[qty_received]],IF(T[[#This Row],[qty_received]]&gt;0,"Partial Received","Not Receviced"),"FullyReceived")</f>
        <v>Partial Received</v>
      </c>
      <c r="Q3915" t="str">
        <f>IF(T[[#This Row],[qty_received]]&lt;&gt;T[[#This Row],[qty_invoiced]],IF(T[[#This Row],[qty_invoiced]]&gt;0,"Partial Invoiced","Not Invoiced"),"Fully Invoiced")</f>
        <v>Fully Invoiced</v>
      </c>
      <c r="R3915" t="str">
        <f>IFERROR(VLOOKUP(T[[#This Row],[warehouse]],Table2[],2,FALSE),"--")</f>
        <v>SIFTER- ALNAZER-OMDU</v>
      </c>
    </row>
    <row r="3916" spans="1:18" x14ac:dyDescent="0.25">
      <c r="A3916" t="s">
        <v>1118</v>
      </c>
      <c r="B3916" s="1">
        <v>44430</v>
      </c>
      <c r="C3916" t="s">
        <v>1119</v>
      </c>
      <c r="D3916" t="s">
        <v>88</v>
      </c>
      <c r="E3916" t="s">
        <v>660</v>
      </c>
      <c r="F3916" t="s">
        <v>1116</v>
      </c>
      <c r="G3916" t="s">
        <v>1117</v>
      </c>
      <c r="H3916" t="s">
        <v>54</v>
      </c>
      <c r="I3916">
        <v>11034</v>
      </c>
      <c r="J3916">
        <v>0</v>
      </c>
      <c r="K3916">
        <v>0</v>
      </c>
      <c r="L3916" t="s">
        <v>693</v>
      </c>
      <c r="M3916" t="s">
        <v>132</v>
      </c>
      <c r="N3916">
        <v>0</v>
      </c>
      <c r="O3916">
        <v>0</v>
      </c>
      <c r="P3916" t="str">
        <f>IF(T[[#This Row],[qty_ordered]]&lt;&gt;T[[#This Row],[qty_received]],IF(T[[#This Row],[qty_received]]&gt;0,"Partial Received","Not Receviced"),"FullyReceived")</f>
        <v>Not Receviced</v>
      </c>
      <c r="Q3916" t="str">
        <f>IF(T[[#This Row],[qty_received]]&lt;&gt;T[[#This Row],[qty_invoiced]],IF(T[[#This Row],[qty_invoiced]]&gt;0,"Partial Invoiced","Not Invoiced"),"Fully Invoiced")</f>
        <v>Fully Invoiced</v>
      </c>
      <c r="R3916" t="str">
        <f>IFERROR(VLOOKUP(T[[#This Row],[warehouse]],Table2[],2,FALSE),"--")</f>
        <v>SLAUGHTER HOUSE</v>
      </c>
    </row>
    <row r="3917" spans="1:18" x14ac:dyDescent="0.25">
      <c r="A3917" t="s">
        <v>1118</v>
      </c>
      <c r="B3917" s="1">
        <v>44430</v>
      </c>
      <c r="C3917" t="s">
        <v>1119</v>
      </c>
      <c r="D3917" t="s">
        <v>74</v>
      </c>
      <c r="E3917" t="s">
        <v>660</v>
      </c>
      <c r="F3917" t="s">
        <v>1042</v>
      </c>
      <c r="G3917" t="s">
        <v>1043</v>
      </c>
      <c r="H3917" t="s">
        <v>663</v>
      </c>
      <c r="I3917">
        <v>3145.2</v>
      </c>
      <c r="J3917">
        <v>3145.2</v>
      </c>
      <c r="K3917">
        <v>0</v>
      </c>
      <c r="L3917" t="s">
        <v>693</v>
      </c>
      <c r="M3917" t="s">
        <v>132</v>
      </c>
      <c r="N3917">
        <v>0</v>
      </c>
      <c r="O3917">
        <v>0</v>
      </c>
      <c r="P3917" t="str">
        <f>IF(T[[#This Row],[qty_ordered]]&lt;&gt;T[[#This Row],[qty_received]],IF(T[[#This Row],[qty_received]]&gt;0,"Partial Received","Not Receviced"),"FullyReceived")</f>
        <v>FullyReceived</v>
      </c>
      <c r="Q3917" t="str">
        <f>IF(T[[#This Row],[qty_received]]&lt;&gt;T[[#This Row],[qty_invoiced]],IF(T[[#This Row],[qty_invoiced]]&gt;0,"Partial Invoiced","Not Invoiced"),"Fully Invoiced")</f>
        <v>Not Invoiced</v>
      </c>
      <c r="R3917" t="str">
        <f>IFERROR(VLOOKUP(T[[#This Row],[warehouse]],Table2[],2,FALSE),"--")</f>
        <v>SLAUGHTER HOUSE</v>
      </c>
    </row>
    <row r="3918" spans="1:18" x14ac:dyDescent="0.25">
      <c r="A3918" t="s">
        <v>959</v>
      </c>
      <c r="B3918" s="1">
        <v>44727</v>
      </c>
      <c r="C3918" t="s">
        <v>2275</v>
      </c>
      <c r="D3918" t="s">
        <v>20</v>
      </c>
      <c r="E3918" t="s">
        <v>214</v>
      </c>
      <c r="F3918" t="s">
        <v>167</v>
      </c>
      <c r="G3918" t="s">
        <v>156</v>
      </c>
      <c r="H3918" t="s">
        <v>24</v>
      </c>
      <c r="I3918">
        <v>600</v>
      </c>
      <c r="J3918">
        <v>521.28</v>
      </c>
      <c r="K3918">
        <v>521.28</v>
      </c>
      <c r="L3918" t="s">
        <v>693</v>
      </c>
      <c r="M3918" t="s">
        <v>707</v>
      </c>
      <c r="N3918">
        <v>980000</v>
      </c>
      <c r="O3918">
        <v>510854400</v>
      </c>
      <c r="P3918" t="str">
        <f>IF(T[[#This Row],[qty_ordered]]&lt;&gt;T[[#This Row],[qty_received]],IF(T[[#This Row],[qty_received]]&gt;0,"Partial Received","Not Receviced"),"FullyReceived")</f>
        <v>Partial Received</v>
      </c>
      <c r="Q3918" t="str">
        <f>IF(T[[#This Row],[qty_received]]&lt;&gt;T[[#This Row],[qty_invoiced]],IF(T[[#This Row],[qty_invoiced]]&gt;0,"Partial Invoiced","Not Invoiced"),"Fully Invoiced")</f>
        <v>Fully Invoiced</v>
      </c>
      <c r="R3918" t="str">
        <f>IFERROR(VLOOKUP(T[[#This Row],[warehouse]],Table2[],2,FALSE),"--")</f>
        <v>CRUSHER ELBALOLA</v>
      </c>
    </row>
    <row r="3919" spans="1:18" x14ac:dyDescent="0.25">
      <c r="A3919" t="s">
        <v>1287</v>
      </c>
      <c r="B3919" s="1">
        <v>44727</v>
      </c>
      <c r="C3919" t="s">
        <v>2276</v>
      </c>
      <c r="D3919" t="s">
        <v>20</v>
      </c>
      <c r="E3919" t="s">
        <v>629</v>
      </c>
      <c r="F3919" t="s">
        <v>2069</v>
      </c>
      <c r="G3919" t="s">
        <v>2070</v>
      </c>
      <c r="H3919" t="s">
        <v>24</v>
      </c>
      <c r="I3919">
        <v>500</v>
      </c>
      <c r="J3919">
        <v>11.59</v>
      </c>
      <c r="K3919">
        <v>11.59</v>
      </c>
      <c r="L3919" t="s">
        <v>693</v>
      </c>
      <c r="M3919" t="s">
        <v>707</v>
      </c>
      <c r="N3919">
        <v>301487.5</v>
      </c>
      <c r="O3919">
        <v>3494240.125</v>
      </c>
      <c r="P3919" t="str">
        <f>IF(T[[#This Row],[qty_ordered]]&lt;&gt;T[[#This Row],[qty_received]],IF(T[[#This Row],[qty_received]]&gt;0,"Partial Received","Not Receviced"),"FullyReceived")</f>
        <v>Partial Received</v>
      </c>
      <c r="Q3919" t="str">
        <f>IF(T[[#This Row],[qty_received]]&lt;&gt;T[[#This Row],[qty_invoiced]],IF(T[[#This Row],[qty_invoiced]]&gt;0,"Partial Invoiced","Not Invoiced"),"Fully Invoiced")</f>
        <v>Fully Invoiced</v>
      </c>
      <c r="R3919" t="str">
        <f>IFERROR(VLOOKUP(T[[#This Row],[warehouse]],Table2[],2,FALSE),"--")</f>
        <v>SOPC Sifting &amp; Sorting</v>
      </c>
    </row>
    <row r="3920" spans="1:18" x14ac:dyDescent="0.25">
      <c r="A3920" t="s">
        <v>1287</v>
      </c>
      <c r="B3920" s="1">
        <v>44727</v>
      </c>
      <c r="C3920" t="s">
        <v>1751</v>
      </c>
      <c r="D3920" t="s">
        <v>20</v>
      </c>
      <c r="E3920" t="s">
        <v>1139</v>
      </c>
      <c r="F3920" t="s">
        <v>287</v>
      </c>
      <c r="G3920" t="s">
        <v>288</v>
      </c>
      <c r="H3920" t="s">
        <v>24</v>
      </c>
      <c r="I3920">
        <v>500</v>
      </c>
      <c r="J3920">
        <v>109.75</v>
      </c>
      <c r="K3920">
        <v>109.75</v>
      </c>
      <c r="L3920" t="s">
        <v>693</v>
      </c>
      <c r="M3920" t="s">
        <v>707</v>
      </c>
      <c r="N3920">
        <v>433000</v>
      </c>
      <c r="O3920">
        <v>47521750</v>
      </c>
      <c r="P3920" t="str">
        <f>IF(T[[#This Row],[qty_ordered]]&lt;&gt;T[[#This Row],[qty_received]],IF(T[[#This Row],[qty_received]]&gt;0,"Partial Received","Not Receviced"),"FullyReceived")</f>
        <v>Partial Received</v>
      </c>
      <c r="Q3920" t="str">
        <f>IF(T[[#This Row],[qty_received]]&lt;&gt;T[[#This Row],[qty_invoiced]],IF(T[[#This Row],[qty_invoiced]]&gt;0,"Partial Invoiced","Not Invoiced"),"Fully Invoiced")</f>
        <v>Fully Invoiced</v>
      </c>
      <c r="R3920" t="str">
        <f>IFERROR(VLOOKUP(T[[#This Row],[warehouse]],Table2[],2,FALSE),"--")</f>
        <v>Magzoub Sorting - OMD</v>
      </c>
    </row>
    <row r="3921" spans="1:18" x14ac:dyDescent="0.25">
      <c r="A3921" t="s">
        <v>821</v>
      </c>
      <c r="B3921" s="1">
        <v>44732</v>
      </c>
      <c r="C3921" t="s">
        <v>2277</v>
      </c>
      <c r="D3921" t="s">
        <v>20</v>
      </c>
      <c r="E3921" t="s">
        <v>51</v>
      </c>
      <c r="F3921" t="s">
        <v>52</v>
      </c>
      <c r="G3921" t="s">
        <v>2278</v>
      </c>
      <c r="H3921" t="s">
        <v>54</v>
      </c>
      <c r="I3921">
        <v>1</v>
      </c>
      <c r="J3921">
        <v>0</v>
      </c>
      <c r="K3921">
        <v>1</v>
      </c>
      <c r="L3921" t="s">
        <v>693</v>
      </c>
      <c r="M3921" t="s">
        <v>707</v>
      </c>
      <c r="N3921">
        <v>474426942.96688002</v>
      </c>
      <c r="O3921">
        <v>0</v>
      </c>
      <c r="P3921" t="str">
        <f>IF(T[[#This Row],[qty_ordered]]&lt;&gt;T[[#This Row],[qty_received]],IF(T[[#This Row],[qty_received]]&gt;0,"Partial Received","Not Receviced"),"FullyReceived")</f>
        <v>Not Receviced</v>
      </c>
      <c r="Q3921" t="str">
        <f>IF(T[[#This Row],[qty_received]]&lt;&gt;T[[#This Row],[qty_invoiced]],IF(T[[#This Row],[qty_invoiced]]&gt;0,"Partial Invoiced","Not Invoiced"),"Fully Invoiced")</f>
        <v>Partial Invoiced</v>
      </c>
      <c r="R3921" t="str">
        <f>IFERROR(VLOOKUP(T[[#This Row],[warehouse]],Table2[],2,FALSE),"--")</f>
        <v>--</v>
      </c>
    </row>
    <row r="3922" spans="1:18" x14ac:dyDescent="0.25">
      <c r="A3922" t="s">
        <v>821</v>
      </c>
      <c r="B3922" s="1">
        <v>44732</v>
      </c>
      <c r="C3922" t="s">
        <v>2277</v>
      </c>
      <c r="D3922" t="s">
        <v>71</v>
      </c>
      <c r="E3922" t="s">
        <v>51</v>
      </c>
      <c r="F3922" t="s">
        <v>52</v>
      </c>
      <c r="G3922" t="s">
        <v>2278</v>
      </c>
      <c r="H3922" t="s">
        <v>54</v>
      </c>
      <c r="I3922">
        <v>1</v>
      </c>
      <c r="J3922">
        <v>0</v>
      </c>
      <c r="K3922">
        <v>1</v>
      </c>
      <c r="L3922" t="s">
        <v>693</v>
      </c>
      <c r="M3922" t="s">
        <v>707</v>
      </c>
      <c r="N3922">
        <v>474426942.96688002</v>
      </c>
      <c r="O3922">
        <v>0</v>
      </c>
      <c r="P3922" t="str">
        <f>IF(T[[#This Row],[qty_ordered]]&lt;&gt;T[[#This Row],[qty_received]],IF(T[[#This Row],[qty_received]]&gt;0,"Partial Received","Not Receviced"),"FullyReceived")</f>
        <v>Not Receviced</v>
      </c>
      <c r="Q3922" t="str">
        <f>IF(T[[#This Row],[qty_received]]&lt;&gt;T[[#This Row],[qty_invoiced]],IF(T[[#This Row],[qty_invoiced]]&gt;0,"Partial Invoiced","Not Invoiced"),"Fully Invoiced")</f>
        <v>Partial Invoiced</v>
      </c>
      <c r="R3922" t="str">
        <f>IFERROR(VLOOKUP(T[[#This Row],[warehouse]],Table2[],2,FALSE),"--")</f>
        <v>--</v>
      </c>
    </row>
    <row r="3923" spans="1:18" x14ac:dyDescent="0.25">
      <c r="A3923" t="s">
        <v>821</v>
      </c>
      <c r="B3923" s="1">
        <v>44732</v>
      </c>
      <c r="C3923" t="s">
        <v>2277</v>
      </c>
      <c r="D3923" t="s">
        <v>100</v>
      </c>
      <c r="E3923" t="s">
        <v>51</v>
      </c>
      <c r="F3923" t="s">
        <v>52</v>
      </c>
      <c r="G3923" t="s">
        <v>2278</v>
      </c>
      <c r="H3923" t="s">
        <v>54</v>
      </c>
      <c r="I3923">
        <v>1</v>
      </c>
      <c r="J3923">
        <v>0</v>
      </c>
      <c r="K3923">
        <v>1</v>
      </c>
      <c r="L3923" t="s">
        <v>693</v>
      </c>
      <c r="M3923" t="s">
        <v>707</v>
      </c>
      <c r="N3923">
        <v>474426942.96688002</v>
      </c>
      <c r="O3923">
        <v>0</v>
      </c>
      <c r="P3923" t="str">
        <f>IF(T[[#This Row],[qty_ordered]]&lt;&gt;T[[#This Row],[qty_received]],IF(T[[#This Row],[qty_received]]&gt;0,"Partial Received","Not Receviced"),"FullyReceived")</f>
        <v>Not Receviced</v>
      </c>
      <c r="Q3923" t="str">
        <f>IF(T[[#This Row],[qty_received]]&lt;&gt;T[[#This Row],[qty_invoiced]],IF(T[[#This Row],[qty_invoiced]]&gt;0,"Partial Invoiced","Not Invoiced"),"Fully Invoiced")</f>
        <v>Partial Invoiced</v>
      </c>
      <c r="R3923" t="str">
        <f>IFERROR(VLOOKUP(T[[#This Row],[warehouse]],Table2[],2,FALSE),"--")</f>
        <v>--</v>
      </c>
    </row>
    <row r="3924" spans="1:18" x14ac:dyDescent="0.25">
      <c r="A3924" t="s">
        <v>821</v>
      </c>
      <c r="B3924" s="1">
        <v>44732</v>
      </c>
      <c r="C3924" t="s">
        <v>2277</v>
      </c>
      <c r="D3924" t="s">
        <v>88</v>
      </c>
      <c r="E3924" t="s">
        <v>51</v>
      </c>
      <c r="F3924" t="s">
        <v>52</v>
      </c>
      <c r="G3924" t="s">
        <v>2278</v>
      </c>
      <c r="H3924" t="s">
        <v>54</v>
      </c>
      <c r="I3924">
        <v>1</v>
      </c>
      <c r="J3924">
        <v>0</v>
      </c>
      <c r="K3924">
        <v>1</v>
      </c>
      <c r="L3924" t="s">
        <v>693</v>
      </c>
      <c r="M3924" t="s">
        <v>707</v>
      </c>
      <c r="N3924">
        <v>474426942.96688002</v>
      </c>
      <c r="O3924">
        <v>0</v>
      </c>
      <c r="P3924" t="str">
        <f>IF(T[[#This Row],[qty_ordered]]&lt;&gt;T[[#This Row],[qty_received]],IF(T[[#This Row],[qty_received]]&gt;0,"Partial Received","Not Receviced"),"FullyReceived")</f>
        <v>Not Receviced</v>
      </c>
      <c r="Q3924" t="str">
        <f>IF(T[[#This Row],[qty_received]]&lt;&gt;T[[#This Row],[qty_invoiced]],IF(T[[#This Row],[qty_invoiced]]&gt;0,"Partial Invoiced","Not Invoiced"),"Fully Invoiced")</f>
        <v>Partial Invoiced</v>
      </c>
      <c r="R3924" t="str">
        <f>IFERROR(VLOOKUP(T[[#This Row],[warehouse]],Table2[],2,FALSE),"--")</f>
        <v>--</v>
      </c>
    </row>
    <row r="3925" spans="1:18" x14ac:dyDescent="0.25">
      <c r="A3925" t="s">
        <v>560</v>
      </c>
      <c r="B3925" s="1">
        <v>44404</v>
      </c>
      <c r="C3925" t="s">
        <v>1424</v>
      </c>
      <c r="D3925" t="s">
        <v>325</v>
      </c>
      <c r="E3925" t="s">
        <v>51</v>
      </c>
      <c r="F3925" t="s">
        <v>52</v>
      </c>
      <c r="G3925" t="s">
        <v>53</v>
      </c>
      <c r="H3925" t="s">
        <v>54</v>
      </c>
      <c r="I3925">
        <v>24</v>
      </c>
      <c r="J3925">
        <v>0</v>
      </c>
      <c r="K3925">
        <v>1</v>
      </c>
      <c r="L3925" t="s">
        <v>693</v>
      </c>
      <c r="M3925" t="s">
        <v>707</v>
      </c>
      <c r="N3925">
        <v>5250</v>
      </c>
      <c r="O3925">
        <v>0</v>
      </c>
      <c r="P3925" t="str">
        <f>IF(T[[#This Row],[qty_ordered]]&lt;&gt;T[[#This Row],[qty_received]],IF(T[[#This Row],[qty_received]]&gt;0,"Partial Received","Not Receviced"),"FullyReceived")</f>
        <v>Not Receviced</v>
      </c>
      <c r="Q3925" t="str">
        <f>IF(T[[#This Row],[qty_received]]&lt;&gt;T[[#This Row],[qty_invoiced]],IF(T[[#This Row],[qty_invoiced]]&gt;0,"Partial Invoiced","Not Invoiced"),"Fully Invoiced")</f>
        <v>Partial Invoiced</v>
      </c>
      <c r="R3925" t="str">
        <f>IFERROR(VLOOKUP(T[[#This Row],[warehouse]],Table2[],2,FALSE),"--")</f>
        <v>--</v>
      </c>
    </row>
    <row r="3926" spans="1:18" x14ac:dyDescent="0.25">
      <c r="A3926" t="s">
        <v>560</v>
      </c>
      <c r="B3926" s="1">
        <v>44606</v>
      </c>
      <c r="C3926" t="s">
        <v>1546</v>
      </c>
      <c r="D3926" t="s">
        <v>592</v>
      </c>
      <c r="E3926" t="s">
        <v>51</v>
      </c>
      <c r="F3926" t="s">
        <v>164</v>
      </c>
      <c r="G3926" t="s">
        <v>2279</v>
      </c>
      <c r="H3926" t="s">
        <v>54</v>
      </c>
      <c r="I3926">
        <v>33</v>
      </c>
      <c r="J3926">
        <v>0</v>
      </c>
      <c r="K3926">
        <v>1</v>
      </c>
      <c r="L3926" t="s">
        <v>693</v>
      </c>
      <c r="M3926" t="s">
        <v>2836</v>
      </c>
      <c r="N3926">
        <v>5250</v>
      </c>
      <c r="O3926">
        <v>0</v>
      </c>
      <c r="P3926" t="str">
        <f>IF(T[[#This Row],[qty_ordered]]&lt;&gt;T[[#This Row],[qty_received]],IF(T[[#This Row],[qty_received]]&gt;0,"Partial Received","Not Receviced"),"FullyReceived")</f>
        <v>Not Receviced</v>
      </c>
      <c r="Q3926" t="str">
        <f>IF(T[[#This Row],[qty_received]]&lt;&gt;T[[#This Row],[qty_invoiced]],IF(T[[#This Row],[qty_invoiced]]&gt;0,"Partial Invoiced","Not Invoiced"),"Fully Invoiced")</f>
        <v>Partial Invoiced</v>
      </c>
      <c r="R3926" t="str">
        <f>IFERROR(VLOOKUP(T[[#This Row],[warehouse]],Table2[],2,FALSE),"--")</f>
        <v>--</v>
      </c>
    </row>
    <row r="3927" spans="1:18" x14ac:dyDescent="0.25">
      <c r="A3927" t="s">
        <v>560</v>
      </c>
      <c r="B3927" s="1">
        <v>44606</v>
      </c>
      <c r="C3927" t="s">
        <v>1546</v>
      </c>
      <c r="D3927" t="s">
        <v>593</v>
      </c>
      <c r="E3927" t="s">
        <v>51</v>
      </c>
      <c r="F3927" t="s">
        <v>164</v>
      </c>
      <c r="G3927" t="s">
        <v>2279</v>
      </c>
      <c r="H3927" t="s">
        <v>54</v>
      </c>
      <c r="I3927">
        <v>30.13</v>
      </c>
      <c r="J3927">
        <v>0</v>
      </c>
      <c r="K3927">
        <v>1</v>
      </c>
      <c r="L3927" t="s">
        <v>693</v>
      </c>
      <c r="M3927" t="s">
        <v>2836</v>
      </c>
      <c r="N3927">
        <v>5250</v>
      </c>
      <c r="O3927">
        <v>0</v>
      </c>
      <c r="P3927" t="str">
        <f>IF(T[[#This Row],[qty_ordered]]&lt;&gt;T[[#This Row],[qty_received]],IF(T[[#This Row],[qty_received]]&gt;0,"Partial Received","Not Receviced"),"FullyReceived")</f>
        <v>Not Receviced</v>
      </c>
      <c r="Q3927" t="str">
        <f>IF(T[[#This Row],[qty_received]]&lt;&gt;T[[#This Row],[qty_invoiced]],IF(T[[#This Row],[qty_invoiced]]&gt;0,"Partial Invoiced","Not Invoiced"),"Fully Invoiced")</f>
        <v>Partial Invoiced</v>
      </c>
      <c r="R3927" t="str">
        <f>IFERROR(VLOOKUP(T[[#This Row],[warehouse]],Table2[],2,FALSE),"--")</f>
        <v>--</v>
      </c>
    </row>
    <row r="3928" spans="1:18" x14ac:dyDescent="0.25">
      <c r="A3928" t="s">
        <v>560</v>
      </c>
      <c r="B3928" s="1">
        <v>44606</v>
      </c>
      <c r="C3928" t="s">
        <v>1546</v>
      </c>
      <c r="D3928" t="s">
        <v>594</v>
      </c>
      <c r="E3928" t="s">
        <v>51</v>
      </c>
      <c r="F3928" t="s">
        <v>164</v>
      </c>
      <c r="G3928" t="s">
        <v>2279</v>
      </c>
      <c r="H3928" t="s">
        <v>54</v>
      </c>
      <c r="I3928">
        <v>24.25</v>
      </c>
      <c r="J3928">
        <v>0</v>
      </c>
      <c r="K3928">
        <v>1</v>
      </c>
      <c r="L3928" t="s">
        <v>693</v>
      </c>
      <c r="M3928" t="s">
        <v>2836</v>
      </c>
      <c r="N3928">
        <v>5250</v>
      </c>
      <c r="O3928">
        <v>0</v>
      </c>
      <c r="P3928" t="str">
        <f>IF(T[[#This Row],[qty_ordered]]&lt;&gt;T[[#This Row],[qty_received]],IF(T[[#This Row],[qty_received]]&gt;0,"Partial Received","Not Receviced"),"FullyReceived")</f>
        <v>Not Receviced</v>
      </c>
      <c r="Q3928" t="str">
        <f>IF(T[[#This Row],[qty_received]]&lt;&gt;T[[#This Row],[qty_invoiced]],IF(T[[#This Row],[qty_invoiced]]&gt;0,"Partial Invoiced","Not Invoiced"),"Fully Invoiced")</f>
        <v>Partial Invoiced</v>
      </c>
      <c r="R3928" t="str">
        <f>IFERROR(VLOOKUP(T[[#This Row],[warehouse]],Table2[],2,FALSE),"--")</f>
        <v>--</v>
      </c>
    </row>
    <row r="3929" spans="1:18" x14ac:dyDescent="0.25">
      <c r="A3929" t="s">
        <v>560</v>
      </c>
      <c r="B3929" s="1">
        <v>44606</v>
      </c>
      <c r="C3929" t="s">
        <v>1546</v>
      </c>
      <c r="D3929" t="s">
        <v>595</v>
      </c>
      <c r="E3929" t="s">
        <v>51</v>
      </c>
      <c r="F3929" t="s">
        <v>164</v>
      </c>
      <c r="G3929" t="s">
        <v>2279</v>
      </c>
      <c r="H3929" t="s">
        <v>54</v>
      </c>
      <c r="I3929">
        <v>3.88</v>
      </c>
      <c r="J3929">
        <v>0</v>
      </c>
      <c r="K3929">
        <v>1</v>
      </c>
      <c r="L3929" t="s">
        <v>693</v>
      </c>
      <c r="M3929" t="s">
        <v>2836</v>
      </c>
      <c r="N3929">
        <v>5250</v>
      </c>
      <c r="O3929">
        <v>0</v>
      </c>
      <c r="P3929" t="str">
        <f>IF(T[[#This Row],[qty_ordered]]&lt;&gt;T[[#This Row],[qty_received]],IF(T[[#This Row],[qty_received]]&gt;0,"Partial Received","Not Receviced"),"FullyReceived")</f>
        <v>Not Receviced</v>
      </c>
      <c r="Q3929" t="str">
        <f>IF(T[[#This Row],[qty_received]]&lt;&gt;T[[#This Row],[qty_invoiced]],IF(T[[#This Row],[qty_invoiced]]&gt;0,"Partial Invoiced","Not Invoiced"),"Fully Invoiced")</f>
        <v>Partial Invoiced</v>
      </c>
      <c r="R3929" t="str">
        <f>IFERROR(VLOOKUP(T[[#This Row],[warehouse]],Table2[],2,FALSE),"--")</f>
        <v>--</v>
      </c>
    </row>
    <row r="3930" spans="1:18" x14ac:dyDescent="0.25">
      <c r="A3930" t="s">
        <v>560</v>
      </c>
      <c r="B3930" s="1">
        <v>44606</v>
      </c>
      <c r="C3930" t="s">
        <v>1546</v>
      </c>
      <c r="D3930" t="s">
        <v>596</v>
      </c>
      <c r="E3930" t="s">
        <v>51</v>
      </c>
      <c r="F3930" t="s">
        <v>164</v>
      </c>
      <c r="G3930" t="s">
        <v>2279</v>
      </c>
      <c r="H3930" t="s">
        <v>54</v>
      </c>
      <c r="I3930">
        <v>18</v>
      </c>
      <c r="J3930">
        <v>0</v>
      </c>
      <c r="K3930">
        <v>1</v>
      </c>
      <c r="L3930" t="s">
        <v>693</v>
      </c>
      <c r="M3930" t="s">
        <v>2836</v>
      </c>
      <c r="N3930">
        <v>5250</v>
      </c>
      <c r="O3930">
        <v>0</v>
      </c>
      <c r="P3930" t="str">
        <f>IF(T[[#This Row],[qty_ordered]]&lt;&gt;T[[#This Row],[qty_received]],IF(T[[#This Row],[qty_received]]&gt;0,"Partial Received","Not Receviced"),"FullyReceived")</f>
        <v>Not Receviced</v>
      </c>
      <c r="Q3930" t="str">
        <f>IF(T[[#This Row],[qty_received]]&lt;&gt;T[[#This Row],[qty_invoiced]],IF(T[[#This Row],[qty_invoiced]]&gt;0,"Partial Invoiced","Not Invoiced"),"Fully Invoiced")</f>
        <v>Partial Invoiced</v>
      </c>
      <c r="R3930" t="str">
        <f>IFERROR(VLOOKUP(T[[#This Row],[warehouse]],Table2[],2,FALSE),"--")</f>
        <v>--</v>
      </c>
    </row>
    <row r="3931" spans="1:18" x14ac:dyDescent="0.25">
      <c r="A3931" t="s">
        <v>560</v>
      </c>
      <c r="B3931" s="1">
        <v>44606</v>
      </c>
      <c r="C3931" t="s">
        <v>1546</v>
      </c>
      <c r="D3931" t="s">
        <v>507</v>
      </c>
      <c r="E3931" t="s">
        <v>51</v>
      </c>
      <c r="F3931" t="s">
        <v>164</v>
      </c>
      <c r="G3931" t="s">
        <v>2279</v>
      </c>
      <c r="H3931" t="s">
        <v>54</v>
      </c>
      <c r="I3931">
        <v>29.75</v>
      </c>
      <c r="J3931">
        <v>0</v>
      </c>
      <c r="K3931">
        <v>1</v>
      </c>
      <c r="L3931" t="s">
        <v>693</v>
      </c>
      <c r="M3931" t="s">
        <v>2836</v>
      </c>
      <c r="N3931">
        <v>5250</v>
      </c>
      <c r="O3931">
        <v>0</v>
      </c>
      <c r="P3931" t="str">
        <f>IF(T[[#This Row],[qty_ordered]]&lt;&gt;T[[#This Row],[qty_received]],IF(T[[#This Row],[qty_received]]&gt;0,"Partial Received","Not Receviced"),"FullyReceived")</f>
        <v>Not Receviced</v>
      </c>
      <c r="Q3931" t="str">
        <f>IF(T[[#This Row],[qty_received]]&lt;&gt;T[[#This Row],[qty_invoiced]],IF(T[[#This Row],[qty_invoiced]]&gt;0,"Partial Invoiced","Not Invoiced"),"Fully Invoiced")</f>
        <v>Partial Invoiced</v>
      </c>
      <c r="R3931" t="str">
        <f>IFERROR(VLOOKUP(T[[#This Row],[warehouse]],Table2[],2,FALSE),"--")</f>
        <v>--</v>
      </c>
    </row>
    <row r="3932" spans="1:18" x14ac:dyDescent="0.25">
      <c r="A3932" t="s">
        <v>560</v>
      </c>
      <c r="B3932" s="1">
        <v>44606</v>
      </c>
      <c r="C3932" t="s">
        <v>1546</v>
      </c>
      <c r="D3932" t="s">
        <v>508</v>
      </c>
      <c r="E3932" t="s">
        <v>51</v>
      </c>
      <c r="F3932" t="s">
        <v>164</v>
      </c>
      <c r="G3932" t="s">
        <v>2279</v>
      </c>
      <c r="H3932" t="s">
        <v>54</v>
      </c>
      <c r="I3932">
        <v>28.25</v>
      </c>
      <c r="J3932">
        <v>0</v>
      </c>
      <c r="K3932">
        <v>1</v>
      </c>
      <c r="L3932" t="s">
        <v>693</v>
      </c>
      <c r="M3932" t="s">
        <v>2836</v>
      </c>
      <c r="N3932">
        <v>5250</v>
      </c>
      <c r="O3932">
        <v>0</v>
      </c>
      <c r="P3932" t="str">
        <f>IF(T[[#This Row],[qty_ordered]]&lt;&gt;T[[#This Row],[qty_received]],IF(T[[#This Row],[qty_received]]&gt;0,"Partial Received","Not Receviced"),"FullyReceived")</f>
        <v>Not Receviced</v>
      </c>
      <c r="Q3932" t="str">
        <f>IF(T[[#This Row],[qty_received]]&lt;&gt;T[[#This Row],[qty_invoiced]],IF(T[[#This Row],[qty_invoiced]]&gt;0,"Partial Invoiced","Not Invoiced"),"Fully Invoiced")</f>
        <v>Partial Invoiced</v>
      </c>
      <c r="R3932" t="str">
        <f>IFERROR(VLOOKUP(T[[#This Row],[warehouse]],Table2[],2,FALSE),"--")</f>
        <v>--</v>
      </c>
    </row>
    <row r="3933" spans="1:18" x14ac:dyDescent="0.25">
      <c r="A3933" t="s">
        <v>560</v>
      </c>
      <c r="B3933" s="1">
        <v>44606</v>
      </c>
      <c r="C3933" t="s">
        <v>1546</v>
      </c>
      <c r="D3933" t="s">
        <v>509</v>
      </c>
      <c r="E3933" t="s">
        <v>51</v>
      </c>
      <c r="F3933" t="s">
        <v>164</v>
      </c>
      <c r="G3933" t="s">
        <v>2279</v>
      </c>
      <c r="H3933" t="s">
        <v>54</v>
      </c>
      <c r="I3933">
        <v>12.63</v>
      </c>
      <c r="J3933">
        <v>0</v>
      </c>
      <c r="K3933">
        <v>1</v>
      </c>
      <c r="L3933" t="s">
        <v>693</v>
      </c>
      <c r="M3933" t="s">
        <v>2836</v>
      </c>
      <c r="N3933">
        <v>5250</v>
      </c>
      <c r="O3933">
        <v>0</v>
      </c>
      <c r="P3933" t="str">
        <f>IF(T[[#This Row],[qty_ordered]]&lt;&gt;T[[#This Row],[qty_received]],IF(T[[#This Row],[qty_received]]&gt;0,"Partial Received","Not Receviced"),"FullyReceived")</f>
        <v>Not Receviced</v>
      </c>
      <c r="Q3933" t="str">
        <f>IF(T[[#This Row],[qty_received]]&lt;&gt;T[[#This Row],[qty_invoiced]],IF(T[[#This Row],[qty_invoiced]]&gt;0,"Partial Invoiced","Not Invoiced"),"Fully Invoiced")</f>
        <v>Partial Invoiced</v>
      </c>
      <c r="R3933" t="str">
        <f>IFERROR(VLOOKUP(T[[#This Row],[warehouse]],Table2[],2,FALSE),"--")</f>
        <v>--</v>
      </c>
    </row>
    <row r="3934" spans="1:18" x14ac:dyDescent="0.25">
      <c r="A3934" t="s">
        <v>560</v>
      </c>
      <c r="B3934" s="1">
        <v>44606</v>
      </c>
      <c r="C3934" t="s">
        <v>1546</v>
      </c>
      <c r="D3934" t="s">
        <v>510</v>
      </c>
      <c r="E3934" t="s">
        <v>51</v>
      </c>
      <c r="F3934" t="s">
        <v>164</v>
      </c>
      <c r="G3934" t="s">
        <v>2279</v>
      </c>
      <c r="H3934" t="s">
        <v>54</v>
      </c>
      <c r="I3934">
        <v>23.75</v>
      </c>
      <c r="J3934">
        <v>0</v>
      </c>
      <c r="K3934">
        <v>1</v>
      </c>
      <c r="L3934" t="s">
        <v>693</v>
      </c>
      <c r="M3934" t="s">
        <v>2836</v>
      </c>
      <c r="N3934">
        <v>5250</v>
      </c>
      <c r="O3934">
        <v>0</v>
      </c>
      <c r="P3934" t="str">
        <f>IF(T[[#This Row],[qty_ordered]]&lt;&gt;T[[#This Row],[qty_received]],IF(T[[#This Row],[qty_received]]&gt;0,"Partial Received","Not Receviced"),"FullyReceived")</f>
        <v>Not Receviced</v>
      </c>
      <c r="Q3934" t="str">
        <f>IF(T[[#This Row],[qty_received]]&lt;&gt;T[[#This Row],[qty_invoiced]],IF(T[[#This Row],[qty_invoiced]]&gt;0,"Partial Invoiced","Not Invoiced"),"Fully Invoiced")</f>
        <v>Partial Invoiced</v>
      </c>
      <c r="R3934" t="str">
        <f>IFERROR(VLOOKUP(T[[#This Row],[warehouse]],Table2[],2,FALSE),"--")</f>
        <v>--</v>
      </c>
    </row>
    <row r="3935" spans="1:18" x14ac:dyDescent="0.25">
      <c r="A3935" t="s">
        <v>1635</v>
      </c>
      <c r="B3935" s="1">
        <v>44663</v>
      </c>
      <c r="C3935" t="s">
        <v>1636</v>
      </c>
      <c r="D3935" t="s">
        <v>71</v>
      </c>
      <c r="E3935" t="s">
        <v>51</v>
      </c>
      <c r="F3935" t="s">
        <v>674</v>
      </c>
      <c r="G3935" t="s">
        <v>2280</v>
      </c>
      <c r="H3935" t="s">
        <v>54</v>
      </c>
      <c r="I3935">
        <v>5836.52</v>
      </c>
      <c r="J3935">
        <v>0</v>
      </c>
      <c r="K3935">
        <v>1</v>
      </c>
      <c r="L3935" t="s">
        <v>693</v>
      </c>
      <c r="M3935" t="s">
        <v>533</v>
      </c>
      <c r="N3935">
        <v>8000</v>
      </c>
      <c r="O3935">
        <v>0</v>
      </c>
      <c r="P3935" t="str">
        <f>IF(T[[#This Row],[qty_ordered]]&lt;&gt;T[[#This Row],[qty_received]],IF(T[[#This Row],[qty_received]]&gt;0,"Partial Received","Not Receviced"),"FullyReceived")</f>
        <v>Not Receviced</v>
      </c>
      <c r="Q3935" t="str">
        <f>IF(T[[#This Row],[qty_received]]&lt;&gt;T[[#This Row],[qty_invoiced]],IF(T[[#This Row],[qty_invoiced]]&gt;0,"Partial Invoiced","Not Invoiced"),"Fully Invoiced")</f>
        <v>Partial Invoiced</v>
      </c>
      <c r="R3935" t="str">
        <f>IFERROR(VLOOKUP(T[[#This Row],[warehouse]],Table2[],2,FALSE),"--")</f>
        <v>--</v>
      </c>
    </row>
    <row r="3936" spans="1:18" x14ac:dyDescent="0.25">
      <c r="A3936" t="s">
        <v>1723</v>
      </c>
      <c r="B3936" s="1">
        <v>44725</v>
      </c>
      <c r="C3936" t="s">
        <v>1724</v>
      </c>
      <c r="D3936" t="s">
        <v>71</v>
      </c>
      <c r="E3936" t="s">
        <v>51</v>
      </c>
      <c r="F3936" t="s">
        <v>183</v>
      </c>
      <c r="G3936" t="s">
        <v>2281</v>
      </c>
      <c r="H3936" t="s">
        <v>54</v>
      </c>
      <c r="I3936">
        <v>79.599999999999994</v>
      </c>
      <c r="J3936">
        <v>0</v>
      </c>
      <c r="K3936">
        <v>1</v>
      </c>
      <c r="L3936" t="s">
        <v>693</v>
      </c>
      <c r="M3936" t="s">
        <v>533</v>
      </c>
      <c r="N3936">
        <v>8000</v>
      </c>
      <c r="O3936">
        <v>0</v>
      </c>
      <c r="P3936" t="str">
        <f>IF(T[[#This Row],[qty_ordered]]&lt;&gt;T[[#This Row],[qty_received]],IF(T[[#This Row],[qty_received]]&gt;0,"Partial Received","Not Receviced"),"FullyReceived")</f>
        <v>Not Receviced</v>
      </c>
      <c r="Q3936" t="str">
        <f>IF(T[[#This Row],[qty_received]]&lt;&gt;T[[#This Row],[qty_invoiced]],IF(T[[#This Row],[qty_invoiced]]&gt;0,"Partial Invoiced","Not Invoiced"),"Fully Invoiced")</f>
        <v>Partial Invoiced</v>
      </c>
      <c r="R3936" t="str">
        <f>IFERROR(VLOOKUP(T[[#This Row],[warehouse]],Table2[],2,FALSE),"--")</f>
        <v>--</v>
      </c>
    </row>
    <row r="3937" spans="1:18" x14ac:dyDescent="0.25">
      <c r="A3937" t="s">
        <v>1287</v>
      </c>
      <c r="B3937" s="1">
        <v>44721</v>
      </c>
      <c r="C3937" t="s">
        <v>2282</v>
      </c>
      <c r="D3937" t="s">
        <v>20</v>
      </c>
      <c r="E3937" t="s">
        <v>1289</v>
      </c>
      <c r="F3937" t="s">
        <v>406</v>
      </c>
      <c r="G3937" t="s">
        <v>407</v>
      </c>
      <c r="H3937" t="s">
        <v>24</v>
      </c>
      <c r="I3937">
        <v>1000</v>
      </c>
      <c r="J3937">
        <v>266.27999999999997</v>
      </c>
      <c r="K3937">
        <v>0</v>
      </c>
      <c r="L3937" t="s">
        <v>693</v>
      </c>
      <c r="M3937" t="s">
        <v>707</v>
      </c>
      <c r="N3937">
        <v>391781</v>
      </c>
      <c r="O3937">
        <v>104323444.68000001</v>
      </c>
      <c r="P3937" t="str">
        <f>IF(T[[#This Row],[qty_ordered]]&lt;&gt;T[[#This Row],[qty_received]],IF(T[[#This Row],[qty_received]]&gt;0,"Partial Received","Not Receviced"),"FullyReceived")</f>
        <v>Partial Received</v>
      </c>
      <c r="Q3937" t="str">
        <f>IF(T[[#This Row],[qty_received]]&lt;&gt;T[[#This Row],[qty_invoiced]],IF(T[[#This Row],[qty_invoiced]]&gt;0,"Partial Invoiced","Not Invoiced"),"Fully Invoiced")</f>
        <v>Not Invoiced</v>
      </c>
      <c r="R3937" t="str">
        <f>IFERROR(VLOOKUP(T[[#This Row],[warehouse]],Table2[],2,FALSE),"--")</f>
        <v>MSG GINNING GDARIF</v>
      </c>
    </row>
    <row r="3938" spans="1:18" x14ac:dyDescent="0.25">
      <c r="A3938" t="s">
        <v>1287</v>
      </c>
      <c r="B3938" s="1">
        <v>44721</v>
      </c>
      <c r="C3938" t="s">
        <v>2283</v>
      </c>
      <c r="D3938" t="s">
        <v>20</v>
      </c>
      <c r="E3938" t="s">
        <v>1289</v>
      </c>
      <c r="F3938" t="s">
        <v>406</v>
      </c>
      <c r="G3938" t="s">
        <v>407</v>
      </c>
      <c r="H3938" t="s">
        <v>24</v>
      </c>
      <c r="I3938">
        <v>5000</v>
      </c>
      <c r="J3938">
        <v>758.04</v>
      </c>
      <c r="K3938">
        <v>0</v>
      </c>
      <c r="L3938" t="s">
        <v>693</v>
      </c>
      <c r="M3938" t="s">
        <v>707</v>
      </c>
      <c r="N3938">
        <v>298182</v>
      </c>
      <c r="O3938">
        <v>226033883.28</v>
      </c>
      <c r="P3938" t="str">
        <f>IF(T[[#This Row],[qty_ordered]]&lt;&gt;T[[#This Row],[qty_received]],IF(T[[#This Row],[qty_received]]&gt;0,"Partial Received","Not Receviced"),"FullyReceived")</f>
        <v>Partial Received</v>
      </c>
      <c r="Q3938" t="str">
        <f>IF(T[[#This Row],[qty_received]]&lt;&gt;T[[#This Row],[qty_invoiced]],IF(T[[#This Row],[qty_invoiced]]&gt;0,"Partial Invoiced","Not Invoiced"),"Fully Invoiced")</f>
        <v>Not Invoiced</v>
      </c>
      <c r="R3938" t="str">
        <f>IFERROR(VLOOKUP(T[[#This Row],[warehouse]],Table2[],2,FALSE),"--")</f>
        <v>MSG GINNING GDARIF</v>
      </c>
    </row>
    <row r="3939" spans="1:18" x14ac:dyDescent="0.25">
      <c r="A3939" t="s">
        <v>1649</v>
      </c>
      <c r="B3939" s="1">
        <v>44734</v>
      </c>
      <c r="C3939" t="s">
        <v>2261</v>
      </c>
      <c r="D3939" t="s">
        <v>20</v>
      </c>
      <c r="E3939" t="s">
        <v>146</v>
      </c>
      <c r="F3939" t="s">
        <v>1027</v>
      </c>
      <c r="G3939" t="s">
        <v>1028</v>
      </c>
      <c r="H3939" t="s">
        <v>149</v>
      </c>
      <c r="I3939">
        <v>5000</v>
      </c>
      <c r="J3939">
        <v>5000</v>
      </c>
      <c r="K3939">
        <v>5000</v>
      </c>
      <c r="L3939" t="s">
        <v>693</v>
      </c>
      <c r="M3939" t="s">
        <v>418</v>
      </c>
      <c r="N3939">
        <v>650</v>
      </c>
      <c r="O3939">
        <v>3250000</v>
      </c>
      <c r="P3939" t="str">
        <f>IF(T[[#This Row],[qty_ordered]]&lt;&gt;T[[#This Row],[qty_received]],IF(T[[#This Row],[qty_received]]&gt;0,"Partial Received","Not Receviced"),"FullyReceived")</f>
        <v>FullyReceived</v>
      </c>
      <c r="Q3939" t="str">
        <f>IF(T[[#This Row],[qty_received]]&lt;&gt;T[[#This Row],[qty_invoiced]],IF(T[[#This Row],[qty_invoiced]]&gt;0,"Partial Invoiced","Not Invoiced"),"Fully Invoiced")</f>
        <v>Fully Invoiced</v>
      </c>
      <c r="R3939" t="str">
        <f>IFERROR(VLOOKUP(T[[#This Row],[warehouse]],Table2[],2,FALSE),"--")</f>
        <v>Khtoum Main Warehouse</v>
      </c>
    </row>
    <row r="3940" spans="1:18" x14ac:dyDescent="0.25">
      <c r="A3940" t="s">
        <v>2175</v>
      </c>
      <c r="B3940" s="1">
        <v>44640</v>
      </c>
      <c r="C3940" t="s">
        <v>2211</v>
      </c>
      <c r="D3940" t="s">
        <v>71</v>
      </c>
      <c r="E3940" t="s">
        <v>2284</v>
      </c>
      <c r="F3940" t="s">
        <v>196</v>
      </c>
      <c r="G3940" t="s">
        <v>197</v>
      </c>
      <c r="H3940" t="s">
        <v>24</v>
      </c>
      <c r="I3940">
        <v>0</v>
      </c>
      <c r="J3940">
        <v>0</v>
      </c>
      <c r="K3940">
        <v>1465.81</v>
      </c>
      <c r="L3940" t="s">
        <v>25</v>
      </c>
      <c r="M3940" t="s">
        <v>707</v>
      </c>
      <c r="N3940">
        <v>177400.6</v>
      </c>
      <c r="O3940">
        <v>458036.30880001199</v>
      </c>
      <c r="P3940" t="str">
        <f>IF(T[[#This Row],[qty_ordered]]&lt;&gt;T[[#This Row],[qty_received]],IF(T[[#This Row],[qty_received]]&gt;0,"Partial Received","Not Receviced"),"FullyReceived")</f>
        <v>FullyReceived</v>
      </c>
      <c r="Q3940" t="str">
        <f>IF(T[[#This Row],[qty_received]]&lt;&gt;T[[#This Row],[qty_invoiced]],IF(T[[#This Row],[qty_invoiced]]&gt;0,"Partial Invoiced","Not Invoiced"),"Fully Invoiced")</f>
        <v>Partial Invoiced</v>
      </c>
      <c r="R3940" t="str">
        <f>IFERROR(VLOOKUP(T[[#This Row],[warehouse]],Table2[],2,FALSE),"--")</f>
        <v>FACILITY -ALMADINA</v>
      </c>
    </row>
    <row r="3941" spans="1:18" x14ac:dyDescent="0.25">
      <c r="A3941" t="s">
        <v>1316</v>
      </c>
      <c r="B3941" s="1">
        <v>44592</v>
      </c>
      <c r="C3941" t="s">
        <v>1824</v>
      </c>
      <c r="D3941" t="s">
        <v>322</v>
      </c>
      <c r="E3941" t="s">
        <v>51</v>
      </c>
      <c r="F3941" t="s">
        <v>1641</v>
      </c>
      <c r="G3941" t="s">
        <v>2285</v>
      </c>
      <c r="H3941" t="s">
        <v>54</v>
      </c>
      <c r="I3941">
        <v>1000</v>
      </c>
      <c r="J3941">
        <v>0</v>
      </c>
      <c r="K3941">
        <v>1</v>
      </c>
      <c r="L3941" t="s">
        <v>693</v>
      </c>
      <c r="M3941" t="s">
        <v>533</v>
      </c>
      <c r="N3941">
        <v>10000</v>
      </c>
      <c r="O3941">
        <v>0</v>
      </c>
      <c r="P3941" t="str">
        <f>IF(T[[#This Row],[qty_ordered]]&lt;&gt;T[[#This Row],[qty_received]],IF(T[[#This Row],[qty_received]]&gt;0,"Partial Received","Not Receviced"),"FullyReceived")</f>
        <v>Not Receviced</v>
      </c>
      <c r="Q3941" t="str">
        <f>IF(T[[#This Row],[qty_received]]&lt;&gt;T[[#This Row],[qty_invoiced]],IF(T[[#This Row],[qty_invoiced]]&gt;0,"Partial Invoiced","Not Invoiced"),"Fully Invoiced")</f>
        <v>Partial Invoiced</v>
      </c>
      <c r="R3941" t="str">
        <f>IFERROR(VLOOKUP(T[[#This Row],[warehouse]],Table2[],2,FALSE),"--")</f>
        <v>--</v>
      </c>
    </row>
    <row r="3942" spans="1:18" x14ac:dyDescent="0.25">
      <c r="A3942" t="s">
        <v>332</v>
      </c>
      <c r="B3942" s="1">
        <v>44671</v>
      </c>
      <c r="C3942" t="s">
        <v>1644</v>
      </c>
      <c r="D3942" t="s">
        <v>71</v>
      </c>
      <c r="E3942" t="s">
        <v>51</v>
      </c>
      <c r="F3942" t="s">
        <v>753</v>
      </c>
      <c r="G3942" t="s">
        <v>2286</v>
      </c>
      <c r="H3942" t="s">
        <v>54</v>
      </c>
      <c r="I3942">
        <v>0.17</v>
      </c>
      <c r="J3942">
        <v>0</v>
      </c>
      <c r="K3942">
        <v>1</v>
      </c>
      <c r="L3942" t="s">
        <v>693</v>
      </c>
      <c r="M3942" t="s">
        <v>533</v>
      </c>
      <c r="N3942">
        <v>2640380</v>
      </c>
      <c r="O3942">
        <v>0</v>
      </c>
      <c r="P3942" t="str">
        <f>IF(T[[#This Row],[qty_ordered]]&lt;&gt;T[[#This Row],[qty_received]],IF(T[[#This Row],[qty_received]]&gt;0,"Partial Received","Not Receviced"),"FullyReceived")</f>
        <v>Not Receviced</v>
      </c>
      <c r="Q3942" t="str">
        <f>IF(T[[#This Row],[qty_received]]&lt;&gt;T[[#This Row],[qty_invoiced]],IF(T[[#This Row],[qty_invoiced]]&gt;0,"Partial Invoiced","Not Invoiced"),"Fully Invoiced")</f>
        <v>Partial Invoiced</v>
      </c>
      <c r="R3942" t="str">
        <f>IFERROR(VLOOKUP(T[[#This Row],[warehouse]],Table2[],2,FALSE),"--")</f>
        <v>--</v>
      </c>
    </row>
    <row r="3943" spans="1:18" x14ac:dyDescent="0.25">
      <c r="A3943" t="s">
        <v>985</v>
      </c>
      <c r="B3943" s="1">
        <v>44511</v>
      </c>
      <c r="C3943" t="s">
        <v>1856</v>
      </c>
      <c r="D3943" t="s">
        <v>71</v>
      </c>
      <c r="E3943" t="s">
        <v>51</v>
      </c>
      <c r="F3943" t="s">
        <v>183</v>
      </c>
      <c r="G3943" t="s">
        <v>2287</v>
      </c>
      <c r="H3943" t="s">
        <v>54</v>
      </c>
      <c r="I3943">
        <v>250</v>
      </c>
      <c r="J3943">
        <v>0</v>
      </c>
      <c r="K3943">
        <v>1</v>
      </c>
      <c r="L3943" t="s">
        <v>693</v>
      </c>
      <c r="M3943" t="s">
        <v>533</v>
      </c>
      <c r="N3943">
        <v>8000</v>
      </c>
      <c r="O3943">
        <v>0</v>
      </c>
      <c r="P3943" t="str">
        <f>IF(T[[#This Row],[qty_ordered]]&lt;&gt;T[[#This Row],[qty_received]],IF(T[[#This Row],[qty_received]]&gt;0,"Partial Received","Not Receviced"),"FullyReceived")</f>
        <v>Not Receviced</v>
      </c>
      <c r="Q3943" t="str">
        <f>IF(T[[#This Row],[qty_received]]&lt;&gt;T[[#This Row],[qty_invoiced]],IF(T[[#This Row],[qty_invoiced]]&gt;0,"Partial Invoiced","Not Invoiced"),"Fully Invoiced")</f>
        <v>Partial Invoiced</v>
      </c>
      <c r="R3943" t="str">
        <f>IFERROR(VLOOKUP(T[[#This Row],[warehouse]],Table2[],2,FALSE),"--")</f>
        <v>--</v>
      </c>
    </row>
    <row r="3944" spans="1:18" x14ac:dyDescent="0.25">
      <c r="A3944" t="s">
        <v>985</v>
      </c>
      <c r="B3944" s="1">
        <v>44531</v>
      </c>
      <c r="C3944" t="s">
        <v>1489</v>
      </c>
      <c r="D3944" t="s">
        <v>452</v>
      </c>
      <c r="E3944" t="s">
        <v>51</v>
      </c>
      <c r="F3944" t="s">
        <v>183</v>
      </c>
      <c r="G3944" t="s">
        <v>2288</v>
      </c>
      <c r="H3944" t="s">
        <v>54</v>
      </c>
      <c r="I3944">
        <v>231</v>
      </c>
      <c r="J3944">
        <v>0</v>
      </c>
      <c r="K3944">
        <v>1</v>
      </c>
      <c r="L3944" t="s">
        <v>693</v>
      </c>
      <c r="M3944" t="s">
        <v>533</v>
      </c>
      <c r="N3944">
        <v>8000</v>
      </c>
      <c r="O3944">
        <v>0</v>
      </c>
      <c r="P3944" t="str">
        <f>IF(T[[#This Row],[qty_ordered]]&lt;&gt;T[[#This Row],[qty_received]],IF(T[[#This Row],[qty_received]]&gt;0,"Partial Received","Not Receviced"),"FullyReceived")</f>
        <v>Not Receviced</v>
      </c>
      <c r="Q3944" t="str">
        <f>IF(T[[#This Row],[qty_received]]&lt;&gt;T[[#This Row],[qty_invoiced]],IF(T[[#This Row],[qty_invoiced]]&gt;0,"Partial Invoiced","Not Invoiced"),"Fully Invoiced")</f>
        <v>Partial Invoiced</v>
      </c>
      <c r="R3944" t="str">
        <f>IFERROR(VLOOKUP(T[[#This Row],[warehouse]],Table2[],2,FALSE),"--")</f>
        <v>--</v>
      </c>
    </row>
    <row r="3945" spans="1:18" x14ac:dyDescent="0.25">
      <c r="A3945" t="s">
        <v>505</v>
      </c>
      <c r="B3945" s="1">
        <v>44718</v>
      </c>
      <c r="C3945" t="s">
        <v>2257</v>
      </c>
      <c r="D3945" t="s">
        <v>71</v>
      </c>
      <c r="E3945" t="s">
        <v>51</v>
      </c>
      <c r="F3945" t="s">
        <v>247</v>
      </c>
      <c r="G3945" t="s">
        <v>2289</v>
      </c>
      <c r="H3945" t="s">
        <v>54</v>
      </c>
      <c r="I3945">
        <v>1000</v>
      </c>
      <c r="J3945">
        <v>0</v>
      </c>
      <c r="K3945">
        <v>1</v>
      </c>
      <c r="L3945" t="s">
        <v>693</v>
      </c>
      <c r="M3945" t="s">
        <v>533</v>
      </c>
      <c r="N3945">
        <v>31000</v>
      </c>
      <c r="O3945">
        <v>0</v>
      </c>
      <c r="P3945" t="str">
        <f>IF(T[[#This Row],[qty_ordered]]&lt;&gt;T[[#This Row],[qty_received]],IF(T[[#This Row],[qty_received]]&gt;0,"Partial Received","Not Receviced"),"FullyReceived")</f>
        <v>Not Receviced</v>
      </c>
      <c r="Q3945" t="str">
        <f>IF(T[[#This Row],[qty_received]]&lt;&gt;T[[#This Row],[qty_invoiced]],IF(T[[#This Row],[qty_invoiced]]&gt;0,"Partial Invoiced","Not Invoiced"),"Fully Invoiced")</f>
        <v>Partial Invoiced</v>
      </c>
      <c r="R3945" t="str">
        <f>IFERROR(VLOOKUP(T[[#This Row],[warehouse]],Table2[],2,FALSE),"--")</f>
        <v>--</v>
      </c>
    </row>
    <row r="3946" spans="1:18" x14ac:dyDescent="0.25">
      <c r="A3946" t="s">
        <v>1114</v>
      </c>
      <c r="B3946" s="1">
        <v>44522</v>
      </c>
      <c r="C3946" t="s">
        <v>1733</v>
      </c>
      <c r="D3946" t="s">
        <v>100</v>
      </c>
      <c r="E3946" t="s">
        <v>660</v>
      </c>
      <c r="F3946" t="s">
        <v>1451</v>
      </c>
      <c r="G3946" t="s">
        <v>1452</v>
      </c>
      <c r="H3946" t="s">
        <v>1087</v>
      </c>
      <c r="I3946">
        <v>216</v>
      </c>
      <c r="J3946">
        <v>5</v>
      </c>
      <c r="K3946">
        <v>0</v>
      </c>
      <c r="L3946" t="s">
        <v>25</v>
      </c>
      <c r="M3946" t="s">
        <v>1485</v>
      </c>
      <c r="N3946">
        <v>0</v>
      </c>
      <c r="O3946">
        <v>0</v>
      </c>
      <c r="P3946" t="str">
        <f>IF(T[[#This Row],[qty_ordered]]&lt;&gt;T[[#This Row],[qty_received]],IF(T[[#This Row],[qty_received]]&gt;0,"Partial Received","Not Receviced"),"FullyReceived")</f>
        <v>Partial Received</v>
      </c>
      <c r="Q3946" t="str">
        <f>IF(T[[#This Row],[qty_received]]&lt;&gt;T[[#This Row],[qty_invoiced]],IF(T[[#This Row],[qty_invoiced]]&gt;0,"Partial Invoiced","Not Invoiced"),"Fully Invoiced")</f>
        <v>Not Invoiced</v>
      </c>
      <c r="R3946" t="str">
        <f>IFERROR(VLOOKUP(T[[#This Row],[warehouse]],Table2[],2,FALSE),"--")</f>
        <v>SLAUGHTER HOUSE</v>
      </c>
    </row>
    <row r="3947" spans="1:18" x14ac:dyDescent="0.25">
      <c r="A3947" t="s">
        <v>462</v>
      </c>
      <c r="B3947" s="1">
        <v>44676</v>
      </c>
      <c r="C3947" t="s">
        <v>1706</v>
      </c>
      <c r="D3947" t="s">
        <v>593</v>
      </c>
      <c r="E3947" t="s">
        <v>51</v>
      </c>
      <c r="F3947" t="s">
        <v>247</v>
      </c>
      <c r="G3947" t="s">
        <v>2290</v>
      </c>
      <c r="H3947" t="s">
        <v>54</v>
      </c>
      <c r="I3947">
        <v>2528</v>
      </c>
      <c r="J3947">
        <v>0</v>
      </c>
      <c r="K3947">
        <v>1</v>
      </c>
      <c r="L3947" t="s">
        <v>693</v>
      </c>
      <c r="M3947" t="s">
        <v>533</v>
      </c>
      <c r="N3947">
        <v>33000</v>
      </c>
      <c r="O3947">
        <v>0</v>
      </c>
      <c r="P3947" t="str">
        <f>IF(T[[#This Row],[qty_ordered]]&lt;&gt;T[[#This Row],[qty_received]],IF(T[[#This Row],[qty_received]]&gt;0,"Partial Received","Not Receviced"),"FullyReceived")</f>
        <v>Not Receviced</v>
      </c>
      <c r="Q3947" t="str">
        <f>IF(T[[#This Row],[qty_received]]&lt;&gt;T[[#This Row],[qty_invoiced]],IF(T[[#This Row],[qty_invoiced]]&gt;0,"Partial Invoiced","Not Invoiced"),"Fully Invoiced")</f>
        <v>Partial Invoiced</v>
      </c>
      <c r="R3947" t="str">
        <f>IFERROR(VLOOKUP(T[[#This Row],[warehouse]],Table2[],2,FALSE),"--")</f>
        <v>--</v>
      </c>
    </row>
    <row r="3948" spans="1:18" x14ac:dyDescent="0.25">
      <c r="A3948" t="s">
        <v>1454</v>
      </c>
      <c r="B3948" s="1">
        <v>44622</v>
      </c>
      <c r="C3948" t="s">
        <v>1795</v>
      </c>
      <c r="D3948" t="s">
        <v>71</v>
      </c>
      <c r="E3948" t="s">
        <v>51</v>
      </c>
      <c r="F3948" t="s">
        <v>933</v>
      </c>
      <c r="G3948" t="s">
        <v>934</v>
      </c>
      <c r="H3948" t="s">
        <v>54</v>
      </c>
      <c r="I3948">
        <v>1</v>
      </c>
      <c r="J3948">
        <v>0</v>
      </c>
      <c r="K3948">
        <v>1</v>
      </c>
      <c r="L3948" t="s">
        <v>25</v>
      </c>
      <c r="M3948" t="s">
        <v>575</v>
      </c>
      <c r="N3948">
        <v>131000</v>
      </c>
      <c r="O3948">
        <v>0</v>
      </c>
      <c r="P3948" t="str">
        <f>IF(T[[#This Row],[qty_ordered]]&lt;&gt;T[[#This Row],[qty_received]],IF(T[[#This Row],[qty_received]]&gt;0,"Partial Received","Not Receviced"),"FullyReceived")</f>
        <v>Not Receviced</v>
      </c>
      <c r="Q3948" t="str">
        <f>IF(T[[#This Row],[qty_received]]&lt;&gt;T[[#This Row],[qty_invoiced]],IF(T[[#This Row],[qty_invoiced]]&gt;0,"Partial Invoiced","Not Invoiced"),"Fully Invoiced")</f>
        <v>Partial Invoiced</v>
      </c>
      <c r="R3948" t="str">
        <f>IFERROR(VLOOKUP(T[[#This Row],[warehouse]],Table2[],2,FALSE),"--")</f>
        <v>--</v>
      </c>
    </row>
    <row r="3949" spans="1:18" x14ac:dyDescent="0.25">
      <c r="A3949" t="s">
        <v>560</v>
      </c>
      <c r="B3949" s="1">
        <v>44606</v>
      </c>
      <c r="C3949" t="s">
        <v>1544</v>
      </c>
      <c r="D3949" t="s">
        <v>323</v>
      </c>
      <c r="E3949" t="s">
        <v>51</v>
      </c>
      <c r="F3949" t="s">
        <v>164</v>
      </c>
      <c r="G3949" t="s">
        <v>2291</v>
      </c>
      <c r="H3949" t="s">
        <v>54</v>
      </c>
      <c r="I3949">
        <v>21</v>
      </c>
      <c r="J3949">
        <v>0</v>
      </c>
      <c r="K3949">
        <v>1</v>
      </c>
      <c r="L3949" t="s">
        <v>693</v>
      </c>
      <c r="M3949" t="s">
        <v>2836</v>
      </c>
      <c r="N3949">
        <v>9450</v>
      </c>
      <c r="O3949">
        <v>0</v>
      </c>
      <c r="P3949" t="str">
        <f>IF(T[[#This Row],[qty_ordered]]&lt;&gt;T[[#This Row],[qty_received]],IF(T[[#This Row],[qty_received]]&gt;0,"Partial Received","Not Receviced"),"FullyReceived")</f>
        <v>Not Receviced</v>
      </c>
      <c r="Q3949" t="str">
        <f>IF(T[[#This Row],[qty_received]]&lt;&gt;T[[#This Row],[qty_invoiced]],IF(T[[#This Row],[qty_invoiced]]&gt;0,"Partial Invoiced","Not Invoiced"),"Fully Invoiced")</f>
        <v>Partial Invoiced</v>
      </c>
      <c r="R3949" t="str">
        <f>IFERROR(VLOOKUP(T[[#This Row],[warehouse]],Table2[],2,FALSE),"--")</f>
        <v>--</v>
      </c>
    </row>
    <row r="3950" spans="1:18" x14ac:dyDescent="0.25">
      <c r="A3950" t="s">
        <v>560</v>
      </c>
      <c r="B3950" s="1">
        <v>44634</v>
      </c>
      <c r="C3950" t="s">
        <v>1539</v>
      </c>
      <c r="D3950" t="s">
        <v>76</v>
      </c>
      <c r="E3950" t="s">
        <v>51</v>
      </c>
      <c r="F3950" t="s">
        <v>164</v>
      </c>
      <c r="G3950" t="s">
        <v>2292</v>
      </c>
      <c r="H3950" t="s">
        <v>54</v>
      </c>
      <c r="I3950">
        <v>26</v>
      </c>
      <c r="J3950">
        <v>0</v>
      </c>
      <c r="K3950">
        <v>1</v>
      </c>
      <c r="L3950" t="s">
        <v>693</v>
      </c>
      <c r="M3950" t="s">
        <v>2836</v>
      </c>
      <c r="N3950">
        <v>9450</v>
      </c>
      <c r="O3950">
        <v>0</v>
      </c>
      <c r="P3950" t="str">
        <f>IF(T[[#This Row],[qty_ordered]]&lt;&gt;T[[#This Row],[qty_received]],IF(T[[#This Row],[qty_received]]&gt;0,"Partial Received","Not Receviced"),"FullyReceived")</f>
        <v>Not Receviced</v>
      </c>
      <c r="Q3950" t="str">
        <f>IF(T[[#This Row],[qty_received]]&lt;&gt;T[[#This Row],[qty_invoiced]],IF(T[[#This Row],[qty_invoiced]]&gt;0,"Partial Invoiced","Not Invoiced"),"Fully Invoiced")</f>
        <v>Partial Invoiced</v>
      </c>
      <c r="R3950" t="str">
        <f>IFERROR(VLOOKUP(T[[#This Row],[warehouse]],Table2[],2,FALSE),"--")</f>
        <v>--</v>
      </c>
    </row>
    <row r="3951" spans="1:18" x14ac:dyDescent="0.25">
      <c r="A3951" t="s">
        <v>560</v>
      </c>
      <c r="B3951" s="1">
        <v>44572</v>
      </c>
      <c r="C3951" t="s">
        <v>1651</v>
      </c>
      <c r="D3951" t="s">
        <v>614</v>
      </c>
      <c r="E3951" t="s">
        <v>51</v>
      </c>
      <c r="F3951" t="s">
        <v>164</v>
      </c>
      <c r="G3951" t="s">
        <v>2293</v>
      </c>
      <c r="H3951" t="s">
        <v>54</v>
      </c>
      <c r="I3951">
        <v>37.380000000000003</v>
      </c>
      <c r="J3951">
        <v>0</v>
      </c>
      <c r="K3951">
        <v>1</v>
      </c>
      <c r="L3951" t="s">
        <v>693</v>
      </c>
      <c r="M3951" t="s">
        <v>2836</v>
      </c>
      <c r="N3951">
        <v>9450</v>
      </c>
      <c r="O3951">
        <v>0</v>
      </c>
      <c r="P3951" t="str">
        <f>IF(T[[#This Row],[qty_ordered]]&lt;&gt;T[[#This Row],[qty_received]],IF(T[[#This Row],[qty_received]]&gt;0,"Partial Received","Not Receviced"),"FullyReceived")</f>
        <v>Not Receviced</v>
      </c>
      <c r="Q3951" t="str">
        <f>IF(T[[#This Row],[qty_received]]&lt;&gt;T[[#This Row],[qty_invoiced]],IF(T[[#This Row],[qty_invoiced]]&gt;0,"Partial Invoiced","Not Invoiced"),"Fully Invoiced")</f>
        <v>Partial Invoiced</v>
      </c>
      <c r="R3951" t="str">
        <f>IFERROR(VLOOKUP(T[[#This Row],[warehouse]],Table2[],2,FALSE),"--")</f>
        <v>--</v>
      </c>
    </row>
    <row r="3952" spans="1:18" x14ac:dyDescent="0.25">
      <c r="A3952" t="s">
        <v>560</v>
      </c>
      <c r="B3952" s="1">
        <v>44572</v>
      </c>
      <c r="C3952" t="s">
        <v>1651</v>
      </c>
      <c r="D3952" t="s">
        <v>615</v>
      </c>
      <c r="E3952" t="s">
        <v>51</v>
      </c>
      <c r="F3952" t="s">
        <v>164</v>
      </c>
      <c r="G3952" t="s">
        <v>2293</v>
      </c>
      <c r="H3952" t="s">
        <v>54</v>
      </c>
      <c r="I3952">
        <v>15.5</v>
      </c>
      <c r="J3952">
        <v>0</v>
      </c>
      <c r="K3952">
        <v>1</v>
      </c>
      <c r="L3952" t="s">
        <v>693</v>
      </c>
      <c r="M3952" t="s">
        <v>2836</v>
      </c>
      <c r="N3952">
        <v>9450</v>
      </c>
      <c r="O3952">
        <v>0</v>
      </c>
      <c r="P3952" t="str">
        <f>IF(T[[#This Row],[qty_ordered]]&lt;&gt;T[[#This Row],[qty_received]],IF(T[[#This Row],[qty_received]]&gt;0,"Partial Received","Not Receviced"),"FullyReceived")</f>
        <v>Not Receviced</v>
      </c>
      <c r="Q3952" t="str">
        <f>IF(T[[#This Row],[qty_received]]&lt;&gt;T[[#This Row],[qty_invoiced]],IF(T[[#This Row],[qty_invoiced]]&gt;0,"Partial Invoiced","Not Invoiced"),"Fully Invoiced")</f>
        <v>Partial Invoiced</v>
      </c>
      <c r="R3952" t="str">
        <f>IFERROR(VLOOKUP(T[[#This Row],[warehouse]],Table2[],2,FALSE),"--")</f>
        <v>--</v>
      </c>
    </row>
    <row r="3953" spans="1:18" x14ac:dyDescent="0.25">
      <c r="A3953" t="s">
        <v>560</v>
      </c>
      <c r="B3953" s="1">
        <v>44572</v>
      </c>
      <c r="C3953" t="s">
        <v>1651</v>
      </c>
      <c r="D3953" t="s">
        <v>752</v>
      </c>
      <c r="E3953" t="s">
        <v>51</v>
      </c>
      <c r="F3953" t="s">
        <v>164</v>
      </c>
      <c r="G3953" t="s">
        <v>2294</v>
      </c>
      <c r="H3953" t="s">
        <v>54</v>
      </c>
      <c r="I3953">
        <v>20</v>
      </c>
      <c r="J3953">
        <v>0</v>
      </c>
      <c r="K3953">
        <v>1</v>
      </c>
      <c r="L3953" t="s">
        <v>693</v>
      </c>
      <c r="M3953" t="s">
        <v>2836</v>
      </c>
      <c r="N3953">
        <v>9450</v>
      </c>
      <c r="O3953">
        <v>0</v>
      </c>
      <c r="P3953" t="str">
        <f>IF(T[[#This Row],[qty_ordered]]&lt;&gt;T[[#This Row],[qty_received]],IF(T[[#This Row],[qty_received]]&gt;0,"Partial Received","Not Receviced"),"FullyReceived")</f>
        <v>Not Receviced</v>
      </c>
      <c r="Q3953" t="str">
        <f>IF(T[[#This Row],[qty_received]]&lt;&gt;T[[#This Row],[qty_invoiced]],IF(T[[#This Row],[qty_invoiced]]&gt;0,"Partial Invoiced","Not Invoiced"),"Fully Invoiced")</f>
        <v>Partial Invoiced</v>
      </c>
      <c r="R3953" t="str">
        <f>IFERROR(VLOOKUP(T[[#This Row],[warehouse]],Table2[],2,FALSE),"--")</f>
        <v>--</v>
      </c>
    </row>
    <row r="3954" spans="1:18" x14ac:dyDescent="0.25">
      <c r="A3954" t="s">
        <v>560</v>
      </c>
      <c r="B3954" s="1">
        <v>44720</v>
      </c>
      <c r="C3954" t="s">
        <v>1693</v>
      </c>
      <c r="D3954" t="s">
        <v>88</v>
      </c>
      <c r="E3954" t="s">
        <v>51</v>
      </c>
      <c r="F3954" t="s">
        <v>164</v>
      </c>
      <c r="G3954" t="s">
        <v>2295</v>
      </c>
      <c r="H3954" t="s">
        <v>54</v>
      </c>
      <c r="I3954">
        <v>21</v>
      </c>
      <c r="J3954">
        <v>0</v>
      </c>
      <c r="K3954">
        <v>1</v>
      </c>
      <c r="L3954" t="s">
        <v>693</v>
      </c>
      <c r="M3954" t="s">
        <v>533</v>
      </c>
      <c r="N3954">
        <v>9450</v>
      </c>
      <c r="O3954">
        <v>0</v>
      </c>
      <c r="P3954" t="str">
        <f>IF(T[[#This Row],[qty_ordered]]&lt;&gt;T[[#This Row],[qty_received]],IF(T[[#This Row],[qty_received]]&gt;0,"Partial Received","Not Receviced"),"FullyReceived")</f>
        <v>Not Receviced</v>
      </c>
      <c r="Q3954" t="str">
        <f>IF(T[[#This Row],[qty_received]]&lt;&gt;T[[#This Row],[qty_invoiced]],IF(T[[#This Row],[qty_invoiced]]&gt;0,"Partial Invoiced","Not Invoiced"),"Fully Invoiced")</f>
        <v>Partial Invoiced</v>
      </c>
      <c r="R3954" t="str">
        <f>IFERROR(VLOOKUP(T[[#This Row],[warehouse]],Table2[],2,FALSE),"--")</f>
        <v>--</v>
      </c>
    </row>
    <row r="3955" spans="1:18" x14ac:dyDescent="0.25">
      <c r="A3955" t="s">
        <v>560</v>
      </c>
      <c r="B3955" s="1">
        <v>44720</v>
      </c>
      <c r="C3955" t="s">
        <v>1693</v>
      </c>
      <c r="D3955" t="s">
        <v>74</v>
      </c>
      <c r="E3955" t="s">
        <v>51</v>
      </c>
      <c r="F3955" t="s">
        <v>164</v>
      </c>
      <c r="G3955" t="s">
        <v>2295</v>
      </c>
      <c r="H3955" t="s">
        <v>54</v>
      </c>
      <c r="I3955">
        <v>26</v>
      </c>
      <c r="J3955">
        <v>0</v>
      </c>
      <c r="K3955">
        <v>1</v>
      </c>
      <c r="L3955" t="s">
        <v>693</v>
      </c>
      <c r="M3955" t="s">
        <v>533</v>
      </c>
      <c r="N3955">
        <v>9450</v>
      </c>
      <c r="O3955">
        <v>0</v>
      </c>
      <c r="P3955" t="str">
        <f>IF(T[[#This Row],[qty_ordered]]&lt;&gt;T[[#This Row],[qty_received]],IF(T[[#This Row],[qty_received]]&gt;0,"Partial Received","Not Receviced"),"FullyReceived")</f>
        <v>Not Receviced</v>
      </c>
      <c r="Q3955" t="str">
        <f>IF(T[[#This Row],[qty_received]]&lt;&gt;T[[#This Row],[qty_invoiced]],IF(T[[#This Row],[qty_invoiced]]&gt;0,"Partial Invoiced","Not Invoiced"),"Fully Invoiced")</f>
        <v>Partial Invoiced</v>
      </c>
      <c r="R3955" t="str">
        <f>IFERROR(VLOOKUP(T[[#This Row],[warehouse]],Table2[],2,FALSE),"--")</f>
        <v>--</v>
      </c>
    </row>
    <row r="3956" spans="1:18" x14ac:dyDescent="0.25">
      <c r="A3956" t="s">
        <v>560</v>
      </c>
      <c r="B3956" s="1">
        <v>44746</v>
      </c>
      <c r="C3956" t="s">
        <v>1771</v>
      </c>
      <c r="D3956" t="s">
        <v>100</v>
      </c>
      <c r="E3956" t="s">
        <v>51</v>
      </c>
      <c r="F3956" t="s">
        <v>164</v>
      </c>
      <c r="G3956" t="s">
        <v>2296</v>
      </c>
      <c r="H3956" t="s">
        <v>54</v>
      </c>
      <c r="I3956">
        <v>20.88</v>
      </c>
      <c r="J3956">
        <v>0</v>
      </c>
      <c r="K3956">
        <v>1</v>
      </c>
      <c r="L3956" t="s">
        <v>693</v>
      </c>
      <c r="M3956" t="s">
        <v>2836</v>
      </c>
      <c r="N3956">
        <v>9450</v>
      </c>
      <c r="O3956">
        <v>0</v>
      </c>
      <c r="P3956" t="str">
        <f>IF(T[[#This Row],[qty_ordered]]&lt;&gt;T[[#This Row],[qty_received]],IF(T[[#This Row],[qty_received]]&gt;0,"Partial Received","Not Receviced"),"FullyReceived")</f>
        <v>Not Receviced</v>
      </c>
      <c r="Q3956" t="str">
        <f>IF(T[[#This Row],[qty_received]]&lt;&gt;T[[#This Row],[qty_invoiced]],IF(T[[#This Row],[qty_invoiced]]&gt;0,"Partial Invoiced","Not Invoiced"),"Fully Invoiced")</f>
        <v>Partial Invoiced</v>
      </c>
      <c r="R3956" t="str">
        <f>IFERROR(VLOOKUP(T[[#This Row],[warehouse]],Table2[],2,FALSE),"--")</f>
        <v>--</v>
      </c>
    </row>
    <row r="3957" spans="1:18" x14ac:dyDescent="0.25">
      <c r="A3957" t="s">
        <v>560</v>
      </c>
      <c r="B3957" s="1">
        <v>44746</v>
      </c>
      <c r="C3957" t="s">
        <v>1771</v>
      </c>
      <c r="D3957" t="s">
        <v>88</v>
      </c>
      <c r="E3957" t="s">
        <v>51</v>
      </c>
      <c r="F3957" t="s">
        <v>164</v>
      </c>
      <c r="G3957" t="s">
        <v>2296</v>
      </c>
      <c r="H3957" t="s">
        <v>54</v>
      </c>
      <c r="I3957">
        <v>25.38</v>
      </c>
      <c r="J3957">
        <v>0</v>
      </c>
      <c r="K3957">
        <v>1</v>
      </c>
      <c r="L3957" t="s">
        <v>693</v>
      </c>
      <c r="M3957" t="s">
        <v>2836</v>
      </c>
      <c r="N3957">
        <v>9450</v>
      </c>
      <c r="O3957">
        <v>0</v>
      </c>
      <c r="P3957" t="str">
        <f>IF(T[[#This Row],[qty_ordered]]&lt;&gt;T[[#This Row],[qty_received]],IF(T[[#This Row],[qty_received]]&gt;0,"Partial Received","Not Receviced"),"FullyReceived")</f>
        <v>Not Receviced</v>
      </c>
      <c r="Q3957" t="str">
        <f>IF(T[[#This Row],[qty_received]]&lt;&gt;T[[#This Row],[qty_invoiced]],IF(T[[#This Row],[qty_invoiced]]&gt;0,"Partial Invoiced","Not Invoiced"),"Fully Invoiced")</f>
        <v>Partial Invoiced</v>
      </c>
      <c r="R3957" t="str">
        <f>IFERROR(VLOOKUP(T[[#This Row],[warehouse]],Table2[],2,FALSE),"--")</f>
        <v>--</v>
      </c>
    </row>
    <row r="3958" spans="1:18" x14ac:dyDescent="0.25">
      <c r="A3958" t="s">
        <v>560</v>
      </c>
      <c r="B3958" s="1">
        <v>44783</v>
      </c>
      <c r="C3958" t="s">
        <v>2297</v>
      </c>
      <c r="D3958" t="s">
        <v>20</v>
      </c>
      <c r="E3958" t="s">
        <v>51</v>
      </c>
      <c r="F3958" t="s">
        <v>164</v>
      </c>
      <c r="G3958" t="s">
        <v>2298</v>
      </c>
      <c r="H3958" t="s">
        <v>54</v>
      </c>
      <c r="I3958">
        <v>30.88</v>
      </c>
      <c r="J3958">
        <v>0</v>
      </c>
      <c r="K3958">
        <v>1</v>
      </c>
      <c r="L3958" t="s">
        <v>693</v>
      </c>
      <c r="M3958" t="s">
        <v>533</v>
      </c>
      <c r="N3958">
        <v>9450</v>
      </c>
      <c r="O3958">
        <v>0</v>
      </c>
      <c r="P3958" t="str">
        <f>IF(T[[#This Row],[qty_ordered]]&lt;&gt;T[[#This Row],[qty_received]],IF(T[[#This Row],[qty_received]]&gt;0,"Partial Received","Not Receviced"),"FullyReceived")</f>
        <v>Not Receviced</v>
      </c>
      <c r="Q3958" t="str">
        <f>IF(T[[#This Row],[qty_received]]&lt;&gt;T[[#This Row],[qty_invoiced]],IF(T[[#This Row],[qty_invoiced]]&gt;0,"Partial Invoiced","Not Invoiced"),"Fully Invoiced")</f>
        <v>Partial Invoiced</v>
      </c>
      <c r="R3958" t="str">
        <f>IFERROR(VLOOKUP(T[[#This Row],[warehouse]],Table2[],2,FALSE),"--")</f>
        <v>--</v>
      </c>
    </row>
    <row r="3959" spans="1:18" x14ac:dyDescent="0.25">
      <c r="A3959" t="s">
        <v>423</v>
      </c>
      <c r="B3959" s="1">
        <v>44599</v>
      </c>
      <c r="C3959" t="s">
        <v>1567</v>
      </c>
      <c r="D3959" t="s">
        <v>451</v>
      </c>
      <c r="E3959" t="s">
        <v>51</v>
      </c>
      <c r="F3959" t="s">
        <v>546</v>
      </c>
      <c r="G3959" t="s">
        <v>2299</v>
      </c>
      <c r="H3959" t="s">
        <v>54</v>
      </c>
      <c r="I3959">
        <v>20000</v>
      </c>
      <c r="J3959">
        <v>0</v>
      </c>
      <c r="K3959">
        <v>1</v>
      </c>
      <c r="L3959" t="s">
        <v>693</v>
      </c>
      <c r="M3959" t="s">
        <v>533</v>
      </c>
      <c r="N3959">
        <v>24</v>
      </c>
      <c r="O3959">
        <v>0</v>
      </c>
      <c r="P3959" t="str">
        <f>IF(T[[#This Row],[qty_ordered]]&lt;&gt;T[[#This Row],[qty_received]],IF(T[[#This Row],[qty_received]]&gt;0,"Partial Received","Not Receviced"),"FullyReceived")</f>
        <v>Not Receviced</v>
      </c>
      <c r="Q3959" t="str">
        <f>IF(T[[#This Row],[qty_received]]&lt;&gt;T[[#This Row],[qty_invoiced]],IF(T[[#This Row],[qty_invoiced]]&gt;0,"Partial Invoiced","Not Invoiced"),"Fully Invoiced")</f>
        <v>Partial Invoiced</v>
      </c>
      <c r="R3959" t="str">
        <f>IFERROR(VLOOKUP(T[[#This Row],[warehouse]],Table2[],2,FALSE),"--")</f>
        <v>--</v>
      </c>
    </row>
    <row r="3960" spans="1:18" x14ac:dyDescent="0.25">
      <c r="A3960" t="s">
        <v>423</v>
      </c>
      <c r="B3960" s="1">
        <v>44783</v>
      </c>
      <c r="C3960" t="s">
        <v>2300</v>
      </c>
      <c r="D3960" t="s">
        <v>20</v>
      </c>
      <c r="E3960" t="s">
        <v>51</v>
      </c>
      <c r="F3960" t="s">
        <v>546</v>
      </c>
      <c r="G3960" t="s">
        <v>2301</v>
      </c>
      <c r="H3960" t="s">
        <v>54</v>
      </c>
      <c r="I3960">
        <v>3500</v>
      </c>
      <c r="J3960">
        <v>0</v>
      </c>
      <c r="K3960">
        <v>1</v>
      </c>
      <c r="L3960" t="s">
        <v>693</v>
      </c>
      <c r="M3960" t="s">
        <v>533</v>
      </c>
      <c r="N3960">
        <v>24</v>
      </c>
      <c r="O3960">
        <v>0</v>
      </c>
      <c r="P3960" t="str">
        <f>IF(T[[#This Row],[qty_ordered]]&lt;&gt;T[[#This Row],[qty_received]],IF(T[[#This Row],[qty_received]]&gt;0,"Partial Received","Not Receviced"),"FullyReceived")</f>
        <v>Not Receviced</v>
      </c>
      <c r="Q3960" t="str">
        <f>IF(T[[#This Row],[qty_received]]&lt;&gt;T[[#This Row],[qty_invoiced]],IF(T[[#This Row],[qty_invoiced]]&gt;0,"Partial Invoiced","Not Invoiced"),"Fully Invoiced")</f>
        <v>Partial Invoiced</v>
      </c>
      <c r="R3960" t="str">
        <f>IFERROR(VLOOKUP(T[[#This Row],[warehouse]],Table2[],2,FALSE),"--")</f>
        <v>--</v>
      </c>
    </row>
    <row r="3961" spans="1:18" x14ac:dyDescent="0.25">
      <c r="A3961" t="s">
        <v>560</v>
      </c>
      <c r="B3961" s="1">
        <v>44544</v>
      </c>
      <c r="C3961" t="s">
        <v>2056</v>
      </c>
      <c r="D3961" t="s">
        <v>100</v>
      </c>
      <c r="E3961" t="s">
        <v>51</v>
      </c>
      <c r="F3961" t="s">
        <v>164</v>
      </c>
      <c r="G3961" t="s">
        <v>2302</v>
      </c>
      <c r="H3961" t="s">
        <v>54</v>
      </c>
      <c r="I3961">
        <v>29.63</v>
      </c>
      <c r="J3961">
        <v>0</v>
      </c>
      <c r="K3961">
        <v>1</v>
      </c>
      <c r="L3961" t="s">
        <v>693</v>
      </c>
      <c r="M3961" t="s">
        <v>2836</v>
      </c>
      <c r="N3961">
        <v>9450</v>
      </c>
      <c r="O3961">
        <v>0</v>
      </c>
      <c r="P3961" t="str">
        <f>IF(T[[#This Row],[qty_ordered]]&lt;&gt;T[[#This Row],[qty_received]],IF(T[[#This Row],[qty_received]]&gt;0,"Partial Received","Not Receviced"),"FullyReceived")</f>
        <v>Not Receviced</v>
      </c>
      <c r="Q3961" t="str">
        <f>IF(T[[#This Row],[qty_received]]&lt;&gt;T[[#This Row],[qty_invoiced]],IF(T[[#This Row],[qty_invoiced]]&gt;0,"Partial Invoiced","Not Invoiced"),"Fully Invoiced")</f>
        <v>Partial Invoiced</v>
      </c>
      <c r="R3961" t="str">
        <f>IFERROR(VLOOKUP(T[[#This Row],[warehouse]],Table2[],2,FALSE),"--")</f>
        <v>--</v>
      </c>
    </row>
    <row r="3962" spans="1:18" x14ac:dyDescent="0.25">
      <c r="A3962" t="s">
        <v>560</v>
      </c>
      <c r="B3962" s="1">
        <v>44544</v>
      </c>
      <c r="C3962" t="s">
        <v>2056</v>
      </c>
      <c r="D3962" t="s">
        <v>88</v>
      </c>
      <c r="E3962" t="s">
        <v>51</v>
      </c>
      <c r="F3962" t="s">
        <v>164</v>
      </c>
      <c r="G3962" t="s">
        <v>2302</v>
      </c>
      <c r="H3962" t="s">
        <v>54</v>
      </c>
      <c r="I3962">
        <v>15.25</v>
      </c>
      <c r="J3962">
        <v>0</v>
      </c>
      <c r="K3962">
        <v>1</v>
      </c>
      <c r="L3962" t="s">
        <v>693</v>
      </c>
      <c r="M3962" t="s">
        <v>2836</v>
      </c>
      <c r="N3962">
        <v>9450</v>
      </c>
      <c r="O3962">
        <v>0</v>
      </c>
      <c r="P3962" t="str">
        <f>IF(T[[#This Row],[qty_ordered]]&lt;&gt;T[[#This Row],[qty_received]],IF(T[[#This Row],[qty_received]]&gt;0,"Partial Received","Not Receviced"),"FullyReceived")</f>
        <v>Not Receviced</v>
      </c>
      <c r="Q3962" t="str">
        <f>IF(T[[#This Row],[qty_received]]&lt;&gt;T[[#This Row],[qty_invoiced]],IF(T[[#This Row],[qty_invoiced]]&gt;0,"Partial Invoiced","Not Invoiced"),"Fully Invoiced")</f>
        <v>Partial Invoiced</v>
      </c>
      <c r="R3962" t="str">
        <f>IFERROR(VLOOKUP(T[[#This Row],[warehouse]],Table2[],2,FALSE),"--")</f>
        <v>--</v>
      </c>
    </row>
    <row r="3963" spans="1:18" x14ac:dyDescent="0.25">
      <c r="A3963" t="s">
        <v>1422</v>
      </c>
      <c r="B3963" s="1">
        <v>44784</v>
      </c>
      <c r="C3963" t="s">
        <v>2303</v>
      </c>
      <c r="D3963" t="s">
        <v>20</v>
      </c>
      <c r="E3963" t="s">
        <v>1258</v>
      </c>
      <c r="F3963" t="s">
        <v>300</v>
      </c>
      <c r="G3963" t="s">
        <v>301</v>
      </c>
      <c r="H3963" t="s">
        <v>24</v>
      </c>
      <c r="I3963">
        <v>22.001999999999999</v>
      </c>
      <c r="J3963">
        <v>0</v>
      </c>
      <c r="K3963">
        <v>0</v>
      </c>
      <c r="L3963" t="s">
        <v>693</v>
      </c>
      <c r="M3963" t="s">
        <v>707</v>
      </c>
      <c r="N3963">
        <v>454500</v>
      </c>
      <c r="O3963">
        <v>0</v>
      </c>
      <c r="P3963" t="str">
        <f>IF(T[[#This Row],[qty_ordered]]&lt;&gt;T[[#This Row],[qty_received]],IF(T[[#This Row],[qty_received]]&gt;0,"Partial Received","Not Receviced"),"FullyReceived")</f>
        <v>Not Receviced</v>
      </c>
      <c r="Q3963" t="str">
        <f>IF(T[[#This Row],[qty_received]]&lt;&gt;T[[#This Row],[qty_invoiced]],IF(T[[#This Row],[qty_invoiced]]&gt;0,"Partial Invoiced","Not Invoiced"),"Fully Invoiced")</f>
        <v>Fully Invoiced</v>
      </c>
      <c r="R3963" t="str">
        <f>IFERROR(VLOOKUP(T[[#This Row],[warehouse]],Table2[],2,FALSE),"--")</f>
        <v>Alrahma</v>
      </c>
    </row>
    <row r="3964" spans="1:18" x14ac:dyDescent="0.25">
      <c r="A3964" t="s">
        <v>2304</v>
      </c>
      <c r="B3964" s="1">
        <v>44788</v>
      </c>
      <c r="C3964" t="s">
        <v>2305</v>
      </c>
      <c r="D3964" t="s">
        <v>20</v>
      </c>
      <c r="E3964" t="s">
        <v>51</v>
      </c>
      <c r="F3964" t="s">
        <v>164</v>
      </c>
      <c r="G3964" t="s">
        <v>2306</v>
      </c>
      <c r="H3964" t="s">
        <v>54</v>
      </c>
      <c r="I3964">
        <v>165.62</v>
      </c>
      <c r="J3964">
        <v>0</v>
      </c>
      <c r="K3964">
        <v>1</v>
      </c>
      <c r="L3964" t="s">
        <v>693</v>
      </c>
      <c r="M3964" t="s">
        <v>533</v>
      </c>
      <c r="N3964">
        <v>250</v>
      </c>
      <c r="O3964">
        <v>0</v>
      </c>
      <c r="P3964" t="str">
        <f>IF(T[[#This Row],[qty_ordered]]&lt;&gt;T[[#This Row],[qty_received]],IF(T[[#This Row],[qty_received]]&gt;0,"Partial Received","Not Receviced"),"FullyReceived")</f>
        <v>Not Receviced</v>
      </c>
      <c r="Q3964" t="str">
        <f>IF(T[[#This Row],[qty_received]]&lt;&gt;T[[#This Row],[qty_invoiced]],IF(T[[#This Row],[qty_invoiced]]&gt;0,"Partial Invoiced","Not Invoiced"),"Fully Invoiced")</f>
        <v>Partial Invoiced</v>
      </c>
      <c r="R3964" t="str">
        <f>IFERROR(VLOOKUP(T[[#This Row],[warehouse]],Table2[],2,FALSE),"--")</f>
        <v>--</v>
      </c>
    </row>
    <row r="3965" spans="1:18" x14ac:dyDescent="0.25">
      <c r="A3965" t="s">
        <v>2304</v>
      </c>
      <c r="B3965" s="1">
        <v>44788</v>
      </c>
      <c r="C3965" t="s">
        <v>2305</v>
      </c>
      <c r="D3965" t="s">
        <v>71</v>
      </c>
      <c r="E3965" t="s">
        <v>51</v>
      </c>
      <c r="F3965" t="s">
        <v>164</v>
      </c>
      <c r="G3965" t="s">
        <v>2306</v>
      </c>
      <c r="H3965" t="s">
        <v>54</v>
      </c>
      <c r="I3965">
        <v>995.91499999999996</v>
      </c>
      <c r="J3965">
        <v>0</v>
      </c>
      <c r="K3965">
        <v>1</v>
      </c>
      <c r="L3965" t="s">
        <v>693</v>
      </c>
      <c r="M3965" t="s">
        <v>533</v>
      </c>
      <c r="N3965">
        <v>250</v>
      </c>
      <c r="O3965">
        <v>0</v>
      </c>
      <c r="P3965" t="str">
        <f>IF(T[[#This Row],[qty_ordered]]&lt;&gt;T[[#This Row],[qty_received]],IF(T[[#This Row],[qty_received]]&gt;0,"Partial Received","Not Receviced"),"FullyReceived")</f>
        <v>Not Receviced</v>
      </c>
      <c r="Q3965" t="str">
        <f>IF(T[[#This Row],[qty_received]]&lt;&gt;T[[#This Row],[qty_invoiced]],IF(T[[#This Row],[qty_invoiced]]&gt;0,"Partial Invoiced","Not Invoiced"),"Fully Invoiced")</f>
        <v>Partial Invoiced</v>
      </c>
      <c r="R3965" t="str">
        <f>IFERROR(VLOOKUP(T[[#This Row],[warehouse]],Table2[],2,FALSE),"--")</f>
        <v>--</v>
      </c>
    </row>
    <row r="3966" spans="1:18" x14ac:dyDescent="0.25">
      <c r="A3966" t="s">
        <v>2304</v>
      </c>
      <c r="B3966" s="1">
        <v>44788</v>
      </c>
      <c r="C3966" t="s">
        <v>2305</v>
      </c>
      <c r="D3966" t="s">
        <v>100</v>
      </c>
      <c r="E3966" t="s">
        <v>51</v>
      </c>
      <c r="F3966" t="s">
        <v>164</v>
      </c>
      <c r="G3966" t="s">
        <v>2306</v>
      </c>
      <c r="H3966" t="s">
        <v>54</v>
      </c>
      <c r="I3966">
        <v>400.05</v>
      </c>
      <c r="J3966">
        <v>0</v>
      </c>
      <c r="K3966">
        <v>1</v>
      </c>
      <c r="L3966" t="s">
        <v>693</v>
      </c>
      <c r="M3966" t="s">
        <v>533</v>
      </c>
      <c r="N3966">
        <v>250</v>
      </c>
      <c r="O3966">
        <v>0</v>
      </c>
      <c r="P3966" t="str">
        <f>IF(T[[#This Row],[qty_ordered]]&lt;&gt;T[[#This Row],[qty_received]],IF(T[[#This Row],[qty_received]]&gt;0,"Partial Received","Not Receviced"),"FullyReceived")</f>
        <v>Not Receviced</v>
      </c>
      <c r="Q3966" t="str">
        <f>IF(T[[#This Row],[qty_received]]&lt;&gt;T[[#This Row],[qty_invoiced]],IF(T[[#This Row],[qty_invoiced]]&gt;0,"Partial Invoiced","Not Invoiced"),"Fully Invoiced")</f>
        <v>Partial Invoiced</v>
      </c>
      <c r="R3966" t="str">
        <f>IFERROR(VLOOKUP(T[[#This Row],[warehouse]],Table2[],2,FALSE),"--")</f>
        <v>--</v>
      </c>
    </row>
    <row r="3967" spans="1:18" x14ac:dyDescent="0.25">
      <c r="A3967" t="s">
        <v>2304</v>
      </c>
      <c r="B3967" s="1">
        <v>44788</v>
      </c>
      <c r="C3967" t="s">
        <v>2305</v>
      </c>
      <c r="D3967" t="s">
        <v>88</v>
      </c>
      <c r="E3967" t="s">
        <v>51</v>
      </c>
      <c r="F3967" t="s">
        <v>164</v>
      </c>
      <c r="G3967" t="s">
        <v>2306</v>
      </c>
      <c r="H3967" t="s">
        <v>54</v>
      </c>
      <c r="I3967">
        <v>803.88499999999999</v>
      </c>
      <c r="J3967">
        <v>0</v>
      </c>
      <c r="K3967">
        <v>1</v>
      </c>
      <c r="L3967" t="s">
        <v>693</v>
      </c>
      <c r="M3967" t="s">
        <v>533</v>
      </c>
      <c r="N3967">
        <v>250</v>
      </c>
      <c r="O3967">
        <v>0</v>
      </c>
      <c r="P3967" t="str">
        <f>IF(T[[#This Row],[qty_ordered]]&lt;&gt;T[[#This Row],[qty_received]],IF(T[[#This Row],[qty_received]]&gt;0,"Partial Received","Not Receviced"),"FullyReceived")</f>
        <v>Not Receviced</v>
      </c>
      <c r="Q3967" t="str">
        <f>IF(T[[#This Row],[qty_received]]&lt;&gt;T[[#This Row],[qty_invoiced]],IF(T[[#This Row],[qty_invoiced]]&gt;0,"Partial Invoiced","Not Invoiced"),"Fully Invoiced")</f>
        <v>Partial Invoiced</v>
      </c>
      <c r="R3967" t="str">
        <f>IFERROR(VLOOKUP(T[[#This Row],[warehouse]],Table2[],2,FALSE),"--")</f>
        <v>--</v>
      </c>
    </row>
    <row r="3968" spans="1:18" x14ac:dyDescent="0.25">
      <c r="A3968" t="s">
        <v>2304</v>
      </c>
      <c r="B3968" s="1">
        <v>44788</v>
      </c>
      <c r="C3968" t="s">
        <v>2307</v>
      </c>
      <c r="D3968" t="s">
        <v>20</v>
      </c>
      <c r="E3968" t="s">
        <v>51</v>
      </c>
      <c r="F3968" t="s">
        <v>164</v>
      </c>
      <c r="G3968" t="s">
        <v>2308</v>
      </c>
      <c r="H3968" t="s">
        <v>54</v>
      </c>
      <c r="I3968">
        <v>2936.19</v>
      </c>
      <c r="J3968">
        <v>0</v>
      </c>
      <c r="K3968">
        <v>1</v>
      </c>
      <c r="L3968" t="s">
        <v>693</v>
      </c>
      <c r="M3968" t="s">
        <v>533</v>
      </c>
      <c r="N3968">
        <v>200</v>
      </c>
      <c r="O3968">
        <v>0</v>
      </c>
      <c r="P3968" t="str">
        <f>IF(T[[#This Row],[qty_ordered]]&lt;&gt;T[[#This Row],[qty_received]],IF(T[[#This Row],[qty_received]]&gt;0,"Partial Received","Not Receviced"),"FullyReceived")</f>
        <v>Not Receviced</v>
      </c>
      <c r="Q3968" t="str">
        <f>IF(T[[#This Row],[qty_received]]&lt;&gt;T[[#This Row],[qty_invoiced]],IF(T[[#This Row],[qty_invoiced]]&gt;0,"Partial Invoiced","Not Invoiced"),"Fully Invoiced")</f>
        <v>Partial Invoiced</v>
      </c>
      <c r="R3968" t="str">
        <f>IFERROR(VLOOKUP(T[[#This Row],[warehouse]],Table2[],2,FALSE),"--")</f>
        <v>--</v>
      </c>
    </row>
    <row r="3969" spans="1:18" x14ac:dyDescent="0.25">
      <c r="A3969" t="s">
        <v>2304</v>
      </c>
      <c r="B3969" s="1">
        <v>44788</v>
      </c>
      <c r="C3969" t="s">
        <v>2307</v>
      </c>
      <c r="D3969" t="s">
        <v>71</v>
      </c>
      <c r="E3969" t="s">
        <v>51</v>
      </c>
      <c r="F3969" t="s">
        <v>164</v>
      </c>
      <c r="G3969" t="s">
        <v>2308</v>
      </c>
      <c r="H3969" t="s">
        <v>54</v>
      </c>
      <c r="I3969">
        <v>3170.46</v>
      </c>
      <c r="J3969">
        <v>0</v>
      </c>
      <c r="K3969">
        <v>1</v>
      </c>
      <c r="L3969" t="s">
        <v>693</v>
      </c>
      <c r="M3969" t="s">
        <v>533</v>
      </c>
      <c r="N3969">
        <v>200</v>
      </c>
      <c r="O3969">
        <v>0</v>
      </c>
      <c r="P3969" t="str">
        <f>IF(T[[#This Row],[qty_ordered]]&lt;&gt;T[[#This Row],[qty_received]],IF(T[[#This Row],[qty_received]]&gt;0,"Partial Received","Not Receviced"),"FullyReceived")</f>
        <v>Not Receviced</v>
      </c>
      <c r="Q3969" t="str">
        <f>IF(T[[#This Row],[qty_received]]&lt;&gt;T[[#This Row],[qty_invoiced]],IF(T[[#This Row],[qty_invoiced]]&gt;0,"Partial Invoiced","Not Invoiced"),"Fully Invoiced")</f>
        <v>Partial Invoiced</v>
      </c>
      <c r="R3969" t="str">
        <f>IFERROR(VLOOKUP(T[[#This Row],[warehouse]],Table2[],2,FALSE),"--")</f>
        <v>--</v>
      </c>
    </row>
    <row r="3970" spans="1:18" x14ac:dyDescent="0.25">
      <c r="A3970" t="s">
        <v>2304</v>
      </c>
      <c r="B3970" s="1">
        <v>44788</v>
      </c>
      <c r="C3970" t="s">
        <v>2307</v>
      </c>
      <c r="D3970" t="s">
        <v>100</v>
      </c>
      <c r="E3970" t="s">
        <v>51</v>
      </c>
      <c r="F3970" t="s">
        <v>164</v>
      </c>
      <c r="G3970" t="s">
        <v>2308</v>
      </c>
      <c r="H3970" t="s">
        <v>54</v>
      </c>
      <c r="I3970">
        <v>1836.8</v>
      </c>
      <c r="J3970">
        <v>0</v>
      </c>
      <c r="K3970">
        <v>1</v>
      </c>
      <c r="L3970" t="s">
        <v>693</v>
      </c>
      <c r="M3970" t="s">
        <v>533</v>
      </c>
      <c r="N3970">
        <v>200</v>
      </c>
      <c r="O3970">
        <v>0</v>
      </c>
      <c r="P3970" t="str">
        <f>IF(T[[#This Row],[qty_ordered]]&lt;&gt;T[[#This Row],[qty_received]],IF(T[[#This Row],[qty_received]]&gt;0,"Partial Received","Not Receviced"),"FullyReceived")</f>
        <v>Not Receviced</v>
      </c>
      <c r="Q3970" t="str">
        <f>IF(T[[#This Row],[qty_received]]&lt;&gt;T[[#This Row],[qty_invoiced]],IF(T[[#This Row],[qty_invoiced]]&gt;0,"Partial Invoiced","Not Invoiced"),"Fully Invoiced")</f>
        <v>Partial Invoiced</v>
      </c>
      <c r="R3970" t="str">
        <f>IFERROR(VLOOKUP(T[[#This Row],[warehouse]],Table2[],2,FALSE),"--")</f>
        <v>--</v>
      </c>
    </row>
    <row r="3971" spans="1:18" x14ac:dyDescent="0.25">
      <c r="A3971" t="s">
        <v>2304</v>
      </c>
      <c r="B3971" s="1">
        <v>44788</v>
      </c>
      <c r="C3971" t="s">
        <v>2307</v>
      </c>
      <c r="D3971" t="s">
        <v>88</v>
      </c>
      <c r="E3971" t="s">
        <v>51</v>
      </c>
      <c r="F3971" t="s">
        <v>164</v>
      </c>
      <c r="G3971" t="s">
        <v>2308</v>
      </c>
      <c r="H3971" t="s">
        <v>54</v>
      </c>
      <c r="I3971">
        <v>7653.14</v>
      </c>
      <c r="J3971">
        <v>0</v>
      </c>
      <c r="K3971">
        <v>1</v>
      </c>
      <c r="L3971" t="s">
        <v>693</v>
      </c>
      <c r="M3971" t="s">
        <v>533</v>
      </c>
      <c r="N3971">
        <v>200</v>
      </c>
      <c r="O3971">
        <v>0</v>
      </c>
      <c r="P3971" t="str">
        <f>IF(T[[#This Row],[qty_ordered]]&lt;&gt;T[[#This Row],[qty_received]],IF(T[[#This Row],[qty_received]]&gt;0,"Partial Received","Not Receviced"),"FullyReceived")</f>
        <v>Not Receviced</v>
      </c>
      <c r="Q3971" t="str">
        <f>IF(T[[#This Row],[qty_received]]&lt;&gt;T[[#This Row],[qty_invoiced]],IF(T[[#This Row],[qty_invoiced]]&gt;0,"Partial Invoiced","Not Invoiced"),"Fully Invoiced")</f>
        <v>Partial Invoiced</v>
      </c>
      <c r="R3971" t="str">
        <f>IFERROR(VLOOKUP(T[[#This Row],[warehouse]],Table2[],2,FALSE),"--")</f>
        <v>--</v>
      </c>
    </row>
    <row r="3972" spans="1:18" x14ac:dyDescent="0.25">
      <c r="A3972" t="s">
        <v>2304</v>
      </c>
      <c r="B3972" s="1">
        <v>44788</v>
      </c>
      <c r="C3972" t="s">
        <v>2309</v>
      </c>
      <c r="D3972" t="s">
        <v>20</v>
      </c>
      <c r="E3972" t="s">
        <v>51</v>
      </c>
      <c r="F3972" t="s">
        <v>164</v>
      </c>
      <c r="G3972" t="s">
        <v>2310</v>
      </c>
      <c r="H3972" t="s">
        <v>54</v>
      </c>
      <c r="I3972">
        <v>216.66</v>
      </c>
      <c r="J3972">
        <v>0</v>
      </c>
      <c r="K3972">
        <v>1</v>
      </c>
      <c r="L3972" t="s">
        <v>693</v>
      </c>
      <c r="M3972" t="s">
        <v>533</v>
      </c>
      <c r="N3972">
        <v>200</v>
      </c>
      <c r="O3972">
        <v>0</v>
      </c>
      <c r="P3972" t="str">
        <f>IF(T[[#This Row],[qty_ordered]]&lt;&gt;T[[#This Row],[qty_received]],IF(T[[#This Row],[qty_received]]&gt;0,"Partial Received","Not Receviced"),"FullyReceived")</f>
        <v>Not Receviced</v>
      </c>
      <c r="Q3972" t="str">
        <f>IF(T[[#This Row],[qty_received]]&lt;&gt;T[[#This Row],[qty_invoiced]],IF(T[[#This Row],[qty_invoiced]]&gt;0,"Partial Invoiced","Not Invoiced"),"Fully Invoiced")</f>
        <v>Partial Invoiced</v>
      </c>
      <c r="R3972" t="str">
        <f>IFERROR(VLOOKUP(T[[#This Row],[warehouse]],Table2[],2,FALSE),"--")</f>
        <v>--</v>
      </c>
    </row>
    <row r="3973" spans="1:18" x14ac:dyDescent="0.25">
      <c r="A3973" t="s">
        <v>1745</v>
      </c>
      <c r="B3973" s="1">
        <v>44728</v>
      </c>
      <c r="C3973" t="s">
        <v>1746</v>
      </c>
      <c r="D3973" t="s">
        <v>71</v>
      </c>
      <c r="E3973" t="s">
        <v>146</v>
      </c>
      <c r="F3973" t="s">
        <v>147</v>
      </c>
      <c r="G3973" t="s">
        <v>148</v>
      </c>
      <c r="H3973" t="s">
        <v>149</v>
      </c>
      <c r="I3973">
        <v>1000</v>
      </c>
      <c r="J3973">
        <v>1000</v>
      </c>
      <c r="K3973">
        <v>1000</v>
      </c>
      <c r="L3973" t="s">
        <v>25</v>
      </c>
      <c r="M3973" t="s">
        <v>1404</v>
      </c>
      <c r="N3973">
        <v>215.88</v>
      </c>
      <c r="O3973">
        <v>215880</v>
      </c>
      <c r="P3973" t="str">
        <f>IF(T[[#This Row],[qty_ordered]]&lt;&gt;T[[#This Row],[qty_received]],IF(T[[#This Row],[qty_received]]&gt;0,"Partial Received","Not Receviced"),"FullyReceived")</f>
        <v>FullyReceived</v>
      </c>
      <c r="Q3973" t="str">
        <f>IF(T[[#This Row],[qty_received]]&lt;&gt;T[[#This Row],[qty_invoiced]],IF(T[[#This Row],[qty_invoiced]]&gt;0,"Partial Invoiced","Not Invoiced"),"Fully Invoiced")</f>
        <v>Fully Invoiced</v>
      </c>
      <c r="R3973" t="str">
        <f>IFERROR(VLOOKUP(T[[#This Row],[warehouse]],Table2[],2,FALSE),"--")</f>
        <v>Khtoum Main Warehouse</v>
      </c>
    </row>
    <row r="3974" spans="1:18" x14ac:dyDescent="0.25">
      <c r="A3974" t="s">
        <v>1422</v>
      </c>
      <c r="B3974" s="1">
        <v>44784</v>
      </c>
      <c r="C3974" t="s">
        <v>2303</v>
      </c>
      <c r="D3974" t="s">
        <v>71</v>
      </c>
      <c r="E3974" t="s">
        <v>1697</v>
      </c>
      <c r="F3974" t="s">
        <v>300</v>
      </c>
      <c r="G3974" t="s">
        <v>301</v>
      </c>
      <c r="H3974" t="s">
        <v>24</v>
      </c>
      <c r="I3974">
        <v>21.72</v>
      </c>
      <c r="J3974">
        <v>21.72</v>
      </c>
      <c r="K3974">
        <v>21.72</v>
      </c>
      <c r="L3974" t="s">
        <v>693</v>
      </c>
      <c r="M3974" t="s">
        <v>707</v>
      </c>
      <c r="N3974">
        <v>454500</v>
      </c>
      <c r="O3974">
        <v>9871740</v>
      </c>
      <c r="P3974" t="str">
        <f>IF(T[[#This Row],[qty_ordered]]&lt;&gt;T[[#This Row],[qty_received]],IF(T[[#This Row],[qty_received]]&gt;0,"Partial Received","Not Receviced"),"FullyReceived")</f>
        <v>FullyReceived</v>
      </c>
      <c r="Q3974" t="str">
        <f>IF(T[[#This Row],[qty_received]]&lt;&gt;T[[#This Row],[qty_invoiced]],IF(T[[#This Row],[qty_invoiced]]&gt;0,"Partial Invoiced","Not Invoiced"),"Fully Invoiced")</f>
        <v>Fully Invoiced</v>
      </c>
      <c r="R3974" t="str">
        <f>IFERROR(VLOOKUP(T[[#This Row],[warehouse]],Table2[],2,FALSE),"--")</f>
        <v>Picker Sifting Facility</v>
      </c>
    </row>
    <row r="3975" spans="1:18" x14ac:dyDescent="0.25">
      <c r="A3975" t="s">
        <v>1475</v>
      </c>
      <c r="B3975" s="1">
        <v>44535</v>
      </c>
      <c r="C3975" t="s">
        <v>1526</v>
      </c>
      <c r="D3975" t="s">
        <v>864</v>
      </c>
      <c r="E3975" t="s">
        <v>51</v>
      </c>
      <c r="F3975" t="s">
        <v>674</v>
      </c>
      <c r="G3975" t="s">
        <v>2311</v>
      </c>
      <c r="H3975" t="s">
        <v>54</v>
      </c>
      <c r="I3975">
        <v>10078.129999999999</v>
      </c>
      <c r="J3975">
        <v>0</v>
      </c>
      <c r="K3975">
        <v>1</v>
      </c>
      <c r="L3975" t="s">
        <v>693</v>
      </c>
      <c r="M3975" t="s">
        <v>533</v>
      </c>
      <c r="N3975">
        <v>10000</v>
      </c>
      <c r="O3975">
        <v>0</v>
      </c>
      <c r="P3975" t="str">
        <f>IF(T[[#This Row],[qty_ordered]]&lt;&gt;T[[#This Row],[qty_received]],IF(T[[#This Row],[qty_received]]&gt;0,"Partial Received","Not Receviced"),"FullyReceived")</f>
        <v>Not Receviced</v>
      </c>
      <c r="Q3975" t="str">
        <f>IF(T[[#This Row],[qty_received]]&lt;&gt;T[[#This Row],[qty_invoiced]],IF(T[[#This Row],[qty_invoiced]]&gt;0,"Partial Invoiced","Not Invoiced"),"Fully Invoiced")</f>
        <v>Partial Invoiced</v>
      </c>
      <c r="R3975" t="str">
        <f>IFERROR(VLOOKUP(T[[#This Row],[warehouse]],Table2[],2,FALSE),"--")</f>
        <v>--</v>
      </c>
    </row>
    <row r="3976" spans="1:18" x14ac:dyDescent="0.25">
      <c r="A3976" t="s">
        <v>1475</v>
      </c>
      <c r="B3976" s="1">
        <v>44535</v>
      </c>
      <c r="C3976" t="s">
        <v>1526</v>
      </c>
      <c r="D3976" t="s">
        <v>566</v>
      </c>
      <c r="E3976" t="s">
        <v>51</v>
      </c>
      <c r="F3976" t="s">
        <v>278</v>
      </c>
      <c r="G3976" t="s">
        <v>2312</v>
      </c>
      <c r="H3976" t="s">
        <v>54</v>
      </c>
      <c r="I3976">
        <v>1725</v>
      </c>
      <c r="J3976">
        <v>0</v>
      </c>
      <c r="K3976">
        <v>1</v>
      </c>
      <c r="L3976" t="s">
        <v>693</v>
      </c>
      <c r="M3976" t="s">
        <v>533</v>
      </c>
      <c r="N3976">
        <v>100</v>
      </c>
      <c r="O3976">
        <v>0</v>
      </c>
      <c r="P3976" t="str">
        <f>IF(T[[#This Row],[qty_ordered]]&lt;&gt;T[[#This Row],[qty_received]],IF(T[[#This Row],[qty_received]]&gt;0,"Partial Received","Not Receviced"),"FullyReceived")</f>
        <v>Not Receviced</v>
      </c>
      <c r="Q3976" t="str">
        <f>IF(T[[#This Row],[qty_received]]&lt;&gt;T[[#This Row],[qty_invoiced]],IF(T[[#This Row],[qty_invoiced]]&gt;0,"Partial Invoiced","Not Invoiced"),"Fully Invoiced")</f>
        <v>Partial Invoiced</v>
      </c>
      <c r="R3976" t="str">
        <f>IFERROR(VLOOKUP(T[[#This Row],[warehouse]],Table2[],2,FALSE),"--")</f>
        <v>--</v>
      </c>
    </row>
    <row r="3977" spans="1:18" x14ac:dyDescent="0.25">
      <c r="A3977" t="s">
        <v>1475</v>
      </c>
      <c r="B3977" s="1">
        <v>44535</v>
      </c>
      <c r="C3977" t="s">
        <v>1526</v>
      </c>
      <c r="D3977" t="s">
        <v>567</v>
      </c>
      <c r="E3977" t="s">
        <v>51</v>
      </c>
      <c r="F3977" t="s">
        <v>278</v>
      </c>
      <c r="G3977" t="s">
        <v>2313</v>
      </c>
      <c r="H3977" t="s">
        <v>54</v>
      </c>
      <c r="I3977">
        <v>1725</v>
      </c>
      <c r="J3977">
        <v>0</v>
      </c>
      <c r="K3977">
        <v>1</v>
      </c>
      <c r="L3977" t="s">
        <v>693</v>
      </c>
      <c r="M3977" t="s">
        <v>533</v>
      </c>
      <c r="N3977">
        <v>300</v>
      </c>
      <c r="O3977">
        <v>0</v>
      </c>
      <c r="P3977" t="str">
        <f>IF(T[[#This Row],[qty_ordered]]&lt;&gt;T[[#This Row],[qty_received]],IF(T[[#This Row],[qty_received]]&gt;0,"Partial Received","Not Receviced"),"FullyReceived")</f>
        <v>Not Receviced</v>
      </c>
      <c r="Q3977" t="str">
        <f>IF(T[[#This Row],[qty_received]]&lt;&gt;T[[#This Row],[qty_invoiced]],IF(T[[#This Row],[qty_invoiced]]&gt;0,"Partial Invoiced","Not Invoiced"),"Fully Invoiced")</f>
        <v>Partial Invoiced</v>
      </c>
      <c r="R3977" t="str">
        <f>IFERROR(VLOOKUP(T[[#This Row],[warehouse]],Table2[],2,FALSE),"--")</f>
        <v>--</v>
      </c>
    </row>
    <row r="3978" spans="1:18" x14ac:dyDescent="0.25">
      <c r="A3978" t="s">
        <v>1475</v>
      </c>
      <c r="B3978" s="1">
        <v>44535</v>
      </c>
      <c r="C3978" t="s">
        <v>1526</v>
      </c>
      <c r="D3978" t="s">
        <v>568</v>
      </c>
      <c r="E3978" t="s">
        <v>51</v>
      </c>
      <c r="F3978" t="s">
        <v>384</v>
      </c>
      <c r="G3978" t="s">
        <v>2314</v>
      </c>
      <c r="H3978" t="s">
        <v>54</v>
      </c>
      <c r="I3978">
        <v>14922</v>
      </c>
      <c r="J3978">
        <v>0</v>
      </c>
      <c r="K3978">
        <v>1</v>
      </c>
      <c r="L3978" t="s">
        <v>693</v>
      </c>
      <c r="M3978" t="s">
        <v>533</v>
      </c>
      <c r="N3978">
        <v>100</v>
      </c>
      <c r="O3978">
        <v>0</v>
      </c>
      <c r="P3978" t="str">
        <f>IF(T[[#This Row],[qty_ordered]]&lt;&gt;T[[#This Row],[qty_received]],IF(T[[#This Row],[qty_received]]&gt;0,"Partial Received","Not Receviced"),"FullyReceived")</f>
        <v>Not Receviced</v>
      </c>
      <c r="Q3978" t="str">
        <f>IF(T[[#This Row],[qty_received]]&lt;&gt;T[[#This Row],[qty_invoiced]],IF(T[[#This Row],[qty_invoiced]]&gt;0,"Partial Invoiced","Not Invoiced"),"Fully Invoiced")</f>
        <v>Partial Invoiced</v>
      </c>
      <c r="R3978" t="str">
        <f>IFERROR(VLOOKUP(T[[#This Row],[warehouse]],Table2[],2,FALSE),"--")</f>
        <v>--</v>
      </c>
    </row>
    <row r="3979" spans="1:18" x14ac:dyDescent="0.25">
      <c r="A3979" t="s">
        <v>1475</v>
      </c>
      <c r="B3979" s="1">
        <v>44535</v>
      </c>
      <c r="C3979" t="s">
        <v>1526</v>
      </c>
      <c r="D3979" t="s">
        <v>569</v>
      </c>
      <c r="E3979" t="s">
        <v>51</v>
      </c>
      <c r="F3979" t="s">
        <v>793</v>
      </c>
      <c r="G3979" t="s">
        <v>2315</v>
      </c>
      <c r="H3979" t="s">
        <v>54</v>
      </c>
      <c r="I3979">
        <v>15</v>
      </c>
      <c r="J3979">
        <v>0</v>
      </c>
      <c r="K3979">
        <v>1</v>
      </c>
      <c r="L3979" t="s">
        <v>693</v>
      </c>
      <c r="M3979" t="s">
        <v>533</v>
      </c>
      <c r="N3979">
        <v>600</v>
      </c>
      <c r="O3979">
        <v>0</v>
      </c>
      <c r="P3979" t="str">
        <f>IF(T[[#This Row],[qty_ordered]]&lt;&gt;T[[#This Row],[qty_received]],IF(T[[#This Row],[qty_received]]&gt;0,"Partial Received","Not Receviced"),"FullyReceived")</f>
        <v>Not Receviced</v>
      </c>
      <c r="Q3979" t="str">
        <f>IF(T[[#This Row],[qty_received]]&lt;&gt;T[[#This Row],[qty_invoiced]],IF(T[[#This Row],[qty_invoiced]]&gt;0,"Partial Invoiced","Not Invoiced"),"Fully Invoiced")</f>
        <v>Partial Invoiced</v>
      </c>
      <c r="R3979" t="str">
        <f>IFERROR(VLOOKUP(T[[#This Row],[warehouse]],Table2[],2,FALSE),"--")</f>
        <v>--</v>
      </c>
    </row>
    <row r="3980" spans="1:18" x14ac:dyDescent="0.25">
      <c r="A3980" t="s">
        <v>1475</v>
      </c>
      <c r="B3980" s="1">
        <v>44535</v>
      </c>
      <c r="C3980" t="s">
        <v>1526</v>
      </c>
      <c r="D3980" t="s">
        <v>570</v>
      </c>
      <c r="E3980" t="s">
        <v>51</v>
      </c>
      <c r="F3980" t="s">
        <v>793</v>
      </c>
      <c r="G3980" t="s">
        <v>2316</v>
      </c>
      <c r="H3980" t="s">
        <v>54</v>
      </c>
      <c r="I3980">
        <v>2</v>
      </c>
      <c r="J3980">
        <v>0</v>
      </c>
      <c r="K3980">
        <v>1</v>
      </c>
      <c r="L3980" t="s">
        <v>693</v>
      </c>
      <c r="M3980" t="s">
        <v>533</v>
      </c>
      <c r="N3980">
        <v>400</v>
      </c>
      <c r="O3980">
        <v>0</v>
      </c>
      <c r="P3980" t="str">
        <f>IF(T[[#This Row],[qty_ordered]]&lt;&gt;T[[#This Row],[qty_received]],IF(T[[#This Row],[qty_received]]&gt;0,"Partial Received","Not Receviced"),"FullyReceived")</f>
        <v>Not Receviced</v>
      </c>
      <c r="Q3980" t="str">
        <f>IF(T[[#This Row],[qty_received]]&lt;&gt;T[[#This Row],[qty_invoiced]],IF(T[[#This Row],[qty_invoiced]]&gt;0,"Partial Invoiced","Not Invoiced"),"Fully Invoiced")</f>
        <v>Partial Invoiced</v>
      </c>
      <c r="R3980" t="str">
        <f>IFERROR(VLOOKUP(T[[#This Row],[warehouse]],Table2[],2,FALSE),"--")</f>
        <v>--</v>
      </c>
    </row>
    <row r="3981" spans="1:18" x14ac:dyDescent="0.25">
      <c r="A3981" t="s">
        <v>1475</v>
      </c>
      <c r="B3981" s="1">
        <v>44535</v>
      </c>
      <c r="C3981" t="s">
        <v>1526</v>
      </c>
      <c r="D3981" t="s">
        <v>571</v>
      </c>
      <c r="E3981" t="s">
        <v>51</v>
      </c>
      <c r="F3981" t="s">
        <v>674</v>
      </c>
      <c r="G3981" t="s">
        <v>2317</v>
      </c>
      <c r="H3981" t="s">
        <v>54</v>
      </c>
      <c r="I3981">
        <v>1496.79</v>
      </c>
      <c r="J3981">
        <v>0</v>
      </c>
      <c r="K3981">
        <v>1</v>
      </c>
      <c r="L3981" t="s">
        <v>693</v>
      </c>
      <c r="M3981" t="s">
        <v>533</v>
      </c>
      <c r="N3981">
        <v>10000</v>
      </c>
      <c r="O3981">
        <v>0</v>
      </c>
      <c r="P3981" t="str">
        <f>IF(T[[#This Row],[qty_ordered]]&lt;&gt;T[[#This Row],[qty_received]],IF(T[[#This Row],[qty_received]]&gt;0,"Partial Received","Not Receviced"),"FullyReceived")</f>
        <v>Not Receviced</v>
      </c>
      <c r="Q3981" t="str">
        <f>IF(T[[#This Row],[qty_received]]&lt;&gt;T[[#This Row],[qty_invoiced]],IF(T[[#This Row],[qty_invoiced]]&gt;0,"Partial Invoiced","Not Invoiced"),"Fully Invoiced")</f>
        <v>Partial Invoiced</v>
      </c>
      <c r="R3981" t="str">
        <f>IFERROR(VLOOKUP(T[[#This Row],[warehouse]],Table2[],2,FALSE),"--")</f>
        <v>--</v>
      </c>
    </row>
    <row r="3982" spans="1:18" x14ac:dyDescent="0.25">
      <c r="A3982" t="s">
        <v>1475</v>
      </c>
      <c r="B3982" s="1">
        <v>44535</v>
      </c>
      <c r="C3982" t="s">
        <v>1526</v>
      </c>
      <c r="D3982" t="s">
        <v>1210</v>
      </c>
      <c r="E3982" t="s">
        <v>51</v>
      </c>
      <c r="F3982" t="s">
        <v>278</v>
      </c>
      <c r="G3982" t="s">
        <v>2312</v>
      </c>
      <c r="H3982" t="s">
        <v>54</v>
      </c>
      <c r="I3982">
        <v>2500</v>
      </c>
      <c r="J3982">
        <v>0</v>
      </c>
      <c r="K3982">
        <v>1</v>
      </c>
      <c r="L3982" t="s">
        <v>693</v>
      </c>
      <c r="M3982" t="s">
        <v>533</v>
      </c>
      <c r="N3982">
        <v>100</v>
      </c>
      <c r="O3982">
        <v>0</v>
      </c>
      <c r="P3982" t="str">
        <f>IF(T[[#This Row],[qty_ordered]]&lt;&gt;T[[#This Row],[qty_received]],IF(T[[#This Row],[qty_received]]&gt;0,"Partial Received","Not Receviced"),"FullyReceived")</f>
        <v>Not Receviced</v>
      </c>
      <c r="Q3982" t="str">
        <f>IF(T[[#This Row],[qty_received]]&lt;&gt;T[[#This Row],[qty_invoiced]],IF(T[[#This Row],[qty_invoiced]]&gt;0,"Partial Invoiced","Not Invoiced"),"Fully Invoiced")</f>
        <v>Partial Invoiced</v>
      </c>
      <c r="R3982" t="str">
        <f>IFERROR(VLOOKUP(T[[#This Row],[warehouse]],Table2[],2,FALSE),"--")</f>
        <v>--</v>
      </c>
    </row>
    <row r="3983" spans="1:18" x14ac:dyDescent="0.25">
      <c r="A3983" t="s">
        <v>1475</v>
      </c>
      <c r="B3983" s="1">
        <v>44535</v>
      </c>
      <c r="C3983" t="s">
        <v>1526</v>
      </c>
      <c r="D3983" t="s">
        <v>702</v>
      </c>
      <c r="E3983" t="s">
        <v>51</v>
      </c>
      <c r="F3983" t="s">
        <v>384</v>
      </c>
      <c r="G3983" t="s">
        <v>2318</v>
      </c>
      <c r="H3983" t="s">
        <v>54</v>
      </c>
      <c r="I3983">
        <v>300</v>
      </c>
      <c r="J3983">
        <v>0</v>
      </c>
      <c r="K3983">
        <v>1</v>
      </c>
      <c r="L3983" t="s">
        <v>693</v>
      </c>
      <c r="M3983" t="s">
        <v>533</v>
      </c>
      <c r="N3983">
        <v>100</v>
      </c>
      <c r="O3983">
        <v>0</v>
      </c>
      <c r="P3983" t="str">
        <f>IF(T[[#This Row],[qty_ordered]]&lt;&gt;T[[#This Row],[qty_received]],IF(T[[#This Row],[qty_received]]&gt;0,"Partial Received","Not Receviced"),"FullyReceived")</f>
        <v>Not Receviced</v>
      </c>
      <c r="Q3983" t="str">
        <f>IF(T[[#This Row],[qty_received]]&lt;&gt;T[[#This Row],[qty_invoiced]],IF(T[[#This Row],[qty_invoiced]]&gt;0,"Partial Invoiced","Not Invoiced"),"Fully Invoiced")</f>
        <v>Partial Invoiced</v>
      </c>
      <c r="R3983" t="str">
        <f>IFERROR(VLOOKUP(T[[#This Row],[warehouse]],Table2[],2,FALSE),"--")</f>
        <v>--</v>
      </c>
    </row>
    <row r="3984" spans="1:18" x14ac:dyDescent="0.25">
      <c r="A3984" t="s">
        <v>303</v>
      </c>
      <c r="B3984" s="1">
        <v>44746</v>
      </c>
      <c r="C3984" t="s">
        <v>2226</v>
      </c>
      <c r="D3984" t="s">
        <v>71</v>
      </c>
      <c r="E3984" t="s">
        <v>66</v>
      </c>
      <c r="F3984" t="s">
        <v>529</v>
      </c>
      <c r="G3984" t="s">
        <v>530</v>
      </c>
      <c r="H3984" t="s">
        <v>531</v>
      </c>
      <c r="I3984">
        <v>4000</v>
      </c>
      <c r="J3984">
        <v>2849</v>
      </c>
      <c r="K3984">
        <v>2849</v>
      </c>
      <c r="L3984" t="s">
        <v>693</v>
      </c>
      <c r="M3984" t="s">
        <v>707</v>
      </c>
      <c r="N3984">
        <v>60000</v>
      </c>
      <c r="O3984">
        <v>170940000</v>
      </c>
      <c r="P3984" t="str">
        <f>IF(T[[#This Row],[qty_ordered]]&lt;&gt;T[[#This Row],[qty_received]],IF(T[[#This Row],[qty_received]]&gt;0,"Partial Received","Not Receviced"),"FullyReceived")</f>
        <v>Partial Received</v>
      </c>
      <c r="Q3984" t="str">
        <f>IF(T[[#This Row],[qty_received]]&lt;&gt;T[[#This Row],[qty_invoiced]],IF(T[[#This Row],[qty_invoiced]]&gt;0,"Partial Invoiced","Not Invoiced"),"Fully Invoiced")</f>
        <v>Fully Invoiced</v>
      </c>
      <c r="R3984" t="str">
        <f>IFERROR(VLOOKUP(T[[#This Row],[warehouse]],Table2[],2,FALSE),"--")</f>
        <v>PZU Main Warehouse</v>
      </c>
    </row>
    <row r="3985" spans="1:18" x14ac:dyDescent="0.25">
      <c r="A3985" t="s">
        <v>2304</v>
      </c>
      <c r="B3985" s="1">
        <v>44788</v>
      </c>
      <c r="C3985" t="s">
        <v>2319</v>
      </c>
      <c r="D3985" t="s">
        <v>20</v>
      </c>
      <c r="E3985" t="s">
        <v>51</v>
      </c>
      <c r="F3985" t="s">
        <v>164</v>
      </c>
      <c r="G3985" t="s">
        <v>2030</v>
      </c>
      <c r="H3985" t="s">
        <v>54</v>
      </c>
      <c r="I3985">
        <v>117.47</v>
      </c>
      <c r="J3985">
        <v>0</v>
      </c>
      <c r="K3985">
        <v>1</v>
      </c>
      <c r="L3985" t="s">
        <v>693</v>
      </c>
      <c r="M3985" t="s">
        <v>2836</v>
      </c>
      <c r="N3985">
        <v>300</v>
      </c>
      <c r="O3985">
        <v>0</v>
      </c>
      <c r="P3985" t="str">
        <f>IF(T[[#This Row],[qty_ordered]]&lt;&gt;T[[#This Row],[qty_received]],IF(T[[#This Row],[qty_received]]&gt;0,"Partial Received","Not Receviced"),"FullyReceived")</f>
        <v>Not Receviced</v>
      </c>
      <c r="Q3985" t="str">
        <f>IF(T[[#This Row],[qty_received]]&lt;&gt;T[[#This Row],[qty_invoiced]],IF(T[[#This Row],[qty_invoiced]]&gt;0,"Partial Invoiced","Not Invoiced"),"Fully Invoiced")</f>
        <v>Partial Invoiced</v>
      </c>
      <c r="R3985" t="str">
        <f>IFERROR(VLOOKUP(T[[#This Row],[warehouse]],Table2[],2,FALSE),"--")</f>
        <v>--</v>
      </c>
    </row>
    <row r="3986" spans="1:18" x14ac:dyDescent="0.25">
      <c r="A3986" t="s">
        <v>2304</v>
      </c>
      <c r="B3986" s="1">
        <v>44788</v>
      </c>
      <c r="C3986" t="s">
        <v>2319</v>
      </c>
      <c r="D3986" t="s">
        <v>71</v>
      </c>
      <c r="E3986" t="s">
        <v>51</v>
      </c>
      <c r="F3986" t="s">
        <v>164</v>
      </c>
      <c r="G3986" t="s">
        <v>2030</v>
      </c>
      <c r="H3986" t="s">
        <v>54</v>
      </c>
      <c r="I3986">
        <v>365.98</v>
      </c>
      <c r="J3986">
        <v>0</v>
      </c>
      <c r="K3986">
        <v>1</v>
      </c>
      <c r="L3986" t="s">
        <v>693</v>
      </c>
      <c r="M3986" t="s">
        <v>2836</v>
      </c>
      <c r="N3986">
        <v>300</v>
      </c>
      <c r="O3986">
        <v>0</v>
      </c>
      <c r="P3986" t="str">
        <f>IF(T[[#This Row],[qty_ordered]]&lt;&gt;T[[#This Row],[qty_received]],IF(T[[#This Row],[qty_received]]&gt;0,"Partial Received","Not Receviced"),"FullyReceived")</f>
        <v>Not Receviced</v>
      </c>
      <c r="Q3986" t="str">
        <f>IF(T[[#This Row],[qty_received]]&lt;&gt;T[[#This Row],[qty_invoiced]],IF(T[[#This Row],[qty_invoiced]]&gt;0,"Partial Invoiced","Not Invoiced"),"Fully Invoiced")</f>
        <v>Partial Invoiced</v>
      </c>
      <c r="R3986" t="str">
        <f>IFERROR(VLOOKUP(T[[#This Row],[warehouse]],Table2[],2,FALSE),"--")</f>
        <v>--</v>
      </c>
    </row>
    <row r="3987" spans="1:18" x14ac:dyDescent="0.25">
      <c r="A3987" t="s">
        <v>2304</v>
      </c>
      <c r="B3987" s="1">
        <v>44788</v>
      </c>
      <c r="C3987" t="s">
        <v>2319</v>
      </c>
      <c r="D3987" t="s">
        <v>100</v>
      </c>
      <c r="E3987" t="s">
        <v>51</v>
      </c>
      <c r="F3987" t="s">
        <v>164</v>
      </c>
      <c r="G3987" t="s">
        <v>2030</v>
      </c>
      <c r="H3987" t="s">
        <v>54</v>
      </c>
      <c r="I3987">
        <v>1703.37</v>
      </c>
      <c r="J3987">
        <v>0</v>
      </c>
      <c r="K3987">
        <v>1</v>
      </c>
      <c r="L3987" t="s">
        <v>693</v>
      </c>
      <c r="M3987" t="s">
        <v>2836</v>
      </c>
      <c r="N3987">
        <v>300</v>
      </c>
      <c r="O3987">
        <v>0</v>
      </c>
      <c r="P3987" t="str">
        <f>IF(T[[#This Row],[qty_ordered]]&lt;&gt;T[[#This Row],[qty_received]],IF(T[[#This Row],[qty_received]]&gt;0,"Partial Received","Not Receviced"),"FullyReceived")</f>
        <v>Not Receviced</v>
      </c>
      <c r="Q3987" t="str">
        <f>IF(T[[#This Row],[qty_received]]&lt;&gt;T[[#This Row],[qty_invoiced]],IF(T[[#This Row],[qty_invoiced]]&gt;0,"Partial Invoiced","Not Invoiced"),"Fully Invoiced")</f>
        <v>Partial Invoiced</v>
      </c>
      <c r="R3987" t="str">
        <f>IFERROR(VLOOKUP(T[[#This Row],[warehouse]],Table2[],2,FALSE),"--")</f>
        <v>--</v>
      </c>
    </row>
    <row r="3988" spans="1:18" x14ac:dyDescent="0.25">
      <c r="A3988" t="s">
        <v>2304</v>
      </c>
      <c r="B3988" s="1">
        <v>44788</v>
      </c>
      <c r="C3988" t="s">
        <v>2319</v>
      </c>
      <c r="D3988" t="s">
        <v>88</v>
      </c>
      <c r="E3988" t="s">
        <v>51</v>
      </c>
      <c r="F3988" t="s">
        <v>164</v>
      </c>
      <c r="G3988" t="s">
        <v>2030</v>
      </c>
      <c r="H3988" t="s">
        <v>54</v>
      </c>
      <c r="I3988">
        <v>4832.58</v>
      </c>
      <c r="J3988">
        <v>0</v>
      </c>
      <c r="K3988">
        <v>1</v>
      </c>
      <c r="L3988" t="s">
        <v>693</v>
      </c>
      <c r="M3988" t="s">
        <v>2836</v>
      </c>
      <c r="N3988">
        <v>300</v>
      </c>
      <c r="O3988">
        <v>0</v>
      </c>
      <c r="P3988" t="str">
        <f>IF(T[[#This Row],[qty_ordered]]&lt;&gt;T[[#This Row],[qty_received]],IF(T[[#This Row],[qty_received]]&gt;0,"Partial Received","Not Receviced"),"FullyReceived")</f>
        <v>Not Receviced</v>
      </c>
      <c r="Q3988" t="str">
        <f>IF(T[[#This Row],[qty_received]]&lt;&gt;T[[#This Row],[qty_invoiced]],IF(T[[#This Row],[qty_invoiced]]&gt;0,"Partial Invoiced","Not Invoiced"),"Fully Invoiced")</f>
        <v>Partial Invoiced</v>
      </c>
      <c r="R3988" t="str">
        <f>IFERROR(VLOOKUP(T[[#This Row],[warehouse]],Table2[],2,FALSE),"--")</f>
        <v>--</v>
      </c>
    </row>
    <row r="3989" spans="1:18" x14ac:dyDescent="0.25">
      <c r="A3989" t="s">
        <v>2304</v>
      </c>
      <c r="B3989" s="1">
        <v>44788</v>
      </c>
      <c r="C3989" t="s">
        <v>2319</v>
      </c>
      <c r="D3989" t="s">
        <v>74</v>
      </c>
      <c r="E3989" t="s">
        <v>51</v>
      </c>
      <c r="F3989" t="s">
        <v>164</v>
      </c>
      <c r="G3989" t="s">
        <v>2030</v>
      </c>
      <c r="H3989" t="s">
        <v>54</v>
      </c>
      <c r="I3989">
        <v>979.78</v>
      </c>
      <c r="J3989">
        <v>0</v>
      </c>
      <c r="K3989">
        <v>1</v>
      </c>
      <c r="L3989" t="s">
        <v>693</v>
      </c>
      <c r="M3989" t="s">
        <v>2836</v>
      </c>
      <c r="N3989">
        <v>300</v>
      </c>
      <c r="O3989">
        <v>0</v>
      </c>
      <c r="P3989" t="str">
        <f>IF(T[[#This Row],[qty_ordered]]&lt;&gt;T[[#This Row],[qty_received]],IF(T[[#This Row],[qty_received]]&gt;0,"Partial Received","Not Receviced"),"FullyReceived")</f>
        <v>Not Receviced</v>
      </c>
      <c r="Q3989" t="str">
        <f>IF(T[[#This Row],[qty_received]]&lt;&gt;T[[#This Row],[qty_invoiced]],IF(T[[#This Row],[qty_invoiced]]&gt;0,"Partial Invoiced","Not Invoiced"),"Fully Invoiced")</f>
        <v>Partial Invoiced</v>
      </c>
      <c r="R3989" t="str">
        <f>IFERROR(VLOOKUP(T[[#This Row],[warehouse]],Table2[],2,FALSE),"--")</f>
        <v>--</v>
      </c>
    </row>
    <row r="3990" spans="1:18" x14ac:dyDescent="0.25">
      <c r="A3990" t="s">
        <v>2304</v>
      </c>
      <c r="B3990" s="1">
        <v>44788</v>
      </c>
      <c r="C3990" t="s">
        <v>2319</v>
      </c>
      <c r="D3990" t="s">
        <v>76</v>
      </c>
      <c r="E3990" t="s">
        <v>51</v>
      </c>
      <c r="F3990" t="s">
        <v>164</v>
      </c>
      <c r="G3990" t="s">
        <v>2030</v>
      </c>
      <c r="H3990" t="s">
        <v>54</v>
      </c>
      <c r="I3990">
        <v>731.3</v>
      </c>
      <c r="J3990">
        <v>0</v>
      </c>
      <c r="K3990">
        <v>1</v>
      </c>
      <c r="L3990" t="s">
        <v>693</v>
      </c>
      <c r="M3990" t="s">
        <v>2836</v>
      </c>
      <c r="N3990">
        <v>300</v>
      </c>
      <c r="O3990">
        <v>0</v>
      </c>
      <c r="P3990" t="str">
        <f>IF(T[[#This Row],[qty_ordered]]&lt;&gt;T[[#This Row],[qty_received]],IF(T[[#This Row],[qty_received]]&gt;0,"Partial Received","Not Receviced"),"FullyReceived")</f>
        <v>Not Receviced</v>
      </c>
      <c r="Q3990" t="str">
        <f>IF(T[[#This Row],[qty_received]]&lt;&gt;T[[#This Row],[qty_invoiced]],IF(T[[#This Row],[qty_invoiced]]&gt;0,"Partial Invoiced","Not Invoiced"),"Fully Invoiced")</f>
        <v>Partial Invoiced</v>
      </c>
      <c r="R3990" t="str">
        <f>IFERROR(VLOOKUP(T[[#This Row],[warehouse]],Table2[],2,FALSE),"--")</f>
        <v>--</v>
      </c>
    </row>
    <row r="3991" spans="1:18" x14ac:dyDescent="0.25">
      <c r="A3991" t="s">
        <v>2304</v>
      </c>
      <c r="B3991" s="1">
        <v>44788</v>
      </c>
      <c r="C3991" t="s">
        <v>2319</v>
      </c>
      <c r="D3991" t="s">
        <v>212</v>
      </c>
      <c r="E3991" t="s">
        <v>51</v>
      </c>
      <c r="F3991" t="s">
        <v>164</v>
      </c>
      <c r="G3991" t="s">
        <v>2030</v>
      </c>
      <c r="H3991" t="s">
        <v>54</v>
      </c>
      <c r="I3991">
        <v>991.44</v>
      </c>
      <c r="J3991">
        <v>0</v>
      </c>
      <c r="K3991">
        <v>1</v>
      </c>
      <c r="L3991" t="s">
        <v>693</v>
      </c>
      <c r="M3991" t="s">
        <v>2836</v>
      </c>
      <c r="N3991">
        <v>300</v>
      </c>
      <c r="O3991">
        <v>0</v>
      </c>
      <c r="P3991" t="str">
        <f>IF(T[[#This Row],[qty_ordered]]&lt;&gt;T[[#This Row],[qty_received]],IF(T[[#This Row],[qty_received]]&gt;0,"Partial Received","Not Receviced"),"FullyReceived")</f>
        <v>Not Receviced</v>
      </c>
      <c r="Q3991" t="str">
        <f>IF(T[[#This Row],[qty_received]]&lt;&gt;T[[#This Row],[qty_invoiced]],IF(T[[#This Row],[qty_invoiced]]&gt;0,"Partial Invoiced","Not Invoiced"),"Fully Invoiced")</f>
        <v>Partial Invoiced</v>
      </c>
      <c r="R3991" t="str">
        <f>IFERROR(VLOOKUP(T[[#This Row],[warehouse]],Table2[],2,FALSE),"--")</f>
        <v>--</v>
      </c>
    </row>
    <row r="3992" spans="1:18" x14ac:dyDescent="0.25">
      <c r="A3992" t="s">
        <v>2304</v>
      </c>
      <c r="B3992" s="1">
        <v>44788</v>
      </c>
      <c r="C3992" t="s">
        <v>2320</v>
      </c>
      <c r="D3992" t="s">
        <v>20</v>
      </c>
      <c r="E3992" t="s">
        <v>51</v>
      </c>
      <c r="F3992" t="s">
        <v>164</v>
      </c>
      <c r="G3992" t="s">
        <v>2321</v>
      </c>
      <c r="H3992" t="s">
        <v>54</v>
      </c>
      <c r="I3992">
        <v>232.18</v>
      </c>
      <c r="J3992">
        <v>0</v>
      </c>
      <c r="K3992">
        <v>1</v>
      </c>
      <c r="L3992" t="s">
        <v>693</v>
      </c>
      <c r="M3992" t="s">
        <v>2836</v>
      </c>
      <c r="N3992">
        <v>300</v>
      </c>
      <c r="O3992">
        <v>0</v>
      </c>
      <c r="P3992" t="str">
        <f>IF(T[[#This Row],[qty_ordered]]&lt;&gt;T[[#This Row],[qty_received]],IF(T[[#This Row],[qty_received]]&gt;0,"Partial Received","Not Receviced"),"FullyReceived")</f>
        <v>Not Receviced</v>
      </c>
      <c r="Q3992" t="str">
        <f>IF(T[[#This Row],[qty_received]]&lt;&gt;T[[#This Row],[qty_invoiced]],IF(T[[#This Row],[qty_invoiced]]&gt;0,"Partial Invoiced","Not Invoiced"),"Fully Invoiced")</f>
        <v>Partial Invoiced</v>
      </c>
      <c r="R3992" t="str">
        <f>IFERROR(VLOOKUP(T[[#This Row],[warehouse]],Table2[],2,FALSE),"--")</f>
        <v>--</v>
      </c>
    </row>
    <row r="3993" spans="1:18" x14ac:dyDescent="0.25">
      <c r="A3993" t="s">
        <v>2304</v>
      </c>
      <c r="B3993" s="1">
        <v>44788</v>
      </c>
      <c r="C3993" t="s">
        <v>2320</v>
      </c>
      <c r="D3993" t="s">
        <v>71</v>
      </c>
      <c r="E3993" t="s">
        <v>51</v>
      </c>
      <c r="F3993" t="s">
        <v>164</v>
      </c>
      <c r="G3993" t="s">
        <v>2321</v>
      </c>
      <c r="H3993" t="s">
        <v>54</v>
      </c>
      <c r="I3993">
        <v>2452.41</v>
      </c>
      <c r="J3993">
        <v>0</v>
      </c>
      <c r="K3993">
        <v>1</v>
      </c>
      <c r="L3993" t="s">
        <v>693</v>
      </c>
      <c r="M3993" t="s">
        <v>2836</v>
      </c>
      <c r="N3993">
        <v>300</v>
      </c>
      <c r="O3993">
        <v>0</v>
      </c>
      <c r="P3993" t="str">
        <f>IF(T[[#This Row],[qty_ordered]]&lt;&gt;T[[#This Row],[qty_received]],IF(T[[#This Row],[qty_received]]&gt;0,"Partial Received","Not Receviced"),"FullyReceived")</f>
        <v>Not Receviced</v>
      </c>
      <c r="Q3993" t="str">
        <f>IF(T[[#This Row],[qty_received]]&lt;&gt;T[[#This Row],[qty_invoiced]],IF(T[[#This Row],[qty_invoiced]]&gt;0,"Partial Invoiced","Not Invoiced"),"Fully Invoiced")</f>
        <v>Partial Invoiced</v>
      </c>
      <c r="R3993" t="str">
        <f>IFERROR(VLOOKUP(T[[#This Row],[warehouse]],Table2[],2,FALSE),"--")</f>
        <v>--</v>
      </c>
    </row>
    <row r="3994" spans="1:18" x14ac:dyDescent="0.25">
      <c r="A3994" t="s">
        <v>2304</v>
      </c>
      <c r="B3994" s="1">
        <v>44788</v>
      </c>
      <c r="C3994" t="s">
        <v>2320</v>
      </c>
      <c r="D3994" t="s">
        <v>100</v>
      </c>
      <c r="E3994" t="s">
        <v>51</v>
      </c>
      <c r="F3994" t="s">
        <v>164</v>
      </c>
      <c r="G3994" t="s">
        <v>2321</v>
      </c>
      <c r="H3994" t="s">
        <v>54</v>
      </c>
      <c r="I3994">
        <v>4103.03</v>
      </c>
      <c r="J3994">
        <v>0</v>
      </c>
      <c r="K3994">
        <v>1</v>
      </c>
      <c r="L3994" t="s">
        <v>693</v>
      </c>
      <c r="M3994" t="s">
        <v>2836</v>
      </c>
      <c r="N3994">
        <v>300</v>
      </c>
      <c r="O3994">
        <v>0</v>
      </c>
      <c r="P3994" t="str">
        <f>IF(T[[#This Row],[qty_ordered]]&lt;&gt;T[[#This Row],[qty_received]],IF(T[[#This Row],[qty_received]]&gt;0,"Partial Received","Not Receviced"),"FullyReceived")</f>
        <v>Not Receviced</v>
      </c>
      <c r="Q3994" t="str">
        <f>IF(T[[#This Row],[qty_received]]&lt;&gt;T[[#This Row],[qty_invoiced]],IF(T[[#This Row],[qty_invoiced]]&gt;0,"Partial Invoiced","Not Invoiced"),"Fully Invoiced")</f>
        <v>Partial Invoiced</v>
      </c>
      <c r="R3994" t="str">
        <f>IFERROR(VLOOKUP(T[[#This Row],[warehouse]],Table2[],2,FALSE),"--")</f>
        <v>--</v>
      </c>
    </row>
    <row r="3995" spans="1:18" x14ac:dyDescent="0.25">
      <c r="A3995" t="s">
        <v>2304</v>
      </c>
      <c r="B3995" s="1">
        <v>44788</v>
      </c>
      <c r="C3995" t="s">
        <v>2320</v>
      </c>
      <c r="D3995" t="s">
        <v>88</v>
      </c>
      <c r="E3995" t="s">
        <v>51</v>
      </c>
      <c r="F3995" t="s">
        <v>164</v>
      </c>
      <c r="G3995" t="s">
        <v>2321</v>
      </c>
      <c r="H3995" t="s">
        <v>54</v>
      </c>
      <c r="I3995">
        <v>1482.11</v>
      </c>
      <c r="J3995">
        <v>0</v>
      </c>
      <c r="K3995">
        <v>1</v>
      </c>
      <c r="L3995" t="s">
        <v>693</v>
      </c>
      <c r="M3995" t="s">
        <v>2836</v>
      </c>
      <c r="N3995">
        <v>300</v>
      </c>
      <c r="O3995">
        <v>0</v>
      </c>
      <c r="P3995" t="str">
        <f>IF(T[[#This Row],[qty_ordered]]&lt;&gt;T[[#This Row],[qty_received]],IF(T[[#This Row],[qty_received]]&gt;0,"Partial Received","Not Receviced"),"FullyReceived")</f>
        <v>Not Receviced</v>
      </c>
      <c r="Q3995" t="str">
        <f>IF(T[[#This Row],[qty_received]]&lt;&gt;T[[#This Row],[qty_invoiced]],IF(T[[#This Row],[qty_invoiced]]&gt;0,"Partial Invoiced","Not Invoiced"),"Fully Invoiced")</f>
        <v>Partial Invoiced</v>
      </c>
      <c r="R3995" t="str">
        <f>IFERROR(VLOOKUP(T[[#This Row],[warehouse]],Table2[],2,FALSE),"--")</f>
        <v>--</v>
      </c>
    </row>
    <row r="3996" spans="1:18" x14ac:dyDescent="0.25">
      <c r="A3996" t="s">
        <v>2304</v>
      </c>
      <c r="B3996" s="1">
        <v>44788</v>
      </c>
      <c r="C3996" t="s">
        <v>2322</v>
      </c>
      <c r="D3996" t="s">
        <v>20</v>
      </c>
      <c r="E3996" t="s">
        <v>51</v>
      </c>
      <c r="F3996" t="s">
        <v>164</v>
      </c>
      <c r="G3996" t="s">
        <v>2323</v>
      </c>
      <c r="H3996" t="s">
        <v>54</v>
      </c>
      <c r="I3996">
        <v>584.71</v>
      </c>
      <c r="J3996">
        <v>0</v>
      </c>
      <c r="K3996">
        <v>1</v>
      </c>
      <c r="L3996" t="s">
        <v>693</v>
      </c>
      <c r="M3996" t="s">
        <v>533</v>
      </c>
      <c r="N3996">
        <v>300</v>
      </c>
      <c r="O3996">
        <v>0</v>
      </c>
      <c r="P3996" t="str">
        <f>IF(T[[#This Row],[qty_ordered]]&lt;&gt;T[[#This Row],[qty_received]],IF(T[[#This Row],[qty_received]]&gt;0,"Partial Received","Not Receviced"),"FullyReceived")</f>
        <v>Not Receviced</v>
      </c>
      <c r="Q3996" t="str">
        <f>IF(T[[#This Row],[qty_received]]&lt;&gt;T[[#This Row],[qty_invoiced]],IF(T[[#This Row],[qty_invoiced]]&gt;0,"Partial Invoiced","Not Invoiced"),"Fully Invoiced")</f>
        <v>Partial Invoiced</v>
      </c>
      <c r="R3996" t="str">
        <f>IFERROR(VLOOKUP(T[[#This Row],[warehouse]],Table2[],2,FALSE),"--")</f>
        <v>--</v>
      </c>
    </row>
    <row r="3997" spans="1:18" x14ac:dyDescent="0.25">
      <c r="A3997" t="s">
        <v>1118</v>
      </c>
      <c r="B3997" s="1">
        <v>44790</v>
      </c>
      <c r="C3997" t="s">
        <v>2324</v>
      </c>
      <c r="D3997" t="s">
        <v>20</v>
      </c>
      <c r="E3997" t="s">
        <v>1438</v>
      </c>
      <c r="F3997" t="s">
        <v>1439</v>
      </c>
      <c r="G3997" t="s">
        <v>1440</v>
      </c>
      <c r="H3997" t="s">
        <v>1087</v>
      </c>
      <c r="I3997">
        <v>2824</v>
      </c>
      <c r="J3997">
        <v>2824</v>
      </c>
      <c r="K3997">
        <v>2824</v>
      </c>
      <c r="L3997" t="s">
        <v>693</v>
      </c>
      <c r="M3997" t="s">
        <v>707</v>
      </c>
      <c r="N3997">
        <v>37957.985611999997</v>
      </c>
      <c r="O3997">
        <v>107193351.368288</v>
      </c>
      <c r="P3997" t="str">
        <f>IF(T[[#This Row],[qty_ordered]]&lt;&gt;T[[#This Row],[qty_received]],IF(T[[#This Row],[qty_received]]&gt;0,"Partial Received","Not Receviced"),"FullyReceived")</f>
        <v>FullyReceived</v>
      </c>
      <c r="Q3997" t="str">
        <f>IF(T[[#This Row],[qty_received]]&lt;&gt;T[[#This Row],[qty_invoiced]],IF(T[[#This Row],[qty_invoiced]]&gt;0,"Partial Invoiced","Not Invoiced"),"Fully Invoiced")</f>
        <v>Fully Invoiced</v>
      </c>
      <c r="R3997" t="str">
        <f>IFERROR(VLOOKUP(T[[#This Row],[warehouse]],Table2[],2,FALSE),"--")</f>
        <v>Livestock Barn</v>
      </c>
    </row>
    <row r="3998" spans="1:18" x14ac:dyDescent="0.25">
      <c r="A3998" t="s">
        <v>1059</v>
      </c>
      <c r="B3998" s="1">
        <v>44782</v>
      </c>
      <c r="C3998" t="s">
        <v>1831</v>
      </c>
      <c r="D3998" t="s">
        <v>88</v>
      </c>
      <c r="E3998" t="s">
        <v>51</v>
      </c>
      <c r="F3998" t="s">
        <v>433</v>
      </c>
      <c r="G3998" t="s">
        <v>2325</v>
      </c>
      <c r="H3998" t="s">
        <v>54</v>
      </c>
      <c r="I3998">
        <v>13964</v>
      </c>
      <c r="J3998">
        <v>0</v>
      </c>
      <c r="K3998">
        <v>1</v>
      </c>
      <c r="L3998" t="s">
        <v>693</v>
      </c>
      <c r="M3998" t="s">
        <v>2836</v>
      </c>
      <c r="N3998">
        <v>100</v>
      </c>
      <c r="O3998">
        <v>0</v>
      </c>
      <c r="P3998" t="str">
        <f>IF(T[[#This Row],[qty_ordered]]&lt;&gt;T[[#This Row],[qty_received]],IF(T[[#This Row],[qty_received]]&gt;0,"Partial Received","Not Receviced"),"FullyReceived")</f>
        <v>Not Receviced</v>
      </c>
      <c r="Q3998" t="str">
        <f>IF(T[[#This Row],[qty_received]]&lt;&gt;T[[#This Row],[qty_invoiced]],IF(T[[#This Row],[qty_invoiced]]&gt;0,"Partial Invoiced","Not Invoiced"),"Fully Invoiced")</f>
        <v>Partial Invoiced</v>
      </c>
      <c r="R3998" t="str">
        <f>IFERROR(VLOOKUP(T[[#This Row],[warehouse]],Table2[],2,FALSE),"--")</f>
        <v>--</v>
      </c>
    </row>
    <row r="3999" spans="1:18" x14ac:dyDescent="0.25">
      <c r="A3999" t="s">
        <v>985</v>
      </c>
      <c r="B3999" s="1">
        <v>44511</v>
      </c>
      <c r="C3999" t="s">
        <v>1856</v>
      </c>
      <c r="D3999" t="s">
        <v>74</v>
      </c>
      <c r="E3999" t="s">
        <v>51</v>
      </c>
      <c r="F3999" t="s">
        <v>183</v>
      </c>
      <c r="G3999" t="s">
        <v>2108</v>
      </c>
      <c r="H3999" t="s">
        <v>54</v>
      </c>
      <c r="I3999">
        <v>210.07599999999999</v>
      </c>
      <c r="J3999">
        <v>0</v>
      </c>
      <c r="K3999">
        <v>1</v>
      </c>
      <c r="L3999" t="s">
        <v>693</v>
      </c>
      <c r="M3999" t="s">
        <v>533</v>
      </c>
      <c r="N3999">
        <v>8000</v>
      </c>
      <c r="O3999">
        <v>0</v>
      </c>
      <c r="P3999" t="str">
        <f>IF(T[[#This Row],[qty_ordered]]&lt;&gt;T[[#This Row],[qty_received]],IF(T[[#This Row],[qty_received]]&gt;0,"Partial Received","Not Receviced"),"FullyReceived")</f>
        <v>Not Receviced</v>
      </c>
      <c r="Q3999" t="str">
        <f>IF(T[[#This Row],[qty_received]]&lt;&gt;T[[#This Row],[qty_invoiced]],IF(T[[#This Row],[qty_invoiced]]&gt;0,"Partial Invoiced","Not Invoiced"),"Fully Invoiced")</f>
        <v>Partial Invoiced</v>
      </c>
      <c r="R3999" t="str">
        <f>IFERROR(VLOOKUP(T[[#This Row],[warehouse]],Table2[],2,FALSE),"--")</f>
        <v>--</v>
      </c>
    </row>
    <row r="4000" spans="1:18" x14ac:dyDescent="0.25">
      <c r="A4000" t="s">
        <v>1723</v>
      </c>
      <c r="B4000" s="1">
        <v>44725</v>
      </c>
      <c r="C4000" t="s">
        <v>1724</v>
      </c>
      <c r="D4000" t="s">
        <v>100</v>
      </c>
      <c r="E4000" t="s">
        <v>51</v>
      </c>
      <c r="F4000" t="s">
        <v>183</v>
      </c>
      <c r="G4000" t="s">
        <v>2326</v>
      </c>
      <c r="H4000" t="s">
        <v>54</v>
      </c>
      <c r="I4000">
        <v>77.236000000000004</v>
      </c>
      <c r="J4000">
        <v>0</v>
      </c>
      <c r="K4000">
        <v>1</v>
      </c>
      <c r="L4000" t="s">
        <v>693</v>
      </c>
      <c r="M4000" t="s">
        <v>533</v>
      </c>
      <c r="N4000">
        <v>6000</v>
      </c>
      <c r="O4000">
        <v>0</v>
      </c>
      <c r="P4000" t="str">
        <f>IF(T[[#This Row],[qty_ordered]]&lt;&gt;T[[#This Row],[qty_received]],IF(T[[#This Row],[qty_received]]&gt;0,"Partial Received","Not Receviced"),"FullyReceived")</f>
        <v>Not Receviced</v>
      </c>
      <c r="Q4000" t="str">
        <f>IF(T[[#This Row],[qty_received]]&lt;&gt;T[[#This Row],[qty_invoiced]],IF(T[[#This Row],[qty_invoiced]]&gt;0,"Partial Invoiced","Not Invoiced"),"Fully Invoiced")</f>
        <v>Partial Invoiced</v>
      </c>
      <c r="R4000" t="str">
        <f>IFERROR(VLOOKUP(T[[#This Row],[warehouse]],Table2[],2,FALSE),"--")</f>
        <v>--</v>
      </c>
    </row>
    <row r="4001" spans="1:18" x14ac:dyDescent="0.25">
      <c r="A4001" t="s">
        <v>400</v>
      </c>
      <c r="B4001" s="1">
        <v>44594</v>
      </c>
      <c r="C4001" t="s">
        <v>1700</v>
      </c>
      <c r="D4001" t="s">
        <v>76</v>
      </c>
      <c r="E4001" t="s">
        <v>51</v>
      </c>
      <c r="F4001" t="s">
        <v>1703</v>
      </c>
      <c r="G4001" t="s">
        <v>2327</v>
      </c>
      <c r="H4001" t="s">
        <v>54</v>
      </c>
      <c r="I4001">
        <v>8</v>
      </c>
      <c r="J4001">
        <v>0</v>
      </c>
      <c r="K4001">
        <v>1</v>
      </c>
      <c r="L4001" t="s">
        <v>693</v>
      </c>
      <c r="M4001" t="s">
        <v>533</v>
      </c>
      <c r="N4001">
        <v>2000</v>
      </c>
      <c r="O4001">
        <v>0</v>
      </c>
      <c r="P4001" t="str">
        <f>IF(T[[#This Row],[qty_ordered]]&lt;&gt;T[[#This Row],[qty_received]],IF(T[[#This Row],[qty_received]]&gt;0,"Partial Received","Not Receviced"),"FullyReceived")</f>
        <v>Not Receviced</v>
      </c>
      <c r="Q4001" t="str">
        <f>IF(T[[#This Row],[qty_received]]&lt;&gt;T[[#This Row],[qty_invoiced]],IF(T[[#This Row],[qty_invoiced]]&gt;0,"Partial Invoiced","Not Invoiced"),"Fully Invoiced")</f>
        <v>Partial Invoiced</v>
      </c>
      <c r="R4001" t="str">
        <f>IFERROR(VLOOKUP(T[[#This Row],[warehouse]],Table2[],2,FALSE),"--")</f>
        <v>--</v>
      </c>
    </row>
    <row r="4002" spans="1:18" x14ac:dyDescent="0.25">
      <c r="A4002" t="s">
        <v>400</v>
      </c>
      <c r="B4002" s="1">
        <v>44594</v>
      </c>
      <c r="C4002" t="s">
        <v>1700</v>
      </c>
      <c r="D4002" t="s">
        <v>212</v>
      </c>
      <c r="E4002" t="s">
        <v>51</v>
      </c>
      <c r="F4002" t="s">
        <v>793</v>
      </c>
      <c r="G4002" t="s">
        <v>2328</v>
      </c>
      <c r="H4002" t="s">
        <v>54</v>
      </c>
      <c r="I4002">
        <v>13</v>
      </c>
      <c r="J4002">
        <v>0</v>
      </c>
      <c r="K4002">
        <v>1</v>
      </c>
      <c r="L4002" t="s">
        <v>693</v>
      </c>
      <c r="M4002" t="s">
        <v>533</v>
      </c>
      <c r="N4002">
        <v>700</v>
      </c>
      <c r="O4002">
        <v>0</v>
      </c>
      <c r="P4002" t="str">
        <f>IF(T[[#This Row],[qty_ordered]]&lt;&gt;T[[#This Row],[qty_received]],IF(T[[#This Row],[qty_received]]&gt;0,"Partial Received","Not Receviced"),"FullyReceived")</f>
        <v>Not Receviced</v>
      </c>
      <c r="Q4002" t="str">
        <f>IF(T[[#This Row],[qty_received]]&lt;&gt;T[[#This Row],[qty_invoiced]],IF(T[[#This Row],[qty_invoiced]]&gt;0,"Partial Invoiced","Not Invoiced"),"Fully Invoiced")</f>
        <v>Partial Invoiced</v>
      </c>
      <c r="R4002" t="str">
        <f>IFERROR(VLOOKUP(T[[#This Row],[warehouse]],Table2[],2,FALSE),"--")</f>
        <v>--</v>
      </c>
    </row>
    <row r="4003" spans="1:18" x14ac:dyDescent="0.25">
      <c r="A4003" t="s">
        <v>1685</v>
      </c>
      <c r="B4003" s="1">
        <v>44647</v>
      </c>
      <c r="C4003" t="s">
        <v>2329</v>
      </c>
      <c r="D4003" t="s">
        <v>20</v>
      </c>
      <c r="E4003" t="s">
        <v>51</v>
      </c>
      <c r="F4003" t="s">
        <v>52</v>
      </c>
      <c r="G4003" t="s">
        <v>53</v>
      </c>
      <c r="H4003" t="s">
        <v>54</v>
      </c>
      <c r="I4003">
        <v>98.48</v>
      </c>
      <c r="J4003">
        <v>0</v>
      </c>
      <c r="K4003">
        <v>1</v>
      </c>
      <c r="L4003" t="s">
        <v>693</v>
      </c>
      <c r="M4003" t="s">
        <v>707</v>
      </c>
      <c r="N4003">
        <v>504.12</v>
      </c>
      <c r="O4003">
        <v>0</v>
      </c>
      <c r="P4003" t="str">
        <f>IF(T[[#This Row],[qty_ordered]]&lt;&gt;T[[#This Row],[qty_received]],IF(T[[#This Row],[qty_received]]&gt;0,"Partial Received","Not Receviced"),"FullyReceived")</f>
        <v>Not Receviced</v>
      </c>
      <c r="Q4003" t="str">
        <f>IF(T[[#This Row],[qty_received]]&lt;&gt;T[[#This Row],[qty_invoiced]],IF(T[[#This Row],[qty_invoiced]]&gt;0,"Partial Invoiced","Not Invoiced"),"Fully Invoiced")</f>
        <v>Partial Invoiced</v>
      </c>
      <c r="R4003" t="str">
        <f>IFERROR(VLOOKUP(T[[#This Row],[warehouse]],Table2[],2,FALSE),"--")</f>
        <v>--</v>
      </c>
    </row>
    <row r="4004" spans="1:18" x14ac:dyDescent="0.25">
      <c r="A4004" t="s">
        <v>1685</v>
      </c>
      <c r="B4004" s="1">
        <v>44647</v>
      </c>
      <c r="C4004" t="s">
        <v>2329</v>
      </c>
      <c r="D4004" t="s">
        <v>71</v>
      </c>
      <c r="E4004" t="s">
        <v>51</v>
      </c>
      <c r="F4004" t="s">
        <v>52</v>
      </c>
      <c r="G4004" t="s">
        <v>53</v>
      </c>
      <c r="H4004" t="s">
        <v>54</v>
      </c>
      <c r="I4004">
        <v>103.999</v>
      </c>
      <c r="J4004">
        <v>0</v>
      </c>
      <c r="K4004">
        <v>1</v>
      </c>
      <c r="L4004" t="s">
        <v>693</v>
      </c>
      <c r="M4004" t="s">
        <v>707</v>
      </c>
      <c r="N4004">
        <v>504.12</v>
      </c>
      <c r="O4004">
        <v>0</v>
      </c>
      <c r="P4004" t="str">
        <f>IF(T[[#This Row],[qty_ordered]]&lt;&gt;T[[#This Row],[qty_received]],IF(T[[#This Row],[qty_received]]&gt;0,"Partial Received","Not Receviced"),"FullyReceived")</f>
        <v>Not Receviced</v>
      </c>
      <c r="Q4004" t="str">
        <f>IF(T[[#This Row],[qty_received]]&lt;&gt;T[[#This Row],[qty_invoiced]],IF(T[[#This Row],[qty_invoiced]]&gt;0,"Partial Invoiced","Not Invoiced"),"Fully Invoiced")</f>
        <v>Partial Invoiced</v>
      </c>
      <c r="R4004" t="str">
        <f>IFERROR(VLOOKUP(T[[#This Row],[warehouse]],Table2[],2,FALSE),"--")</f>
        <v>--</v>
      </c>
    </row>
    <row r="4005" spans="1:18" x14ac:dyDescent="0.25">
      <c r="A4005" t="s">
        <v>235</v>
      </c>
      <c r="B4005" s="1">
        <v>44573</v>
      </c>
      <c r="C4005" t="s">
        <v>1951</v>
      </c>
      <c r="D4005" t="s">
        <v>325</v>
      </c>
      <c r="E4005" t="s">
        <v>51</v>
      </c>
      <c r="F4005" t="s">
        <v>546</v>
      </c>
      <c r="G4005" t="s">
        <v>2330</v>
      </c>
      <c r="H4005" t="s">
        <v>54</v>
      </c>
      <c r="I4005">
        <v>12000</v>
      </c>
      <c r="J4005">
        <v>0</v>
      </c>
      <c r="K4005">
        <v>1</v>
      </c>
      <c r="L4005" t="s">
        <v>693</v>
      </c>
      <c r="M4005" t="s">
        <v>533</v>
      </c>
      <c r="N4005">
        <v>15.5</v>
      </c>
      <c r="O4005">
        <v>0</v>
      </c>
      <c r="P4005" t="str">
        <f>IF(T[[#This Row],[qty_ordered]]&lt;&gt;T[[#This Row],[qty_received]],IF(T[[#This Row],[qty_received]]&gt;0,"Partial Received","Not Receviced"),"FullyReceived")</f>
        <v>Not Receviced</v>
      </c>
      <c r="Q4005" t="str">
        <f>IF(T[[#This Row],[qty_received]]&lt;&gt;T[[#This Row],[qty_invoiced]],IF(T[[#This Row],[qty_invoiced]]&gt;0,"Partial Invoiced","Not Invoiced"),"Fully Invoiced")</f>
        <v>Partial Invoiced</v>
      </c>
      <c r="R4005" t="str">
        <f>IFERROR(VLOOKUP(T[[#This Row],[warehouse]],Table2[],2,FALSE),"--")</f>
        <v>--</v>
      </c>
    </row>
    <row r="4006" spans="1:18" x14ac:dyDescent="0.25">
      <c r="A4006" t="s">
        <v>235</v>
      </c>
      <c r="B4006" s="1">
        <v>44573</v>
      </c>
      <c r="C4006" t="s">
        <v>1951</v>
      </c>
      <c r="D4006" t="s">
        <v>451</v>
      </c>
      <c r="E4006" t="s">
        <v>51</v>
      </c>
      <c r="F4006" t="s">
        <v>546</v>
      </c>
      <c r="G4006" t="s">
        <v>2331</v>
      </c>
      <c r="H4006" t="s">
        <v>54</v>
      </c>
      <c r="I4006">
        <v>12000</v>
      </c>
      <c r="J4006">
        <v>0</v>
      </c>
      <c r="K4006">
        <v>1</v>
      </c>
      <c r="L4006" t="s">
        <v>693</v>
      </c>
      <c r="M4006" t="s">
        <v>533</v>
      </c>
      <c r="N4006">
        <v>15.5</v>
      </c>
      <c r="O4006">
        <v>0</v>
      </c>
      <c r="P4006" t="str">
        <f>IF(T[[#This Row],[qty_ordered]]&lt;&gt;T[[#This Row],[qty_received]],IF(T[[#This Row],[qty_received]]&gt;0,"Partial Received","Not Receviced"),"FullyReceived")</f>
        <v>Not Receviced</v>
      </c>
      <c r="Q4006" t="str">
        <f>IF(T[[#This Row],[qty_received]]&lt;&gt;T[[#This Row],[qty_invoiced]],IF(T[[#This Row],[qty_invoiced]]&gt;0,"Partial Invoiced","Not Invoiced"),"Fully Invoiced")</f>
        <v>Partial Invoiced</v>
      </c>
      <c r="R4006" t="str">
        <f>IFERROR(VLOOKUP(T[[#This Row],[warehouse]],Table2[],2,FALSE),"--")</f>
        <v>--</v>
      </c>
    </row>
    <row r="4007" spans="1:18" x14ac:dyDescent="0.25">
      <c r="A4007" t="s">
        <v>235</v>
      </c>
      <c r="B4007" s="1">
        <v>44573</v>
      </c>
      <c r="C4007" t="s">
        <v>1951</v>
      </c>
      <c r="D4007" t="s">
        <v>452</v>
      </c>
      <c r="E4007" t="s">
        <v>51</v>
      </c>
      <c r="F4007" t="s">
        <v>546</v>
      </c>
      <c r="G4007" t="s">
        <v>2332</v>
      </c>
      <c r="H4007" t="s">
        <v>54</v>
      </c>
      <c r="I4007">
        <v>12000</v>
      </c>
      <c r="J4007">
        <v>0</v>
      </c>
      <c r="K4007">
        <v>1</v>
      </c>
      <c r="L4007" t="s">
        <v>693</v>
      </c>
      <c r="M4007" t="s">
        <v>533</v>
      </c>
      <c r="N4007">
        <v>15.333333</v>
      </c>
      <c r="O4007">
        <v>0</v>
      </c>
      <c r="P4007" t="str">
        <f>IF(T[[#This Row],[qty_ordered]]&lt;&gt;T[[#This Row],[qty_received]],IF(T[[#This Row],[qty_received]]&gt;0,"Partial Received","Not Receviced"),"FullyReceived")</f>
        <v>Not Receviced</v>
      </c>
      <c r="Q4007" t="str">
        <f>IF(T[[#This Row],[qty_received]]&lt;&gt;T[[#This Row],[qty_invoiced]],IF(T[[#This Row],[qty_invoiced]]&gt;0,"Partial Invoiced","Not Invoiced"),"Fully Invoiced")</f>
        <v>Partial Invoiced</v>
      </c>
      <c r="R4007" t="str">
        <f>IFERROR(VLOOKUP(T[[#This Row],[warehouse]],Table2[],2,FALSE),"--")</f>
        <v>--</v>
      </c>
    </row>
    <row r="4008" spans="1:18" x14ac:dyDescent="0.25">
      <c r="A4008" t="s">
        <v>235</v>
      </c>
      <c r="B4008" s="1">
        <v>44573</v>
      </c>
      <c r="C4008" t="s">
        <v>1954</v>
      </c>
      <c r="D4008" t="s">
        <v>71</v>
      </c>
      <c r="E4008" t="s">
        <v>51</v>
      </c>
      <c r="F4008" t="s">
        <v>546</v>
      </c>
      <c r="G4008" t="s">
        <v>2333</v>
      </c>
      <c r="H4008" t="s">
        <v>54</v>
      </c>
      <c r="I4008">
        <v>12000</v>
      </c>
      <c r="J4008">
        <v>0</v>
      </c>
      <c r="K4008">
        <v>1</v>
      </c>
      <c r="L4008" t="s">
        <v>693</v>
      </c>
      <c r="M4008" t="s">
        <v>533</v>
      </c>
      <c r="N4008">
        <v>15</v>
      </c>
      <c r="O4008">
        <v>0</v>
      </c>
      <c r="P4008" t="str">
        <f>IF(T[[#This Row],[qty_ordered]]&lt;&gt;T[[#This Row],[qty_received]],IF(T[[#This Row],[qty_received]]&gt;0,"Partial Received","Not Receviced"),"FullyReceived")</f>
        <v>Not Receviced</v>
      </c>
      <c r="Q4008" t="str">
        <f>IF(T[[#This Row],[qty_received]]&lt;&gt;T[[#This Row],[qty_invoiced]],IF(T[[#This Row],[qty_invoiced]]&gt;0,"Partial Invoiced","Not Invoiced"),"Fully Invoiced")</f>
        <v>Partial Invoiced</v>
      </c>
      <c r="R4008" t="str">
        <f>IFERROR(VLOOKUP(T[[#This Row],[warehouse]],Table2[],2,FALSE),"--")</f>
        <v>--</v>
      </c>
    </row>
    <row r="4009" spans="1:18" x14ac:dyDescent="0.25">
      <c r="A4009" t="s">
        <v>235</v>
      </c>
      <c r="B4009" s="1">
        <v>44573</v>
      </c>
      <c r="C4009" t="s">
        <v>1958</v>
      </c>
      <c r="D4009" t="s">
        <v>212</v>
      </c>
      <c r="E4009" t="s">
        <v>51</v>
      </c>
      <c r="F4009" t="s">
        <v>546</v>
      </c>
      <c r="G4009" t="s">
        <v>2334</v>
      </c>
      <c r="H4009" t="s">
        <v>54</v>
      </c>
      <c r="I4009">
        <v>5000</v>
      </c>
      <c r="J4009">
        <v>0</v>
      </c>
      <c r="K4009">
        <v>1</v>
      </c>
      <c r="L4009" t="s">
        <v>693</v>
      </c>
      <c r="M4009" t="s">
        <v>533</v>
      </c>
      <c r="N4009">
        <v>15.8</v>
      </c>
      <c r="O4009">
        <v>0</v>
      </c>
      <c r="P4009" t="str">
        <f>IF(T[[#This Row],[qty_ordered]]&lt;&gt;T[[#This Row],[qty_received]],IF(T[[#This Row],[qty_received]]&gt;0,"Partial Received","Not Receviced"),"FullyReceived")</f>
        <v>Not Receviced</v>
      </c>
      <c r="Q4009" t="str">
        <f>IF(T[[#This Row],[qty_received]]&lt;&gt;T[[#This Row],[qty_invoiced]],IF(T[[#This Row],[qty_invoiced]]&gt;0,"Partial Invoiced","Not Invoiced"),"Fully Invoiced")</f>
        <v>Partial Invoiced</v>
      </c>
      <c r="R4009" t="str">
        <f>IFERROR(VLOOKUP(T[[#This Row],[warehouse]],Table2[],2,FALSE),"--")</f>
        <v>--</v>
      </c>
    </row>
    <row r="4010" spans="1:18" x14ac:dyDescent="0.25">
      <c r="A4010" t="s">
        <v>235</v>
      </c>
      <c r="B4010" s="1">
        <v>44573</v>
      </c>
      <c r="C4010" t="s">
        <v>1958</v>
      </c>
      <c r="D4010" t="s">
        <v>322</v>
      </c>
      <c r="E4010" t="s">
        <v>51</v>
      </c>
      <c r="F4010" t="s">
        <v>546</v>
      </c>
      <c r="G4010" t="s">
        <v>2335</v>
      </c>
      <c r="H4010" t="s">
        <v>54</v>
      </c>
      <c r="I4010">
        <v>10000</v>
      </c>
      <c r="J4010">
        <v>0</v>
      </c>
      <c r="K4010">
        <v>1</v>
      </c>
      <c r="L4010" t="s">
        <v>693</v>
      </c>
      <c r="M4010" t="s">
        <v>533</v>
      </c>
      <c r="N4010">
        <v>15.4</v>
      </c>
      <c r="O4010">
        <v>0</v>
      </c>
      <c r="P4010" t="str">
        <f>IF(T[[#This Row],[qty_ordered]]&lt;&gt;T[[#This Row],[qty_received]],IF(T[[#This Row],[qty_received]]&gt;0,"Partial Received","Not Receviced"),"FullyReceived")</f>
        <v>Not Receviced</v>
      </c>
      <c r="Q4010" t="str">
        <f>IF(T[[#This Row],[qty_received]]&lt;&gt;T[[#This Row],[qty_invoiced]],IF(T[[#This Row],[qty_invoiced]]&gt;0,"Partial Invoiced","Not Invoiced"),"Fully Invoiced")</f>
        <v>Partial Invoiced</v>
      </c>
      <c r="R4010" t="str">
        <f>IFERROR(VLOOKUP(T[[#This Row],[warehouse]],Table2[],2,FALSE),"--")</f>
        <v>--</v>
      </c>
    </row>
    <row r="4011" spans="1:18" x14ac:dyDescent="0.25">
      <c r="A4011" t="s">
        <v>1170</v>
      </c>
      <c r="B4011" s="1">
        <v>44655</v>
      </c>
      <c r="C4011" t="s">
        <v>2336</v>
      </c>
      <c r="D4011" t="s">
        <v>20</v>
      </c>
      <c r="E4011" t="s">
        <v>1258</v>
      </c>
      <c r="F4011" t="s">
        <v>1259</v>
      </c>
      <c r="G4011" t="s">
        <v>1260</v>
      </c>
      <c r="H4011" t="s">
        <v>24</v>
      </c>
      <c r="I4011">
        <v>1000</v>
      </c>
      <c r="J4011">
        <v>209.32</v>
      </c>
      <c r="K4011">
        <v>209.32</v>
      </c>
      <c r="L4011" t="s">
        <v>25</v>
      </c>
      <c r="M4011" t="s">
        <v>707</v>
      </c>
      <c r="N4011">
        <v>350000</v>
      </c>
      <c r="O4011">
        <v>73262000</v>
      </c>
      <c r="P4011" t="str">
        <f>IF(T[[#This Row],[qty_ordered]]&lt;&gt;T[[#This Row],[qty_received]],IF(T[[#This Row],[qty_received]]&gt;0,"Partial Received","Not Receviced"),"FullyReceived")</f>
        <v>Partial Received</v>
      </c>
      <c r="Q4011" t="str">
        <f>IF(T[[#This Row],[qty_received]]&lt;&gt;T[[#This Row],[qty_invoiced]],IF(T[[#This Row],[qty_invoiced]]&gt;0,"Partial Invoiced","Not Invoiced"),"Fully Invoiced")</f>
        <v>Fully Invoiced</v>
      </c>
      <c r="R4011" t="str">
        <f>IFERROR(VLOOKUP(T[[#This Row],[warehouse]],Table2[],2,FALSE),"--")</f>
        <v>Alrahma</v>
      </c>
    </row>
    <row r="4012" spans="1:18" x14ac:dyDescent="0.25">
      <c r="A4012" t="s">
        <v>1194</v>
      </c>
      <c r="B4012" s="1">
        <v>44586</v>
      </c>
      <c r="C4012" t="s">
        <v>1599</v>
      </c>
      <c r="D4012" t="s">
        <v>76</v>
      </c>
      <c r="E4012" t="s">
        <v>723</v>
      </c>
      <c r="F4012" t="s">
        <v>219</v>
      </c>
      <c r="G4012" t="s">
        <v>724</v>
      </c>
      <c r="H4012" t="s">
        <v>221</v>
      </c>
      <c r="I4012">
        <v>62279.86</v>
      </c>
      <c r="J4012">
        <v>0</v>
      </c>
      <c r="K4012">
        <v>0</v>
      </c>
      <c r="L4012" t="s">
        <v>693</v>
      </c>
      <c r="M4012" t="s">
        <v>132</v>
      </c>
      <c r="N4012">
        <v>28901.799072999998</v>
      </c>
      <c r="O4012">
        <v>0</v>
      </c>
      <c r="P4012" t="str">
        <f>IF(T[[#This Row],[qty_ordered]]&lt;&gt;T[[#This Row],[qty_received]],IF(T[[#This Row],[qty_received]]&gt;0,"Partial Received","Not Receviced"),"FullyReceived")</f>
        <v>Not Receviced</v>
      </c>
      <c r="Q4012" t="str">
        <f>IF(T[[#This Row],[qty_received]]&lt;&gt;T[[#This Row],[qty_invoiced]],IF(T[[#This Row],[qty_invoiced]]&gt;0,"Partial Invoiced","Not Invoiced"),"Fully Invoiced")</f>
        <v>Fully Invoiced</v>
      </c>
      <c r="R4012" t="str">
        <f>IFERROR(VLOOKUP(T[[#This Row],[warehouse]],Table2[],2,FALSE),"--")</f>
        <v>YELLOW BEANS</v>
      </c>
    </row>
    <row r="4013" spans="1:18" x14ac:dyDescent="0.25">
      <c r="A4013" t="s">
        <v>1475</v>
      </c>
      <c r="B4013" s="1">
        <v>44535</v>
      </c>
      <c r="C4013" t="s">
        <v>1526</v>
      </c>
      <c r="D4013" t="s">
        <v>512</v>
      </c>
      <c r="E4013" t="s">
        <v>51</v>
      </c>
      <c r="F4013" t="s">
        <v>674</v>
      </c>
      <c r="G4013" t="s">
        <v>2337</v>
      </c>
      <c r="H4013" t="s">
        <v>54</v>
      </c>
      <c r="I4013">
        <v>3048.5</v>
      </c>
      <c r="J4013">
        <v>0</v>
      </c>
      <c r="K4013">
        <v>1</v>
      </c>
      <c r="L4013" t="s">
        <v>693</v>
      </c>
      <c r="M4013" t="s">
        <v>533</v>
      </c>
      <c r="N4013">
        <v>7500</v>
      </c>
      <c r="O4013">
        <v>0</v>
      </c>
      <c r="P4013" t="str">
        <f>IF(T[[#This Row],[qty_ordered]]&lt;&gt;T[[#This Row],[qty_received]],IF(T[[#This Row],[qty_received]]&gt;0,"Partial Received","Not Receviced"),"FullyReceived")</f>
        <v>Not Receviced</v>
      </c>
      <c r="Q4013" t="str">
        <f>IF(T[[#This Row],[qty_received]]&lt;&gt;T[[#This Row],[qty_invoiced]],IF(T[[#This Row],[qty_invoiced]]&gt;0,"Partial Invoiced","Not Invoiced"),"Fully Invoiced")</f>
        <v>Partial Invoiced</v>
      </c>
      <c r="R4013" t="str">
        <f>IFERROR(VLOOKUP(T[[#This Row],[warehouse]],Table2[],2,FALSE),"--")</f>
        <v>--</v>
      </c>
    </row>
    <row r="4014" spans="1:18" x14ac:dyDescent="0.25">
      <c r="A4014" t="s">
        <v>1475</v>
      </c>
      <c r="B4014" s="1">
        <v>44535</v>
      </c>
      <c r="C4014" t="s">
        <v>1526</v>
      </c>
      <c r="D4014" t="s">
        <v>513</v>
      </c>
      <c r="E4014" t="s">
        <v>51</v>
      </c>
      <c r="F4014" t="s">
        <v>674</v>
      </c>
      <c r="G4014" t="s">
        <v>2337</v>
      </c>
      <c r="H4014" t="s">
        <v>54</v>
      </c>
      <c r="I4014">
        <v>11532.5</v>
      </c>
      <c r="J4014">
        <v>0</v>
      </c>
      <c r="K4014">
        <v>1</v>
      </c>
      <c r="L4014" t="s">
        <v>693</v>
      </c>
      <c r="M4014" t="s">
        <v>533</v>
      </c>
      <c r="N4014">
        <v>9000</v>
      </c>
      <c r="O4014">
        <v>0</v>
      </c>
      <c r="P4014" t="str">
        <f>IF(T[[#This Row],[qty_ordered]]&lt;&gt;T[[#This Row],[qty_received]],IF(T[[#This Row],[qty_received]]&gt;0,"Partial Received","Not Receviced"),"FullyReceived")</f>
        <v>Not Receviced</v>
      </c>
      <c r="Q4014" t="str">
        <f>IF(T[[#This Row],[qty_received]]&lt;&gt;T[[#This Row],[qty_invoiced]],IF(T[[#This Row],[qty_invoiced]]&gt;0,"Partial Invoiced","Not Invoiced"),"Fully Invoiced")</f>
        <v>Partial Invoiced</v>
      </c>
      <c r="R4014" t="str">
        <f>IFERROR(VLOOKUP(T[[#This Row],[warehouse]],Table2[],2,FALSE),"--")</f>
        <v>--</v>
      </c>
    </row>
    <row r="4015" spans="1:18" x14ac:dyDescent="0.25">
      <c r="A4015" t="s">
        <v>1475</v>
      </c>
      <c r="B4015" s="1">
        <v>44535</v>
      </c>
      <c r="C4015" t="s">
        <v>1526</v>
      </c>
      <c r="D4015" t="s">
        <v>858</v>
      </c>
      <c r="E4015" t="s">
        <v>51</v>
      </c>
      <c r="F4015" t="s">
        <v>278</v>
      </c>
      <c r="G4015" t="s">
        <v>2338</v>
      </c>
      <c r="H4015" t="s">
        <v>54</v>
      </c>
      <c r="I4015">
        <v>18183</v>
      </c>
      <c r="J4015">
        <v>0</v>
      </c>
      <c r="K4015">
        <v>1</v>
      </c>
      <c r="L4015" t="s">
        <v>693</v>
      </c>
      <c r="M4015" t="s">
        <v>533</v>
      </c>
      <c r="N4015">
        <v>100</v>
      </c>
      <c r="O4015">
        <v>0</v>
      </c>
      <c r="P4015" t="str">
        <f>IF(T[[#This Row],[qty_ordered]]&lt;&gt;T[[#This Row],[qty_received]],IF(T[[#This Row],[qty_received]]&gt;0,"Partial Received","Not Receviced"),"FullyReceived")</f>
        <v>Not Receviced</v>
      </c>
      <c r="Q4015" t="str">
        <f>IF(T[[#This Row],[qty_received]]&lt;&gt;T[[#This Row],[qty_invoiced]],IF(T[[#This Row],[qty_invoiced]]&gt;0,"Partial Invoiced","Not Invoiced"),"Fully Invoiced")</f>
        <v>Partial Invoiced</v>
      </c>
      <c r="R4015" t="str">
        <f>IFERROR(VLOOKUP(T[[#This Row],[warehouse]],Table2[],2,FALSE),"--")</f>
        <v>--</v>
      </c>
    </row>
    <row r="4016" spans="1:18" x14ac:dyDescent="0.25">
      <c r="A4016" t="s">
        <v>1475</v>
      </c>
      <c r="B4016" s="1">
        <v>44535</v>
      </c>
      <c r="C4016" t="s">
        <v>1526</v>
      </c>
      <c r="D4016" t="s">
        <v>860</v>
      </c>
      <c r="E4016" t="s">
        <v>51</v>
      </c>
      <c r="F4016" t="s">
        <v>278</v>
      </c>
      <c r="G4016" t="s">
        <v>2338</v>
      </c>
      <c r="H4016" t="s">
        <v>54</v>
      </c>
      <c r="I4016">
        <v>18183</v>
      </c>
      <c r="J4016">
        <v>0</v>
      </c>
      <c r="K4016">
        <v>1</v>
      </c>
      <c r="L4016" t="s">
        <v>693</v>
      </c>
      <c r="M4016" t="s">
        <v>533</v>
      </c>
      <c r="N4016">
        <v>300</v>
      </c>
      <c r="O4016">
        <v>0</v>
      </c>
      <c r="P4016" t="str">
        <f>IF(T[[#This Row],[qty_ordered]]&lt;&gt;T[[#This Row],[qty_received]],IF(T[[#This Row],[qty_received]]&gt;0,"Partial Received","Not Receviced"),"FullyReceived")</f>
        <v>Not Receviced</v>
      </c>
      <c r="Q4016" t="str">
        <f>IF(T[[#This Row],[qty_received]]&lt;&gt;T[[#This Row],[qty_invoiced]],IF(T[[#This Row],[qty_invoiced]]&gt;0,"Partial Invoiced","Not Invoiced"),"Fully Invoiced")</f>
        <v>Partial Invoiced</v>
      </c>
      <c r="R4016" t="str">
        <f>IFERROR(VLOOKUP(T[[#This Row],[warehouse]],Table2[],2,FALSE),"--")</f>
        <v>--</v>
      </c>
    </row>
    <row r="4017" spans="1:18" x14ac:dyDescent="0.25">
      <c r="A4017" t="s">
        <v>1475</v>
      </c>
      <c r="B4017" s="1">
        <v>44535</v>
      </c>
      <c r="C4017" t="s">
        <v>1526</v>
      </c>
      <c r="D4017" t="s">
        <v>861</v>
      </c>
      <c r="E4017" t="s">
        <v>51</v>
      </c>
      <c r="F4017" t="s">
        <v>384</v>
      </c>
      <c r="G4017" t="s">
        <v>2339</v>
      </c>
      <c r="H4017" t="s">
        <v>54</v>
      </c>
      <c r="I4017">
        <v>5698</v>
      </c>
      <c r="J4017">
        <v>0</v>
      </c>
      <c r="K4017">
        <v>1</v>
      </c>
      <c r="L4017" t="s">
        <v>693</v>
      </c>
      <c r="M4017" t="s">
        <v>533</v>
      </c>
      <c r="N4017">
        <v>100</v>
      </c>
      <c r="O4017">
        <v>0</v>
      </c>
      <c r="P4017" t="str">
        <f>IF(T[[#This Row],[qty_ordered]]&lt;&gt;T[[#This Row],[qty_received]],IF(T[[#This Row],[qty_received]]&gt;0,"Partial Received","Not Receviced"),"FullyReceived")</f>
        <v>Not Receviced</v>
      </c>
      <c r="Q4017" t="str">
        <f>IF(T[[#This Row],[qty_received]]&lt;&gt;T[[#This Row],[qty_invoiced]],IF(T[[#This Row],[qty_invoiced]]&gt;0,"Partial Invoiced","Not Invoiced"),"Fully Invoiced")</f>
        <v>Partial Invoiced</v>
      </c>
      <c r="R4017" t="str">
        <f>IFERROR(VLOOKUP(T[[#This Row],[warehouse]],Table2[],2,FALSE),"--")</f>
        <v>--</v>
      </c>
    </row>
    <row r="4018" spans="1:18" x14ac:dyDescent="0.25">
      <c r="A4018" t="s">
        <v>1475</v>
      </c>
      <c r="B4018" s="1">
        <v>44535</v>
      </c>
      <c r="C4018" t="s">
        <v>1526</v>
      </c>
      <c r="D4018" t="s">
        <v>862</v>
      </c>
      <c r="E4018" t="s">
        <v>51</v>
      </c>
      <c r="F4018" t="s">
        <v>793</v>
      </c>
      <c r="G4018" t="s">
        <v>2340</v>
      </c>
      <c r="H4018" t="s">
        <v>54</v>
      </c>
      <c r="I4018">
        <v>130</v>
      </c>
      <c r="J4018">
        <v>0</v>
      </c>
      <c r="K4018">
        <v>1</v>
      </c>
      <c r="L4018" t="s">
        <v>693</v>
      </c>
      <c r="M4018" t="s">
        <v>533</v>
      </c>
      <c r="N4018">
        <v>600</v>
      </c>
      <c r="O4018">
        <v>0</v>
      </c>
      <c r="P4018" t="str">
        <f>IF(T[[#This Row],[qty_ordered]]&lt;&gt;T[[#This Row],[qty_received]],IF(T[[#This Row],[qty_received]]&gt;0,"Partial Received","Not Receviced"),"FullyReceived")</f>
        <v>Not Receviced</v>
      </c>
      <c r="Q4018" t="str">
        <f>IF(T[[#This Row],[qty_received]]&lt;&gt;T[[#This Row],[qty_invoiced]],IF(T[[#This Row],[qty_invoiced]]&gt;0,"Partial Invoiced","Not Invoiced"),"Fully Invoiced")</f>
        <v>Partial Invoiced</v>
      </c>
      <c r="R4018" t="str">
        <f>IFERROR(VLOOKUP(T[[#This Row],[warehouse]],Table2[],2,FALSE),"--")</f>
        <v>--</v>
      </c>
    </row>
    <row r="4019" spans="1:18" x14ac:dyDescent="0.25">
      <c r="A4019" t="s">
        <v>1475</v>
      </c>
      <c r="B4019" s="1">
        <v>44535</v>
      </c>
      <c r="C4019" t="s">
        <v>1526</v>
      </c>
      <c r="D4019" t="s">
        <v>863</v>
      </c>
      <c r="E4019" t="s">
        <v>51</v>
      </c>
      <c r="F4019" t="s">
        <v>793</v>
      </c>
      <c r="G4019" t="s">
        <v>2340</v>
      </c>
      <c r="H4019" t="s">
        <v>54</v>
      </c>
      <c r="I4019">
        <v>40</v>
      </c>
      <c r="J4019">
        <v>0</v>
      </c>
      <c r="K4019">
        <v>1</v>
      </c>
      <c r="L4019" t="s">
        <v>693</v>
      </c>
      <c r="M4019" t="s">
        <v>533</v>
      </c>
      <c r="N4019">
        <v>400</v>
      </c>
      <c r="O4019">
        <v>0</v>
      </c>
      <c r="P4019" t="str">
        <f>IF(T[[#This Row],[qty_ordered]]&lt;&gt;T[[#This Row],[qty_received]],IF(T[[#This Row],[qty_received]]&gt;0,"Partial Received","Not Receviced"),"FullyReceived")</f>
        <v>Not Receviced</v>
      </c>
      <c r="Q4019" t="str">
        <f>IF(T[[#This Row],[qty_received]]&lt;&gt;T[[#This Row],[qty_invoiced]],IF(T[[#This Row],[qty_invoiced]]&gt;0,"Partial Invoiced","Not Invoiced"),"Fully Invoiced")</f>
        <v>Partial Invoiced</v>
      </c>
      <c r="R4019" t="str">
        <f>IFERROR(VLOOKUP(T[[#This Row],[warehouse]],Table2[],2,FALSE),"--")</f>
        <v>--</v>
      </c>
    </row>
    <row r="4020" spans="1:18" x14ac:dyDescent="0.25">
      <c r="A4020" t="s">
        <v>985</v>
      </c>
      <c r="B4020" s="1">
        <v>44531</v>
      </c>
      <c r="C4020" t="s">
        <v>1489</v>
      </c>
      <c r="D4020" t="s">
        <v>451</v>
      </c>
      <c r="E4020" t="s">
        <v>51</v>
      </c>
      <c r="F4020" t="s">
        <v>183</v>
      </c>
      <c r="G4020" t="s">
        <v>2341</v>
      </c>
      <c r="H4020" t="s">
        <v>54</v>
      </c>
      <c r="I4020">
        <v>48.95</v>
      </c>
      <c r="J4020">
        <v>0</v>
      </c>
      <c r="K4020">
        <v>1</v>
      </c>
      <c r="L4020" t="s">
        <v>693</v>
      </c>
      <c r="M4020" t="s">
        <v>533</v>
      </c>
      <c r="N4020">
        <v>6500</v>
      </c>
      <c r="O4020">
        <v>0</v>
      </c>
      <c r="P4020" t="str">
        <f>IF(T[[#This Row],[qty_ordered]]&lt;&gt;T[[#This Row],[qty_received]],IF(T[[#This Row],[qty_received]]&gt;0,"Partial Received","Not Receviced"),"FullyReceived")</f>
        <v>Not Receviced</v>
      </c>
      <c r="Q4020" t="str">
        <f>IF(T[[#This Row],[qty_received]]&lt;&gt;T[[#This Row],[qty_invoiced]],IF(T[[#This Row],[qty_invoiced]]&gt;0,"Partial Invoiced","Not Invoiced"),"Fully Invoiced")</f>
        <v>Partial Invoiced</v>
      </c>
      <c r="R4020" t="str">
        <f>IFERROR(VLOOKUP(T[[#This Row],[warehouse]],Table2[],2,FALSE),"--")</f>
        <v>--</v>
      </c>
    </row>
    <row r="4021" spans="1:18" x14ac:dyDescent="0.25">
      <c r="A4021" t="s">
        <v>242</v>
      </c>
      <c r="B4021" s="1">
        <v>44794</v>
      </c>
      <c r="C4021" t="s">
        <v>1891</v>
      </c>
      <c r="D4021" t="s">
        <v>20</v>
      </c>
      <c r="E4021" t="s">
        <v>405</v>
      </c>
      <c r="F4021" t="s">
        <v>244</v>
      </c>
      <c r="G4021" t="s">
        <v>245</v>
      </c>
      <c r="H4021" t="s">
        <v>24</v>
      </c>
      <c r="I4021">
        <v>556</v>
      </c>
      <c r="J4021">
        <v>0</v>
      </c>
      <c r="K4021">
        <v>0</v>
      </c>
      <c r="L4021" t="s">
        <v>693</v>
      </c>
      <c r="M4021" t="s">
        <v>707</v>
      </c>
      <c r="N4021">
        <v>1348920.8633089999</v>
      </c>
      <c r="O4021">
        <v>0</v>
      </c>
      <c r="P4021" t="str">
        <f>IF(T[[#This Row],[qty_ordered]]&lt;&gt;T[[#This Row],[qty_received]],IF(T[[#This Row],[qty_received]]&gt;0,"Partial Received","Not Receviced"),"FullyReceived")</f>
        <v>Not Receviced</v>
      </c>
      <c r="Q4021" t="str">
        <f>IF(T[[#This Row],[qty_received]]&lt;&gt;T[[#This Row],[qty_invoiced]],IF(T[[#This Row],[qty_invoiced]]&gt;0,"Partial Invoiced","Not Invoiced"),"Fully Invoiced")</f>
        <v>Fully Invoiced</v>
      </c>
      <c r="R4021" t="str">
        <f>IFERROR(VLOOKUP(T[[#This Row],[warehouse]],Table2[],2,FALSE),"--")</f>
        <v>GINNING ISHRAG-MDNI</v>
      </c>
    </row>
    <row r="4022" spans="1:18" x14ac:dyDescent="0.25">
      <c r="A4022" t="s">
        <v>1892</v>
      </c>
      <c r="B4022" s="1">
        <v>44794</v>
      </c>
      <c r="C4022" t="s">
        <v>2342</v>
      </c>
      <c r="D4022" t="s">
        <v>20</v>
      </c>
      <c r="E4022" t="s">
        <v>1438</v>
      </c>
      <c r="F4022" t="s">
        <v>1439</v>
      </c>
      <c r="G4022" t="s">
        <v>1440</v>
      </c>
      <c r="H4022" t="s">
        <v>1087</v>
      </c>
      <c r="I4022">
        <v>1000</v>
      </c>
      <c r="J4022">
        <v>0</v>
      </c>
      <c r="K4022">
        <v>0</v>
      </c>
      <c r="L4022" t="s">
        <v>693</v>
      </c>
      <c r="M4022" t="s">
        <v>707</v>
      </c>
      <c r="N4022">
        <v>40000</v>
      </c>
      <c r="O4022">
        <v>0</v>
      </c>
      <c r="P4022" t="str">
        <f>IF(T[[#This Row],[qty_ordered]]&lt;&gt;T[[#This Row],[qty_received]],IF(T[[#This Row],[qty_received]]&gt;0,"Partial Received","Not Receviced"),"FullyReceived")</f>
        <v>Not Receviced</v>
      </c>
      <c r="Q4022" t="str">
        <f>IF(T[[#This Row],[qty_received]]&lt;&gt;T[[#This Row],[qty_invoiced]],IF(T[[#This Row],[qty_invoiced]]&gt;0,"Partial Invoiced","Not Invoiced"),"Fully Invoiced")</f>
        <v>Fully Invoiced</v>
      </c>
      <c r="R4022" t="str">
        <f>IFERROR(VLOOKUP(T[[#This Row],[warehouse]],Table2[],2,FALSE),"--")</f>
        <v>Livestock Barn</v>
      </c>
    </row>
    <row r="4023" spans="1:18" x14ac:dyDescent="0.25">
      <c r="A4023" t="s">
        <v>1114</v>
      </c>
      <c r="B4023" s="1">
        <v>44770</v>
      </c>
      <c r="C4023" t="s">
        <v>2260</v>
      </c>
      <c r="D4023" t="s">
        <v>71</v>
      </c>
      <c r="E4023" t="s">
        <v>1438</v>
      </c>
      <c r="F4023" t="s">
        <v>1439</v>
      </c>
      <c r="G4023" t="s">
        <v>1440</v>
      </c>
      <c r="H4023" t="s">
        <v>1087</v>
      </c>
      <c r="I4023">
        <v>1400</v>
      </c>
      <c r="J4023">
        <v>0</v>
      </c>
      <c r="K4023">
        <v>0</v>
      </c>
      <c r="L4023" t="s">
        <v>693</v>
      </c>
      <c r="M4023" t="s">
        <v>707</v>
      </c>
      <c r="N4023">
        <v>45000</v>
      </c>
      <c r="O4023">
        <v>0</v>
      </c>
      <c r="P4023" t="str">
        <f>IF(T[[#This Row],[qty_ordered]]&lt;&gt;T[[#This Row],[qty_received]],IF(T[[#This Row],[qty_received]]&gt;0,"Partial Received","Not Receviced"),"FullyReceived")</f>
        <v>Not Receviced</v>
      </c>
      <c r="Q4023" t="str">
        <f>IF(T[[#This Row],[qty_received]]&lt;&gt;T[[#This Row],[qty_invoiced]],IF(T[[#This Row],[qty_invoiced]]&gt;0,"Partial Invoiced","Not Invoiced"),"Fully Invoiced")</f>
        <v>Fully Invoiced</v>
      </c>
      <c r="R4023" t="str">
        <f>IFERROR(VLOOKUP(T[[#This Row],[warehouse]],Table2[],2,FALSE),"--")</f>
        <v>Livestock Barn</v>
      </c>
    </row>
    <row r="4024" spans="1:18" x14ac:dyDescent="0.25">
      <c r="A4024" t="s">
        <v>1475</v>
      </c>
      <c r="B4024" s="1">
        <v>44535</v>
      </c>
      <c r="C4024" t="s">
        <v>1526</v>
      </c>
      <c r="D4024" t="s">
        <v>1321</v>
      </c>
      <c r="E4024" t="s">
        <v>51</v>
      </c>
      <c r="F4024" t="s">
        <v>674</v>
      </c>
      <c r="G4024" t="s">
        <v>2343</v>
      </c>
      <c r="H4024" t="s">
        <v>54</v>
      </c>
      <c r="I4024">
        <v>6041.97</v>
      </c>
      <c r="J4024">
        <v>0</v>
      </c>
      <c r="K4024">
        <v>1</v>
      </c>
      <c r="L4024" t="s">
        <v>693</v>
      </c>
      <c r="M4024" t="s">
        <v>533</v>
      </c>
      <c r="N4024">
        <v>10000</v>
      </c>
      <c r="O4024">
        <v>0</v>
      </c>
      <c r="P4024" t="str">
        <f>IF(T[[#This Row],[qty_ordered]]&lt;&gt;T[[#This Row],[qty_received]],IF(T[[#This Row],[qty_received]]&gt;0,"Partial Received","Not Receviced"),"FullyReceived")</f>
        <v>Not Receviced</v>
      </c>
      <c r="Q4024" t="str">
        <f>IF(T[[#This Row],[qty_received]]&lt;&gt;T[[#This Row],[qty_invoiced]],IF(T[[#This Row],[qty_invoiced]]&gt;0,"Partial Invoiced","Not Invoiced"),"Fully Invoiced")</f>
        <v>Partial Invoiced</v>
      </c>
      <c r="R4024" t="str">
        <f>IFERROR(VLOOKUP(T[[#This Row],[warehouse]],Table2[],2,FALSE),"--")</f>
        <v>--</v>
      </c>
    </row>
    <row r="4025" spans="1:18" x14ac:dyDescent="0.25">
      <c r="A4025" t="s">
        <v>1059</v>
      </c>
      <c r="B4025" s="1">
        <v>44761</v>
      </c>
      <c r="C4025" t="s">
        <v>1783</v>
      </c>
      <c r="D4025" t="s">
        <v>1322</v>
      </c>
      <c r="E4025" t="s">
        <v>51</v>
      </c>
      <c r="F4025" t="s">
        <v>753</v>
      </c>
      <c r="G4025" t="s">
        <v>2408</v>
      </c>
      <c r="H4025" t="s">
        <v>54</v>
      </c>
      <c r="I4025">
        <v>2022</v>
      </c>
      <c r="J4025">
        <v>0</v>
      </c>
      <c r="K4025">
        <v>1</v>
      </c>
      <c r="L4025" t="s">
        <v>693</v>
      </c>
      <c r="M4025" t="s">
        <v>2836</v>
      </c>
      <c r="N4025">
        <v>741.84025699999995</v>
      </c>
      <c r="O4025">
        <v>0</v>
      </c>
      <c r="P4025" t="str">
        <f>IF(T[[#This Row],[qty_ordered]]&lt;&gt;T[[#This Row],[qty_received]],IF(T[[#This Row],[qty_received]]&gt;0,"Partial Received","Not Receviced"),"FullyReceived")</f>
        <v>Not Receviced</v>
      </c>
      <c r="Q4025" t="str">
        <f>IF(T[[#This Row],[qty_received]]&lt;&gt;T[[#This Row],[qty_invoiced]],IF(T[[#This Row],[qty_invoiced]]&gt;0,"Partial Invoiced","Not Invoiced"),"Fully Invoiced")</f>
        <v>Partial Invoiced</v>
      </c>
      <c r="R4025" t="str">
        <f>IFERROR(VLOOKUP(T[[#This Row],[warehouse]],Table2[],2,FALSE),"--")</f>
        <v>--</v>
      </c>
    </row>
    <row r="4026" spans="1:18" x14ac:dyDescent="0.25">
      <c r="A4026" t="s">
        <v>201</v>
      </c>
      <c r="B4026" s="1">
        <v>44823</v>
      </c>
      <c r="C4026" t="s">
        <v>2410</v>
      </c>
      <c r="D4026" t="s">
        <v>20</v>
      </c>
      <c r="E4026" t="s">
        <v>1220</v>
      </c>
      <c r="F4026" t="s">
        <v>1221</v>
      </c>
      <c r="G4026" t="s">
        <v>1634</v>
      </c>
      <c r="H4026" t="s">
        <v>123</v>
      </c>
      <c r="I4026">
        <v>200000</v>
      </c>
      <c r="J4026">
        <v>200000</v>
      </c>
      <c r="K4026">
        <v>200000</v>
      </c>
      <c r="L4026" t="s">
        <v>693</v>
      </c>
      <c r="M4026" t="s">
        <v>707</v>
      </c>
      <c r="N4026">
        <v>21072.0321396</v>
      </c>
      <c r="O4026">
        <v>4214406427.9200001</v>
      </c>
      <c r="P4026" t="str">
        <f>IF(T[[#This Row],[qty_ordered]]&lt;&gt;T[[#This Row],[qty_received]],IF(T[[#This Row],[qty_received]]&gt;0,"Partial Received","Not Receviced"),"FullyReceived")</f>
        <v>FullyReceived</v>
      </c>
      <c r="Q4026" t="str">
        <f>IF(T[[#This Row],[qty_received]]&lt;&gt;T[[#This Row],[qty_invoiced]],IF(T[[#This Row],[qty_invoiced]]&gt;0,"Partial Invoiced","Not Invoiced"),"Fully Invoiced")</f>
        <v>Fully Invoiced</v>
      </c>
      <c r="R4026" t="str">
        <f>IFERROR(VLOOKUP(T[[#This Row],[warehouse]],Table2[],2,FALSE),"--")</f>
        <v>Import Virtual Warehouse - PZU</v>
      </c>
    </row>
    <row r="4027" spans="1:18" x14ac:dyDescent="0.25">
      <c r="A4027" t="s">
        <v>201</v>
      </c>
      <c r="B4027" s="1">
        <v>44823</v>
      </c>
      <c r="C4027" t="s">
        <v>2410</v>
      </c>
      <c r="D4027" t="s">
        <v>71</v>
      </c>
      <c r="E4027" t="s">
        <v>1220</v>
      </c>
      <c r="F4027" t="s">
        <v>1307</v>
      </c>
      <c r="G4027" t="s">
        <v>1308</v>
      </c>
      <c r="H4027" t="s">
        <v>149</v>
      </c>
      <c r="I4027">
        <v>2000</v>
      </c>
      <c r="J4027">
        <v>1500</v>
      </c>
      <c r="K4027">
        <v>0</v>
      </c>
      <c r="L4027" t="s">
        <v>693</v>
      </c>
      <c r="M4027" t="s">
        <v>707</v>
      </c>
      <c r="N4027">
        <v>0</v>
      </c>
      <c r="O4027">
        <v>0</v>
      </c>
      <c r="P4027" t="str">
        <f>IF(T[[#This Row],[qty_ordered]]&lt;&gt;T[[#This Row],[qty_received]],IF(T[[#This Row],[qty_received]]&gt;0,"Partial Received","Not Receviced"),"FullyReceived")</f>
        <v>Partial Received</v>
      </c>
      <c r="Q4027" t="str">
        <f>IF(T[[#This Row],[qty_received]]&lt;&gt;T[[#This Row],[qty_invoiced]],IF(T[[#This Row],[qty_invoiced]]&gt;0,"Partial Invoiced","Not Invoiced"),"Fully Invoiced")</f>
        <v>Not Invoiced</v>
      </c>
      <c r="R4027" t="str">
        <f>IFERROR(VLOOKUP(T[[#This Row],[warehouse]],Table2[],2,FALSE),"--")</f>
        <v>Import Virtual Warehouse - PZU</v>
      </c>
    </row>
    <row r="4028" spans="1:18" x14ac:dyDescent="0.25">
      <c r="A4028" t="s">
        <v>2411</v>
      </c>
      <c r="B4028" s="1">
        <v>44826</v>
      </c>
      <c r="C4028" t="s">
        <v>2412</v>
      </c>
      <c r="D4028" t="s">
        <v>20</v>
      </c>
      <c r="E4028" t="s">
        <v>51</v>
      </c>
      <c r="F4028" t="s">
        <v>52</v>
      </c>
      <c r="G4028" t="s">
        <v>53</v>
      </c>
      <c r="H4028" t="s">
        <v>54</v>
      </c>
      <c r="I4028">
        <v>1</v>
      </c>
      <c r="J4028">
        <v>0</v>
      </c>
      <c r="K4028">
        <v>0</v>
      </c>
      <c r="L4028" t="s">
        <v>693</v>
      </c>
      <c r="M4028" t="s">
        <v>1485</v>
      </c>
      <c r="N4028">
        <v>2560901</v>
      </c>
      <c r="O4028">
        <v>0</v>
      </c>
      <c r="P4028" t="str">
        <f>IF(T[[#This Row],[qty_ordered]]&lt;&gt;T[[#This Row],[qty_received]],IF(T[[#This Row],[qty_received]]&gt;0,"Partial Received","Not Receviced"),"FullyReceived")</f>
        <v>Not Receviced</v>
      </c>
      <c r="Q4028" t="str">
        <f>IF(T[[#This Row],[qty_received]]&lt;&gt;T[[#This Row],[qty_invoiced]],IF(T[[#This Row],[qty_invoiced]]&gt;0,"Partial Invoiced","Not Invoiced"),"Fully Invoiced")</f>
        <v>Fully Invoiced</v>
      </c>
      <c r="R4028" t="str">
        <f>IFERROR(VLOOKUP(T[[#This Row],[warehouse]],Table2[],2,FALSE),"--")</f>
        <v>--</v>
      </c>
    </row>
    <row r="4029" spans="1:18" x14ac:dyDescent="0.25">
      <c r="A4029" t="s">
        <v>1059</v>
      </c>
      <c r="B4029" s="1">
        <v>44761</v>
      </c>
      <c r="C4029" t="s">
        <v>1783</v>
      </c>
      <c r="D4029" t="s">
        <v>1323</v>
      </c>
      <c r="E4029" t="s">
        <v>51</v>
      </c>
      <c r="F4029" t="s">
        <v>384</v>
      </c>
      <c r="G4029" t="s">
        <v>2417</v>
      </c>
      <c r="H4029" t="s">
        <v>54</v>
      </c>
      <c r="I4029">
        <v>643</v>
      </c>
      <c r="J4029">
        <v>0</v>
      </c>
      <c r="K4029">
        <v>1</v>
      </c>
      <c r="L4029" t="s">
        <v>693</v>
      </c>
      <c r="M4029" t="s">
        <v>2836</v>
      </c>
      <c r="N4029">
        <v>700</v>
      </c>
      <c r="O4029">
        <v>0</v>
      </c>
      <c r="P4029" t="str">
        <f>IF(T[[#This Row],[qty_ordered]]&lt;&gt;T[[#This Row],[qty_received]],IF(T[[#This Row],[qty_received]]&gt;0,"Partial Received","Not Receviced"),"FullyReceived")</f>
        <v>Not Receviced</v>
      </c>
      <c r="Q4029" t="str">
        <f>IF(T[[#This Row],[qty_received]]&lt;&gt;T[[#This Row],[qty_invoiced]],IF(T[[#This Row],[qty_invoiced]]&gt;0,"Partial Invoiced","Not Invoiced"),"Fully Invoiced")</f>
        <v>Partial Invoiced</v>
      </c>
      <c r="R4029" t="str">
        <f>IFERROR(VLOOKUP(T[[#This Row],[warehouse]],Table2[],2,FALSE),"--")</f>
        <v>--</v>
      </c>
    </row>
    <row r="4030" spans="1:18" x14ac:dyDescent="0.25">
      <c r="A4030" t="s">
        <v>1059</v>
      </c>
      <c r="B4030" s="1">
        <v>44761</v>
      </c>
      <c r="C4030" t="s">
        <v>1783</v>
      </c>
      <c r="D4030" t="s">
        <v>1471</v>
      </c>
      <c r="E4030" t="s">
        <v>51</v>
      </c>
      <c r="F4030" t="s">
        <v>262</v>
      </c>
      <c r="G4030" t="s">
        <v>2418</v>
      </c>
      <c r="H4030" t="s">
        <v>54</v>
      </c>
      <c r="I4030">
        <v>500</v>
      </c>
      <c r="J4030">
        <v>0</v>
      </c>
      <c r="K4030">
        <v>1</v>
      </c>
      <c r="L4030" t="s">
        <v>693</v>
      </c>
      <c r="M4030" t="s">
        <v>2836</v>
      </c>
      <c r="N4030">
        <v>524.04</v>
      </c>
      <c r="O4030">
        <v>0</v>
      </c>
      <c r="P4030" t="str">
        <f>IF(T[[#This Row],[qty_ordered]]&lt;&gt;T[[#This Row],[qty_received]],IF(T[[#This Row],[qty_received]]&gt;0,"Partial Received","Not Receviced"),"FullyReceived")</f>
        <v>Not Receviced</v>
      </c>
      <c r="Q4030" t="str">
        <f>IF(T[[#This Row],[qty_received]]&lt;&gt;T[[#This Row],[qty_invoiced]],IF(T[[#This Row],[qty_invoiced]]&gt;0,"Partial Invoiced","Not Invoiced"),"Fully Invoiced")</f>
        <v>Partial Invoiced</v>
      </c>
      <c r="R4030" t="str">
        <f>IFERROR(VLOOKUP(T[[#This Row],[warehouse]],Table2[],2,FALSE),"--")</f>
        <v>--</v>
      </c>
    </row>
    <row r="4031" spans="1:18" x14ac:dyDescent="0.25">
      <c r="A4031" t="s">
        <v>1059</v>
      </c>
      <c r="B4031" s="1">
        <v>44761</v>
      </c>
      <c r="C4031" t="s">
        <v>1783</v>
      </c>
      <c r="D4031" t="s">
        <v>1873</v>
      </c>
      <c r="E4031" t="s">
        <v>51</v>
      </c>
      <c r="F4031" t="s">
        <v>266</v>
      </c>
      <c r="G4031" t="s">
        <v>2419</v>
      </c>
      <c r="H4031" t="s">
        <v>54</v>
      </c>
      <c r="I4031">
        <v>500</v>
      </c>
      <c r="J4031">
        <v>0</v>
      </c>
      <c r="K4031">
        <v>1</v>
      </c>
      <c r="L4031" t="s">
        <v>693</v>
      </c>
      <c r="M4031" t="s">
        <v>2836</v>
      </c>
      <c r="N4031">
        <v>398.04</v>
      </c>
      <c r="O4031">
        <v>0</v>
      </c>
      <c r="P4031" t="str">
        <f>IF(T[[#This Row],[qty_ordered]]&lt;&gt;T[[#This Row],[qty_received]],IF(T[[#This Row],[qty_received]]&gt;0,"Partial Received","Not Receviced"),"FullyReceived")</f>
        <v>Not Receviced</v>
      </c>
      <c r="Q4031" t="str">
        <f>IF(T[[#This Row],[qty_received]]&lt;&gt;T[[#This Row],[qty_invoiced]],IF(T[[#This Row],[qty_invoiced]]&gt;0,"Partial Invoiced","Not Invoiced"),"Fully Invoiced")</f>
        <v>Partial Invoiced</v>
      </c>
      <c r="R4031" t="str">
        <f>IFERROR(VLOOKUP(T[[#This Row],[warehouse]],Table2[],2,FALSE),"--")</f>
        <v>--</v>
      </c>
    </row>
    <row r="4032" spans="1:18" x14ac:dyDescent="0.25">
      <c r="A4032" t="s">
        <v>1059</v>
      </c>
      <c r="B4032" s="1">
        <v>44761</v>
      </c>
      <c r="C4032" t="s">
        <v>1783</v>
      </c>
      <c r="D4032" t="s">
        <v>1874</v>
      </c>
      <c r="E4032" t="s">
        <v>51</v>
      </c>
      <c r="F4032" t="s">
        <v>384</v>
      </c>
      <c r="G4032" t="s">
        <v>2420</v>
      </c>
      <c r="H4032" t="s">
        <v>54</v>
      </c>
      <c r="I4032">
        <v>130</v>
      </c>
      <c r="J4032">
        <v>0</v>
      </c>
      <c r="K4032">
        <v>1</v>
      </c>
      <c r="L4032" t="s">
        <v>693</v>
      </c>
      <c r="M4032" t="s">
        <v>2836</v>
      </c>
      <c r="N4032">
        <v>1923.0769230000001</v>
      </c>
      <c r="O4032">
        <v>0</v>
      </c>
      <c r="P4032" t="str">
        <f>IF(T[[#This Row],[qty_ordered]]&lt;&gt;T[[#This Row],[qty_received]],IF(T[[#This Row],[qty_received]]&gt;0,"Partial Received","Not Receviced"),"FullyReceived")</f>
        <v>Not Receviced</v>
      </c>
      <c r="Q4032" t="str">
        <f>IF(T[[#This Row],[qty_received]]&lt;&gt;T[[#This Row],[qty_invoiced]],IF(T[[#This Row],[qty_invoiced]]&gt;0,"Partial Invoiced","Not Invoiced"),"Fully Invoiced")</f>
        <v>Partial Invoiced</v>
      </c>
      <c r="R4032" t="str">
        <f>IFERROR(VLOOKUP(T[[#This Row],[warehouse]],Table2[],2,FALSE),"--")</f>
        <v>--</v>
      </c>
    </row>
    <row r="4033" spans="1:18" x14ac:dyDescent="0.25">
      <c r="A4033" t="s">
        <v>303</v>
      </c>
      <c r="B4033" s="1">
        <v>44833</v>
      </c>
      <c r="C4033" t="s">
        <v>2421</v>
      </c>
      <c r="D4033" t="s">
        <v>20</v>
      </c>
      <c r="E4033" t="s">
        <v>66</v>
      </c>
      <c r="F4033" t="s">
        <v>697</v>
      </c>
      <c r="G4033" t="s">
        <v>698</v>
      </c>
      <c r="H4033" t="s">
        <v>531</v>
      </c>
      <c r="I4033">
        <v>240</v>
      </c>
      <c r="J4033">
        <v>240</v>
      </c>
      <c r="K4033">
        <v>240</v>
      </c>
      <c r="L4033" t="s">
        <v>693</v>
      </c>
      <c r="M4033" t="s">
        <v>707</v>
      </c>
      <c r="N4033">
        <v>57500</v>
      </c>
      <c r="O4033">
        <v>13800000</v>
      </c>
      <c r="P4033" t="str">
        <f>IF(T[[#This Row],[qty_ordered]]&lt;&gt;T[[#This Row],[qty_received]],IF(T[[#This Row],[qty_received]]&gt;0,"Partial Received","Not Receviced"),"FullyReceived")</f>
        <v>FullyReceived</v>
      </c>
      <c r="Q4033" t="str">
        <f>IF(T[[#This Row],[qty_received]]&lt;&gt;T[[#This Row],[qty_invoiced]],IF(T[[#This Row],[qty_invoiced]]&gt;0,"Partial Invoiced","Not Invoiced"),"Fully Invoiced")</f>
        <v>Fully Invoiced</v>
      </c>
      <c r="R4033" t="str">
        <f>IFERROR(VLOOKUP(T[[#This Row],[warehouse]],Table2[],2,FALSE),"--")</f>
        <v>PZU Main Warehouse</v>
      </c>
    </row>
    <row r="4034" spans="1:18" x14ac:dyDescent="0.25">
      <c r="A4034" t="s">
        <v>423</v>
      </c>
      <c r="B4034" s="1">
        <v>44839</v>
      </c>
      <c r="C4034" t="s">
        <v>2434</v>
      </c>
      <c r="D4034" t="s">
        <v>20</v>
      </c>
      <c r="E4034" t="s">
        <v>51</v>
      </c>
      <c r="F4034" t="s">
        <v>52</v>
      </c>
      <c r="G4034" t="s">
        <v>53</v>
      </c>
      <c r="H4034" t="s">
        <v>54</v>
      </c>
      <c r="I4034">
        <v>29</v>
      </c>
      <c r="J4034">
        <v>0</v>
      </c>
      <c r="K4034">
        <v>1</v>
      </c>
      <c r="L4034" t="s">
        <v>693</v>
      </c>
      <c r="M4034" t="s">
        <v>1485</v>
      </c>
      <c r="N4034">
        <v>120689.655172</v>
      </c>
      <c r="O4034">
        <v>0</v>
      </c>
      <c r="P4034" t="str">
        <f>IF(T[[#This Row],[qty_ordered]]&lt;&gt;T[[#This Row],[qty_received]],IF(T[[#This Row],[qty_received]]&gt;0,"Partial Received","Not Receviced"),"FullyReceived")</f>
        <v>Not Receviced</v>
      </c>
      <c r="Q4034" t="str">
        <f>IF(T[[#This Row],[qty_received]]&lt;&gt;T[[#This Row],[qty_invoiced]],IF(T[[#This Row],[qty_invoiced]]&gt;0,"Partial Invoiced","Not Invoiced"),"Fully Invoiced")</f>
        <v>Partial Invoiced</v>
      </c>
      <c r="R4034" t="str">
        <f>IFERROR(VLOOKUP(T[[#This Row],[warehouse]],Table2[],2,FALSE),"--")</f>
        <v>--</v>
      </c>
    </row>
    <row r="4035" spans="1:18" x14ac:dyDescent="0.25">
      <c r="A4035" t="s">
        <v>437</v>
      </c>
      <c r="B4035" s="1">
        <v>44614</v>
      </c>
      <c r="C4035" t="s">
        <v>1990</v>
      </c>
      <c r="D4035" t="s">
        <v>100</v>
      </c>
      <c r="E4035" t="s">
        <v>51</v>
      </c>
      <c r="F4035" t="s">
        <v>183</v>
      </c>
      <c r="G4035" t="s">
        <v>1514</v>
      </c>
      <c r="H4035" t="s">
        <v>54</v>
      </c>
      <c r="I4035">
        <v>34.549999999999997</v>
      </c>
      <c r="J4035">
        <v>0</v>
      </c>
      <c r="K4035">
        <v>1</v>
      </c>
      <c r="L4035" t="s">
        <v>693</v>
      </c>
      <c r="M4035" t="s">
        <v>533</v>
      </c>
      <c r="N4035">
        <v>6750</v>
      </c>
      <c r="O4035">
        <v>0</v>
      </c>
      <c r="P4035" t="str">
        <f>IF(T[[#This Row],[qty_ordered]]&lt;&gt;T[[#This Row],[qty_received]],IF(T[[#This Row],[qty_received]]&gt;0,"Partial Received","Not Receviced"),"FullyReceived")</f>
        <v>Not Receviced</v>
      </c>
      <c r="Q4035" t="str">
        <f>IF(T[[#This Row],[qty_received]]&lt;&gt;T[[#This Row],[qty_invoiced]],IF(T[[#This Row],[qty_invoiced]]&gt;0,"Partial Invoiced","Not Invoiced"),"Fully Invoiced")</f>
        <v>Partial Invoiced</v>
      </c>
      <c r="R4035" t="str">
        <f>IFERROR(VLOOKUP(T[[#This Row],[warehouse]],Table2[],2,FALSE),"--")</f>
        <v>--</v>
      </c>
    </row>
    <row r="4036" spans="1:18" x14ac:dyDescent="0.25">
      <c r="A4036" t="s">
        <v>437</v>
      </c>
      <c r="B4036" s="1">
        <v>44614</v>
      </c>
      <c r="C4036" t="s">
        <v>1990</v>
      </c>
      <c r="D4036" t="s">
        <v>88</v>
      </c>
      <c r="E4036" t="s">
        <v>51</v>
      </c>
      <c r="F4036" t="s">
        <v>183</v>
      </c>
      <c r="G4036" t="s">
        <v>1514</v>
      </c>
      <c r="H4036" t="s">
        <v>54</v>
      </c>
      <c r="I4036">
        <v>181.03</v>
      </c>
      <c r="J4036">
        <v>0</v>
      </c>
      <c r="K4036">
        <v>1</v>
      </c>
      <c r="L4036" t="s">
        <v>693</v>
      </c>
      <c r="M4036" t="s">
        <v>533</v>
      </c>
      <c r="N4036">
        <v>6750</v>
      </c>
      <c r="O4036">
        <v>0</v>
      </c>
      <c r="P4036" t="str">
        <f>IF(T[[#This Row],[qty_ordered]]&lt;&gt;T[[#This Row],[qty_received]],IF(T[[#This Row],[qty_received]]&gt;0,"Partial Received","Not Receviced"),"FullyReceived")</f>
        <v>Not Receviced</v>
      </c>
      <c r="Q4036" t="str">
        <f>IF(T[[#This Row],[qty_received]]&lt;&gt;T[[#This Row],[qty_invoiced]],IF(T[[#This Row],[qty_invoiced]]&gt;0,"Partial Invoiced","Not Invoiced"),"Fully Invoiced")</f>
        <v>Partial Invoiced</v>
      </c>
      <c r="R4036" t="str">
        <f>IFERROR(VLOOKUP(T[[#This Row],[warehouse]],Table2[],2,FALSE),"--")</f>
        <v>--</v>
      </c>
    </row>
    <row r="4037" spans="1:18" x14ac:dyDescent="0.25">
      <c r="A4037" t="s">
        <v>1287</v>
      </c>
      <c r="B4037" s="1">
        <v>44720</v>
      </c>
      <c r="C4037" t="s">
        <v>1692</v>
      </c>
      <c r="D4037" t="s">
        <v>71</v>
      </c>
      <c r="E4037" t="s">
        <v>239</v>
      </c>
      <c r="F4037" t="s">
        <v>406</v>
      </c>
      <c r="G4037" t="s">
        <v>407</v>
      </c>
      <c r="H4037" t="s">
        <v>24</v>
      </c>
      <c r="I4037">
        <v>949.1</v>
      </c>
      <c r="J4037">
        <v>0</v>
      </c>
      <c r="K4037">
        <v>0</v>
      </c>
      <c r="L4037" t="s">
        <v>693</v>
      </c>
      <c r="M4037" t="s">
        <v>1485</v>
      </c>
      <c r="N4037">
        <v>298182</v>
      </c>
      <c r="O4037">
        <v>0</v>
      </c>
      <c r="P4037" t="str">
        <f>IF(T[[#This Row],[qty_ordered]]&lt;&gt;T[[#This Row],[qty_received]],IF(T[[#This Row],[qty_received]]&gt;0,"Partial Received","Not Receviced"),"FullyReceived")</f>
        <v>Not Receviced</v>
      </c>
      <c r="Q4037" t="str">
        <f>IF(T[[#This Row],[qty_received]]&lt;&gt;T[[#This Row],[qty_invoiced]],IF(T[[#This Row],[qty_invoiced]]&gt;0,"Partial Invoiced","Not Invoiced"),"Fully Invoiced")</f>
        <v>Fully Invoiced</v>
      </c>
      <c r="R4037" t="str">
        <f>IFERROR(VLOOKUP(T[[#This Row],[warehouse]],Table2[],2,FALSE),"--")</f>
        <v xml:space="preserve">Gadarif Main Store </v>
      </c>
    </row>
    <row r="4038" spans="1:18" x14ac:dyDescent="0.25">
      <c r="A4038" t="s">
        <v>1775</v>
      </c>
      <c r="B4038" s="1">
        <v>44759</v>
      </c>
      <c r="C4038" t="s">
        <v>1776</v>
      </c>
      <c r="D4038" t="s">
        <v>212</v>
      </c>
      <c r="E4038" t="s">
        <v>51</v>
      </c>
      <c r="F4038" t="s">
        <v>183</v>
      </c>
      <c r="G4038" t="s">
        <v>1754</v>
      </c>
      <c r="H4038" t="s">
        <v>54</v>
      </c>
      <c r="I4038">
        <v>627.1</v>
      </c>
      <c r="J4038">
        <v>0</v>
      </c>
      <c r="K4038">
        <v>1</v>
      </c>
      <c r="L4038" t="s">
        <v>693</v>
      </c>
      <c r="M4038" t="s">
        <v>533</v>
      </c>
      <c r="N4038">
        <v>12000</v>
      </c>
      <c r="O4038">
        <v>0</v>
      </c>
      <c r="P4038" t="str">
        <f>IF(T[[#This Row],[qty_ordered]]&lt;&gt;T[[#This Row],[qty_received]],IF(T[[#This Row],[qty_received]]&gt;0,"Partial Received","Not Receviced"),"FullyReceived")</f>
        <v>Not Receviced</v>
      </c>
      <c r="Q4038" t="str">
        <f>IF(T[[#This Row],[qty_received]]&lt;&gt;T[[#This Row],[qty_invoiced]],IF(T[[#This Row],[qty_invoiced]]&gt;0,"Partial Invoiced","Not Invoiced"),"Fully Invoiced")</f>
        <v>Partial Invoiced</v>
      </c>
      <c r="R4038" t="str">
        <f>IFERROR(VLOOKUP(T[[#This Row],[warehouse]],Table2[],2,FALSE),"--")</f>
        <v>--</v>
      </c>
    </row>
    <row r="4039" spans="1:18" x14ac:dyDescent="0.25">
      <c r="A4039" t="s">
        <v>1775</v>
      </c>
      <c r="B4039" s="1">
        <v>44759</v>
      </c>
      <c r="C4039" t="s">
        <v>1776</v>
      </c>
      <c r="D4039" t="s">
        <v>322</v>
      </c>
      <c r="E4039" t="s">
        <v>51</v>
      </c>
      <c r="F4039" t="s">
        <v>185</v>
      </c>
      <c r="G4039" t="s">
        <v>2435</v>
      </c>
      <c r="H4039" t="s">
        <v>54</v>
      </c>
      <c r="I4039">
        <v>4000</v>
      </c>
      <c r="J4039">
        <v>0</v>
      </c>
      <c r="K4039">
        <v>1</v>
      </c>
      <c r="L4039" t="s">
        <v>693</v>
      </c>
      <c r="M4039" t="s">
        <v>533</v>
      </c>
      <c r="N4039">
        <v>150</v>
      </c>
      <c r="O4039">
        <v>0</v>
      </c>
      <c r="P4039" t="str">
        <f>IF(T[[#This Row],[qty_ordered]]&lt;&gt;T[[#This Row],[qty_received]],IF(T[[#This Row],[qty_received]]&gt;0,"Partial Received","Not Receviced"),"FullyReceived")</f>
        <v>Not Receviced</v>
      </c>
      <c r="Q4039" t="str">
        <f>IF(T[[#This Row],[qty_received]]&lt;&gt;T[[#This Row],[qty_invoiced]],IF(T[[#This Row],[qty_invoiced]]&gt;0,"Partial Invoiced","Not Invoiced"),"Fully Invoiced")</f>
        <v>Partial Invoiced</v>
      </c>
      <c r="R4039" t="str">
        <f>IFERROR(VLOOKUP(T[[#This Row],[warehouse]],Table2[],2,FALSE),"--")</f>
        <v>--</v>
      </c>
    </row>
    <row r="4040" spans="1:18" x14ac:dyDescent="0.25">
      <c r="A4040" t="s">
        <v>1775</v>
      </c>
      <c r="B4040" s="1">
        <v>44759</v>
      </c>
      <c r="C4040" t="s">
        <v>1776</v>
      </c>
      <c r="D4040" t="s">
        <v>323</v>
      </c>
      <c r="E4040" t="s">
        <v>51</v>
      </c>
      <c r="F4040" t="s">
        <v>254</v>
      </c>
      <c r="G4040" t="s">
        <v>2436</v>
      </c>
      <c r="H4040" t="s">
        <v>54</v>
      </c>
      <c r="I4040">
        <v>24</v>
      </c>
      <c r="J4040">
        <v>0</v>
      </c>
      <c r="K4040">
        <v>1</v>
      </c>
      <c r="L4040" t="s">
        <v>693</v>
      </c>
      <c r="M4040" t="s">
        <v>533</v>
      </c>
      <c r="N4040">
        <v>500</v>
      </c>
      <c r="O4040">
        <v>0</v>
      </c>
      <c r="P4040" t="str">
        <f>IF(T[[#This Row],[qty_ordered]]&lt;&gt;T[[#This Row],[qty_received]],IF(T[[#This Row],[qty_received]]&gt;0,"Partial Received","Not Receviced"),"FullyReceived")</f>
        <v>Not Receviced</v>
      </c>
      <c r="Q4040" t="str">
        <f>IF(T[[#This Row],[qty_received]]&lt;&gt;T[[#This Row],[qty_invoiced]],IF(T[[#This Row],[qty_invoiced]]&gt;0,"Partial Invoiced","Not Invoiced"),"Fully Invoiced")</f>
        <v>Partial Invoiced</v>
      </c>
      <c r="R4040" t="str">
        <f>IFERROR(VLOOKUP(T[[#This Row],[warehouse]],Table2[],2,FALSE),"--")</f>
        <v>--</v>
      </c>
    </row>
    <row r="4041" spans="1:18" x14ac:dyDescent="0.25">
      <c r="A4041" t="s">
        <v>1775</v>
      </c>
      <c r="B4041" s="1">
        <v>44759</v>
      </c>
      <c r="C4041" t="s">
        <v>1776</v>
      </c>
      <c r="D4041" t="s">
        <v>324</v>
      </c>
      <c r="E4041" t="s">
        <v>51</v>
      </c>
      <c r="F4041" t="s">
        <v>1703</v>
      </c>
      <c r="G4041" t="s">
        <v>1756</v>
      </c>
      <c r="H4041" t="s">
        <v>54</v>
      </c>
      <c r="I4041">
        <v>15</v>
      </c>
      <c r="J4041">
        <v>0</v>
      </c>
      <c r="K4041">
        <v>1</v>
      </c>
      <c r="L4041" t="s">
        <v>693</v>
      </c>
      <c r="M4041" t="s">
        <v>533</v>
      </c>
      <c r="N4041">
        <v>15000</v>
      </c>
      <c r="O4041">
        <v>0</v>
      </c>
      <c r="P4041" t="str">
        <f>IF(T[[#This Row],[qty_ordered]]&lt;&gt;T[[#This Row],[qty_received]],IF(T[[#This Row],[qty_received]]&gt;0,"Partial Received","Not Receviced"),"FullyReceived")</f>
        <v>Not Receviced</v>
      </c>
      <c r="Q4041" t="str">
        <f>IF(T[[#This Row],[qty_received]]&lt;&gt;T[[#This Row],[qty_invoiced]],IF(T[[#This Row],[qty_invoiced]]&gt;0,"Partial Invoiced","Not Invoiced"),"Fully Invoiced")</f>
        <v>Partial Invoiced</v>
      </c>
      <c r="R4041" t="str">
        <f>IFERROR(VLOOKUP(T[[#This Row],[warehouse]],Table2[],2,FALSE),"--")</f>
        <v>--</v>
      </c>
    </row>
    <row r="4042" spans="1:18" x14ac:dyDescent="0.25">
      <c r="A4042" t="s">
        <v>1775</v>
      </c>
      <c r="B4042" s="1">
        <v>44759</v>
      </c>
      <c r="C4042" t="s">
        <v>1776</v>
      </c>
      <c r="D4042" t="s">
        <v>325</v>
      </c>
      <c r="E4042" t="s">
        <v>51</v>
      </c>
      <c r="F4042" t="s">
        <v>278</v>
      </c>
      <c r="G4042" t="s">
        <v>2437</v>
      </c>
      <c r="H4042" t="s">
        <v>54</v>
      </c>
      <c r="I4042">
        <v>279</v>
      </c>
      <c r="J4042">
        <v>0</v>
      </c>
      <c r="K4042">
        <v>1</v>
      </c>
      <c r="L4042" t="s">
        <v>693</v>
      </c>
      <c r="M4042" t="s">
        <v>533</v>
      </c>
      <c r="N4042">
        <v>300</v>
      </c>
      <c r="O4042">
        <v>0</v>
      </c>
      <c r="P4042" t="str">
        <f>IF(T[[#This Row],[qty_ordered]]&lt;&gt;T[[#This Row],[qty_received]],IF(T[[#This Row],[qty_received]]&gt;0,"Partial Received","Not Receviced"),"FullyReceived")</f>
        <v>Not Receviced</v>
      </c>
      <c r="Q4042" t="str">
        <f>IF(T[[#This Row],[qty_received]]&lt;&gt;T[[#This Row],[qty_invoiced]],IF(T[[#This Row],[qty_invoiced]]&gt;0,"Partial Invoiced","Not Invoiced"),"Fully Invoiced")</f>
        <v>Partial Invoiced</v>
      </c>
      <c r="R4042" t="str">
        <f>IFERROR(VLOOKUP(T[[#This Row],[warehouse]],Table2[],2,FALSE),"--")</f>
        <v>--</v>
      </c>
    </row>
    <row r="4043" spans="1:18" x14ac:dyDescent="0.25">
      <c r="A4043" t="s">
        <v>303</v>
      </c>
      <c r="B4043" s="1">
        <v>44840</v>
      </c>
      <c r="C4043" t="s">
        <v>2438</v>
      </c>
      <c r="D4043" t="s">
        <v>20</v>
      </c>
      <c r="E4043" t="s">
        <v>66</v>
      </c>
      <c r="F4043" t="s">
        <v>1860</v>
      </c>
      <c r="G4043" t="s">
        <v>1861</v>
      </c>
      <c r="H4043" t="s">
        <v>531</v>
      </c>
      <c r="I4043">
        <v>400</v>
      </c>
      <c r="J4043">
        <v>141</v>
      </c>
      <c r="K4043">
        <v>141</v>
      </c>
      <c r="L4043" t="s">
        <v>693</v>
      </c>
      <c r="M4043" t="s">
        <v>707</v>
      </c>
      <c r="N4043">
        <v>110000</v>
      </c>
      <c r="O4043">
        <v>15510000</v>
      </c>
      <c r="P4043" t="str">
        <f>IF(T[[#This Row],[qty_ordered]]&lt;&gt;T[[#This Row],[qty_received]],IF(T[[#This Row],[qty_received]]&gt;0,"Partial Received","Not Receviced"),"FullyReceived")</f>
        <v>Partial Received</v>
      </c>
      <c r="Q4043" t="str">
        <f>IF(T[[#This Row],[qty_received]]&lt;&gt;T[[#This Row],[qty_invoiced]],IF(T[[#This Row],[qty_invoiced]]&gt;0,"Partial Invoiced","Not Invoiced"),"Fully Invoiced")</f>
        <v>Fully Invoiced</v>
      </c>
      <c r="R4043" t="str">
        <f>IFERROR(VLOOKUP(T[[#This Row],[warehouse]],Table2[],2,FALSE),"--")</f>
        <v>PZU Main Warehouse</v>
      </c>
    </row>
    <row r="4044" spans="1:18" x14ac:dyDescent="0.25">
      <c r="A4044" t="s">
        <v>1553</v>
      </c>
      <c r="B4044" s="1">
        <v>44620</v>
      </c>
      <c r="C4044" t="s">
        <v>1554</v>
      </c>
      <c r="D4044" t="s">
        <v>452</v>
      </c>
      <c r="E4044" t="s">
        <v>51</v>
      </c>
      <c r="F4044" t="s">
        <v>2166</v>
      </c>
      <c r="G4044" t="s">
        <v>2439</v>
      </c>
      <c r="H4044" t="s">
        <v>54</v>
      </c>
      <c r="I4044">
        <v>250</v>
      </c>
      <c r="J4044">
        <v>0</v>
      </c>
      <c r="K4044">
        <v>1</v>
      </c>
      <c r="L4044" t="s">
        <v>693</v>
      </c>
      <c r="M4044" t="s">
        <v>533</v>
      </c>
      <c r="N4044">
        <v>4000</v>
      </c>
      <c r="O4044">
        <v>0</v>
      </c>
      <c r="P4044" t="str">
        <f>IF(T[[#This Row],[qty_ordered]]&lt;&gt;T[[#This Row],[qty_received]],IF(T[[#This Row],[qty_received]]&gt;0,"Partial Received","Not Receviced"),"FullyReceived")</f>
        <v>Not Receviced</v>
      </c>
      <c r="Q4044" t="str">
        <f>IF(T[[#This Row],[qty_received]]&lt;&gt;T[[#This Row],[qty_invoiced]],IF(T[[#This Row],[qty_invoiced]]&gt;0,"Partial Invoiced","Not Invoiced"),"Fully Invoiced")</f>
        <v>Partial Invoiced</v>
      </c>
      <c r="R4044" t="str">
        <f>IFERROR(VLOOKUP(T[[#This Row],[warehouse]],Table2[],2,FALSE),"--")</f>
        <v>--</v>
      </c>
    </row>
    <row r="4045" spans="1:18" x14ac:dyDescent="0.25">
      <c r="A4045" t="s">
        <v>1630</v>
      </c>
      <c r="B4045" s="1">
        <v>44661</v>
      </c>
      <c r="C4045" t="s">
        <v>1631</v>
      </c>
      <c r="D4045" t="s">
        <v>100</v>
      </c>
      <c r="E4045" t="s">
        <v>51</v>
      </c>
      <c r="F4045" t="s">
        <v>183</v>
      </c>
      <c r="G4045" t="s">
        <v>1968</v>
      </c>
      <c r="H4045" t="s">
        <v>54</v>
      </c>
      <c r="I4045">
        <v>71.254999999999995</v>
      </c>
      <c r="J4045">
        <v>0</v>
      </c>
      <c r="K4045">
        <v>1</v>
      </c>
      <c r="L4045" t="s">
        <v>693</v>
      </c>
      <c r="M4045" t="s">
        <v>533</v>
      </c>
      <c r="N4045">
        <v>7000</v>
      </c>
      <c r="O4045">
        <v>0</v>
      </c>
      <c r="P4045" t="str">
        <f>IF(T[[#This Row],[qty_ordered]]&lt;&gt;T[[#This Row],[qty_received]],IF(T[[#This Row],[qty_received]]&gt;0,"Partial Received","Not Receviced"),"FullyReceived")</f>
        <v>Not Receviced</v>
      </c>
      <c r="Q4045" t="str">
        <f>IF(T[[#This Row],[qty_received]]&lt;&gt;T[[#This Row],[qty_invoiced]],IF(T[[#This Row],[qty_invoiced]]&gt;0,"Partial Invoiced","Not Invoiced"),"Fully Invoiced")</f>
        <v>Partial Invoiced</v>
      </c>
      <c r="R4045" t="str">
        <f>IFERROR(VLOOKUP(T[[#This Row],[warehouse]],Table2[],2,FALSE),"--")</f>
        <v>--</v>
      </c>
    </row>
    <row r="4046" spans="1:18" x14ac:dyDescent="0.25">
      <c r="A4046" t="s">
        <v>815</v>
      </c>
      <c r="B4046" s="1">
        <v>44843</v>
      </c>
      <c r="C4046" t="s">
        <v>2440</v>
      </c>
      <c r="D4046" t="s">
        <v>20</v>
      </c>
      <c r="E4046" t="s">
        <v>908</v>
      </c>
      <c r="F4046" t="s">
        <v>108</v>
      </c>
      <c r="G4046" t="s">
        <v>109</v>
      </c>
      <c r="H4046" t="s">
        <v>24</v>
      </c>
      <c r="I4046">
        <v>507.23</v>
      </c>
      <c r="J4046">
        <v>507.23</v>
      </c>
      <c r="K4046">
        <v>507.23</v>
      </c>
      <c r="L4046" t="s">
        <v>693</v>
      </c>
      <c r="M4046" t="s">
        <v>1485</v>
      </c>
      <c r="N4046">
        <v>700875</v>
      </c>
      <c r="O4046">
        <v>355504826.25</v>
      </c>
      <c r="P4046" t="str">
        <f>IF(T[[#This Row],[qty_ordered]]&lt;&gt;T[[#This Row],[qty_received]],IF(T[[#This Row],[qty_received]]&gt;0,"Partial Received","Not Receviced"),"FullyReceived")</f>
        <v>FullyReceived</v>
      </c>
      <c r="Q4046" t="str">
        <f>IF(T[[#This Row],[qty_received]]&lt;&gt;T[[#This Row],[qty_invoiced]],IF(T[[#This Row],[qty_invoiced]]&gt;0,"Partial Invoiced","Not Invoiced"),"Fully Invoiced")</f>
        <v>Fully Invoiced</v>
      </c>
      <c r="R4046" t="str">
        <f>IFERROR(VLOOKUP(T[[#This Row],[warehouse]],Table2[],2,FALSE),"--")</f>
        <v>SIFTER- ALNAZER-OMDU</v>
      </c>
    </row>
    <row r="4047" spans="1:18" x14ac:dyDescent="0.25">
      <c r="A4047" t="s">
        <v>1114</v>
      </c>
      <c r="B4047" s="1">
        <v>44770</v>
      </c>
      <c r="C4047" t="s">
        <v>2260</v>
      </c>
      <c r="D4047" t="s">
        <v>74</v>
      </c>
      <c r="E4047" t="s">
        <v>1438</v>
      </c>
      <c r="F4047" t="s">
        <v>1439</v>
      </c>
      <c r="G4047" t="s">
        <v>1440</v>
      </c>
      <c r="H4047" t="s">
        <v>1087</v>
      </c>
      <c r="I4047">
        <v>375</v>
      </c>
      <c r="J4047">
        <v>0</v>
      </c>
      <c r="K4047">
        <v>0</v>
      </c>
      <c r="L4047" t="s">
        <v>693</v>
      </c>
      <c r="M4047" t="s">
        <v>707</v>
      </c>
      <c r="N4047">
        <v>40000</v>
      </c>
      <c r="O4047">
        <v>0</v>
      </c>
      <c r="P4047" t="str">
        <f>IF(T[[#This Row],[qty_ordered]]&lt;&gt;T[[#This Row],[qty_received]],IF(T[[#This Row],[qty_received]]&gt;0,"Partial Received","Not Receviced"),"FullyReceived")</f>
        <v>Not Receviced</v>
      </c>
      <c r="Q4047" t="str">
        <f>IF(T[[#This Row],[qty_received]]&lt;&gt;T[[#This Row],[qty_invoiced]],IF(T[[#This Row],[qty_invoiced]]&gt;0,"Partial Invoiced","Not Invoiced"),"Fully Invoiced")</f>
        <v>Fully Invoiced</v>
      </c>
      <c r="R4047" t="str">
        <f>IFERROR(VLOOKUP(T[[#This Row],[warehouse]],Table2[],2,FALSE),"--")</f>
        <v>Livestock Barn</v>
      </c>
    </row>
    <row r="4048" spans="1:18" x14ac:dyDescent="0.25">
      <c r="A4048" t="s">
        <v>959</v>
      </c>
      <c r="B4048" s="1">
        <v>44843</v>
      </c>
      <c r="C4048" t="s">
        <v>2441</v>
      </c>
      <c r="D4048" t="s">
        <v>20</v>
      </c>
      <c r="E4048" t="s">
        <v>214</v>
      </c>
      <c r="F4048" t="s">
        <v>167</v>
      </c>
      <c r="G4048" t="s">
        <v>156</v>
      </c>
      <c r="H4048" t="s">
        <v>24</v>
      </c>
      <c r="I4048">
        <v>600</v>
      </c>
      <c r="J4048">
        <v>600</v>
      </c>
      <c r="K4048">
        <v>600</v>
      </c>
      <c r="L4048" t="s">
        <v>693</v>
      </c>
      <c r="M4048" t="s">
        <v>707</v>
      </c>
      <c r="N4048">
        <v>876159.6</v>
      </c>
      <c r="O4048">
        <v>584275199.176</v>
      </c>
      <c r="P4048" t="str">
        <f>IF(T[[#This Row],[qty_ordered]]&lt;&gt;T[[#This Row],[qty_received]],IF(T[[#This Row],[qty_received]]&gt;0,"Partial Received","Not Receviced"),"FullyReceived")</f>
        <v>FullyReceived</v>
      </c>
      <c r="Q4048" t="str">
        <f>IF(T[[#This Row],[qty_received]]&lt;&gt;T[[#This Row],[qty_invoiced]],IF(T[[#This Row],[qty_invoiced]]&gt;0,"Partial Invoiced","Not Invoiced"),"Fully Invoiced")</f>
        <v>Fully Invoiced</v>
      </c>
      <c r="R4048" t="str">
        <f>IFERROR(VLOOKUP(T[[#This Row],[warehouse]],Table2[],2,FALSE),"--")</f>
        <v>CRUSHER ELBALOLA</v>
      </c>
    </row>
    <row r="4049" spans="1:18" x14ac:dyDescent="0.25">
      <c r="A4049" t="s">
        <v>400</v>
      </c>
      <c r="B4049" s="1">
        <v>44594</v>
      </c>
      <c r="C4049" t="s">
        <v>1700</v>
      </c>
      <c r="D4049" t="s">
        <v>596</v>
      </c>
      <c r="E4049" t="s">
        <v>51</v>
      </c>
      <c r="F4049" t="s">
        <v>254</v>
      </c>
      <c r="G4049" t="s">
        <v>2454</v>
      </c>
      <c r="H4049" t="s">
        <v>54</v>
      </c>
      <c r="I4049">
        <v>56</v>
      </c>
      <c r="J4049">
        <v>0</v>
      </c>
      <c r="K4049">
        <v>1</v>
      </c>
      <c r="L4049" t="s">
        <v>693</v>
      </c>
      <c r="M4049" t="s">
        <v>533</v>
      </c>
      <c r="N4049">
        <v>500</v>
      </c>
      <c r="O4049">
        <v>0</v>
      </c>
      <c r="P4049" t="str">
        <f>IF(T[[#This Row],[qty_ordered]]&lt;&gt;T[[#This Row],[qty_received]],IF(T[[#This Row],[qty_received]]&gt;0,"Partial Received","Not Receviced"),"FullyReceived")</f>
        <v>Not Receviced</v>
      </c>
      <c r="Q4049" t="str">
        <f>IF(T[[#This Row],[qty_received]]&lt;&gt;T[[#This Row],[qty_invoiced]],IF(T[[#This Row],[qty_invoiced]]&gt;0,"Partial Invoiced","Not Invoiced"),"Fully Invoiced")</f>
        <v>Partial Invoiced</v>
      </c>
      <c r="R4049" t="str">
        <f>IFERROR(VLOOKUP(T[[#This Row],[warehouse]],Table2[],2,FALSE),"--")</f>
        <v>--</v>
      </c>
    </row>
    <row r="4050" spans="1:18" x14ac:dyDescent="0.25">
      <c r="A4050" t="s">
        <v>303</v>
      </c>
      <c r="B4050" s="1">
        <v>44846</v>
      </c>
      <c r="C4050" t="s">
        <v>2455</v>
      </c>
      <c r="D4050" t="s">
        <v>20</v>
      </c>
      <c r="E4050" t="s">
        <v>66</v>
      </c>
      <c r="F4050" t="s">
        <v>697</v>
      </c>
      <c r="G4050" t="s">
        <v>698</v>
      </c>
      <c r="H4050" t="s">
        <v>531</v>
      </c>
      <c r="I4050">
        <v>280</v>
      </c>
      <c r="J4050">
        <v>0</v>
      </c>
      <c r="K4050">
        <v>0</v>
      </c>
      <c r="L4050" t="s">
        <v>693</v>
      </c>
      <c r="M4050" t="s">
        <v>707</v>
      </c>
      <c r="N4050">
        <v>49000</v>
      </c>
      <c r="O4050">
        <v>0</v>
      </c>
      <c r="P4050" t="str">
        <f>IF(T[[#This Row],[qty_ordered]]&lt;&gt;T[[#This Row],[qty_received]],IF(T[[#This Row],[qty_received]]&gt;0,"Partial Received","Not Receviced"),"FullyReceived")</f>
        <v>Not Receviced</v>
      </c>
      <c r="Q4050" t="str">
        <f>IF(T[[#This Row],[qty_received]]&lt;&gt;T[[#This Row],[qty_invoiced]],IF(T[[#This Row],[qty_invoiced]]&gt;0,"Partial Invoiced","Not Invoiced"),"Fully Invoiced")</f>
        <v>Fully Invoiced</v>
      </c>
      <c r="R4050" t="str">
        <f>IFERROR(VLOOKUP(T[[#This Row],[warehouse]],Table2[],2,FALSE),"--")</f>
        <v>PZU Main Warehouse</v>
      </c>
    </row>
    <row r="4051" spans="1:18" x14ac:dyDescent="0.25">
      <c r="A4051" t="s">
        <v>303</v>
      </c>
      <c r="B4051" s="1">
        <v>44846</v>
      </c>
      <c r="C4051" t="s">
        <v>2456</v>
      </c>
      <c r="D4051" t="s">
        <v>20</v>
      </c>
      <c r="E4051" t="s">
        <v>66</v>
      </c>
      <c r="F4051" t="s">
        <v>1860</v>
      </c>
      <c r="G4051" t="s">
        <v>1861</v>
      </c>
      <c r="H4051" t="s">
        <v>531</v>
      </c>
      <c r="I4051">
        <v>900</v>
      </c>
      <c r="J4051">
        <v>384</v>
      </c>
      <c r="K4051">
        <v>384</v>
      </c>
      <c r="L4051" t="s">
        <v>693</v>
      </c>
      <c r="M4051" t="s">
        <v>707</v>
      </c>
      <c r="N4051">
        <v>101150</v>
      </c>
      <c r="O4051">
        <v>38841600</v>
      </c>
      <c r="P4051" t="str">
        <f>IF(T[[#This Row],[qty_ordered]]&lt;&gt;T[[#This Row],[qty_received]],IF(T[[#This Row],[qty_received]]&gt;0,"Partial Received","Not Receviced"),"FullyReceived")</f>
        <v>Partial Received</v>
      </c>
      <c r="Q4051" t="str">
        <f>IF(T[[#This Row],[qty_received]]&lt;&gt;T[[#This Row],[qty_invoiced]],IF(T[[#This Row],[qty_invoiced]]&gt;0,"Partial Invoiced","Not Invoiced"),"Fully Invoiced")</f>
        <v>Fully Invoiced</v>
      </c>
      <c r="R4051" t="str">
        <f>IFERROR(VLOOKUP(T[[#This Row],[warehouse]],Table2[],2,FALSE),"--")</f>
        <v>PZU Main Warehouse</v>
      </c>
    </row>
    <row r="4052" spans="1:18" x14ac:dyDescent="0.25">
      <c r="A4052" t="s">
        <v>985</v>
      </c>
      <c r="B4052" s="1">
        <v>44531</v>
      </c>
      <c r="C4052" t="s">
        <v>1489</v>
      </c>
      <c r="D4052" t="s">
        <v>615</v>
      </c>
      <c r="E4052" t="s">
        <v>51</v>
      </c>
      <c r="F4052" t="s">
        <v>183</v>
      </c>
      <c r="G4052" t="s">
        <v>2457</v>
      </c>
      <c r="H4052" t="s">
        <v>54</v>
      </c>
      <c r="I4052">
        <v>300</v>
      </c>
      <c r="J4052">
        <v>0</v>
      </c>
      <c r="K4052">
        <v>1</v>
      </c>
      <c r="L4052" t="s">
        <v>693</v>
      </c>
      <c r="M4052" t="s">
        <v>533</v>
      </c>
      <c r="N4052">
        <v>8000</v>
      </c>
      <c r="O4052">
        <v>0</v>
      </c>
      <c r="P4052" t="str">
        <f>IF(T[[#This Row],[qty_ordered]]&lt;&gt;T[[#This Row],[qty_received]],IF(T[[#This Row],[qty_received]]&gt;0,"Partial Received","Not Receviced"),"FullyReceived")</f>
        <v>Not Receviced</v>
      </c>
      <c r="Q4052" t="str">
        <f>IF(T[[#This Row],[qty_received]]&lt;&gt;T[[#This Row],[qty_invoiced]],IF(T[[#This Row],[qty_invoiced]]&gt;0,"Partial Invoiced","Not Invoiced"),"Fully Invoiced")</f>
        <v>Partial Invoiced</v>
      </c>
      <c r="R4052" t="str">
        <f>IFERROR(VLOOKUP(T[[#This Row],[warehouse]],Table2[],2,FALSE),"--")</f>
        <v>--</v>
      </c>
    </row>
    <row r="4053" spans="1:18" x14ac:dyDescent="0.25">
      <c r="A4053" t="s">
        <v>2411</v>
      </c>
      <c r="B4053" s="1">
        <v>44858</v>
      </c>
      <c r="C4053" t="s">
        <v>2537</v>
      </c>
      <c r="D4053" t="s">
        <v>20</v>
      </c>
      <c r="E4053" t="s">
        <v>51</v>
      </c>
      <c r="F4053" t="s">
        <v>52</v>
      </c>
      <c r="G4053" t="s">
        <v>2561</v>
      </c>
      <c r="H4053" t="s">
        <v>54</v>
      </c>
      <c r="I4053">
        <v>1</v>
      </c>
      <c r="J4053">
        <v>0</v>
      </c>
      <c r="K4053">
        <v>0</v>
      </c>
      <c r="L4053" t="s">
        <v>693</v>
      </c>
      <c r="M4053" t="s">
        <v>1485</v>
      </c>
      <c r="N4053">
        <v>55634000</v>
      </c>
      <c r="O4053">
        <v>0</v>
      </c>
      <c r="P4053" t="str">
        <f>IF(T[[#This Row],[qty_ordered]]&lt;&gt;T[[#This Row],[qty_received]],IF(T[[#This Row],[qty_received]]&gt;0,"Partial Received","Not Receviced"),"FullyReceived")</f>
        <v>Not Receviced</v>
      </c>
      <c r="Q4053" t="str">
        <f>IF(T[[#This Row],[qty_received]]&lt;&gt;T[[#This Row],[qty_invoiced]],IF(T[[#This Row],[qty_invoiced]]&gt;0,"Partial Invoiced","Not Invoiced"),"Fully Invoiced")</f>
        <v>Fully Invoiced</v>
      </c>
      <c r="R4053" t="str">
        <f>IFERROR(VLOOKUP(T[[#This Row],[warehouse]],Table2[],2,FALSE),"--")</f>
        <v>--</v>
      </c>
    </row>
    <row r="4054" spans="1:18" x14ac:dyDescent="0.25">
      <c r="A4054" t="s">
        <v>2411</v>
      </c>
      <c r="B4054" s="1">
        <v>44858</v>
      </c>
      <c r="C4054" t="s">
        <v>2538</v>
      </c>
      <c r="D4054" t="s">
        <v>20</v>
      </c>
      <c r="E4054" t="s">
        <v>51</v>
      </c>
      <c r="F4054" t="s">
        <v>52</v>
      </c>
      <c r="G4054" t="s">
        <v>2562</v>
      </c>
      <c r="H4054" t="s">
        <v>54</v>
      </c>
      <c r="I4054">
        <v>1</v>
      </c>
      <c r="J4054">
        <v>0</v>
      </c>
      <c r="K4054">
        <v>0</v>
      </c>
      <c r="L4054" t="s">
        <v>693</v>
      </c>
      <c r="M4054" t="s">
        <v>1485</v>
      </c>
      <c r="N4054">
        <v>5500000</v>
      </c>
      <c r="O4054">
        <v>0</v>
      </c>
      <c r="P4054" t="str">
        <f>IF(T[[#This Row],[qty_ordered]]&lt;&gt;T[[#This Row],[qty_received]],IF(T[[#This Row],[qty_received]]&gt;0,"Partial Received","Not Receviced"),"FullyReceived")</f>
        <v>Not Receviced</v>
      </c>
      <c r="Q4054" t="str">
        <f>IF(T[[#This Row],[qty_received]]&lt;&gt;T[[#This Row],[qty_invoiced]],IF(T[[#This Row],[qty_invoiced]]&gt;0,"Partial Invoiced","Not Invoiced"),"Fully Invoiced")</f>
        <v>Fully Invoiced</v>
      </c>
      <c r="R4054" t="str">
        <f>IFERROR(VLOOKUP(T[[#This Row],[warehouse]],Table2[],2,FALSE),"--")</f>
        <v>--</v>
      </c>
    </row>
    <row r="4055" spans="1:18" x14ac:dyDescent="0.25">
      <c r="A4055" t="s">
        <v>2411</v>
      </c>
      <c r="B4055" s="1">
        <v>44858</v>
      </c>
      <c r="C4055" t="s">
        <v>2539</v>
      </c>
      <c r="D4055" t="s">
        <v>20</v>
      </c>
      <c r="E4055" t="s">
        <v>51</v>
      </c>
      <c r="F4055" t="s">
        <v>52</v>
      </c>
      <c r="G4055" t="s">
        <v>2563</v>
      </c>
      <c r="H4055" t="s">
        <v>54</v>
      </c>
      <c r="I4055">
        <v>1</v>
      </c>
      <c r="J4055">
        <v>0</v>
      </c>
      <c r="K4055">
        <v>0</v>
      </c>
      <c r="L4055" t="s">
        <v>693</v>
      </c>
      <c r="M4055" t="s">
        <v>1485</v>
      </c>
      <c r="N4055">
        <v>12648000</v>
      </c>
      <c r="O4055">
        <v>0</v>
      </c>
      <c r="P4055" t="str">
        <f>IF(T[[#This Row],[qty_ordered]]&lt;&gt;T[[#This Row],[qty_received]],IF(T[[#This Row],[qty_received]]&gt;0,"Partial Received","Not Receviced"),"FullyReceived")</f>
        <v>Not Receviced</v>
      </c>
      <c r="Q4055" t="str">
        <f>IF(T[[#This Row],[qty_received]]&lt;&gt;T[[#This Row],[qty_invoiced]],IF(T[[#This Row],[qty_invoiced]]&gt;0,"Partial Invoiced","Not Invoiced"),"Fully Invoiced")</f>
        <v>Fully Invoiced</v>
      </c>
      <c r="R4055" t="str">
        <f>IFERROR(VLOOKUP(T[[#This Row],[warehouse]],Table2[],2,FALSE),"--")</f>
        <v>--</v>
      </c>
    </row>
    <row r="4056" spans="1:18" x14ac:dyDescent="0.25">
      <c r="A4056" t="s">
        <v>955</v>
      </c>
      <c r="B4056" s="1">
        <v>44861</v>
      </c>
      <c r="C4056" t="s">
        <v>2547</v>
      </c>
      <c r="D4056" t="s">
        <v>20</v>
      </c>
      <c r="E4056" t="s">
        <v>1430</v>
      </c>
      <c r="F4056" t="s">
        <v>691</v>
      </c>
      <c r="G4056" t="s">
        <v>478</v>
      </c>
      <c r="H4056" t="s">
        <v>24</v>
      </c>
      <c r="I4056">
        <v>11.398999999999999</v>
      </c>
      <c r="J4056">
        <v>0</v>
      </c>
      <c r="K4056">
        <v>0</v>
      </c>
      <c r="L4056" t="s">
        <v>693</v>
      </c>
      <c r="M4056" t="s">
        <v>1485</v>
      </c>
      <c r="N4056">
        <v>688241.97066800005</v>
      </c>
      <c r="O4056">
        <v>0</v>
      </c>
      <c r="P4056" t="str">
        <f>IF(T[[#This Row],[qty_ordered]]&lt;&gt;T[[#This Row],[qty_received]],IF(T[[#This Row],[qty_received]]&gt;0,"Partial Received","Not Receviced"),"FullyReceived")</f>
        <v>Not Receviced</v>
      </c>
      <c r="Q4056" t="str">
        <f>IF(T[[#This Row],[qty_received]]&lt;&gt;T[[#This Row],[qty_invoiced]],IF(T[[#This Row],[qty_invoiced]]&gt;0,"Partial Invoiced","Not Invoiced"),"Fully Invoiced")</f>
        <v>Fully Invoiced</v>
      </c>
      <c r="R4056" t="str">
        <f>IFERROR(VLOOKUP(T[[#This Row],[warehouse]],Table2[],2,FALSE),"--")</f>
        <v>Obaid Gum Arabic Centre</v>
      </c>
    </row>
    <row r="4057" spans="1:18" x14ac:dyDescent="0.25">
      <c r="A4057" t="s">
        <v>2548</v>
      </c>
      <c r="B4057" s="1">
        <v>44864</v>
      </c>
      <c r="C4057" t="s">
        <v>2549</v>
      </c>
      <c r="D4057" t="s">
        <v>20</v>
      </c>
      <c r="E4057" t="s">
        <v>51</v>
      </c>
      <c r="F4057" t="s">
        <v>52</v>
      </c>
      <c r="G4057" t="s">
        <v>2550</v>
      </c>
      <c r="H4057" t="s">
        <v>54</v>
      </c>
      <c r="I4057">
        <v>1264</v>
      </c>
      <c r="J4057">
        <v>0</v>
      </c>
      <c r="K4057">
        <v>1</v>
      </c>
      <c r="L4057" t="s">
        <v>693</v>
      </c>
      <c r="M4057" t="s">
        <v>707</v>
      </c>
      <c r="N4057">
        <v>850</v>
      </c>
      <c r="O4057">
        <v>0</v>
      </c>
      <c r="P4057" t="str">
        <f>IF(T[[#This Row],[qty_ordered]]&lt;&gt;T[[#This Row],[qty_received]],IF(T[[#This Row],[qty_received]]&gt;0,"Partial Received","Not Receviced"),"FullyReceived")</f>
        <v>Not Receviced</v>
      </c>
      <c r="Q4057" t="str">
        <f>IF(T[[#This Row],[qty_received]]&lt;&gt;T[[#This Row],[qty_invoiced]],IF(T[[#This Row],[qty_invoiced]]&gt;0,"Partial Invoiced","Not Invoiced"),"Fully Invoiced")</f>
        <v>Partial Invoiced</v>
      </c>
      <c r="R4057" t="str">
        <f>IFERROR(VLOOKUP(T[[#This Row],[warehouse]],Table2[],2,FALSE),"--")</f>
        <v>--</v>
      </c>
    </row>
    <row r="4058" spans="1:18" x14ac:dyDescent="0.25">
      <c r="A4058" t="s">
        <v>985</v>
      </c>
      <c r="B4058" s="1">
        <v>44531</v>
      </c>
      <c r="C4058" t="s">
        <v>1489</v>
      </c>
      <c r="D4058" t="s">
        <v>752</v>
      </c>
      <c r="E4058" t="s">
        <v>51</v>
      </c>
      <c r="F4058" t="s">
        <v>183</v>
      </c>
      <c r="G4058" t="s">
        <v>2564</v>
      </c>
      <c r="H4058" t="s">
        <v>54</v>
      </c>
      <c r="I4058">
        <v>204.744</v>
      </c>
      <c r="J4058">
        <v>0</v>
      </c>
      <c r="K4058">
        <v>1</v>
      </c>
      <c r="L4058" t="s">
        <v>693</v>
      </c>
      <c r="M4058" t="s">
        <v>533</v>
      </c>
      <c r="N4058">
        <v>8000</v>
      </c>
      <c r="O4058">
        <v>0</v>
      </c>
      <c r="P4058" t="str">
        <f>IF(T[[#This Row],[qty_ordered]]&lt;&gt;T[[#This Row],[qty_received]],IF(T[[#This Row],[qty_received]]&gt;0,"Partial Received","Not Receviced"),"FullyReceived")</f>
        <v>Not Receviced</v>
      </c>
      <c r="Q4058" t="str">
        <f>IF(T[[#This Row],[qty_received]]&lt;&gt;T[[#This Row],[qty_invoiced]],IF(T[[#This Row],[qty_invoiced]]&gt;0,"Partial Invoiced","Not Invoiced"),"Fully Invoiced")</f>
        <v>Partial Invoiced</v>
      </c>
      <c r="R4058" t="str">
        <f>IFERROR(VLOOKUP(T[[#This Row],[warehouse]],Table2[],2,FALSE),"--")</f>
        <v>--</v>
      </c>
    </row>
    <row r="4059" spans="1:18" x14ac:dyDescent="0.25">
      <c r="A4059" t="s">
        <v>2023</v>
      </c>
      <c r="B4059" s="1">
        <v>44866</v>
      </c>
      <c r="C4059" t="s">
        <v>2565</v>
      </c>
      <c r="D4059" t="s">
        <v>20</v>
      </c>
      <c r="E4059" t="s">
        <v>51</v>
      </c>
      <c r="F4059" t="s">
        <v>52</v>
      </c>
      <c r="G4059" t="s">
        <v>2566</v>
      </c>
      <c r="H4059" t="s">
        <v>54</v>
      </c>
      <c r="I4059">
        <v>1</v>
      </c>
      <c r="J4059">
        <v>0</v>
      </c>
      <c r="K4059">
        <v>0</v>
      </c>
      <c r="L4059" t="s">
        <v>693</v>
      </c>
      <c r="M4059" t="s">
        <v>707</v>
      </c>
      <c r="N4059">
        <v>80100</v>
      </c>
      <c r="O4059">
        <v>0</v>
      </c>
      <c r="P4059" t="str">
        <f>IF(T[[#This Row],[qty_ordered]]&lt;&gt;T[[#This Row],[qty_received]],IF(T[[#This Row],[qty_received]]&gt;0,"Partial Received","Not Receviced"),"FullyReceived")</f>
        <v>Not Receviced</v>
      </c>
      <c r="Q4059" t="str">
        <f>IF(T[[#This Row],[qty_received]]&lt;&gt;T[[#This Row],[qty_invoiced]],IF(T[[#This Row],[qty_invoiced]]&gt;0,"Partial Invoiced","Not Invoiced"),"Fully Invoiced")</f>
        <v>Fully Invoiced</v>
      </c>
      <c r="R4059" t="str">
        <f>IFERROR(VLOOKUP(T[[#This Row],[warehouse]],Table2[],2,FALSE),"--")</f>
        <v>--</v>
      </c>
    </row>
    <row r="4060" spans="1:18" x14ac:dyDescent="0.25">
      <c r="A4060" t="s">
        <v>1059</v>
      </c>
      <c r="B4060" s="1">
        <v>44761</v>
      </c>
      <c r="C4060" t="s">
        <v>1783</v>
      </c>
      <c r="D4060" t="s">
        <v>1875</v>
      </c>
      <c r="E4060" t="s">
        <v>51</v>
      </c>
      <c r="F4060" t="s">
        <v>433</v>
      </c>
      <c r="G4060" t="s">
        <v>2567</v>
      </c>
      <c r="H4060" t="s">
        <v>54</v>
      </c>
      <c r="I4060">
        <v>19</v>
      </c>
      <c r="J4060">
        <v>0</v>
      </c>
      <c r="K4060">
        <v>1</v>
      </c>
      <c r="L4060" t="s">
        <v>693</v>
      </c>
      <c r="M4060" t="s">
        <v>2836</v>
      </c>
      <c r="N4060">
        <v>4342.1052630000004</v>
      </c>
      <c r="O4060">
        <v>0</v>
      </c>
      <c r="P4060" t="str">
        <f>IF(T[[#This Row],[qty_ordered]]&lt;&gt;T[[#This Row],[qty_received]],IF(T[[#This Row],[qty_received]]&gt;0,"Partial Received","Not Receviced"),"FullyReceived")</f>
        <v>Not Receviced</v>
      </c>
      <c r="Q4060" t="str">
        <f>IF(T[[#This Row],[qty_received]]&lt;&gt;T[[#This Row],[qty_invoiced]],IF(T[[#This Row],[qty_invoiced]]&gt;0,"Partial Invoiced","Not Invoiced"),"Fully Invoiced")</f>
        <v>Partial Invoiced</v>
      </c>
      <c r="R4060" t="str">
        <f>IFERROR(VLOOKUP(T[[#This Row],[warehouse]],Table2[],2,FALSE),"--")</f>
        <v>--</v>
      </c>
    </row>
    <row r="4061" spans="1:18" x14ac:dyDescent="0.25">
      <c r="A4061" t="s">
        <v>201</v>
      </c>
      <c r="B4061" s="1">
        <v>44781</v>
      </c>
      <c r="C4061" t="s">
        <v>1829</v>
      </c>
      <c r="D4061" t="s">
        <v>100</v>
      </c>
      <c r="E4061" t="s">
        <v>51</v>
      </c>
      <c r="F4061" t="s">
        <v>933</v>
      </c>
      <c r="G4061" t="s">
        <v>2464</v>
      </c>
      <c r="H4061" t="s">
        <v>54</v>
      </c>
      <c r="I4061">
        <v>1</v>
      </c>
      <c r="J4061">
        <v>0</v>
      </c>
      <c r="K4061">
        <v>0</v>
      </c>
      <c r="L4061" t="s">
        <v>693</v>
      </c>
      <c r="M4061" t="s">
        <v>1404</v>
      </c>
      <c r="N4061">
        <v>1287395.18725</v>
      </c>
      <c r="O4061">
        <v>0</v>
      </c>
      <c r="P4061" t="str">
        <f>IF(T[[#This Row],[qty_ordered]]&lt;&gt;T[[#This Row],[qty_received]],IF(T[[#This Row],[qty_received]]&gt;0,"Partial Received","Not Receviced"),"FullyReceived")</f>
        <v>Not Receviced</v>
      </c>
      <c r="Q4061" t="str">
        <f>IF(T[[#This Row],[qty_received]]&lt;&gt;T[[#This Row],[qty_invoiced]],IF(T[[#This Row],[qty_invoiced]]&gt;0,"Partial Invoiced","Not Invoiced"),"Fully Invoiced")</f>
        <v>Fully Invoiced</v>
      </c>
      <c r="R4061" t="str">
        <f>IFERROR(VLOOKUP(T[[#This Row],[warehouse]],Table2[],2,FALSE),"--")</f>
        <v>--</v>
      </c>
    </row>
    <row r="4062" spans="1:18" x14ac:dyDescent="0.25">
      <c r="A4062" t="s">
        <v>201</v>
      </c>
      <c r="B4062" s="1">
        <v>44854</v>
      </c>
      <c r="C4062" t="s">
        <v>2465</v>
      </c>
      <c r="D4062" t="s">
        <v>20</v>
      </c>
      <c r="E4062" t="s">
        <v>1220</v>
      </c>
      <c r="F4062" t="s">
        <v>1221</v>
      </c>
      <c r="G4062" t="s">
        <v>1634</v>
      </c>
      <c r="H4062" t="s">
        <v>123</v>
      </c>
      <c r="I4062">
        <v>800000</v>
      </c>
      <c r="J4062">
        <v>800000</v>
      </c>
      <c r="K4062">
        <v>800000</v>
      </c>
      <c r="L4062" t="s">
        <v>693</v>
      </c>
      <c r="M4062" t="s">
        <v>132</v>
      </c>
      <c r="N4062">
        <v>21090.313085400001</v>
      </c>
      <c r="O4062">
        <v>16872250468.32</v>
      </c>
      <c r="P4062" t="str">
        <f>IF(T[[#This Row],[qty_ordered]]&lt;&gt;T[[#This Row],[qty_received]],IF(T[[#This Row],[qty_received]]&gt;0,"Partial Received","Not Receviced"),"FullyReceived")</f>
        <v>FullyReceived</v>
      </c>
      <c r="Q4062" t="str">
        <f>IF(T[[#This Row],[qty_received]]&lt;&gt;T[[#This Row],[qty_invoiced]],IF(T[[#This Row],[qty_invoiced]]&gt;0,"Partial Invoiced","Not Invoiced"),"Fully Invoiced")</f>
        <v>Fully Invoiced</v>
      </c>
      <c r="R4062" t="str">
        <f>IFERROR(VLOOKUP(T[[#This Row],[warehouse]],Table2[],2,FALSE),"--")</f>
        <v>Import Virtual Warehouse - PZU</v>
      </c>
    </row>
    <row r="4063" spans="1:18" x14ac:dyDescent="0.25">
      <c r="A4063" t="s">
        <v>201</v>
      </c>
      <c r="B4063" s="1">
        <v>44854</v>
      </c>
      <c r="C4063" t="s">
        <v>2465</v>
      </c>
      <c r="D4063" t="s">
        <v>71</v>
      </c>
      <c r="E4063" t="s">
        <v>1220</v>
      </c>
      <c r="F4063" t="s">
        <v>1307</v>
      </c>
      <c r="G4063" t="s">
        <v>1308</v>
      </c>
      <c r="H4063" t="s">
        <v>149</v>
      </c>
      <c r="I4063">
        <v>8000</v>
      </c>
      <c r="J4063">
        <v>1500</v>
      </c>
      <c r="K4063">
        <v>0</v>
      </c>
      <c r="L4063" t="s">
        <v>693</v>
      </c>
      <c r="M4063" t="s">
        <v>132</v>
      </c>
      <c r="N4063">
        <v>0</v>
      </c>
      <c r="O4063">
        <v>0</v>
      </c>
      <c r="P4063" t="str">
        <f>IF(T[[#This Row],[qty_ordered]]&lt;&gt;T[[#This Row],[qty_received]],IF(T[[#This Row],[qty_received]]&gt;0,"Partial Received","Not Receviced"),"FullyReceived")</f>
        <v>Partial Received</v>
      </c>
      <c r="Q4063" t="str">
        <f>IF(T[[#This Row],[qty_received]]&lt;&gt;T[[#This Row],[qty_invoiced]],IF(T[[#This Row],[qty_invoiced]]&gt;0,"Partial Invoiced","Not Invoiced"),"Fully Invoiced")</f>
        <v>Not Invoiced</v>
      </c>
      <c r="R4063" t="str">
        <f>IFERROR(VLOOKUP(T[[#This Row],[warehouse]],Table2[],2,FALSE),"--")</f>
        <v>Import Virtual Warehouse - PZU</v>
      </c>
    </row>
    <row r="4064" spans="1:18" x14ac:dyDescent="0.25">
      <c r="A4064" t="s">
        <v>2551</v>
      </c>
      <c r="B4064" s="1">
        <v>44860</v>
      </c>
      <c r="C4064" t="s">
        <v>2552</v>
      </c>
      <c r="D4064" t="s">
        <v>20</v>
      </c>
      <c r="E4064" t="s">
        <v>51</v>
      </c>
      <c r="F4064" t="s">
        <v>1073</v>
      </c>
      <c r="G4064" t="s">
        <v>1073</v>
      </c>
      <c r="H4064" t="s">
        <v>54</v>
      </c>
      <c r="I4064">
        <v>10</v>
      </c>
      <c r="J4064">
        <v>0</v>
      </c>
      <c r="K4064">
        <v>1</v>
      </c>
      <c r="L4064" t="s">
        <v>693</v>
      </c>
      <c r="M4064" t="s">
        <v>707</v>
      </c>
      <c r="N4064">
        <v>186911.88200000001</v>
      </c>
      <c r="O4064">
        <v>0</v>
      </c>
      <c r="P4064" t="str">
        <f>IF(T[[#This Row],[qty_ordered]]&lt;&gt;T[[#This Row],[qty_received]],IF(T[[#This Row],[qty_received]]&gt;0,"Partial Received","Not Receviced"),"FullyReceived")</f>
        <v>Not Receviced</v>
      </c>
      <c r="Q4064" t="str">
        <f>IF(T[[#This Row],[qty_received]]&lt;&gt;T[[#This Row],[qty_invoiced]],IF(T[[#This Row],[qty_invoiced]]&gt;0,"Partial Invoiced","Not Invoiced"),"Fully Invoiced")</f>
        <v>Partial Invoiced</v>
      </c>
      <c r="R4064" t="str">
        <f>IFERROR(VLOOKUP(T[[#This Row],[warehouse]],Table2[],2,FALSE),"--")</f>
        <v>--</v>
      </c>
    </row>
    <row r="4065" spans="1:18" x14ac:dyDescent="0.25">
      <c r="A4065" t="s">
        <v>1671</v>
      </c>
      <c r="B4065" s="1">
        <v>44703</v>
      </c>
      <c r="C4065" t="s">
        <v>1672</v>
      </c>
      <c r="D4065" t="s">
        <v>71</v>
      </c>
      <c r="E4065" t="s">
        <v>51</v>
      </c>
      <c r="F4065" t="s">
        <v>52</v>
      </c>
      <c r="G4065" t="s">
        <v>53</v>
      </c>
      <c r="H4065" t="s">
        <v>54</v>
      </c>
      <c r="I4065">
        <v>1</v>
      </c>
      <c r="J4065">
        <v>0</v>
      </c>
      <c r="K4065">
        <v>0</v>
      </c>
      <c r="L4065" t="s">
        <v>51</v>
      </c>
      <c r="M4065" t="s">
        <v>1485</v>
      </c>
      <c r="N4065">
        <v>9347031.7485029995</v>
      </c>
      <c r="O4065">
        <v>0</v>
      </c>
      <c r="P4065" t="str">
        <f>IF(T[[#This Row],[qty_ordered]]&lt;&gt;T[[#This Row],[qty_received]],IF(T[[#This Row],[qty_received]]&gt;0,"Partial Received","Not Receviced"),"FullyReceived")</f>
        <v>Not Receviced</v>
      </c>
      <c r="Q4065" t="str">
        <f>IF(T[[#This Row],[qty_received]]&lt;&gt;T[[#This Row],[qty_invoiced]],IF(T[[#This Row],[qty_invoiced]]&gt;0,"Partial Invoiced","Not Invoiced"),"Fully Invoiced")</f>
        <v>Fully Invoiced</v>
      </c>
      <c r="R4065" t="str">
        <f>IFERROR(VLOOKUP(T[[#This Row],[warehouse]],Table2[],2,FALSE),"--")</f>
        <v>--</v>
      </c>
    </row>
    <row r="4066" spans="1:18" x14ac:dyDescent="0.25">
      <c r="A4066" t="s">
        <v>201</v>
      </c>
      <c r="B4066" s="1">
        <v>44571</v>
      </c>
      <c r="C4066" t="s">
        <v>1944</v>
      </c>
      <c r="D4066" t="s">
        <v>100</v>
      </c>
      <c r="E4066" t="s">
        <v>51</v>
      </c>
      <c r="F4066" t="s">
        <v>933</v>
      </c>
      <c r="G4066" t="s">
        <v>933</v>
      </c>
      <c r="H4066" t="s">
        <v>54</v>
      </c>
      <c r="I4066">
        <v>1</v>
      </c>
      <c r="J4066">
        <v>0</v>
      </c>
      <c r="K4066">
        <v>0</v>
      </c>
      <c r="L4066" t="s">
        <v>693</v>
      </c>
      <c r="M4066" t="s">
        <v>1404</v>
      </c>
      <c r="N4066">
        <v>3752971.6915600002</v>
      </c>
      <c r="O4066">
        <v>0</v>
      </c>
      <c r="P4066" t="str">
        <f>IF(T[[#This Row],[qty_ordered]]&lt;&gt;T[[#This Row],[qty_received]],IF(T[[#This Row],[qty_received]]&gt;0,"Partial Received","Not Receviced"),"FullyReceived")</f>
        <v>Not Receviced</v>
      </c>
      <c r="Q4066" t="str">
        <f>IF(T[[#This Row],[qty_received]]&lt;&gt;T[[#This Row],[qty_invoiced]],IF(T[[#This Row],[qty_invoiced]]&gt;0,"Partial Invoiced","Not Invoiced"),"Fully Invoiced")</f>
        <v>Fully Invoiced</v>
      </c>
      <c r="R4066" t="str">
        <f>IFERROR(VLOOKUP(T[[#This Row],[warehouse]],Table2[],2,FALSE),"--")</f>
        <v>--</v>
      </c>
    </row>
    <row r="4067" spans="1:18" x14ac:dyDescent="0.25">
      <c r="A4067" t="s">
        <v>1059</v>
      </c>
      <c r="B4067" s="1">
        <v>44761</v>
      </c>
      <c r="C4067" t="s">
        <v>1783</v>
      </c>
      <c r="D4067" t="s">
        <v>1876</v>
      </c>
      <c r="E4067" t="s">
        <v>51</v>
      </c>
      <c r="F4067" t="s">
        <v>933</v>
      </c>
      <c r="G4067" t="s">
        <v>2568</v>
      </c>
      <c r="H4067" t="s">
        <v>54</v>
      </c>
      <c r="I4067">
        <v>3000</v>
      </c>
      <c r="J4067">
        <v>0</v>
      </c>
      <c r="K4067">
        <v>1</v>
      </c>
      <c r="L4067" t="s">
        <v>693</v>
      </c>
      <c r="M4067" t="s">
        <v>2836</v>
      </c>
      <c r="N4067">
        <v>850</v>
      </c>
      <c r="O4067">
        <v>0</v>
      </c>
      <c r="P4067" t="str">
        <f>IF(T[[#This Row],[qty_ordered]]&lt;&gt;T[[#This Row],[qty_received]],IF(T[[#This Row],[qty_received]]&gt;0,"Partial Received","Not Receviced"),"FullyReceived")</f>
        <v>Not Receviced</v>
      </c>
      <c r="Q4067" t="str">
        <f>IF(T[[#This Row],[qty_received]]&lt;&gt;T[[#This Row],[qty_invoiced]],IF(T[[#This Row],[qty_invoiced]]&gt;0,"Partial Invoiced","Not Invoiced"),"Fully Invoiced")</f>
        <v>Partial Invoiced</v>
      </c>
      <c r="R4067" t="str">
        <f>IFERROR(VLOOKUP(T[[#This Row],[warehouse]],Table2[],2,FALSE),"--")</f>
        <v>--</v>
      </c>
    </row>
    <row r="4068" spans="1:18" x14ac:dyDescent="0.25">
      <c r="A4068" t="s">
        <v>1059</v>
      </c>
      <c r="B4068" s="1">
        <v>44761</v>
      </c>
      <c r="C4068" t="s">
        <v>1783</v>
      </c>
      <c r="D4068" t="s">
        <v>1877</v>
      </c>
      <c r="E4068" t="s">
        <v>51</v>
      </c>
      <c r="F4068" t="s">
        <v>384</v>
      </c>
      <c r="G4068" t="s">
        <v>2569</v>
      </c>
      <c r="H4068" t="s">
        <v>54</v>
      </c>
      <c r="I4068">
        <v>2357</v>
      </c>
      <c r="J4068">
        <v>0</v>
      </c>
      <c r="K4068">
        <v>1</v>
      </c>
      <c r="L4068" t="s">
        <v>693</v>
      </c>
      <c r="M4068" t="s">
        <v>2836</v>
      </c>
      <c r="N4068">
        <v>700.04242699999998</v>
      </c>
      <c r="O4068">
        <v>0</v>
      </c>
      <c r="P4068" t="str">
        <f>IF(T[[#This Row],[qty_ordered]]&lt;&gt;T[[#This Row],[qty_received]],IF(T[[#This Row],[qty_received]]&gt;0,"Partial Received","Not Receviced"),"FullyReceived")</f>
        <v>Not Receviced</v>
      </c>
      <c r="Q4068" t="str">
        <f>IF(T[[#This Row],[qty_received]]&lt;&gt;T[[#This Row],[qty_invoiced]],IF(T[[#This Row],[qty_invoiced]]&gt;0,"Partial Invoiced","Not Invoiced"),"Fully Invoiced")</f>
        <v>Partial Invoiced</v>
      </c>
      <c r="R4068" t="str">
        <f>IFERROR(VLOOKUP(T[[#This Row],[warehouse]],Table2[],2,FALSE),"--")</f>
        <v>--</v>
      </c>
    </row>
    <row r="4069" spans="1:18" x14ac:dyDescent="0.25">
      <c r="A4069" t="s">
        <v>1059</v>
      </c>
      <c r="B4069" s="1">
        <v>44761</v>
      </c>
      <c r="C4069" t="s">
        <v>1783</v>
      </c>
      <c r="D4069" t="s">
        <v>1878</v>
      </c>
      <c r="E4069" t="s">
        <v>51</v>
      </c>
      <c r="F4069" t="s">
        <v>185</v>
      </c>
      <c r="G4069" t="s">
        <v>2570</v>
      </c>
      <c r="H4069" t="s">
        <v>54</v>
      </c>
      <c r="I4069">
        <v>1203</v>
      </c>
      <c r="J4069">
        <v>0</v>
      </c>
      <c r="K4069">
        <v>1</v>
      </c>
      <c r="L4069" t="s">
        <v>693</v>
      </c>
      <c r="M4069" t="s">
        <v>2836</v>
      </c>
      <c r="N4069">
        <v>250</v>
      </c>
      <c r="O4069">
        <v>0</v>
      </c>
      <c r="P4069" t="str">
        <f>IF(T[[#This Row],[qty_ordered]]&lt;&gt;T[[#This Row],[qty_received]],IF(T[[#This Row],[qty_received]]&gt;0,"Partial Received","Not Receviced"),"FullyReceived")</f>
        <v>Not Receviced</v>
      </c>
      <c r="Q4069" t="str">
        <f>IF(T[[#This Row],[qty_received]]&lt;&gt;T[[#This Row],[qty_invoiced]],IF(T[[#This Row],[qty_invoiced]]&gt;0,"Partial Invoiced","Not Invoiced"),"Fully Invoiced")</f>
        <v>Partial Invoiced</v>
      </c>
      <c r="R4069" t="str">
        <f>IFERROR(VLOOKUP(T[[#This Row],[warehouse]],Table2[],2,FALSE),"--")</f>
        <v>--</v>
      </c>
    </row>
    <row r="4070" spans="1:18" x14ac:dyDescent="0.25">
      <c r="A4070" t="s">
        <v>959</v>
      </c>
      <c r="B4070" s="1">
        <v>44868</v>
      </c>
      <c r="C4070" t="s">
        <v>2575</v>
      </c>
      <c r="D4070" t="s">
        <v>20</v>
      </c>
      <c r="E4070" t="s">
        <v>214</v>
      </c>
      <c r="F4070" t="s">
        <v>167</v>
      </c>
      <c r="G4070" t="s">
        <v>156</v>
      </c>
      <c r="H4070" t="s">
        <v>24</v>
      </c>
      <c r="I4070">
        <v>400</v>
      </c>
      <c r="J4070">
        <v>400</v>
      </c>
      <c r="K4070">
        <v>400</v>
      </c>
      <c r="L4070" t="s">
        <v>25</v>
      </c>
      <c r="M4070" t="s">
        <v>707</v>
      </c>
      <c r="N4070">
        <v>1070000</v>
      </c>
      <c r="O4070">
        <v>428000000</v>
      </c>
      <c r="P4070" t="str">
        <f>IF(T[[#This Row],[qty_ordered]]&lt;&gt;T[[#This Row],[qty_received]],IF(T[[#This Row],[qty_received]]&gt;0,"Partial Received","Not Receviced"),"FullyReceived")</f>
        <v>FullyReceived</v>
      </c>
      <c r="Q4070" t="str">
        <f>IF(T[[#This Row],[qty_received]]&lt;&gt;T[[#This Row],[qty_invoiced]],IF(T[[#This Row],[qty_invoiced]]&gt;0,"Partial Invoiced","Not Invoiced"),"Fully Invoiced")</f>
        <v>Fully Invoiced</v>
      </c>
      <c r="R4070" t="str">
        <f>IFERROR(VLOOKUP(T[[#This Row],[warehouse]],Table2[],2,FALSE),"--")</f>
        <v>CRUSHER ELBALOLA</v>
      </c>
    </row>
    <row r="4071" spans="1:18" x14ac:dyDescent="0.25">
      <c r="A4071" t="s">
        <v>1413</v>
      </c>
      <c r="B4071" s="1">
        <v>44871</v>
      </c>
      <c r="C4071" t="s">
        <v>2578</v>
      </c>
      <c r="D4071" t="s">
        <v>20</v>
      </c>
      <c r="E4071" t="s">
        <v>1730</v>
      </c>
      <c r="F4071" t="s">
        <v>406</v>
      </c>
      <c r="G4071" t="s">
        <v>407</v>
      </c>
      <c r="H4071" t="s">
        <v>24</v>
      </c>
      <c r="I4071">
        <v>637</v>
      </c>
      <c r="J4071">
        <v>402.67</v>
      </c>
      <c r="K4071">
        <v>0</v>
      </c>
      <c r="L4071" t="s">
        <v>693</v>
      </c>
      <c r="M4071" t="s">
        <v>707</v>
      </c>
      <c r="N4071">
        <v>313971.74254299997</v>
      </c>
      <c r="O4071">
        <v>126427001.56979001</v>
      </c>
      <c r="P4071" t="str">
        <f>IF(T[[#This Row],[qty_ordered]]&lt;&gt;T[[#This Row],[qty_received]],IF(T[[#This Row],[qty_received]]&gt;0,"Partial Received","Not Receviced"),"FullyReceived")</f>
        <v>Partial Received</v>
      </c>
      <c r="Q4071" t="str">
        <f>IF(T[[#This Row],[qty_received]]&lt;&gt;T[[#This Row],[qty_invoiced]],IF(T[[#This Row],[qty_invoiced]]&gt;0,"Partial Invoiced","Not Invoiced"),"Fully Invoiced")</f>
        <v>Not Invoiced</v>
      </c>
      <c r="R4071" t="str">
        <f>IFERROR(VLOOKUP(T[[#This Row],[warehouse]],Table2[],2,FALSE),"--")</f>
        <v>MSG GINNING MDANI</v>
      </c>
    </row>
    <row r="4072" spans="1:18" x14ac:dyDescent="0.25">
      <c r="A4072" t="s">
        <v>959</v>
      </c>
      <c r="B4072" s="1">
        <v>44872</v>
      </c>
      <c r="C4072" t="s">
        <v>2579</v>
      </c>
      <c r="D4072" t="s">
        <v>20</v>
      </c>
      <c r="E4072" t="s">
        <v>214</v>
      </c>
      <c r="F4072" t="s">
        <v>167</v>
      </c>
      <c r="G4072" t="s">
        <v>156</v>
      </c>
      <c r="H4072" t="s">
        <v>24</v>
      </c>
      <c r="I4072">
        <v>600</v>
      </c>
      <c r="J4072">
        <v>600</v>
      </c>
      <c r="K4072">
        <v>600</v>
      </c>
      <c r="L4072" t="s">
        <v>25</v>
      </c>
      <c r="M4072" t="s">
        <v>707</v>
      </c>
      <c r="N4072">
        <v>1065000</v>
      </c>
      <c r="O4072">
        <v>639000000</v>
      </c>
      <c r="P4072" t="str">
        <f>IF(T[[#This Row],[qty_ordered]]&lt;&gt;T[[#This Row],[qty_received]],IF(T[[#This Row],[qty_received]]&gt;0,"Partial Received","Not Receviced"),"FullyReceived")</f>
        <v>FullyReceived</v>
      </c>
      <c r="Q4072" t="str">
        <f>IF(T[[#This Row],[qty_received]]&lt;&gt;T[[#This Row],[qty_invoiced]],IF(T[[#This Row],[qty_invoiced]]&gt;0,"Partial Invoiced","Not Invoiced"),"Fully Invoiced")</f>
        <v>Fully Invoiced</v>
      </c>
      <c r="R4072" t="str">
        <f>IFERROR(VLOOKUP(T[[#This Row],[warehouse]],Table2[],2,FALSE),"--")</f>
        <v>CRUSHER ELBALOLA</v>
      </c>
    </row>
    <row r="4073" spans="1:18" x14ac:dyDescent="0.25">
      <c r="A4073" t="s">
        <v>989</v>
      </c>
      <c r="B4073" s="1">
        <v>44879</v>
      </c>
      <c r="C4073" t="s">
        <v>2590</v>
      </c>
      <c r="D4073" t="s">
        <v>71</v>
      </c>
      <c r="E4073" t="s">
        <v>51</v>
      </c>
      <c r="F4073" t="s">
        <v>183</v>
      </c>
      <c r="G4073" t="s">
        <v>1514</v>
      </c>
      <c r="H4073" t="s">
        <v>54</v>
      </c>
      <c r="I4073">
        <v>350</v>
      </c>
      <c r="J4073">
        <v>0</v>
      </c>
      <c r="K4073">
        <v>1</v>
      </c>
      <c r="L4073" t="s">
        <v>693</v>
      </c>
      <c r="M4073" t="s">
        <v>2836</v>
      </c>
      <c r="N4073">
        <v>13000</v>
      </c>
      <c r="O4073">
        <v>0</v>
      </c>
      <c r="P4073" t="str">
        <f>IF(T[[#This Row],[qty_ordered]]&lt;&gt;T[[#This Row],[qty_received]],IF(T[[#This Row],[qty_received]]&gt;0,"Partial Received","Not Receviced"),"FullyReceived")</f>
        <v>Not Receviced</v>
      </c>
      <c r="Q4073" t="str">
        <f>IF(T[[#This Row],[qty_received]]&lt;&gt;T[[#This Row],[qty_invoiced]],IF(T[[#This Row],[qty_invoiced]]&gt;0,"Partial Invoiced","Not Invoiced"),"Fully Invoiced")</f>
        <v>Partial Invoiced</v>
      </c>
      <c r="R4073" t="str">
        <f>IFERROR(VLOOKUP(T[[#This Row],[warehouse]],Table2[],2,FALSE),"--")</f>
        <v>--</v>
      </c>
    </row>
    <row r="4074" spans="1:18" x14ac:dyDescent="0.25">
      <c r="A4074" t="s">
        <v>2593</v>
      </c>
      <c r="B4074" s="1">
        <v>44898</v>
      </c>
      <c r="C4074" t="s">
        <v>2905</v>
      </c>
      <c r="D4074" t="s">
        <v>20</v>
      </c>
      <c r="E4074" t="s">
        <v>51</v>
      </c>
      <c r="F4074" t="s">
        <v>52</v>
      </c>
      <c r="G4074" t="s">
        <v>2906</v>
      </c>
      <c r="H4074" t="s">
        <v>54</v>
      </c>
      <c r="I4074">
        <v>4</v>
      </c>
      <c r="J4074">
        <v>0</v>
      </c>
      <c r="K4074">
        <v>1</v>
      </c>
      <c r="L4074" t="s">
        <v>693</v>
      </c>
      <c r="M4074" t="s">
        <v>132</v>
      </c>
      <c r="N4074">
        <v>30000</v>
      </c>
      <c r="O4074">
        <v>0</v>
      </c>
      <c r="P4074" t="str">
        <f>IF(T[[#This Row],[qty_ordered]]&lt;&gt;T[[#This Row],[qty_received]],IF(T[[#This Row],[qty_received]]&gt;0,"Partial Received","Not Receviced"),"FullyReceived")</f>
        <v>Not Receviced</v>
      </c>
      <c r="Q4074" t="str">
        <f>IF(T[[#This Row],[qty_received]]&lt;&gt;T[[#This Row],[qty_invoiced]],IF(T[[#This Row],[qty_invoiced]]&gt;0,"Partial Invoiced","Not Invoiced"),"Fully Invoiced")</f>
        <v>Partial Invoiced</v>
      </c>
      <c r="R4074" t="str">
        <f>IFERROR(VLOOKUP(T[[#This Row],[warehouse]],Table2[],2,FALSE),"--")</f>
        <v>--</v>
      </c>
    </row>
    <row r="4075" spans="1:18" x14ac:dyDescent="0.25">
      <c r="A4075" t="s">
        <v>84</v>
      </c>
      <c r="B4075" s="1">
        <v>44854</v>
      </c>
      <c r="C4075" t="s">
        <v>2463</v>
      </c>
      <c r="D4075" t="s">
        <v>74</v>
      </c>
      <c r="E4075" t="s">
        <v>1139</v>
      </c>
      <c r="F4075" t="s">
        <v>108</v>
      </c>
      <c r="G4075" t="s">
        <v>109</v>
      </c>
      <c r="H4075" t="s">
        <v>24</v>
      </c>
      <c r="I4075">
        <v>500</v>
      </c>
      <c r="J4075">
        <v>270.76</v>
      </c>
      <c r="K4075">
        <v>270.76</v>
      </c>
      <c r="L4075" t="s">
        <v>693</v>
      </c>
      <c r="M4075" t="s">
        <v>1485</v>
      </c>
      <c r="N4075">
        <v>700875</v>
      </c>
      <c r="O4075">
        <v>189768915</v>
      </c>
      <c r="P4075" t="str">
        <f>IF(T[[#This Row],[qty_ordered]]&lt;&gt;T[[#This Row],[qty_received]],IF(T[[#This Row],[qty_received]]&gt;0,"Partial Received","Not Receviced"),"FullyReceived")</f>
        <v>Partial Received</v>
      </c>
      <c r="Q4075" t="str">
        <f>IF(T[[#This Row],[qty_received]]&lt;&gt;T[[#This Row],[qty_invoiced]],IF(T[[#This Row],[qty_invoiced]]&gt;0,"Partial Invoiced","Not Invoiced"),"Fully Invoiced")</f>
        <v>Fully Invoiced</v>
      </c>
      <c r="R4075" t="str">
        <f>IFERROR(VLOOKUP(T[[#This Row],[warehouse]],Table2[],2,FALSE),"--")</f>
        <v>Magzoub Sorting - OMD</v>
      </c>
    </row>
    <row r="4076" spans="1:18" x14ac:dyDescent="0.25">
      <c r="A4076" t="s">
        <v>423</v>
      </c>
      <c r="B4076" s="1">
        <v>44886</v>
      </c>
      <c r="C4076" t="s">
        <v>2879</v>
      </c>
      <c r="D4076" t="s">
        <v>100</v>
      </c>
      <c r="E4076" t="s">
        <v>51</v>
      </c>
      <c r="F4076" t="s">
        <v>546</v>
      </c>
      <c r="G4076" t="s">
        <v>1504</v>
      </c>
      <c r="H4076" t="s">
        <v>54</v>
      </c>
      <c r="I4076">
        <v>5000</v>
      </c>
      <c r="J4076">
        <v>0</v>
      </c>
      <c r="K4076">
        <v>1</v>
      </c>
      <c r="L4076" t="s">
        <v>693</v>
      </c>
      <c r="M4076" t="s">
        <v>2836</v>
      </c>
      <c r="N4076">
        <v>26</v>
      </c>
      <c r="O4076">
        <v>0</v>
      </c>
      <c r="P4076" t="str">
        <f>IF(T[[#This Row],[qty_ordered]]&lt;&gt;T[[#This Row],[qty_received]],IF(T[[#This Row],[qty_received]]&gt;0,"Partial Received","Not Receviced"),"FullyReceived")</f>
        <v>Not Receviced</v>
      </c>
      <c r="Q4076" t="str">
        <f>IF(T[[#This Row],[qty_received]]&lt;&gt;T[[#This Row],[qty_invoiced]],IF(T[[#This Row],[qty_invoiced]]&gt;0,"Partial Invoiced","Not Invoiced"),"Fully Invoiced")</f>
        <v>Partial Invoiced</v>
      </c>
      <c r="R4076" t="str">
        <f>IFERROR(VLOOKUP(T[[#This Row],[warehouse]],Table2[],2,FALSE),"--")</f>
        <v>--</v>
      </c>
    </row>
    <row r="4077" spans="1:18" x14ac:dyDescent="0.25">
      <c r="A4077" t="s">
        <v>423</v>
      </c>
      <c r="B4077" s="1">
        <v>44899</v>
      </c>
      <c r="C4077" t="s">
        <v>2908</v>
      </c>
      <c r="D4077" t="s">
        <v>20</v>
      </c>
      <c r="E4077" t="s">
        <v>51</v>
      </c>
      <c r="F4077" t="s">
        <v>546</v>
      </c>
      <c r="G4077" t="s">
        <v>2909</v>
      </c>
      <c r="H4077" t="s">
        <v>54</v>
      </c>
      <c r="I4077">
        <v>1500</v>
      </c>
      <c r="J4077">
        <v>0</v>
      </c>
      <c r="K4077">
        <v>1</v>
      </c>
      <c r="L4077" t="s">
        <v>693</v>
      </c>
      <c r="M4077" t="s">
        <v>2836</v>
      </c>
      <c r="N4077">
        <v>36</v>
      </c>
      <c r="O4077">
        <v>0</v>
      </c>
      <c r="P4077" t="str">
        <f>IF(T[[#This Row],[qty_ordered]]&lt;&gt;T[[#This Row],[qty_received]],IF(T[[#This Row],[qty_received]]&gt;0,"Partial Received","Not Receviced"),"FullyReceived")</f>
        <v>Not Receviced</v>
      </c>
      <c r="Q4077" t="str">
        <f>IF(T[[#This Row],[qty_received]]&lt;&gt;T[[#This Row],[qty_invoiced]],IF(T[[#This Row],[qty_invoiced]]&gt;0,"Partial Invoiced","Not Invoiced"),"Fully Invoiced")</f>
        <v>Partial Invoiced</v>
      </c>
      <c r="R4077" t="str">
        <f>IFERROR(VLOOKUP(T[[#This Row],[warehouse]],Table2[],2,FALSE),"--")</f>
        <v>--</v>
      </c>
    </row>
    <row r="4078" spans="1:18" x14ac:dyDescent="0.25">
      <c r="A4078" t="s">
        <v>235</v>
      </c>
      <c r="B4078" s="1">
        <v>44586</v>
      </c>
      <c r="C4078" t="s">
        <v>1715</v>
      </c>
      <c r="D4078" t="s">
        <v>322</v>
      </c>
      <c r="E4078" t="s">
        <v>51</v>
      </c>
      <c r="F4078" t="s">
        <v>546</v>
      </c>
      <c r="G4078" t="s">
        <v>2910</v>
      </c>
      <c r="H4078" t="s">
        <v>54</v>
      </c>
      <c r="I4078">
        <v>1500</v>
      </c>
      <c r="J4078">
        <v>0</v>
      </c>
      <c r="K4078">
        <v>1</v>
      </c>
      <c r="L4078" t="s">
        <v>693</v>
      </c>
      <c r="M4078" t="s">
        <v>2836</v>
      </c>
      <c r="N4078">
        <v>17</v>
      </c>
      <c r="O4078">
        <v>0</v>
      </c>
      <c r="P4078" t="str">
        <f>IF(T[[#This Row],[qty_ordered]]&lt;&gt;T[[#This Row],[qty_received]],IF(T[[#This Row],[qty_received]]&gt;0,"Partial Received","Not Receviced"),"FullyReceived")</f>
        <v>Not Receviced</v>
      </c>
      <c r="Q4078" t="str">
        <f>IF(T[[#This Row],[qty_received]]&lt;&gt;T[[#This Row],[qty_invoiced]],IF(T[[#This Row],[qty_invoiced]]&gt;0,"Partial Invoiced","Not Invoiced"),"Fully Invoiced")</f>
        <v>Partial Invoiced</v>
      </c>
      <c r="R4078" t="str">
        <f>IFERROR(VLOOKUP(T[[#This Row],[warehouse]],Table2[],2,FALSE),"--")</f>
        <v>--</v>
      </c>
    </row>
    <row r="4079" spans="1:18" x14ac:dyDescent="0.25">
      <c r="A4079" t="s">
        <v>235</v>
      </c>
      <c r="B4079" s="1">
        <v>44586</v>
      </c>
      <c r="C4079" t="s">
        <v>1715</v>
      </c>
      <c r="D4079" t="s">
        <v>323</v>
      </c>
      <c r="E4079" t="s">
        <v>51</v>
      </c>
      <c r="F4079" t="s">
        <v>546</v>
      </c>
      <c r="G4079" t="s">
        <v>2911</v>
      </c>
      <c r="H4079" t="s">
        <v>54</v>
      </c>
      <c r="I4079">
        <v>4500</v>
      </c>
      <c r="J4079">
        <v>0</v>
      </c>
      <c r="K4079">
        <v>1</v>
      </c>
      <c r="L4079" t="s">
        <v>693</v>
      </c>
      <c r="M4079" t="s">
        <v>2836</v>
      </c>
      <c r="N4079">
        <v>17</v>
      </c>
      <c r="O4079">
        <v>0</v>
      </c>
      <c r="P4079" t="str">
        <f>IF(T[[#This Row],[qty_ordered]]&lt;&gt;T[[#This Row],[qty_received]],IF(T[[#This Row],[qty_received]]&gt;0,"Partial Received","Not Receviced"),"FullyReceived")</f>
        <v>Not Receviced</v>
      </c>
      <c r="Q4079" t="str">
        <f>IF(T[[#This Row],[qty_received]]&lt;&gt;T[[#This Row],[qty_invoiced]],IF(T[[#This Row],[qty_invoiced]]&gt;0,"Partial Invoiced","Not Invoiced"),"Fully Invoiced")</f>
        <v>Partial Invoiced</v>
      </c>
      <c r="R4079" t="str">
        <f>IFERROR(VLOOKUP(T[[#This Row],[warehouse]],Table2[],2,FALSE),"--")</f>
        <v>--</v>
      </c>
    </row>
    <row r="4080" spans="1:18" x14ac:dyDescent="0.25">
      <c r="A4080" t="s">
        <v>235</v>
      </c>
      <c r="B4080" s="1">
        <v>44899</v>
      </c>
      <c r="C4080" t="s">
        <v>2912</v>
      </c>
      <c r="D4080" t="s">
        <v>20</v>
      </c>
      <c r="E4080" t="s">
        <v>51</v>
      </c>
      <c r="F4080" t="s">
        <v>546</v>
      </c>
      <c r="G4080" t="s">
        <v>1499</v>
      </c>
      <c r="H4080" t="s">
        <v>54</v>
      </c>
      <c r="I4080">
        <v>2000</v>
      </c>
      <c r="J4080">
        <v>0</v>
      </c>
      <c r="K4080">
        <v>1</v>
      </c>
      <c r="L4080" t="s">
        <v>693</v>
      </c>
      <c r="M4080" t="s">
        <v>2836</v>
      </c>
      <c r="N4080">
        <v>17</v>
      </c>
      <c r="O4080">
        <v>0</v>
      </c>
      <c r="P4080" t="str">
        <f>IF(T[[#This Row],[qty_ordered]]&lt;&gt;T[[#This Row],[qty_received]],IF(T[[#This Row],[qty_received]]&gt;0,"Partial Received","Not Receviced"),"FullyReceived")</f>
        <v>Not Receviced</v>
      </c>
      <c r="Q4080" t="str">
        <f>IF(T[[#This Row],[qty_received]]&lt;&gt;T[[#This Row],[qty_invoiced]],IF(T[[#This Row],[qty_invoiced]]&gt;0,"Partial Invoiced","Not Invoiced"),"Fully Invoiced")</f>
        <v>Partial Invoiced</v>
      </c>
      <c r="R4080" t="str">
        <f>IFERROR(VLOOKUP(T[[#This Row],[warehouse]],Table2[],2,FALSE),"--")</f>
        <v>--</v>
      </c>
    </row>
    <row r="4081" spans="1:18" x14ac:dyDescent="0.25">
      <c r="A4081" t="s">
        <v>959</v>
      </c>
      <c r="B4081" s="1">
        <v>44899</v>
      </c>
      <c r="C4081" t="s">
        <v>2913</v>
      </c>
      <c r="D4081" t="s">
        <v>20</v>
      </c>
      <c r="E4081" t="s">
        <v>214</v>
      </c>
      <c r="F4081" t="s">
        <v>167</v>
      </c>
      <c r="G4081" t="s">
        <v>156</v>
      </c>
      <c r="H4081" t="s">
        <v>24</v>
      </c>
      <c r="I4081">
        <v>500</v>
      </c>
      <c r="J4081">
        <v>500</v>
      </c>
      <c r="K4081">
        <v>500</v>
      </c>
      <c r="L4081" t="s">
        <v>693</v>
      </c>
      <c r="M4081" t="s">
        <v>707</v>
      </c>
      <c r="N4081">
        <v>1050000</v>
      </c>
      <c r="O4081">
        <v>525000000</v>
      </c>
      <c r="P4081" t="str">
        <f>IF(T[[#This Row],[qty_ordered]]&lt;&gt;T[[#This Row],[qty_received]],IF(T[[#This Row],[qty_received]]&gt;0,"Partial Received","Not Receviced"),"FullyReceived")</f>
        <v>FullyReceived</v>
      </c>
      <c r="Q4081" t="str">
        <f>IF(T[[#This Row],[qty_received]]&lt;&gt;T[[#This Row],[qty_invoiced]],IF(T[[#This Row],[qty_invoiced]]&gt;0,"Partial Invoiced","Not Invoiced"),"Fully Invoiced")</f>
        <v>Fully Invoiced</v>
      </c>
      <c r="R4081" t="str">
        <f>IFERROR(VLOOKUP(T[[#This Row],[warehouse]],Table2[],2,FALSE),"--")</f>
        <v>CRUSHER ELBALOLA</v>
      </c>
    </row>
    <row r="4082" spans="1:18" x14ac:dyDescent="0.25">
      <c r="A4082" t="s">
        <v>959</v>
      </c>
      <c r="B4082" s="1">
        <v>44899</v>
      </c>
      <c r="C4082" t="s">
        <v>2914</v>
      </c>
      <c r="D4082" t="s">
        <v>20</v>
      </c>
      <c r="E4082" t="s">
        <v>214</v>
      </c>
      <c r="F4082" t="s">
        <v>526</v>
      </c>
      <c r="G4082" t="s">
        <v>472</v>
      </c>
      <c r="H4082" t="s">
        <v>123</v>
      </c>
      <c r="I4082">
        <v>2800</v>
      </c>
      <c r="J4082">
        <v>2800</v>
      </c>
      <c r="K4082">
        <v>2800</v>
      </c>
      <c r="L4082" t="s">
        <v>693</v>
      </c>
      <c r="M4082" t="s">
        <v>707</v>
      </c>
      <c r="N4082">
        <v>29500</v>
      </c>
      <c r="O4082">
        <v>82600000</v>
      </c>
      <c r="P4082" t="str">
        <f>IF(T[[#This Row],[qty_ordered]]&lt;&gt;T[[#This Row],[qty_received]],IF(T[[#This Row],[qty_received]]&gt;0,"Partial Received","Not Receviced"),"FullyReceived")</f>
        <v>FullyReceived</v>
      </c>
      <c r="Q4082" t="str">
        <f>IF(T[[#This Row],[qty_received]]&lt;&gt;T[[#This Row],[qty_invoiced]],IF(T[[#This Row],[qty_invoiced]]&gt;0,"Partial Invoiced","Not Invoiced"),"Fully Invoiced")</f>
        <v>Fully Invoiced</v>
      </c>
      <c r="R4082" t="str">
        <f>IFERROR(VLOOKUP(T[[#This Row],[warehouse]],Table2[],2,FALSE),"--")</f>
        <v>CRUSHER ELBALOLA</v>
      </c>
    </row>
    <row r="4083" spans="1:18" x14ac:dyDescent="0.25">
      <c r="A4083" t="s">
        <v>2304</v>
      </c>
      <c r="B4083" s="1">
        <v>44788</v>
      </c>
      <c r="C4083" t="s">
        <v>2319</v>
      </c>
      <c r="D4083" t="s">
        <v>322</v>
      </c>
      <c r="E4083" t="s">
        <v>51</v>
      </c>
      <c r="F4083" t="s">
        <v>164</v>
      </c>
      <c r="G4083" t="s">
        <v>2030</v>
      </c>
      <c r="H4083" t="s">
        <v>54</v>
      </c>
      <c r="I4083">
        <v>283.45</v>
      </c>
      <c r="J4083">
        <v>0</v>
      </c>
      <c r="K4083">
        <v>1</v>
      </c>
      <c r="L4083" t="s">
        <v>693</v>
      </c>
      <c r="M4083" t="s">
        <v>2836</v>
      </c>
      <c r="N4083">
        <v>300</v>
      </c>
      <c r="O4083">
        <v>0</v>
      </c>
      <c r="P4083" t="str">
        <f>IF(T[[#This Row],[qty_ordered]]&lt;&gt;T[[#This Row],[qty_received]],IF(T[[#This Row],[qty_received]]&gt;0,"Partial Received","Not Receviced"),"FullyReceived")</f>
        <v>Not Receviced</v>
      </c>
      <c r="Q4083" t="str">
        <f>IF(T[[#This Row],[qty_received]]&lt;&gt;T[[#This Row],[qty_invoiced]],IF(T[[#This Row],[qty_invoiced]]&gt;0,"Partial Invoiced","Not Invoiced"),"Fully Invoiced")</f>
        <v>Partial Invoiced</v>
      </c>
      <c r="R4083" t="str">
        <f>IFERROR(VLOOKUP(T[[#This Row],[warehouse]],Table2[],2,FALSE),"--")</f>
        <v>--</v>
      </c>
    </row>
    <row r="4084" spans="1:18" x14ac:dyDescent="0.25">
      <c r="A4084" t="s">
        <v>2304</v>
      </c>
      <c r="B4084" s="1">
        <v>44788</v>
      </c>
      <c r="C4084" t="s">
        <v>2320</v>
      </c>
      <c r="D4084" t="s">
        <v>74</v>
      </c>
      <c r="E4084" t="s">
        <v>51</v>
      </c>
      <c r="F4084" t="s">
        <v>164</v>
      </c>
      <c r="G4084" t="s">
        <v>2321</v>
      </c>
      <c r="H4084" t="s">
        <v>54</v>
      </c>
      <c r="I4084">
        <v>507.23</v>
      </c>
      <c r="J4084">
        <v>0</v>
      </c>
      <c r="K4084">
        <v>1</v>
      </c>
      <c r="L4084" t="s">
        <v>693</v>
      </c>
      <c r="M4084" t="s">
        <v>2836</v>
      </c>
      <c r="N4084">
        <v>300</v>
      </c>
      <c r="O4084">
        <v>0</v>
      </c>
      <c r="P4084" t="str">
        <f>IF(T[[#This Row],[qty_ordered]]&lt;&gt;T[[#This Row],[qty_received]],IF(T[[#This Row],[qty_received]]&gt;0,"Partial Received","Not Receviced"),"FullyReceived")</f>
        <v>Not Receviced</v>
      </c>
      <c r="Q4084" t="str">
        <f>IF(T[[#This Row],[qty_received]]&lt;&gt;T[[#This Row],[qty_invoiced]],IF(T[[#This Row],[qty_invoiced]]&gt;0,"Partial Invoiced","Not Invoiced"),"Fully Invoiced")</f>
        <v>Partial Invoiced</v>
      </c>
      <c r="R4084" t="str">
        <f>IFERROR(VLOOKUP(T[[#This Row],[warehouse]],Table2[],2,FALSE),"--")</f>
        <v>--</v>
      </c>
    </row>
    <row r="4085" spans="1:18" x14ac:dyDescent="0.25">
      <c r="A4085" t="s">
        <v>423</v>
      </c>
      <c r="B4085" s="1">
        <v>44677</v>
      </c>
      <c r="C4085" t="s">
        <v>2161</v>
      </c>
      <c r="D4085" t="s">
        <v>71</v>
      </c>
      <c r="E4085" t="s">
        <v>1142</v>
      </c>
      <c r="F4085" t="s">
        <v>1677</v>
      </c>
      <c r="G4085" t="s">
        <v>1678</v>
      </c>
      <c r="H4085" t="s">
        <v>149</v>
      </c>
      <c r="I4085">
        <v>14500</v>
      </c>
      <c r="J4085">
        <v>14500</v>
      </c>
      <c r="K4085">
        <v>14500</v>
      </c>
      <c r="L4085" t="s">
        <v>693</v>
      </c>
      <c r="M4085" t="s">
        <v>1404</v>
      </c>
      <c r="N4085">
        <v>378</v>
      </c>
      <c r="O4085">
        <v>5481000</v>
      </c>
      <c r="P4085" t="str">
        <f>IF(T[[#This Row],[qty_ordered]]&lt;&gt;T[[#This Row],[qty_received]],IF(T[[#This Row],[qty_received]]&gt;0,"Partial Received","Not Receviced"),"FullyReceived")</f>
        <v>FullyReceived</v>
      </c>
      <c r="Q4085" t="str">
        <f>IF(T[[#This Row],[qty_received]]&lt;&gt;T[[#This Row],[qty_invoiced]],IF(T[[#This Row],[qty_invoiced]]&gt;0,"Partial Invoiced","Not Invoiced"),"Fully Invoiced")</f>
        <v>Fully Invoiced</v>
      </c>
      <c r="R4085" t="str">
        <f>IFERROR(VLOOKUP(T[[#This Row],[warehouse]],Table2[],2,FALSE),"--")</f>
        <v>SAVOLA W/H FOR EXPOR</v>
      </c>
    </row>
    <row r="4086" spans="1:18" x14ac:dyDescent="0.25">
      <c r="A4086" t="s">
        <v>2377</v>
      </c>
      <c r="B4086" s="1">
        <v>44902</v>
      </c>
      <c r="C4086" t="s">
        <v>2931</v>
      </c>
      <c r="D4086" t="s">
        <v>20</v>
      </c>
      <c r="E4086" t="s">
        <v>1220</v>
      </c>
      <c r="F4086" t="s">
        <v>1338</v>
      </c>
      <c r="G4086" t="s">
        <v>1339</v>
      </c>
      <c r="H4086" t="s">
        <v>123</v>
      </c>
      <c r="I4086">
        <v>140000</v>
      </c>
      <c r="J4086">
        <v>140000</v>
      </c>
      <c r="K4086">
        <v>140000</v>
      </c>
      <c r="L4086" t="s">
        <v>693</v>
      </c>
      <c r="M4086" t="s">
        <v>707</v>
      </c>
      <c r="N4086">
        <v>17657.36</v>
      </c>
      <c r="O4086">
        <v>2472030400</v>
      </c>
      <c r="P4086" t="str">
        <f>IF(T[[#This Row],[qty_ordered]]&lt;&gt;T[[#This Row],[qty_received]],IF(T[[#This Row],[qty_received]]&gt;0,"Partial Received","Not Receviced"),"FullyReceived")</f>
        <v>FullyReceived</v>
      </c>
      <c r="Q4086" t="str">
        <f>IF(T[[#This Row],[qty_received]]&lt;&gt;T[[#This Row],[qty_invoiced]],IF(T[[#This Row],[qty_invoiced]]&gt;0,"Partial Invoiced","Not Invoiced"),"Fully Invoiced")</f>
        <v>Fully Invoiced</v>
      </c>
      <c r="R4086" t="str">
        <f>IFERROR(VLOOKUP(T[[#This Row],[warehouse]],Table2[],2,FALSE),"--")</f>
        <v>Import Virtual Warehouse - PZU</v>
      </c>
    </row>
    <row r="4087" spans="1:18" x14ac:dyDescent="0.25">
      <c r="A4087" t="s">
        <v>2377</v>
      </c>
      <c r="B4087" s="1">
        <v>44902</v>
      </c>
      <c r="C4087" t="s">
        <v>2931</v>
      </c>
      <c r="D4087" t="s">
        <v>71</v>
      </c>
      <c r="E4087" t="s">
        <v>1220</v>
      </c>
      <c r="F4087" t="s">
        <v>1307</v>
      </c>
      <c r="G4087" t="s">
        <v>1308</v>
      </c>
      <c r="H4087" t="s">
        <v>149</v>
      </c>
      <c r="I4087">
        <v>2800</v>
      </c>
      <c r="J4087">
        <v>42</v>
      </c>
      <c r="K4087">
        <v>0</v>
      </c>
      <c r="L4087" t="s">
        <v>693</v>
      </c>
      <c r="M4087" t="s">
        <v>707</v>
      </c>
      <c r="N4087">
        <v>0</v>
      </c>
      <c r="O4087">
        <v>0</v>
      </c>
      <c r="P4087" t="str">
        <f>IF(T[[#This Row],[qty_ordered]]&lt;&gt;T[[#This Row],[qty_received]],IF(T[[#This Row],[qty_received]]&gt;0,"Partial Received","Not Receviced"),"FullyReceived")</f>
        <v>Partial Received</v>
      </c>
      <c r="Q4087" t="str">
        <f>IF(T[[#This Row],[qty_received]]&lt;&gt;T[[#This Row],[qty_invoiced]],IF(T[[#This Row],[qty_invoiced]]&gt;0,"Partial Invoiced","Not Invoiced"),"Fully Invoiced")</f>
        <v>Not Invoiced</v>
      </c>
      <c r="R4087" t="str">
        <f>IFERROR(VLOOKUP(T[[#This Row],[warehouse]],Table2[],2,FALSE),"--")</f>
        <v>Import Virtual Warehouse - PZU</v>
      </c>
    </row>
    <row r="4088" spans="1:18" x14ac:dyDescent="0.25">
      <c r="A4088" t="s">
        <v>2175</v>
      </c>
      <c r="B4088" s="1">
        <v>44640</v>
      </c>
      <c r="C4088" t="s">
        <v>2211</v>
      </c>
      <c r="D4088" t="s">
        <v>88</v>
      </c>
      <c r="E4088" t="s">
        <v>51</v>
      </c>
      <c r="F4088" t="s">
        <v>933</v>
      </c>
      <c r="G4088" t="s">
        <v>2932</v>
      </c>
      <c r="H4088" t="s">
        <v>54</v>
      </c>
      <c r="I4088">
        <v>1</v>
      </c>
      <c r="J4088">
        <v>0</v>
      </c>
      <c r="K4088">
        <v>0</v>
      </c>
      <c r="L4088" t="s">
        <v>25</v>
      </c>
      <c r="M4088" t="s">
        <v>707</v>
      </c>
      <c r="N4088">
        <v>8112747.46906</v>
      </c>
      <c r="O4088">
        <v>0</v>
      </c>
      <c r="P4088" t="str">
        <f>IF(T[[#This Row],[qty_ordered]]&lt;&gt;T[[#This Row],[qty_received]],IF(T[[#This Row],[qty_received]]&gt;0,"Partial Received","Not Receviced"),"FullyReceived")</f>
        <v>Not Receviced</v>
      </c>
      <c r="Q4088" t="str">
        <f>IF(T[[#This Row],[qty_received]]&lt;&gt;T[[#This Row],[qty_invoiced]],IF(T[[#This Row],[qty_invoiced]]&gt;0,"Partial Invoiced","Not Invoiced"),"Fully Invoiced")</f>
        <v>Fully Invoiced</v>
      </c>
      <c r="R4088" t="str">
        <f>IFERROR(VLOOKUP(T[[#This Row],[warehouse]],Table2[],2,FALSE),"--")</f>
        <v>--</v>
      </c>
    </row>
    <row r="4089" spans="1:18" x14ac:dyDescent="0.25">
      <c r="A4089" t="s">
        <v>2175</v>
      </c>
      <c r="B4089" s="1">
        <v>44640</v>
      </c>
      <c r="C4089" t="s">
        <v>2211</v>
      </c>
      <c r="D4089" t="s">
        <v>74</v>
      </c>
      <c r="E4089" t="s">
        <v>51</v>
      </c>
      <c r="F4089" t="s">
        <v>933</v>
      </c>
      <c r="G4089" t="s">
        <v>2932</v>
      </c>
      <c r="H4089" t="s">
        <v>54</v>
      </c>
      <c r="I4089">
        <v>1</v>
      </c>
      <c r="J4089">
        <v>0</v>
      </c>
      <c r="K4089">
        <v>0</v>
      </c>
      <c r="L4089" t="s">
        <v>25</v>
      </c>
      <c r="M4089" t="s">
        <v>707</v>
      </c>
      <c r="N4089">
        <v>2795208</v>
      </c>
      <c r="O4089">
        <v>0</v>
      </c>
      <c r="P4089" t="str">
        <f>IF(T[[#This Row],[qty_ordered]]&lt;&gt;T[[#This Row],[qty_received]],IF(T[[#This Row],[qty_received]]&gt;0,"Partial Received","Not Receviced"),"FullyReceived")</f>
        <v>Not Receviced</v>
      </c>
      <c r="Q4089" t="str">
        <f>IF(T[[#This Row],[qty_received]]&lt;&gt;T[[#This Row],[qty_invoiced]],IF(T[[#This Row],[qty_invoiced]]&gt;0,"Partial Invoiced","Not Invoiced"),"Fully Invoiced")</f>
        <v>Fully Invoiced</v>
      </c>
      <c r="R4089" t="str">
        <f>IFERROR(VLOOKUP(T[[#This Row],[warehouse]],Table2[],2,FALSE),"--")</f>
        <v>--</v>
      </c>
    </row>
    <row r="4090" spans="1:18" x14ac:dyDescent="0.25">
      <c r="A4090" t="s">
        <v>201</v>
      </c>
      <c r="B4090" s="1">
        <v>44903</v>
      </c>
      <c r="C4090" t="s">
        <v>2939</v>
      </c>
      <c r="D4090" t="s">
        <v>20</v>
      </c>
      <c r="E4090" t="s">
        <v>1220</v>
      </c>
      <c r="F4090" t="s">
        <v>1221</v>
      </c>
      <c r="G4090" t="s">
        <v>1634</v>
      </c>
      <c r="H4090" t="s">
        <v>123</v>
      </c>
      <c r="I4090">
        <v>336195</v>
      </c>
      <c r="J4090">
        <v>336195</v>
      </c>
      <c r="K4090">
        <v>336195</v>
      </c>
      <c r="L4090" t="s">
        <v>693</v>
      </c>
      <c r="M4090" t="s">
        <v>707</v>
      </c>
      <c r="N4090">
        <v>17849.690087999999</v>
      </c>
      <c r="O4090">
        <v>6000976559.1351604</v>
      </c>
      <c r="P4090" t="str">
        <f>IF(T[[#This Row],[qty_ordered]]&lt;&gt;T[[#This Row],[qty_received]],IF(T[[#This Row],[qty_received]]&gt;0,"Partial Received","Not Receviced"),"FullyReceived")</f>
        <v>FullyReceived</v>
      </c>
      <c r="Q4090" t="str">
        <f>IF(T[[#This Row],[qty_received]]&lt;&gt;T[[#This Row],[qty_invoiced]],IF(T[[#This Row],[qty_invoiced]]&gt;0,"Partial Invoiced","Not Invoiced"),"Fully Invoiced")</f>
        <v>Fully Invoiced</v>
      </c>
      <c r="R4090" t="str">
        <f>IFERROR(VLOOKUP(T[[#This Row],[warehouse]],Table2[],2,FALSE),"--")</f>
        <v>Import Virtual Warehouse - PZU</v>
      </c>
    </row>
    <row r="4091" spans="1:18" x14ac:dyDescent="0.25">
      <c r="A4091" t="s">
        <v>201</v>
      </c>
      <c r="B4091" s="1">
        <v>44903</v>
      </c>
      <c r="C4091" t="s">
        <v>2939</v>
      </c>
      <c r="D4091" t="s">
        <v>71</v>
      </c>
      <c r="E4091" t="s">
        <v>1220</v>
      </c>
      <c r="F4091" t="s">
        <v>1307</v>
      </c>
      <c r="G4091" t="s">
        <v>1308</v>
      </c>
      <c r="H4091" t="s">
        <v>149</v>
      </c>
      <c r="I4091">
        <v>6600</v>
      </c>
      <c r="J4091">
        <v>0</v>
      </c>
      <c r="K4091">
        <v>0</v>
      </c>
      <c r="L4091" t="s">
        <v>693</v>
      </c>
      <c r="M4091" t="s">
        <v>707</v>
      </c>
      <c r="N4091">
        <v>0</v>
      </c>
      <c r="O4091">
        <v>0</v>
      </c>
      <c r="P4091" t="str">
        <f>IF(T[[#This Row],[qty_ordered]]&lt;&gt;T[[#This Row],[qty_received]],IF(T[[#This Row],[qty_received]]&gt;0,"Partial Received","Not Receviced"),"FullyReceived")</f>
        <v>Not Receviced</v>
      </c>
      <c r="Q4091" t="str">
        <f>IF(T[[#This Row],[qty_received]]&lt;&gt;T[[#This Row],[qty_invoiced]],IF(T[[#This Row],[qty_invoiced]]&gt;0,"Partial Invoiced","Not Invoiced"),"Fully Invoiced")</f>
        <v>Fully Invoiced</v>
      </c>
      <c r="R4091" t="str">
        <f>IFERROR(VLOOKUP(T[[#This Row],[warehouse]],Table2[],2,FALSE),"--")</f>
        <v>Import Virtual Warehouse - PZU</v>
      </c>
    </row>
    <row r="4092" spans="1:18" x14ac:dyDescent="0.25">
      <c r="A4092" t="s">
        <v>1868</v>
      </c>
      <c r="B4092" s="1">
        <v>44677</v>
      </c>
      <c r="C4092" t="s">
        <v>2162</v>
      </c>
      <c r="D4092" t="s">
        <v>100</v>
      </c>
      <c r="E4092" t="s">
        <v>146</v>
      </c>
      <c r="F4092" t="s">
        <v>1677</v>
      </c>
      <c r="G4092" t="s">
        <v>1678</v>
      </c>
      <c r="H4092" t="s">
        <v>149</v>
      </c>
      <c r="I4092">
        <v>54000</v>
      </c>
      <c r="J4092">
        <v>54000</v>
      </c>
      <c r="K4092">
        <v>0</v>
      </c>
      <c r="L4092" t="s">
        <v>693</v>
      </c>
      <c r="M4092" t="s">
        <v>1404</v>
      </c>
      <c r="N4092">
        <v>406</v>
      </c>
      <c r="O4092">
        <v>21924000</v>
      </c>
      <c r="P4092" t="str">
        <f>IF(T[[#This Row],[qty_ordered]]&lt;&gt;T[[#This Row],[qty_received]],IF(T[[#This Row],[qty_received]]&gt;0,"Partial Received","Not Receviced"),"FullyReceived")</f>
        <v>FullyReceived</v>
      </c>
      <c r="Q4092" t="str">
        <f>IF(T[[#This Row],[qty_received]]&lt;&gt;T[[#This Row],[qty_invoiced]],IF(T[[#This Row],[qty_invoiced]]&gt;0,"Partial Invoiced","Not Invoiced"),"Fully Invoiced")</f>
        <v>Not Invoiced</v>
      </c>
      <c r="R4092" t="str">
        <f>IFERROR(VLOOKUP(T[[#This Row],[warehouse]],Table2[],2,FALSE),"--")</f>
        <v>Khtoum Main Warehouse</v>
      </c>
    </row>
    <row r="4093" spans="1:18" x14ac:dyDescent="0.25">
      <c r="A4093" t="s">
        <v>795</v>
      </c>
      <c r="B4093" s="1">
        <v>44907</v>
      </c>
      <c r="C4093" t="s">
        <v>2945</v>
      </c>
      <c r="D4093" t="s">
        <v>20</v>
      </c>
      <c r="E4093" t="s">
        <v>1965</v>
      </c>
      <c r="F4093" t="s">
        <v>287</v>
      </c>
      <c r="G4093" t="s">
        <v>288</v>
      </c>
      <c r="H4093" t="s">
        <v>24</v>
      </c>
      <c r="I4093">
        <v>642.45000000000005</v>
      </c>
      <c r="J4093">
        <v>642.45000000000005</v>
      </c>
      <c r="K4093">
        <v>642.45000000000005</v>
      </c>
      <c r="L4093" t="s">
        <v>693</v>
      </c>
      <c r="M4093" t="s">
        <v>707</v>
      </c>
      <c r="N4093">
        <v>500000</v>
      </c>
      <c r="O4093">
        <v>321225000</v>
      </c>
      <c r="P4093" t="str">
        <f>IF(T[[#This Row],[qty_ordered]]&lt;&gt;T[[#This Row],[qty_received]],IF(T[[#This Row],[qty_received]]&gt;0,"Partial Received","Not Receviced"),"FullyReceived")</f>
        <v>FullyReceived</v>
      </c>
      <c r="Q4093" t="str">
        <f>IF(T[[#This Row],[qty_received]]&lt;&gt;T[[#This Row],[qty_invoiced]],IF(T[[#This Row],[qty_invoiced]]&gt;0,"Partial Invoiced","Not Invoiced"),"Fully Invoiced")</f>
        <v>Fully Invoiced</v>
      </c>
      <c r="R4093" t="str">
        <f>IFERROR(VLOOKUP(T[[#This Row],[warehouse]],Table2[],2,FALSE),"--")</f>
        <v>Sabaloga Commodities Warehouse</v>
      </c>
    </row>
    <row r="4094" spans="1:18" x14ac:dyDescent="0.25">
      <c r="A4094" t="s">
        <v>955</v>
      </c>
      <c r="B4094" s="1">
        <v>44907</v>
      </c>
      <c r="C4094" t="s">
        <v>2946</v>
      </c>
      <c r="D4094" t="s">
        <v>20</v>
      </c>
      <c r="E4094" t="s">
        <v>629</v>
      </c>
      <c r="F4094" t="s">
        <v>287</v>
      </c>
      <c r="G4094" t="s">
        <v>288</v>
      </c>
      <c r="H4094" t="s">
        <v>24</v>
      </c>
      <c r="I4094">
        <v>500</v>
      </c>
      <c r="J4094">
        <v>0</v>
      </c>
      <c r="K4094">
        <v>0</v>
      </c>
      <c r="L4094" t="s">
        <v>693</v>
      </c>
      <c r="M4094" t="s">
        <v>707</v>
      </c>
      <c r="N4094">
        <v>500000</v>
      </c>
      <c r="O4094">
        <v>0</v>
      </c>
      <c r="P4094" t="str">
        <f>IF(T[[#This Row],[qty_ordered]]&lt;&gt;T[[#This Row],[qty_received]],IF(T[[#This Row],[qty_received]]&gt;0,"Partial Received","Not Receviced"),"FullyReceived")</f>
        <v>Not Receviced</v>
      </c>
      <c r="Q4094" t="str">
        <f>IF(T[[#This Row],[qty_received]]&lt;&gt;T[[#This Row],[qty_invoiced]],IF(T[[#This Row],[qty_invoiced]]&gt;0,"Partial Invoiced","Not Invoiced"),"Fully Invoiced")</f>
        <v>Fully Invoiced</v>
      </c>
      <c r="R4094" t="str">
        <f>IFERROR(VLOOKUP(T[[#This Row],[warehouse]],Table2[],2,FALSE),"--")</f>
        <v>SOPC Sifting &amp; Sorting</v>
      </c>
    </row>
    <row r="4095" spans="1:18" x14ac:dyDescent="0.25">
      <c r="A4095" t="s">
        <v>1170</v>
      </c>
      <c r="B4095" s="1">
        <v>44878</v>
      </c>
      <c r="C4095" t="s">
        <v>2585</v>
      </c>
      <c r="D4095" t="s">
        <v>100</v>
      </c>
      <c r="E4095" t="s">
        <v>2915</v>
      </c>
      <c r="F4095" t="s">
        <v>406</v>
      </c>
      <c r="G4095" t="s">
        <v>407</v>
      </c>
      <c r="H4095" t="s">
        <v>24</v>
      </c>
      <c r="I4095">
        <v>637</v>
      </c>
      <c r="J4095">
        <v>0</v>
      </c>
      <c r="K4095">
        <v>0</v>
      </c>
      <c r="L4095" t="s">
        <v>693</v>
      </c>
      <c r="M4095" t="s">
        <v>707</v>
      </c>
      <c r="N4095">
        <v>313971.74254299997</v>
      </c>
      <c r="O4095">
        <v>0</v>
      </c>
      <c r="P4095" t="str">
        <f>IF(T[[#This Row],[qty_ordered]]&lt;&gt;T[[#This Row],[qty_received]],IF(T[[#This Row],[qty_received]]&gt;0,"Partial Received","Not Receviced"),"FullyReceived")</f>
        <v>Not Receviced</v>
      </c>
      <c r="Q4095" t="str">
        <f>IF(T[[#This Row],[qty_received]]&lt;&gt;T[[#This Row],[qty_invoiced]],IF(T[[#This Row],[qty_invoiced]]&gt;0,"Partial Invoiced","Not Invoiced"),"Fully Invoiced")</f>
        <v>Fully Invoiced</v>
      </c>
      <c r="R4095" t="str">
        <f>IFERROR(VLOOKUP(T[[#This Row],[warehouse]],Table2[],2,FALSE),"--")</f>
        <v xml:space="preserve">MSG Ginning New Halfa </v>
      </c>
    </row>
    <row r="4096" spans="1:18" x14ac:dyDescent="0.25">
      <c r="A4096" t="s">
        <v>423</v>
      </c>
      <c r="B4096" s="1">
        <v>44886</v>
      </c>
      <c r="C4096" t="s">
        <v>2879</v>
      </c>
      <c r="D4096" t="s">
        <v>88</v>
      </c>
      <c r="E4096" t="s">
        <v>51</v>
      </c>
      <c r="F4096" t="s">
        <v>546</v>
      </c>
      <c r="G4096" t="s">
        <v>1505</v>
      </c>
      <c r="H4096" t="s">
        <v>54</v>
      </c>
      <c r="I4096">
        <v>6000</v>
      </c>
      <c r="J4096">
        <v>0</v>
      </c>
      <c r="K4096">
        <v>1</v>
      </c>
      <c r="L4096" t="s">
        <v>693</v>
      </c>
      <c r="M4096" t="s">
        <v>2836</v>
      </c>
      <c r="N4096">
        <v>26</v>
      </c>
      <c r="O4096">
        <v>0</v>
      </c>
      <c r="P4096" t="str">
        <f>IF(T[[#This Row],[qty_ordered]]&lt;&gt;T[[#This Row],[qty_received]],IF(T[[#This Row],[qty_received]]&gt;0,"Partial Received","Not Receviced"),"FullyReceived")</f>
        <v>Not Receviced</v>
      </c>
      <c r="Q4096" t="str">
        <f>IF(T[[#This Row],[qty_received]]&lt;&gt;T[[#This Row],[qty_invoiced]],IF(T[[#This Row],[qty_invoiced]]&gt;0,"Partial Invoiced","Not Invoiced"),"Fully Invoiced")</f>
        <v>Partial Invoiced</v>
      </c>
      <c r="R4096" t="str">
        <f>IFERROR(VLOOKUP(T[[#This Row],[warehouse]],Table2[],2,FALSE),"--")</f>
        <v>--</v>
      </c>
    </row>
    <row r="4097" spans="1:18" x14ac:dyDescent="0.25">
      <c r="A4097" t="s">
        <v>2304</v>
      </c>
      <c r="B4097" s="1">
        <v>44901</v>
      </c>
      <c r="C4097" t="s">
        <v>2920</v>
      </c>
      <c r="D4097" t="s">
        <v>20</v>
      </c>
      <c r="E4097" t="s">
        <v>51</v>
      </c>
      <c r="F4097" t="s">
        <v>164</v>
      </c>
      <c r="G4097" t="s">
        <v>2921</v>
      </c>
      <c r="H4097" t="s">
        <v>54</v>
      </c>
      <c r="I4097">
        <v>2845.4</v>
      </c>
      <c r="J4097">
        <v>0</v>
      </c>
      <c r="K4097">
        <v>1</v>
      </c>
      <c r="L4097" t="s">
        <v>693</v>
      </c>
      <c r="M4097" t="s">
        <v>2836</v>
      </c>
      <c r="N4097">
        <v>137.76621900000001</v>
      </c>
      <c r="O4097">
        <v>0</v>
      </c>
      <c r="P4097" t="str">
        <f>IF(T[[#This Row],[qty_ordered]]&lt;&gt;T[[#This Row],[qty_received]],IF(T[[#This Row],[qty_received]]&gt;0,"Partial Received","Not Receviced"),"FullyReceived")</f>
        <v>Not Receviced</v>
      </c>
      <c r="Q4097" t="str">
        <f>IF(T[[#This Row],[qty_received]]&lt;&gt;T[[#This Row],[qty_invoiced]],IF(T[[#This Row],[qty_invoiced]]&gt;0,"Partial Invoiced","Not Invoiced"),"Fully Invoiced")</f>
        <v>Partial Invoiced</v>
      </c>
      <c r="R4097" t="str">
        <f>IFERROR(VLOOKUP(T[[#This Row],[warehouse]],Table2[],2,FALSE),"--")</f>
        <v>--</v>
      </c>
    </row>
    <row r="4098" spans="1:18" x14ac:dyDescent="0.25">
      <c r="A4098" t="s">
        <v>2304</v>
      </c>
      <c r="B4098" s="1">
        <v>44901</v>
      </c>
      <c r="C4098" t="s">
        <v>2922</v>
      </c>
      <c r="D4098" t="s">
        <v>20</v>
      </c>
      <c r="E4098" t="s">
        <v>51</v>
      </c>
      <c r="F4098" t="s">
        <v>164</v>
      </c>
      <c r="G4098" t="s">
        <v>2923</v>
      </c>
      <c r="H4098" t="s">
        <v>54</v>
      </c>
      <c r="I4098">
        <v>5515.6</v>
      </c>
      <c r="J4098">
        <v>0</v>
      </c>
      <c r="K4098">
        <v>1</v>
      </c>
      <c r="L4098" t="s">
        <v>693</v>
      </c>
      <c r="M4098" t="s">
        <v>2836</v>
      </c>
      <c r="N4098">
        <v>85.031547000000003</v>
      </c>
      <c r="O4098">
        <v>0</v>
      </c>
      <c r="P4098" t="str">
        <f>IF(T[[#This Row],[qty_ordered]]&lt;&gt;T[[#This Row],[qty_received]],IF(T[[#This Row],[qty_received]]&gt;0,"Partial Received","Not Receviced"),"FullyReceived")</f>
        <v>Not Receviced</v>
      </c>
      <c r="Q4098" t="str">
        <f>IF(T[[#This Row],[qty_received]]&lt;&gt;T[[#This Row],[qty_invoiced]],IF(T[[#This Row],[qty_invoiced]]&gt;0,"Partial Invoiced","Not Invoiced"),"Fully Invoiced")</f>
        <v>Partial Invoiced</v>
      </c>
      <c r="R4098" t="str">
        <f>IFERROR(VLOOKUP(T[[#This Row],[warehouse]],Table2[],2,FALSE),"--")</f>
        <v>--</v>
      </c>
    </row>
    <row r="4099" spans="1:18" x14ac:dyDescent="0.25">
      <c r="A4099" t="s">
        <v>2304</v>
      </c>
      <c r="B4099" s="1">
        <v>44901</v>
      </c>
      <c r="C4099" t="s">
        <v>2924</v>
      </c>
      <c r="D4099" t="s">
        <v>20</v>
      </c>
      <c r="E4099" t="s">
        <v>51</v>
      </c>
      <c r="F4099" t="s">
        <v>164</v>
      </c>
      <c r="G4099" t="s">
        <v>2925</v>
      </c>
      <c r="H4099" t="s">
        <v>54</v>
      </c>
      <c r="I4099">
        <v>600</v>
      </c>
      <c r="J4099">
        <v>0</v>
      </c>
      <c r="K4099">
        <v>1</v>
      </c>
      <c r="L4099" t="s">
        <v>693</v>
      </c>
      <c r="M4099" t="s">
        <v>2836</v>
      </c>
      <c r="N4099">
        <v>11.666667</v>
      </c>
      <c r="O4099">
        <v>0</v>
      </c>
      <c r="P4099" t="str">
        <f>IF(T[[#This Row],[qty_ordered]]&lt;&gt;T[[#This Row],[qty_received]],IF(T[[#This Row],[qty_received]]&gt;0,"Partial Received","Not Receviced"),"FullyReceived")</f>
        <v>Not Receviced</v>
      </c>
      <c r="Q4099" t="str">
        <f>IF(T[[#This Row],[qty_received]]&lt;&gt;T[[#This Row],[qty_invoiced]],IF(T[[#This Row],[qty_invoiced]]&gt;0,"Partial Invoiced","Not Invoiced"),"Fully Invoiced")</f>
        <v>Partial Invoiced</v>
      </c>
      <c r="R4099" t="str">
        <f>IFERROR(VLOOKUP(T[[#This Row],[warehouse]],Table2[],2,FALSE),"--")</f>
        <v>--</v>
      </c>
    </row>
    <row r="4100" spans="1:18" x14ac:dyDescent="0.25">
      <c r="A4100" t="s">
        <v>2304</v>
      </c>
      <c r="B4100" s="1">
        <v>44901</v>
      </c>
      <c r="C4100" t="s">
        <v>2926</v>
      </c>
      <c r="D4100" t="s">
        <v>20</v>
      </c>
      <c r="E4100" t="s">
        <v>51</v>
      </c>
      <c r="F4100" t="s">
        <v>164</v>
      </c>
      <c r="G4100" t="s">
        <v>2927</v>
      </c>
      <c r="H4100" t="s">
        <v>54</v>
      </c>
      <c r="I4100">
        <v>417.5</v>
      </c>
      <c r="J4100">
        <v>0</v>
      </c>
      <c r="K4100">
        <v>1</v>
      </c>
      <c r="L4100" t="s">
        <v>693</v>
      </c>
      <c r="M4100" t="s">
        <v>2836</v>
      </c>
      <c r="N4100">
        <v>67.065867999999995</v>
      </c>
      <c r="O4100">
        <v>0</v>
      </c>
      <c r="P4100" t="str">
        <f>IF(T[[#This Row],[qty_ordered]]&lt;&gt;T[[#This Row],[qty_received]],IF(T[[#This Row],[qty_received]]&gt;0,"Partial Received","Not Receviced"),"FullyReceived")</f>
        <v>Not Receviced</v>
      </c>
      <c r="Q4100" t="str">
        <f>IF(T[[#This Row],[qty_received]]&lt;&gt;T[[#This Row],[qty_invoiced]],IF(T[[#This Row],[qty_invoiced]]&gt;0,"Partial Invoiced","Not Invoiced"),"Fully Invoiced")</f>
        <v>Partial Invoiced</v>
      </c>
      <c r="R4100" t="str">
        <f>IFERROR(VLOOKUP(T[[#This Row],[warehouse]],Table2[],2,FALSE),"--")</f>
        <v>--</v>
      </c>
    </row>
    <row r="4101" spans="1:18" x14ac:dyDescent="0.25">
      <c r="A4101" t="s">
        <v>2304</v>
      </c>
      <c r="B4101" s="1">
        <v>44901</v>
      </c>
      <c r="C4101" t="s">
        <v>2928</v>
      </c>
      <c r="D4101" t="s">
        <v>20</v>
      </c>
      <c r="E4101" t="s">
        <v>51</v>
      </c>
      <c r="F4101" t="s">
        <v>164</v>
      </c>
      <c r="G4101" t="s">
        <v>2929</v>
      </c>
      <c r="H4101" t="s">
        <v>54</v>
      </c>
      <c r="I4101">
        <v>46.96</v>
      </c>
      <c r="J4101">
        <v>0</v>
      </c>
      <c r="K4101">
        <v>1</v>
      </c>
      <c r="L4101" t="s">
        <v>693</v>
      </c>
      <c r="M4101" t="s">
        <v>2836</v>
      </c>
      <c r="N4101">
        <v>298.12606499999998</v>
      </c>
      <c r="O4101">
        <v>0</v>
      </c>
      <c r="P4101" t="str">
        <f>IF(T[[#This Row],[qty_ordered]]&lt;&gt;T[[#This Row],[qty_received]],IF(T[[#This Row],[qty_received]]&gt;0,"Partial Received","Not Receviced"),"FullyReceived")</f>
        <v>Not Receviced</v>
      </c>
      <c r="Q4101" t="str">
        <f>IF(T[[#This Row],[qty_received]]&lt;&gt;T[[#This Row],[qty_invoiced]],IF(T[[#This Row],[qty_invoiced]]&gt;0,"Partial Invoiced","Not Invoiced"),"Fully Invoiced")</f>
        <v>Partial Invoiced</v>
      </c>
      <c r="R4101" t="str">
        <f>IFERROR(VLOOKUP(T[[#This Row],[warehouse]],Table2[],2,FALSE),"--")</f>
        <v>--</v>
      </c>
    </row>
    <row r="4102" spans="1:18" x14ac:dyDescent="0.25">
      <c r="A4102" t="s">
        <v>560</v>
      </c>
      <c r="B4102" s="1">
        <v>44746</v>
      </c>
      <c r="C4102" t="s">
        <v>1771</v>
      </c>
      <c r="D4102" t="s">
        <v>324</v>
      </c>
      <c r="E4102" t="s">
        <v>51</v>
      </c>
      <c r="F4102" t="s">
        <v>164</v>
      </c>
      <c r="G4102" t="s">
        <v>2943</v>
      </c>
      <c r="H4102" t="s">
        <v>54</v>
      </c>
      <c r="I4102">
        <v>26</v>
      </c>
      <c r="J4102">
        <v>0</v>
      </c>
      <c r="K4102">
        <v>1</v>
      </c>
      <c r="L4102" t="s">
        <v>693</v>
      </c>
      <c r="M4102" t="s">
        <v>2836</v>
      </c>
      <c r="N4102">
        <v>9450</v>
      </c>
      <c r="O4102">
        <v>0</v>
      </c>
      <c r="P4102" t="str">
        <f>IF(T[[#This Row],[qty_ordered]]&lt;&gt;T[[#This Row],[qty_received]],IF(T[[#This Row],[qty_received]]&gt;0,"Partial Received","Not Receviced"),"FullyReceived")</f>
        <v>Not Receviced</v>
      </c>
      <c r="Q4102" t="str">
        <f>IF(T[[#This Row],[qty_received]]&lt;&gt;T[[#This Row],[qty_invoiced]],IF(T[[#This Row],[qty_invoiced]]&gt;0,"Partial Invoiced","Not Invoiced"),"Fully Invoiced")</f>
        <v>Partial Invoiced</v>
      </c>
      <c r="R4102" t="str">
        <f>IFERROR(VLOOKUP(T[[#This Row],[warehouse]],Table2[],2,FALSE),"--")</f>
        <v>--</v>
      </c>
    </row>
    <row r="4103" spans="1:18" x14ac:dyDescent="0.25">
      <c r="A4103" t="s">
        <v>423</v>
      </c>
      <c r="B4103" s="1">
        <v>44886</v>
      </c>
      <c r="C4103" t="s">
        <v>2879</v>
      </c>
      <c r="D4103" t="s">
        <v>74</v>
      </c>
      <c r="E4103" t="s">
        <v>51</v>
      </c>
      <c r="F4103" t="s">
        <v>546</v>
      </c>
      <c r="G4103" t="s">
        <v>1506</v>
      </c>
      <c r="H4103" t="s">
        <v>54</v>
      </c>
      <c r="I4103">
        <v>10000</v>
      </c>
      <c r="J4103">
        <v>0</v>
      </c>
      <c r="K4103">
        <v>1</v>
      </c>
      <c r="L4103" t="s">
        <v>693</v>
      </c>
      <c r="M4103" t="s">
        <v>2836</v>
      </c>
      <c r="N4103">
        <v>26</v>
      </c>
      <c r="O4103">
        <v>0</v>
      </c>
      <c r="P4103" t="str">
        <f>IF(T[[#This Row],[qty_ordered]]&lt;&gt;T[[#This Row],[qty_received]],IF(T[[#This Row],[qty_received]]&gt;0,"Partial Received","Not Receviced"),"FullyReceived")</f>
        <v>Not Receviced</v>
      </c>
      <c r="Q4103" t="str">
        <f>IF(T[[#This Row],[qty_received]]&lt;&gt;T[[#This Row],[qty_invoiced]],IF(T[[#This Row],[qty_invoiced]]&gt;0,"Partial Invoiced","Not Invoiced"),"Fully Invoiced")</f>
        <v>Partial Invoiced</v>
      </c>
      <c r="R4103" t="str">
        <f>IFERROR(VLOOKUP(T[[#This Row],[warehouse]],Table2[],2,FALSE),"--")</f>
        <v>--</v>
      </c>
    </row>
    <row r="4104" spans="1:18" x14ac:dyDescent="0.25">
      <c r="A4104" t="s">
        <v>423</v>
      </c>
      <c r="B4104" s="1">
        <v>44899</v>
      </c>
      <c r="C4104" t="s">
        <v>2908</v>
      </c>
      <c r="D4104" t="s">
        <v>71</v>
      </c>
      <c r="E4104" t="s">
        <v>51</v>
      </c>
      <c r="F4104" t="s">
        <v>546</v>
      </c>
      <c r="G4104" t="s">
        <v>1520</v>
      </c>
      <c r="H4104" t="s">
        <v>54</v>
      </c>
      <c r="I4104">
        <v>2000</v>
      </c>
      <c r="J4104">
        <v>0</v>
      </c>
      <c r="K4104">
        <v>1</v>
      </c>
      <c r="L4104" t="s">
        <v>693</v>
      </c>
      <c r="M4104" t="s">
        <v>2836</v>
      </c>
      <c r="N4104">
        <v>36</v>
      </c>
      <c r="O4104">
        <v>0</v>
      </c>
      <c r="P4104" t="str">
        <f>IF(T[[#This Row],[qty_ordered]]&lt;&gt;T[[#This Row],[qty_received]],IF(T[[#This Row],[qty_received]]&gt;0,"Partial Received","Not Receviced"),"FullyReceived")</f>
        <v>Not Receviced</v>
      </c>
      <c r="Q4104" t="str">
        <f>IF(T[[#This Row],[qty_received]]&lt;&gt;T[[#This Row],[qty_invoiced]],IF(T[[#This Row],[qty_invoiced]]&gt;0,"Partial Invoiced","Not Invoiced"),"Fully Invoiced")</f>
        <v>Partial Invoiced</v>
      </c>
      <c r="R4104" t="str">
        <f>IFERROR(VLOOKUP(T[[#This Row],[warehouse]],Table2[],2,FALSE),"--")</f>
        <v>--</v>
      </c>
    </row>
    <row r="4105" spans="1:18" x14ac:dyDescent="0.25">
      <c r="A4105" t="s">
        <v>84</v>
      </c>
      <c r="B4105" s="1">
        <v>44908</v>
      </c>
      <c r="C4105" t="s">
        <v>2950</v>
      </c>
      <c r="D4105" t="s">
        <v>20</v>
      </c>
      <c r="E4105" t="s">
        <v>982</v>
      </c>
      <c r="F4105" t="s">
        <v>86</v>
      </c>
      <c r="G4105" t="s">
        <v>87</v>
      </c>
      <c r="H4105" t="s">
        <v>24</v>
      </c>
      <c r="I4105">
        <v>1413.32</v>
      </c>
      <c r="J4105">
        <v>1413.32</v>
      </c>
      <c r="K4105">
        <v>1413.32</v>
      </c>
      <c r="L4105" t="s">
        <v>693</v>
      </c>
      <c r="M4105" t="s">
        <v>1485</v>
      </c>
      <c r="N4105">
        <v>716450</v>
      </c>
      <c r="O4105">
        <v>1012573114</v>
      </c>
      <c r="P4105" t="str">
        <f>IF(T[[#This Row],[qty_ordered]]&lt;&gt;T[[#This Row],[qty_received]],IF(T[[#This Row],[qty_received]]&gt;0,"Partial Received","Not Receviced"),"FullyReceived")</f>
        <v>FullyReceived</v>
      </c>
      <c r="Q4105" t="str">
        <f>IF(T[[#This Row],[qty_received]]&lt;&gt;T[[#This Row],[qty_invoiced]],IF(T[[#This Row],[qty_invoiced]]&gt;0,"Partial Invoiced","Not Invoiced"),"Fully Invoiced")</f>
        <v>Fully Invoiced</v>
      </c>
      <c r="R4105" t="str">
        <f>IFERROR(VLOOKUP(T[[#This Row],[warehouse]],Table2[],2,FALSE),"--")</f>
        <v>SIFTER - SAMELOMDRMA</v>
      </c>
    </row>
    <row r="4106" spans="1:18" x14ac:dyDescent="0.25">
      <c r="A4106" t="s">
        <v>1671</v>
      </c>
      <c r="B4106" s="1">
        <v>44909</v>
      </c>
      <c r="C4106" t="s">
        <v>2953</v>
      </c>
      <c r="D4106" t="s">
        <v>20</v>
      </c>
      <c r="E4106" t="s">
        <v>51</v>
      </c>
      <c r="F4106" t="s">
        <v>52</v>
      </c>
      <c r="G4106" t="s">
        <v>51</v>
      </c>
      <c r="H4106" t="s">
        <v>54</v>
      </c>
      <c r="I4106">
        <v>1</v>
      </c>
      <c r="J4106">
        <v>0</v>
      </c>
      <c r="K4106">
        <v>0</v>
      </c>
      <c r="L4106" t="s">
        <v>693</v>
      </c>
      <c r="M4106" t="s">
        <v>1485</v>
      </c>
      <c r="N4106">
        <v>17470050</v>
      </c>
      <c r="O4106">
        <v>0</v>
      </c>
      <c r="P4106" t="str">
        <f>IF(T[[#This Row],[qty_ordered]]&lt;&gt;T[[#This Row],[qty_received]],IF(T[[#This Row],[qty_received]]&gt;0,"Partial Received","Not Receviced"),"FullyReceived")</f>
        <v>Not Receviced</v>
      </c>
      <c r="Q4106" t="str">
        <f>IF(T[[#This Row],[qty_received]]&lt;&gt;T[[#This Row],[qty_invoiced]],IF(T[[#This Row],[qty_invoiced]]&gt;0,"Partial Invoiced","Not Invoiced"),"Fully Invoiced")</f>
        <v>Fully Invoiced</v>
      </c>
      <c r="R4106" t="str">
        <f>IFERROR(VLOOKUP(T[[#This Row],[warehouse]],Table2[],2,FALSE),"--")</f>
        <v>--</v>
      </c>
    </row>
    <row r="4107" spans="1:18" x14ac:dyDescent="0.25">
      <c r="A4107" t="s">
        <v>1639</v>
      </c>
      <c r="B4107" s="1">
        <v>44909</v>
      </c>
      <c r="C4107" t="s">
        <v>2954</v>
      </c>
      <c r="D4107" t="s">
        <v>20</v>
      </c>
      <c r="E4107" t="s">
        <v>192</v>
      </c>
      <c r="F4107" t="s">
        <v>86</v>
      </c>
      <c r="G4107" t="s">
        <v>87</v>
      </c>
      <c r="H4107" t="s">
        <v>24</v>
      </c>
      <c r="I4107">
        <v>2871.06</v>
      </c>
      <c r="J4107">
        <v>2871.06</v>
      </c>
      <c r="K4107">
        <v>2871.06</v>
      </c>
      <c r="L4107" t="s">
        <v>693</v>
      </c>
      <c r="M4107" t="s">
        <v>1485</v>
      </c>
      <c r="N4107">
        <v>712000</v>
      </c>
      <c r="O4107">
        <v>2044194720</v>
      </c>
      <c r="P4107" t="str">
        <f>IF(T[[#This Row],[qty_ordered]]&lt;&gt;T[[#This Row],[qty_received]],IF(T[[#This Row],[qty_received]]&gt;0,"Partial Received","Not Receviced"),"FullyReceived")</f>
        <v>FullyReceived</v>
      </c>
      <c r="Q4107" t="str">
        <f>IF(T[[#This Row],[qty_received]]&lt;&gt;T[[#This Row],[qty_invoiced]],IF(T[[#This Row],[qty_invoiced]]&gt;0,"Partial Invoiced","Not Invoiced"),"Fully Invoiced")</f>
        <v>Fully Invoiced</v>
      </c>
      <c r="R4107" t="str">
        <f>IFERROR(VLOOKUP(T[[#This Row],[warehouse]],Table2[],2,FALSE),"--")</f>
        <v>BAYADER SIFTER-OMD</v>
      </c>
    </row>
    <row r="4108" spans="1:18" x14ac:dyDescent="0.25">
      <c r="A4108" t="s">
        <v>84</v>
      </c>
      <c r="B4108" s="1">
        <v>44908</v>
      </c>
      <c r="C4108" t="s">
        <v>2950</v>
      </c>
      <c r="D4108" t="s">
        <v>71</v>
      </c>
      <c r="E4108" t="s">
        <v>982</v>
      </c>
      <c r="F4108" t="s">
        <v>86</v>
      </c>
      <c r="G4108" t="s">
        <v>87</v>
      </c>
      <c r="H4108" t="s">
        <v>24</v>
      </c>
      <c r="I4108">
        <v>768.35</v>
      </c>
      <c r="J4108">
        <v>768.35</v>
      </c>
      <c r="K4108">
        <v>768.35</v>
      </c>
      <c r="L4108" t="s">
        <v>693</v>
      </c>
      <c r="M4108" t="s">
        <v>1485</v>
      </c>
      <c r="N4108">
        <v>644218.4</v>
      </c>
      <c r="O4108">
        <v>540224147.14382303</v>
      </c>
      <c r="P4108" t="str">
        <f>IF(T[[#This Row],[qty_ordered]]&lt;&gt;T[[#This Row],[qty_received]],IF(T[[#This Row],[qty_received]]&gt;0,"Partial Received","Not Receviced"),"FullyReceived")</f>
        <v>FullyReceived</v>
      </c>
      <c r="Q4108" t="str">
        <f>IF(T[[#This Row],[qty_received]]&lt;&gt;T[[#This Row],[qty_invoiced]],IF(T[[#This Row],[qty_invoiced]]&gt;0,"Partial Invoiced","Not Invoiced"),"Fully Invoiced")</f>
        <v>Fully Invoiced</v>
      </c>
      <c r="R4108" t="str">
        <f>IFERROR(VLOOKUP(T[[#This Row],[warehouse]],Table2[],2,FALSE),"--")</f>
        <v>SIFTER - SAMELOMDRMA</v>
      </c>
    </row>
    <row r="4109" spans="1:18" x14ac:dyDescent="0.25">
      <c r="A4109" t="s">
        <v>560</v>
      </c>
      <c r="B4109" s="1">
        <v>44885</v>
      </c>
      <c r="C4109" t="s">
        <v>2841</v>
      </c>
      <c r="D4109" t="s">
        <v>76</v>
      </c>
      <c r="E4109" t="s">
        <v>51</v>
      </c>
      <c r="F4109" t="s">
        <v>2842</v>
      </c>
      <c r="G4109" t="s">
        <v>2930</v>
      </c>
      <c r="H4109" t="s">
        <v>54</v>
      </c>
      <c r="I4109">
        <v>3.25</v>
      </c>
      <c r="J4109">
        <v>0</v>
      </c>
      <c r="K4109">
        <v>1</v>
      </c>
      <c r="L4109" t="s">
        <v>693</v>
      </c>
      <c r="M4109" t="s">
        <v>2836</v>
      </c>
      <c r="N4109">
        <v>9450</v>
      </c>
      <c r="O4109">
        <v>0</v>
      </c>
      <c r="P4109" t="str">
        <f>IF(T[[#This Row],[qty_ordered]]&lt;&gt;T[[#This Row],[qty_received]],IF(T[[#This Row],[qty_received]]&gt;0,"Partial Received","Not Receviced"),"FullyReceived")</f>
        <v>Not Receviced</v>
      </c>
      <c r="Q4109" t="str">
        <f>IF(T[[#This Row],[qty_received]]&lt;&gt;T[[#This Row],[qty_invoiced]],IF(T[[#This Row],[qty_invoiced]]&gt;0,"Partial Invoiced","Not Invoiced"),"Fully Invoiced")</f>
        <v>Partial Invoiced</v>
      </c>
      <c r="R4109" t="str">
        <f>IFERROR(VLOOKUP(T[[#This Row],[warehouse]],Table2[],2,FALSE),"--")</f>
        <v>--</v>
      </c>
    </row>
    <row r="4110" spans="1:18" x14ac:dyDescent="0.25">
      <c r="A4110" t="s">
        <v>560</v>
      </c>
      <c r="B4110" s="1">
        <v>44902</v>
      </c>
      <c r="C4110" t="s">
        <v>2933</v>
      </c>
      <c r="D4110" t="s">
        <v>20</v>
      </c>
      <c r="E4110" t="s">
        <v>51</v>
      </c>
      <c r="F4110" t="s">
        <v>2842</v>
      </c>
      <c r="G4110" t="s">
        <v>2934</v>
      </c>
      <c r="H4110" t="s">
        <v>54</v>
      </c>
      <c r="I4110">
        <v>13.25</v>
      </c>
      <c r="J4110">
        <v>0</v>
      </c>
      <c r="K4110">
        <v>1</v>
      </c>
      <c r="L4110" t="s">
        <v>693</v>
      </c>
      <c r="M4110" t="s">
        <v>2836</v>
      </c>
      <c r="N4110">
        <v>9450</v>
      </c>
      <c r="O4110">
        <v>0</v>
      </c>
      <c r="P4110" t="str">
        <f>IF(T[[#This Row],[qty_ordered]]&lt;&gt;T[[#This Row],[qty_received]],IF(T[[#This Row],[qty_received]]&gt;0,"Partial Received","Not Receviced"),"FullyReceived")</f>
        <v>Not Receviced</v>
      </c>
      <c r="Q4110" t="str">
        <f>IF(T[[#This Row],[qty_received]]&lt;&gt;T[[#This Row],[qty_invoiced]],IF(T[[#This Row],[qty_invoiced]]&gt;0,"Partial Invoiced","Not Invoiced"),"Fully Invoiced")</f>
        <v>Partial Invoiced</v>
      </c>
      <c r="R4110" t="str">
        <f>IFERROR(VLOOKUP(T[[#This Row],[warehouse]],Table2[],2,FALSE),"--")</f>
        <v>--</v>
      </c>
    </row>
    <row r="4111" spans="1:18" x14ac:dyDescent="0.25">
      <c r="A4111" t="s">
        <v>560</v>
      </c>
      <c r="B4111" s="1">
        <v>44902</v>
      </c>
      <c r="C4111" t="s">
        <v>2935</v>
      </c>
      <c r="D4111" t="s">
        <v>20</v>
      </c>
      <c r="E4111" t="s">
        <v>51</v>
      </c>
      <c r="F4111" t="s">
        <v>2842</v>
      </c>
      <c r="G4111" t="s">
        <v>2936</v>
      </c>
      <c r="H4111" t="s">
        <v>54</v>
      </c>
      <c r="I4111">
        <v>29</v>
      </c>
      <c r="J4111">
        <v>0</v>
      </c>
      <c r="K4111">
        <v>1</v>
      </c>
      <c r="L4111" t="s">
        <v>693</v>
      </c>
      <c r="M4111" t="s">
        <v>2836</v>
      </c>
      <c r="N4111">
        <v>9450</v>
      </c>
      <c r="O4111">
        <v>0</v>
      </c>
      <c r="P4111" t="str">
        <f>IF(T[[#This Row],[qty_ordered]]&lt;&gt;T[[#This Row],[qty_received]],IF(T[[#This Row],[qty_received]]&gt;0,"Partial Received","Not Receviced"),"FullyReceived")</f>
        <v>Not Receviced</v>
      </c>
      <c r="Q4111" t="str">
        <f>IF(T[[#This Row],[qty_received]]&lt;&gt;T[[#This Row],[qty_invoiced]],IF(T[[#This Row],[qty_invoiced]]&gt;0,"Partial Invoiced","Not Invoiced"),"Fully Invoiced")</f>
        <v>Partial Invoiced</v>
      </c>
      <c r="R4111" t="str">
        <f>IFERROR(VLOOKUP(T[[#This Row],[warehouse]],Table2[],2,FALSE),"--")</f>
        <v>--</v>
      </c>
    </row>
    <row r="4112" spans="1:18" x14ac:dyDescent="0.25">
      <c r="A4112" t="s">
        <v>560</v>
      </c>
      <c r="B4112" s="1">
        <v>44902</v>
      </c>
      <c r="C4112" t="s">
        <v>2935</v>
      </c>
      <c r="D4112" t="s">
        <v>71</v>
      </c>
      <c r="E4112" t="s">
        <v>51</v>
      </c>
      <c r="F4112" t="s">
        <v>2842</v>
      </c>
      <c r="G4112" t="s">
        <v>2936</v>
      </c>
      <c r="H4112" t="s">
        <v>54</v>
      </c>
      <c r="I4112">
        <v>2.63</v>
      </c>
      <c r="J4112">
        <v>0</v>
      </c>
      <c r="K4112">
        <v>1</v>
      </c>
      <c r="L4112" t="s">
        <v>693</v>
      </c>
      <c r="M4112" t="s">
        <v>2836</v>
      </c>
      <c r="N4112">
        <v>9450</v>
      </c>
      <c r="O4112">
        <v>0</v>
      </c>
      <c r="P4112" t="str">
        <f>IF(T[[#This Row],[qty_ordered]]&lt;&gt;T[[#This Row],[qty_received]],IF(T[[#This Row],[qty_received]]&gt;0,"Partial Received","Not Receviced"),"FullyReceived")</f>
        <v>Not Receviced</v>
      </c>
      <c r="Q4112" t="str">
        <f>IF(T[[#This Row],[qty_received]]&lt;&gt;T[[#This Row],[qty_invoiced]],IF(T[[#This Row],[qty_invoiced]]&gt;0,"Partial Invoiced","Not Invoiced"),"Fully Invoiced")</f>
        <v>Partial Invoiced</v>
      </c>
      <c r="R4112" t="str">
        <f>IFERROR(VLOOKUP(T[[#This Row],[warehouse]],Table2[],2,FALSE),"--")</f>
        <v>--</v>
      </c>
    </row>
    <row r="4113" spans="1:18" x14ac:dyDescent="0.25">
      <c r="A4113" t="s">
        <v>560</v>
      </c>
      <c r="B4113" s="1">
        <v>44902</v>
      </c>
      <c r="C4113" t="s">
        <v>2937</v>
      </c>
      <c r="D4113" t="s">
        <v>20</v>
      </c>
      <c r="E4113" t="s">
        <v>51</v>
      </c>
      <c r="F4113" t="s">
        <v>2842</v>
      </c>
      <c r="G4113" t="s">
        <v>2938</v>
      </c>
      <c r="H4113" t="s">
        <v>54</v>
      </c>
      <c r="I4113">
        <v>26</v>
      </c>
      <c r="J4113">
        <v>0</v>
      </c>
      <c r="K4113">
        <v>1</v>
      </c>
      <c r="L4113" t="s">
        <v>693</v>
      </c>
      <c r="M4113" t="s">
        <v>2836</v>
      </c>
      <c r="N4113">
        <v>9450</v>
      </c>
      <c r="O4113">
        <v>0</v>
      </c>
      <c r="P4113" t="str">
        <f>IF(T[[#This Row],[qty_ordered]]&lt;&gt;T[[#This Row],[qty_received]],IF(T[[#This Row],[qty_received]]&gt;0,"Partial Received","Not Receviced"),"FullyReceived")</f>
        <v>Not Receviced</v>
      </c>
      <c r="Q4113" t="str">
        <f>IF(T[[#This Row],[qty_received]]&lt;&gt;T[[#This Row],[qty_invoiced]],IF(T[[#This Row],[qty_invoiced]]&gt;0,"Partial Invoiced","Not Invoiced"),"Fully Invoiced")</f>
        <v>Partial Invoiced</v>
      </c>
      <c r="R4113" t="str">
        <f>IFERROR(VLOOKUP(T[[#This Row],[warehouse]],Table2[],2,FALSE),"--")</f>
        <v>--</v>
      </c>
    </row>
    <row r="4114" spans="1:18" x14ac:dyDescent="0.25">
      <c r="A4114" t="s">
        <v>959</v>
      </c>
      <c r="B4114" s="1">
        <v>44913</v>
      </c>
      <c r="C4114" t="s">
        <v>2959</v>
      </c>
      <c r="D4114" t="s">
        <v>20</v>
      </c>
      <c r="E4114" t="s">
        <v>214</v>
      </c>
      <c r="F4114" t="s">
        <v>167</v>
      </c>
      <c r="G4114" t="s">
        <v>156</v>
      </c>
      <c r="H4114" t="s">
        <v>24</v>
      </c>
      <c r="I4114">
        <v>1500</v>
      </c>
      <c r="J4114">
        <v>1500</v>
      </c>
      <c r="K4114">
        <v>1500</v>
      </c>
      <c r="L4114" t="s">
        <v>693</v>
      </c>
      <c r="M4114" t="s">
        <v>1485</v>
      </c>
      <c r="N4114">
        <v>1090800</v>
      </c>
      <c r="O4114">
        <v>1636200000</v>
      </c>
      <c r="P4114" t="str">
        <f>IF(T[[#This Row],[qty_ordered]]&lt;&gt;T[[#This Row],[qty_received]],IF(T[[#This Row],[qty_received]]&gt;0,"Partial Received","Not Receviced"),"FullyReceived")</f>
        <v>FullyReceived</v>
      </c>
      <c r="Q4114" t="str">
        <f>IF(T[[#This Row],[qty_received]]&lt;&gt;T[[#This Row],[qty_invoiced]],IF(T[[#This Row],[qty_invoiced]]&gt;0,"Partial Invoiced","Not Invoiced"),"Fully Invoiced")</f>
        <v>Fully Invoiced</v>
      </c>
      <c r="R4114" t="str">
        <f>IFERROR(VLOOKUP(T[[#This Row],[warehouse]],Table2[],2,FALSE),"--")</f>
        <v>CRUSHER ELBALOLA</v>
      </c>
    </row>
    <row r="4115" spans="1:18" x14ac:dyDescent="0.25">
      <c r="A4115" t="s">
        <v>1639</v>
      </c>
      <c r="B4115" s="1">
        <v>44909</v>
      </c>
      <c r="C4115" t="s">
        <v>2954</v>
      </c>
      <c r="D4115" t="s">
        <v>100</v>
      </c>
      <c r="E4115" t="s">
        <v>908</v>
      </c>
      <c r="F4115" t="s">
        <v>86</v>
      </c>
      <c r="G4115" t="s">
        <v>87</v>
      </c>
      <c r="H4115" t="s">
        <v>24</v>
      </c>
      <c r="I4115">
        <v>585.63400000000001</v>
      </c>
      <c r="J4115">
        <v>585.63400000000001</v>
      </c>
      <c r="K4115">
        <v>585.63</v>
      </c>
      <c r="L4115" t="s">
        <v>693</v>
      </c>
      <c r="M4115" t="s">
        <v>1485</v>
      </c>
      <c r="N4115">
        <v>825548.36719599995</v>
      </c>
      <c r="O4115">
        <v>483469192.47446197</v>
      </c>
      <c r="P4115" t="str">
        <f>IF(T[[#This Row],[qty_ordered]]&lt;&gt;T[[#This Row],[qty_received]],IF(T[[#This Row],[qty_received]]&gt;0,"Partial Received","Not Receviced"),"FullyReceived")</f>
        <v>FullyReceived</v>
      </c>
      <c r="Q4115" t="str">
        <f>IF(T[[#This Row],[qty_received]]&lt;&gt;T[[#This Row],[qty_invoiced]],IF(T[[#This Row],[qty_invoiced]]&gt;0,"Partial Invoiced","Not Invoiced"),"Fully Invoiced")</f>
        <v>Partial Invoiced</v>
      </c>
      <c r="R4115" t="str">
        <f>IFERROR(VLOOKUP(T[[#This Row],[warehouse]],Table2[],2,FALSE),"--")</f>
        <v>SIFTER- ALNAZER-OMDU</v>
      </c>
    </row>
    <row r="4116" spans="1:18" x14ac:dyDescent="0.25">
      <c r="A4116" t="s">
        <v>795</v>
      </c>
      <c r="B4116" s="1">
        <v>44907</v>
      </c>
      <c r="C4116" t="s">
        <v>2945</v>
      </c>
      <c r="D4116" t="s">
        <v>71</v>
      </c>
      <c r="E4116" t="s">
        <v>28</v>
      </c>
      <c r="F4116" t="s">
        <v>287</v>
      </c>
      <c r="G4116" t="s">
        <v>288</v>
      </c>
      <c r="H4116" t="s">
        <v>24</v>
      </c>
      <c r="I4116">
        <v>1000</v>
      </c>
      <c r="J4116">
        <v>0</v>
      </c>
      <c r="K4116">
        <v>0</v>
      </c>
      <c r="L4116" t="s">
        <v>693</v>
      </c>
      <c r="M4116" t="s">
        <v>707</v>
      </c>
      <c r="N4116">
        <v>600000</v>
      </c>
      <c r="O4116">
        <v>0</v>
      </c>
      <c r="P4116" t="str">
        <f>IF(T[[#This Row],[qty_ordered]]&lt;&gt;T[[#This Row],[qty_received]],IF(T[[#This Row],[qty_received]]&gt;0,"Partial Received","Not Receviced"),"FullyReceived")</f>
        <v>Not Receviced</v>
      </c>
      <c r="Q4116" t="str">
        <f>IF(T[[#This Row],[qty_received]]&lt;&gt;T[[#This Row],[qty_invoiced]],IF(T[[#This Row],[qty_invoiced]]&gt;0,"Partial Invoiced","Not Invoiced"),"Fully Invoiced")</f>
        <v>Fully Invoiced</v>
      </c>
      <c r="R4116" t="str">
        <f>IFERROR(VLOOKUP(T[[#This Row],[warehouse]],Table2[],2,FALSE),"--")</f>
        <v>Crusher KHN -ASVOC</v>
      </c>
    </row>
    <row r="4117" spans="1:18" x14ac:dyDescent="0.25">
      <c r="A4117" t="s">
        <v>973</v>
      </c>
      <c r="B4117" s="1">
        <v>44916</v>
      </c>
      <c r="C4117" t="s">
        <v>2961</v>
      </c>
      <c r="D4117" t="s">
        <v>20</v>
      </c>
      <c r="E4117" t="s">
        <v>281</v>
      </c>
      <c r="F4117" t="s">
        <v>167</v>
      </c>
      <c r="G4117" t="s">
        <v>156</v>
      </c>
      <c r="H4117" t="s">
        <v>24</v>
      </c>
      <c r="I4117">
        <v>200</v>
      </c>
      <c r="J4117">
        <v>200</v>
      </c>
      <c r="K4117">
        <v>200</v>
      </c>
      <c r="L4117" t="s">
        <v>693</v>
      </c>
      <c r="M4117" t="s">
        <v>707</v>
      </c>
      <c r="N4117">
        <v>1080000</v>
      </c>
      <c r="O4117">
        <v>216000000</v>
      </c>
      <c r="P4117" t="str">
        <f>IF(T[[#This Row],[qty_ordered]]&lt;&gt;T[[#This Row],[qty_received]],IF(T[[#This Row],[qty_received]]&gt;0,"Partial Received","Not Receviced"),"FullyReceived")</f>
        <v>FullyReceived</v>
      </c>
      <c r="Q4117" t="str">
        <f>IF(T[[#This Row],[qty_received]]&lt;&gt;T[[#This Row],[qty_invoiced]],IF(T[[#This Row],[qty_invoiced]]&gt;0,"Partial Invoiced","Not Invoiced"),"Fully Invoiced")</f>
        <v>Fully Invoiced</v>
      </c>
      <c r="R4117" t="str">
        <f>IFERROR(VLOOKUP(T[[#This Row],[warehouse]],Table2[],2,FALSE),"--")</f>
        <v>Crusher Alm Eldin-KH</v>
      </c>
    </row>
    <row r="4118" spans="1:18" x14ac:dyDescent="0.25">
      <c r="A4118" t="s">
        <v>2377</v>
      </c>
      <c r="B4118" s="1">
        <v>44917</v>
      </c>
      <c r="C4118" t="s">
        <v>2963</v>
      </c>
      <c r="D4118" t="s">
        <v>20</v>
      </c>
      <c r="E4118" t="s">
        <v>1220</v>
      </c>
      <c r="F4118" t="s">
        <v>1221</v>
      </c>
      <c r="G4118" t="s">
        <v>1634</v>
      </c>
      <c r="H4118" t="s">
        <v>123</v>
      </c>
      <c r="I4118">
        <v>103805</v>
      </c>
      <c r="J4118">
        <v>103805</v>
      </c>
      <c r="K4118">
        <v>103805</v>
      </c>
      <c r="L4118" t="s">
        <v>693</v>
      </c>
      <c r="M4118" t="s">
        <v>707</v>
      </c>
      <c r="N4118">
        <v>17629.84</v>
      </c>
      <c r="O4118">
        <v>1830065541.2</v>
      </c>
      <c r="P4118" t="str">
        <f>IF(T[[#This Row],[qty_ordered]]&lt;&gt;T[[#This Row],[qty_received]],IF(T[[#This Row],[qty_received]]&gt;0,"Partial Received","Not Receviced"),"FullyReceived")</f>
        <v>FullyReceived</v>
      </c>
      <c r="Q4118" t="str">
        <f>IF(T[[#This Row],[qty_received]]&lt;&gt;T[[#This Row],[qty_invoiced]],IF(T[[#This Row],[qty_invoiced]]&gt;0,"Partial Invoiced","Not Invoiced"),"Fully Invoiced")</f>
        <v>Fully Invoiced</v>
      </c>
      <c r="R4118" t="str">
        <f>IFERROR(VLOOKUP(T[[#This Row],[warehouse]],Table2[],2,FALSE),"--")</f>
        <v>Import Virtual Warehouse - PZU</v>
      </c>
    </row>
    <row r="4119" spans="1:18" x14ac:dyDescent="0.25">
      <c r="A4119" t="s">
        <v>2377</v>
      </c>
      <c r="B4119" s="1">
        <v>44917</v>
      </c>
      <c r="C4119" t="s">
        <v>2963</v>
      </c>
      <c r="D4119" t="s">
        <v>71</v>
      </c>
      <c r="E4119" t="s">
        <v>1220</v>
      </c>
      <c r="F4119" t="s">
        <v>1690</v>
      </c>
      <c r="G4119" t="s">
        <v>1691</v>
      </c>
      <c r="H4119" t="s">
        <v>123</v>
      </c>
      <c r="I4119">
        <v>220000</v>
      </c>
      <c r="J4119">
        <v>220000</v>
      </c>
      <c r="K4119">
        <v>220000</v>
      </c>
      <c r="L4119" t="s">
        <v>693</v>
      </c>
      <c r="M4119" t="s">
        <v>707</v>
      </c>
      <c r="N4119">
        <v>16172.83</v>
      </c>
      <c r="O4119">
        <v>3558022600</v>
      </c>
      <c r="P4119" t="str">
        <f>IF(T[[#This Row],[qty_ordered]]&lt;&gt;T[[#This Row],[qty_received]],IF(T[[#This Row],[qty_received]]&gt;0,"Partial Received","Not Receviced"),"FullyReceived")</f>
        <v>FullyReceived</v>
      </c>
      <c r="Q4119" t="str">
        <f>IF(T[[#This Row],[qty_received]]&lt;&gt;T[[#This Row],[qty_invoiced]],IF(T[[#This Row],[qty_invoiced]]&gt;0,"Partial Invoiced","Not Invoiced"),"Fully Invoiced")</f>
        <v>Fully Invoiced</v>
      </c>
      <c r="R4119" t="str">
        <f>IFERROR(VLOOKUP(T[[#This Row],[warehouse]],Table2[],2,FALSE),"--")</f>
        <v>Import Virtual Warehouse - PZU</v>
      </c>
    </row>
    <row r="4120" spans="1:18" x14ac:dyDescent="0.25">
      <c r="A4120" t="s">
        <v>955</v>
      </c>
      <c r="B4120" s="1">
        <v>44916</v>
      </c>
      <c r="C4120" t="s">
        <v>2972</v>
      </c>
      <c r="D4120" t="s">
        <v>20</v>
      </c>
      <c r="E4120" t="s">
        <v>268</v>
      </c>
      <c r="F4120" t="s">
        <v>486</v>
      </c>
      <c r="G4120" t="s">
        <v>487</v>
      </c>
      <c r="H4120" t="s">
        <v>24</v>
      </c>
      <c r="I4120">
        <v>1435.41</v>
      </c>
      <c r="J4120">
        <v>1435.41</v>
      </c>
      <c r="K4120">
        <v>1435.41</v>
      </c>
      <c r="L4120" t="s">
        <v>693</v>
      </c>
      <c r="M4120" t="s">
        <v>1485</v>
      </c>
      <c r="N4120">
        <v>694200</v>
      </c>
      <c r="O4120">
        <v>996461622</v>
      </c>
      <c r="P4120" t="str">
        <f>IF(T[[#This Row],[qty_ordered]]&lt;&gt;T[[#This Row],[qty_received]],IF(T[[#This Row],[qty_received]]&gt;0,"Partial Received","Not Receviced"),"FullyReceived")</f>
        <v>FullyReceived</v>
      </c>
      <c r="Q4120" t="str">
        <f>IF(T[[#This Row],[qty_received]]&lt;&gt;T[[#This Row],[qty_invoiced]],IF(T[[#This Row],[qty_invoiced]]&gt;0,"Partial Invoiced","Not Invoiced"),"Fully Invoiced")</f>
        <v>Fully Invoiced</v>
      </c>
      <c r="R4120" t="str">
        <f>IFERROR(VLOOKUP(T[[#This Row],[warehouse]],Table2[],2,FALSE),"--")</f>
        <v>SIFTING- HASABO</v>
      </c>
    </row>
    <row r="4121" spans="1:18" x14ac:dyDescent="0.25">
      <c r="A4121" t="s">
        <v>201</v>
      </c>
      <c r="B4121" s="1">
        <v>44923</v>
      </c>
      <c r="C4121" t="s">
        <v>2985</v>
      </c>
      <c r="D4121" t="s">
        <v>71</v>
      </c>
      <c r="E4121" t="s">
        <v>1220</v>
      </c>
      <c r="F4121" t="s">
        <v>1307</v>
      </c>
      <c r="G4121" t="s">
        <v>1308</v>
      </c>
      <c r="H4121" t="s">
        <v>149</v>
      </c>
      <c r="I4121">
        <v>6550</v>
      </c>
      <c r="J4121">
        <v>0</v>
      </c>
      <c r="K4121">
        <v>0</v>
      </c>
      <c r="L4121" t="s">
        <v>693</v>
      </c>
      <c r="M4121" t="s">
        <v>707</v>
      </c>
      <c r="N4121">
        <v>0</v>
      </c>
      <c r="O4121">
        <v>0</v>
      </c>
      <c r="P4121" t="str">
        <f>IF(T[[#This Row],[qty_ordered]]&lt;&gt;T[[#This Row],[qty_received]],IF(T[[#This Row],[qty_received]]&gt;0,"Partial Received","Not Receviced"),"FullyReceived")</f>
        <v>Not Receviced</v>
      </c>
      <c r="Q4121" t="str">
        <f>IF(T[[#This Row],[qty_received]]&lt;&gt;T[[#This Row],[qty_invoiced]],IF(T[[#This Row],[qty_invoiced]]&gt;0,"Partial Invoiced","Not Invoiced"),"Fully Invoiced")</f>
        <v>Fully Invoiced</v>
      </c>
      <c r="R4121" t="str">
        <f>IFERROR(VLOOKUP(T[[#This Row],[warehouse]],Table2[],2,FALSE),"--")</f>
        <v>Import Virtual Warehouse - PZU</v>
      </c>
    </row>
    <row r="4122" spans="1:18" x14ac:dyDescent="0.25">
      <c r="A4122" t="s">
        <v>959</v>
      </c>
      <c r="B4122" s="1">
        <v>44929</v>
      </c>
      <c r="C4122" t="s">
        <v>3008</v>
      </c>
      <c r="D4122" t="s">
        <v>20</v>
      </c>
      <c r="E4122" t="s">
        <v>214</v>
      </c>
      <c r="F4122" t="s">
        <v>167</v>
      </c>
      <c r="G4122" t="s">
        <v>156</v>
      </c>
      <c r="H4122" t="s">
        <v>24</v>
      </c>
      <c r="I4122">
        <v>1500</v>
      </c>
      <c r="J4122">
        <v>1493.63</v>
      </c>
      <c r="K4122">
        <v>1493.63</v>
      </c>
      <c r="L4122" t="s">
        <v>693</v>
      </c>
      <c r="M4122" t="s">
        <v>1485</v>
      </c>
      <c r="N4122">
        <v>1100000</v>
      </c>
      <c r="O4122">
        <v>1642993000</v>
      </c>
      <c r="P4122" t="str">
        <f>IF(T[[#This Row],[qty_ordered]]&lt;&gt;T[[#This Row],[qty_received]],IF(T[[#This Row],[qty_received]]&gt;0,"Partial Received","Not Receviced"),"FullyReceived")</f>
        <v>Partial Received</v>
      </c>
      <c r="Q4122" t="str">
        <f>IF(T[[#This Row],[qty_received]]&lt;&gt;T[[#This Row],[qty_invoiced]],IF(T[[#This Row],[qty_invoiced]]&gt;0,"Partial Invoiced","Not Invoiced"),"Fully Invoiced")</f>
        <v>Fully Invoiced</v>
      </c>
      <c r="R4122" t="str">
        <f>IFERROR(VLOOKUP(T[[#This Row],[warehouse]],Table2[],2,FALSE),"--")</f>
        <v>CRUSHER ELBALOLA</v>
      </c>
    </row>
    <row r="4123" spans="1:18" x14ac:dyDescent="0.25">
      <c r="A4123" t="s">
        <v>973</v>
      </c>
      <c r="B4123" s="1">
        <v>44929</v>
      </c>
      <c r="C4123" t="s">
        <v>3009</v>
      </c>
      <c r="D4123" t="s">
        <v>20</v>
      </c>
      <c r="E4123" t="s">
        <v>281</v>
      </c>
      <c r="F4123" t="s">
        <v>167</v>
      </c>
      <c r="G4123" t="s">
        <v>156</v>
      </c>
      <c r="H4123" t="s">
        <v>24</v>
      </c>
      <c r="I4123">
        <v>200</v>
      </c>
      <c r="J4123">
        <v>197.92</v>
      </c>
      <c r="K4123">
        <v>197.92</v>
      </c>
      <c r="L4123" t="s">
        <v>693</v>
      </c>
      <c r="M4123" t="s">
        <v>1485</v>
      </c>
      <c r="N4123">
        <v>1100000</v>
      </c>
      <c r="O4123">
        <v>217712000</v>
      </c>
      <c r="P4123" t="str">
        <f>IF(T[[#This Row],[qty_ordered]]&lt;&gt;T[[#This Row],[qty_received]],IF(T[[#This Row],[qty_received]]&gt;0,"Partial Received","Not Receviced"),"FullyReceived")</f>
        <v>Partial Received</v>
      </c>
      <c r="Q4123" t="str">
        <f>IF(T[[#This Row],[qty_received]]&lt;&gt;T[[#This Row],[qty_invoiced]],IF(T[[#This Row],[qty_invoiced]]&gt;0,"Partial Invoiced","Not Invoiced"),"Fully Invoiced")</f>
        <v>Fully Invoiced</v>
      </c>
      <c r="R4123" t="str">
        <f>IFERROR(VLOOKUP(T[[#This Row],[warehouse]],Table2[],2,FALSE),"--")</f>
        <v>Crusher Alm Eldin-KH</v>
      </c>
    </row>
    <row r="4124" spans="1:18" x14ac:dyDescent="0.25">
      <c r="A4124" t="s">
        <v>618</v>
      </c>
      <c r="B4124" s="1">
        <v>44930</v>
      </c>
      <c r="C4124" t="s">
        <v>3010</v>
      </c>
      <c r="D4124" t="s">
        <v>20</v>
      </c>
      <c r="E4124" t="s">
        <v>162</v>
      </c>
      <c r="F4124" t="s">
        <v>86</v>
      </c>
      <c r="G4124" t="s">
        <v>87</v>
      </c>
      <c r="H4124" t="s">
        <v>24</v>
      </c>
      <c r="I4124">
        <v>408.58</v>
      </c>
      <c r="J4124">
        <v>0</v>
      </c>
      <c r="K4124">
        <v>0</v>
      </c>
      <c r="L4124" t="s">
        <v>693</v>
      </c>
      <c r="M4124" t="s">
        <v>1485</v>
      </c>
      <c r="N4124">
        <v>734250.33041199995</v>
      </c>
      <c r="O4124">
        <v>0</v>
      </c>
      <c r="P4124" t="str">
        <f>IF(T[[#This Row],[qty_ordered]]&lt;&gt;T[[#This Row],[qty_received]],IF(T[[#This Row],[qty_received]]&gt;0,"Partial Received","Not Receviced"),"FullyReceived")</f>
        <v>Not Receviced</v>
      </c>
      <c r="Q4124" t="str">
        <f>IF(T[[#This Row],[qty_received]]&lt;&gt;T[[#This Row],[qty_invoiced]],IF(T[[#This Row],[qty_invoiced]]&gt;0,"Partial Invoiced","Not Invoiced"),"Fully Invoiced")</f>
        <v>Fully Invoiced</v>
      </c>
      <c r="R4124" t="str">
        <f>IFERROR(VLOOKUP(T[[#This Row],[warehouse]],Table2[],2,FALSE),"--")</f>
        <v>Sifters Mahasilna</v>
      </c>
    </row>
    <row r="4125" spans="1:18" x14ac:dyDescent="0.25">
      <c r="A4125" t="s">
        <v>955</v>
      </c>
      <c r="B4125" s="1">
        <v>44894</v>
      </c>
      <c r="C4125" t="s">
        <v>2897</v>
      </c>
      <c r="D4125" t="s">
        <v>71</v>
      </c>
      <c r="E4125" t="s">
        <v>629</v>
      </c>
      <c r="F4125" t="s">
        <v>287</v>
      </c>
      <c r="G4125" t="s">
        <v>288</v>
      </c>
      <c r="H4125" t="s">
        <v>24</v>
      </c>
      <c r="I4125">
        <v>1198.8699999999999</v>
      </c>
      <c r="J4125">
        <v>1198.8699999999999</v>
      </c>
      <c r="K4125">
        <v>1198.8699999999999</v>
      </c>
      <c r="L4125" t="s">
        <v>693</v>
      </c>
      <c r="M4125" t="s">
        <v>707</v>
      </c>
      <c r="N4125">
        <v>502000.05187299999</v>
      </c>
      <c r="O4125">
        <v>601832802.18898296</v>
      </c>
      <c r="P4125" t="str">
        <f>IF(T[[#This Row],[qty_ordered]]&lt;&gt;T[[#This Row],[qty_received]],IF(T[[#This Row],[qty_received]]&gt;0,"Partial Received","Not Receviced"),"FullyReceived")</f>
        <v>FullyReceived</v>
      </c>
      <c r="Q4125" t="str">
        <f>IF(T[[#This Row],[qty_received]]&lt;&gt;T[[#This Row],[qty_invoiced]],IF(T[[#This Row],[qty_invoiced]]&gt;0,"Partial Invoiced","Not Invoiced"),"Fully Invoiced")</f>
        <v>Fully Invoiced</v>
      </c>
      <c r="R4125" t="str">
        <f>IFERROR(VLOOKUP(T[[#This Row],[warehouse]],Table2[],2,FALSE),"--")</f>
        <v>SOPC Sifting &amp; Sorting</v>
      </c>
    </row>
    <row r="4126" spans="1:18" x14ac:dyDescent="0.25">
      <c r="A4126" t="s">
        <v>955</v>
      </c>
      <c r="B4126" s="1">
        <v>44930</v>
      </c>
      <c r="C4126" t="s">
        <v>3011</v>
      </c>
      <c r="D4126" t="s">
        <v>20</v>
      </c>
      <c r="E4126" t="s">
        <v>1139</v>
      </c>
      <c r="F4126" t="s">
        <v>108</v>
      </c>
      <c r="G4126" t="s">
        <v>109</v>
      </c>
      <c r="H4126" t="s">
        <v>24</v>
      </c>
      <c r="I4126">
        <v>1000</v>
      </c>
      <c r="J4126">
        <v>1000</v>
      </c>
      <c r="K4126">
        <v>1000</v>
      </c>
      <c r="L4126" t="s">
        <v>693</v>
      </c>
      <c r="M4126" t="s">
        <v>1485</v>
      </c>
      <c r="N4126">
        <v>716450</v>
      </c>
      <c r="O4126">
        <v>716450000</v>
      </c>
      <c r="P4126" t="str">
        <f>IF(T[[#This Row],[qty_ordered]]&lt;&gt;T[[#This Row],[qty_received]],IF(T[[#This Row],[qty_received]]&gt;0,"Partial Received","Not Receviced"),"FullyReceived")</f>
        <v>FullyReceived</v>
      </c>
      <c r="Q4126" t="str">
        <f>IF(T[[#This Row],[qty_received]]&lt;&gt;T[[#This Row],[qty_invoiced]],IF(T[[#This Row],[qty_invoiced]]&gt;0,"Partial Invoiced","Not Invoiced"),"Fully Invoiced")</f>
        <v>Fully Invoiced</v>
      </c>
      <c r="R4126" t="str">
        <f>IFERROR(VLOOKUP(T[[#This Row],[warehouse]],Table2[],2,FALSE),"--")</f>
        <v>Magzoub Sorting - OMD</v>
      </c>
    </row>
    <row r="4127" spans="1:18" x14ac:dyDescent="0.25">
      <c r="A4127" t="s">
        <v>1745</v>
      </c>
      <c r="B4127" s="1">
        <v>44931</v>
      </c>
      <c r="C4127" t="s">
        <v>3013</v>
      </c>
      <c r="D4127" t="s">
        <v>20</v>
      </c>
      <c r="E4127" t="s">
        <v>146</v>
      </c>
      <c r="F4127" t="s">
        <v>147</v>
      </c>
      <c r="G4127" t="s">
        <v>148</v>
      </c>
      <c r="H4127" t="s">
        <v>149</v>
      </c>
      <c r="I4127">
        <v>25000</v>
      </c>
      <c r="J4127">
        <v>25000</v>
      </c>
      <c r="K4127">
        <v>25000</v>
      </c>
      <c r="L4127" t="s">
        <v>693</v>
      </c>
      <c r="M4127" t="s">
        <v>1223</v>
      </c>
      <c r="N4127">
        <v>220</v>
      </c>
      <c r="O4127">
        <v>5500000</v>
      </c>
      <c r="P4127" t="str">
        <f>IF(T[[#This Row],[qty_ordered]]&lt;&gt;T[[#This Row],[qty_received]],IF(T[[#This Row],[qty_received]]&gt;0,"Partial Received","Not Receviced"),"FullyReceived")</f>
        <v>FullyReceived</v>
      </c>
      <c r="Q4127" t="str">
        <f>IF(T[[#This Row],[qty_received]]&lt;&gt;T[[#This Row],[qty_invoiced]],IF(T[[#This Row],[qty_invoiced]]&gt;0,"Partial Invoiced","Not Invoiced"),"Fully Invoiced")</f>
        <v>Fully Invoiced</v>
      </c>
      <c r="R4127" t="str">
        <f>IFERROR(VLOOKUP(T[[#This Row],[warehouse]],Table2[],2,FALSE),"--")</f>
        <v>Khtoum Main Warehouse</v>
      </c>
    </row>
    <row r="4128" spans="1:18" x14ac:dyDescent="0.25">
      <c r="A4128" t="s">
        <v>1745</v>
      </c>
      <c r="B4128" s="1">
        <v>44931</v>
      </c>
      <c r="C4128" t="s">
        <v>3014</v>
      </c>
      <c r="D4128" t="s">
        <v>20</v>
      </c>
      <c r="E4128" t="s">
        <v>146</v>
      </c>
      <c r="F4128" t="s">
        <v>147</v>
      </c>
      <c r="G4128" t="s">
        <v>148</v>
      </c>
      <c r="H4128" t="s">
        <v>149</v>
      </c>
      <c r="I4128">
        <v>140000</v>
      </c>
      <c r="J4128">
        <v>140000</v>
      </c>
      <c r="K4128">
        <v>140000</v>
      </c>
      <c r="L4128" t="s">
        <v>693</v>
      </c>
      <c r="M4128" t="s">
        <v>1223</v>
      </c>
      <c r="N4128">
        <v>220</v>
      </c>
      <c r="O4128">
        <v>30800000</v>
      </c>
      <c r="P4128" t="str">
        <f>IF(T[[#This Row],[qty_ordered]]&lt;&gt;T[[#This Row],[qty_received]],IF(T[[#This Row],[qty_received]]&gt;0,"Partial Received","Not Receviced"),"FullyReceived")</f>
        <v>FullyReceived</v>
      </c>
      <c r="Q4128" t="str">
        <f>IF(T[[#This Row],[qty_received]]&lt;&gt;T[[#This Row],[qty_invoiced]],IF(T[[#This Row],[qty_invoiced]]&gt;0,"Partial Invoiced","Not Invoiced"),"Fully Invoiced")</f>
        <v>Fully Invoiced</v>
      </c>
      <c r="R4128" t="str">
        <f>IFERROR(VLOOKUP(T[[#This Row],[warehouse]],Table2[],2,FALSE),"--")</f>
        <v>Khtoum Main Warehouse</v>
      </c>
    </row>
    <row r="4129" spans="1:18" x14ac:dyDescent="0.25">
      <c r="A4129" t="s">
        <v>1745</v>
      </c>
      <c r="B4129" s="1">
        <v>44931</v>
      </c>
      <c r="C4129" t="s">
        <v>3015</v>
      </c>
      <c r="D4129" t="s">
        <v>20</v>
      </c>
      <c r="E4129" t="s">
        <v>146</v>
      </c>
      <c r="F4129" t="s">
        <v>147</v>
      </c>
      <c r="G4129" t="s">
        <v>148</v>
      </c>
      <c r="H4129" t="s">
        <v>149</v>
      </c>
      <c r="I4129">
        <v>22000</v>
      </c>
      <c r="J4129">
        <v>22000</v>
      </c>
      <c r="K4129">
        <v>22000</v>
      </c>
      <c r="L4129" t="s">
        <v>693</v>
      </c>
      <c r="M4129" t="s">
        <v>1223</v>
      </c>
      <c r="N4129">
        <v>220</v>
      </c>
      <c r="O4129">
        <v>4840000</v>
      </c>
      <c r="P4129" t="str">
        <f>IF(T[[#This Row],[qty_ordered]]&lt;&gt;T[[#This Row],[qty_received]],IF(T[[#This Row],[qty_received]]&gt;0,"Partial Received","Not Receviced"),"FullyReceived")</f>
        <v>FullyReceived</v>
      </c>
      <c r="Q4129" t="str">
        <f>IF(T[[#This Row],[qty_received]]&lt;&gt;T[[#This Row],[qty_invoiced]],IF(T[[#This Row],[qty_invoiced]]&gt;0,"Partial Invoiced","Not Invoiced"),"Fully Invoiced")</f>
        <v>Fully Invoiced</v>
      </c>
      <c r="R4129" t="str">
        <f>IFERROR(VLOOKUP(T[[#This Row],[warehouse]],Table2[],2,FALSE),"--")</f>
        <v>Khtoum Main Warehouse</v>
      </c>
    </row>
    <row r="4130" spans="1:18" x14ac:dyDescent="0.25">
      <c r="A4130" t="s">
        <v>1745</v>
      </c>
      <c r="B4130" s="1">
        <v>44931</v>
      </c>
      <c r="C4130" t="s">
        <v>3016</v>
      </c>
      <c r="D4130" t="s">
        <v>20</v>
      </c>
      <c r="E4130" t="s">
        <v>146</v>
      </c>
      <c r="F4130" t="s">
        <v>151</v>
      </c>
      <c r="G4130" t="s">
        <v>152</v>
      </c>
      <c r="H4130" t="s">
        <v>149</v>
      </c>
      <c r="I4130">
        <v>36000</v>
      </c>
      <c r="J4130">
        <v>36000</v>
      </c>
      <c r="K4130">
        <v>36000</v>
      </c>
      <c r="L4130" t="s">
        <v>693</v>
      </c>
      <c r="M4130" t="s">
        <v>1223</v>
      </c>
      <c r="N4130">
        <v>220</v>
      </c>
      <c r="O4130">
        <v>7920000</v>
      </c>
      <c r="P4130" t="str">
        <f>IF(T[[#This Row],[qty_ordered]]&lt;&gt;T[[#This Row],[qty_received]],IF(T[[#This Row],[qty_received]]&gt;0,"Partial Received","Not Receviced"),"FullyReceived")</f>
        <v>FullyReceived</v>
      </c>
      <c r="Q4130" t="str">
        <f>IF(T[[#This Row],[qty_received]]&lt;&gt;T[[#This Row],[qty_invoiced]],IF(T[[#This Row],[qty_invoiced]]&gt;0,"Partial Invoiced","Not Invoiced"),"Fully Invoiced")</f>
        <v>Fully Invoiced</v>
      </c>
      <c r="R4130" t="str">
        <f>IFERROR(VLOOKUP(T[[#This Row],[warehouse]],Table2[],2,FALSE),"--")</f>
        <v>Khtoum Main Warehouse</v>
      </c>
    </row>
    <row r="4131" spans="1:18" x14ac:dyDescent="0.25">
      <c r="A4131" t="s">
        <v>1745</v>
      </c>
      <c r="B4131" s="1">
        <v>44934</v>
      </c>
      <c r="C4131" t="s">
        <v>3259</v>
      </c>
      <c r="D4131" t="s">
        <v>20</v>
      </c>
      <c r="E4131" t="s">
        <v>146</v>
      </c>
      <c r="F4131" t="s">
        <v>943</v>
      </c>
      <c r="G4131" t="s">
        <v>944</v>
      </c>
      <c r="H4131" t="s">
        <v>149</v>
      </c>
      <c r="I4131">
        <v>50000</v>
      </c>
      <c r="J4131">
        <v>50000</v>
      </c>
      <c r="K4131">
        <v>50000</v>
      </c>
      <c r="L4131" t="s">
        <v>693</v>
      </c>
      <c r="M4131" t="s">
        <v>1223</v>
      </c>
      <c r="N4131">
        <v>283</v>
      </c>
      <c r="O4131">
        <v>14150000</v>
      </c>
      <c r="P4131" t="str">
        <f>IF(T[[#This Row],[qty_ordered]]&lt;&gt;T[[#This Row],[qty_received]],IF(T[[#This Row],[qty_received]]&gt;0,"Partial Received","Not Receviced"),"FullyReceived")</f>
        <v>FullyReceived</v>
      </c>
      <c r="Q4131" t="str">
        <f>IF(T[[#This Row],[qty_received]]&lt;&gt;T[[#This Row],[qty_invoiced]],IF(T[[#This Row],[qty_invoiced]]&gt;0,"Partial Invoiced","Not Invoiced"),"Fully Invoiced")</f>
        <v>Fully Invoiced</v>
      </c>
      <c r="R4131" t="str">
        <f>IFERROR(VLOOKUP(T[[#This Row],[warehouse]],Table2[],2,FALSE),"--")</f>
        <v>Khtoum Main Warehouse</v>
      </c>
    </row>
    <row r="4132" spans="1:18" x14ac:dyDescent="0.25">
      <c r="A4132" t="s">
        <v>560</v>
      </c>
      <c r="B4132" s="1">
        <v>44885</v>
      </c>
      <c r="C4132" t="s">
        <v>2841</v>
      </c>
      <c r="D4132" t="s">
        <v>212</v>
      </c>
      <c r="E4132" t="s">
        <v>51</v>
      </c>
      <c r="F4132" t="s">
        <v>2842</v>
      </c>
      <c r="G4132" t="s">
        <v>3260</v>
      </c>
      <c r="H4132" t="s">
        <v>54</v>
      </c>
      <c r="I4132">
        <v>16.5</v>
      </c>
      <c r="J4132">
        <v>0</v>
      </c>
      <c r="K4132">
        <v>1</v>
      </c>
      <c r="L4132" t="s">
        <v>693</v>
      </c>
      <c r="M4132" t="s">
        <v>2836</v>
      </c>
      <c r="N4132">
        <v>9450</v>
      </c>
      <c r="O4132">
        <v>0</v>
      </c>
      <c r="P4132" t="str">
        <f>IF(T[[#This Row],[qty_ordered]]&lt;&gt;T[[#This Row],[qty_received]],IF(T[[#This Row],[qty_received]]&gt;0,"Partial Received","Not Receviced"),"FullyReceived")</f>
        <v>Not Receviced</v>
      </c>
      <c r="Q4132" t="str">
        <f>IF(T[[#This Row],[qty_received]]&lt;&gt;T[[#This Row],[qty_invoiced]],IF(T[[#This Row],[qty_invoiced]]&gt;0,"Partial Invoiced","Not Invoiced"),"Fully Invoiced")</f>
        <v>Partial Invoiced</v>
      </c>
      <c r="R4132" t="str">
        <f>IFERROR(VLOOKUP(T[[#This Row],[warehouse]],Table2[],2,FALSE),"--")</f>
        <v>--</v>
      </c>
    </row>
    <row r="4133" spans="1:18" x14ac:dyDescent="0.25">
      <c r="A4133" t="s">
        <v>437</v>
      </c>
      <c r="B4133" s="1">
        <v>44924</v>
      </c>
      <c r="C4133" t="s">
        <v>3001</v>
      </c>
      <c r="D4133" t="s">
        <v>20</v>
      </c>
      <c r="E4133" t="s">
        <v>51</v>
      </c>
      <c r="F4133" t="s">
        <v>183</v>
      </c>
      <c r="G4133" t="s">
        <v>1813</v>
      </c>
      <c r="H4133" t="s">
        <v>54</v>
      </c>
      <c r="I4133">
        <v>665.85</v>
      </c>
      <c r="J4133">
        <v>0</v>
      </c>
      <c r="K4133">
        <v>1</v>
      </c>
      <c r="L4133" t="s">
        <v>693</v>
      </c>
      <c r="M4133" t="s">
        <v>51</v>
      </c>
      <c r="N4133">
        <v>13000</v>
      </c>
      <c r="O4133">
        <v>0</v>
      </c>
      <c r="P4133" t="str">
        <f>IF(T[[#This Row],[qty_ordered]]&lt;&gt;T[[#This Row],[qty_received]],IF(T[[#This Row],[qty_received]]&gt;0,"Partial Received","Not Receviced"),"FullyReceived")</f>
        <v>Not Receviced</v>
      </c>
      <c r="Q4133" t="str">
        <f>IF(T[[#This Row],[qty_received]]&lt;&gt;T[[#This Row],[qty_invoiced]],IF(T[[#This Row],[qty_invoiced]]&gt;0,"Partial Invoiced","Not Invoiced"),"Fully Invoiced")</f>
        <v>Partial Invoiced</v>
      </c>
      <c r="R4133" t="str">
        <f>IFERROR(VLOOKUP(T[[#This Row],[warehouse]],Table2[],2,FALSE),"--")</f>
        <v>--</v>
      </c>
    </row>
    <row r="4134" spans="1:18" x14ac:dyDescent="0.25">
      <c r="A4134" t="s">
        <v>2377</v>
      </c>
      <c r="B4134" s="1">
        <v>44917</v>
      </c>
      <c r="C4134" t="s">
        <v>2963</v>
      </c>
      <c r="D4134" t="s">
        <v>100</v>
      </c>
      <c r="E4134" t="s">
        <v>51</v>
      </c>
      <c r="F4134" t="s">
        <v>52</v>
      </c>
      <c r="G4134" t="s">
        <v>3017</v>
      </c>
      <c r="H4134" t="s">
        <v>54</v>
      </c>
      <c r="I4134">
        <v>1</v>
      </c>
      <c r="J4134">
        <v>0</v>
      </c>
      <c r="K4134">
        <v>0</v>
      </c>
      <c r="L4134" t="s">
        <v>693</v>
      </c>
      <c r="M4134" t="s">
        <v>707</v>
      </c>
      <c r="N4134">
        <v>8231224.7999999998</v>
      </c>
      <c r="O4134">
        <v>0</v>
      </c>
      <c r="P4134" t="str">
        <f>IF(T[[#This Row],[qty_ordered]]&lt;&gt;T[[#This Row],[qty_received]],IF(T[[#This Row],[qty_received]]&gt;0,"Partial Received","Not Receviced"),"FullyReceived")</f>
        <v>Not Receviced</v>
      </c>
      <c r="Q4134" t="str">
        <f>IF(T[[#This Row],[qty_received]]&lt;&gt;T[[#This Row],[qty_invoiced]],IF(T[[#This Row],[qty_invoiced]]&gt;0,"Partial Invoiced","Not Invoiced"),"Fully Invoiced")</f>
        <v>Fully Invoiced</v>
      </c>
      <c r="R4134" t="str">
        <f>IFERROR(VLOOKUP(T[[#This Row],[warehouse]],Table2[],2,FALSE),"--")</f>
        <v>--</v>
      </c>
    </row>
    <row r="4135" spans="1:18" x14ac:dyDescent="0.25">
      <c r="A4135" t="s">
        <v>955</v>
      </c>
      <c r="B4135" s="1">
        <v>44931</v>
      </c>
      <c r="C4135" t="s">
        <v>3018</v>
      </c>
      <c r="D4135" t="s">
        <v>20</v>
      </c>
      <c r="E4135" t="s">
        <v>281</v>
      </c>
      <c r="F4135" t="s">
        <v>526</v>
      </c>
      <c r="G4135" t="s">
        <v>472</v>
      </c>
      <c r="H4135" t="s">
        <v>123</v>
      </c>
      <c r="I4135">
        <v>4000</v>
      </c>
      <c r="J4135">
        <v>0</v>
      </c>
      <c r="K4135">
        <v>0</v>
      </c>
      <c r="L4135" t="s">
        <v>693</v>
      </c>
      <c r="M4135" t="s">
        <v>707</v>
      </c>
      <c r="N4135">
        <v>29750</v>
      </c>
      <c r="O4135">
        <v>0</v>
      </c>
      <c r="P4135" t="str">
        <f>IF(T[[#This Row],[qty_ordered]]&lt;&gt;T[[#This Row],[qty_received]],IF(T[[#This Row],[qty_received]]&gt;0,"Partial Received","Not Receviced"),"FullyReceived")</f>
        <v>Not Receviced</v>
      </c>
      <c r="Q4135" t="str">
        <f>IF(T[[#This Row],[qty_received]]&lt;&gt;T[[#This Row],[qty_invoiced]],IF(T[[#This Row],[qty_invoiced]]&gt;0,"Partial Invoiced","Not Invoiced"),"Fully Invoiced")</f>
        <v>Fully Invoiced</v>
      </c>
      <c r="R4135" t="str">
        <f>IFERROR(VLOOKUP(T[[#This Row],[warehouse]],Table2[],2,FALSE),"--")</f>
        <v>Crusher Alm Eldin-KH</v>
      </c>
    </row>
    <row r="4136" spans="1:18" x14ac:dyDescent="0.25">
      <c r="A4136" t="s">
        <v>560</v>
      </c>
      <c r="B4136" s="1">
        <v>44935</v>
      </c>
      <c r="C4136" t="s">
        <v>3089</v>
      </c>
      <c r="D4136" t="s">
        <v>20</v>
      </c>
      <c r="E4136" t="s">
        <v>51</v>
      </c>
      <c r="F4136" t="s">
        <v>2842</v>
      </c>
      <c r="G4136" t="s">
        <v>3261</v>
      </c>
      <c r="H4136" t="s">
        <v>54</v>
      </c>
      <c r="I4136">
        <v>14.63</v>
      </c>
      <c r="J4136">
        <v>0</v>
      </c>
      <c r="K4136">
        <v>1</v>
      </c>
      <c r="L4136" t="s">
        <v>693</v>
      </c>
      <c r="M4136" t="s">
        <v>2836</v>
      </c>
      <c r="N4136">
        <v>9450</v>
      </c>
      <c r="O4136">
        <v>0</v>
      </c>
      <c r="P4136" t="str">
        <f>IF(T[[#This Row],[qty_ordered]]&lt;&gt;T[[#This Row],[qty_received]],IF(T[[#This Row],[qty_received]]&gt;0,"Partial Received","Not Receviced"),"FullyReceived")</f>
        <v>Not Receviced</v>
      </c>
      <c r="Q4136" t="str">
        <f>IF(T[[#This Row],[qty_received]]&lt;&gt;T[[#This Row],[qty_invoiced]],IF(T[[#This Row],[qty_invoiced]]&gt;0,"Partial Invoiced","Not Invoiced"),"Fully Invoiced")</f>
        <v>Partial Invoiced</v>
      </c>
      <c r="R4136" t="str">
        <f>IFERROR(VLOOKUP(T[[#This Row],[warehouse]],Table2[],2,FALSE),"--")</f>
        <v>--</v>
      </c>
    </row>
    <row r="4137" spans="1:18" x14ac:dyDescent="0.25">
      <c r="A4137" t="s">
        <v>560</v>
      </c>
      <c r="B4137" s="1">
        <v>44935</v>
      </c>
      <c r="C4137" t="s">
        <v>3089</v>
      </c>
      <c r="D4137" t="s">
        <v>71</v>
      </c>
      <c r="E4137" t="s">
        <v>51</v>
      </c>
      <c r="F4137" t="s">
        <v>2842</v>
      </c>
      <c r="G4137" t="s">
        <v>3261</v>
      </c>
      <c r="H4137" t="s">
        <v>54</v>
      </c>
      <c r="I4137">
        <v>32.880000000000003</v>
      </c>
      <c r="J4137">
        <v>0</v>
      </c>
      <c r="K4137">
        <v>1</v>
      </c>
      <c r="L4137" t="s">
        <v>693</v>
      </c>
      <c r="M4137" t="s">
        <v>2836</v>
      </c>
      <c r="N4137">
        <v>9450</v>
      </c>
      <c r="O4137">
        <v>0</v>
      </c>
      <c r="P4137" t="str">
        <f>IF(T[[#This Row],[qty_ordered]]&lt;&gt;T[[#This Row],[qty_received]],IF(T[[#This Row],[qty_received]]&gt;0,"Partial Received","Not Receviced"),"FullyReceived")</f>
        <v>Not Receviced</v>
      </c>
      <c r="Q4137" t="str">
        <f>IF(T[[#This Row],[qty_received]]&lt;&gt;T[[#This Row],[qty_invoiced]],IF(T[[#This Row],[qty_invoiced]]&gt;0,"Partial Invoiced","Not Invoiced"),"Fully Invoiced")</f>
        <v>Partial Invoiced</v>
      </c>
      <c r="R4137" t="str">
        <f>IFERROR(VLOOKUP(T[[#This Row],[warehouse]],Table2[],2,FALSE),"--")</f>
        <v>--</v>
      </c>
    </row>
    <row r="4138" spans="1:18" x14ac:dyDescent="0.25">
      <c r="A4138" t="s">
        <v>560</v>
      </c>
      <c r="B4138" s="1">
        <v>44935</v>
      </c>
      <c r="C4138" t="s">
        <v>3089</v>
      </c>
      <c r="D4138" t="s">
        <v>100</v>
      </c>
      <c r="E4138" t="s">
        <v>51</v>
      </c>
      <c r="F4138" t="s">
        <v>2842</v>
      </c>
      <c r="G4138" t="s">
        <v>3261</v>
      </c>
      <c r="H4138" t="s">
        <v>54</v>
      </c>
      <c r="I4138">
        <v>33.75</v>
      </c>
      <c r="J4138">
        <v>0</v>
      </c>
      <c r="K4138">
        <v>1</v>
      </c>
      <c r="L4138" t="s">
        <v>693</v>
      </c>
      <c r="M4138" t="s">
        <v>2836</v>
      </c>
      <c r="N4138">
        <v>9450</v>
      </c>
      <c r="O4138">
        <v>0</v>
      </c>
      <c r="P4138" t="str">
        <f>IF(T[[#This Row],[qty_ordered]]&lt;&gt;T[[#This Row],[qty_received]],IF(T[[#This Row],[qty_received]]&gt;0,"Partial Received","Not Receviced"),"FullyReceived")</f>
        <v>Not Receviced</v>
      </c>
      <c r="Q4138" t="str">
        <f>IF(T[[#This Row],[qty_received]]&lt;&gt;T[[#This Row],[qty_invoiced]],IF(T[[#This Row],[qty_invoiced]]&gt;0,"Partial Invoiced","Not Invoiced"),"Fully Invoiced")</f>
        <v>Partial Invoiced</v>
      </c>
      <c r="R4138" t="str">
        <f>IFERROR(VLOOKUP(T[[#This Row],[warehouse]],Table2[],2,FALSE),"--")</f>
        <v>--</v>
      </c>
    </row>
    <row r="4139" spans="1:18" x14ac:dyDescent="0.25">
      <c r="A4139" t="s">
        <v>560</v>
      </c>
      <c r="B4139" s="1">
        <v>44935</v>
      </c>
      <c r="C4139" t="s">
        <v>3178</v>
      </c>
      <c r="D4139" t="s">
        <v>20</v>
      </c>
      <c r="E4139" t="s">
        <v>51</v>
      </c>
      <c r="F4139" t="s">
        <v>2842</v>
      </c>
      <c r="G4139" t="s">
        <v>3262</v>
      </c>
      <c r="H4139" t="s">
        <v>54</v>
      </c>
      <c r="I4139">
        <v>11.88</v>
      </c>
      <c r="J4139">
        <v>0</v>
      </c>
      <c r="K4139">
        <v>1</v>
      </c>
      <c r="L4139" t="s">
        <v>693</v>
      </c>
      <c r="M4139" t="s">
        <v>2836</v>
      </c>
      <c r="N4139">
        <v>9450</v>
      </c>
      <c r="O4139">
        <v>0</v>
      </c>
      <c r="P4139" t="str">
        <f>IF(T[[#This Row],[qty_ordered]]&lt;&gt;T[[#This Row],[qty_received]],IF(T[[#This Row],[qty_received]]&gt;0,"Partial Received","Not Receviced"),"FullyReceived")</f>
        <v>Not Receviced</v>
      </c>
      <c r="Q4139" t="str">
        <f>IF(T[[#This Row],[qty_received]]&lt;&gt;T[[#This Row],[qty_invoiced]],IF(T[[#This Row],[qty_invoiced]]&gt;0,"Partial Invoiced","Not Invoiced"),"Fully Invoiced")</f>
        <v>Partial Invoiced</v>
      </c>
      <c r="R4139" t="str">
        <f>IFERROR(VLOOKUP(T[[#This Row],[warehouse]],Table2[],2,FALSE),"--")</f>
        <v>--</v>
      </c>
    </row>
    <row r="4140" spans="1:18" x14ac:dyDescent="0.25">
      <c r="A4140" t="s">
        <v>560</v>
      </c>
      <c r="B4140" s="1">
        <v>44902</v>
      </c>
      <c r="C4140" t="s">
        <v>2933</v>
      </c>
      <c r="D4140" t="s">
        <v>71</v>
      </c>
      <c r="E4140" t="s">
        <v>51</v>
      </c>
      <c r="F4140" t="s">
        <v>2842</v>
      </c>
      <c r="G4140" t="s">
        <v>3263</v>
      </c>
      <c r="H4140" t="s">
        <v>54</v>
      </c>
      <c r="I4140">
        <v>25</v>
      </c>
      <c r="J4140">
        <v>0</v>
      </c>
      <c r="K4140">
        <v>1</v>
      </c>
      <c r="L4140" t="s">
        <v>693</v>
      </c>
      <c r="M4140" t="s">
        <v>2836</v>
      </c>
      <c r="N4140">
        <v>9450</v>
      </c>
      <c r="O4140">
        <v>0</v>
      </c>
      <c r="P4140" t="str">
        <f>IF(T[[#This Row],[qty_ordered]]&lt;&gt;T[[#This Row],[qty_received]],IF(T[[#This Row],[qty_received]]&gt;0,"Partial Received","Not Receviced"),"FullyReceived")</f>
        <v>Not Receviced</v>
      </c>
      <c r="Q4140" t="str">
        <f>IF(T[[#This Row],[qty_received]]&lt;&gt;T[[#This Row],[qty_invoiced]],IF(T[[#This Row],[qty_invoiced]]&gt;0,"Partial Invoiced","Not Invoiced"),"Fully Invoiced")</f>
        <v>Partial Invoiced</v>
      </c>
      <c r="R4140" t="str">
        <f>IFERROR(VLOOKUP(T[[#This Row],[warehouse]],Table2[],2,FALSE),"--")</f>
        <v>--</v>
      </c>
    </row>
    <row r="4141" spans="1:18" x14ac:dyDescent="0.25">
      <c r="A4141" t="s">
        <v>560</v>
      </c>
      <c r="B4141" s="1">
        <v>44902</v>
      </c>
      <c r="C4141" t="s">
        <v>2935</v>
      </c>
      <c r="D4141" t="s">
        <v>100</v>
      </c>
      <c r="E4141" t="s">
        <v>51</v>
      </c>
      <c r="F4141" t="s">
        <v>2842</v>
      </c>
      <c r="G4141" t="s">
        <v>3264</v>
      </c>
      <c r="H4141" t="s">
        <v>54</v>
      </c>
      <c r="I4141">
        <v>26</v>
      </c>
      <c r="J4141">
        <v>0</v>
      </c>
      <c r="K4141">
        <v>1</v>
      </c>
      <c r="L4141" t="s">
        <v>693</v>
      </c>
      <c r="M4141" t="s">
        <v>2836</v>
      </c>
      <c r="N4141">
        <v>9450</v>
      </c>
      <c r="O4141">
        <v>0</v>
      </c>
      <c r="P4141" t="str">
        <f>IF(T[[#This Row],[qty_ordered]]&lt;&gt;T[[#This Row],[qty_received]],IF(T[[#This Row],[qty_received]]&gt;0,"Partial Received","Not Receviced"),"FullyReceived")</f>
        <v>Not Receviced</v>
      </c>
      <c r="Q4141" t="str">
        <f>IF(T[[#This Row],[qty_received]]&lt;&gt;T[[#This Row],[qty_invoiced]],IF(T[[#This Row],[qty_invoiced]]&gt;0,"Partial Invoiced","Not Invoiced"),"Fully Invoiced")</f>
        <v>Partial Invoiced</v>
      </c>
      <c r="R4141" t="str">
        <f>IFERROR(VLOOKUP(T[[#This Row],[warehouse]],Table2[],2,FALSE),"--")</f>
        <v>--</v>
      </c>
    </row>
    <row r="4142" spans="1:18" x14ac:dyDescent="0.25">
      <c r="A4142" t="s">
        <v>560</v>
      </c>
      <c r="B4142" s="1">
        <v>44902</v>
      </c>
      <c r="C4142" t="s">
        <v>2935</v>
      </c>
      <c r="D4142" t="s">
        <v>88</v>
      </c>
      <c r="E4142" t="s">
        <v>51</v>
      </c>
      <c r="F4142" t="s">
        <v>2842</v>
      </c>
      <c r="G4142" t="s">
        <v>3264</v>
      </c>
      <c r="H4142" t="s">
        <v>54</v>
      </c>
      <c r="I4142">
        <v>3</v>
      </c>
      <c r="J4142">
        <v>0</v>
      </c>
      <c r="K4142">
        <v>1</v>
      </c>
      <c r="L4142" t="s">
        <v>693</v>
      </c>
      <c r="M4142" t="s">
        <v>2836</v>
      </c>
      <c r="N4142">
        <v>9450</v>
      </c>
      <c r="O4142">
        <v>0</v>
      </c>
      <c r="P4142" t="str">
        <f>IF(T[[#This Row],[qty_ordered]]&lt;&gt;T[[#This Row],[qty_received]],IF(T[[#This Row],[qty_received]]&gt;0,"Partial Received","Not Receviced"),"FullyReceived")</f>
        <v>Not Receviced</v>
      </c>
      <c r="Q4142" t="str">
        <f>IF(T[[#This Row],[qty_received]]&lt;&gt;T[[#This Row],[qty_invoiced]],IF(T[[#This Row],[qty_invoiced]]&gt;0,"Partial Invoiced","Not Invoiced"),"Fully Invoiced")</f>
        <v>Partial Invoiced</v>
      </c>
      <c r="R4142" t="str">
        <f>IFERROR(VLOOKUP(T[[#This Row],[warehouse]],Table2[],2,FALSE),"--")</f>
        <v>--</v>
      </c>
    </row>
    <row r="4143" spans="1:18" x14ac:dyDescent="0.25">
      <c r="A4143" t="s">
        <v>560</v>
      </c>
      <c r="B4143" s="1">
        <v>44902</v>
      </c>
      <c r="C4143" t="s">
        <v>2937</v>
      </c>
      <c r="D4143" t="s">
        <v>71</v>
      </c>
      <c r="E4143" t="s">
        <v>51</v>
      </c>
      <c r="F4143" t="s">
        <v>2842</v>
      </c>
      <c r="G4143" t="s">
        <v>3265</v>
      </c>
      <c r="H4143" t="s">
        <v>54</v>
      </c>
      <c r="I4143">
        <v>26</v>
      </c>
      <c r="J4143">
        <v>0</v>
      </c>
      <c r="K4143">
        <v>1</v>
      </c>
      <c r="L4143" t="s">
        <v>693</v>
      </c>
      <c r="M4143" t="s">
        <v>2836</v>
      </c>
      <c r="N4143">
        <v>9450</v>
      </c>
      <c r="O4143">
        <v>0</v>
      </c>
      <c r="P4143" t="str">
        <f>IF(T[[#This Row],[qty_ordered]]&lt;&gt;T[[#This Row],[qty_received]],IF(T[[#This Row],[qty_received]]&gt;0,"Partial Received","Not Receviced"),"FullyReceived")</f>
        <v>Not Receviced</v>
      </c>
      <c r="Q4143" t="str">
        <f>IF(T[[#This Row],[qty_received]]&lt;&gt;T[[#This Row],[qty_invoiced]],IF(T[[#This Row],[qty_invoiced]]&gt;0,"Partial Invoiced","Not Invoiced"),"Fully Invoiced")</f>
        <v>Partial Invoiced</v>
      </c>
      <c r="R4143" t="str">
        <f>IFERROR(VLOOKUP(T[[#This Row],[warehouse]],Table2[],2,FALSE),"--")</f>
        <v>--</v>
      </c>
    </row>
    <row r="4144" spans="1:18" x14ac:dyDescent="0.25">
      <c r="A4144" t="s">
        <v>560</v>
      </c>
      <c r="B4144" s="1">
        <v>44935</v>
      </c>
      <c r="C4144" t="s">
        <v>3076</v>
      </c>
      <c r="D4144" t="s">
        <v>20</v>
      </c>
      <c r="E4144" t="s">
        <v>51</v>
      </c>
      <c r="F4144" t="s">
        <v>2842</v>
      </c>
      <c r="G4144" t="s">
        <v>3266</v>
      </c>
      <c r="H4144" t="s">
        <v>54</v>
      </c>
      <c r="I4144">
        <v>28.75</v>
      </c>
      <c r="J4144">
        <v>0</v>
      </c>
      <c r="K4144">
        <v>1</v>
      </c>
      <c r="L4144" t="s">
        <v>693</v>
      </c>
      <c r="M4144" t="s">
        <v>2836</v>
      </c>
      <c r="N4144">
        <v>9450</v>
      </c>
      <c r="O4144">
        <v>0</v>
      </c>
      <c r="P4144" t="str">
        <f>IF(T[[#This Row],[qty_ordered]]&lt;&gt;T[[#This Row],[qty_received]],IF(T[[#This Row],[qty_received]]&gt;0,"Partial Received","Not Receviced"),"FullyReceived")</f>
        <v>Not Receviced</v>
      </c>
      <c r="Q4144" t="str">
        <f>IF(T[[#This Row],[qty_received]]&lt;&gt;T[[#This Row],[qty_invoiced]],IF(T[[#This Row],[qty_invoiced]]&gt;0,"Partial Invoiced","Not Invoiced"),"Fully Invoiced")</f>
        <v>Partial Invoiced</v>
      </c>
      <c r="R4144" t="str">
        <f>IFERROR(VLOOKUP(T[[#This Row],[warehouse]],Table2[],2,FALSE),"--")</f>
        <v>--</v>
      </c>
    </row>
    <row r="4145" spans="1:18" x14ac:dyDescent="0.25">
      <c r="A4145" t="s">
        <v>959</v>
      </c>
      <c r="B4145" s="1">
        <v>44899</v>
      </c>
      <c r="C4145" t="s">
        <v>2914</v>
      </c>
      <c r="D4145" t="s">
        <v>71</v>
      </c>
      <c r="E4145" t="s">
        <v>214</v>
      </c>
      <c r="F4145" t="s">
        <v>526</v>
      </c>
      <c r="G4145" t="s">
        <v>472</v>
      </c>
      <c r="H4145" t="s">
        <v>123</v>
      </c>
      <c r="I4145">
        <v>1200</v>
      </c>
      <c r="J4145">
        <v>1200</v>
      </c>
      <c r="K4145">
        <v>1009.928</v>
      </c>
      <c r="L4145" t="s">
        <v>693</v>
      </c>
      <c r="M4145" t="s">
        <v>707</v>
      </c>
      <c r="N4145">
        <v>29500</v>
      </c>
      <c r="O4145">
        <v>35400000</v>
      </c>
      <c r="P4145" t="str">
        <f>IF(T[[#This Row],[qty_ordered]]&lt;&gt;T[[#This Row],[qty_received]],IF(T[[#This Row],[qty_received]]&gt;0,"Partial Received","Not Receviced"),"FullyReceived")</f>
        <v>FullyReceived</v>
      </c>
      <c r="Q4145" t="str">
        <f>IF(T[[#This Row],[qty_received]]&lt;&gt;T[[#This Row],[qty_invoiced]],IF(T[[#This Row],[qty_invoiced]]&gt;0,"Partial Invoiced","Not Invoiced"),"Fully Invoiced")</f>
        <v>Partial Invoiced</v>
      </c>
      <c r="R4145" t="str">
        <f>IFERROR(VLOOKUP(T[[#This Row],[warehouse]],Table2[],2,FALSE),"--")</f>
        <v>CRUSHER ELBALOLA</v>
      </c>
    </row>
    <row r="4146" spans="1:18" x14ac:dyDescent="0.25">
      <c r="A4146" t="s">
        <v>1475</v>
      </c>
      <c r="B4146" s="1">
        <v>44929</v>
      </c>
      <c r="C4146" t="s">
        <v>3006</v>
      </c>
      <c r="D4146" t="s">
        <v>20</v>
      </c>
      <c r="E4146" t="s">
        <v>51</v>
      </c>
      <c r="F4146" t="s">
        <v>674</v>
      </c>
      <c r="G4146" t="s">
        <v>3007</v>
      </c>
      <c r="H4146" t="s">
        <v>54</v>
      </c>
      <c r="I4146">
        <v>12328.69</v>
      </c>
      <c r="J4146">
        <v>0</v>
      </c>
      <c r="K4146">
        <v>1</v>
      </c>
      <c r="L4146" t="s">
        <v>693</v>
      </c>
      <c r="M4146" t="s">
        <v>2836</v>
      </c>
      <c r="N4146">
        <v>11000</v>
      </c>
      <c r="O4146">
        <v>0</v>
      </c>
      <c r="P4146" t="str">
        <f>IF(T[[#This Row],[qty_ordered]]&lt;&gt;T[[#This Row],[qty_received]],IF(T[[#This Row],[qty_received]]&gt;0,"Partial Received","Not Receviced"),"FullyReceived")</f>
        <v>Not Receviced</v>
      </c>
      <c r="Q4146" t="str">
        <f>IF(T[[#This Row],[qty_received]]&lt;&gt;T[[#This Row],[qty_invoiced]],IF(T[[#This Row],[qty_invoiced]]&gt;0,"Partial Invoiced","Not Invoiced"),"Fully Invoiced")</f>
        <v>Partial Invoiced</v>
      </c>
      <c r="R4146" t="str">
        <f>IFERROR(VLOOKUP(T[[#This Row],[warehouse]],Table2[],2,FALSE),"--")</f>
        <v>--</v>
      </c>
    </row>
    <row r="4147" spans="1:18" x14ac:dyDescent="0.25">
      <c r="A4147" t="s">
        <v>2411</v>
      </c>
      <c r="B4147" s="1">
        <v>44934</v>
      </c>
      <c r="C4147" t="s">
        <v>3267</v>
      </c>
      <c r="D4147" t="s">
        <v>20</v>
      </c>
      <c r="E4147" t="s">
        <v>51</v>
      </c>
      <c r="F4147" t="s">
        <v>52</v>
      </c>
      <c r="G4147" t="s">
        <v>3268</v>
      </c>
      <c r="H4147" t="s">
        <v>54</v>
      </c>
      <c r="I4147">
        <v>1</v>
      </c>
      <c r="J4147">
        <v>0</v>
      </c>
      <c r="K4147">
        <v>0</v>
      </c>
      <c r="L4147" t="s">
        <v>51</v>
      </c>
      <c r="M4147" t="s">
        <v>1485</v>
      </c>
      <c r="N4147">
        <v>38345000</v>
      </c>
      <c r="O4147">
        <v>0</v>
      </c>
      <c r="P4147" t="str">
        <f>IF(T[[#This Row],[qty_ordered]]&lt;&gt;T[[#This Row],[qty_received]],IF(T[[#This Row],[qty_received]]&gt;0,"Partial Received","Not Receviced"),"FullyReceived")</f>
        <v>Not Receviced</v>
      </c>
      <c r="Q4147" t="str">
        <f>IF(T[[#This Row],[qty_received]]&lt;&gt;T[[#This Row],[qty_invoiced]],IF(T[[#This Row],[qty_invoiced]]&gt;0,"Partial Invoiced","Not Invoiced"),"Fully Invoiced")</f>
        <v>Fully Invoiced</v>
      </c>
      <c r="R4147" t="str">
        <f>IFERROR(VLOOKUP(T[[#This Row],[warehouse]],Table2[],2,FALSE),"--")</f>
        <v>--</v>
      </c>
    </row>
    <row r="4148" spans="1:18" x14ac:dyDescent="0.25">
      <c r="A4148" t="s">
        <v>560</v>
      </c>
      <c r="B4148" s="1">
        <v>44902</v>
      </c>
      <c r="C4148" t="s">
        <v>2935</v>
      </c>
      <c r="D4148" t="s">
        <v>74</v>
      </c>
      <c r="E4148" t="s">
        <v>51</v>
      </c>
      <c r="F4148" t="s">
        <v>2842</v>
      </c>
      <c r="G4148" t="s">
        <v>3264</v>
      </c>
      <c r="H4148" t="s">
        <v>54</v>
      </c>
      <c r="I4148">
        <v>27.25</v>
      </c>
      <c r="J4148">
        <v>0</v>
      </c>
      <c r="K4148">
        <v>1</v>
      </c>
      <c r="L4148" t="s">
        <v>693</v>
      </c>
      <c r="M4148" t="s">
        <v>2836</v>
      </c>
      <c r="N4148">
        <v>9450</v>
      </c>
      <c r="O4148">
        <v>0</v>
      </c>
      <c r="P4148" t="str">
        <f>IF(T[[#This Row],[qty_ordered]]&lt;&gt;T[[#This Row],[qty_received]],IF(T[[#This Row],[qty_received]]&gt;0,"Partial Received","Not Receviced"),"FullyReceived")</f>
        <v>Not Receviced</v>
      </c>
      <c r="Q4148" t="str">
        <f>IF(T[[#This Row],[qty_received]]&lt;&gt;T[[#This Row],[qty_invoiced]],IF(T[[#This Row],[qty_invoiced]]&gt;0,"Partial Invoiced","Not Invoiced"),"Fully Invoiced")</f>
        <v>Partial Invoiced</v>
      </c>
      <c r="R4148" t="str">
        <f>IFERROR(VLOOKUP(T[[#This Row],[warehouse]],Table2[],2,FALSE),"--")</f>
        <v>--</v>
      </c>
    </row>
    <row r="4149" spans="1:18" x14ac:dyDescent="0.25">
      <c r="A4149" t="s">
        <v>560</v>
      </c>
      <c r="B4149" s="1">
        <v>44935</v>
      </c>
      <c r="C4149" t="s">
        <v>3076</v>
      </c>
      <c r="D4149" t="s">
        <v>71</v>
      </c>
      <c r="E4149" t="s">
        <v>51</v>
      </c>
      <c r="F4149" t="s">
        <v>2842</v>
      </c>
      <c r="G4149" t="s">
        <v>3266</v>
      </c>
      <c r="H4149" t="s">
        <v>54</v>
      </c>
      <c r="I4149">
        <v>30.13</v>
      </c>
      <c r="J4149">
        <v>0</v>
      </c>
      <c r="K4149">
        <v>1</v>
      </c>
      <c r="L4149" t="s">
        <v>693</v>
      </c>
      <c r="M4149" t="s">
        <v>2836</v>
      </c>
      <c r="N4149">
        <v>9450</v>
      </c>
      <c r="O4149">
        <v>0</v>
      </c>
      <c r="P4149" t="str">
        <f>IF(T[[#This Row],[qty_ordered]]&lt;&gt;T[[#This Row],[qty_received]],IF(T[[#This Row],[qty_received]]&gt;0,"Partial Received","Not Receviced"),"FullyReceived")</f>
        <v>Not Receviced</v>
      </c>
      <c r="Q4149" t="str">
        <f>IF(T[[#This Row],[qty_received]]&lt;&gt;T[[#This Row],[qty_invoiced]],IF(T[[#This Row],[qty_invoiced]]&gt;0,"Partial Invoiced","Not Invoiced"),"Fully Invoiced")</f>
        <v>Partial Invoiced</v>
      </c>
      <c r="R4149" t="str">
        <f>IFERROR(VLOOKUP(T[[#This Row],[warehouse]],Table2[],2,FALSE),"--")</f>
        <v>--</v>
      </c>
    </row>
    <row r="4150" spans="1:18" x14ac:dyDescent="0.25">
      <c r="A4150" t="s">
        <v>560</v>
      </c>
      <c r="B4150" s="1">
        <v>44935</v>
      </c>
      <c r="C4150" t="s">
        <v>3076</v>
      </c>
      <c r="D4150" t="s">
        <v>100</v>
      </c>
      <c r="E4150" t="s">
        <v>51</v>
      </c>
      <c r="F4150" t="s">
        <v>2842</v>
      </c>
      <c r="G4150" t="s">
        <v>3266</v>
      </c>
      <c r="H4150" t="s">
        <v>54</v>
      </c>
      <c r="I4150">
        <v>27.88</v>
      </c>
      <c r="J4150">
        <v>0</v>
      </c>
      <c r="K4150">
        <v>1</v>
      </c>
      <c r="L4150" t="s">
        <v>693</v>
      </c>
      <c r="M4150" t="s">
        <v>2836</v>
      </c>
      <c r="N4150">
        <v>9450</v>
      </c>
      <c r="O4150">
        <v>0</v>
      </c>
      <c r="P4150" t="str">
        <f>IF(T[[#This Row],[qty_ordered]]&lt;&gt;T[[#This Row],[qty_received]],IF(T[[#This Row],[qty_received]]&gt;0,"Partial Received","Not Receviced"),"FullyReceived")</f>
        <v>Not Receviced</v>
      </c>
      <c r="Q4150" t="str">
        <f>IF(T[[#This Row],[qty_received]]&lt;&gt;T[[#This Row],[qty_invoiced]],IF(T[[#This Row],[qty_invoiced]]&gt;0,"Partial Invoiced","Not Invoiced"),"Fully Invoiced")</f>
        <v>Partial Invoiced</v>
      </c>
      <c r="R4150" t="str">
        <f>IFERROR(VLOOKUP(T[[#This Row],[warehouse]],Table2[],2,FALSE),"--")</f>
        <v>--</v>
      </c>
    </row>
    <row r="4151" spans="1:18" x14ac:dyDescent="0.25">
      <c r="A4151" t="s">
        <v>560</v>
      </c>
      <c r="B4151" s="1">
        <v>44935</v>
      </c>
      <c r="C4151" t="s">
        <v>3076</v>
      </c>
      <c r="D4151" t="s">
        <v>88</v>
      </c>
      <c r="E4151" t="s">
        <v>51</v>
      </c>
      <c r="F4151" t="s">
        <v>2842</v>
      </c>
      <c r="G4151" t="s">
        <v>3266</v>
      </c>
      <c r="H4151" t="s">
        <v>54</v>
      </c>
      <c r="I4151">
        <v>6</v>
      </c>
      <c r="J4151">
        <v>0</v>
      </c>
      <c r="K4151">
        <v>1</v>
      </c>
      <c r="L4151" t="s">
        <v>693</v>
      </c>
      <c r="M4151" t="s">
        <v>2836</v>
      </c>
      <c r="N4151">
        <v>9450</v>
      </c>
      <c r="O4151">
        <v>0</v>
      </c>
      <c r="P4151" t="str">
        <f>IF(T[[#This Row],[qty_ordered]]&lt;&gt;T[[#This Row],[qty_received]],IF(T[[#This Row],[qty_received]]&gt;0,"Partial Received","Not Receviced"),"FullyReceived")</f>
        <v>Not Receviced</v>
      </c>
      <c r="Q4151" t="str">
        <f>IF(T[[#This Row],[qty_received]]&lt;&gt;T[[#This Row],[qty_invoiced]],IF(T[[#This Row],[qty_invoiced]]&gt;0,"Partial Invoiced","Not Invoiced"),"Fully Invoiced")</f>
        <v>Partial Invoiced</v>
      </c>
      <c r="R4151" t="str">
        <f>IFERROR(VLOOKUP(T[[#This Row],[warehouse]],Table2[],2,FALSE),"--")</f>
        <v>--</v>
      </c>
    </row>
    <row r="4152" spans="1:18" x14ac:dyDescent="0.25">
      <c r="A4152" t="s">
        <v>560</v>
      </c>
      <c r="B4152" s="1">
        <v>44935</v>
      </c>
      <c r="C4152" t="s">
        <v>3169</v>
      </c>
      <c r="D4152" t="s">
        <v>20</v>
      </c>
      <c r="E4152" t="s">
        <v>51</v>
      </c>
      <c r="F4152" t="s">
        <v>2842</v>
      </c>
      <c r="G4152" t="s">
        <v>3269</v>
      </c>
      <c r="H4152" t="s">
        <v>54</v>
      </c>
      <c r="I4152">
        <v>31.63</v>
      </c>
      <c r="J4152">
        <v>0</v>
      </c>
      <c r="K4152">
        <v>1</v>
      </c>
      <c r="L4152" t="s">
        <v>693</v>
      </c>
      <c r="M4152" t="s">
        <v>2836</v>
      </c>
      <c r="N4152">
        <v>9450</v>
      </c>
      <c r="O4152">
        <v>0</v>
      </c>
      <c r="P4152" t="str">
        <f>IF(T[[#This Row],[qty_ordered]]&lt;&gt;T[[#This Row],[qty_received]],IF(T[[#This Row],[qty_received]]&gt;0,"Partial Received","Not Receviced"),"FullyReceived")</f>
        <v>Not Receviced</v>
      </c>
      <c r="Q4152" t="str">
        <f>IF(T[[#This Row],[qty_received]]&lt;&gt;T[[#This Row],[qty_invoiced]],IF(T[[#This Row],[qty_invoiced]]&gt;0,"Partial Invoiced","Not Invoiced"),"Fully Invoiced")</f>
        <v>Partial Invoiced</v>
      </c>
      <c r="R4152" t="str">
        <f>IFERROR(VLOOKUP(T[[#This Row],[warehouse]],Table2[],2,FALSE),"--")</f>
        <v>--</v>
      </c>
    </row>
    <row r="4153" spans="1:18" x14ac:dyDescent="0.25">
      <c r="A4153" t="s">
        <v>560</v>
      </c>
      <c r="B4153" s="1">
        <v>44935</v>
      </c>
      <c r="C4153" t="s">
        <v>3169</v>
      </c>
      <c r="D4153" t="s">
        <v>71</v>
      </c>
      <c r="E4153" t="s">
        <v>51</v>
      </c>
      <c r="F4153" t="s">
        <v>2842</v>
      </c>
      <c r="G4153" t="s">
        <v>3269</v>
      </c>
      <c r="H4153" t="s">
        <v>54</v>
      </c>
      <c r="I4153">
        <v>24.13</v>
      </c>
      <c r="J4153">
        <v>0</v>
      </c>
      <c r="K4153">
        <v>1</v>
      </c>
      <c r="L4153" t="s">
        <v>693</v>
      </c>
      <c r="M4153" t="s">
        <v>2836</v>
      </c>
      <c r="N4153">
        <v>9450</v>
      </c>
      <c r="O4153">
        <v>0</v>
      </c>
      <c r="P4153" t="str">
        <f>IF(T[[#This Row],[qty_ordered]]&lt;&gt;T[[#This Row],[qty_received]],IF(T[[#This Row],[qty_received]]&gt;0,"Partial Received","Not Receviced"),"FullyReceived")</f>
        <v>Not Receviced</v>
      </c>
      <c r="Q4153" t="str">
        <f>IF(T[[#This Row],[qty_received]]&lt;&gt;T[[#This Row],[qty_invoiced]],IF(T[[#This Row],[qty_invoiced]]&gt;0,"Partial Invoiced","Not Invoiced"),"Fully Invoiced")</f>
        <v>Partial Invoiced</v>
      </c>
      <c r="R4153" t="str">
        <f>IFERROR(VLOOKUP(T[[#This Row],[warehouse]],Table2[],2,FALSE),"--")</f>
        <v>--</v>
      </c>
    </row>
    <row r="4154" spans="1:18" x14ac:dyDescent="0.25">
      <c r="A4154" t="s">
        <v>560</v>
      </c>
      <c r="B4154" s="1">
        <v>44572</v>
      </c>
      <c r="C4154" t="s">
        <v>1651</v>
      </c>
      <c r="D4154" t="s">
        <v>509</v>
      </c>
      <c r="E4154" t="s">
        <v>51</v>
      </c>
      <c r="F4154" t="s">
        <v>164</v>
      </c>
      <c r="G4154" t="s">
        <v>3270</v>
      </c>
      <c r="H4154" t="s">
        <v>54</v>
      </c>
      <c r="I4154">
        <v>26</v>
      </c>
      <c r="J4154">
        <v>0</v>
      </c>
      <c r="K4154">
        <v>1</v>
      </c>
      <c r="L4154" t="s">
        <v>693</v>
      </c>
      <c r="M4154" t="s">
        <v>2836</v>
      </c>
      <c r="N4154">
        <v>9450</v>
      </c>
      <c r="O4154">
        <v>0</v>
      </c>
      <c r="P4154" t="str">
        <f>IF(T[[#This Row],[qty_ordered]]&lt;&gt;T[[#This Row],[qty_received]],IF(T[[#This Row],[qty_received]]&gt;0,"Partial Received","Not Receviced"),"FullyReceived")</f>
        <v>Not Receviced</v>
      </c>
      <c r="Q4154" t="str">
        <f>IF(T[[#This Row],[qty_received]]&lt;&gt;T[[#This Row],[qty_invoiced]],IF(T[[#This Row],[qty_invoiced]]&gt;0,"Partial Invoiced","Not Invoiced"),"Fully Invoiced")</f>
        <v>Partial Invoiced</v>
      </c>
      <c r="R4154" t="str">
        <f>IFERROR(VLOOKUP(T[[#This Row],[warehouse]],Table2[],2,FALSE),"--")</f>
        <v>--</v>
      </c>
    </row>
    <row r="4155" spans="1:18" x14ac:dyDescent="0.25">
      <c r="A4155" t="s">
        <v>560</v>
      </c>
      <c r="B4155" s="1">
        <v>44746</v>
      </c>
      <c r="C4155" t="s">
        <v>1771</v>
      </c>
      <c r="D4155" t="s">
        <v>325</v>
      </c>
      <c r="E4155" t="s">
        <v>51</v>
      </c>
      <c r="F4155" t="s">
        <v>164</v>
      </c>
      <c r="G4155" t="s">
        <v>3271</v>
      </c>
      <c r="H4155" t="s">
        <v>54</v>
      </c>
      <c r="I4155">
        <v>27</v>
      </c>
      <c r="J4155">
        <v>0</v>
      </c>
      <c r="K4155">
        <v>1</v>
      </c>
      <c r="L4155" t="s">
        <v>693</v>
      </c>
      <c r="M4155" t="s">
        <v>2836</v>
      </c>
      <c r="N4155">
        <v>9450</v>
      </c>
      <c r="O4155">
        <v>0</v>
      </c>
      <c r="P4155" t="str">
        <f>IF(T[[#This Row],[qty_ordered]]&lt;&gt;T[[#This Row],[qty_received]],IF(T[[#This Row],[qty_received]]&gt;0,"Partial Received","Not Receviced"),"FullyReceived")</f>
        <v>Not Receviced</v>
      </c>
      <c r="Q4155" t="str">
        <f>IF(T[[#This Row],[qty_received]]&lt;&gt;T[[#This Row],[qty_invoiced]],IF(T[[#This Row],[qty_invoiced]]&gt;0,"Partial Invoiced","Not Invoiced"),"Fully Invoiced")</f>
        <v>Partial Invoiced</v>
      </c>
      <c r="R4155" t="str">
        <f>IFERROR(VLOOKUP(T[[#This Row],[warehouse]],Table2[],2,FALSE),"--")</f>
        <v>--</v>
      </c>
    </row>
    <row r="4156" spans="1:18" x14ac:dyDescent="0.25">
      <c r="A4156" t="s">
        <v>235</v>
      </c>
      <c r="B4156" s="1">
        <v>44924</v>
      </c>
      <c r="C4156" t="s">
        <v>2994</v>
      </c>
      <c r="D4156" t="s">
        <v>100</v>
      </c>
      <c r="E4156" t="s">
        <v>51</v>
      </c>
      <c r="F4156" t="s">
        <v>546</v>
      </c>
      <c r="G4156" t="s">
        <v>1606</v>
      </c>
      <c r="H4156" t="s">
        <v>54</v>
      </c>
      <c r="I4156">
        <v>5000</v>
      </c>
      <c r="J4156">
        <v>0</v>
      </c>
      <c r="K4156">
        <v>1</v>
      </c>
      <c r="L4156" t="s">
        <v>693</v>
      </c>
      <c r="M4156" t="s">
        <v>2836</v>
      </c>
      <c r="N4156">
        <v>17.54</v>
      </c>
      <c r="O4156">
        <v>0</v>
      </c>
      <c r="P4156" t="str">
        <f>IF(T[[#This Row],[qty_ordered]]&lt;&gt;T[[#This Row],[qty_received]],IF(T[[#This Row],[qty_received]]&gt;0,"Partial Received","Not Receviced"),"FullyReceived")</f>
        <v>Not Receviced</v>
      </c>
      <c r="Q4156" t="str">
        <f>IF(T[[#This Row],[qty_received]]&lt;&gt;T[[#This Row],[qty_invoiced]],IF(T[[#This Row],[qty_invoiced]]&gt;0,"Partial Invoiced","Not Invoiced"),"Fully Invoiced")</f>
        <v>Partial Invoiced</v>
      </c>
      <c r="R4156" t="str">
        <f>IFERROR(VLOOKUP(T[[#This Row],[warehouse]],Table2[],2,FALSE),"--")</f>
        <v>--</v>
      </c>
    </row>
    <row r="4157" spans="1:18" x14ac:dyDescent="0.25">
      <c r="A4157" t="s">
        <v>973</v>
      </c>
      <c r="B4157" s="1">
        <v>44972</v>
      </c>
      <c r="C4157" t="s">
        <v>3272</v>
      </c>
      <c r="D4157" t="s">
        <v>20</v>
      </c>
      <c r="E4157" t="s">
        <v>281</v>
      </c>
      <c r="F4157" t="s">
        <v>526</v>
      </c>
      <c r="G4157" t="s">
        <v>472</v>
      </c>
      <c r="H4157" t="s">
        <v>123</v>
      </c>
      <c r="I4157">
        <v>10000</v>
      </c>
      <c r="J4157">
        <v>4800</v>
      </c>
      <c r="K4157">
        <v>4800</v>
      </c>
      <c r="L4157" t="s">
        <v>693</v>
      </c>
      <c r="M4157" t="s">
        <v>707</v>
      </c>
      <c r="N4157">
        <v>36000</v>
      </c>
      <c r="O4157">
        <v>172800000</v>
      </c>
      <c r="P4157" t="str">
        <f>IF(T[[#This Row],[qty_ordered]]&lt;&gt;T[[#This Row],[qty_received]],IF(T[[#This Row],[qty_received]]&gt;0,"Partial Received","Not Receviced"),"FullyReceived")</f>
        <v>Partial Received</v>
      </c>
      <c r="Q4157" t="str">
        <f>IF(T[[#This Row],[qty_received]]&lt;&gt;T[[#This Row],[qty_invoiced]],IF(T[[#This Row],[qty_invoiced]]&gt;0,"Partial Invoiced","Not Invoiced"),"Fully Invoiced")</f>
        <v>Fully Invoiced</v>
      </c>
      <c r="R4157" t="str">
        <f>IFERROR(VLOOKUP(T[[#This Row],[warehouse]],Table2[],2,FALSE),"--")</f>
        <v>Crusher Alm Eldin-KH</v>
      </c>
    </row>
    <row r="4158" spans="1:18" x14ac:dyDescent="0.25">
      <c r="A4158" t="s">
        <v>560</v>
      </c>
      <c r="B4158" s="1">
        <v>44885</v>
      </c>
      <c r="C4158" t="s">
        <v>2841</v>
      </c>
      <c r="D4158" t="s">
        <v>322</v>
      </c>
      <c r="E4158" t="s">
        <v>51</v>
      </c>
      <c r="F4158" t="s">
        <v>2842</v>
      </c>
      <c r="G4158" t="s">
        <v>3273</v>
      </c>
      <c r="H4158" t="s">
        <v>54</v>
      </c>
      <c r="I4158">
        <v>38.75</v>
      </c>
      <c r="J4158">
        <v>0</v>
      </c>
      <c r="K4158">
        <v>1</v>
      </c>
      <c r="L4158" t="s">
        <v>693</v>
      </c>
      <c r="M4158" t="s">
        <v>2836</v>
      </c>
      <c r="N4158">
        <v>12285</v>
      </c>
      <c r="O4158">
        <v>0</v>
      </c>
      <c r="P4158" t="str">
        <f>IF(T[[#This Row],[qty_ordered]]&lt;&gt;T[[#This Row],[qty_received]],IF(T[[#This Row],[qty_received]]&gt;0,"Partial Received","Not Receviced"),"FullyReceived")</f>
        <v>Not Receviced</v>
      </c>
      <c r="Q4158" t="str">
        <f>IF(T[[#This Row],[qty_received]]&lt;&gt;T[[#This Row],[qty_invoiced]],IF(T[[#This Row],[qty_invoiced]]&gt;0,"Partial Invoiced","Not Invoiced"),"Fully Invoiced")</f>
        <v>Partial Invoiced</v>
      </c>
      <c r="R4158" t="str">
        <f>IFERROR(VLOOKUP(T[[#This Row],[warehouse]],Table2[],2,FALSE),"--")</f>
        <v>--</v>
      </c>
    </row>
    <row r="4159" spans="1:18" x14ac:dyDescent="0.25">
      <c r="A4159" t="s">
        <v>560</v>
      </c>
      <c r="B4159" s="1">
        <v>44885</v>
      </c>
      <c r="C4159" t="s">
        <v>2841</v>
      </c>
      <c r="D4159" t="s">
        <v>323</v>
      </c>
      <c r="E4159" t="s">
        <v>51</v>
      </c>
      <c r="F4159" t="s">
        <v>2842</v>
      </c>
      <c r="G4159" t="s">
        <v>3273</v>
      </c>
      <c r="H4159" t="s">
        <v>54</v>
      </c>
      <c r="I4159">
        <v>33.630000000000003</v>
      </c>
      <c r="J4159">
        <v>0</v>
      </c>
      <c r="K4159">
        <v>1</v>
      </c>
      <c r="L4159" t="s">
        <v>693</v>
      </c>
      <c r="M4159" t="s">
        <v>2836</v>
      </c>
      <c r="N4159">
        <v>12285</v>
      </c>
      <c r="O4159">
        <v>0</v>
      </c>
      <c r="P4159" t="str">
        <f>IF(T[[#This Row],[qty_ordered]]&lt;&gt;T[[#This Row],[qty_received]],IF(T[[#This Row],[qty_received]]&gt;0,"Partial Received","Not Receviced"),"FullyReceived")</f>
        <v>Not Receviced</v>
      </c>
      <c r="Q4159" t="str">
        <f>IF(T[[#This Row],[qty_received]]&lt;&gt;T[[#This Row],[qty_invoiced]],IF(T[[#This Row],[qty_invoiced]]&gt;0,"Partial Invoiced","Not Invoiced"),"Fully Invoiced")</f>
        <v>Partial Invoiced</v>
      </c>
      <c r="R4159" t="str">
        <f>IFERROR(VLOOKUP(T[[#This Row],[warehouse]],Table2[],2,FALSE),"--")</f>
        <v>--</v>
      </c>
    </row>
    <row r="4160" spans="1:18" x14ac:dyDescent="0.25">
      <c r="A4160" t="s">
        <v>560</v>
      </c>
      <c r="B4160" s="1">
        <v>44935</v>
      </c>
      <c r="C4160" t="s">
        <v>3089</v>
      </c>
      <c r="D4160" t="s">
        <v>88</v>
      </c>
      <c r="E4160" t="s">
        <v>51</v>
      </c>
      <c r="F4160" t="s">
        <v>2842</v>
      </c>
      <c r="G4160" t="s">
        <v>3274</v>
      </c>
      <c r="H4160" t="s">
        <v>54</v>
      </c>
      <c r="I4160">
        <v>29.38</v>
      </c>
      <c r="J4160">
        <v>0</v>
      </c>
      <c r="K4160">
        <v>1</v>
      </c>
      <c r="L4160" t="s">
        <v>693</v>
      </c>
      <c r="M4160" t="s">
        <v>2836</v>
      </c>
      <c r="N4160">
        <v>12285</v>
      </c>
      <c r="O4160">
        <v>0</v>
      </c>
      <c r="P4160" t="str">
        <f>IF(T[[#This Row],[qty_ordered]]&lt;&gt;T[[#This Row],[qty_received]],IF(T[[#This Row],[qty_received]]&gt;0,"Partial Received","Not Receviced"),"FullyReceived")</f>
        <v>Not Receviced</v>
      </c>
      <c r="Q4160" t="str">
        <f>IF(T[[#This Row],[qty_received]]&lt;&gt;T[[#This Row],[qty_invoiced]],IF(T[[#This Row],[qty_invoiced]]&gt;0,"Partial Invoiced","Not Invoiced"),"Fully Invoiced")</f>
        <v>Partial Invoiced</v>
      </c>
      <c r="R4160" t="str">
        <f>IFERROR(VLOOKUP(T[[#This Row],[warehouse]],Table2[],2,FALSE),"--")</f>
        <v>--</v>
      </c>
    </row>
    <row r="4161" spans="1:18" x14ac:dyDescent="0.25">
      <c r="A4161" t="s">
        <v>560</v>
      </c>
      <c r="B4161" s="1">
        <v>44935</v>
      </c>
      <c r="C4161" t="s">
        <v>3089</v>
      </c>
      <c r="D4161" t="s">
        <v>74</v>
      </c>
      <c r="E4161" t="s">
        <v>51</v>
      </c>
      <c r="F4161" t="s">
        <v>2842</v>
      </c>
      <c r="G4161" t="s">
        <v>3274</v>
      </c>
      <c r="H4161" t="s">
        <v>54</v>
      </c>
      <c r="I4161">
        <v>33.880000000000003</v>
      </c>
      <c r="J4161">
        <v>0</v>
      </c>
      <c r="K4161">
        <v>1</v>
      </c>
      <c r="L4161" t="s">
        <v>693</v>
      </c>
      <c r="M4161" t="s">
        <v>2836</v>
      </c>
      <c r="N4161">
        <v>12285</v>
      </c>
      <c r="O4161">
        <v>0</v>
      </c>
      <c r="P4161" t="str">
        <f>IF(T[[#This Row],[qty_ordered]]&lt;&gt;T[[#This Row],[qty_received]],IF(T[[#This Row],[qty_received]]&gt;0,"Partial Received","Not Receviced"),"FullyReceived")</f>
        <v>Not Receviced</v>
      </c>
      <c r="Q4161" t="str">
        <f>IF(T[[#This Row],[qty_received]]&lt;&gt;T[[#This Row],[qty_invoiced]],IF(T[[#This Row],[qty_invoiced]]&gt;0,"Partial Invoiced","Not Invoiced"),"Fully Invoiced")</f>
        <v>Partial Invoiced</v>
      </c>
      <c r="R4161" t="str">
        <f>IFERROR(VLOOKUP(T[[#This Row],[warehouse]],Table2[],2,FALSE),"--")</f>
        <v>--</v>
      </c>
    </row>
    <row r="4162" spans="1:18" x14ac:dyDescent="0.25">
      <c r="A4162" t="s">
        <v>560</v>
      </c>
      <c r="B4162" s="1">
        <v>44935</v>
      </c>
      <c r="C4162" t="s">
        <v>3178</v>
      </c>
      <c r="D4162" t="s">
        <v>71</v>
      </c>
      <c r="E4162" t="s">
        <v>51</v>
      </c>
      <c r="F4162" t="s">
        <v>2842</v>
      </c>
      <c r="G4162" t="s">
        <v>3275</v>
      </c>
      <c r="H4162" t="s">
        <v>54</v>
      </c>
      <c r="I4162">
        <v>32.75</v>
      </c>
      <c r="J4162">
        <v>0</v>
      </c>
      <c r="K4162">
        <v>1</v>
      </c>
      <c r="L4162" t="s">
        <v>693</v>
      </c>
      <c r="M4162" t="s">
        <v>2836</v>
      </c>
      <c r="N4162">
        <v>12285</v>
      </c>
      <c r="O4162">
        <v>0</v>
      </c>
      <c r="P4162" t="str">
        <f>IF(T[[#This Row],[qty_ordered]]&lt;&gt;T[[#This Row],[qty_received]],IF(T[[#This Row],[qty_received]]&gt;0,"Partial Received","Not Receviced"),"FullyReceived")</f>
        <v>Not Receviced</v>
      </c>
      <c r="Q4162" t="str">
        <f>IF(T[[#This Row],[qty_received]]&lt;&gt;T[[#This Row],[qty_invoiced]],IF(T[[#This Row],[qty_invoiced]]&gt;0,"Partial Invoiced","Not Invoiced"),"Fully Invoiced")</f>
        <v>Partial Invoiced</v>
      </c>
      <c r="R4162" t="str">
        <f>IFERROR(VLOOKUP(T[[#This Row],[warehouse]],Table2[],2,FALSE),"--")</f>
        <v>--</v>
      </c>
    </row>
    <row r="4163" spans="1:18" x14ac:dyDescent="0.25">
      <c r="A4163" t="s">
        <v>560</v>
      </c>
      <c r="B4163" s="1">
        <v>44902</v>
      </c>
      <c r="C4163" t="s">
        <v>2933</v>
      </c>
      <c r="D4163" t="s">
        <v>100</v>
      </c>
      <c r="E4163" t="s">
        <v>51</v>
      </c>
      <c r="F4163" t="s">
        <v>2842</v>
      </c>
      <c r="G4163" t="s">
        <v>3276</v>
      </c>
      <c r="H4163" t="s">
        <v>54</v>
      </c>
      <c r="I4163">
        <v>26</v>
      </c>
      <c r="J4163">
        <v>0</v>
      </c>
      <c r="K4163">
        <v>1</v>
      </c>
      <c r="L4163" t="s">
        <v>693</v>
      </c>
      <c r="M4163" t="s">
        <v>2836</v>
      </c>
      <c r="N4163">
        <v>12285</v>
      </c>
      <c r="O4163">
        <v>0</v>
      </c>
      <c r="P4163" t="str">
        <f>IF(T[[#This Row],[qty_ordered]]&lt;&gt;T[[#This Row],[qty_received]],IF(T[[#This Row],[qty_received]]&gt;0,"Partial Received","Not Receviced"),"FullyReceived")</f>
        <v>Not Receviced</v>
      </c>
      <c r="Q4163" t="str">
        <f>IF(T[[#This Row],[qty_received]]&lt;&gt;T[[#This Row],[qty_invoiced]],IF(T[[#This Row],[qty_invoiced]]&gt;0,"Partial Invoiced","Not Invoiced"),"Fully Invoiced")</f>
        <v>Partial Invoiced</v>
      </c>
      <c r="R4163" t="str">
        <f>IFERROR(VLOOKUP(T[[#This Row],[warehouse]],Table2[],2,FALSE),"--")</f>
        <v>--</v>
      </c>
    </row>
    <row r="4164" spans="1:18" x14ac:dyDescent="0.25">
      <c r="A4164" t="s">
        <v>560</v>
      </c>
      <c r="B4164" s="1">
        <v>44902</v>
      </c>
      <c r="C4164" t="s">
        <v>2933</v>
      </c>
      <c r="D4164" t="s">
        <v>88</v>
      </c>
      <c r="E4164" t="s">
        <v>51</v>
      </c>
      <c r="F4164" t="s">
        <v>2842</v>
      </c>
      <c r="G4164" t="s">
        <v>3277</v>
      </c>
      <c r="H4164" t="s">
        <v>54</v>
      </c>
      <c r="I4164">
        <v>40</v>
      </c>
      <c r="J4164">
        <v>0</v>
      </c>
      <c r="K4164">
        <v>1</v>
      </c>
      <c r="L4164" t="s">
        <v>693</v>
      </c>
      <c r="M4164" t="s">
        <v>2836</v>
      </c>
      <c r="N4164">
        <v>12285</v>
      </c>
      <c r="O4164">
        <v>0</v>
      </c>
      <c r="P4164" t="str">
        <f>IF(T[[#This Row],[qty_ordered]]&lt;&gt;T[[#This Row],[qty_received]],IF(T[[#This Row],[qty_received]]&gt;0,"Partial Received","Not Receviced"),"FullyReceived")</f>
        <v>Not Receviced</v>
      </c>
      <c r="Q4164" t="str">
        <f>IF(T[[#This Row],[qty_received]]&lt;&gt;T[[#This Row],[qty_invoiced]],IF(T[[#This Row],[qty_invoiced]]&gt;0,"Partial Invoiced","Not Invoiced"),"Fully Invoiced")</f>
        <v>Partial Invoiced</v>
      </c>
      <c r="R4164" t="str">
        <f>IFERROR(VLOOKUP(T[[#This Row],[warehouse]],Table2[],2,FALSE),"--")</f>
        <v>--</v>
      </c>
    </row>
    <row r="4165" spans="1:18" x14ac:dyDescent="0.25">
      <c r="A4165" t="s">
        <v>560</v>
      </c>
      <c r="B4165" s="1">
        <v>44902</v>
      </c>
      <c r="C4165" t="s">
        <v>2933</v>
      </c>
      <c r="D4165" t="s">
        <v>74</v>
      </c>
      <c r="E4165" t="s">
        <v>51</v>
      </c>
      <c r="F4165" t="s">
        <v>2842</v>
      </c>
      <c r="G4165" t="s">
        <v>3277</v>
      </c>
      <c r="H4165" t="s">
        <v>54</v>
      </c>
      <c r="I4165">
        <v>13</v>
      </c>
      <c r="J4165">
        <v>0</v>
      </c>
      <c r="K4165">
        <v>1</v>
      </c>
      <c r="L4165" t="s">
        <v>693</v>
      </c>
      <c r="M4165" t="s">
        <v>2836</v>
      </c>
      <c r="N4165">
        <v>12285</v>
      </c>
      <c r="O4165">
        <v>0</v>
      </c>
      <c r="P4165" t="str">
        <f>IF(T[[#This Row],[qty_ordered]]&lt;&gt;T[[#This Row],[qty_received]],IF(T[[#This Row],[qty_received]]&gt;0,"Partial Received","Not Receviced"),"FullyReceived")</f>
        <v>Not Receviced</v>
      </c>
      <c r="Q4165" t="str">
        <f>IF(T[[#This Row],[qty_received]]&lt;&gt;T[[#This Row],[qty_invoiced]],IF(T[[#This Row],[qty_invoiced]]&gt;0,"Partial Invoiced","Not Invoiced"),"Fully Invoiced")</f>
        <v>Partial Invoiced</v>
      </c>
      <c r="R4165" t="str">
        <f>IFERROR(VLOOKUP(T[[#This Row],[warehouse]],Table2[],2,FALSE),"--")</f>
        <v>--</v>
      </c>
    </row>
    <row r="4166" spans="1:18" x14ac:dyDescent="0.25">
      <c r="A4166" t="s">
        <v>560</v>
      </c>
      <c r="B4166" s="1">
        <v>44902</v>
      </c>
      <c r="C4166" t="s">
        <v>2933</v>
      </c>
      <c r="D4166" t="s">
        <v>76</v>
      </c>
      <c r="E4166" t="s">
        <v>51</v>
      </c>
      <c r="F4166" t="s">
        <v>2842</v>
      </c>
      <c r="G4166" t="s">
        <v>3277</v>
      </c>
      <c r="H4166" t="s">
        <v>54</v>
      </c>
      <c r="I4166">
        <v>27.75</v>
      </c>
      <c r="J4166">
        <v>0</v>
      </c>
      <c r="K4166">
        <v>1</v>
      </c>
      <c r="L4166" t="s">
        <v>693</v>
      </c>
      <c r="M4166" t="s">
        <v>2836</v>
      </c>
      <c r="N4166">
        <v>12285</v>
      </c>
      <c r="O4166">
        <v>0</v>
      </c>
      <c r="P4166" t="str">
        <f>IF(T[[#This Row],[qty_ordered]]&lt;&gt;T[[#This Row],[qty_received]],IF(T[[#This Row],[qty_received]]&gt;0,"Partial Received","Not Receviced"),"FullyReceived")</f>
        <v>Not Receviced</v>
      </c>
      <c r="Q4166" t="str">
        <f>IF(T[[#This Row],[qty_received]]&lt;&gt;T[[#This Row],[qty_invoiced]],IF(T[[#This Row],[qty_invoiced]]&gt;0,"Partial Invoiced","Not Invoiced"),"Fully Invoiced")</f>
        <v>Partial Invoiced</v>
      </c>
      <c r="R4166" t="str">
        <f>IFERROR(VLOOKUP(T[[#This Row],[warehouse]],Table2[],2,FALSE),"--")</f>
        <v>--</v>
      </c>
    </row>
    <row r="4167" spans="1:18" x14ac:dyDescent="0.25">
      <c r="A4167" t="s">
        <v>423</v>
      </c>
      <c r="B4167" s="1">
        <v>44972</v>
      </c>
      <c r="C4167" t="s">
        <v>3278</v>
      </c>
      <c r="D4167" t="s">
        <v>20</v>
      </c>
      <c r="E4167" t="s">
        <v>51</v>
      </c>
      <c r="F4167" t="s">
        <v>546</v>
      </c>
      <c r="G4167" t="s">
        <v>2995</v>
      </c>
      <c r="H4167" t="s">
        <v>54</v>
      </c>
      <c r="I4167">
        <v>5000</v>
      </c>
      <c r="J4167">
        <v>0</v>
      </c>
      <c r="K4167">
        <v>1</v>
      </c>
      <c r="L4167" t="s">
        <v>693</v>
      </c>
      <c r="M4167" t="s">
        <v>2836</v>
      </c>
      <c r="N4167">
        <v>18</v>
      </c>
      <c r="O4167">
        <v>0</v>
      </c>
      <c r="P4167" t="str">
        <f>IF(T[[#This Row],[qty_ordered]]&lt;&gt;T[[#This Row],[qty_received]],IF(T[[#This Row],[qty_received]]&gt;0,"Partial Received","Not Receviced"),"FullyReceived")</f>
        <v>Not Receviced</v>
      </c>
      <c r="Q4167" t="str">
        <f>IF(T[[#This Row],[qty_received]]&lt;&gt;T[[#This Row],[qty_invoiced]],IF(T[[#This Row],[qty_invoiced]]&gt;0,"Partial Invoiced","Not Invoiced"),"Fully Invoiced")</f>
        <v>Partial Invoiced</v>
      </c>
      <c r="R4167" t="str">
        <f>IFERROR(VLOOKUP(T[[#This Row],[warehouse]],Table2[],2,FALSE),"--")</f>
        <v>--</v>
      </c>
    </row>
    <row r="4168" spans="1:18" x14ac:dyDescent="0.25">
      <c r="A4168" t="s">
        <v>423</v>
      </c>
      <c r="B4168" s="1">
        <v>44972</v>
      </c>
      <c r="C4168" t="s">
        <v>3278</v>
      </c>
      <c r="D4168" t="s">
        <v>71</v>
      </c>
      <c r="E4168" t="s">
        <v>51</v>
      </c>
      <c r="F4168" t="s">
        <v>546</v>
      </c>
      <c r="G4168" t="s">
        <v>1953</v>
      </c>
      <c r="H4168" t="s">
        <v>54</v>
      </c>
      <c r="I4168">
        <v>5000</v>
      </c>
      <c r="J4168">
        <v>0</v>
      </c>
      <c r="K4168">
        <v>1</v>
      </c>
      <c r="L4168" t="s">
        <v>693</v>
      </c>
      <c r="M4168" t="s">
        <v>2836</v>
      </c>
      <c r="N4168">
        <v>18</v>
      </c>
      <c r="O4168">
        <v>0</v>
      </c>
      <c r="P4168" t="str">
        <f>IF(T[[#This Row],[qty_ordered]]&lt;&gt;T[[#This Row],[qty_received]],IF(T[[#This Row],[qty_received]]&gt;0,"Partial Received","Not Receviced"),"FullyReceived")</f>
        <v>Not Receviced</v>
      </c>
      <c r="Q4168" t="str">
        <f>IF(T[[#This Row],[qty_received]]&lt;&gt;T[[#This Row],[qty_invoiced]],IF(T[[#This Row],[qty_invoiced]]&gt;0,"Partial Invoiced","Not Invoiced"),"Fully Invoiced")</f>
        <v>Partial Invoiced</v>
      </c>
      <c r="R4168" t="str">
        <f>IFERROR(VLOOKUP(T[[#This Row],[warehouse]],Table2[],2,FALSE),"--")</f>
        <v>--</v>
      </c>
    </row>
    <row r="4169" spans="1:18" x14ac:dyDescent="0.25">
      <c r="A4169" t="s">
        <v>84</v>
      </c>
      <c r="B4169" s="1">
        <v>44894</v>
      </c>
      <c r="C4169" t="s">
        <v>2898</v>
      </c>
      <c r="D4169" t="s">
        <v>100</v>
      </c>
      <c r="E4169" t="s">
        <v>982</v>
      </c>
      <c r="F4169" t="s">
        <v>108</v>
      </c>
      <c r="G4169" t="s">
        <v>109</v>
      </c>
      <c r="H4169" t="s">
        <v>24</v>
      </c>
      <c r="I4169">
        <v>686.23</v>
      </c>
      <c r="J4169">
        <v>686.23</v>
      </c>
      <c r="K4169">
        <v>504.83</v>
      </c>
      <c r="L4169" t="s">
        <v>693</v>
      </c>
      <c r="M4169" t="s">
        <v>1485</v>
      </c>
      <c r="N4169">
        <v>883325</v>
      </c>
      <c r="O4169">
        <v>606164114.75</v>
      </c>
      <c r="P4169" t="str">
        <f>IF(T[[#This Row],[qty_ordered]]&lt;&gt;T[[#This Row],[qty_received]],IF(T[[#This Row],[qty_received]]&gt;0,"Partial Received","Not Receviced"),"FullyReceived")</f>
        <v>FullyReceived</v>
      </c>
      <c r="Q4169" t="str">
        <f>IF(T[[#This Row],[qty_received]]&lt;&gt;T[[#This Row],[qty_invoiced]],IF(T[[#This Row],[qty_invoiced]]&gt;0,"Partial Invoiced","Not Invoiced"),"Fully Invoiced")</f>
        <v>Partial Invoiced</v>
      </c>
      <c r="R4169" t="str">
        <f>IFERROR(VLOOKUP(T[[#This Row],[warehouse]],Table2[],2,FALSE),"--")</f>
        <v>SIFTER - SAMELOMDRMA</v>
      </c>
    </row>
    <row r="4170" spans="1:18" x14ac:dyDescent="0.25">
      <c r="A4170" t="s">
        <v>423</v>
      </c>
      <c r="B4170" s="1">
        <v>44972</v>
      </c>
      <c r="C4170" t="s">
        <v>3278</v>
      </c>
      <c r="D4170" t="s">
        <v>100</v>
      </c>
      <c r="E4170" t="s">
        <v>51</v>
      </c>
      <c r="F4170" t="s">
        <v>546</v>
      </c>
      <c r="G4170" t="s">
        <v>1606</v>
      </c>
      <c r="H4170" t="s">
        <v>54</v>
      </c>
      <c r="I4170">
        <v>10000</v>
      </c>
      <c r="J4170">
        <v>0</v>
      </c>
      <c r="K4170">
        <v>1</v>
      </c>
      <c r="L4170" t="s">
        <v>693</v>
      </c>
      <c r="M4170" t="s">
        <v>2836</v>
      </c>
      <c r="N4170">
        <v>18</v>
      </c>
      <c r="O4170">
        <v>0</v>
      </c>
      <c r="P4170" t="str">
        <f>IF(T[[#This Row],[qty_ordered]]&lt;&gt;T[[#This Row],[qty_received]],IF(T[[#This Row],[qty_received]]&gt;0,"Partial Received","Not Receviced"),"FullyReceived")</f>
        <v>Not Receviced</v>
      </c>
      <c r="Q4170" t="str">
        <f>IF(T[[#This Row],[qty_received]]&lt;&gt;T[[#This Row],[qty_invoiced]],IF(T[[#This Row],[qty_invoiced]]&gt;0,"Partial Invoiced","Not Invoiced"),"Fully Invoiced")</f>
        <v>Partial Invoiced</v>
      </c>
      <c r="R4170" t="str">
        <f>IFERROR(VLOOKUP(T[[#This Row],[warehouse]],Table2[],2,FALSE),"--")</f>
        <v>--</v>
      </c>
    </row>
    <row r="4171" spans="1:18" x14ac:dyDescent="0.25">
      <c r="A4171" t="s">
        <v>423</v>
      </c>
      <c r="B4171" s="1">
        <v>44972</v>
      </c>
      <c r="C4171" t="s">
        <v>3278</v>
      </c>
      <c r="D4171" t="s">
        <v>88</v>
      </c>
      <c r="E4171" t="s">
        <v>51</v>
      </c>
      <c r="F4171" t="s">
        <v>546</v>
      </c>
      <c r="G4171" t="s">
        <v>1955</v>
      </c>
      <c r="H4171" t="s">
        <v>54</v>
      </c>
      <c r="I4171">
        <v>5000</v>
      </c>
      <c r="J4171">
        <v>0</v>
      </c>
      <c r="K4171">
        <v>1</v>
      </c>
      <c r="L4171" t="s">
        <v>693</v>
      </c>
      <c r="M4171" t="s">
        <v>2836</v>
      </c>
      <c r="N4171">
        <v>18</v>
      </c>
      <c r="O4171">
        <v>0</v>
      </c>
      <c r="P4171" t="str">
        <f>IF(T[[#This Row],[qty_ordered]]&lt;&gt;T[[#This Row],[qty_received]],IF(T[[#This Row],[qty_received]]&gt;0,"Partial Received","Not Receviced"),"FullyReceived")</f>
        <v>Not Receviced</v>
      </c>
      <c r="Q4171" t="str">
        <f>IF(T[[#This Row],[qty_received]]&lt;&gt;T[[#This Row],[qty_invoiced]],IF(T[[#This Row],[qty_invoiced]]&gt;0,"Partial Invoiced","Not Invoiced"),"Fully Invoiced")</f>
        <v>Partial Invoiced</v>
      </c>
      <c r="R4171" t="str">
        <f>IFERROR(VLOOKUP(T[[#This Row],[warehouse]],Table2[],2,FALSE),"--")</f>
        <v>--</v>
      </c>
    </row>
    <row r="4172" spans="1:18" x14ac:dyDescent="0.25">
      <c r="A4172" t="s">
        <v>423</v>
      </c>
      <c r="B4172" s="1">
        <v>44921</v>
      </c>
      <c r="C4172" t="s">
        <v>2977</v>
      </c>
      <c r="D4172" t="s">
        <v>212</v>
      </c>
      <c r="E4172" t="s">
        <v>51</v>
      </c>
      <c r="F4172" t="s">
        <v>546</v>
      </c>
      <c r="G4172" t="s">
        <v>2334</v>
      </c>
      <c r="H4172" t="s">
        <v>54</v>
      </c>
      <c r="I4172">
        <v>4000</v>
      </c>
      <c r="J4172">
        <v>0</v>
      </c>
      <c r="K4172">
        <v>1</v>
      </c>
      <c r="L4172" t="s">
        <v>693</v>
      </c>
      <c r="M4172" t="s">
        <v>2836</v>
      </c>
      <c r="N4172">
        <v>18</v>
      </c>
      <c r="O4172">
        <v>0</v>
      </c>
      <c r="P4172" t="str">
        <f>IF(T[[#This Row],[qty_ordered]]&lt;&gt;T[[#This Row],[qty_received]],IF(T[[#This Row],[qty_received]]&gt;0,"Partial Received","Not Receviced"),"FullyReceived")</f>
        <v>Not Receviced</v>
      </c>
      <c r="Q4172" t="str">
        <f>IF(T[[#This Row],[qty_received]]&lt;&gt;T[[#This Row],[qty_invoiced]],IF(T[[#This Row],[qty_invoiced]]&gt;0,"Partial Invoiced","Not Invoiced"),"Fully Invoiced")</f>
        <v>Partial Invoiced</v>
      </c>
      <c r="R4172" t="str">
        <f>IFERROR(VLOOKUP(T[[#This Row],[warehouse]],Table2[],2,FALSE),"--")</f>
        <v>--</v>
      </c>
    </row>
    <row r="4173" spans="1:18" x14ac:dyDescent="0.25">
      <c r="A4173" t="s">
        <v>423</v>
      </c>
      <c r="B4173" s="1">
        <v>44921</v>
      </c>
      <c r="C4173" t="s">
        <v>2977</v>
      </c>
      <c r="D4173" t="s">
        <v>322</v>
      </c>
      <c r="E4173" t="s">
        <v>51</v>
      </c>
      <c r="F4173" t="s">
        <v>546</v>
      </c>
      <c r="G4173" t="s">
        <v>2335</v>
      </c>
      <c r="H4173" t="s">
        <v>54</v>
      </c>
      <c r="I4173">
        <v>10000</v>
      </c>
      <c r="J4173">
        <v>0</v>
      </c>
      <c r="K4173">
        <v>1</v>
      </c>
      <c r="L4173" t="s">
        <v>693</v>
      </c>
      <c r="M4173" t="s">
        <v>2836</v>
      </c>
      <c r="N4173">
        <v>18</v>
      </c>
      <c r="O4173">
        <v>0</v>
      </c>
      <c r="P4173" t="str">
        <f>IF(T[[#This Row],[qty_ordered]]&lt;&gt;T[[#This Row],[qty_received]],IF(T[[#This Row],[qty_received]]&gt;0,"Partial Received","Not Receviced"),"FullyReceived")</f>
        <v>Not Receviced</v>
      </c>
      <c r="Q4173" t="str">
        <f>IF(T[[#This Row],[qty_received]]&lt;&gt;T[[#This Row],[qty_invoiced]],IF(T[[#This Row],[qty_invoiced]]&gt;0,"Partial Invoiced","Not Invoiced"),"Fully Invoiced")</f>
        <v>Partial Invoiced</v>
      </c>
      <c r="R4173" t="str">
        <f>IFERROR(VLOOKUP(T[[#This Row],[warehouse]],Table2[],2,FALSE),"--")</f>
        <v>--</v>
      </c>
    </row>
    <row r="4174" spans="1:18" x14ac:dyDescent="0.25">
      <c r="A4174" t="s">
        <v>423</v>
      </c>
      <c r="B4174" s="1">
        <v>44921</v>
      </c>
      <c r="C4174" t="s">
        <v>2977</v>
      </c>
      <c r="D4174" t="s">
        <v>323</v>
      </c>
      <c r="E4174" t="s">
        <v>51</v>
      </c>
      <c r="F4174" t="s">
        <v>546</v>
      </c>
      <c r="G4174" t="s">
        <v>3279</v>
      </c>
      <c r="H4174" t="s">
        <v>54</v>
      </c>
      <c r="I4174">
        <v>10000</v>
      </c>
      <c r="J4174">
        <v>0</v>
      </c>
      <c r="K4174">
        <v>1</v>
      </c>
      <c r="L4174" t="s">
        <v>693</v>
      </c>
      <c r="M4174" t="s">
        <v>2836</v>
      </c>
      <c r="N4174">
        <v>18</v>
      </c>
      <c r="O4174">
        <v>0</v>
      </c>
      <c r="P4174" t="str">
        <f>IF(T[[#This Row],[qty_ordered]]&lt;&gt;T[[#This Row],[qty_received]],IF(T[[#This Row],[qty_received]]&gt;0,"Partial Received","Not Receviced"),"FullyReceived")</f>
        <v>Not Receviced</v>
      </c>
      <c r="Q4174" t="str">
        <f>IF(T[[#This Row],[qty_received]]&lt;&gt;T[[#This Row],[qty_invoiced]],IF(T[[#This Row],[qty_invoiced]]&gt;0,"Partial Invoiced","Not Invoiced"),"Fully Invoiced")</f>
        <v>Partial Invoiced</v>
      </c>
      <c r="R4174" t="str">
        <f>IFERROR(VLOOKUP(T[[#This Row],[warehouse]],Table2[],2,FALSE),"--")</f>
        <v>--</v>
      </c>
    </row>
    <row r="4175" spans="1:18" x14ac:dyDescent="0.25">
      <c r="A4175" t="s">
        <v>423</v>
      </c>
      <c r="B4175" s="1">
        <v>44921</v>
      </c>
      <c r="C4175" t="s">
        <v>2977</v>
      </c>
      <c r="D4175" t="s">
        <v>324</v>
      </c>
      <c r="E4175" t="s">
        <v>51</v>
      </c>
      <c r="F4175" t="s">
        <v>546</v>
      </c>
      <c r="G4175" t="s">
        <v>1737</v>
      </c>
      <c r="H4175" t="s">
        <v>54</v>
      </c>
      <c r="I4175">
        <v>4000</v>
      </c>
      <c r="J4175">
        <v>0</v>
      </c>
      <c r="K4175">
        <v>1</v>
      </c>
      <c r="L4175" t="s">
        <v>693</v>
      </c>
      <c r="M4175" t="s">
        <v>2836</v>
      </c>
      <c r="N4175">
        <v>18</v>
      </c>
      <c r="O4175">
        <v>0</v>
      </c>
      <c r="P4175" t="str">
        <f>IF(T[[#This Row],[qty_ordered]]&lt;&gt;T[[#This Row],[qty_received]],IF(T[[#This Row],[qty_received]]&gt;0,"Partial Received","Not Receviced"),"FullyReceived")</f>
        <v>Not Receviced</v>
      </c>
      <c r="Q4175" t="str">
        <f>IF(T[[#This Row],[qty_received]]&lt;&gt;T[[#This Row],[qty_invoiced]],IF(T[[#This Row],[qty_invoiced]]&gt;0,"Partial Invoiced","Not Invoiced"),"Fully Invoiced")</f>
        <v>Partial Invoiced</v>
      </c>
      <c r="R4175" t="str">
        <f>IFERROR(VLOOKUP(T[[#This Row],[warehouse]],Table2[],2,FALSE),"--")</f>
        <v>--</v>
      </c>
    </row>
    <row r="4176" spans="1:18" x14ac:dyDescent="0.25">
      <c r="A4176" t="s">
        <v>423</v>
      </c>
      <c r="B4176" s="1">
        <v>44921</v>
      </c>
      <c r="C4176" t="s">
        <v>2977</v>
      </c>
      <c r="D4176" t="s">
        <v>325</v>
      </c>
      <c r="E4176" t="s">
        <v>51</v>
      </c>
      <c r="F4176" t="s">
        <v>546</v>
      </c>
      <c r="G4176" t="s">
        <v>1738</v>
      </c>
      <c r="H4176" t="s">
        <v>54</v>
      </c>
      <c r="I4176">
        <v>10000</v>
      </c>
      <c r="J4176">
        <v>0</v>
      </c>
      <c r="K4176">
        <v>1</v>
      </c>
      <c r="L4176" t="s">
        <v>693</v>
      </c>
      <c r="M4176" t="s">
        <v>2836</v>
      </c>
      <c r="N4176">
        <v>18</v>
      </c>
      <c r="O4176">
        <v>0</v>
      </c>
      <c r="P4176" t="str">
        <f>IF(T[[#This Row],[qty_ordered]]&lt;&gt;T[[#This Row],[qty_received]],IF(T[[#This Row],[qty_received]]&gt;0,"Partial Received","Not Receviced"),"FullyReceived")</f>
        <v>Not Receviced</v>
      </c>
      <c r="Q4176" t="str">
        <f>IF(T[[#This Row],[qty_received]]&lt;&gt;T[[#This Row],[qty_invoiced]],IF(T[[#This Row],[qty_invoiced]]&gt;0,"Partial Invoiced","Not Invoiced"),"Fully Invoiced")</f>
        <v>Partial Invoiced</v>
      </c>
      <c r="R4176" t="str">
        <f>IFERROR(VLOOKUP(T[[#This Row],[warehouse]],Table2[],2,FALSE),"--")</f>
        <v>--</v>
      </c>
    </row>
    <row r="4177" spans="1:18" x14ac:dyDescent="0.25">
      <c r="A4177" t="s">
        <v>423</v>
      </c>
      <c r="B4177" s="1">
        <v>44886</v>
      </c>
      <c r="C4177" t="s">
        <v>2879</v>
      </c>
      <c r="D4177" t="s">
        <v>212</v>
      </c>
      <c r="E4177" t="s">
        <v>51</v>
      </c>
      <c r="F4177" t="s">
        <v>546</v>
      </c>
      <c r="G4177" t="s">
        <v>3280</v>
      </c>
      <c r="H4177" t="s">
        <v>54</v>
      </c>
      <c r="I4177">
        <v>6000</v>
      </c>
      <c r="J4177">
        <v>0</v>
      </c>
      <c r="K4177">
        <v>1</v>
      </c>
      <c r="L4177" t="s">
        <v>693</v>
      </c>
      <c r="M4177" t="s">
        <v>2836</v>
      </c>
      <c r="N4177">
        <v>18</v>
      </c>
      <c r="O4177">
        <v>0</v>
      </c>
      <c r="P4177" t="str">
        <f>IF(T[[#This Row],[qty_ordered]]&lt;&gt;T[[#This Row],[qty_received]],IF(T[[#This Row],[qty_received]]&gt;0,"Partial Received","Not Receviced"),"FullyReceived")</f>
        <v>Not Receviced</v>
      </c>
      <c r="Q4177" t="str">
        <f>IF(T[[#This Row],[qty_received]]&lt;&gt;T[[#This Row],[qty_invoiced]],IF(T[[#This Row],[qty_invoiced]]&gt;0,"Partial Invoiced","Not Invoiced"),"Fully Invoiced")</f>
        <v>Partial Invoiced</v>
      </c>
      <c r="R4177" t="str">
        <f>IFERROR(VLOOKUP(T[[#This Row],[warehouse]],Table2[],2,FALSE),"--")</f>
        <v>--</v>
      </c>
    </row>
    <row r="4178" spans="1:18" x14ac:dyDescent="0.25">
      <c r="A4178" t="s">
        <v>423</v>
      </c>
      <c r="B4178" s="1">
        <v>44886</v>
      </c>
      <c r="C4178" t="s">
        <v>2879</v>
      </c>
      <c r="D4178" t="s">
        <v>322</v>
      </c>
      <c r="E4178" t="s">
        <v>51</v>
      </c>
      <c r="F4178" t="s">
        <v>546</v>
      </c>
      <c r="G4178" t="s">
        <v>3280</v>
      </c>
      <c r="H4178" t="s">
        <v>54</v>
      </c>
      <c r="I4178">
        <v>5000</v>
      </c>
      <c r="J4178">
        <v>0</v>
      </c>
      <c r="K4178">
        <v>1</v>
      </c>
      <c r="L4178" t="s">
        <v>693</v>
      </c>
      <c r="M4178" t="s">
        <v>2836</v>
      </c>
      <c r="N4178">
        <v>18</v>
      </c>
      <c r="O4178">
        <v>0</v>
      </c>
      <c r="P4178" t="str">
        <f>IF(T[[#This Row],[qty_ordered]]&lt;&gt;T[[#This Row],[qty_received]],IF(T[[#This Row],[qty_received]]&gt;0,"Partial Received","Not Receviced"),"FullyReceived")</f>
        <v>Not Receviced</v>
      </c>
      <c r="Q4178" t="str">
        <f>IF(T[[#This Row],[qty_received]]&lt;&gt;T[[#This Row],[qty_invoiced]],IF(T[[#This Row],[qty_invoiced]]&gt;0,"Partial Invoiced","Not Invoiced"),"Fully Invoiced")</f>
        <v>Partial Invoiced</v>
      </c>
      <c r="R4178" t="str">
        <f>IFERROR(VLOOKUP(T[[#This Row],[warehouse]],Table2[],2,FALSE),"--")</f>
        <v>--</v>
      </c>
    </row>
    <row r="4179" spans="1:18" x14ac:dyDescent="0.25">
      <c r="A4179" t="s">
        <v>423</v>
      </c>
      <c r="B4179" s="1">
        <v>44972</v>
      </c>
      <c r="C4179" t="s">
        <v>3281</v>
      </c>
      <c r="D4179" t="s">
        <v>20</v>
      </c>
      <c r="E4179" t="s">
        <v>51</v>
      </c>
      <c r="F4179" t="s">
        <v>546</v>
      </c>
      <c r="G4179" t="s">
        <v>1748</v>
      </c>
      <c r="H4179" t="s">
        <v>54</v>
      </c>
      <c r="I4179">
        <v>10000</v>
      </c>
      <c r="J4179">
        <v>0</v>
      </c>
      <c r="K4179">
        <v>1</v>
      </c>
      <c r="L4179" t="s">
        <v>693</v>
      </c>
      <c r="M4179" t="s">
        <v>2836</v>
      </c>
      <c r="N4179">
        <v>18</v>
      </c>
      <c r="O4179">
        <v>0</v>
      </c>
      <c r="P4179" t="str">
        <f>IF(T[[#This Row],[qty_ordered]]&lt;&gt;T[[#This Row],[qty_received]],IF(T[[#This Row],[qty_received]]&gt;0,"Partial Received","Not Receviced"),"FullyReceived")</f>
        <v>Not Receviced</v>
      </c>
      <c r="Q4179" t="str">
        <f>IF(T[[#This Row],[qty_received]]&lt;&gt;T[[#This Row],[qty_invoiced]],IF(T[[#This Row],[qty_invoiced]]&gt;0,"Partial Invoiced","Not Invoiced"),"Fully Invoiced")</f>
        <v>Partial Invoiced</v>
      </c>
      <c r="R4179" t="str">
        <f>IFERROR(VLOOKUP(T[[#This Row],[warehouse]],Table2[],2,FALSE),"--")</f>
        <v>--</v>
      </c>
    </row>
    <row r="4180" spans="1:18" x14ac:dyDescent="0.25">
      <c r="A4180" t="s">
        <v>423</v>
      </c>
      <c r="B4180" s="1">
        <v>44972</v>
      </c>
      <c r="C4180" t="s">
        <v>3281</v>
      </c>
      <c r="D4180" t="s">
        <v>71</v>
      </c>
      <c r="E4180" t="s">
        <v>51</v>
      </c>
      <c r="F4180" t="s">
        <v>546</v>
      </c>
      <c r="G4180" t="s">
        <v>3282</v>
      </c>
      <c r="H4180" t="s">
        <v>54</v>
      </c>
      <c r="I4180">
        <v>10000</v>
      </c>
      <c r="J4180">
        <v>0</v>
      </c>
      <c r="K4180">
        <v>1</v>
      </c>
      <c r="L4180" t="s">
        <v>693</v>
      </c>
      <c r="M4180" t="s">
        <v>2836</v>
      </c>
      <c r="N4180">
        <v>18</v>
      </c>
      <c r="O4180">
        <v>0</v>
      </c>
      <c r="P4180" t="str">
        <f>IF(T[[#This Row],[qty_ordered]]&lt;&gt;T[[#This Row],[qty_received]],IF(T[[#This Row],[qty_received]]&gt;0,"Partial Received","Not Receviced"),"FullyReceived")</f>
        <v>Not Receviced</v>
      </c>
      <c r="Q4180" t="str">
        <f>IF(T[[#This Row],[qty_received]]&lt;&gt;T[[#This Row],[qty_invoiced]],IF(T[[#This Row],[qty_invoiced]]&gt;0,"Partial Invoiced","Not Invoiced"),"Fully Invoiced")</f>
        <v>Partial Invoiced</v>
      </c>
      <c r="R4180" t="str">
        <f>IFERROR(VLOOKUP(T[[#This Row],[warehouse]],Table2[],2,FALSE),"--")</f>
        <v>--</v>
      </c>
    </row>
    <row r="4181" spans="1:18" x14ac:dyDescent="0.25">
      <c r="A4181" t="s">
        <v>560</v>
      </c>
      <c r="B4181" s="1">
        <v>44902</v>
      </c>
      <c r="C4181" t="s">
        <v>2937</v>
      </c>
      <c r="D4181" t="s">
        <v>100</v>
      </c>
      <c r="E4181" t="s">
        <v>51</v>
      </c>
      <c r="F4181" t="s">
        <v>2842</v>
      </c>
      <c r="G4181" t="s">
        <v>3283</v>
      </c>
      <c r="H4181" t="s">
        <v>54</v>
      </c>
      <c r="I4181">
        <v>27</v>
      </c>
      <c r="J4181">
        <v>0</v>
      </c>
      <c r="K4181">
        <v>1</v>
      </c>
      <c r="L4181" t="s">
        <v>693</v>
      </c>
      <c r="M4181" t="s">
        <v>2836</v>
      </c>
      <c r="N4181">
        <v>12285</v>
      </c>
      <c r="O4181">
        <v>0</v>
      </c>
      <c r="P4181" t="str">
        <f>IF(T[[#This Row],[qty_ordered]]&lt;&gt;T[[#This Row],[qty_received]],IF(T[[#This Row],[qty_received]]&gt;0,"Partial Received","Not Receviced"),"FullyReceived")</f>
        <v>Not Receviced</v>
      </c>
      <c r="Q4181" t="str">
        <f>IF(T[[#This Row],[qty_received]]&lt;&gt;T[[#This Row],[qty_invoiced]],IF(T[[#This Row],[qty_invoiced]]&gt;0,"Partial Invoiced","Not Invoiced"),"Fully Invoiced")</f>
        <v>Partial Invoiced</v>
      </c>
      <c r="R4181" t="str">
        <f>IFERROR(VLOOKUP(T[[#This Row],[warehouse]],Table2[],2,FALSE),"--")</f>
        <v>--</v>
      </c>
    </row>
    <row r="4182" spans="1:18" x14ac:dyDescent="0.25">
      <c r="A4182" t="s">
        <v>560</v>
      </c>
      <c r="B4182" s="1">
        <v>44935</v>
      </c>
      <c r="C4182" t="s">
        <v>3076</v>
      </c>
      <c r="D4182" t="s">
        <v>74</v>
      </c>
      <c r="E4182" t="s">
        <v>51</v>
      </c>
      <c r="F4182" t="s">
        <v>2842</v>
      </c>
      <c r="G4182" t="s">
        <v>3284</v>
      </c>
      <c r="H4182" t="s">
        <v>54</v>
      </c>
      <c r="I4182">
        <v>30</v>
      </c>
      <c r="J4182">
        <v>0</v>
      </c>
      <c r="K4182">
        <v>1</v>
      </c>
      <c r="L4182" t="s">
        <v>693</v>
      </c>
      <c r="M4182" t="s">
        <v>2836</v>
      </c>
      <c r="N4182">
        <v>12285</v>
      </c>
      <c r="O4182">
        <v>0</v>
      </c>
      <c r="P4182" t="str">
        <f>IF(T[[#This Row],[qty_ordered]]&lt;&gt;T[[#This Row],[qty_received]],IF(T[[#This Row],[qty_received]]&gt;0,"Partial Received","Not Receviced"),"FullyReceived")</f>
        <v>Not Receviced</v>
      </c>
      <c r="Q4182" t="str">
        <f>IF(T[[#This Row],[qty_received]]&lt;&gt;T[[#This Row],[qty_invoiced]],IF(T[[#This Row],[qty_invoiced]]&gt;0,"Partial Invoiced","Not Invoiced"),"Fully Invoiced")</f>
        <v>Partial Invoiced</v>
      </c>
      <c r="R4182" t="str">
        <f>IFERROR(VLOOKUP(T[[#This Row],[warehouse]],Table2[],2,FALSE),"--")</f>
        <v>--</v>
      </c>
    </row>
    <row r="4183" spans="1:18" x14ac:dyDescent="0.25">
      <c r="A4183" t="s">
        <v>560</v>
      </c>
      <c r="B4183" s="1">
        <v>44935</v>
      </c>
      <c r="C4183" t="s">
        <v>3076</v>
      </c>
      <c r="D4183" t="s">
        <v>76</v>
      </c>
      <c r="E4183" t="s">
        <v>51</v>
      </c>
      <c r="F4183" t="s">
        <v>2842</v>
      </c>
      <c r="G4183" t="s">
        <v>3284</v>
      </c>
      <c r="H4183" t="s">
        <v>54</v>
      </c>
      <c r="I4183">
        <v>37.380000000000003</v>
      </c>
      <c r="J4183">
        <v>0</v>
      </c>
      <c r="K4183">
        <v>1</v>
      </c>
      <c r="L4183" t="s">
        <v>693</v>
      </c>
      <c r="M4183" t="s">
        <v>2836</v>
      </c>
      <c r="N4183">
        <v>12285</v>
      </c>
      <c r="O4183">
        <v>0</v>
      </c>
      <c r="P4183" t="str">
        <f>IF(T[[#This Row],[qty_ordered]]&lt;&gt;T[[#This Row],[qty_received]],IF(T[[#This Row],[qty_received]]&gt;0,"Partial Received","Not Receviced"),"FullyReceived")</f>
        <v>Not Receviced</v>
      </c>
      <c r="Q4183" t="str">
        <f>IF(T[[#This Row],[qty_received]]&lt;&gt;T[[#This Row],[qty_invoiced]],IF(T[[#This Row],[qty_invoiced]]&gt;0,"Partial Invoiced","Not Invoiced"),"Fully Invoiced")</f>
        <v>Partial Invoiced</v>
      </c>
      <c r="R4183" t="str">
        <f>IFERROR(VLOOKUP(T[[#This Row],[warehouse]],Table2[],2,FALSE),"--")</f>
        <v>--</v>
      </c>
    </row>
    <row r="4184" spans="1:18" x14ac:dyDescent="0.25">
      <c r="A4184" t="s">
        <v>560</v>
      </c>
      <c r="B4184" s="1">
        <v>44935</v>
      </c>
      <c r="C4184" t="s">
        <v>3076</v>
      </c>
      <c r="D4184" t="s">
        <v>212</v>
      </c>
      <c r="E4184" t="s">
        <v>51</v>
      </c>
      <c r="F4184" t="s">
        <v>2842</v>
      </c>
      <c r="G4184" t="s">
        <v>3284</v>
      </c>
      <c r="H4184" t="s">
        <v>54</v>
      </c>
      <c r="I4184">
        <v>37</v>
      </c>
      <c r="J4184">
        <v>0</v>
      </c>
      <c r="K4184">
        <v>1</v>
      </c>
      <c r="L4184" t="s">
        <v>693</v>
      </c>
      <c r="M4184" t="s">
        <v>2836</v>
      </c>
      <c r="N4184">
        <v>12285</v>
      </c>
      <c r="O4184">
        <v>0</v>
      </c>
      <c r="P4184" t="str">
        <f>IF(T[[#This Row],[qty_ordered]]&lt;&gt;T[[#This Row],[qty_received]],IF(T[[#This Row],[qty_received]]&gt;0,"Partial Received","Not Receviced"),"FullyReceived")</f>
        <v>Not Receviced</v>
      </c>
      <c r="Q4184" t="str">
        <f>IF(T[[#This Row],[qty_received]]&lt;&gt;T[[#This Row],[qty_invoiced]],IF(T[[#This Row],[qty_invoiced]]&gt;0,"Partial Invoiced","Not Invoiced"),"Fully Invoiced")</f>
        <v>Partial Invoiced</v>
      </c>
      <c r="R4184" t="str">
        <f>IFERROR(VLOOKUP(T[[#This Row],[warehouse]],Table2[],2,FALSE),"--")</f>
        <v>--</v>
      </c>
    </row>
    <row r="4185" spans="1:18" x14ac:dyDescent="0.25">
      <c r="A4185" t="s">
        <v>560</v>
      </c>
      <c r="B4185" s="1">
        <v>44935</v>
      </c>
      <c r="C4185" t="s">
        <v>3076</v>
      </c>
      <c r="D4185" t="s">
        <v>322</v>
      </c>
      <c r="E4185" t="s">
        <v>51</v>
      </c>
      <c r="F4185" t="s">
        <v>2842</v>
      </c>
      <c r="G4185" t="s">
        <v>3284</v>
      </c>
      <c r="H4185" t="s">
        <v>54</v>
      </c>
      <c r="I4185">
        <v>26</v>
      </c>
      <c r="J4185">
        <v>0</v>
      </c>
      <c r="K4185">
        <v>1</v>
      </c>
      <c r="L4185" t="s">
        <v>693</v>
      </c>
      <c r="M4185" t="s">
        <v>2836</v>
      </c>
      <c r="N4185">
        <v>12285</v>
      </c>
      <c r="O4185">
        <v>0</v>
      </c>
      <c r="P4185" t="str">
        <f>IF(T[[#This Row],[qty_ordered]]&lt;&gt;T[[#This Row],[qty_received]],IF(T[[#This Row],[qty_received]]&gt;0,"Partial Received","Not Receviced"),"FullyReceived")</f>
        <v>Not Receviced</v>
      </c>
      <c r="Q4185" t="str">
        <f>IF(T[[#This Row],[qty_received]]&lt;&gt;T[[#This Row],[qty_invoiced]],IF(T[[#This Row],[qty_invoiced]]&gt;0,"Partial Invoiced","Not Invoiced"),"Fully Invoiced")</f>
        <v>Partial Invoiced</v>
      </c>
      <c r="R4185" t="str">
        <f>IFERROR(VLOOKUP(T[[#This Row],[warehouse]],Table2[],2,FALSE),"--")</f>
        <v>--</v>
      </c>
    </row>
    <row r="4186" spans="1:18" x14ac:dyDescent="0.25">
      <c r="A4186" t="s">
        <v>560</v>
      </c>
      <c r="B4186" s="1">
        <v>44935</v>
      </c>
      <c r="C4186" t="s">
        <v>3076</v>
      </c>
      <c r="D4186" t="s">
        <v>323</v>
      </c>
      <c r="E4186" t="s">
        <v>51</v>
      </c>
      <c r="F4186" t="s">
        <v>2842</v>
      </c>
      <c r="G4186" t="s">
        <v>3284</v>
      </c>
      <c r="H4186" t="s">
        <v>54</v>
      </c>
      <c r="I4186">
        <v>27</v>
      </c>
      <c r="J4186">
        <v>0</v>
      </c>
      <c r="K4186">
        <v>1</v>
      </c>
      <c r="L4186" t="s">
        <v>693</v>
      </c>
      <c r="M4186" t="s">
        <v>2836</v>
      </c>
      <c r="N4186">
        <v>12285</v>
      </c>
      <c r="O4186">
        <v>0</v>
      </c>
      <c r="P4186" t="str">
        <f>IF(T[[#This Row],[qty_ordered]]&lt;&gt;T[[#This Row],[qty_received]],IF(T[[#This Row],[qty_received]]&gt;0,"Partial Received","Not Receviced"),"FullyReceived")</f>
        <v>Not Receviced</v>
      </c>
      <c r="Q4186" t="str">
        <f>IF(T[[#This Row],[qty_received]]&lt;&gt;T[[#This Row],[qty_invoiced]],IF(T[[#This Row],[qty_invoiced]]&gt;0,"Partial Invoiced","Not Invoiced"),"Fully Invoiced")</f>
        <v>Partial Invoiced</v>
      </c>
      <c r="R4186" t="str">
        <f>IFERROR(VLOOKUP(T[[#This Row],[warehouse]],Table2[],2,FALSE),"--")</f>
        <v>--</v>
      </c>
    </row>
    <row r="4187" spans="1:18" x14ac:dyDescent="0.25">
      <c r="A4187" t="s">
        <v>560</v>
      </c>
      <c r="B4187" s="1">
        <v>44973</v>
      </c>
      <c r="C4187" t="s">
        <v>3285</v>
      </c>
      <c r="D4187" t="s">
        <v>20</v>
      </c>
      <c r="E4187" t="s">
        <v>51</v>
      </c>
      <c r="F4187" t="s">
        <v>2842</v>
      </c>
      <c r="G4187" t="s">
        <v>3286</v>
      </c>
      <c r="H4187" t="s">
        <v>54</v>
      </c>
      <c r="I4187">
        <v>26</v>
      </c>
      <c r="J4187">
        <v>0</v>
      </c>
      <c r="K4187">
        <v>1</v>
      </c>
      <c r="L4187" t="s">
        <v>693</v>
      </c>
      <c r="M4187" t="s">
        <v>2836</v>
      </c>
      <c r="N4187">
        <v>12285</v>
      </c>
      <c r="O4187">
        <v>0</v>
      </c>
      <c r="P4187" t="str">
        <f>IF(T[[#This Row],[qty_ordered]]&lt;&gt;T[[#This Row],[qty_received]],IF(T[[#This Row],[qty_received]]&gt;0,"Partial Received","Not Receviced"),"FullyReceived")</f>
        <v>Not Receviced</v>
      </c>
      <c r="Q4187" t="str">
        <f>IF(T[[#This Row],[qty_received]]&lt;&gt;T[[#This Row],[qty_invoiced]],IF(T[[#This Row],[qty_invoiced]]&gt;0,"Partial Invoiced","Not Invoiced"),"Fully Invoiced")</f>
        <v>Partial Invoiced</v>
      </c>
      <c r="R4187" t="str">
        <f>IFERROR(VLOOKUP(T[[#This Row],[warehouse]],Table2[],2,FALSE),"--")</f>
        <v>--</v>
      </c>
    </row>
    <row r="4188" spans="1:18" x14ac:dyDescent="0.25">
      <c r="A4188" t="s">
        <v>560</v>
      </c>
      <c r="B4188" s="1">
        <v>44935</v>
      </c>
      <c r="C4188" t="s">
        <v>3169</v>
      </c>
      <c r="D4188" t="s">
        <v>100</v>
      </c>
      <c r="E4188" t="s">
        <v>51</v>
      </c>
      <c r="F4188" t="s">
        <v>2842</v>
      </c>
      <c r="G4188" t="s">
        <v>3287</v>
      </c>
      <c r="H4188" t="s">
        <v>54</v>
      </c>
      <c r="I4188">
        <v>15.38</v>
      </c>
      <c r="J4188">
        <v>0</v>
      </c>
      <c r="K4188">
        <v>1</v>
      </c>
      <c r="L4188" t="s">
        <v>693</v>
      </c>
      <c r="M4188" t="s">
        <v>2836</v>
      </c>
      <c r="N4188">
        <v>12285</v>
      </c>
      <c r="O4188">
        <v>0</v>
      </c>
      <c r="P4188" t="str">
        <f>IF(T[[#This Row],[qty_ordered]]&lt;&gt;T[[#This Row],[qty_received]],IF(T[[#This Row],[qty_received]]&gt;0,"Partial Received","Not Receviced"),"FullyReceived")</f>
        <v>Not Receviced</v>
      </c>
      <c r="Q4188" t="str">
        <f>IF(T[[#This Row],[qty_received]]&lt;&gt;T[[#This Row],[qty_invoiced]],IF(T[[#This Row],[qty_invoiced]]&gt;0,"Partial Invoiced","Not Invoiced"),"Fully Invoiced")</f>
        <v>Partial Invoiced</v>
      </c>
      <c r="R4188" t="str">
        <f>IFERROR(VLOOKUP(T[[#This Row],[warehouse]],Table2[],2,FALSE),"--")</f>
        <v>--</v>
      </c>
    </row>
    <row r="4189" spans="1:18" x14ac:dyDescent="0.25">
      <c r="A4189" t="s">
        <v>560</v>
      </c>
      <c r="B4189" s="1">
        <v>44935</v>
      </c>
      <c r="C4189" t="s">
        <v>3169</v>
      </c>
      <c r="D4189" t="s">
        <v>88</v>
      </c>
      <c r="E4189" t="s">
        <v>51</v>
      </c>
      <c r="F4189" t="s">
        <v>2842</v>
      </c>
      <c r="G4189" t="s">
        <v>3287</v>
      </c>
      <c r="H4189" t="s">
        <v>54</v>
      </c>
      <c r="I4189">
        <v>23</v>
      </c>
      <c r="J4189">
        <v>0</v>
      </c>
      <c r="K4189">
        <v>1</v>
      </c>
      <c r="L4189" t="s">
        <v>693</v>
      </c>
      <c r="M4189" t="s">
        <v>2836</v>
      </c>
      <c r="N4189">
        <v>12285</v>
      </c>
      <c r="O4189">
        <v>0</v>
      </c>
      <c r="P4189" t="str">
        <f>IF(T[[#This Row],[qty_ordered]]&lt;&gt;T[[#This Row],[qty_received]],IF(T[[#This Row],[qty_received]]&gt;0,"Partial Received","Not Receviced"),"FullyReceived")</f>
        <v>Not Receviced</v>
      </c>
      <c r="Q4189" t="str">
        <f>IF(T[[#This Row],[qty_received]]&lt;&gt;T[[#This Row],[qty_invoiced]],IF(T[[#This Row],[qty_invoiced]]&gt;0,"Partial Invoiced","Not Invoiced"),"Fully Invoiced")</f>
        <v>Partial Invoiced</v>
      </c>
      <c r="R4189" t="str">
        <f>IFERROR(VLOOKUP(T[[#This Row],[warehouse]],Table2[],2,FALSE),"--")</f>
        <v>--</v>
      </c>
    </row>
    <row r="4190" spans="1:18" x14ac:dyDescent="0.25">
      <c r="A4190" t="s">
        <v>560</v>
      </c>
      <c r="B4190" s="1">
        <v>44973</v>
      </c>
      <c r="C4190" t="s">
        <v>3086</v>
      </c>
      <c r="D4190" t="s">
        <v>20</v>
      </c>
      <c r="E4190" t="s">
        <v>51</v>
      </c>
      <c r="F4190" t="s">
        <v>2842</v>
      </c>
      <c r="G4190" t="s">
        <v>3216</v>
      </c>
      <c r="H4190" t="s">
        <v>54</v>
      </c>
      <c r="I4190">
        <v>27</v>
      </c>
      <c r="J4190">
        <v>0</v>
      </c>
      <c r="K4190">
        <v>1</v>
      </c>
      <c r="L4190" t="s">
        <v>693</v>
      </c>
      <c r="M4190" t="s">
        <v>2836</v>
      </c>
      <c r="N4190">
        <v>12285</v>
      </c>
      <c r="O4190">
        <v>0</v>
      </c>
      <c r="P4190" t="str">
        <f>IF(T[[#This Row],[qty_ordered]]&lt;&gt;T[[#This Row],[qty_received]],IF(T[[#This Row],[qty_received]]&gt;0,"Partial Received","Not Receviced"),"FullyReceived")</f>
        <v>Not Receviced</v>
      </c>
      <c r="Q4190" t="str">
        <f>IF(T[[#This Row],[qty_received]]&lt;&gt;T[[#This Row],[qty_invoiced]],IF(T[[#This Row],[qty_invoiced]]&gt;0,"Partial Invoiced","Not Invoiced"),"Fully Invoiced")</f>
        <v>Partial Invoiced</v>
      </c>
      <c r="R4190" t="str">
        <f>IFERROR(VLOOKUP(T[[#This Row],[warehouse]],Table2[],2,FALSE),"--")</f>
        <v>--</v>
      </c>
    </row>
    <row r="4191" spans="1:18" x14ac:dyDescent="0.25">
      <c r="A4191" t="s">
        <v>423</v>
      </c>
      <c r="B4191" s="1">
        <v>44972</v>
      </c>
      <c r="C4191" t="s">
        <v>3288</v>
      </c>
      <c r="D4191" t="s">
        <v>20</v>
      </c>
      <c r="E4191" t="s">
        <v>51</v>
      </c>
      <c r="F4191" t="s">
        <v>546</v>
      </c>
      <c r="G4191" t="s">
        <v>1572</v>
      </c>
      <c r="H4191" t="s">
        <v>54</v>
      </c>
      <c r="I4191">
        <v>2000</v>
      </c>
      <c r="J4191">
        <v>0</v>
      </c>
      <c r="K4191">
        <v>1</v>
      </c>
      <c r="L4191" t="s">
        <v>693</v>
      </c>
      <c r="M4191" t="s">
        <v>2836</v>
      </c>
      <c r="N4191">
        <v>18</v>
      </c>
      <c r="O4191">
        <v>0</v>
      </c>
      <c r="P4191" t="str">
        <f>IF(T[[#This Row],[qty_ordered]]&lt;&gt;T[[#This Row],[qty_received]],IF(T[[#This Row],[qty_received]]&gt;0,"Partial Received","Not Receviced"),"FullyReceived")</f>
        <v>Not Receviced</v>
      </c>
      <c r="Q4191" t="str">
        <f>IF(T[[#This Row],[qty_received]]&lt;&gt;T[[#This Row],[qty_invoiced]],IF(T[[#This Row],[qty_invoiced]]&gt;0,"Partial Invoiced","Not Invoiced"),"Fully Invoiced")</f>
        <v>Partial Invoiced</v>
      </c>
      <c r="R4191" t="str">
        <f>IFERROR(VLOOKUP(T[[#This Row],[warehouse]],Table2[],2,FALSE),"--")</f>
        <v>--</v>
      </c>
    </row>
    <row r="4192" spans="1:18" x14ac:dyDescent="0.25">
      <c r="A4192" t="s">
        <v>423</v>
      </c>
      <c r="B4192" s="1">
        <v>44972</v>
      </c>
      <c r="C4192" t="s">
        <v>3289</v>
      </c>
      <c r="D4192" t="s">
        <v>20</v>
      </c>
      <c r="E4192" t="s">
        <v>51</v>
      </c>
      <c r="F4192" t="s">
        <v>546</v>
      </c>
      <c r="G4192" t="s">
        <v>2259</v>
      </c>
      <c r="H4192" t="s">
        <v>54</v>
      </c>
      <c r="I4192">
        <v>10000</v>
      </c>
      <c r="J4192">
        <v>0</v>
      </c>
      <c r="K4192">
        <v>1</v>
      </c>
      <c r="L4192" t="s">
        <v>693</v>
      </c>
      <c r="M4192" t="s">
        <v>2836</v>
      </c>
      <c r="N4192">
        <v>18</v>
      </c>
      <c r="O4192">
        <v>0</v>
      </c>
      <c r="P4192" t="str">
        <f>IF(T[[#This Row],[qty_ordered]]&lt;&gt;T[[#This Row],[qty_received]],IF(T[[#This Row],[qty_received]]&gt;0,"Partial Received","Not Receviced"),"FullyReceived")</f>
        <v>Not Receviced</v>
      </c>
      <c r="Q4192" t="str">
        <f>IF(T[[#This Row],[qty_received]]&lt;&gt;T[[#This Row],[qty_invoiced]],IF(T[[#This Row],[qty_invoiced]]&gt;0,"Partial Invoiced","Not Invoiced"),"Fully Invoiced")</f>
        <v>Partial Invoiced</v>
      </c>
      <c r="R4192" t="str">
        <f>IFERROR(VLOOKUP(T[[#This Row],[warehouse]],Table2[],2,FALSE),"--")</f>
        <v>--</v>
      </c>
    </row>
    <row r="4193" spans="1:18" x14ac:dyDescent="0.25">
      <c r="A4193" t="s">
        <v>560</v>
      </c>
      <c r="B4193" s="1">
        <v>44746</v>
      </c>
      <c r="C4193" t="s">
        <v>1771</v>
      </c>
      <c r="D4193" t="s">
        <v>451</v>
      </c>
      <c r="E4193" t="s">
        <v>51</v>
      </c>
      <c r="F4193" t="s">
        <v>164</v>
      </c>
      <c r="G4193" t="s">
        <v>3290</v>
      </c>
      <c r="H4193" t="s">
        <v>54</v>
      </c>
      <c r="I4193">
        <v>35.630000000000003</v>
      </c>
      <c r="J4193">
        <v>0</v>
      </c>
      <c r="K4193">
        <v>1</v>
      </c>
      <c r="L4193" t="s">
        <v>693</v>
      </c>
      <c r="M4193" t="s">
        <v>2836</v>
      </c>
      <c r="N4193">
        <v>12285</v>
      </c>
      <c r="O4193">
        <v>0</v>
      </c>
      <c r="P4193" t="str">
        <f>IF(T[[#This Row],[qty_ordered]]&lt;&gt;T[[#This Row],[qty_received]],IF(T[[#This Row],[qty_received]]&gt;0,"Partial Received","Not Receviced"),"FullyReceived")</f>
        <v>Not Receviced</v>
      </c>
      <c r="Q4193" t="str">
        <f>IF(T[[#This Row],[qty_received]]&lt;&gt;T[[#This Row],[qty_invoiced]],IF(T[[#This Row],[qty_invoiced]]&gt;0,"Partial Invoiced","Not Invoiced"),"Fully Invoiced")</f>
        <v>Partial Invoiced</v>
      </c>
      <c r="R4193" t="str">
        <f>IFERROR(VLOOKUP(T[[#This Row],[warehouse]],Table2[],2,FALSE),"--")</f>
        <v>--</v>
      </c>
    </row>
    <row r="4194" spans="1:18" x14ac:dyDescent="0.25">
      <c r="A4194" t="s">
        <v>560</v>
      </c>
      <c r="B4194" s="1">
        <v>44746</v>
      </c>
      <c r="C4194" t="s">
        <v>1771</v>
      </c>
      <c r="D4194" t="s">
        <v>452</v>
      </c>
      <c r="E4194" t="s">
        <v>51</v>
      </c>
      <c r="F4194" t="s">
        <v>164</v>
      </c>
      <c r="G4194" t="s">
        <v>3290</v>
      </c>
      <c r="H4194" t="s">
        <v>54</v>
      </c>
      <c r="I4194">
        <v>9</v>
      </c>
      <c r="J4194">
        <v>0</v>
      </c>
      <c r="K4194">
        <v>1</v>
      </c>
      <c r="L4194" t="s">
        <v>693</v>
      </c>
      <c r="M4194" t="s">
        <v>2836</v>
      </c>
      <c r="N4194">
        <v>12285</v>
      </c>
      <c r="O4194">
        <v>0</v>
      </c>
      <c r="P4194" t="str">
        <f>IF(T[[#This Row],[qty_ordered]]&lt;&gt;T[[#This Row],[qty_received]],IF(T[[#This Row],[qty_received]]&gt;0,"Partial Received","Not Receviced"),"FullyReceived")</f>
        <v>Not Receviced</v>
      </c>
      <c r="Q4194" t="str">
        <f>IF(T[[#This Row],[qty_received]]&lt;&gt;T[[#This Row],[qty_invoiced]],IF(T[[#This Row],[qty_invoiced]]&gt;0,"Partial Invoiced","Not Invoiced"),"Fully Invoiced")</f>
        <v>Partial Invoiced</v>
      </c>
      <c r="R4194" t="str">
        <f>IFERROR(VLOOKUP(T[[#This Row],[warehouse]],Table2[],2,FALSE),"--")</f>
        <v>--</v>
      </c>
    </row>
    <row r="4195" spans="1:18" x14ac:dyDescent="0.25">
      <c r="A4195" t="s">
        <v>1059</v>
      </c>
      <c r="B4195" s="1">
        <v>44976</v>
      </c>
      <c r="C4195" t="s">
        <v>3291</v>
      </c>
      <c r="D4195" t="s">
        <v>20</v>
      </c>
      <c r="E4195" t="s">
        <v>51</v>
      </c>
      <c r="F4195" t="s">
        <v>262</v>
      </c>
      <c r="G4195" t="s">
        <v>3292</v>
      </c>
      <c r="H4195" t="s">
        <v>54</v>
      </c>
      <c r="I4195">
        <v>3500</v>
      </c>
      <c r="J4195">
        <v>0</v>
      </c>
      <c r="K4195">
        <v>1</v>
      </c>
      <c r="L4195" t="s">
        <v>693</v>
      </c>
      <c r="M4195" t="s">
        <v>2836</v>
      </c>
      <c r="N4195">
        <v>500</v>
      </c>
      <c r="O4195">
        <v>0</v>
      </c>
      <c r="P4195" t="str">
        <f>IF(T[[#This Row],[qty_ordered]]&lt;&gt;T[[#This Row],[qty_received]],IF(T[[#This Row],[qty_received]]&gt;0,"Partial Received","Not Receviced"),"FullyReceived")</f>
        <v>Not Receviced</v>
      </c>
      <c r="Q4195" t="str">
        <f>IF(T[[#This Row],[qty_received]]&lt;&gt;T[[#This Row],[qty_invoiced]],IF(T[[#This Row],[qty_invoiced]]&gt;0,"Partial Invoiced","Not Invoiced"),"Fully Invoiced")</f>
        <v>Partial Invoiced</v>
      </c>
      <c r="R4195" t="str">
        <f>IFERROR(VLOOKUP(T[[#This Row],[warehouse]],Table2[],2,FALSE),"--")</f>
        <v>--</v>
      </c>
    </row>
    <row r="4196" spans="1:18" x14ac:dyDescent="0.25">
      <c r="A4196" t="s">
        <v>1059</v>
      </c>
      <c r="B4196" s="1">
        <v>44976</v>
      </c>
      <c r="C4196" t="s">
        <v>3291</v>
      </c>
      <c r="D4196" t="s">
        <v>71</v>
      </c>
      <c r="E4196" t="s">
        <v>51</v>
      </c>
      <c r="F4196" t="s">
        <v>262</v>
      </c>
      <c r="G4196" t="s">
        <v>3292</v>
      </c>
      <c r="H4196" t="s">
        <v>54</v>
      </c>
      <c r="I4196">
        <v>3500</v>
      </c>
      <c r="J4196">
        <v>0</v>
      </c>
      <c r="K4196">
        <v>1</v>
      </c>
      <c r="L4196" t="s">
        <v>693</v>
      </c>
      <c r="M4196" t="s">
        <v>2836</v>
      </c>
      <c r="N4196">
        <v>30.002856999999999</v>
      </c>
      <c r="O4196">
        <v>0</v>
      </c>
      <c r="P4196" t="str">
        <f>IF(T[[#This Row],[qty_ordered]]&lt;&gt;T[[#This Row],[qty_received]],IF(T[[#This Row],[qty_received]]&gt;0,"Partial Received","Not Receviced"),"FullyReceived")</f>
        <v>Not Receviced</v>
      </c>
      <c r="Q4196" t="str">
        <f>IF(T[[#This Row],[qty_received]]&lt;&gt;T[[#This Row],[qty_invoiced]],IF(T[[#This Row],[qty_invoiced]]&gt;0,"Partial Invoiced","Not Invoiced"),"Fully Invoiced")</f>
        <v>Partial Invoiced</v>
      </c>
      <c r="R4196" t="str">
        <f>IFERROR(VLOOKUP(T[[#This Row],[warehouse]],Table2[],2,FALSE),"--")</f>
        <v>--</v>
      </c>
    </row>
    <row r="4197" spans="1:18" x14ac:dyDescent="0.25">
      <c r="A4197" t="s">
        <v>1059</v>
      </c>
      <c r="B4197" s="1">
        <v>44976</v>
      </c>
      <c r="C4197" t="s">
        <v>3291</v>
      </c>
      <c r="D4197" t="s">
        <v>100</v>
      </c>
      <c r="E4197" t="s">
        <v>51</v>
      </c>
      <c r="F4197" t="s">
        <v>262</v>
      </c>
      <c r="G4197" t="s">
        <v>3293</v>
      </c>
      <c r="H4197" t="s">
        <v>54</v>
      </c>
      <c r="I4197">
        <v>9000</v>
      </c>
      <c r="J4197">
        <v>0</v>
      </c>
      <c r="K4197">
        <v>1</v>
      </c>
      <c r="L4197" t="s">
        <v>693</v>
      </c>
      <c r="M4197" t="s">
        <v>2836</v>
      </c>
      <c r="N4197">
        <v>600</v>
      </c>
      <c r="O4197">
        <v>0</v>
      </c>
      <c r="P4197" t="str">
        <f>IF(T[[#This Row],[qty_ordered]]&lt;&gt;T[[#This Row],[qty_received]],IF(T[[#This Row],[qty_received]]&gt;0,"Partial Received","Not Receviced"),"FullyReceived")</f>
        <v>Not Receviced</v>
      </c>
      <c r="Q4197" t="str">
        <f>IF(T[[#This Row],[qty_received]]&lt;&gt;T[[#This Row],[qty_invoiced]],IF(T[[#This Row],[qty_invoiced]]&gt;0,"Partial Invoiced","Not Invoiced"),"Fully Invoiced")</f>
        <v>Partial Invoiced</v>
      </c>
      <c r="R4197" t="str">
        <f>IFERROR(VLOOKUP(T[[#This Row],[warehouse]],Table2[],2,FALSE),"--")</f>
        <v>--</v>
      </c>
    </row>
    <row r="4198" spans="1:18" x14ac:dyDescent="0.25">
      <c r="A4198" t="s">
        <v>1059</v>
      </c>
      <c r="B4198" s="1">
        <v>44976</v>
      </c>
      <c r="C4198" t="s">
        <v>3291</v>
      </c>
      <c r="D4198" t="s">
        <v>88</v>
      </c>
      <c r="E4198" t="s">
        <v>51</v>
      </c>
      <c r="F4198" t="s">
        <v>933</v>
      </c>
      <c r="G4198" t="s">
        <v>3294</v>
      </c>
      <c r="H4198" t="s">
        <v>54</v>
      </c>
      <c r="I4198">
        <v>2800</v>
      </c>
      <c r="J4198">
        <v>0</v>
      </c>
      <c r="K4198">
        <v>1</v>
      </c>
      <c r="L4198" t="s">
        <v>693</v>
      </c>
      <c r="M4198" t="s">
        <v>2836</v>
      </c>
      <c r="N4198">
        <v>1000</v>
      </c>
      <c r="O4198">
        <v>0</v>
      </c>
      <c r="P4198" t="str">
        <f>IF(T[[#This Row],[qty_ordered]]&lt;&gt;T[[#This Row],[qty_received]],IF(T[[#This Row],[qty_received]]&gt;0,"Partial Received","Not Receviced"),"FullyReceived")</f>
        <v>Not Receviced</v>
      </c>
      <c r="Q4198" t="str">
        <f>IF(T[[#This Row],[qty_received]]&lt;&gt;T[[#This Row],[qty_invoiced]],IF(T[[#This Row],[qty_invoiced]]&gt;0,"Partial Invoiced","Not Invoiced"),"Fully Invoiced")</f>
        <v>Partial Invoiced</v>
      </c>
      <c r="R4198" t="str">
        <f>IFERROR(VLOOKUP(T[[#This Row],[warehouse]],Table2[],2,FALSE),"--")</f>
        <v>--</v>
      </c>
    </row>
    <row r="4199" spans="1:18" x14ac:dyDescent="0.25">
      <c r="A4199" t="s">
        <v>1059</v>
      </c>
      <c r="B4199" s="1">
        <v>44976</v>
      </c>
      <c r="C4199" t="s">
        <v>3291</v>
      </c>
      <c r="D4199" t="s">
        <v>74</v>
      </c>
      <c r="E4199" t="s">
        <v>51</v>
      </c>
      <c r="F4199" t="s">
        <v>266</v>
      </c>
      <c r="G4199" t="s">
        <v>3295</v>
      </c>
      <c r="H4199" t="s">
        <v>54</v>
      </c>
      <c r="I4199">
        <v>3500</v>
      </c>
      <c r="J4199">
        <v>0</v>
      </c>
      <c r="K4199">
        <v>1</v>
      </c>
      <c r="L4199" t="s">
        <v>693</v>
      </c>
      <c r="M4199" t="s">
        <v>2836</v>
      </c>
      <c r="N4199">
        <v>600</v>
      </c>
      <c r="O4199">
        <v>0</v>
      </c>
      <c r="P4199" t="str">
        <f>IF(T[[#This Row],[qty_ordered]]&lt;&gt;T[[#This Row],[qty_received]],IF(T[[#This Row],[qty_received]]&gt;0,"Partial Received","Not Receviced"),"FullyReceived")</f>
        <v>Not Receviced</v>
      </c>
      <c r="Q4199" t="str">
        <f>IF(T[[#This Row],[qty_received]]&lt;&gt;T[[#This Row],[qty_invoiced]],IF(T[[#This Row],[qty_invoiced]]&gt;0,"Partial Invoiced","Not Invoiced"),"Fully Invoiced")</f>
        <v>Partial Invoiced</v>
      </c>
      <c r="R4199" t="str">
        <f>IFERROR(VLOOKUP(T[[#This Row],[warehouse]],Table2[],2,FALSE),"--")</f>
        <v>--</v>
      </c>
    </row>
    <row r="4200" spans="1:18" x14ac:dyDescent="0.25">
      <c r="A4200" t="s">
        <v>1059</v>
      </c>
      <c r="B4200" s="1">
        <v>44976</v>
      </c>
      <c r="C4200" t="s">
        <v>3291</v>
      </c>
      <c r="D4200" t="s">
        <v>76</v>
      </c>
      <c r="E4200" t="s">
        <v>51</v>
      </c>
      <c r="F4200" t="s">
        <v>933</v>
      </c>
      <c r="G4200" t="s">
        <v>3296</v>
      </c>
      <c r="H4200" t="s">
        <v>54</v>
      </c>
      <c r="I4200">
        <v>22000</v>
      </c>
      <c r="J4200">
        <v>0</v>
      </c>
      <c r="K4200">
        <v>1</v>
      </c>
      <c r="L4200" t="s">
        <v>693</v>
      </c>
      <c r="M4200" t="s">
        <v>2836</v>
      </c>
      <c r="N4200">
        <v>150</v>
      </c>
      <c r="O4200">
        <v>0</v>
      </c>
      <c r="P4200" t="str">
        <f>IF(T[[#This Row],[qty_ordered]]&lt;&gt;T[[#This Row],[qty_received]],IF(T[[#This Row],[qty_received]]&gt;0,"Partial Received","Not Receviced"),"FullyReceived")</f>
        <v>Not Receviced</v>
      </c>
      <c r="Q4200" t="str">
        <f>IF(T[[#This Row],[qty_received]]&lt;&gt;T[[#This Row],[qty_invoiced]],IF(T[[#This Row],[qty_invoiced]]&gt;0,"Partial Invoiced","Not Invoiced"),"Fully Invoiced")</f>
        <v>Partial Invoiced</v>
      </c>
      <c r="R4200" t="str">
        <f>IFERROR(VLOOKUP(T[[#This Row],[warehouse]],Table2[],2,FALSE),"--")</f>
        <v>--</v>
      </c>
    </row>
    <row r="4201" spans="1:18" x14ac:dyDescent="0.25">
      <c r="A4201" t="s">
        <v>1059</v>
      </c>
      <c r="B4201" s="1">
        <v>44976</v>
      </c>
      <c r="C4201" t="s">
        <v>3297</v>
      </c>
      <c r="D4201" t="s">
        <v>20</v>
      </c>
      <c r="E4201" t="s">
        <v>51</v>
      </c>
      <c r="F4201" t="s">
        <v>2166</v>
      </c>
      <c r="G4201" t="s">
        <v>3298</v>
      </c>
      <c r="H4201" t="s">
        <v>54</v>
      </c>
      <c r="I4201">
        <v>3603</v>
      </c>
      <c r="J4201">
        <v>0</v>
      </c>
      <c r="K4201">
        <v>1</v>
      </c>
      <c r="L4201" t="s">
        <v>693</v>
      </c>
      <c r="M4201" t="s">
        <v>2836</v>
      </c>
      <c r="N4201">
        <v>1000</v>
      </c>
      <c r="O4201">
        <v>0</v>
      </c>
      <c r="P4201" t="str">
        <f>IF(T[[#This Row],[qty_ordered]]&lt;&gt;T[[#This Row],[qty_received]],IF(T[[#This Row],[qty_received]]&gt;0,"Partial Received","Not Receviced"),"FullyReceived")</f>
        <v>Not Receviced</v>
      </c>
      <c r="Q4201" t="str">
        <f>IF(T[[#This Row],[qty_received]]&lt;&gt;T[[#This Row],[qty_invoiced]],IF(T[[#This Row],[qty_invoiced]]&gt;0,"Partial Invoiced","Not Invoiced"),"Fully Invoiced")</f>
        <v>Partial Invoiced</v>
      </c>
      <c r="R4201" t="str">
        <f>IFERROR(VLOOKUP(T[[#This Row],[warehouse]],Table2[],2,FALSE),"--")</f>
        <v>--</v>
      </c>
    </row>
    <row r="4202" spans="1:18" x14ac:dyDescent="0.25">
      <c r="A4202" t="s">
        <v>1059</v>
      </c>
      <c r="B4202" s="1">
        <v>44976</v>
      </c>
      <c r="C4202" t="s">
        <v>3297</v>
      </c>
      <c r="D4202" t="s">
        <v>71</v>
      </c>
      <c r="E4202" t="s">
        <v>51</v>
      </c>
      <c r="F4202" t="s">
        <v>1641</v>
      </c>
      <c r="G4202" t="s">
        <v>3299</v>
      </c>
      <c r="H4202" t="s">
        <v>54</v>
      </c>
      <c r="I4202">
        <v>3603</v>
      </c>
      <c r="J4202">
        <v>0</v>
      </c>
      <c r="K4202">
        <v>1</v>
      </c>
      <c r="L4202" t="s">
        <v>693</v>
      </c>
      <c r="M4202" t="s">
        <v>2836</v>
      </c>
      <c r="N4202">
        <v>1000</v>
      </c>
      <c r="O4202">
        <v>0</v>
      </c>
      <c r="P4202" t="str">
        <f>IF(T[[#This Row],[qty_ordered]]&lt;&gt;T[[#This Row],[qty_received]],IF(T[[#This Row],[qty_received]]&gt;0,"Partial Received","Not Receviced"),"FullyReceived")</f>
        <v>Not Receviced</v>
      </c>
      <c r="Q4202" t="str">
        <f>IF(T[[#This Row],[qty_received]]&lt;&gt;T[[#This Row],[qty_invoiced]],IF(T[[#This Row],[qty_invoiced]]&gt;0,"Partial Invoiced","Not Invoiced"),"Fully Invoiced")</f>
        <v>Partial Invoiced</v>
      </c>
      <c r="R4202" t="str">
        <f>IFERROR(VLOOKUP(T[[#This Row],[warehouse]],Table2[],2,FALSE),"--")</f>
        <v>--</v>
      </c>
    </row>
    <row r="4203" spans="1:18" x14ac:dyDescent="0.25">
      <c r="A4203" t="s">
        <v>1059</v>
      </c>
      <c r="B4203" s="1">
        <v>44976</v>
      </c>
      <c r="C4203" t="s">
        <v>3297</v>
      </c>
      <c r="D4203" t="s">
        <v>100</v>
      </c>
      <c r="E4203" t="s">
        <v>51</v>
      </c>
      <c r="F4203" t="s">
        <v>2166</v>
      </c>
      <c r="G4203" t="s">
        <v>3300</v>
      </c>
      <c r="H4203" t="s">
        <v>54</v>
      </c>
      <c r="I4203">
        <v>3603</v>
      </c>
      <c r="J4203">
        <v>0</v>
      </c>
      <c r="K4203">
        <v>1</v>
      </c>
      <c r="L4203" t="s">
        <v>693</v>
      </c>
      <c r="M4203" t="s">
        <v>2836</v>
      </c>
      <c r="N4203">
        <v>1000</v>
      </c>
      <c r="O4203">
        <v>0</v>
      </c>
      <c r="P4203" t="str">
        <f>IF(T[[#This Row],[qty_ordered]]&lt;&gt;T[[#This Row],[qty_received]],IF(T[[#This Row],[qty_received]]&gt;0,"Partial Received","Not Receviced"),"FullyReceived")</f>
        <v>Not Receviced</v>
      </c>
      <c r="Q4203" t="str">
        <f>IF(T[[#This Row],[qty_received]]&lt;&gt;T[[#This Row],[qty_invoiced]],IF(T[[#This Row],[qty_invoiced]]&gt;0,"Partial Invoiced","Not Invoiced"),"Fully Invoiced")</f>
        <v>Partial Invoiced</v>
      </c>
      <c r="R4203" t="str">
        <f>IFERROR(VLOOKUP(T[[#This Row],[warehouse]],Table2[],2,FALSE),"--")</f>
        <v>--</v>
      </c>
    </row>
    <row r="4204" spans="1:18" x14ac:dyDescent="0.25">
      <c r="A4204" t="s">
        <v>1059</v>
      </c>
      <c r="B4204" s="1">
        <v>44976</v>
      </c>
      <c r="C4204" t="s">
        <v>3297</v>
      </c>
      <c r="D4204" t="s">
        <v>88</v>
      </c>
      <c r="E4204" t="s">
        <v>51</v>
      </c>
      <c r="F4204" t="s">
        <v>2228</v>
      </c>
      <c r="G4204" t="s">
        <v>3301</v>
      </c>
      <c r="H4204" t="s">
        <v>54</v>
      </c>
      <c r="I4204">
        <v>3603</v>
      </c>
      <c r="J4204">
        <v>0</v>
      </c>
      <c r="K4204">
        <v>1</v>
      </c>
      <c r="L4204" t="s">
        <v>693</v>
      </c>
      <c r="M4204" t="s">
        <v>2836</v>
      </c>
      <c r="N4204">
        <v>1500</v>
      </c>
      <c r="O4204">
        <v>0</v>
      </c>
      <c r="P4204" t="str">
        <f>IF(T[[#This Row],[qty_ordered]]&lt;&gt;T[[#This Row],[qty_received]],IF(T[[#This Row],[qty_received]]&gt;0,"Partial Received","Not Receviced"),"FullyReceived")</f>
        <v>Not Receviced</v>
      </c>
      <c r="Q4204" t="str">
        <f>IF(T[[#This Row],[qty_received]]&lt;&gt;T[[#This Row],[qty_invoiced]],IF(T[[#This Row],[qty_invoiced]]&gt;0,"Partial Invoiced","Not Invoiced"),"Fully Invoiced")</f>
        <v>Partial Invoiced</v>
      </c>
      <c r="R4204" t="str">
        <f>IFERROR(VLOOKUP(T[[#This Row],[warehouse]],Table2[],2,FALSE),"--")</f>
        <v>--</v>
      </c>
    </row>
    <row r="4205" spans="1:18" x14ac:dyDescent="0.25">
      <c r="A4205" t="s">
        <v>1059</v>
      </c>
      <c r="B4205" s="1">
        <v>44976</v>
      </c>
      <c r="C4205" t="s">
        <v>3297</v>
      </c>
      <c r="D4205" t="s">
        <v>74</v>
      </c>
      <c r="E4205" t="s">
        <v>51</v>
      </c>
      <c r="F4205" t="s">
        <v>2166</v>
      </c>
      <c r="G4205" t="s">
        <v>3302</v>
      </c>
      <c r="H4205" t="s">
        <v>54</v>
      </c>
      <c r="I4205">
        <v>3603</v>
      </c>
      <c r="J4205">
        <v>0</v>
      </c>
      <c r="K4205">
        <v>1</v>
      </c>
      <c r="L4205" t="s">
        <v>693</v>
      </c>
      <c r="M4205" t="s">
        <v>2836</v>
      </c>
      <c r="N4205">
        <v>1000</v>
      </c>
      <c r="O4205">
        <v>0</v>
      </c>
      <c r="P4205" t="str">
        <f>IF(T[[#This Row],[qty_ordered]]&lt;&gt;T[[#This Row],[qty_received]],IF(T[[#This Row],[qty_received]]&gt;0,"Partial Received","Not Receviced"),"FullyReceived")</f>
        <v>Not Receviced</v>
      </c>
      <c r="Q4205" t="str">
        <f>IF(T[[#This Row],[qty_received]]&lt;&gt;T[[#This Row],[qty_invoiced]],IF(T[[#This Row],[qty_invoiced]]&gt;0,"Partial Invoiced","Not Invoiced"),"Fully Invoiced")</f>
        <v>Partial Invoiced</v>
      </c>
      <c r="R4205" t="str">
        <f>IFERROR(VLOOKUP(T[[#This Row],[warehouse]],Table2[],2,FALSE),"--")</f>
        <v>--</v>
      </c>
    </row>
    <row r="4206" spans="1:18" x14ac:dyDescent="0.25">
      <c r="A4206" t="s">
        <v>1059</v>
      </c>
      <c r="B4206" s="1">
        <v>44976</v>
      </c>
      <c r="C4206" t="s">
        <v>3297</v>
      </c>
      <c r="D4206" t="s">
        <v>76</v>
      </c>
      <c r="E4206" t="s">
        <v>51</v>
      </c>
      <c r="F4206" t="s">
        <v>753</v>
      </c>
      <c r="G4206" t="s">
        <v>3303</v>
      </c>
      <c r="H4206" t="s">
        <v>54</v>
      </c>
      <c r="I4206">
        <v>3603</v>
      </c>
      <c r="J4206">
        <v>0</v>
      </c>
      <c r="K4206">
        <v>1</v>
      </c>
      <c r="L4206" t="s">
        <v>693</v>
      </c>
      <c r="M4206" t="s">
        <v>2836</v>
      </c>
      <c r="N4206">
        <v>170</v>
      </c>
      <c r="O4206">
        <v>0</v>
      </c>
      <c r="P4206" t="str">
        <f>IF(T[[#This Row],[qty_ordered]]&lt;&gt;T[[#This Row],[qty_received]],IF(T[[#This Row],[qty_received]]&gt;0,"Partial Received","Not Receviced"),"FullyReceived")</f>
        <v>Not Receviced</v>
      </c>
      <c r="Q4206" t="str">
        <f>IF(T[[#This Row],[qty_received]]&lt;&gt;T[[#This Row],[qty_invoiced]],IF(T[[#This Row],[qty_invoiced]]&gt;0,"Partial Invoiced","Not Invoiced"),"Fully Invoiced")</f>
        <v>Partial Invoiced</v>
      </c>
      <c r="R4206" t="str">
        <f>IFERROR(VLOOKUP(T[[#This Row],[warehouse]],Table2[],2,FALSE),"--")</f>
        <v>--</v>
      </c>
    </row>
    <row r="4207" spans="1:18" x14ac:dyDescent="0.25">
      <c r="A4207" t="s">
        <v>795</v>
      </c>
      <c r="B4207" s="1">
        <v>44976</v>
      </c>
      <c r="C4207" t="s">
        <v>3304</v>
      </c>
      <c r="D4207" t="s">
        <v>20</v>
      </c>
      <c r="E4207" t="s">
        <v>1142</v>
      </c>
      <c r="F4207" t="s">
        <v>691</v>
      </c>
      <c r="G4207" t="s">
        <v>478</v>
      </c>
      <c r="H4207" t="s">
        <v>24</v>
      </c>
      <c r="I4207">
        <v>200</v>
      </c>
      <c r="J4207">
        <v>123.46</v>
      </c>
      <c r="K4207">
        <v>123.46</v>
      </c>
      <c r="L4207" t="s">
        <v>693</v>
      </c>
      <c r="M4207" t="s">
        <v>1485</v>
      </c>
      <c r="N4207">
        <v>823250</v>
      </c>
      <c r="O4207">
        <v>101638445</v>
      </c>
      <c r="P4207" t="str">
        <f>IF(T[[#This Row],[qty_ordered]]&lt;&gt;T[[#This Row],[qty_received]],IF(T[[#This Row],[qty_received]]&gt;0,"Partial Received","Not Receviced"),"FullyReceived")</f>
        <v>Partial Received</v>
      </c>
      <c r="Q4207" t="str">
        <f>IF(T[[#This Row],[qty_received]]&lt;&gt;T[[#This Row],[qty_invoiced]],IF(T[[#This Row],[qty_invoiced]]&gt;0,"Partial Invoiced","Not Invoiced"),"Fully Invoiced")</f>
        <v>Fully Invoiced</v>
      </c>
      <c r="R4207" t="str">
        <f>IFERROR(VLOOKUP(T[[#This Row],[warehouse]],Table2[],2,FALSE),"--")</f>
        <v>SAVOLA W/H FOR EXPOR</v>
      </c>
    </row>
    <row r="4208" spans="1:18" x14ac:dyDescent="0.25">
      <c r="A4208" t="s">
        <v>795</v>
      </c>
      <c r="B4208" s="1">
        <v>44976</v>
      </c>
      <c r="C4208" t="s">
        <v>3305</v>
      </c>
      <c r="D4208" t="s">
        <v>20</v>
      </c>
      <c r="E4208" t="s">
        <v>1142</v>
      </c>
      <c r="F4208" t="s">
        <v>130</v>
      </c>
      <c r="G4208" t="s">
        <v>131</v>
      </c>
      <c r="H4208" t="s">
        <v>24</v>
      </c>
      <c r="I4208">
        <v>643.24</v>
      </c>
      <c r="J4208">
        <v>617.12</v>
      </c>
      <c r="K4208">
        <v>617.12</v>
      </c>
      <c r="L4208" t="s">
        <v>693</v>
      </c>
      <c r="M4208" t="s">
        <v>1485</v>
      </c>
      <c r="N4208">
        <v>416075</v>
      </c>
      <c r="O4208">
        <v>256768204</v>
      </c>
      <c r="P4208" t="str">
        <f>IF(T[[#This Row],[qty_ordered]]&lt;&gt;T[[#This Row],[qty_received]],IF(T[[#This Row],[qty_received]]&gt;0,"Partial Received","Not Receviced"),"FullyReceived")</f>
        <v>Partial Received</v>
      </c>
      <c r="Q4208" t="str">
        <f>IF(T[[#This Row],[qty_received]]&lt;&gt;T[[#This Row],[qty_invoiced]],IF(T[[#This Row],[qty_invoiced]]&gt;0,"Partial Invoiced","Not Invoiced"),"Fully Invoiced")</f>
        <v>Fully Invoiced</v>
      </c>
      <c r="R4208" t="str">
        <f>IFERROR(VLOOKUP(T[[#This Row],[warehouse]],Table2[],2,FALSE),"--")</f>
        <v>SAVOLA W/H FOR EXPOR</v>
      </c>
    </row>
    <row r="4209" spans="1:18" x14ac:dyDescent="0.25">
      <c r="A4209" t="s">
        <v>1745</v>
      </c>
      <c r="B4209" s="1">
        <v>44978</v>
      </c>
      <c r="C4209" t="s">
        <v>3306</v>
      </c>
      <c r="D4209" t="s">
        <v>20</v>
      </c>
      <c r="E4209" t="s">
        <v>146</v>
      </c>
      <c r="F4209" t="s">
        <v>147</v>
      </c>
      <c r="G4209" t="s">
        <v>148</v>
      </c>
      <c r="H4209" t="s">
        <v>149</v>
      </c>
      <c r="I4209">
        <v>10000</v>
      </c>
      <c r="J4209">
        <v>10000</v>
      </c>
      <c r="K4209">
        <v>10000</v>
      </c>
      <c r="L4209" t="s">
        <v>693</v>
      </c>
      <c r="M4209" t="s">
        <v>1223</v>
      </c>
      <c r="N4209">
        <v>220</v>
      </c>
      <c r="O4209">
        <v>2200000</v>
      </c>
      <c r="P4209" t="str">
        <f>IF(T[[#This Row],[qty_ordered]]&lt;&gt;T[[#This Row],[qty_received]],IF(T[[#This Row],[qty_received]]&gt;0,"Partial Received","Not Receviced"),"FullyReceived")</f>
        <v>FullyReceived</v>
      </c>
      <c r="Q4209" t="str">
        <f>IF(T[[#This Row],[qty_received]]&lt;&gt;T[[#This Row],[qty_invoiced]],IF(T[[#This Row],[qty_invoiced]]&gt;0,"Partial Invoiced","Not Invoiced"),"Fully Invoiced")</f>
        <v>Fully Invoiced</v>
      </c>
      <c r="R4209" t="str">
        <f>IFERROR(VLOOKUP(T[[#This Row],[warehouse]],Table2[],2,FALSE),"--")</f>
        <v>Khtoum Main Warehouse</v>
      </c>
    </row>
    <row r="4210" spans="1:18" x14ac:dyDescent="0.25">
      <c r="A4210" t="s">
        <v>3040</v>
      </c>
      <c r="B4210" s="1">
        <v>44941</v>
      </c>
      <c r="C4210" t="s">
        <v>3042</v>
      </c>
      <c r="D4210" t="s">
        <v>71</v>
      </c>
      <c r="E4210" t="s">
        <v>620</v>
      </c>
      <c r="F4210" t="s">
        <v>196</v>
      </c>
      <c r="G4210" t="s">
        <v>197</v>
      </c>
      <c r="H4210" t="s">
        <v>24</v>
      </c>
      <c r="I4210">
        <v>4600</v>
      </c>
      <c r="J4210">
        <v>0</v>
      </c>
      <c r="K4210">
        <v>0</v>
      </c>
      <c r="L4210" t="s">
        <v>693</v>
      </c>
      <c r="M4210" t="s">
        <v>132</v>
      </c>
      <c r="N4210">
        <v>200000</v>
      </c>
      <c r="O4210">
        <v>0</v>
      </c>
      <c r="P4210" t="str">
        <f>IF(T[[#This Row],[qty_ordered]]&lt;&gt;T[[#This Row],[qty_received]],IF(T[[#This Row],[qty_received]]&gt;0,"Partial Received","Not Receviced"),"FullyReceived")</f>
        <v>Not Receviced</v>
      </c>
      <c r="Q4210" t="str">
        <f>IF(T[[#This Row],[qty_received]]&lt;&gt;T[[#This Row],[qty_invoiced]],IF(T[[#This Row],[qty_invoiced]]&gt;0,"Partial Invoiced","Not Invoiced"),"Fully Invoiced")</f>
        <v>Fully Invoiced</v>
      </c>
      <c r="R4210" t="str">
        <f>IFERROR(VLOOKUP(T[[#This Row],[warehouse]],Table2[],2,FALSE),"--")</f>
        <v>SIFTER METALIC SILO</v>
      </c>
    </row>
    <row r="4211" spans="1:18" x14ac:dyDescent="0.25">
      <c r="A4211" t="s">
        <v>795</v>
      </c>
      <c r="B4211" s="1">
        <v>44962</v>
      </c>
      <c r="C4211" t="s">
        <v>3204</v>
      </c>
      <c r="D4211" t="s">
        <v>100</v>
      </c>
      <c r="E4211" t="s">
        <v>629</v>
      </c>
      <c r="F4211" t="s">
        <v>287</v>
      </c>
      <c r="G4211" t="s">
        <v>288</v>
      </c>
      <c r="H4211" t="s">
        <v>24</v>
      </c>
      <c r="I4211">
        <v>763</v>
      </c>
      <c r="J4211">
        <v>53.54</v>
      </c>
      <c r="K4211">
        <v>53.54</v>
      </c>
      <c r="L4211" t="s">
        <v>693</v>
      </c>
      <c r="M4211" t="s">
        <v>707</v>
      </c>
      <c r="N4211">
        <v>655307.99475800002</v>
      </c>
      <c r="O4211">
        <v>35085190.039343297</v>
      </c>
      <c r="P4211" t="str">
        <f>IF(T[[#This Row],[qty_ordered]]&lt;&gt;T[[#This Row],[qty_received]],IF(T[[#This Row],[qty_received]]&gt;0,"Partial Received","Not Receviced"),"FullyReceived")</f>
        <v>Partial Received</v>
      </c>
      <c r="Q4211" t="str">
        <f>IF(T[[#This Row],[qty_received]]&lt;&gt;T[[#This Row],[qty_invoiced]],IF(T[[#This Row],[qty_invoiced]]&gt;0,"Partial Invoiced","Not Invoiced"),"Fully Invoiced")</f>
        <v>Fully Invoiced</v>
      </c>
      <c r="R4211" t="str">
        <f>IFERROR(VLOOKUP(T[[#This Row],[warehouse]],Table2[],2,FALSE),"--")</f>
        <v>SOPC Sifting &amp; Sorting</v>
      </c>
    </row>
    <row r="4212" spans="1:18" x14ac:dyDescent="0.25">
      <c r="A4212" t="s">
        <v>3307</v>
      </c>
      <c r="B4212" s="1">
        <v>44983</v>
      </c>
      <c r="C4212" t="s">
        <v>3308</v>
      </c>
      <c r="D4212" t="s">
        <v>20</v>
      </c>
      <c r="E4212" t="s">
        <v>51</v>
      </c>
      <c r="F4212" t="s">
        <v>52</v>
      </c>
      <c r="G4212" t="s">
        <v>3309</v>
      </c>
      <c r="H4212" t="s">
        <v>54</v>
      </c>
      <c r="I4212">
        <v>1</v>
      </c>
      <c r="J4212">
        <v>0</v>
      </c>
      <c r="K4212">
        <v>0</v>
      </c>
      <c r="L4212" t="s">
        <v>693</v>
      </c>
      <c r="M4212" t="s">
        <v>132</v>
      </c>
      <c r="N4212">
        <v>24000000</v>
      </c>
      <c r="O4212">
        <v>0</v>
      </c>
      <c r="P4212" t="str">
        <f>IF(T[[#This Row],[qty_ordered]]&lt;&gt;T[[#This Row],[qty_received]],IF(T[[#This Row],[qty_received]]&gt;0,"Partial Received","Not Receviced"),"FullyReceived")</f>
        <v>Not Receviced</v>
      </c>
      <c r="Q4212" t="str">
        <f>IF(T[[#This Row],[qty_received]]&lt;&gt;T[[#This Row],[qty_invoiced]],IF(T[[#This Row],[qty_invoiced]]&gt;0,"Partial Invoiced","Not Invoiced"),"Fully Invoiced")</f>
        <v>Fully Invoiced</v>
      </c>
      <c r="R4212" t="str">
        <f>IFERROR(VLOOKUP(T[[#This Row],[warehouse]],Table2[],2,FALSE),"--")</f>
        <v>--</v>
      </c>
    </row>
    <row r="4213" spans="1:18" x14ac:dyDescent="0.25">
      <c r="A4213" t="s">
        <v>3112</v>
      </c>
      <c r="B4213" s="1">
        <v>44984</v>
      </c>
      <c r="C4213" t="s">
        <v>3310</v>
      </c>
      <c r="D4213" t="s">
        <v>20</v>
      </c>
      <c r="E4213" t="s">
        <v>146</v>
      </c>
      <c r="F4213" t="s">
        <v>147</v>
      </c>
      <c r="G4213" t="s">
        <v>148</v>
      </c>
      <c r="H4213" t="s">
        <v>149</v>
      </c>
      <c r="I4213">
        <v>33000</v>
      </c>
      <c r="J4213">
        <v>33000</v>
      </c>
      <c r="K4213">
        <v>0</v>
      </c>
      <c r="L4213" t="s">
        <v>693</v>
      </c>
      <c r="M4213" t="s">
        <v>1223</v>
      </c>
      <c r="N4213">
        <v>207</v>
      </c>
      <c r="O4213">
        <v>6831000</v>
      </c>
      <c r="P4213" t="str">
        <f>IF(T[[#This Row],[qty_ordered]]&lt;&gt;T[[#This Row],[qty_received]],IF(T[[#This Row],[qty_received]]&gt;0,"Partial Received","Not Receviced"),"FullyReceived")</f>
        <v>FullyReceived</v>
      </c>
      <c r="Q4213" t="str">
        <f>IF(T[[#This Row],[qty_received]]&lt;&gt;T[[#This Row],[qty_invoiced]],IF(T[[#This Row],[qty_invoiced]]&gt;0,"Partial Invoiced","Not Invoiced"),"Fully Invoiced")</f>
        <v>Not Invoiced</v>
      </c>
      <c r="R4213" t="str">
        <f>IFERROR(VLOOKUP(T[[#This Row],[warehouse]],Table2[],2,FALSE),"--")</f>
        <v>Khtoum Main Warehouse</v>
      </c>
    </row>
    <row r="4214" spans="1:18" x14ac:dyDescent="0.25">
      <c r="A4214" t="s">
        <v>423</v>
      </c>
      <c r="B4214" s="1">
        <v>44630</v>
      </c>
      <c r="C4214" t="s">
        <v>1734</v>
      </c>
      <c r="D4214" t="s">
        <v>74</v>
      </c>
      <c r="E4214" t="s">
        <v>146</v>
      </c>
      <c r="F4214" t="s">
        <v>943</v>
      </c>
      <c r="G4214" t="s">
        <v>944</v>
      </c>
      <c r="H4214" t="s">
        <v>149</v>
      </c>
      <c r="I4214">
        <v>86000</v>
      </c>
      <c r="J4214">
        <v>0</v>
      </c>
      <c r="K4214">
        <v>0</v>
      </c>
      <c r="L4214" t="s">
        <v>693</v>
      </c>
      <c r="M4214" t="s">
        <v>1404</v>
      </c>
      <c r="N4214">
        <v>240</v>
      </c>
      <c r="O4214">
        <v>0</v>
      </c>
      <c r="P4214" t="str">
        <f>IF(T[[#This Row],[qty_ordered]]&lt;&gt;T[[#This Row],[qty_received]],IF(T[[#This Row],[qty_received]]&gt;0,"Partial Received","Not Receviced"),"FullyReceived")</f>
        <v>Not Receviced</v>
      </c>
      <c r="Q4214" t="str">
        <f>IF(T[[#This Row],[qty_received]]&lt;&gt;T[[#This Row],[qty_invoiced]],IF(T[[#This Row],[qty_invoiced]]&gt;0,"Partial Invoiced","Not Invoiced"),"Fully Invoiced")</f>
        <v>Fully Invoiced</v>
      </c>
      <c r="R4214" t="str">
        <f>IFERROR(VLOOKUP(T[[#This Row],[warehouse]],Table2[],2,FALSE),"--")</f>
        <v>Khtoum Main Warehouse</v>
      </c>
    </row>
    <row r="4215" spans="1:18" x14ac:dyDescent="0.25">
      <c r="A4215" t="s">
        <v>3057</v>
      </c>
      <c r="B4215" s="1">
        <v>44976</v>
      </c>
      <c r="C4215" t="s">
        <v>3254</v>
      </c>
      <c r="D4215" t="s">
        <v>74</v>
      </c>
      <c r="E4215" t="s">
        <v>51</v>
      </c>
      <c r="F4215" t="s">
        <v>674</v>
      </c>
      <c r="G4215" t="s">
        <v>3070</v>
      </c>
      <c r="H4215" t="s">
        <v>54</v>
      </c>
      <c r="I4215">
        <v>2650.1</v>
      </c>
      <c r="J4215">
        <v>0</v>
      </c>
      <c r="K4215">
        <v>1</v>
      </c>
      <c r="L4215" t="s">
        <v>693</v>
      </c>
      <c r="M4215" t="s">
        <v>2836</v>
      </c>
      <c r="N4215">
        <v>10000</v>
      </c>
      <c r="O4215">
        <v>0</v>
      </c>
      <c r="P4215" t="str">
        <f>IF(T[[#This Row],[qty_ordered]]&lt;&gt;T[[#This Row],[qty_received]],IF(T[[#This Row],[qty_received]]&gt;0,"Partial Received","Not Receviced"),"FullyReceived")</f>
        <v>Not Receviced</v>
      </c>
      <c r="Q4215" t="str">
        <f>IF(T[[#This Row],[qty_received]]&lt;&gt;T[[#This Row],[qty_invoiced]],IF(T[[#This Row],[qty_invoiced]]&gt;0,"Partial Invoiced","Not Invoiced"),"Fully Invoiced")</f>
        <v>Partial Invoiced</v>
      </c>
      <c r="R4215" t="str">
        <f>IFERROR(VLOOKUP(T[[#This Row],[warehouse]],Table2[],2,FALSE),"--")</f>
        <v>--</v>
      </c>
    </row>
    <row r="4216" spans="1:18" x14ac:dyDescent="0.25">
      <c r="A4216" t="s">
        <v>3057</v>
      </c>
      <c r="B4216" s="1">
        <v>44976</v>
      </c>
      <c r="C4216" t="s">
        <v>3254</v>
      </c>
      <c r="D4216" t="s">
        <v>76</v>
      </c>
      <c r="E4216" t="s">
        <v>51</v>
      </c>
      <c r="F4216" t="s">
        <v>278</v>
      </c>
      <c r="G4216" t="s">
        <v>3311</v>
      </c>
      <c r="H4216" t="s">
        <v>54</v>
      </c>
      <c r="I4216">
        <v>2650.1</v>
      </c>
      <c r="J4216">
        <v>0</v>
      </c>
      <c r="K4216">
        <v>1</v>
      </c>
      <c r="L4216" t="s">
        <v>693</v>
      </c>
      <c r="M4216" t="s">
        <v>2836</v>
      </c>
      <c r="N4216">
        <v>40</v>
      </c>
      <c r="O4216">
        <v>0</v>
      </c>
      <c r="P4216" t="str">
        <f>IF(T[[#This Row],[qty_ordered]]&lt;&gt;T[[#This Row],[qty_received]],IF(T[[#This Row],[qty_received]]&gt;0,"Partial Received","Not Receviced"),"FullyReceived")</f>
        <v>Not Receviced</v>
      </c>
      <c r="Q4216" t="str">
        <f>IF(T[[#This Row],[qty_received]]&lt;&gt;T[[#This Row],[qty_invoiced]],IF(T[[#This Row],[qty_invoiced]]&gt;0,"Partial Invoiced","Not Invoiced"),"Fully Invoiced")</f>
        <v>Partial Invoiced</v>
      </c>
      <c r="R4216" t="str">
        <f>IFERROR(VLOOKUP(T[[#This Row],[warehouse]],Table2[],2,FALSE),"--")</f>
        <v>--</v>
      </c>
    </row>
    <row r="4217" spans="1:18" x14ac:dyDescent="0.25">
      <c r="A4217" t="s">
        <v>3057</v>
      </c>
      <c r="B4217" s="1">
        <v>44976</v>
      </c>
      <c r="C4217" t="s">
        <v>3254</v>
      </c>
      <c r="D4217" t="s">
        <v>212</v>
      </c>
      <c r="E4217" t="s">
        <v>51</v>
      </c>
      <c r="F4217" t="s">
        <v>254</v>
      </c>
      <c r="G4217" t="s">
        <v>3312</v>
      </c>
      <c r="H4217" t="s">
        <v>54</v>
      </c>
      <c r="I4217">
        <v>455</v>
      </c>
      <c r="J4217">
        <v>0</v>
      </c>
      <c r="K4217">
        <v>1</v>
      </c>
      <c r="L4217" t="s">
        <v>693</v>
      </c>
      <c r="M4217" t="s">
        <v>2836</v>
      </c>
      <c r="N4217">
        <v>40</v>
      </c>
      <c r="O4217">
        <v>0</v>
      </c>
      <c r="P4217" t="str">
        <f>IF(T[[#This Row],[qty_ordered]]&lt;&gt;T[[#This Row],[qty_received]],IF(T[[#This Row],[qty_received]]&gt;0,"Partial Received","Not Receviced"),"FullyReceived")</f>
        <v>Not Receviced</v>
      </c>
      <c r="Q4217" t="str">
        <f>IF(T[[#This Row],[qty_received]]&lt;&gt;T[[#This Row],[qty_invoiced]],IF(T[[#This Row],[qty_invoiced]]&gt;0,"Partial Invoiced","Not Invoiced"),"Fully Invoiced")</f>
        <v>Partial Invoiced</v>
      </c>
      <c r="R4217" t="str">
        <f>IFERROR(VLOOKUP(T[[#This Row],[warehouse]],Table2[],2,FALSE),"--")</f>
        <v>--</v>
      </c>
    </row>
    <row r="4218" spans="1:18" x14ac:dyDescent="0.25">
      <c r="A4218" t="s">
        <v>3057</v>
      </c>
      <c r="B4218" s="1">
        <v>44976</v>
      </c>
      <c r="C4218" t="s">
        <v>3254</v>
      </c>
      <c r="D4218" t="s">
        <v>322</v>
      </c>
      <c r="E4218" t="s">
        <v>51</v>
      </c>
      <c r="F4218" t="s">
        <v>278</v>
      </c>
      <c r="G4218" t="s">
        <v>3311</v>
      </c>
      <c r="H4218" t="s">
        <v>54</v>
      </c>
      <c r="I4218">
        <v>34</v>
      </c>
      <c r="J4218">
        <v>0</v>
      </c>
      <c r="K4218">
        <v>1</v>
      </c>
      <c r="L4218" t="s">
        <v>693</v>
      </c>
      <c r="M4218" t="s">
        <v>2836</v>
      </c>
      <c r="N4218">
        <v>15000</v>
      </c>
      <c r="O4218">
        <v>0</v>
      </c>
      <c r="P4218" t="str">
        <f>IF(T[[#This Row],[qty_ordered]]&lt;&gt;T[[#This Row],[qty_received]],IF(T[[#This Row],[qty_received]]&gt;0,"Partial Received","Not Receviced"),"FullyReceived")</f>
        <v>Not Receviced</v>
      </c>
      <c r="Q4218" t="str">
        <f>IF(T[[#This Row],[qty_received]]&lt;&gt;T[[#This Row],[qty_invoiced]],IF(T[[#This Row],[qty_invoiced]]&gt;0,"Partial Invoiced","Not Invoiced"),"Fully Invoiced")</f>
        <v>Partial Invoiced</v>
      </c>
      <c r="R4218" t="str">
        <f>IFERROR(VLOOKUP(T[[#This Row],[warehouse]],Table2[],2,FALSE),"--")</f>
        <v>--</v>
      </c>
    </row>
    <row r="4219" spans="1:18" x14ac:dyDescent="0.25">
      <c r="A4219" t="s">
        <v>423</v>
      </c>
      <c r="B4219" s="1">
        <v>44972</v>
      </c>
      <c r="C4219" t="s">
        <v>3278</v>
      </c>
      <c r="D4219" t="s">
        <v>74</v>
      </c>
      <c r="E4219" t="s">
        <v>51</v>
      </c>
      <c r="F4219" t="s">
        <v>546</v>
      </c>
      <c r="G4219" t="s">
        <v>1956</v>
      </c>
      <c r="H4219" t="s">
        <v>54</v>
      </c>
      <c r="I4219">
        <v>10000</v>
      </c>
      <c r="J4219">
        <v>0</v>
      </c>
      <c r="K4219">
        <v>1</v>
      </c>
      <c r="L4219" t="s">
        <v>693</v>
      </c>
      <c r="M4219" t="s">
        <v>2836</v>
      </c>
      <c r="N4219">
        <v>18</v>
      </c>
      <c r="O4219">
        <v>0</v>
      </c>
      <c r="P4219" t="str">
        <f>IF(T[[#This Row],[qty_ordered]]&lt;&gt;T[[#This Row],[qty_received]],IF(T[[#This Row],[qty_received]]&gt;0,"Partial Received","Not Receviced"),"FullyReceived")</f>
        <v>Not Receviced</v>
      </c>
      <c r="Q4219" t="str">
        <f>IF(T[[#This Row],[qty_received]]&lt;&gt;T[[#This Row],[qty_invoiced]],IF(T[[#This Row],[qty_invoiced]]&gt;0,"Partial Invoiced","Not Invoiced"),"Fully Invoiced")</f>
        <v>Partial Invoiced</v>
      </c>
      <c r="R4219" t="str">
        <f>IFERROR(VLOOKUP(T[[#This Row],[warehouse]],Table2[],2,FALSE),"--")</f>
        <v>--</v>
      </c>
    </row>
    <row r="4220" spans="1:18" x14ac:dyDescent="0.25">
      <c r="A4220" t="s">
        <v>423</v>
      </c>
      <c r="B4220" s="1">
        <v>44972</v>
      </c>
      <c r="C4220" t="s">
        <v>3281</v>
      </c>
      <c r="D4220" t="s">
        <v>100</v>
      </c>
      <c r="E4220" t="s">
        <v>51</v>
      </c>
      <c r="F4220" t="s">
        <v>546</v>
      </c>
      <c r="G4220" t="s">
        <v>3313</v>
      </c>
      <c r="H4220" t="s">
        <v>54</v>
      </c>
      <c r="I4220">
        <v>10000</v>
      </c>
      <c r="J4220">
        <v>0</v>
      </c>
      <c r="K4220">
        <v>1</v>
      </c>
      <c r="L4220" t="s">
        <v>693</v>
      </c>
      <c r="M4220" t="s">
        <v>2836</v>
      </c>
      <c r="N4220">
        <v>18</v>
      </c>
      <c r="O4220">
        <v>0</v>
      </c>
      <c r="P4220" t="str">
        <f>IF(T[[#This Row],[qty_ordered]]&lt;&gt;T[[#This Row],[qty_received]],IF(T[[#This Row],[qty_received]]&gt;0,"Partial Received","Not Receviced"),"FullyReceived")</f>
        <v>Not Receviced</v>
      </c>
      <c r="Q4220" t="str">
        <f>IF(T[[#This Row],[qty_received]]&lt;&gt;T[[#This Row],[qty_invoiced]],IF(T[[#This Row],[qty_invoiced]]&gt;0,"Partial Invoiced","Not Invoiced"),"Fully Invoiced")</f>
        <v>Partial Invoiced</v>
      </c>
      <c r="R4220" t="str">
        <f>IFERROR(VLOOKUP(T[[#This Row],[warehouse]],Table2[],2,FALSE),"--")</f>
        <v>--</v>
      </c>
    </row>
    <row r="4221" spans="1:18" x14ac:dyDescent="0.25">
      <c r="A4221" t="s">
        <v>3040</v>
      </c>
      <c r="B4221" s="1">
        <v>44937</v>
      </c>
      <c r="C4221" t="s">
        <v>3041</v>
      </c>
      <c r="D4221" t="s">
        <v>100</v>
      </c>
      <c r="E4221" t="s">
        <v>620</v>
      </c>
      <c r="F4221" t="s">
        <v>196</v>
      </c>
      <c r="G4221" t="s">
        <v>197</v>
      </c>
      <c r="H4221" t="s">
        <v>24</v>
      </c>
      <c r="I4221">
        <v>6200</v>
      </c>
      <c r="J4221">
        <v>0</v>
      </c>
      <c r="K4221">
        <v>0</v>
      </c>
      <c r="L4221" t="s">
        <v>693</v>
      </c>
      <c r="M4221" t="s">
        <v>132</v>
      </c>
      <c r="N4221">
        <v>235600</v>
      </c>
      <c r="O4221">
        <v>0</v>
      </c>
      <c r="P4221" t="str">
        <f>IF(T[[#This Row],[qty_ordered]]&lt;&gt;T[[#This Row],[qty_received]],IF(T[[#This Row],[qty_received]]&gt;0,"Partial Received","Not Receviced"),"FullyReceived")</f>
        <v>Not Receviced</v>
      </c>
      <c r="Q4221" t="str">
        <f>IF(T[[#This Row],[qty_received]]&lt;&gt;T[[#This Row],[qty_invoiced]],IF(T[[#This Row],[qty_invoiced]]&gt;0,"Partial Invoiced","Not Invoiced"),"Fully Invoiced")</f>
        <v>Fully Invoiced</v>
      </c>
      <c r="R4221" t="str">
        <f>IFERROR(VLOOKUP(T[[#This Row],[warehouse]],Table2[],2,FALSE),"--")</f>
        <v>SIFTER METALIC SILO</v>
      </c>
    </row>
    <row r="4222" spans="1:18" x14ac:dyDescent="0.25">
      <c r="A4222" t="s">
        <v>2377</v>
      </c>
      <c r="B4222" s="1">
        <v>44944</v>
      </c>
      <c r="C4222" t="s">
        <v>3055</v>
      </c>
      <c r="D4222" t="s">
        <v>76</v>
      </c>
      <c r="E4222" t="s">
        <v>1220</v>
      </c>
      <c r="F4222" t="s">
        <v>1307</v>
      </c>
      <c r="G4222" t="s">
        <v>1308</v>
      </c>
      <c r="H4222" t="s">
        <v>149</v>
      </c>
      <c r="I4222">
        <v>9260</v>
      </c>
      <c r="J4222">
        <v>2299</v>
      </c>
      <c r="K4222">
        <v>0</v>
      </c>
      <c r="L4222" t="s">
        <v>693</v>
      </c>
      <c r="M4222" t="s">
        <v>1485</v>
      </c>
      <c r="N4222">
        <v>0</v>
      </c>
      <c r="O4222">
        <v>0</v>
      </c>
      <c r="P4222" t="str">
        <f>IF(T[[#This Row],[qty_ordered]]&lt;&gt;T[[#This Row],[qty_received]],IF(T[[#This Row],[qty_received]]&gt;0,"Partial Received","Not Receviced"),"FullyReceived")</f>
        <v>Partial Received</v>
      </c>
      <c r="Q4222" t="str">
        <f>IF(T[[#This Row],[qty_received]]&lt;&gt;T[[#This Row],[qty_invoiced]],IF(T[[#This Row],[qty_invoiced]]&gt;0,"Partial Invoiced","Not Invoiced"),"Fully Invoiced")</f>
        <v>Not Invoiced</v>
      </c>
      <c r="R4222" t="str">
        <f>IFERROR(VLOOKUP(T[[#This Row],[warehouse]],Table2[],2,FALSE),"--")</f>
        <v>Import Virtual Warehouse - PZU</v>
      </c>
    </row>
    <row r="4223" spans="1:18" x14ac:dyDescent="0.25">
      <c r="A4223" t="s">
        <v>2999</v>
      </c>
      <c r="B4223" s="1">
        <v>44992</v>
      </c>
      <c r="C4223" t="s">
        <v>3314</v>
      </c>
      <c r="D4223" t="s">
        <v>20</v>
      </c>
      <c r="E4223" t="s">
        <v>51</v>
      </c>
      <c r="F4223" t="s">
        <v>806</v>
      </c>
      <c r="G4223" t="s">
        <v>806</v>
      </c>
      <c r="H4223" t="s">
        <v>54</v>
      </c>
      <c r="I4223">
        <v>1</v>
      </c>
      <c r="J4223">
        <v>0</v>
      </c>
      <c r="K4223">
        <v>0</v>
      </c>
      <c r="L4223" t="s">
        <v>51</v>
      </c>
      <c r="M4223" t="s">
        <v>51</v>
      </c>
      <c r="N4223">
        <v>3456000</v>
      </c>
      <c r="O4223">
        <v>0</v>
      </c>
      <c r="P4223" t="str">
        <f>IF(T[[#This Row],[qty_ordered]]&lt;&gt;T[[#This Row],[qty_received]],IF(T[[#This Row],[qty_received]]&gt;0,"Partial Received","Not Receviced"),"FullyReceived")</f>
        <v>Not Receviced</v>
      </c>
      <c r="Q4223" t="str">
        <f>IF(T[[#This Row],[qty_received]]&lt;&gt;T[[#This Row],[qty_invoiced]],IF(T[[#This Row],[qty_invoiced]]&gt;0,"Partial Invoiced","Not Invoiced"),"Fully Invoiced")</f>
        <v>Fully Invoiced</v>
      </c>
      <c r="R4223" t="str">
        <f>IFERROR(VLOOKUP(T[[#This Row],[warehouse]],Table2[],2,FALSE),"--")</f>
        <v>--</v>
      </c>
    </row>
    <row r="4224" spans="1:18" x14ac:dyDescent="0.25">
      <c r="A4224" t="s">
        <v>2999</v>
      </c>
      <c r="B4224" s="1">
        <v>44992</v>
      </c>
      <c r="C4224" t="s">
        <v>3315</v>
      </c>
      <c r="D4224" t="s">
        <v>20</v>
      </c>
      <c r="E4224" t="s">
        <v>51</v>
      </c>
      <c r="F4224" t="s">
        <v>806</v>
      </c>
      <c r="G4224" t="s">
        <v>806</v>
      </c>
      <c r="H4224" t="s">
        <v>54</v>
      </c>
      <c r="I4224">
        <v>1</v>
      </c>
      <c r="J4224">
        <v>0</v>
      </c>
      <c r="K4224">
        <v>0</v>
      </c>
      <c r="L4224" t="s">
        <v>51</v>
      </c>
      <c r="M4224" t="s">
        <v>51</v>
      </c>
      <c r="N4224">
        <v>3456000</v>
      </c>
      <c r="O4224">
        <v>0</v>
      </c>
      <c r="P4224" t="str">
        <f>IF(T[[#This Row],[qty_ordered]]&lt;&gt;T[[#This Row],[qty_received]],IF(T[[#This Row],[qty_received]]&gt;0,"Partial Received","Not Receviced"),"FullyReceived")</f>
        <v>Not Receviced</v>
      </c>
      <c r="Q4224" t="str">
        <f>IF(T[[#This Row],[qty_received]]&lt;&gt;T[[#This Row],[qty_invoiced]],IF(T[[#This Row],[qty_invoiced]]&gt;0,"Partial Invoiced","Not Invoiced"),"Fully Invoiced")</f>
        <v>Fully Invoiced</v>
      </c>
      <c r="R4224" t="str">
        <f>IFERROR(VLOOKUP(T[[#This Row],[warehouse]],Table2[],2,FALSE),"--")</f>
        <v>--</v>
      </c>
    </row>
    <row r="4225" spans="1:18" x14ac:dyDescent="0.25">
      <c r="A4225" t="s">
        <v>795</v>
      </c>
      <c r="B4225" s="1">
        <v>44992</v>
      </c>
      <c r="C4225" t="s">
        <v>3316</v>
      </c>
      <c r="D4225" t="s">
        <v>20</v>
      </c>
      <c r="E4225" t="s">
        <v>410</v>
      </c>
      <c r="F4225" t="s">
        <v>1031</v>
      </c>
      <c r="G4225" t="s">
        <v>478</v>
      </c>
      <c r="H4225" t="s">
        <v>24</v>
      </c>
      <c r="I4225">
        <v>100</v>
      </c>
      <c r="J4225">
        <v>0</v>
      </c>
      <c r="K4225">
        <v>0</v>
      </c>
      <c r="L4225" t="s">
        <v>51</v>
      </c>
      <c r="M4225" t="s">
        <v>1485</v>
      </c>
      <c r="N4225">
        <v>460000</v>
      </c>
      <c r="O4225">
        <v>0</v>
      </c>
      <c r="P4225" t="str">
        <f>IF(T[[#This Row],[qty_ordered]]&lt;&gt;T[[#This Row],[qty_received]],IF(T[[#This Row],[qty_received]]&gt;0,"Partial Received","Not Receviced"),"FullyReceived")</f>
        <v>Not Receviced</v>
      </c>
      <c r="Q4225" t="str">
        <f>IF(T[[#This Row],[qty_received]]&lt;&gt;T[[#This Row],[qty_invoiced]],IF(T[[#This Row],[qty_invoiced]]&gt;0,"Partial Invoiced","Not Invoiced"),"Fully Invoiced")</f>
        <v>Fully Invoiced</v>
      </c>
      <c r="R4225" t="str">
        <f>IFERROR(VLOOKUP(T[[#This Row],[warehouse]],Table2[],2,FALSE),"--")</f>
        <v>SFITER GUM Masaaie</v>
      </c>
    </row>
    <row r="4226" spans="1:18" x14ac:dyDescent="0.25">
      <c r="A4226" t="s">
        <v>228</v>
      </c>
      <c r="B4226" s="1">
        <v>44992</v>
      </c>
      <c r="C4226" t="s">
        <v>3317</v>
      </c>
      <c r="D4226" t="s">
        <v>20</v>
      </c>
      <c r="E4226" t="s">
        <v>239</v>
      </c>
      <c r="F4226" t="s">
        <v>230</v>
      </c>
      <c r="G4226" t="s">
        <v>231</v>
      </c>
      <c r="H4226" t="s">
        <v>24</v>
      </c>
      <c r="I4226">
        <v>500</v>
      </c>
      <c r="J4226">
        <v>315.55</v>
      </c>
      <c r="K4226">
        <v>315.55</v>
      </c>
      <c r="L4226" t="s">
        <v>693</v>
      </c>
      <c r="M4226" t="s">
        <v>1485</v>
      </c>
      <c r="N4226">
        <v>1090250</v>
      </c>
      <c r="O4226">
        <v>344028387.5</v>
      </c>
      <c r="P4226" t="str">
        <f>IF(T[[#This Row],[qty_ordered]]&lt;&gt;T[[#This Row],[qty_received]],IF(T[[#This Row],[qty_received]]&gt;0,"Partial Received","Not Receviced"),"FullyReceived")</f>
        <v>Partial Received</v>
      </c>
      <c r="Q4226" t="str">
        <f>IF(T[[#This Row],[qty_received]]&lt;&gt;T[[#This Row],[qty_invoiced]],IF(T[[#This Row],[qty_invoiced]]&gt;0,"Partial Invoiced","Not Invoiced"),"Fully Invoiced")</f>
        <v>Fully Invoiced</v>
      </c>
      <c r="R4226" t="str">
        <f>IFERROR(VLOOKUP(T[[#This Row],[warehouse]],Table2[],2,FALSE),"--")</f>
        <v xml:space="preserve">Gadarif Main Store </v>
      </c>
    </row>
    <row r="4227" spans="1:18" x14ac:dyDescent="0.25">
      <c r="A4227" t="s">
        <v>560</v>
      </c>
      <c r="B4227" s="1">
        <v>44935</v>
      </c>
      <c r="C4227" t="s">
        <v>3089</v>
      </c>
      <c r="D4227" t="s">
        <v>322</v>
      </c>
      <c r="E4227" t="s">
        <v>51</v>
      </c>
      <c r="F4227" t="s">
        <v>2842</v>
      </c>
      <c r="G4227" t="s">
        <v>3090</v>
      </c>
      <c r="H4227" t="s">
        <v>54</v>
      </c>
      <c r="I4227">
        <v>31.75</v>
      </c>
      <c r="J4227">
        <v>0</v>
      </c>
      <c r="K4227">
        <v>0</v>
      </c>
      <c r="L4227" t="s">
        <v>693</v>
      </c>
      <c r="M4227" t="s">
        <v>2836</v>
      </c>
      <c r="N4227">
        <v>12285</v>
      </c>
      <c r="O4227">
        <v>0</v>
      </c>
      <c r="P4227" t="str">
        <f>IF(T[[#This Row],[qty_ordered]]&lt;&gt;T[[#This Row],[qty_received]],IF(T[[#This Row],[qty_received]]&gt;0,"Partial Received","Not Receviced"),"FullyReceived")</f>
        <v>Not Receviced</v>
      </c>
      <c r="Q4227" t="str">
        <f>IF(T[[#This Row],[qty_received]]&lt;&gt;T[[#This Row],[qty_invoiced]],IF(T[[#This Row],[qty_invoiced]]&gt;0,"Partial Invoiced","Not Invoiced"),"Fully Invoiced")</f>
        <v>Fully Invoiced</v>
      </c>
      <c r="R4227" t="str">
        <f>IFERROR(VLOOKUP(T[[#This Row],[warehouse]],Table2[],2,FALSE),"--")</f>
        <v>--</v>
      </c>
    </row>
    <row r="4228" spans="1:18" x14ac:dyDescent="0.25">
      <c r="A4228" t="s">
        <v>560</v>
      </c>
      <c r="B4228" s="1">
        <v>44935</v>
      </c>
      <c r="C4228" t="s">
        <v>3089</v>
      </c>
      <c r="D4228" t="s">
        <v>323</v>
      </c>
      <c r="E4228" t="s">
        <v>51</v>
      </c>
      <c r="F4228" t="s">
        <v>2842</v>
      </c>
      <c r="G4228" t="s">
        <v>3090</v>
      </c>
      <c r="H4228" t="s">
        <v>54</v>
      </c>
      <c r="I4228">
        <v>27.5</v>
      </c>
      <c r="J4228">
        <v>0</v>
      </c>
      <c r="K4228">
        <v>0</v>
      </c>
      <c r="L4228" t="s">
        <v>693</v>
      </c>
      <c r="M4228" t="s">
        <v>2836</v>
      </c>
      <c r="N4228">
        <v>12285</v>
      </c>
      <c r="O4228">
        <v>0</v>
      </c>
      <c r="P4228" t="str">
        <f>IF(T[[#This Row],[qty_ordered]]&lt;&gt;T[[#This Row],[qty_received]],IF(T[[#This Row],[qty_received]]&gt;0,"Partial Received","Not Receviced"),"FullyReceived")</f>
        <v>Not Receviced</v>
      </c>
      <c r="Q4228" t="str">
        <f>IF(T[[#This Row],[qty_received]]&lt;&gt;T[[#This Row],[qty_invoiced]],IF(T[[#This Row],[qty_invoiced]]&gt;0,"Partial Invoiced","Not Invoiced"),"Fully Invoiced")</f>
        <v>Fully Invoiced</v>
      </c>
      <c r="R4228" t="str">
        <f>IFERROR(VLOOKUP(T[[#This Row],[warehouse]],Table2[],2,FALSE),"--")</f>
        <v>--</v>
      </c>
    </row>
    <row r="4229" spans="1:18" x14ac:dyDescent="0.25">
      <c r="A4229" t="s">
        <v>560</v>
      </c>
      <c r="B4229" s="1">
        <v>44935</v>
      </c>
      <c r="C4229" t="s">
        <v>3178</v>
      </c>
      <c r="D4229" t="s">
        <v>100</v>
      </c>
      <c r="E4229" t="s">
        <v>51</v>
      </c>
      <c r="F4229" t="s">
        <v>2842</v>
      </c>
      <c r="G4229" t="s">
        <v>3318</v>
      </c>
      <c r="H4229" t="s">
        <v>54</v>
      </c>
      <c r="I4229">
        <v>29.25</v>
      </c>
      <c r="J4229">
        <v>0</v>
      </c>
      <c r="K4229">
        <v>0</v>
      </c>
      <c r="L4229" t="s">
        <v>693</v>
      </c>
      <c r="M4229" t="s">
        <v>2836</v>
      </c>
      <c r="N4229">
        <v>12285</v>
      </c>
      <c r="O4229">
        <v>0</v>
      </c>
      <c r="P4229" t="str">
        <f>IF(T[[#This Row],[qty_ordered]]&lt;&gt;T[[#This Row],[qty_received]],IF(T[[#This Row],[qty_received]]&gt;0,"Partial Received","Not Receviced"),"FullyReceived")</f>
        <v>Not Receviced</v>
      </c>
      <c r="Q4229" t="str">
        <f>IF(T[[#This Row],[qty_received]]&lt;&gt;T[[#This Row],[qty_invoiced]],IF(T[[#This Row],[qty_invoiced]]&gt;0,"Partial Invoiced","Not Invoiced"),"Fully Invoiced")</f>
        <v>Fully Invoiced</v>
      </c>
      <c r="R4229" t="str">
        <f>IFERROR(VLOOKUP(T[[#This Row],[warehouse]],Table2[],2,FALSE),"--")</f>
        <v>--</v>
      </c>
    </row>
    <row r="4230" spans="1:18" x14ac:dyDescent="0.25">
      <c r="A4230" t="s">
        <v>560</v>
      </c>
      <c r="B4230" s="1">
        <v>44902</v>
      </c>
      <c r="C4230" t="s">
        <v>2933</v>
      </c>
      <c r="D4230" t="s">
        <v>212</v>
      </c>
      <c r="E4230" t="s">
        <v>51</v>
      </c>
      <c r="F4230" t="s">
        <v>2842</v>
      </c>
      <c r="G4230" t="s">
        <v>3319</v>
      </c>
      <c r="H4230" t="s">
        <v>54</v>
      </c>
      <c r="I4230">
        <v>24</v>
      </c>
      <c r="J4230">
        <v>0</v>
      </c>
      <c r="K4230">
        <v>0</v>
      </c>
      <c r="L4230" t="s">
        <v>693</v>
      </c>
      <c r="M4230" t="s">
        <v>2836</v>
      </c>
      <c r="N4230">
        <v>12285</v>
      </c>
      <c r="O4230">
        <v>0</v>
      </c>
      <c r="P4230" t="str">
        <f>IF(T[[#This Row],[qty_ordered]]&lt;&gt;T[[#This Row],[qty_received]],IF(T[[#This Row],[qty_received]]&gt;0,"Partial Received","Not Receviced"),"FullyReceived")</f>
        <v>Not Receviced</v>
      </c>
      <c r="Q4230" t="str">
        <f>IF(T[[#This Row],[qty_received]]&lt;&gt;T[[#This Row],[qty_invoiced]],IF(T[[#This Row],[qty_invoiced]]&gt;0,"Partial Invoiced","Not Invoiced"),"Fully Invoiced")</f>
        <v>Fully Invoiced</v>
      </c>
      <c r="R4230" t="str">
        <f>IFERROR(VLOOKUP(T[[#This Row],[warehouse]],Table2[],2,FALSE),"--")</f>
        <v>--</v>
      </c>
    </row>
    <row r="4231" spans="1:18" x14ac:dyDescent="0.25">
      <c r="A4231" t="s">
        <v>560</v>
      </c>
      <c r="B4231" s="1">
        <v>44902</v>
      </c>
      <c r="C4231" t="s">
        <v>2933</v>
      </c>
      <c r="D4231" t="s">
        <v>322</v>
      </c>
      <c r="E4231" t="s">
        <v>51</v>
      </c>
      <c r="F4231" t="s">
        <v>2842</v>
      </c>
      <c r="G4231" t="s">
        <v>3320</v>
      </c>
      <c r="H4231" t="s">
        <v>54</v>
      </c>
      <c r="I4231">
        <v>13</v>
      </c>
      <c r="J4231">
        <v>0</v>
      </c>
      <c r="K4231">
        <v>0</v>
      </c>
      <c r="L4231" t="s">
        <v>693</v>
      </c>
      <c r="M4231" t="s">
        <v>2836</v>
      </c>
      <c r="N4231">
        <v>12285</v>
      </c>
      <c r="O4231">
        <v>0</v>
      </c>
      <c r="P4231" t="str">
        <f>IF(T[[#This Row],[qty_ordered]]&lt;&gt;T[[#This Row],[qty_received]],IF(T[[#This Row],[qty_received]]&gt;0,"Partial Received","Not Receviced"),"FullyReceived")</f>
        <v>Not Receviced</v>
      </c>
      <c r="Q4231" t="str">
        <f>IF(T[[#This Row],[qty_received]]&lt;&gt;T[[#This Row],[qty_invoiced]],IF(T[[#This Row],[qty_invoiced]]&gt;0,"Partial Invoiced","Not Invoiced"),"Fully Invoiced")</f>
        <v>Fully Invoiced</v>
      </c>
      <c r="R4231" t="str">
        <f>IFERROR(VLOOKUP(T[[#This Row],[warehouse]],Table2[],2,FALSE),"--")</f>
        <v>--</v>
      </c>
    </row>
    <row r="4232" spans="1:18" x14ac:dyDescent="0.25">
      <c r="A4232" t="s">
        <v>560</v>
      </c>
      <c r="B4232" s="1">
        <v>44902</v>
      </c>
      <c r="C4232" t="s">
        <v>2933</v>
      </c>
      <c r="D4232" t="s">
        <v>323</v>
      </c>
      <c r="E4232" t="s">
        <v>51</v>
      </c>
      <c r="F4232" t="s">
        <v>2842</v>
      </c>
      <c r="G4232" t="s">
        <v>3320</v>
      </c>
      <c r="H4232" t="s">
        <v>54</v>
      </c>
      <c r="I4232">
        <v>8.6300000000000008</v>
      </c>
      <c r="J4232">
        <v>0</v>
      </c>
      <c r="K4232">
        <v>0</v>
      </c>
      <c r="L4232" t="s">
        <v>693</v>
      </c>
      <c r="M4232" t="s">
        <v>2836</v>
      </c>
      <c r="N4232">
        <v>12285</v>
      </c>
      <c r="O4232">
        <v>0</v>
      </c>
      <c r="P4232" t="str">
        <f>IF(T[[#This Row],[qty_ordered]]&lt;&gt;T[[#This Row],[qty_received]],IF(T[[#This Row],[qty_received]]&gt;0,"Partial Received","Not Receviced"),"FullyReceived")</f>
        <v>Not Receviced</v>
      </c>
      <c r="Q4232" t="str">
        <f>IF(T[[#This Row],[qty_received]]&lt;&gt;T[[#This Row],[qty_invoiced]],IF(T[[#This Row],[qty_invoiced]]&gt;0,"Partial Invoiced","Not Invoiced"),"Fully Invoiced")</f>
        <v>Fully Invoiced</v>
      </c>
      <c r="R4232" t="str">
        <f>IFERROR(VLOOKUP(T[[#This Row],[warehouse]],Table2[],2,FALSE),"--")</f>
        <v>--</v>
      </c>
    </row>
    <row r="4233" spans="1:18" x14ac:dyDescent="0.25">
      <c r="A4233" t="s">
        <v>989</v>
      </c>
      <c r="B4233" s="1">
        <v>44879</v>
      </c>
      <c r="C4233" t="s">
        <v>2590</v>
      </c>
      <c r="D4233" t="s">
        <v>74</v>
      </c>
      <c r="E4233" t="s">
        <v>51</v>
      </c>
      <c r="F4233" t="s">
        <v>183</v>
      </c>
      <c r="G4233" t="s">
        <v>1511</v>
      </c>
      <c r="H4233" t="s">
        <v>54</v>
      </c>
      <c r="I4233">
        <v>250</v>
      </c>
      <c r="J4233">
        <v>0</v>
      </c>
      <c r="K4233">
        <v>1</v>
      </c>
      <c r="L4233" t="s">
        <v>693</v>
      </c>
      <c r="M4233" t="s">
        <v>2836</v>
      </c>
      <c r="N4233">
        <v>13000</v>
      </c>
      <c r="O4233">
        <v>0</v>
      </c>
      <c r="P4233" t="str">
        <f>IF(T[[#This Row],[qty_ordered]]&lt;&gt;T[[#This Row],[qty_received]],IF(T[[#This Row],[qty_received]]&gt;0,"Partial Received","Not Receviced"),"FullyReceived")</f>
        <v>Not Receviced</v>
      </c>
      <c r="Q4233" t="str">
        <f>IF(T[[#This Row],[qty_received]]&lt;&gt;T[[#This Row],[qty_invoiced]],IF(T[[#This Row],[qty_invoiced]]&gt;0,"Partial Invoiced","Not Invoiced"),"Fully Invoiced")</f>
        <v>Partial Invoiced</v>
      </c>
      <c r="R4233" t="str">
        <f>IFERROR(VLOOKUP(T[[#This Row],[warehouse]],Table2[],2,FALSE),"--")</f>
        <v>--</v>
      </c>
    </row>
    <row r="4234" spans="1:18" x14ac:dyDescent="0.25">
      <c r="A4234" t="s">
        <v>224</v>
      </c>
      <c r="B4234" s="1">
        <v>44941</v>
      </c>
      <c r="C4234" t="s">
        <v>3052</v>
      </c>
      <c r="D4234" t="s">
        <v>100</v>
      </c>
      <c r="E4234" t="s">
        <v>51</v>
      </c>
      <c r="F4234" t="s">
        <v>183</v>
      </c>
      <c r="G4234" t="s">
        <v>1968</v>
      </c>
      <c r="H4234" t="s">
        <v>54</v>
      </c>
      <c r="I4234">
        <v>500</v>
      </c>
      <c r="J4234">
        <v>0</v>
      </c>
      <c r="K4234">
        <v>1</v>
      </c>
      <c r="L4234" t="s">
        <v>693</v>
      </c>
      <c r="M4234" t="s">
        <v>51</v>
      </c>
      <c r="N4234">
        <v>13000</v>
      </c>
      <c r="O4234">
        <v>0</v>
      </c>
      <c r="P4234" t="str">
        <f>IF(T[[#This Row],[qty_ordered]]&lt;&gt;T[[#This Row],[qty_received]],IF(T[[#This Row],[qty_received]]&gt;0,"Partial Received","Not Receviced"),"FullyReceived")</f>
        <v>Not Receviced</v>
      </c>
      <c r="Q4234" t="str">
        <f>IF(T[[#This Row],[qty_received]]&lt;&gt;T[[#This Row],[qty_invoiced]],IF(T[[#This Row],[qty_invoiced]]&gt;0,"Partial Invoiced","Not Invoiced"),"Fully Invoiced")</f>
        <v>Partial Invoiced</v>
      </c>
      <c r="R4234" t="str">
        <f>IFERROR(VLOOKUP(T[[#This Row],[warehouse]],Table2[],2,FALSE),"--")</f>
        <v>--</v>
      </c>
    </row>
    <row r="4235" spans="1:18" x14ac:dyDescent="0.25">
      <c r="A4235" t="s">
        <v>560</v>
      </c>
      <c r="B4235" s="1">
        <v>44993</v>
      </c>
      <c r="C4235" t="s">
        <v>3182</v>
      </c>
      <c r="D4235" t="s">
        <v>20</v>
      </c>
      <c r="E4235" t="s">
        <v>51</v>
      </c>
      <c r="F4235" t="s">
        <v>2842</v>
      </c>
      <c r="G4235" t="s">
        <v>3321</v>
      </c>
      <c r="H4235" t="s">
        <v>54</v>
      </c>
      <c r="I4235">
        <v>21.38</v>
      </c>
      <c r="J4235">
        <v>0</v>
      </c>
      <c r="K4235">
        <v>0</v>
      </c>
      <c r="L4235" t="s">
        <v>693</v>
      </c>
      <c r="M4235" t="s">
        <v>2836</v>
      </c>
      <c r="N4235">
        <v>12285</v>
      </c>
      <c r="O4235">
        <v>0</v>
      </c>
      <c r="P4235" t="str">
        <f>IF(T[[#This Row],[qty_ordered]]&lt;&gt;T[[#This Row],[qty_received]],IF(T[[#This Row],[qty_received]]&gt;0,"Partial Received","Not Receviced"),"FullyReceived")</f>
        <v>Not Receviced</v>
      </c>
      <c r="Q4235" t="str">
        <f>IF(T[[#This Row],[qty_received]]&lt;&gt;T[[#This Row],[qty_invoiced]],IF(T[[#This Row],[qty_invoiced]]&gt;0,"Partial Invoiced","Not Invoiced"),"Fully Invoiced")</f>
        <v>Fully Invoiced</v>
      </c>
      <c r="R4235" t="str">
        <f>IFERROR(VLOOKUP(T[[#This Row],[warehouse]],Table2[],2,FALSE),"--")</f>
        <v>--</v>
      </c>
    </row>
    <row r="4236" spans="1:18" x14ac:dyDescent="0.25">
      <c r="A4236" t="s">
        <v>560</v>
      </c>
      <c r="B4236" s="1">
        <v>44902</v>
      </c>
      <c r="C4236" t="s">
        <v>2937</v>
      </c>
      <c r="D4236" t="s">
        <v>88</v>
      </c>
      <c r="E4236" t="s">
        <v>51</v>
      </c>
      <c r="F4236" t="s">
        <v>2842</v>
      </c>
      <c r="G4236" t="s">
        <v>3322</v>
      </c>
      <c r="H4236" t="s">
        <v>54</v>
      </c>
      <c r="I4236">
        <v>24</v>
      </c>
      <c r="J4236">
        <v>0</v>
      </c>
      <c r="K4236">
        <v>0</v>
      </c>
      <c r="L4236" t="s">
        <v>693</v>
      </c>
      <c r="M4236" t="s">
        <v>2836</v>
      </c>
      <c r="N4236">
        <v>12285</v>
      </c>
      <c r="O4236">
        <v>0</v>
      </c>
      <c r="P4236" t="str">
        <f>IF(T[[#This Row],[qty_ordered]]&lt;&gt;T[[#This Row],[qty_received]],IF(T[[#This Row],[qty_received]]&gt;0,"Partial Received","Not Receviced"),"FullyReceived")</f>
        <v>Not Receviced</v>
      </c>
      <c r="Q4236" t="str">
        <f>IF(T[[#This Row],[qty_received]]&lt;&gt;T[[#This Row],[qty_invoiced]],IF(T[[#This Row],[qty_invoiced]]&gt;0,"Partial Invoiced","Not Invoiced"),"Fully Invoiced")</f>
        <v>Fully Invoiced</v>
      </c>
      <c r="R4236" t="str">
        <f>IFERROR(VLOOKUP(T[[#This Row],[warehouse]],Table2[],2,FALSE),"--")</f>
        <v>--</v>
      </c>
    </row>
    <row r="4237" spans="1:18" x14ac:dyDescent="0.25">
      <c r="A4237" t="s">
        <v>560</v>
      </c>
      <c r="B4237" s="1">
        <v>44935</v>
      </c>
      <c r="C4237" t="s">
        <v>3076</v>
      </c>
      <c r="D4237" t="s">
        <v>324</v>
      </c>
      <c r="E4237" t="s">
        <v>51</v>
      </c>
      <c r="F4237" t="s">
        <v>2842</v>
      </c>
      <c r="G4237" t="s">
        <v>3077</v>
      </c>
      <c r="H4237" t="s">
        <v>54</v>
      </c>
      <c r="I4237">
        <v>15</v>
      </c>
      <c r="J4237">
        <v>0</v>
      </c>
      <c r="K4237">
        <v>0</v>
      </c>
      <c r="L4237" t="s">
        <v>693</v>
      </c>
      <c r="M4237" t="s">
        <v>2836</v>
      </c>
      <c r="N4237">
        <v>12285</v>
      </c>
      <c r="O4237">
        <v>0</v>
      </c>
      <c r="P4237" t="str">
        <f>IF(T[[#This Row],[qty_ordered]]&lt;&gt;T[[#This Row],[qty_received]],IF(T[[#This Row],[qty_received]]&gt;0,"Partial Received","Not Receviced"),"FullyReceived")</f>
        <v>Not Receviced</v>
      </c>
      <c r="Q4237" t="str">
        <f>IF(T[[#This Row],[qty_received]]&lt;&gt;T[[#This Row],[qty_invoiced]],IF(T[[#This Row],[qty_invoiced]]&gt;0,"Partial Invoiced","Not Invoiced"),"Fully Invoiced")</f>
        <v>Fully Invoiced</v>
      </c>
      <c r="R4237" t="str">
        <f>IFERROR(VLOOKUP(T[[#This Row],[warehouse]],Table2[],2,FALSE),"--")</f>
        <v>--</v>
      </c>
    </row>
    <row r="4238" spans="1:18" x14ac:dyDescent="0.25">
      <c r="A4238" t="s">
        <v>560</v>
      </c>
      <c r="B4238" s="1">
        <v>44935</v>
      </c>
      <c r="C4238" t="s">
        <v>3076</v>
      </c>
      <c r="D4238" t="s">
        <v>325</v>
      </c>
      <c r="E4238" t="s">
        <v>51</v>
      </c>
      <c r="F4238" t="s">
        <v>2842</v>
      </c>
      <c r="G4238" t="s">
        <v>3077</v>
      </c>
      <c r="H4238" t="s">
        <v>54</v>
      </c>
      <c r="I4238">
        <v>27</v>
      </c>
      <c r="J4238">
        <v>0</v>
      </c>
      <c r="K4238">
        <v>0</v>
      </c>
      <c r="L4238" t="s">
        <v>693</v>
      </c>
      <c r="M4238" t="s">
        <v>2836</v>
      </c>
      <c r="N4238">
        <v>12285</v>
      </c>
      <c r="O4238">
        <v>0</v>
      </c>
      <c r="P4238" t="str">
        <f>IF(T[[#This Row],[qty_ordered]]&lt;&gt;T[[#This Row],[qty_received]],IF(T[[#This Row],[qty_received]]&gt;0,"Partial Received","Not Receviced"),"FullyReceived")</f>
        <v>Not Receviced</v>
      </c>
      <c r="Q4238" t="str">
        <f>IF(T[[#This Row],[qty_received]]&lt;&gt;T[[#This Row],[qty_invoiced]],IF(T[[#This Row],[qty_invoiced]]&gt;0,"Partial Invoiced","Not Invoiced"),"Fully Invoiced")</f>
        <v>Fully Invoiced</v>
      </c>
      <c r="R4238" t="str">
        <f>IFERROR(VLOOKUP(T[[#This Row],[warehouse]],Table2[],2,FALSE),"--")</f>
        <v>--</v>
      </c>
    </row>
    <row r="4239" spans="1:18" x14ac:dyDescent="0.25">
      <c r="A4239" t="s">
        <v>560</v>
      </c>
      <c r="B4239" s="1">
        <v>44935</v>
      </c>
      <c r="C4239" t="s">
        <v>3076</v>
      </c>
      <c r="D4239" t="s">
        <v>452</v>
      </c>
      <c r="E4239" t="s">
        <v>51</v>
      </c>
      <c r="F4239" t="s">
        <v>2842</v>
      </c>
      <c r="G4239" t="s">
        <v>3323</v>
      </c>
      <c r="H4239" t="s">
        <v>54</v>
      </c>
      <c r="I4239">
        <v>20.88</v>
      </c>
      <c r="J4239">
        <v>0</v>
      </c>
      <c r="K4239">
        <v>0</v>
      </c>
      <c r="L4239" t="s">
        <v>693</v>
      </c>
      <c r="M4239" t="s">
        <v>2836</v>
      </c>
      <c r="N4239">
        <v>12285</v>
      </c>
      <c r="O4239">
        <v>0</v>
      </c>
      <c r="P4239" t="str">
        <f>IF(T[[#This Row],[qty_ordered]]&lt;&gt;T[[#This Row],[qty_received]],IF(T[[#This Row],[qty_received]]&gt;0,"Partial Received","Not Receviced"),"FullyReceived")</f>
        <v>Not Receviced</v>
      </c>
      <c r="Q4239" t="str">
        <f>IF(T[[#This Row],[qty_received]]&lt;&gt;T[[#This Row],[qty_invoiced]],IF(T[[#This Row],[qty_invoiced]]&gt;0,"Partial Invoiced","Not Invoiced"),"Fully Invoiced")</f>
        <v>Fully Invoiced</v>
      </c>
      <c r="R4239" t="str">
        <f>IFERROR(VLOOKUP(T[[#This Row],[warehouse]],Table2[],2,FALSE),"--")</f>
        <v>--</v>
      </c>
    </row>
    <row r="4240" spans="1:18" x14ac:dyDescent="0.25">
      <c r="A4240" t="s">
        <v>560</v>
      </c>
      <c r="B4240" s="1">
        <v>44935</v>
      </c>
      <c r="C4240" t="s">
        <v>3076</v>
      </c>
      <c r="D4240" t="s">
        <v>614</v>
      </c>
      <c r="E4240" t="s">
        <v>51</v>
      </c>
      <c r="F4240" t="s">
        <v>2842</v>
      </c>
      <c r="G4240" t="s">
        <v>3323</v>
      </c>
      <c r="H4240" t="s">
        <v>54</v>
      </c>
      <c r="I4240">
        <v>24</v>
      </c>
      <c r="J4240">
        <v>0</v>
      </c>
      <c r="K4240">
        <v>0</v>
      </c>
      <c r="L4240" t="s">
        <v>693</v>
      </c>
      <c r="M4240" t="s">
        <v>2836</v>
      </c>
      <c r="N4240">
        <v>12285</v>
      </c>
      <c r="O4240">
        <v>0</v>
      </c>
      <c r="P4240" t="str">
        <f>IF(T[[#This Row],[qty_ordered]]&lt;&gt;T[[#This Row],[qty_received]],IF(T[[#This Row],[qty_received]]&gt;0,"Partial Received","Not Receviced"),"FullyReceived")</f>
        <v>Not Receviced</v>
      </c>
      <c r="Q4240" t="str">
        <f>IF(T[[#This Row],[qty_received]]&lt;&gt;T[[#This Row],[qty_invoiced]],IF(T[[#This Row],[qty_invoiced]]&gt;0,"Partial Invoiced","Not Invoiced"),"Fully Invoiced")</f>
        <v>Fully Invoiced</v>
      </c>
      <c r="R4240" t="str">
        <f>IFERROR(VLOOKUP(T[[#This Row],[warehouse]],Table2[],2,FALSE),"--")</f>
        <v>--</v>
      </c>
    </row>
    <row r="4241" spans="1:18" x14ac:dyDescent="0.25">
      <c r="A4241" t="s">
        <v>560</v>
      </c>
      <c r="B4241" s="1">
        <v>44935</v>
      </c>
      <c r="C4241" t="s">
        <v>3169</v>
      </c>
      <c r="D4241" t="s">
        <v>74</v>
      </c>
      <c r="E4241" t="s">
        <v>51</v>
      </c>
      <c r="F4241" t="s">
        <v>2842</v>
      </c>
      <c r="G4241" t="s">
        <v>3324</v>
      </c>
      <c r="H4241" t="s">
        <v>54</v>
      </c>
      <c r="I4241">
        <v>29.38</v>
      </c>
      <c r="J4241">
        <v>0</v>
      </c>
      <c r="K4241">
        <v>0</v>
      </c>
      <c r="L4241" t="s">
        <v>693</v>
      </c>
      <c r="M4241" t="s">
        <v>2836</v>
      </c>
      <c r="N4241">
        <v>12285</v>
      </c>
      <c r="O4241">
        <v>0</v>
      </c>
      <c r="P4241" t="str">
        <f>IF(T[[#This Row],[qty_ordered]]&lt;&gt;T[[#This Row],[qty_received]],IF(T[[#This Row],[qty_received]]&gt;0,"Partial Received","Not Receviced"),"FullyReceived")</f>
        <v>Not Receviced</v>
      </c>
      <c r="Q4241" t="str">
        <f>IF(T[[#This Row],[qty_received]]&lt;&gt;T[[#This Row],[qty_invoiced]],IF(T[[#This Row],[qty_invoiced]]&gt;0,"Partial Invoiced","Not Invoiced"),"Fully Invoiced")</f>
        <v>Fully Invoiced</v>
      </c>
      <c r="R4241" t="str">
        <f>IFERROR(VLOOKUP(T[[#This Row],[warehouse]],Table2[],2,FALSE),"--")</f>
        <v>--</v>
      </c>
    </row>
    <row r="4242" spans="1:18" x14ac:dyDescent="0.25">
      <c r="A4242" t="s">
        <v>560</v>
      </c>
      <c r="B4242" s="1">
        <v>44993</v>
      </c>
      <c r="C4242" t="s">
        <v>3171</v>
      </c>
      <c r="D4242" t="s">
        <v>20</v>
      </c>
      <c r="E4242" t="s">
        <v>51</v>
      </c>
      <c r="F4242" t="s">
        <v>2842</v>
      </c>
      <c r="G4242" t="s">
        <v>3325</v>
      </c>
      <c r="H4242" t="s">
        <v>54</v>
      </c>
      <c r="I4242">
        <v>24.88</v>
      </c>
      <c r="J4242">
        <v>0</v>
      </c>
      <c r="K4242">
        <v>0</v>
      </c>
      <c r="L4242" t="s">
        <v>693</v>
      </c>
      <c r="M4242" t="s">
        <v>2836</v>
      </c>
      <c r="N4242">
        <v>12285</v>
      </c>
      <c r="O4242">
        <v>0</v>
      </c>
      <c r="P4242" t="str">
        <f>IF(T[[#This Row],[qty_ordered]]&lt;&gt;T[[#This Row],[qty_received]],IF(T[[#This Row],[qty_received]]&gt;0,"Partial Received","Not Receviced"),"FullyReceived")</f>
        <v>Not Receviced</v>
      </c>
      <c r="Q4242" t="str">
        <f>IF(T[[#This Row],[qty_received]]&lt;&gt;T[[#This Row],[qty_invoiced]],IF(T[[#This Row],[qty_invoiced]]&gt;0,"Partial Invoiced","Not Invoiced"),"Fully Invoiced")</f>
        <v>Fully Invoiced</v>
      </c>
      <c r="R4242" t="str">
        <f>IFERROR(VLOOKUP(T[[#This Row],[warehouse]],Table2[],2,FALSE),"--")</f>
        <v>--</v>
      </c>
    </row>
    <row r="4243" spans="1:18" x14ac:dyDescent="0.25">
      <c r="A4243" t="s">
        <v>560</v>
      </c>
      <c r="B4243" s="1">
        <v>44993</v>
      </c>
      <c r="C4243" t="s">
        <v>3171</v>
      </c>
      <c r="D4243" t="s">
        <v>71</v>
      </c>
      <c r="E4243" t="s">
        <v>51</v>
      </c>
      <c r="F4243" t="s">
        <v>2842</v>
      </c>
      <c r="G4243" t="s">
        <v>3325</v>
      </c>
      <c r="H4243" t="s">
        <v>54</v>
      </c>
      <c r="I4243">
        <v>17</v>
      </c>
      <c r="J4243">
        <v>0</v>
      </c>
      <c r="K4243">
        <v>0</v>
      </c>
      <c r="L4243" t="s">
        <v>693</v>
      </c>
      <c r="M4243" t="s">
        <v>2836</v>
      </c>
      <c r="N4243">
        <v>12285</v>
      </c>
      <c r="O4243">
        <v>0</v>
      </c>
      <c r="P4243" t="str">
        <f>IF(T[[#This Row],[qty_ordered]]&lt;&gt;T[[#This Row],[qty_received]],IF(T[[#This Row],[qty_received]]&gt;0,"Partial Received","Not Receviced"),"FullyReceived")</f>
        <v>Not Receviced</v>
      </c>
      <c r="Q4243" t="str">
        <f>IF(T[[#This Row],[qty_received]]&lt;&gt;T[[#This Row],[qty_invoiced]],IF(T[[#This Row],[qty_invoiced]]&gt;0,"Partial Invoiced","Not Invoiced"),"Fully Invoiced")</f>
        <v>Fully Invoiced</v>
      </c>
      <c r="R4243" t="str">
        <f>IFERROR(VLOOKUP(T[[#This Row],[warehouse]],Table2[],2,FALSE),"--")</f>
        <v>--</v>
      </c>
    </row>
    <row r="4244" spans="1:18" x14ac:dyDescent="0.25">
      <c r="A4244" t="s">
        <v>400</v>
      </c>
      <c r="B4244" s="1">
        <v>44924</v>
      </c>
      <c r="C4244" t="s">
        <v>2989</v>
      </c>
      <c r="D4244" t="s">
        <v>74</v>
      </c>
      <c r="E4244" t="s">
        <v>51</v>
      </c>
      <c r="F4244" t="s">
        <v>183</v>
      </c>
      <c r="G4244" t="s">
        <v>1628</v>
      </c>
      <c r="H4244" t="s">
        <v>54</v>
      </c>
      <c r="I4244">
        <v>108</v>
      </c>
      <c r="J4244">
        <v>0</v>
      </c>
      <c r="K4244">
        <v>1</v>
      </c>
      <c r="L4244" t="s">
        <v>693</v>
      </c>
      <c r="M4244" t="s">
        <v>2836</v>
      </c>
      <c r="N4244">
        <v>14500</v>
      </c>
      <c r="O4244">
        <v>0</v>
      </c>
      <c r="P4244" t="str">
        <f>IF(T[[#This Row],[qty_ordered]]&lt;&gt;T[[#This Row],[qty_received]],IF(T[[#This Row],[qty_received]]&gt;0,"Partial Received","Not Receviced"),"FullyReceived")</f>
        <v>Not Receviced</v>
      </c>
      <c r="Q4244" t="str">
        <f>IF(T[[#This Row],[qty_received]]&lt;&gt;T[[#This Row],[qty_invoiced]],IF(T[[#This Row],[qty_invoiced]]&gt;0,"Partial Invoiced","Not Invoiced"),"Fully Invoiced")</f>
        <v>Partial Invoiced</v>
      </c>
      <c r="R4244" t="str">
        <f>IFERROR(VLOOKUP(T[[#This Row],[warehouse]],Table2[],2,FALSE),"--")</f>
        <v>--</v>
      </c>
    </row>
    <row r="4245" spans="1:18" x14ac:dyDescent="0.25">
      <c r="A4245" t="s">
        <v>400</v>
      </c>
      <c r="B4245" s="1">
        <v>44924</v>
      </c>
      <c r="C4245" t="s">
        <v>2989</v>
      </c>
      <c r="D4245" t="s">
        <v>76</v>
      </c>
      <c r="E4245" t="s">
        <v>51</v>
      </c>
      <c r="F4245" t="s">
        <v>278</v>
      </c>
      <c r="G4245" t="s">
        <v>3326</v>
      </c>
      <c r="H4245" t="s">
        <v>54</v>
      </c>
      <c r="I4245">
        <v>109.28</v>
      </c>
      <c r="J4245">
        <v>0</v>
      </c>
      <c r="K4245">
        <v>1</v>
      </c>
      <c r="L4245" t="s">
        <v>693</v>
      </c>
      <c r="M4245" t="s">
        <v>2836</v>
      </c>
      <c r="N4245">
        <v>215.95900399999999</v>
      </c>
      <c r="O4245">
        <v>0</v>
      </c>
      <c r="P4245" t="str">
        <f>IF(T[[#This Row],[qty_ordered]]&lt;&gt;T[[#This Row],[qty_received]],IF(T[[#This Row],[qty_received]]&gt;0,"Partial Received","Not Receviced"),"FullyReceived")</f>
        <v>Not Receviced</v>
      </c>
      <c r="Q4245" t="str">
        <f>IF(T[[#This Row],[qty_received]]&lt;&gt;T[[#This Row],[qty_invoiced]],IF(T[[#This Row],[qty_invoiced]]&gt;0,"Partial Invoiced","Not Invoiced"),"Fully Invoiced")</f>
        <v>Partial Invoiced</v>
      </c>
      <c r="R4245" t="str">
        <f>IFERROR(VLOOKUP(T[[#This Row],[warehouse]],Table2[],2,FALSE),"--")</f>
        <v>--</v>
      </c>
    </row>
    <row r="4246" spans="1:18" x14ac:dyDescent="0.25">
      <c r="A4246" t="s">
        <v>400</v>
      </c>
      <c r="B4246" s="1">
        <v>44924</v>
      </c>
      <c r="C4246" t="s">
        <v>2989</v>
      </c>
      <c r="D4246" t="s">
        <v>212</v>
      </c>
      <c r="E4246" t="s">
        <v>51</v>
      </c>
      <c r="F4246" t="s">
        <v>1703</v>
      </c>
      <c r="G4246" t="s">
        <v>2327</v>
      </c>
      <c r="H4246" t="s">
        <v>54</v>
      </c>
      <c r="I4246">
        <v>43</v>
      </c>
      <c r="J4246">
        <v>0</v>
      </c>
      <c r="K4246">
        <v>1</v>
      </c>
      <c r="L4246" t="s">
        <v>693</v>
      </c>
      <c r="M4246" t="s">
        <v>2836</v>
      </c>
      <c r="N4246">
        <v>2000</v>
      </c>
      <c r="O4246">
        <v>0</v>
      </c>
      <c r="P4246" t="str">
        <f>IF(T[[#This Row],[qty_ordered]]&lt;&gt;T[[#This Row],[qty_received]],IF(T[[#This Row],[qty_received]]&gt;0,"Partial Received","Not Receviced"),"FullyReceived")</f>
        <v>Not Receviced</v>
      </c>
      <c r="Q4246" t="str">
        <f>IF(T[[#This Row],[qty_received]]&lt;&gt;T[[#This Row],[qty_invoiced]],IF(T[[#This Row],[qty_invoiced]]&gt;0,"Partial Invoiced","Not Invoiced"),"Fully Invoiced")</f>
        <v>Partial Invoiced</v>
      </c>
      <c r="R4246" t="str">
        <f>IFERROR(VLOOKUP(T[[#This Row],[warehouse]],Table2[],2,FALSE),"--")</f>
        <v>--</v>
      </c>
    </row>
    <row r="4247" spans="1:18" x14ac:dyDescent="0.25">
      <c r="A4247" t="s">
        <v>2999</v>
      </c>
      <c r="B4247" s="1">
        <v>44997</v>
      </c>
      <c r="C4247" t="s">
        <v>3327</v>
      </c>
      <c r="D4247" t="s">
        <v>20</v>
      </c>
      <c r="E4247" t="s">
        <v>51</v>
      </c>
      <c r="F4247" t="s">
        <v>52</v>
      </c>
      <c r="G4247" t="s">
        <v>53</v>
      </c>
      <c r="H4247" t="s">
        <v>54</v>
      </c>
      <c r="I4247">
        <v>1</v>
      </c>
      <c r="J4247">
        <v>0</v>
      </c>
      <c r="K4247">
        <v>0</v>
      </c>
      <c r="L4247" t="s">
        <v>51</v>
      </c>
      <c r="M4247" t="s">
        <v>3328</v>
      </c>
      <c r="N4247">
        <v>3456000</v>
      </c>
      <c r="O4247">
        <v>0</v>
      </c>
      <c r="P4247" t="str">
        <f>IF(T[[#This Row],[qty_ordered]]&lt;&gt;T[[#This Row],[qty_received]],IF(T[[#This Row],[qty_received]]&gt;0,"Partial Received","Not Receviced"),"FullyReceived")</f>
        <v>Not Receviced</v>
      </c>
      <c r="Q4247" t="str">
        <f>IF(T[[#This Row],[qty_received]]&lt;&gt;T[[#This Row],[qty_invoiced]],IF(T[[#This Row],[qty_invoiced]]&gt;0,"Partial Invoiced","Not Invoiced"),"Fully Invoiced")</f>
        <v>Fully Invoiced</v>
      </c>
      <c r="R4247" t="str">
        <f>IFERROR(VLOOKUP(T[[#This Row],[warehouse]],Table2[],2,FALSE),"--")</f>
        <v>--</v>
      </c>
    </row>
    <row r="4248" spans="1:18" x14ac:dyDescent="0.25">
      <c r="A4248" t="s">
        <v>2999</v>
      </c>
      <c r="B4248" s="1">
        <v>44997</v>
      </c>
      <c r="C4248" t="s">
        <v>3329</v>
      </c>
      <c r="D4248" t="s">
        <v>20</v>
      </c>
      <c r="E4248" t="s">
        <v>51</v>
      </c>
      <c r="F4248" t="s">
        <v>52</v>
      </c>
      <c r="G4248" t="s">
        <v>53</v>
      </c>
      <c r="H4248" t="s">
        <v>54</v>
      </c>
      <c r="I4248">
        <v>1</v>
      </c>
      <c r="J4248">
        <v>0</v>
      </c>
      <c r="K4248">
        <v>0</v>
      </c>
      <c r="L4248" t="s">
        <v>51</v>
      </c>
      <c r="M4248" t="s">
        <v>3328</v>
      </c>
      <c r="N4248">
        <v>3456000</v>
      </c>
      <c r="O4248">
        <v>0</v>
      </c>
      <c r="P4248" t="str">
        <f>IF(T[[#This Row],[qty_ordered]]&lt;&gt;T[[#This Row],[qty_received]],IF(T[[#This Row],[qty_received]]&gt;0,"Partial Received","Not Receviced"),"FullyReceived")</f>
        <v>Not Receviced</v>
      </c>
      <c r="Q4248" t="str">
        <f>IF(T[[#This Row],[qty_received]]&lt;&gt;T[[#This Row],[qty_invoiced]],IF(T[[#This Row],[qty_invoiced]]&gt;0,"Partial Invoiced","Not Invoiced"),"Fully Invoiced")</f>
        <v>Fully Invoiced</v>
      </c>
      <c r="R4248" t="str">
        <f>IFERROR(VLOOKUP(T[[#This Row],[warehouse]],Table2[],2,FALSE),"--")</f>
        <v>--</v>
      </c>
    </row>
    <row r="4249" spans="1:18" x14ac:dyDescent="0.25">
      <c r="A4249" t="s">
        <v>2999</v>
      </c>
      <c r="B4249" s="1">
        <v>44997</v>
      </c>
      <c r="C4249" t="s">
        <v>3330</v>
      </c>
      <c r="D4249" t="s">
        <v>20</v>
      </c>
      <c r="E4249" t="s">
        <v>51</v>
      </c>
      <c r="F4249" t="s">
        <v>52</v>
      </c>
      <c r="G4249" t="s">
        <v>53</v>
      </c>
      <c r="H4249" t="s">
        <v>54</v>
      </c>
      <c r="I4249">
        <v>1</v>
      </c>
      <c r="J4249">
        <v>0</v>
      </c>
      <c r="K4249">
        <v>0</v>
      </c>
      <c r="L4249" t="s">
        <v>51</v>
      </c>
      <c r="M4249" t="s">
        <v>3328</v>
      </c>
      <c r="N4249">
        <v>456000</v>
      </c>
      <c r="O4249">
        <v>0</v>
      </c>
      <c r="P4249" t="str">
        <f>IF(T[[#This Row],[qty_ordered]]&lt;&gt;T[[#This Row],[qty_received]],IF(T[[#This Row],[qty_received]]&gt;0,"Partial Received","Not Receviced"),"FullyReceived")</f>
        <v>Not Receviced</v>
      </c>
      <c r="Q4249" t="str">
        <f>IF(T[[#This Row],[qty_received]]&lt;&gt;T[[#This Row],[qty_invoiced]],IF(T[[#This Row],[qty_invoiced]]&gt;0,"Partial Invoiced","Not Invoiced"),"Fully Invoiced")</f>
        <v>Fully Invoiced</v>
      </c>
      <c r="R4249" t="str">
        <f>IFERROR(VLOOKUP(T[[#This Row],[warehouse]],Table2[],2,FALSE),"--")</f>
        <v>--</v>
      </c>
    </row>
    <row r="4250" spans="1:18" x14ac:dyDescent="0.25">
      <c r="A4250" t="s">
        <v>2999</v>
      </c>
      <c r="B4250" s="1">
        <v>44997</v>
      </c>
      <c r="C4250" t="s">
        <v>3331</v>
      </c>
      <c r="D4250" t="s">
        <v>20</v>
      </c>
      <c r="E4250" t="s">
        <v>51</v>
      </c>
      <c r="F4250" t="s">
        <v>52</v>
      </c>
      <c r="G4250" t="s">
        <v>3332</v>
      </c>
      <c r="H4250" t="s">
        <v>54</v>
      </c>
      <c r="I4250">
        <v>1</v>
      </c>
      <c r="J4250">
        <v>0</v>
      </c>
      <c r="K4250">
        <v>0</v>
      </c>
      <c r="L4250" t="s">
        <v>51</v>
      </c>
      <c r="M4250" t="s">
        <v>3328</v>
      </c>
      <c r="N4250">
        <v>3456000</v>
      </c>
      <c r="O4250">
        <v>0</v>
      </c>
      <c r="P4250" t="str">
        <f>IF(T[[#This Row],[qty_ordered]]&lt;&gt;T[[#This Row],[qty_received]],IF(T[[#This Row],[qty_received]]&gt;0,"Partial Received","Not Receviced"),"FullyReceived")</f>
        <v>Not Receviced</v>
      </c>
      <c r="Q4250" t="str">
        <f>IF(T[[#This Row],[qty_received]]&lt;&gt;T[[#This Row],[qty_invoiced]],IF(T[[#This Row],[qty_invoiced]]&gt;0,"Partial Invoiced","Not Invoiced"),"Fully Invoiced")</f>
        <v>Fully Invoiced</v>
      </c>
      <c r="R4250" t="str">
        <f>IFERROR(VLOOKUP(T[[#This Row],[warehouse]],Table2[],2,FALSE),"--")</f>
        <v>--</v>
      </c>
    </row>
    <row r="4251" spans="1:18" x14ac:dyDescent="0.25">
      <c r="A4251" t="s">
        <v>2986</v>
      </c>
      <c r="B4251" s="1">
        <v>44997</v>
      </c>
      <c r="C4251" t="s">
        <v>3333</v>
      </c>
      <c r="D4251" t="s">
        <v>20</v>
      </c>
      <c r="E4251" t="s">
        <v>51</v>
      </c>
      <c r="F4251" t="s">
        <v>369</v>
      </c>
      <c r="G4251" t="s">
        <v>369</v>
      </c>
      <c r="H4251" t="s">
        <v>54</v>
      </c>
      <c r="I4251">
        <v>1</v>
      </c>
      <c r="J4251">
        <v>0</v>
      </c>
      <c r="K4251">
        <v>1</v>
      </c>
      <c r="L4251" t="s">
        <v>693</v>
      </c>
      <c r="M4251" t="s">
        <v>1485</v>
      </c>
      <c r="N4251">
        <v>1800000</v>
      </c>
      <c r="O4251">
        <v>0</v>
      </c>
      <c r="P4251" t="str">
        <f>IF(T[[#This Row],[qty_ordered]]&lt;&gt;T[[#This Row],[qty_received]],IF(T[[#This Row],[qty_received]]&gt;0,"Partial Received","Not Receviced"),"FullyReceived")</f>
        <v>Not Receviced</v>
      </c>
      <c r="Q4251" t="str">
        <f>IF(T[[#This Row],[qty_received]]&lt;&gt;T[[#This Row],[qty_invoiced]],IF(T[[#This Row],[qty_invoiced]]&gt;0,"Partial Invoiced","Not Invoiced"),"Fully Invoiced")</f>
        <v>Partial Invoiced</v>
      </c>
      <c r="R4251" t="str">
        <f>IFERROR(VLOOKUP(T[[#This Row],[warehouse]],Table2[],2,FALSE),"--")</f>
        <v>--</v>
      </c>
    </row>
    <row r="4252" spans="1:18" x14ac:dyDescent="0.25">
      <c r="A4252" t="s">
        <v>2999</v>
      </c>
      <c r="B4252" s="1">
        <v>44997</v>
      </c>
      <c r="C4252" t="s">
        <v>3334</v>
      </c>
      <c r="D4252" t="s">
        <v>20</v>
      </c>
      <c r="E4252" t="s">
        <v>51</v>
      </c>
      <c r="F4252" t="s">
        <v>52</v>
      </c>
      <c r="G4252" t="s">
        <v>3335</v>
      </c>
      <c r="H4252" t="s">
        <v>54</v>
      </c>
      <c r="I4252">
        <v>1</v>
      </c>
      <c r="J4252">
        <v>0</v>
      </c>
      <c r="K4252">
        <v>1</v>
      </c>
      <c r="L4252" t="s">
        <v>693</v>
      </c>
      <c r="M4252" t="s">
        <v>132</v>
      </c>
      <c r="N4252">
        <v>3456000</v>
      </c>
      <c r="O4252">
        <v>0</v>
      </c>
      <c r="P4252" t="str">
        <f>IF(T[[#This Row],[qty_ordered]]&lt;&gt;T[[#This Row],[qty_received]],IF(T[[#This Row],[qty_received]]&gt;0,"Partial Received","Not Receviced"),"FullyReceived")</f>
        <v>Not Receviced</v>
      </c>
      <c r="Q4252" t="str">
        <f>IF(T[[#This Row],[qty_received]]&lt;&gt;T[[#This Row],[qty_invoiced]],IF(T[[#This Row],[qty_invoiced]]&gt;0,"Partial Invoiced","Not Invoiced"),"Fully Invoiced")</f>
        <v>Partial Invoiced</v>
      </c>
      <c r="R4252" t="str">
        <f>IFERROR(VLOOKUP(T[[#This Row],[warehouse]],Table2[],2,FALSE),"--")</f>
        <v>--</v>
      </c>
    </row>
    <row r="4253" spans="1:18" x14ac:dyDescent="0.25">
      <c r="A4253" t="s">
        <v>303</v>
      </c>
      <c r="B4253" s="1">
        <v>44999</v>
      </c>
      <c r="C4253" t="s">
        <v>3336</v>
      </c>
      <c r="D4253" t="s">
        <v>20</v>
      </c>
      <c r="E4253" t="s">
        <v>66</v>
      </c>
      <c r="F4253" t="s">
        <v>697</v>
      </c>
      <c r="G4253" t="s">
        <v>698</v>
      </c>
      <c r="H4253" t="s">
        <v>531</v>
      </c>
      <c r="I4253">
        <v>1000</v>
      </c>
      <c r="J4253">
        <v>310</v>
      </c>
      <c r="K4253">
        <v>257</v>
      </c>
      <c r="L4253" t="s">
        <v>693</v>
      </c>
      <c r="M4253" t="s">
        <v>707</v>
      </c>
      <c r="N4253">
        <v>51887.5</v>
      </c>
      <c r="O4253">
        <v>16085125</v>
      </c>
      <c r="P4253" t="str">
        <f>IF(T[[#This Row],[qty_ordered]]&lt;&gt;T[[#This Row],[qty_received]],IF(T[[#This Row],[qty_received]]&gt;0,"Partial Received","Not Receviced"),"FullyReceived")</f>
        <v>Partial Received</v>
      </c>
      <c r="Q4253" t="str">
        <f>IF(T[[#This Row],[qty_received]]&lt;&gt;T[[#This Row],[qty_invoiced]],IF(T[[#This Row],[qty_invoiced]]&gt;0,"Partial Invoiced","Not Invoiced"),"Fully Invoiced")</f>
        <v>Partial Invoiced</v>
      </c>
      <c r="R4253" t="str">
        <f>IFERROR(VLOOKUP(T[[#This Row],[warehouse]],Table2[],2,FALSE),"--")</f>
        <v>PZU Main Warehouse</v>
      </c>
    </row>
    <row r="4254" spans="1:18" x14ac:dyDescent="0.25">
      <c r="A4254" t="s">
        <v>1671</v>
      </c>
      <c r="B4254" s="1">
        <v>45005</v>
      </c>
      <c r="C4254" t="s">
        <v>3337</v>
      </c>
      <c r="D4254" t="s">
        <v>20</v>
      </c>
      <c r="E4254" t="s">
        <v>51</v>
      </c>
      <c r="F4254" t="s">
        <v>52</v>
      </c>
      <c r="G4254" t="s">
        <v>3338</v>
      </c>
      <c r="H4254" t="s">
        <v>54</v>
      </c>
      <c r="I4254">
        <v>1</v>
      </c>
      <c r="J4254">
        <v>0</v>
      </c>
      <c r="K4254">
        <v>0</v>
      </c>
      <c r="L4254" t="s">
        <v>693</v>
      </c>
      <c r="M4254" t="s">
        <v>1485</v>
      </c>
      <c r="N4254">
        <v>4832953.32</v>
      </c>
      <c r="O4254">
        <v>0</v>
      </c>
      <c r="P4254" t="str">
        <f>IF(T[[#This Row],[qty_ordered]]&lt;&gt;T[[#This Row],[qty_received]],IF(T[[#This Row],[qty_received]]&gt;0,"Partial Received","Not Receviced"),"FullyReceived")</f>
        <v>Not Receviced</v>
      </c>
      <c r="Q4254" t="str">
        <f>IF(T[[#This Row],[qty_received]]&lt;&gt;T[[#This Row],[qty_invoiced]],IF(T[[#This Row],[qty_invoiced]]&gt;0,"Partial Invoiced","Not Invoiced"),"Fully Invoiced")</f>
        <v>Fully Invoiced</v>
      </c>
      <c r="R4254" t="str">
        <f>IFERROR(VLOOKUP(T[[#This Row],[warehouse]],Table2[],2,FALSE),"--")</f>
        <v>--</v>
      </c>
    </row>
    <row r="4255" spans="1:18" x14ac:dyDescent="0.25">
      <c r="A4255" t="s">
        <v>1059</v>
      </c>
      <c r="B4255" s="1">
        <v>44761</v>
      </c>
      <c r="C4255" t="s">
        <v>1783</v>
      </c>
      <c r="D4255" t="s">
        <v>1359</v>
      </c>
      <c r="E4255" t="s">
        <v>51</v>
      </c>
      <c r="F4255" t="s">
        <v>266</v>
      </c>
      <c r="G4255" t="s">
        <v>3107</v>
      </c>
      <c r="H4255" t="s">
        <v>54</v>
      </c>
      <c r="I4255">
        <v>905</v>
      </c>
      <c r="J4255">
        <v>0</v>
      </c>
      <c r="K4255">
        <v>1</v>
      </c>
      <c r="L4255" t="s">
        <v>693</v>
      </c>
      <c r="M4255" t="s">
        <v>2836</v>
      </c>
      <c r="N4255">
        <v>398.02209900000003</v>
      </c>
      <c r="O4255">
        <v>0</v>
      </c>
      <c r="P4255" t="str">
        <f>IF(T[[#This Row],[qty_ordered]]&lt;&gt;T[[#This Row],[qty_received]],IF(T[[#This Row],[qty_received]]&gt;0,"Partial Received","Not Receviced"),"FullyReceived")</f>
        <v>Not Receviced</v>
      </c>
      <c r="Q4255" t="str">
        <f>IF(T[[#This Row],[qty_received]]&lt;&gt;T[[#This Row],[qty_invoiced]],IF(T[[#This Row],[qty_invoiced]]&gt;0,"Partial Invoiced","Not Invoiced"),"Fully Invoiced")</f>
        <v>Partial Invoiced</v>
      </c>
      <c r="R4255" t="str">
        <f>IFERROR(VLOOKUP(T[[#This Row],[warehouse]],Table2[],2,FALSE),"--")</f>
        <v>--</v>
      </c>
    </row>
    <row r="4256" spans="1:18" x14ac:dyDescent="0.25">
      <c r="A4256" t="s">
        <v>1059</v>
      </c>
      <c r="B4256" s="1">
        <v>44761</v>
      </c>
      <c r="C4256" t="s">
        <v>1783</v>
      </c>
      <c r="D4256" t="s">
        <v>1360</v>
      </c>
      <c r="E4256" t="s">
        <v>51</v>
      </c>
      <c r="F4256" t="s">
        <v>266</v>
      </c>
      <c r="G4256" t="s">
        <v>3107</v>
      </c>
      <c r="H4256" t="s">
        <v>54</v>
      </c>
      <c r="I4256">
        <v>289</v>
      </c>
      <c r="J4256">
        <v>0</v>
      </c>
      <c r="K4256">
        <v>1</v>
      </c>
      <c r="L4256" t="s">
        <v>693</v>
      </c>
      <c r="M4256" t="s">
        <v>2836</v>
      </c>
      <c r="N4256">
        <v>190.567474</v>
      </c>
      <c r="O4256">
        <v>0</v>
      </c>
      <c r="P4256" t="str">
        <f>IF(T[[#This Row],[qty_ordered]]&lt;&gt;T[[#This Row],[qty_received]],IF(T[[#This Row],[qty_received]]&gt;0,"Partial Received","Not Receviced"),"FullyReceived")</f>
        <v>Not Receviced</v>
      </c>
      <c r="Q4256" t="str">
        <f>IF(T[[#This Row],[qty_received]]&lt;&gt;T[[#This Row],[qty_invoiced]],IF(T[[#This Row],[qty_invoiced]]&gt;0,"Partial Invoiced","Not Invoiced"),"Fully Invoiced")</f>
        <v>Partial Invoiced</v>
      </c>
      <c r="R4256" t="str">
        <f>IFERROR(VLOOKUP(T[[#This Row],[warehouse]],Table2[],2,FALSE),"--")</f>
        <v>--</v>
      </c>
    </row>
    <row r="4257" spans="1:18" x14ac:dyDescent="0.25">
      <c r="A4257" t="s">
        <v>1059</v>
      </c>
      <c r="B4257" s="1">
        <v>44976</v>
      </c>
      <c r="C4257" t="s">
        <v>3297</v>
      </c>
      <c r="D4257" t="s">
        <v>212</v>
      </c>
      <c r="E4257" t="s">
        <v>51</v>
      </c>
      <c r="F4257" t="s">
        <v>2166</v>
      </c>
      <c r="G4257" t="s">
        <v>3339</v>
      </c>
      <c r="H4257" t="s">
        <v>54</v>
      </c>
      <c r="I4257">
        <v>3603</v>
      </c>
      <c r="J4257">
        <v>0</v>
      </c>
      <c r="K4257">
        <v>0</v>
      </c>
      <c r="L4257" t="s">
        <v>693</v>
      </c>
      <c r="M4257" t="s">
        <v>2836</v>
      </c>
      <c r="N4257">
        <v>1500</v>
      </c>
      <c r="O4257">
        <v>0</v>
      </c>
      <c r="P4257" t="str">
        <f>IF(T[[#This Row],[qty_ordered]]&lt;&gt;T[[#This Row],[qty_received]],IF(T[[#This Row],[qty_received]]&gt;0,"Partial Received","Not Receviced"),"FullyReceived")</f>
        <v>Not Receviced</v>
      </c>
      <c r="Q4257" t="str">
        <f>IF(T[[#This Row],[qty_received]]&lt;&gt;T[[#This Row],[qty_invoiced]],IF(T[[#This Row],[qty_invoiced]]&gt;0,"Partial Invoiced","Not Invoiced"),"Fully Invoiced")</f>
        <v>Fully Invoiced</v>
      </c>
      <c r="R4257" t="str">
        <f>IFERROR(VLOOKUP(T[[#This Row],[warehouse]],Table2[],2,FALSE),"--")</f>
        <v>--</v>
      </c>
    </row>
    <row r="4258" spans="1:18" x14ac:dyDescent="0.25">
      <c r="A4258" t="s">
        <v>1059</v>
      </c>
      <c r="B4258" s="1">
        <v>44976</v>
      </c>
      <c r="C4258" t="s">
        <v>3297</v>
      </c>
      <c r="D4258" t="s">
        <v>322</v>
      </c>
      <c r="E4258" t="s">
        <v>51</v>
      </c>
      <c r="F4258" t="s">
        <v>753</v>
      </c>
      <c r="G4258" t="s">
        <v>3340</v>
      </c>
      <c r="H4258" t="s">
        <v>54</v>
      </c>
      <c r="I4258">
        <v>3603</v>
      </c>
      <c r="J4258">
        <v>0</v>
      </c>
      <c r="K4258">
        <v>0</v>
      </c>
      <c r="L4258" t="s">
        <v>693</v>
      </c>
      <c r="M4258" t="s">
        <v>2836</v>
      </c>
      <c r="N4258">
        <v>255</v>
      </c>
      <c r="O4258">
        <v>0</v>
      </c>
      <c r="P4258" t="str">
        <f>IF(T[[#This Row],[qty_ordered]]&lt;&gt;T[[#This Row],[qty_received]],IF(T[[#This Row],[qty_received]]&gt;0,"Partial Received","Not Receviced"),"FullyReceived")</f>
        <v>Not Receviced</v>
      </c>
      <c r="Q4258" t="str">
        <f>IF(T[[#This Row],[qty_received]]&lt;&gt;T[[#This Row],[qty_invoiced]],IF(T[[#This Row],[qty_invoiced]]&gt;0,"Partial Invoiced","Not Invoiced"),"Fully Invoiced")</f>
        <v>Fully Invoiced</v>
      </c>
      <c r="R4258" t="str">
        <f>IFERROR(VLOOKUP(T[[#This Row],[warehouse]],Table2[],2,FALSE),"--")</f>
        <v>--</v>
      </c>
    </row>
    <row r="4259" spans="1:18" x14ac:dyDescent="0.25">
      <c r="A4259" t="s">
        <v>1059</v>
      </c>
      <c r="B4259" s="1">
        <v>44976</v>
      </c>
      <c r="C4259" t="s">
        <v>3297</v>
      </c>
      <c r="D4259" t="s">
        <v>323</v>
      </c>
      <c r="E4259" t="s">
        <v>51</v>
      </c>
      <c r="F4259" t="s">
        <v>278</v>
      </c>
      <c r="G4259" t="s">
        <v>3341</v>
      </c>
      <c r="H4259" t="s">
        <v>54</v>
      </c>
      <c r="I4259">
        <v>616</v>
      </c>
      <c r="J4259">
        <v>0</v>
      </c>
      <c r="K4259">
        <v>0</v>
      </c>
      <c r="L4259" t="s">
        <v>693</v>
      </c>
      <c r="M4259" t="s">
        <v>2836</v>
      </c>
      <c r="N4259">
        <v>1500</v>
      </c>
      <c r="O4259">
        <v>0</v>
      </c>
      <c r="P4259" t="str">
        <f>IF(T[[#This Row],[qty_ordered]]&lt;&gt;T[[#This Row],[qty_received]],IF(T[[#This Row],[qty_received]]&gt;0,"Partial Received","Not Receviced"),"FullyReceived")</f>
        <v>Not Receviced</v>
      </c>
      <c r="Q4259" t="str">
        <f>IF(T[[#This Row],[qty_received]]&lt;&gt;T[[#This Row],[qty_invoiced]],IF(T[[#This Row],[qty_invoiced]]&gt;0,"Partial Invoiced","Not Invoiced"),"Fully Invoiced")</f>
        <v>Fully Invoiced</v>
      </c>
      <c r="R4259" t="str">
        <f>IFERROR(VLOOKUP(T[[#This Row],[warehouse]],Table2[],2,FALSE),"--")</f>
        <v>--</v>
      </c>
    </row>
    <row r="4260" spans="1:18" x14ac:dyDescent="0.25">
      <c r="A4260" t="s">
        <v>1059</v>
      </c>
      <c r="B4260" s="1">
        <v>44976</v>
      </c>
      <c r="C4260" t="s">
        <v>3297</v>
      </c>
      <c r="D4260" t="s">
        <v>324</v>
      </c>
      <c r="E4260" t="s">
        <v>51</v>
      </c>
      <c r="F4260" t="s">
        <v>2166</v>
      </c>
      <c r="G4260" t="s">
        <v>3339</v>
      </c>
      <c r="H4260" t="s">
        <v>54</v>
      </c>
      <c r="I4260">
        <v>616</v>
      </c>
      <c r="J4260">
        <v>0</v>
      </c>
      <c r="K4260">
        <v>0</v>
      </c>
      <c r="L4260" t="s">
        <v>693</v>
      </c>
      <c r="M4260" t="s">
        <v>2836</v>
      </c>
      <c r="N4260">
        <v>750</v>
      </c>
      <c r="O4260">
        <v>0</v>
      </c>
      <c r="P4260" t="str">
        <f>IF(T[[#This Row],[qty_ordered]]&lt;&gt;T[[#This Row],[qty_received]],IF(T[[#This Row],[qty_received]]&gt;0,"Partial Received","Not Receviced"),"FullyReceived")</f>
        <v>Not Receviced</v>
      </c>
      <c r="Q4260" t="str">
        <f>IF(T[[#This Row],[qty_received]]&lt;&gt;T[[#This Row],[qty_invoiced]],IF(T[[#This Row],[qty_invoiced]]&gt;0,"Partial Invoiced","Not Invoiced"),"Fully Invoiced")</f>
        <v>Fully Invoiced</v>
      </c>
      <c r="R4260" t="str">
        <f>IFERROR(VLOOKUP(T[[#This Row],[warehouse]],Table2[],2,FALSE),"--")</f>
        <v>--</v>
      </c>
    </row>
    <row r="4261" spans="1:18" x14ac:dyDescent="0.25">
      <c r="A4261" t="s">
        <v>1059</v>
      </c>
      <c r="B4261" s="1">
        <v>44976</v>
      </c>
      <c r="C4261" t="s">
        <v>3297</v>
      </c>
      <c r="D4261" t="s">
        <v>325</v>
      </c>
      <c r="E4261" t="s">
        <v>51</v>
      </c>
      <c r="F4261" t="s">
        <v>753</v>
      </c>
      <c r="G4261" t="s">
        <v>3340</v>
      </c>
      <c r="H4261" t="s">
        <v>54</v>
      </c>
      <c r="I4261">
        <v>616</v>
      </c>
      <c r="J4261">
        <v>0</v>
      </c>
      <c r="K4261">
        <v>0</v>
      </c>
      <c r="L4261" t="s">
        <v>693</v>
      </c>
      <c r="M4261" t="s">
        <v>2836</v>
      </c>
      <c r="N4261">
        <v>382.5</v>
      </c>
      <c r="O4261">
        <v>0</v>
      </c>
      <c r="P4261" t="str">
        <f>IF(T[[#This Row],[qty_ordered]]&lt;&gt;T[[#This Row],[qty_received]],IF(T[[#This Row],[qty_received]]&gt;0,"Partial Received","Not Receviced"),"FullyReceived")</f>
        <v>Not Receviced</v>
      </c>
      <c r="Q4261" t="str">
        <f>IF(T[[#This Row],[qty_received]]&lt;&gt;T[[#This Row],[qty_invoiced]],IF(T[[#This Row],[qty_invoiced]]&gt;0,"Partial Invoiced","Not Invoiced"),"Fully Invoiced")</f>
        <v>Fully Invoiced</v>
      </c>
      <c r="R4261" t="str">
        <f>IFERROR(VLOOKUP(T[[#This Row],[warehouse]],Table2[],2,FALSE),"--")</f>
        <v>--</v>
      </c>
    </row>
    <row r="4262" spans="1:18" x14ac:dyDescent="0.25">
      <c r="A4262" t="s">
        <v>1059</v>
      </c>
      <c r="B4262" s="1">
        <v>44976</v>
      </c>
      <c r="C4262" t="s">
        <v>3297</v>
      </c>
      <c r="D4262" t="s">
        <v>451</v>
      </c>
      <c r="E4262" t="s">
        <v>51</v>
      </c>
      <c r="F4262" t="s">
        <v>278</v>
      </c>
      <c r="G4262" t="s">
        <v>3342</v>
      </c>
      <c r="H4262" t="s">
        <v>54</v>
      </c>
      <c r="I4262">
        <v>30470</v>
      </c>
      <c r="J4262">
        <v>0</v>
      </c>
      <c r="K4262">
        <v>0</v>
      </c>
      <c r="L4262" t="s">
        <v>693</v>
      </c>
      <c r="M4262" t="s">
        <v>2836</v>
      </c>
      <c r="N4262">
        <v>180</v>
      </c>
      <c r="O4262">
        <v>0</v>
      </c>
      <c r="P4262" t="str">
        <f>IF(T[[#This Row],[qty_ordered]]&lt;&gt;T[[#This Row],[qty_received]],IF(T[[#This Row],[qty_received]]&gt;0,"Partial Received","Not Receviced"),"FullyReceived")</f>
        <v>Not Receviced</v>
      </c>
      <c r="Q4262" t="str">
        <f>IF(T[[#This Row],[qty_received]]&lt;&gt;T[[#This Row],[qty_invoiced]],IF(T[[#This Row],[qty_invoiced]]&gt;0,"Partial Invoiced","Not Invoiced"),"Fully Invoiced")</f>
        <v>Fully Invoiced</v>
      </c>
      <c r="R4262" t="str">
        <f>IFERROR(VLOOKUP(T[[#This Row],[warehouse]],Table2[],2,FALSE),"--")</f>
        <v>--</v>
      </c>
    </row>
    <row r="4263" spans="1:18" x14ac:dyDescent="0.25">
      <c r="B4263" s="1"/>
    </row>
    <row r="4266" spans="1:18" x14ac:dyDescent="0.25">
      <c r="J4266">
        <f>I3174+I3182-J3174</f>
        <v>752.34500000000003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W523"/>
  <sheetViews>
    <sheetView zoomScale="82" zoomScaleNormal="82" workbookViewId="0">
      <selection activeCell="L52" sqref="L52"/>
    </sheetView>
  </sheetViews>
  <sheetFormatPr defaultRowHeight="15" x14ac:dyDescent="0.25"/>
  <cols>
    <col min="1" max="1" width="3.28515625" customWidth="1"/>
    <col min="2" max="2" width="45.85546875" bestFit="1" customWidth="1"/>
    <col min="3" max="3" width="12.7109375" bestFit="1" customWidth="1"/>
    <col min="4" max="4" width="29.7109375" customWidth="1"/>
    <col min="5" max="5" width="11.42578125" bestFit="1" customWidth="1"/>
    <col min="6" max="6" width="16.42578125" bestFit="1" customWidth="1"/>
    <col min="7" max="7" width="60.5703125" customWidth="1"/>
    <col min="8" max="8" width="24.7109375" style="74" customWidth="1"/>
    <col min="9" max="9" width="24.28515625" style="74" customWidth="1"/>
    <col min="10" max="10" width="27.7109375" style="105" customWidth="1"/>
    <col min="11" max="11" width="21" bestFit="1" customWidth="1"/>
    <col min="12" max="12" width="30.28515625" style="4" customWidth="1"/>
    <col min="13" max="13" width="31.42578125" style="4" customWidth="1"/>
    <col min="14" max="15" width="9.140625" style="4"/>
    <col min="16" max="16" width="42.28515625" style="4" customWidth="1"/>
    <col min="17" max="75" width="9.140625" style="4"/>
  </cols>
  <sheetData>
    <row r="1" spans="2:75" s="4" customFormat="1" ht="17.25" customHeight="1" x14ac:dyDescent="0.25">
      <c r="B1" s="294" t="s">
        <v>2466</v>
      </c>
      <c r="C1" s="295"/>
      <c r="D1" s="295"/>
      <c r="E1" s="295"/>
      <c r="F1" s="295"/>
      <c r="G1" s="295"/>
      <c r="H1" s="295"/>
      <c r="I1" s="295"/>
      <c r="J1" s="295"/>
      <c r="K1" s="296"/>
    </row>
    <row r="2" spans="2:75" s="4" customFormat="1" ht="17.25" customHeight="1" thickBot="1" x14ac:dyDescent="0.3">
      <c r="B2" s="297" t="s">
        <v>2467</v>
      </c>
      <c r="C2" s="298"/>
      <c r="D2" s="298"/>
      <c r="E2" s="298"/>
      <c r="F2" s="298"/>
      <c r="G2" s="298"/>
      <c r="H2" s="298"/>
      <c r="I2" s="298"/>
      <c r="J2" s="298"/>
      <c r="K2" s="299"/>
    </row>
    <row r="3" spans="2:75" s="4" customFormat="1" ht="20.25" thickTop="1" thickBot="1" x14ac:dyDescent="0.3">
      <c r="B3" s="300" t="s">
        <v>2468</v>
      </c>
      <c r="C3" s="301"/>
      <c r="D3" s="301"/>
      <c r="E3" s="301"/>
      <c r="F3" s="301"/>
      <c r="G3" s="301"/>
      <c r="H3" s="301"/>
      <c r="I3" s="301"/>
      <c r="J3" s="301"/>
      <c r="K3" s="334"/>
      <c r="L3" s="335" t="s">
        <v>2460</v>
      </c>
      <c r="M3" s="336"/>
      <c r="N3" s="336"/>
      <c r="O3" s="337"/>
    </row>
    <row r="4" spans="2:75" s="4" customFormat="1" ht="15.75" thickBot="1" x14ac:dyDescent="0.3">
      <c r="H4" s="5"/>
      <c r="I4" s="5"/>
      <c r="J4" s="103"/>
      <c r="L4" s="338"/>
      <c r="M4" s="339"/>
      <c r="N4" s="339"/>
      <c r="O4" s="340"/>
    </row>
    <row r="5" spans="2:75" ht="32.25" customHeight="1" thickTop="1" thickBot="1" x14ac:dyDescent="0.3">
      <c r="B5" s="6" t="s">
        <v>2344</v>
      </c>
      <c r="C5" s="7" t="s">
        <v>2345</v>
      </c>
      <c r="D5" s="8" t="s">
        <v>2346</v>
      </c>
      <c r="E5" s="8" t="s">
        <v>2347</v>
      </c>
      <c r="F5" s="9" t="s">
        <v>2348</v>
      </c>
      <c r="G5" s="8" t="s">
        <v>2558</v>
      </c>
      <c r="H5" s="10" t="s">
        <v>2557</v>
      </c>
      <c r="I5" s="10" t="s">
        <v>2556</v>
      </c>
      <c r="J5" s="104" t="s">
        <v>2555</v>
      </c>
      <c r="K5" s="11" t="s">
        <v>2349</v>
      </c>
      <c r="L5" s="82" t="s">
        <v>2554</v>
      </c>
      <c r="M5" s="82" t="s">
        <v>2553</v>
      </c>
      <c r="N5" s="341" t="s">
        <v>2461</v>
      </c>
      <c r="O5" s="342"/>
    </row>
    <row r="6" spans="2:75" s="17" customFormat="1" ht="18" customHeight="1" thickTop="1" thickBot="1" x14ac:dyDescent="0.3">
      <c r="B6" s="328" t="s">
        <v>2350</v>
      </c>
      <c r="C6" s="12" t="s">
        <v>86</v>
      </c>
      <c r="D6" s="13" t="s">
        <v>2351</v>
      </c>
      <c r="E6" s="121">
        <v>869</v>
      </c>
      <c r="F6" s="13">
        <v>1</v>
      </c>
      <c r="G6" s="13" t="s">
        <v>2469</v>
      </c>
      <c r="H6" s="84">
        <v>731.3</v>
      </c>
      <c r="I6" s="154">
        <v>731.3</v>
      </c>
      <c r="J6" s="106">
        <v>0</v>
      </c>
      <c r="K6" s="123" t="s">
        <v>2352</v>
      </c>
      <c r="L6" s="14" t="s">
        <v>86</v>
      </c>
      <c r="M6" s="15">
        <f>SUMIFS(T[qty_received],T[order_no],E6,T[order_line_no],F6)</f>
        <v>731.3</v>
      </c>
      <c r="N6" s="303">
        <f>H6-M6</f>
        <v>0</v>
      </c>
      <c r="O6" s="304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</row>
    <row r="7" spans="2:75" s="17" customFormat="1" ht="18" customHeight="1" thickTop="1" thickBot="1" x14ac:dyDescent="0.3">
      <c r="B7" s="329"/>
      <c r="C7" s="18" t="s">
        <v>86</v>
      </c>
      <c r="D7" s="13" t="s">
        <v>2471</v>
      </c>
      <c r="E7" s="13">
        <v>866</v>
      </c>
      <c r="F7" s="13" t="s">
        <v>2353</v>
      </c>
      <c r="G7" s="13" t="s">
        <v>2491</v>
      </c>
      <c r="H7" s="84">
        <v>991.44</v>
      </c>
      <c r="I7" s="155">
        <v>991.44</v>
      </c>
      <c r="J7" s="106">
        <v>0</v>
      </c>
      <c r="K7" s="124" t="s">
        <v>2352</v>
      </c>
      <c r="L7" s="4" t="s">
        <v>86</v>
      </c>
      <c r="M7" s="15">
        <f>SUM(SUMIFS(T[qty_received],T[order_no],E7,T[order_line_no],{1,2}))</f>
        <v>991.44</v>
      </c>
      <c r="N7" s="303">
        <f>H7-M7</f>
        <v>0</v>
      </c>
      <c r="O7" s="304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</row>
    <row r="8" spans="2:75" s="17" customFormat="1" ht="18" customHeight="1" thickTop="1" thickBot="1" x14ac:dyDescent="0.3">
      <c r="B8" s="329"/>
      <c r="C8" s="18" t="s">
        <v>86</v>
      </c>
      <c r="D8" s="13" t="s">
        <v>2354</v>
      </c>
      <c r="E8" s="13">
        <v>876</v>
      </c>
      <c r="F8" s="13" t="s">
        <v>2355</v>
      </c>
      <c r="G8" s="13" t="s">
        <v>2492</v>
      </c>
      <c r="H8" s="84">
        <v>979.78</v>
      </c>
      <c r="I8" s="155">
        <v>979.78</v>
      </c>
      <c r="J8" s="106">
        <v>0</v>
      </c>
      <c r="K8" s="124" t="s">
        <v>2352</v>
      </c>
      <c r="L8" s="4" t="s">
        <v>86</v>
      </c>
      <c r="M8" s="15">
        <f>SUM(SUMIFS(T[qty_received],T[order_no],E8,T[order_line_no],{1,2,3}))</f>
        <v>979.78</v>
      </c>
      <c r="N8" s="303">
        <f t="shared" ref="N8:N70" si="0">H8-M8</f>
        <v>0</v>
      </c>
      <c r="O8" s="304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</row>
    <row r="9" spans="2:75" s="17" customFormat="1" ht="18" customHeight="1" thickTop="1" thickBot="1" x14ac:dyDescent="0.3">
      <c r="B9" s="329"/>
      <c r="C9" s="18" t="s">
        <v>86</v>
      </c>
      <c r="D9" s="13" t="s">
        <v>2472</v>
      </c>
      <c r="E9" s="13">
        <v>884</v>
      </c>
      <c r="F9" s="13" t="s">
        <v>2356</v>
      </c>
      <c r="G9" s="13" t="s">
        <v>2493</v>
      </c>
      <c r="H9" s="96">
        <v>4832.58</v>
      </c>
      <c r="I9" s="155">
        <v>4832.58</v>
      </c>
      <c r="J9" s="106">
        <v>0</v>
      </c>
      <c r="K9" s="124" t="s">
        <v>2352</v>
      </c>
      <c r="L9" s="4" t="s">
        <v>86</v>
      </c>
      <c r="M9" s="15">
        <f>SUMIFS(T[qty_received],T[order_no],E9)</f>
        <v>4832.58</v>
      </c>
      <c r="N9" s="303">
        <f t="shared" si="0"/>
        <v>0</v>
      </c>
      <c r="O9" s="304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</row>
    <row r="10" spans="2:75" s="17" customFormat="1" ht="18" customHeight="1" thickTop="1" thickBot="1" x14ac:dyDescent="0.3">
      <c r="B10" s="329"/>
      <c r="C10" s="18" t="s">
        <v>86</v>
      </c>
      <c r="D10" s="13" t="s">
        <v>2354</v>
      </c>
      <c r="E10" s="13">
        <v>909</v>
      </c>
      <c r="F10" s="13" t="s">
        <v>2353</v>
      </c>
      <c r="G10" s="13" t="s">
        <v>2494</v>
      </c>
      <c r="H10" s="96">
        <v>1703.37</v>
      </c>
      <c r="I10" s="155">
        <v>1703.37</v>
      </c>
      <c r="J10" s="106">
        <v>0</v>
      </c>
      <c r="K10" s="124" t="s">
        <v>2352</v>
      </c>
      <c r="L10" s="4" t="s">
        <v>86</v>
      </c>
      <c r="M10" s="15">
        <f>SUM(SUMIFS(T[qty_received],T[order_no],E10,T[order_line_no],{1,2}))</f>
        <v>1703.37</v>
      </c>
      <c r="N10" s="303">
        <f t="shared" si="0"/>
        <v>0</v>
      </c>
      <c r="O10" s="304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</row>
    <row r="11" spans="2:75" s="17" customFormat="1" ht="18" customHeight="1" thickTop="1" thickBot="1" x14ac:dyDescent="0.3">
      <c r="B11" s="329"/>
      <c r="C11" s="18" t="s">
        <v>86</v>
      </c>
      <c r="D11" s="13" t="s">
        <v>2351</v>
      </c>
      <c r="E11" s="13">
        <v>995</v>
      </c>
      <c r="F11" s="13" t="s">
        <v>2356</v>
      </c>
      <c r="G11" s="13" t="s">
        <v>2495</v>
      </c>
      <c r="H11" s="84">
        <v>365.98</v>
      </c>
      <c r="I11" s="156">
        <v>365.98</v>
      </c>
      <c r="J11" s="106">
        <v>0</v>
      </c>
      <c r="K11" s="125" t="s">
        <v>2352</v>
      </c>
      <c r="L11" s="4" t="s">
        <v>86</v>
      </c>
      <c r="M11" s="15">
        <f>SUM(SUMIFS(T[qty_received],T[order_no],E11,T[order_line_no],{1,2,3,7,8}))</f>
        <v>365.98</v>
      </c>
      <c r="N11" s="303">
        <f t="shared" si="0"/>
        <v>0</v>
      </c>
      <c r="O11" s="304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</row>
    <row r="12" spans="2:75" s="17" customFormat="1" ht="18" customHeight="1" thickTop="1" thickBot="1" x14ac:dyDescent="0.3">
      <c r="B12" s="329"/>
      <c r="C12" s="18" t="s">
        <v>86</v>
      </c>
      <c r="D12" s="13" t="s">
        <v>2354</v>
      </c>
      <c r="E12" s="13">
        <v>1037</v>
      </c>
      <c r="F12" s="13" t="s">
        <v>2355</v>
      </c>
      <c r="G12" s="13" t="s">
        <v>2496</v>
      </c>
      <c r="H12" s="84">
        <v>117.47</v>
      </c>
      <c r="I12" s="155">
        <v>117.47</v>
      </c>
      <c r="J12" s="106">
        <v>0</v>
      </c>
      <c r="K12" s="124" t="s">
        <v>2352</v>
      </c>
      <c r="L12" s="4" t="s">
        <v>86</v>
      </c>
      <c r="M12" s="15">
        <f>SUM(SUMIFS(T[qty_received],T[order_no],E12,T[order_line_no],{1,2,3}))</f>
        <v>117.47</v>
      </c>
      <c r="N12" s="303">
        <f t="shared" si="0"/>
        <v>0</v>
      </c>
      <c r="O12" s="304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</row>
    <row r="13" spans="2:75" s="17" customFormat="1" ht="18" customHeight="1" thickTop="1" thickBot="1" x14ac:dyDescent="0.3">
      <c r="B13" s="330"/>
      <c r="C13" s="19" t="s">
        <v>86</v>
      </c>
      <c r="D13" s="13" t="s">
        <v>2473</v>
      </c>
      <c r="E13" s="13">
        <v>1193</v>
      </c>
      <c r="F13" s="13" t="s">
        <v>2355</v>
      </c>
      <c r="G13" s="13" t="s">
        <v>2497</v>
      </c>
      <c r="H13" s="84">
        <v>283.45</v>
      </c>
      <c r="I13" s="156">
        <v>572.87</v>
      </c>
      <c r="J13" s="106">
        <v>-289.42</v>
      </c>
      <c r="K13" s="125" t="s">
        <v>2571</v>
      </c>
      <c r="L13" s="4" t="s">
        <v>86</v>
      </c>
      <c r="M13" s="15">
        <f>SUM(SUMIFS(T[qty_received],T[order_no],E13,T[order_line_no],{1,2,3}))</f>
        <v>283.45</v>
      </c>
      <c r="N13" s="303">
        <f t="shared" si="0"/>
        <v>0</v>
      </c>
      <c r="O13" s="30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</row>
    <row r="14" spans="2:75" s="4" customFormat="1" ht="18" customHeight="1" thickTop="1" thickBot="1" x14ac:dyDescent="0.3">
      <c r="B14" s="331" t="s">
        <v>2068</v>
      </c>
      <c r="C14" s="20" t="s">
        <v>108</v>
      </c>
      <c r="D14" s="21" t="s">
        <v>2354</v>
      </c>
      <c r="E14" s="21">
        <v>867</v>
      </c>
      <c r="F14" s="21" t="s">
        <v>2357</v>
      </c>
      <c r="G14" s="21" t="s">
        <v>2498</v>
      </c>
      <c r="H14" s="97">
        <v>4103.03</v>
      </c>
      <c r="I14" s="157">
        <v>4103.03</v>
      </c>
      <c r="J14" s="107">
        <v>0</v>
      </c>
      <c r="K14" s="126" t="s">
        <v>2352</v>
      </c>
      <c r="L14" s="4" t="s">
        <v>108</v>
      </c>
      <c r="M14" s="15">
        <f>SUM(SUMIFS(T[qty_received],T[order_no],E14,T[order_line_no],{1,2,3,4,5,6,7}))</f>
        <v>4103.03</v>
      </c>
      <c r="N14" s="303">
        <f t="shared" si="0"/>
        <v>0</v>
      </c>
      <c r="O14" s="304"/>
    </row>
    <row r="15" spans="2:75" s="4" customFormat="1" ht="18" customHeight="1" thickTop="1" thickBot="1" x14ac:dyDescent="0.3">
      <c r="B15" s="332"/>
      <c r="C15" s="22" t="s">
        <v>108</v>
      </c>
      <c r="D15" s="21" t="s">
        <v>2351</v>
      </c>
      <c r="E15" s="21">
        <v>865</v>
      </c>
      <c r="F15" s="21" t="s">
        <v>2355</v>
      </c>
      <c r="G15" s="21" t="s">
        <v>2499</v>
      </c>
      <c r="H15" s="97">
        <v>1482.11</v>
      </c>
      <c r="I15" s="158">
        <v>1482.11</v>
      </c>
      <c r="J15" s="107">
        <v>0</v>
      </c>
      <c r="K15" s="127" t="s">
        <v>2352</v>
      </c>
      <c r="L15" s="4" t="s">
        <v>108</v>
      </c>
      <c r="M15" s="15">
        <f>SUM(SUMIFS(T[qty_received],T[order_no],E15,T[order_line_no],{1,2,3}))</f>
        <v>1482.11</v>
      </c>
      <c r="N15" s="303">
        <f t="shared" si="0"/>
        <v>0</v>
      </c>
      <c r="O15" s="304"/>
    </row>
    <row r="16" spans="2:75" s="4" customFormat="1" ht="18" customHeight="1" thickTop="1" thickBot="1" x14ac:dyDescent="0.3">
      <c r="B16" s="332"/>
      <c r="C16" s="22" t="s">
        <v>108</v>
      </c>
      <c r="D16" s="21" t="s">
        <v>2351</v>
      </c>
      <c r="E16" s="21">
        <v>931</v>
      </c>
      <c r="F16" s="21" t="s">
        <v>2459</v>
      </c>
      <c r="G16" s="21" t="s">
        <v>2499</v>
      </c>
      <c r="H16" s="97">
        <v>2452.41</v>
      </c>
      <c r="I16" s="158">
        <v>2452.41</v>
      </c>
      <c r="J16" s="107">
        <v>0</v>
      </c>
      <c r="K16" s="127" t="s">
        <v>2352</v>
      </c>
      <c r="L16" s="4" t="s">
        <v>108</v>
      </c>
      <c r="M16" s="15">
        <f>SUM(SUMIFS(T[qty_received],T[order_no],E16,T[order_line_no],{1,2,3,4,5,6}))</f>
        <v>2452.41</v>
      </c>
      <c r="N16" s="303">
        <f t="shared" si="0"/>
        <v>0</v>
      </c>
      <c r="O16" s="304"/>
    </row>
    <row r="17" spans="2:15" s="4" customFormat="1" ht="18" customHeight="1" thickTop="1" thickBot="1" x14ac:dyDescent="0.3">
      <c r="B17" s="332"/>
      <c r="C17" s="23" t="s">
        <v>108</v>
      </c>
      <c r="D17" s="21" t="s">
        <v>2354</v>
      </c>
      <c r="E17" s="21">
        <v>1131</v>
      </c>
      <c r="F17" s="21" t="s">
        <v>2355</v>
      </c>
      <c r="G17" s="21" t="s">
        <v>2469</v>
      </c>
      <c r="H17" s="85">
        <v>232.18</v>
      </c>
      <c r="I17" s="158">
        <v>500</v>
      </c>
      <c r="J17" s="107">
        <v>-267.82</v>
      </c>
      <c r="K17" s="127" t="s">
        <v>2571</v>
      </c>
      <c r="L17" s="4" t="s">
        <v>108</v>
      </c>
      <c r="M17" s="15">
        <f>SUM(SUMIFS(T[qty_received],T[order_no],E17,T[order_line_no],{1,2,3}))</f>
        <v>232.18</v>
      </c>
      <c r="N17" s="303">
        <f t="shared" si="0"/>
        <v>0</v>
      </c>
      <c r="O17" s="304"/>
    </row>
    <row r="18" spans="2:15" s="4" customFormat="1" ht="18" customHeight="1" thickTop="1" thickBot="1" x14ac:dyDescent="0.3">
      <c r="B18" s="333"/>
      <c r="C18" s="24" t="s">
        <v>108</v>
      </c>
      <c r="D18" s="21" t="s">
        <v>2474</v>
      </c>
      <c r="E18" s="21">
        <v>1212</v>
      </c>
      <c r="F18" s="21">
        <v>1</v>
      </c>
      <c r="G18" s="21" t="s">
        <v>2469</v>
      </c>
      <c r="H18" s="85">
        <v>507.23</v>
      </c>
      <c r="I18" s="159">
        <v>507.23</v>
      </c>
      <c r="J18" s="107">
        <v>0</v>
      </c>
      <c r="K18" s="128" t="s">
        <v>2571</v>
      </c>
      <c r="L18" s="4" t="s">
        <v>108</v>
      </c>
      <c r="M18" s="15">
        <f>SUM(SUMIFS(T[qty_received],T[order_no],E18,T[order_line_no],{1}))</f>
        <v>507.23</v>
      </c>
      <c r="N18" s="303">
        <f t="shared" si="0"/>
        <v>0</v>
      </c>
      <c r="O18" s="304"/>
    </row>
    <row r="19" spans="2:15" s="4" customFormat="1" ht="20.25" thickTop="1" thickBot="1" x14ac:dyDescent="0.3">
      <c r="B19" s="25" t="s">
        <v>2358</v>
      </c>
      <c r="C19" s="26" t="s">
        <v>486</v>
      </c>
      <c r="D19" s="27" t="s">
        <v>2354</v>
      </c>
      <c r="E19" s="27">
        <v>958</v>
      </c>
      <c r="F19" s="27" t="s">
        <v>2355</v>
      </c>
      <c r="G19" s="27" t="s">
        <v>2500</v>
      </c>
      <c r="H19" s="86">
        <v>584.71</v>
      </c>
      <c r="I19" s="160">
        <v>584.71</v>
      </c>
      <c r="J19" s="108">
        <v>0</v>
      </c>
      <c r="K19" s="129" t="s">
        <v>2352</v>
      </c>
      <c r="L19" s="4" t="s">
        <v>486</v>
      </c>
      <c r="M19" s="15">
        <f>SUM(SUMIFS(T[qty_received],T[order_no],E19,T[order_line_no],{1,2,3}))</f>
        <v>584.71</v>
      </c>
      <c r="N19" s="303">
        <f t="shared" si="0"/>
        <v>0</v>
      </c>
      <c r="O19" s="304"/>
    </row>
    <row r="20" spans="2:15" s="4" customFormat="1" ht="17.25" thickTop="1" thickBot="1" x14ac:dyDescent="0.3">
      <c r="B20" s="324" t="s">
        <v>407</v>
      </c>
      <c r="C20" s="28" t="s">
        <v>406</v>
      </c>
      <c r="D20" s="29" t="s">
        <v>2475</v>
      </c>
      <c r="E20" s="29">
        <v>871</v>
      </c>
      <c r="F20" s="29">
        <v>1</v>
      </c>
      <c r="G20" s="29" t="s">
        <v>2501</v>
      </c>
      <c r="H20" s="98">
        <v>10815.75</v>
      </c>
      <c r="I20" s="161">
        <v>10815.75</v>
      </c>
      <c r="J20" s="109">
        <v>0</v>
      </c>
      <c r="K20" s="130" t="s">
        <v>2352</v>
      </c>
      <c r="L20" s="4" t="s">
        <v>406</v>
      </c>
      <c r="M20" s="15">
        <f>SUM(SUMIFS(T[qty_received],T[order_no],E20,T[order_line_no],{1}))</f>
        <v>10815.75</v>
      </c>
      <c r="N20" s="303">
        <f t="shared" si="0"/>
        <v>0</v>
      </c>
      <c r="O20" s="304"/>
    </row>
    <row r="21" spans="2:15" s="4" customFormat="1" ht="17.25" thickTop="1" thickBot="1" x14ac:dyDescent="0.3">
      <c r="B21" s="325"/>
      <c r="C21" s="28" t="s">
        <v>406</v>
      </c>
      <c r="D21" s="29" t="s">
        <v>2476</v>
      </c>
      <c r="E21" s="29">
        <v>885</v>
      </c>
      <c r="F21" s="29">
        <v>1</v>
      </c>
      <c r="G21" s="29" t="s">
        <v>2502</v>
      </c>
      <c r="H21" s="98">
        <v>1313.94</v>
      </c>
      <c r="I21" s="162">
        <v>1313.94</v>
      </c>
      <c r="J21" s="109">
        <v>0</v>
      </c>
      <c r="K21" s="131" t="s">
        <v>2352</v>
      </c>
      <c r="L21" s="4" t="s">
        <v>406</v>
      </c>
      <c r="M21" s="15">
        <f>SUM(SUMIFS(T[qty_received],T[order_no],E21,T[order_line_no],{1}))</f>
        <v>1313.94</v>
      </c>
      <c r="N21" s="303">
        <f t="shared" si="0"/>
        <v>0</v>
      </c>
      <c r="O21" s="304"/>
    </row>
    <row r="22" spans="2:15" s="4" customFormat="1" ht="17.25" thickTop="1" thickBot="1" x14ac:dyDescent="0.3">
      <c r="B22" s="325"/>
      <c r="C22" s="28" t="s">
        <v>406</v>
      </c>
      <c r="D22" s="29" t="s">
        <v>2476</v>
      </c>
      <c r="E22" s="29">
        <v>957</v>
      </c>
      <c r="F22" s="29">
        <v>1</v>
      </c>
      <c r="G22" s="29" t="s">
        <v>2502</v>
      </c>
      <c r="H22" s="87">
        <v>984.8</v>
      </c>
      <c r="I22" s="162">
        <v>984.8</v>
      </c>
      <c r="J22" s="109">
        <v>0</v>
      </c>
      <c r="K22" s="131" t="s">
        <v>2352</v>
      </c>
      <c r="L22" s="4" t="s">
        <v>406</v>
      </c>
      <c r="M22" s="15">
        <f>SUM(SUMIFS(T[qty_received],T[order_no],E22,T[order_line_no],{1,2}))</f>
        <v>984.8</v>
      </c>
      <c r="N22" s="303">
        <f t="shared" si="0"/>
        <v>0</v>
      </c>
      <c r="O22" s="304"/>
    </row>
    <row r="23" spans="2:15" s="4" customFormat="1" ht="17.25" thickTop="1" thickBot="1" x14ac:dyDescent="0.3">
      <c r="B23" s="325"/>
      <c r="C23" s="28" t="s">
        <v>406</v>
      </c>
      <c r="D23" s="29" t="s">
        <v>2476</v>
      </c>
      <c r="E23" s="29">
        <v>1022</v>
      </c>
      <c r="F23" s="29" t="s">
        <v>2353</v>
      </c>
      <c r="G23" s="29" t="s">
        <v>2503</v>
      </c>
      <c r="H23" s="98">
        <v>1523.7449999999999</v>
      </c>
      <c r="I23" s="162">
        <v>1523.7449999999999</v>
      </c>
      <c r="J23" s="109">
        <v>0</v>
      </c>
      <c r="K23" s="131" t="s">
        <v>2352</v>
      </c>
      <c r="L23" s="4" t="s">
        <v>406</v>
      </c>
      <c r="M23" s="15">
        <f>SUM(SUMIFS(T[qty_received],T[order_no],E23,T[order_line_no],{1,2}))</f>
        <v>1523.7449999999999</v>
      </c>
      <c r="N23" s="303">
        <f t="shared" si="0"/>
        <v>0</v>
      </c>
      <c r="O23" s="304"/>
    </row>
    <row r="24" spans="2:15" s="4" customFormat="1" ht="17.25" thickTop="1" thickBot="1" x14ac:dyDescent="0.3">
      <c r="B24" s="325"/>
      <c r="C24" s="28" t="s">
        <v>406</v>
      </c>
      <c r="D24" s="29" t="s">
        <v>2476</v>
      </c>
      <c r="E24" s="29">
        <v>1057</v>
      </c>
      <c r="F24" s="29" t="s">
        <v>2353</v>
      </c>
      <c r="G24" s="29" t="s">
        <v>2502</v>
      </c>
      <c r="H24" s="87">
        <v>178.66900000000001</v>
      </c>
      <c r="I24" s="162">
        <v>178.66900000000001</v>
      </c>
      <c r="J24" s="109">
        <v>0</v>
      </c>
      <c r="K24" s="131" t="s">
        <v>2352</v>
      </c>
      <c r="L24" s="4" t="s">
        <v>406</v>
      </c>
      <c r="M24" s="15">
        <f>SUM(SUMIFS(T[qty_received],T[order_no],E24,T[order_line_no],{1,2}))</f>
        <v>178.66900000000001</v>
      </c>
      <c r="N24" s="303">
        <f t="shared" si="0"/>
        <v>0</v>
      </c>
      <c r="O24" s="304"/>
    </row>
    <row r="25" spans="2:15" s="4" customFormat="1" ht="17.25" thickTop="1" thickBot="1" x14ac:dyDescent="0.3">
      <c r="B25" s="325"/>
      <c r="C25" s="28" t="s">
        <v>406</v>
      </c>
      <c r="D25" s="29" t="s">
        <v>2477</v>
      </c>
      <c r="E25" s="29">
        <v>1128</v>
      </c>
      <c r="F25" s="29">
        <v>1</v>
      </c>
      <c r="G25" s="29" t="s">
        <v>2502</v>
      </c>
      <c r="H25" s="87">
        <v>266.27999999999997</v>
      </c>
      <c r="I25" s="162">
        <v>1000</v>
      </c>
      <c r="J25" s="109">
        <v>-733.72</v>
      </c>
      <c r="K25" s="131" t="s">
        <v>2571</v>
      </c>
      <c r="L25" s="4" t="s">
        <v>406</v>
      </c>
      <c r="M25" s="15">
        <f>SUM(SUMIFS(T[qty_received],T[order_no],E25,T[order_line_no],{1}))</f>
        <v>266.27999999999997</v>
      </c>
      <c r="N25" s="303">
        <f t="shared" si="0"/>
        <v>0</v>
      </c>
      <c r="O25" s="304"/>
    </row>
    <row r="26" spans="2:15" s="4" customFormat="1" ht="17.25" thickTop="1" thickBot="1" x14ac:dyDescent="0.3">
      <c r="B26" s="325"/>
      <c r="C26" s="28" t="s">
        <v>406</v>
      </c>
      <c r="D26" s="29" t="s">
        <v>2359</v>
      </c>
      <c r="E26" s="29">
        <v>1129</v>
      </c>
      <c r="F26" s="29">
        <v>1</v>
      </c>
      <c r="G26" s="29" t="s">
        <v>2502</v>
      </c>
      <c r="H26" s="87">
        <v>758.04</v>
      </c>
      <c r="I26" s="162">
        <v>5000</v>
      </c>
      <c r="J26" s="109">
        <v>-4241.96</v>
      </c>
      <c r="K26" s="131" t="s">
        <v>2571</v>
      </c>
      <c r="L26" s="30" t="s">
        <v>406</v>
      </c>
      <c r="M26" s="15">
        <f>SUM(SUMIFS(T[qty_received],T[order_no],E26,T[order_line_no],{1}))</f>
        <v>758.04</v>
      </c>
      <c r="N26" s="303">
        <f t="shared" si="0"/>
        <v>0</v>
      </c>
      <c r="O26" s="304"/>
    </row>
    <row r="27" spans="2:15" s="4" customFormat="1" ht="17.25" thickTop="1" thickBot="1" x14ac:dyDescent="0.3">
      <c r="B27" s="325"/>
      <c r="C27" s="28" t="s">
        <v>406</v>
      </c>
      <c r="D27" s="29" t="s">
        <v>2360</v>
      </c>
      <c r="E27" s="29">
        <v>1124</v>
      </c>
      <c r="F27" s="29">
        <v>1</v>
      </c>
      <c r="G27" s="29" t="s">
        <v>2502</v>
      </c>
      <c r="H27" s="87">
        <v>50.9</v>
      </c>
      <c r="I27" s="162">
        <v>1000</v>
      </c>
      <c r="J27" s="109">
        <v>-949.1</v>
      </c>
      <c r="K27" s="131" t="s">
        <v>2571</v>
      </c>
      <c r="L27" s="30" t="s">
        <v>406</v>
      </c>
      <c r="M27" s="15">
        <f>SUM(SUMIFS(T[qty_received],T[order_no],E27,T[order_line_no],{1}))</f>
        <v>50.9</v>
      </c>
      <c r="N27" s="303">
        <f t="shared" si="0"/>
        <v>0</v>
      </c>
      <c r="O27" s="304"/>
    </row>
    <row r="28" spans="2:15" s="4" customFormat="1" ht="17.25" thickTop="1" thickBot="1" x14ac:dyDescent="0.3">
      <c r="B28" s="325"/>
      <c r="C28" s="28" t="s">
        <v>406</v>
      </c>
      <c r="D28" s="29" t="s">
        <v>2478</v>
      </c>
      <c r="E28" s="29">
        <v>1144</v>
      </c>
      <c r="F28" s="29">
        <v>1</v>
      </c>
      <c r="G28" s="29" t="s">
        <v>2501</v>
      </c>
      <c r="H28" s="87">
        <v>5.92</v>
      </c>
      <c r="I28" s="162">
        <v>100</v>
      </c>
      <c r="J28" s="109">
        <v>-94.08</v>
      </c>
      <c r="K28" s="131" t="s">
        <v>2571</v>
      </c>
      <c r="L28" s="30" t="s">
        <v>406</v>
      </c>
      <c r="M28" s="15">
        <f>SUM(SUMIFS(T[qty_received],T[order_no],E28,T[order_line_no],{1}))</f>
        <v>5.92</v>
      </c>
      <c r="N28" s="303">
        <f t="shared" si="0"/>
        <v>0</v>
      </c>
      <c r="O28" s="304"/>
    </row>
    <row r="29" spans="2:15" s="4" customFormat="1" ht="17.25" thickTop="1" thickBot="1" x14ac:dyDescent="0.3">
      <c r="B29" s="325"/>
      <c r="C29" s="28" t="s">
        <v>406</v>
      </c>
      <c r="D29" s="29" t="s">
        <v>2479</v>
      </c>
      <c r="E29" s="29">
        <v>1142</v>
      </c>
      <c r="F29" s="29" t="s">
        <v>2353</v>
      </c>
      <c r="G29" s="29" t="s">
        <v>2501</v>
      </c>
      <c r="H29" s="87">
        <v>142.80000000000001</v>
      </c>
      <c r="I29" s="162">
        <v>200</v>
      </c>
      <c r="J29" s="109">
        <v>-57.2</v>
      </c>
      <c r="K29" s="131" t="s">
        <v>2571</v>
      </c>
      <c r="L29" s="30" t="s">
        <v>406</v>
      </c>
      <c r="M29" s="15">
        <f>SUM(SUMIFS(T[qty_received],T[order_no],E29,T[order_line_no],{1,2}))</f>
        <v>142.80000000000001</v>
      </c>
      <c r="N29" s="303">
        <f t="shared" si="0"/>
        <v>0</v>
      </c>
      <c r="O29" s="304"/>
    </row>
    <row r="30" spans="2:15" s="4" customFormat="1" ht="17.25" thickTop="1" thickBot="1" x14ac:dyDescent="0.3">
      <c r="B30" s="326"/>
      <c r="C30" s="31" t="s">
        <v>406</v>
      </c>
      <c r="D30" s="29" t="s">
        <v>2359</v>
      </c>
      <c r="E30" s="29">
        <v>1143</v>
      </c>
      <c r="F30" s="29">
        <v>1</v>
      </c>
      <c r="G30" s="29" t="s">
        <v>2501</v>
      </c>
      <c r="H30" s="87">
        <v>62.17</v>
      </c>
      <c r="I30" s="163">
        <v>200</v>
      </c>
      <c r="J30" s="109">
        <v>-137.83000000000001</v>
      </c>
      <c r="K30" s="132" t="s">
        <v>2571</v>
      </c>
      <c r="L30" s="30" t="s">
        <v>406</v>
      </c>
      <c r="M30" s="15">
        <f>SUM(SUMIFS(T[qty_received],T[order_no],E30,T[order_line_no],{1}))</f>
        <v>62.17</v>
      </c>
      <c r="N30" s="303">
        <f t="shared" si="0"/>
        <v>0</v>
      </c>
      <c r="O30" s="304"/>
    </row>
    <row r="31" spans="2:15" s="4" customFormat="1" ht="17.25" thickTop="1" thickBot="1" x14ac:dyDescent="0.3">
      <c r="B31" s="324" t="s">
        <v>2544</v>
      </c>
      <c r="C31" s="32" t="s">
        <v>244</v>
      </c>
      <c r="D31" s="29" t="s">
        <v>2480</v>
      </c>
      <c r="E31" s="29">
        <v>894</v>
      </c>
      <c r="F31" s="29">
        <v>1</v>
      </c>
      <c r="G31" s="29" t="s">
        <v>2504</v>
      </c>
      <c r="H31" s="87">
        <v>145.13</v>
      </c>
      <c r="I31" s="161">
        <v>145.13</v>
      </c>
      <c r="J31" s="109">
        <v>0</v>
      </c>
      <c r="K31" s="130" t="s">
        <v>2352</v>
      </c>
      <c r="L31" s="35" t="s">
        <v>244</v>
      </c>
      <c r="M31" s="15">
        <f>SUM(SUMIFS(T[qty_received],T[order_no],E31,T[order_line_no],{1}))</f>
        <v>145.13</v>
      </c>
      <c r="N31" s="303">
        <f t="shared" si="0"/>
        <v>0</v>
      </c>
      <c r="O31" s="304"/>
    </row>
    <row r="32" spans="2:15" s="4" customFormat="1" ht="17.25" thickTop="1" thickBot="1" x14ac:dyDescent="0.3">
      <c r="B32" s="325"/>
      <c r="C32" s="28" t="s">
        <v>244</v>
      </c>
      <c r="D32" s="29" t="s">
        <v>2480</v>
      </c>
      <c r="E32" s="29">
        <v>901</v>
      </c>
      <c r="F32" s="29">
        <v>1</v>
      </c>
      <c r="G32" s="29" t="s">
        <v>2505</v>
      </c>
      <c r="H32" s="87">
        <v>214</v>
      </c>
      <c r="I32" s="162">
        <v>214</v>
      </c>
      <c r="J32" s="109">
        <v>0</v>
      </c>
      <c r="K32" s="131" t="s">
        <v>2352</v>
      </c>
      <c r="L32" s="35" t="s">
        <v>244</v>
      </c>
      <c r="M32" s="15">
        <f>SUM(SUMIFS(T[qty_received],T[order_no],E32,T[order_line_no],{1}))</f>
        <v>214</v>
      </c>
      <c r="N32" s="303">
        <f t="shared" si="0"/>
        <v>0</v>
      </c>
      <c r="O32" s="304"/>
    </row>
    <row r="33" spans="2:16" s="4" customFormat="1" ht="17.25" thickTop="1" thickBot="1" x14ac:dyDescent="0.3">
      <c r="B33" s="325"/>
      <c r="C33" s="28" t="s">
        <v>244</v>
      </c>
      <c r="D33" s="29" t="s">
        <v>2480</v>
      </c>
      <c r="E33" s="29">
        <v>905</v>
      </c>
      <c r="F33" s="29">
        <v>1</v>
      </c>
      <c r="G33" s="29" t="s">
        <v>2506</v>
      </c>
      <c r="H33" s="87">
        <v>213.46</v>
      </c>
      <c r="I33" s="162">
        <v>213.46</v>
      </c>
      <c r="J33" s="109">
        <v>0</v>
      </c>
      <c r="K33" s="131" t="s">
        <v>2352</v>
      </c>
      <c r="L33" s="35" t="s">
        <v>244</v>
      </c>
      <c r="M33" s="15">
        <f>SUM(SUMIFS(T[qty_received],T[order_no],E33,T[order_line_no],{1}))</f>
        <v>213.46</v>
      </c>
      <c r="N33" s="303">
        <f t="shared" si="0"/>
        <v>0</v>
      </c>
      <c r="O33" s="304"/>
    </row>
    <row r="34" spans="2:16" s="4" customFormat="1" ht="17.25" thickTop="1" thickBot="1" x14ac:dyDescent="0.3">
      <c r="B34" s="325"/>
      <c r="C34" s="28" t="s">
        <v>244</v>
      </c>
      <c r="D34" s="29" t="s">
        <v>2480</v>
      </c>
      <c r="E34" s="29">
        <v>907</v>
      </c>
      <c r="F34" s="29" t="s">
        <v>2361</v>
      </c>
      <c r="G34" s="29" t="s">
        <v>2507</v>
      </c>
      <c r="H34" s="98">
        <v>1216.04</v>
      </c>
      <c r="I34" s="162">
        <v>1216.04</v>
      </c>
      <c r="J34" s="109">
        <v>0</v>
      </c>
      <c r="K34" s="131" t="s">
        <v>2352</v>
      </c>
      <c r="L34" s="35" t="s">
        <v>244</v>
      </c>
      <c r="M34" s="15">
        <f>SUM(SUMIFS(T[qty_received],T[order_no],E34,T[order_line_no],{1,2,3,4}))</f>
        <v>1216.04</v>
      </c>
      <c r="N34" s="303">
        <f t="shared" si="0"/>
        <v>0</v>
      </c>
      <c r="O34" s="304"/>
    </row>
    <row r="35" spans="2:16" s="4" customFormat="1" ht="17.25" thickTop="1" thickBot="1" x14ac:dyDescent="0.3">
      <c r="B35" s="325"/>
      <c r="C35" s="28" t="s">
        <v>244</v>
      </c>
      <c r="D35" s="29" t="s">
        <v>2480</v>
      </c>
      <c r="E35" s="29">
        <v>908</v>
      </c>
      <c r="F35" s="29">
        <v>1</v>
      </c>
      <c r="G35" s="29" t="s">
        <v>2508</v>
      </c>
      <c r="H35" s="87">
        <v>206.43</v>
      </c>
      <c r="I35" s="162">
        <v>206.43</v>
      </c>
      <c r="J35" s="109">
        <v>0</v>
      </c>
      <c r="K35" s="131" t="s">
        <v>2352</v>
      </c>
      <c r="L35" s="35" t="s">
        <v>244</v>
      </c>
      <c r="M35" s="15">
        <f>SUM(SUMIFS(T[qty_received],T[order_no],E35,T[order_line_no],{1}))</f>
        <v>206.43</v>
      </c>
      <c r="N35" s="303">
        <f t="shared" si="0"/>
        <v>0</v>
      </c>
      <c r="O35" s="304"/>
    </row>
    <row r="36" spans="2:16" s="4" customFormat="1" ht="17.25" thickTop="1" thickBot="1" x14ac:dyDescent="0.3">
      <c r="B36" s="325"/>
      <c r="C36" s="28" t="s">
        <v>244</v>
      </c>
      <c r="D36" s="29" t="s">
        <v>2480</v>
      </c>
      <c r="E36" s="29">
        <v>916</v>
      </c>
      <c r="F36" s="29" t="s">
        <v>2355</v>
      </c>
      <c r="G36" s="29" t="s">
        <v>2509</v>
      </c>
      <c r="H36" s="87">
        <v>379.32</v>
      </c>
      <c r="I36" s="162">
        <v>379.32</v>
      </c>
      <c r="J36" s="109">
        <v>0</v>
      </c>
      <c r="K36" s="131" t="s">
        <v>2352</v>
      </c>
      <c r="L36" s="35" t="s">
        <v>244</v>
      </c>
      <c r="M36" s="15">
        <f>SUM(SUMIFS(T[qty_received],T[order_no],E36,T[order_line_no],{1,2,3}))</f>
        <v>379.32</v>
      </c>
      <c r="N36" s="303">
        <f t="shared" si="0"/>
        <v>0</v>
      </c>
      <c r="O36" s="304"/>
    </row>
    <row r="37" spans="2:16" s="4" customFormat="1" ht="17.25" thickTop="1" thickBot="1" x14ac:dyDescent="0.3">
      <c r="B37" s="325"/>
      <c r="C37" s="28" t="s">
        <v>244</v>
      </c>
      <c r="D37" s="29" t="s">
        <v>2480</v>
      </c>
      <c r="E37" s="29">
        <v>936</v>
      </c>
      <c r="F37" s="29" t="s">
        <v>2355</v>
      </c>
      <c r="G37" s="29" t="s">
        <v>2362</v>
      </c>
      <c r="H37" s="87">
        <v>176.32</v>
      </c>
      <c r="I37" s="162">
        <v>176.32</v>
      </c>
      <c r="J37" s="109">
        <v>0</v>
      </c>
      <c r="K37" s="131" t="s">
        <v>2352</v>
      </c>
      <c r="L37" s="35" t="s">
        <v>244</v>
      </c>
      <c r="M37" s="15">
        <f>SUM(SUMIFS(T[qty_received],T[order_no],E37,T[order_line_no],{1,2,3}))</f>
        <v>176.32</v>
      </c>
      <c r="N37" s="303">
        <f t="shared" si="0"/>
        <v>0</v>
      </c>
      <c r="O37" s="304"/>
    </row>
    <row r="38" spans="2:16" s="4" customFormat="1" ht="17.25" thickTop="1" thickBot="1" x14ac:dyDescent="0.3">
      <c r="B38" s="325"/>
      <c r="C38" s="28" t="s">
        <v>244</v>
      </c>
      <c r="D38" s="29" t="s">
        <v>2480</v>
      </c>
      <c r="E38" s="29">
        <v>954</v>
      </c>
      <c r="F38" s="29" t="s">
        <v>2357</v>
      </c>
      <c r="G38" s="29" t="s">
        <v>2506</v>
      </c>
      <c r="H38" s="87">
        <v>738.28</v>
      </c>
      <c r="I38" s="162">
        <v>738.28</v>
      </c>
      <c r="J38" s="109">
        <v>0</v>
      </c>
      <c r="K38" s="131" t="s">
        <v>2352</v>
      </c>
      <c r="L38" s="35" t="s">
        <v>244</v>
      </c>
      <c r="M38" s="15">
        <f>SUM(SUMIFS(T[qty_received],T[order_no],E38,T[order_line_no],{1,2,3,4,5,6,7}))</f>
        <v>738.28</v>
      </c>
      <c r="N38" s="303">
        <f t="shared" si="0"/>
        <v>0</v>
      </c>
      <c r="O38" s="304"/>
    </row>
    <row r="39" spans="2:16" s="4" customFormat="1" ht="17.25" thickTop="1" thickBot="1" x14ac:dyDescent="0.3">
      <c r="B39" s="325"/>
      <c r="C39" s="28" t="s">
        <v>244</v>
      </c>
      <c r="D39" s="29" t="s">
        <v>2480</v>
      </c>
      <c r="E39" s="29">
        <v>955</v>
      </c>
      <c r="F39" s="29" t="s">
        <v>2363</v>
      </c>
      <c r="G39" s="29" t="s">
        <v>2507</v>
      </c>
      <c r="H39" s="98">
        <v>1157.98</v>
      </c>
      <c r="I39" s="162">
        <v>1157.98</v>
      </c>
      <c r="J39" s="109">
        <v>0</v>
      </c>
      <c r="K39" s="131" t="s">
        <v>2352</v>
      </c>
      <c r="L39" s="35" t="s">
        <v>244</v>
      </c>
      <c r="M39" s="15">
        <f>SUM(SUMIFS(T[qty_received],T[order_no],E39,T[order_line_no],{1,2,3,4,5,6,7,8}))</f>
        <v>1157.98</v>
      </c>
      <c r="N39" s="303">
        <f t="shared" si="0"/>
        <v>0</v>
      </c>
      <c r="O39" s="304"/>
    </row>
    <row r="40" spans="2:16" s="4" customFormat="1" ht="17.25" thickTop="1" thickBot="1" x14ac:dyDescent="0.3">
      <c r="B40" s="325"/>
      <c r="C40" s="28" t="s">
        <v>244</v>
      </c>
      <c r="D40" s="29" t="s">
        <v>2480</v>
      </c>
      <c r="E40" s="29">
        <v>973</v>
      </c>
      <c r="F40" s="75">
        <v>1</v>
      </c>
      <c r="G40" s="29" t="s">
        <v>2505</v>
      </c>
      <c r="H40" s="87">
        <v>154.24</v>
      </c>
      <c r="I40" s="162">
        <v>154.24</v>
      </c>
      <c r="J40" s="109">
        <v>0</v>
      </c>
      <c r="K40" s="131" t="s">
        <v>2352</v>
      </c>
      <c r="L40" s="35" t="s">
        <v>244</v>
      </c>
      <c r="M40" s="15">
        <f>SUM(SUMIFS(T[qty_received],T[order_no],E40,T[order_line_no],{1}))</f>
        <v>154.24</v>
      </c>
      <c r="N40" s="303">
        <f t="shared" si="0"/>
        <v>0</v>
      </c>
      <c r="O40" s="304"/>
    </row>
    <row r="41" spans="2:16" s="4" customFormat="1" ht="17.25" thickTop="1" thickBot="1" x14ac:dyDescent="0.3">
      <c r="B41" s="325"/>
      <c r="C41" s="28" t="s">
        <v>244</v>
      </c>
      <c r="D41" s="29" t="s">
        <v>2480</v>
      </c>
      <c r="E41" s="29">
        <v>977</v>
      </c>
      <c r="F41" s="80" t="s">
        <v>2361</v>
      </c>
      <c r="G41" s="29" t="s">
        <v>2510</v>
      </c>
      <c r="H41" s="87">
        <v>389.69</v>
      </c>
      <c r="I41" s="162">
        <v>389.69</v>
      </c>
      <c r="J41" s="109">
        <v>0</v>
      </c>
      <c r="K41" s="131" t="s">
        <v>2352</v>
      </c>
      <c r="L41" s="35" t="s">
        <v>244</v>
      </c>
      <c r="M41" s="15">
        <f>SUM(SUMIFS(T[qty_received],T[order_no],E41,T[order_line_no],{1,2,3,4}))</f>
        <v>389.69</v>
      </c>
      <c r="N41" s="303">
        <f t="shared" si="0"/>
        <v>0</v>
      </c>
      <c r="O41" s="304"/>
    </row>
    <row r="42" spans="2:16" s="4" customFormat="1" ht="17.25" thickTop="1" thickBot="1" x14ac:dyDescent="0.3">
      <c r="B42" s="325"/>
      <c r="C42" s="28" t="s">
        <v>244</v>
      </c>
      <c r="D42" s="29" t="s">
        <v>2480</v>
      </c>
      <c r="E42" s="29">
        <v>1188</v>
      </c>
      <c r="F42" s="80">
        <v>1</v>
      </c>
      <c r="G42" s="29" t="s">
        <v>2511</v>
      </c>
      <c r="H42" s="87">
        <v>495.1</v>
      </c>
      <c r="I42" s="162">
        <v>495.1</v>
      </c>
      <c r="J42" s="109">
        <v>0</v>
      </c>
      <c r="K42" s="131" t="s">
        <v>2571</v>
      </c>
      <c r="L42" s="35" t="s">
        <v>244</v>
      </c>
      <c r="M42" s="15">
        <f>SUM(SUMIFS(T[qty_received],T[order_no],E42,T[order_line_no],{1}))</f>
        <v>495.1</v>
      </c>
      <c r="N42" s="303">
        <f t="shared" si="0"/>
        <v>0</v>
      </c>
      <c r="O42" s="304"/>
    </row>
    <row r="43" spans="2:16" s="4" customFormat="1" ht="17.25" thickTop="1" thickBot="1" x14ac:dyDescent="0.3">
      <c r="B43" s="325"/>
      <c r="C43" s="28" t="s">
        <v>244</v>
      </c>
      <c r="D43" s="29" t="s">
        <v>2480</v>
      </c>
      <c r="E43" s="29">
        <v>1189</v>
      </c>
      <c r="F43" s="80">
        <v>1</v>
      </c>
      <c r="G43" s="29" t="s">
        <v>2511</v>
      </c>
      <c r="H43" s="87">
        <v>124.88</v>
      </c>
      <c r="I43" s="162">
        <v>150</v>
      </c>
      <c r="J43" s="109">
        <v>-25.12</v>
      </c>
      <c r="K43" s="131" t="s">
        <v>2571</v>
      </c>
      <c r="L43" s="35" t="s">
        <v>244</v>
      </c>
      <c r="M43" s="15">
        <f>SUM(SUMIFS(T[qty_received],T[order_no],E43,T[order_line_no],{1}))</f>
        <v>124.88</v>
      </c>
      <c r="N43" s="303">
        <f t="shared" si="0"/>
        <v>0</v>
      </c>
      <c r="O43" s="304"/>
    </row>
    <row r="44" spans="2:16" s="4" customFormat="1" ht="17.25" thickTop="1" thickBot="1" x14ac:dyDescent="0.3">
      <c r="B44" s="326"/>
      <c r="C44" s="31" t="s">
        <v>244</v>
      </c>
      <c r="D44" s="29" t="s">
        <v>2480</v>
      </c>
      <c r="E44" s="29">
        <v>1203</v>
      </c>
      <c r="F44" s="80" t="s">
        <v>2361</v>
      </c>
      <c r="G44" s="29" t="s">
        <v>2484</v>
      </c>
      <c r="H44" s="87">
        <v>113.79</v>
      </c>
      <c r="I44" s="163">
        <v>113.79</v>
      </c>
      <c r="J44" s="109">
        <v>0</v>
      </c>
      <c r="K44" s="132" t="s">
        <v>2571</v>
      </c>
      <c r="L44" s="35" t="s">
        <v>244</v>
      </c>
      <c r="M44" s="15">
        <f>SUM(SUMIFS(T[qty_received],T[order_no],E44,T[order_line_no],{1,2,3,4}))</f>
        <v>113.79</v>
      </c>
      <c r="N44" s="303">
        <f t="shared" si="0"/>
        <v>0</v>
      </c>
      <c r="O44" s="304"/>
    </row>
    <row r="45" spans="2:16" s="4" customFormat="1" ht="17.25" thickTop="1" thickBot="1" x14ac:dyDescent="0.3">
      <c r="B45" s="321" t="s">
        <v>2543</v>
      </c>
      <c r="C45" s="33" t="s">
        <v>1031</v>
      </c>
      <c r="D45" s="34" t="s">
        <v>2481</v>
      </c>
      <c r="E45" s="34">
        <v>864</v>
      </c>
      <c r="F45" s="81">
        <v>1</v>
      </c>
      <c r="G45" s="34" t="s">
        <v>2512</v>
      </c>
      <c r="H45" s="88">
        <v>199.94</v>
      </c>
      <c r="I45" s="164">
        <v>199.94</v>
      </c>
      <c r="J45" s="110">
        <v>0</v>
      </c>
      <c r="K45" s="133" t="s">
        <v>2352</v>
      </c>
      <c r="L45" s="35" t="s">
        <v>1031</v>
      </c>
      <c r="M45" s="15">
        <f>SUM(SUMIFS(T[qty_received],T[order_no],E45,T[order_line_no],{1}))</f>
        <v>199.94</v>
      </c>
      <c r="N45" s="303">
        <f t="shared" si="0"/>
        <v>0</v>
      </c>
      <c r="O45" s="304"/>
    </row>
    <row r="46" spans="2:16" s="4" customFormat="1" ht="17.25" thickTop="1" thickBot="1" x14ac:dyDescent="0.3">
      <c r="B46" s="322"/>
      <c r="C46" s="36" t="s">
        <v>1031</v>
      </c>
      <c r="D46" s="34" t="s">
        <v>2482</v>
      </c>
      <c r="E46" s="34">
        <v>873</v>
      </c>
      <c r="F46" s="81">
        <v>1</v>
      </c>
      <c r="G46" s="34" t="s">
        <v>2512</v>
      </c>
      <c r="H46" s="88">
        <v>154.06</v>
      </c>
      <c r="I46" s="165">
        <v>154.06</v>
      </c>
      <c r="J46" s="110">
        <v>0</v>
      </c>
      <c r="K46" s="134" t="s">
        <v>2352</v>
      </c>
      <c r="L46" s="35" t="s">
        <v>1031</v>
      </c>
      <c r="M46" s="15">
        <f>SUM(SUMIFS(T[qty_received],T[order_no],E46,T[order_line_no],{1}))</f>
        <v>154.06</v>
      </c>
      <c r="N46" s="303">
        <f t="shared" si="0"/>
        <v>0</v>
      </c>
      <c r="O46" s="304"/>
    </row>
    <row r="47" spans="2:16" s="4" customFormat="1" ht="17.25" thickTop="1" thickBot="1" x14ac:dyDescent="0.3">
      <c r="B47" s="321" t="s">
        <v>2542</v>
      </c>
      <c r="C47" s="37" t="s">
        <v>130</v>
      </c>
      <c r="D47" s="34" t="s">
        <v>2354</v>
      </c>
      <c r="E47" s="34">
        <v>975</v>
      </c>
      <c r="F47" s="81" t="s">
        <v>2353</v>
      </c>
      <c r="G47" s="34" t="s">
        <v>2513</v>
      </c>
      <c r="H47" s="88">
        <v>942.2</v>
      </c>
      <c r="I47" s="164">
        <v>1000</v>
      </c>
      <c r="J47" s="110">
        <v>-57.8</v>
      </c>
      <c r="K47" s="133" t="s">
        <v>2571</v>
      </c>
      <c r="L47" t="s">
        <v>130</v>
      </c>
      <c r="M47" s="77">
        <f>SUM(SUMIFS(T[qty_received],T[order_no],E47,T[order_line_no],{1}))</f>
        <v>942.2</v>
      </c>
      <c r="N47" s="303">
        <f t="shared" si="0"/>
        <v>0</v>
      </c>
      <c r="O47" s="304"/>
    </row>
    <row r="48" spans="2:16" s="4" customFormat="1" ht="17.25" thickTop="1" thickBot="1" x14ac:dyDescent="0.3">
      <c r="B48" s="323"/>
      <c r="C48" s="38" t="s">
        <v>130</v>
      </c>
      <c r="D48" s="39" t="s">
        <v>2483</v>
      </c>
      <c r="E48" s="39">
        <v>1087</v>
      </c>
      <c r="F48" s="39">
        <v>1</v>
      </c>
      <c r="G48" s="34" t="s">
        <v>2512</v>
      </c>
      <c r="H48" s="89">
        <v>69.56</v>
      </c>
      <c r="I48" s="166">
        <v>90</v>
      </c>
      <c r="J48" s="111">
        <v>-20.440000000000001</v>
      </c>
      <c r="K48" s="135" t="s">
        <v>2571</v>
      </c>
      <c r="L48" s="78" t="s">
        <v>130</v>
      </c>
      <c r="M48" s="79">
        <f>SUM(SUMIFS(T[qty_received],T[order_no],E48,T[order_line_no],{1}))</f>
        <v>69.56</v>
      </c>
      <c r="N48" s="303">
        <f t="shared" si="0"/>
        <v>0</v>
      </c>
      <c r="O48" s="304"/>
      <c r="P48" s="122"/>
    </row>
    <row r="49" spans="2:16" s="4" customFormat="1" ht="17.25" thickTop="1" thickBot="1" x14ac:dyDescent="0.3">
      <c r="B49" s="322"/>
      <c r="C49" s="40" t="s">
        <v>130</v>
      </c>
      <c r="D49" s="83" t="s">
        <v>2351</v>
      </c>
      <c r="E49" s="83">
        <v>1051</v>
      </c>
      <c r="F49" s="34">
        <v>1</v>
      </c>
      <c r="G49" s="34" t="s">
        <v>2512</v>
      </c>
      <c r="H49" s="90">
        <v>276.98</v>
      </c>
      <c r="I49" s="165">
        <v>276.98</v>
      </c>
      <c r="J49" s="112">
        <v>0</v>
      </c>
      <c r="K49" s="134" t="s">
        <v>2352</v>
      </c>
      <c r="L49" s="78" t="s">
        <v>130</v>
      </c>
      <c r="M49" s="79">
        <f>SUM(SUMIFS(T[qty_received],T[order_no],E49,T[order_line_no],{1}))</f>
        <v>276.98</v>
      </c>
      <c r="N49" s="303">
        <f t="shared" si="0"/>
        <v>0</v>
      </c>
      <c r="O49" s="304"/>
    </row>
    <row r="50" spans="2:16" s="4" customFormat="1" ht="20.25" thickTop="1" thickBot="1" x14ac:dyDescent="0.3">
      <c r="B50" s="41" t="s">
        <v>2541</v>
      </c>
      <c r="C50" s="42" t="s">
        <v>691</v>
      </c>
      <c r="D50" s="34" t="s">
        <v>2354</v>
      </c>
      <c r="E50" s="34">
        <v>974</v>
      </c>
      <c r="F50" s="34">
        <v>1</v>
      </c>
      <c r="G50" s="34" t="s">
        <v>2513</v>
      </c>
      <c r="H50" s="88">
        <v>677.71900000000005</v>
      </c>
      <c r="I50" s="167">
        <v>1000</v>
      </c>
      <c r="J50" s="110">
        <v>-322.27999999999997</v>
      </c>
      <c r="K50" s="136" t="s">
        <v>2571</v>
      </c>
      <c r="L50" s="78" t="s">
        <v>691</v>
      </c>
      <c r="M50" s="79">
        <f>SUM(SUMIFS(T[qty_received],T[order_no],E50,T[order_line_no],{1}))</f>
        <v>677.71900000000005</v>
      </c>
      <c r="N50" s="303">
        <f t="shared" si="0"/>
        <v>0</v>
      </c>
      <c r="O50" s="304"/>
    </row>
    <row r="51" spans="2:16" s="4" customFormat="1" ht="17.25" customHeight="1" thickTop="1" thickBot="1" x14ac:dyDescent="0.3">
      <c r="B51" s="318" t="s">
        <v>2364</v>
      </c>
      <c r="C51" s="43" t="s">
        <v>526</v>
      </c>
      <c r="D51" s="44" t="s">
        <v>2484</v>
      </c>
      <c r="E51" s="44">
        <v>880</v>
      </c>
      <c r="F51" s="44" t="s">
        <v>2353</v>
      </c>
      <c r="G51" s="44" t="s">
        <v>2514</v>
      </c>
      <c r="H51" s="91">
        <v>803.88499999999999</v>
      </c>
      <c r="I51" s="168">
        <v>803.88499999999999</v>
      </c>
      <c r="J51" s="113">
        <v>0</v>
      </c>
      <c r="K51" s="137" t="s">
        <v>2352</v>
      </c>
      <c r="L51" s="35" t="s">
        <v>526</v>
      </c>
      <c r="M51" s="76">
        <f>SUM(SUMIFS(T[qty_received],T[order_no],E51,T[order_line_no],{1,2}))/20</f>
        <v>800</v>
      </c>
      <c r="N51" s="303">
        <f>H51-M51</f>
        <v>3.8849999999999998</v>
      </c>
      <c r="O51" s="304"/>
      <c r="P51" s="327" t="s">
        <v>2470</v>
      </c>
    </row>
    <row r="52" spans="2:16" s="4" customFormat="1" ht="17.25" thickTop="1" thickBot="1" x14ac:dyDescent="0.3">
      <c r="B52" s="319"/>
      <c r="C52" s="45" t="s">
        <v>526</v>
      </c>
      <c r="D52" s="44" t="s">
        <v>2481</v>
      </c>
      <c r="E52" s="44">
        <v>927</v>
      </c>
      <c r="F52" s="44" t="s">
        <v>2355</v>
      </c>
      <c r="G52" s="44" t="s">
        <v>2515</v>
      </c>
      <c r="H52" s="91">
        <v>400.05</v>
      </c>
      <c r="I52" s="169">
        <v>400.05</v>
      </c>
      <c r="J52" s="113">
        <v>0</v>
      </c>
      <c r="K52" s="138" t="s">
        <v>2352</v>
      </c>
      <c r="L52" s="35" t="s">
        <v>526</v>
      </c>
      <c r="M52" s="15">
        <f>SUM(SUMIFS(T[qty_received],T[order_no],E52,T[order_line_no],{1,2,3}))/20</f>
        <v>400</v>
      </c>
      <c r="N52" s="303">
        <f t="shared" si="0"/>
        <v>0.05</v>
      </c>
      <c r="O52" s="304"/>
      <c r="P52" s="327"/>
    </row>
    <row r="53" spans="2:16" s="4" customFormat="1" ht="17.25" thickTop="1" thickBot="1" x14ac:dyDescent="0.3">
      <c r="B53" s="319"/>
      <c r="C53" s="45" t="s">
        <v>526</v>
      </c>
      <c r="D53" s="44" t="s">
        <v>2354</v>
      </c>
      <c r="E53" s="44">
        <v>956</v>
      </c>
      <c r="F53" s="44" t="s">
        <v>2353</v>
      </c>
      <c r="G53" s="44" t="s">
        <v>2516</v>
      </c>
      <c r="H53" s="91">
        <v>401.4</v>
      </c>
      <c r="I53" s="169">
        <v>401.4</v>
      </c>
      <c r="J53" s="113">
        <v>0</v>
      </c>
      <c r="K53" s="138" t="s">
        <v>2352</v>
      </c>
      <c r="L53" s="35" t="s">
        <v>526</v>
      </c>
      <c r="M53" s="15">
        <f>SUM(SUMIFS(T[qty_received],T[order_no],E53,T[order_line_no],{1,2}))/20</f>
        <v>399.4</v>
      </c>
      <c r="N53" s="303">
        <f t="shared" si="0"/>
        <v>2</v>
      </c>
      <c r="O53" s="304"/>
      <c r="P53" s="327"/>
    </row>
    <row r="54" spans="2:16" s="4" customFormat="1" ht="17.25" thickTop="1" thickBot="1" x14ac:dyDescent="0.3">
      <c r="B54" s="319"/>
      <c r="C54" s="45" t="s">
        <v>526</v>
      </c>
      <c r="D54" s="44" t="s">
        <v>2484</v>
      </c>
      <c r="E54" s="44">
        <v>934</v>
      </c>
      <c r="F54" s="44" t="s">
        <v>2355</v>
      </c>
      <c r="G54" s="44" t="s">
        <v>2514</v>
      </c>
      <c r="H54" s="91">
        <v>995.91499999999996</v>
      </c>
      <c r="I54" s="169">
        <v>995.91499999999996</v>
      </c>
      <c r="J54" s="113">
        <v>0</v>
      </c>
      <c r="K54" s="138" t="s">
        <v>2352</v>
      </c>
      <c r="L54" s="35" t="s">
        <v>526</v>
      </c>
      <c r="M54" s="15">
        <f>SUM(SUMIFS(T[qty_received],T[order_no],E54,T[order_line_no],{1,2,3}))/20</f>
        <v>995</v>
      </c>
      <c r="N54" s="303">
        <f t="shared" si="0"/>
        <v>0.91500000000000004</v>
      </c>
      <c r="O54" s="304"/>
      <c r="P54" s="327"/>
    </row>
    <row r="55" spans="2:16" s="4" customFormat="1" ht="17.25" thickTop="1" thickBot="1" x14ac:dyDescent="0.3">
      <c r="B55" s="320"/>
      <c r="C55" s="46" t="s">
        <v>526</v>
      </c>
      <c r="D55" s="44" t="s">
        <v>2484</v>
      </c>
      <c r="E55" s="44">
        <v>1033</v>
      </c>
      <c r="F55" s="44">
        <v>1</v>
      </c>
      <c r="G55" s="44" t="s">
        <v>2514</v>
      </c>
      <c r="H55" s="91">
        <v>300</v>
      </c>
      <c r="I55" s="170">
        <v>300</v>
      </c>
      <c r="J55" s="113">
        <v>0</v>
      </c>
      <c r="K55" s="139" t="s">
        <v>2571</v>
      </c>
      <c r="L55" s="35" t="s">
        <v>526</v>
      </c>
      <c r="M55" s="15">
        <f>SUM(SUMIFS(T[qty_received],T[order_no],E55,T[order_line_no],{1}))/20</f>
        <v>300</v>
      </c>
      <c r="N55" s="303">
        <f t="shared" si="0"/>
        <v>0</v>
      </c>
      <c r="O55" s="304"/>
      <c r="P55" s="327"/>
    </row>
    <row r="56" spans="2:16" s="4" customFormat="1" ht="20.25" thickTop="1" thickBot="1" x14ac:dyDescent="0.3">
      <c r="B56" s="47" t="s">
        <v>2365</v>
      </c>
      <c r="C56" s="48" t="s">
        <v>230</v>
      </c>
      <c r="D56" s="49" t="s">
        <v>2477</v>
      </c>
      <c r="E56" s="49">
        <v>883</v>
      </c>
      <c r="F56" s="49" t="s">
        <v>2353</v>
      </c>
      <c r="G56" s="49" t="s">
        <v>2517</v>
      </c>
      <c r="H56" s="99">
        <v>5664.55</v>
      </c>
      <c r="I56" s="171">
        <v>5664.55</v>
      </c>
      <c r="J56" s="114">
        <v>0</v>
      </c>
      <c r="K56" s="140" t="s">
        <v>2352</v>
      </c>
      <c r="L56" s="35" t="s">
        <v>230</v>
      </c>
      <c r="M56" s="15">
        <f>SUM(SUMIFS(T[qty_received],T[order_no],E56,T[order_line_no],{1,2}))</f>
        <v>5664.55</v>
      </c>
      <c r="N56" s="303">
        <f t="shared" si="0"/>
        <v>0</v>
      </c>
      <c r="O56" s="304"/>
    </row>
    <row r="57" spans="2:16" s="4" customFormat="1" ht="20.25" thickTop="1" thickBot="1" x14ac:dyDescent="0.3">
      <c r="B57" s="50" t="s">
        <v>2462</v>
      </c>
      <c r="C57" s="51" t="s">
        <v>230</v>
      </c>
      <c r="D57" s="49" t="s">
        <v>2477</v>
      </c>
      <c r="E57" s="49">
        <v>935</v>
      </c>
      <c r="F57" s="49" t="s">
        <v>2361</v>
      </c>
      <c r="G57" s="49" t="s">
        <v>2518</v>
      </c>
      <c r="H57" s="92">
        <v>230.33</v>
      </c>
      <c r="I57" s="172">
        <v>230.33</v>
      </c>
      <c r="J57" s="114">
        <v>0</v>
      </c>
      <c r="K57" s="141" t="s">
        <v>2352</v>
      </c>
      <c r="L57" s="35" t="s">
        <v>230</v>
      </c>
      <c r="M57" s="15">
        <f>SUM(SUMIFS(T[qty_received],T[order_no],E57,T[order_line_no],{1,2,3,4}))</f>
        <v>230.33</v>
      </c>
      <c r="N57" s="303">
        <f t="shared" si="0"/>
        <v>0</v>
      </c>
      <c r="O57" s="304"/>
    </row>
    <row r="58" spans="2:16" s="4" customFormat="1" ht="17.25" thickTop="1" thickBot="1" x14ac:dyDescent="0.3">
      <c r="B58" s="316" t="s">
        <v>2366</v>
      </c>
      <c r="C58" s="52" t="s">
        <v>287</v>
      </c>
      <c r="D58" s="53" t="s">
        <v>2485</v>
      </c>
      <c r="E58" s="53">
        <v>923</v>
      </c>
      <c r="F58" s="53" t="s">
        <v>2367</v>
      </c>
      <c r="G58" s="53" t="s">
        <v>2519</v>
      </c>
      <c r="H58" s="100">
        <v>7653.14</v>
      </c>
      <c r="I58" s="173">
        <v>7653.14</v>
      </c>
      <c r="J58" s="115">
        <v>0</v>
      </c>
      <c r="K58" s="142" t="s">
        <v>2352</v>
      </c>
      <c r="L58" s="35" t="s">
        <v>287</v>
      </c>
      <c r="M58" s="15">
        <f>SUM(SUMIFS(T[qty_received],T[order_no],E58,T[order_line_no],{1,2,3,4,5}))</f>
        <v>7653.14</v>
      </c>
      <c r="N58" s="303">
        <f t="shared" si="0"/>
        <v>0</v>
      </c>
      <c r="O58" s="304"/>
    </row>
    <row r="59" spans="2:16" s="4" customFormat="1" ht="17.25" thickTop="1" thickBot="1" x14ac:dyDescent="0.3">
      <c r="B59" s="317"/>
      <c r="C59" s="54" t="s">
        <v>287</v>
      </c>
      <c r="D59" s="53" t="s">
        <v>2354</v>
      </c>
      <c r="E59" s="53">
        <v>925</v>
      </c>
      <c r="F59" s="53" t="s">
        <v>2355</v>
      </c>
      <c r="G59" s="53" t="s">
        <v>2520</v>
      </c>
      <c r="H59" s="100">
        <v>4090.8</v>
      </c>
      <c r="I59" s="174">
        <v>5083.21</v>
      </c>
      <c r="J59" s="115">
        <v>-992.41</v>
      </c>
      <c r="K59" s="143" t="s">
        <v>2571</v>
      </c>
      <c r="L59" s="35" t="s">
        <v>287</v>
      </c>
      <c r="M59" s="15">
        <f>SUM(SUMIFS(T[qty_received],T[order_no],E59,T[order_line_no],{1,2,3}))</f>
        <v>4090.8</v>
      </c>
      <c r="N59" s="303">
        <f t="shared" si="0"/>
        <v>0</v>
      </c>
      <c r="O59" s="304"/>
    </row>
    <row r="60" spans="2:16" s="4" customFormat="1" ht="17.25" thickTop="1" thickBot="1" x14ac:dyDescent="0.3">
      <c r="B60" s="317"/>
      <c r="C60" s="54" t="s">
        <v>287</v>
      </c>
      <c r="D60" s="53" t="s">
        <v>2485</v>
      </c>
      <c r="E60" s="53">
        <v>992</v>
      </c>
      <c r="F60" s="53">
        <v>1</v>
      </c>
      <c r="G60" s="53" t="s">
        <v>2521</v>
      </c>
      <c r="H60" s="100">
        <v>3170.46</v>
      </c>
      <c r="I60" s="174">
        <v>3170.46</v>
      </c>
      <c r="J60" s="115">
        <v>0</v>
      </c>
      <c r="K60" s="143" t="s">
        <v>2352</v>
      </c>
      <c r="L60" s="35" t="s">
        <v>287</v>
      </c>
      <c r="M60" s="15">
        <f>SUM(SUMIFS(T[qty_received],T[order_no],E60,T[order_line_no],{1}))</f>
        <v>3170.46</v>
      </c>
      <c r="N60" s="303">
        <f t="shared" si="0"/>
        <v>0</v>
      </c>
      <c r="O60" s="304"/>
    </row>
    <row r="61" spans="2:16" s="4" customFormat="1" ht="17.25" thickTop="1" thickBot="1" x14ac:dyDescent="0.3">
      <c r="B61" s="317"/>
      <c r="C61" s="54" t="s">
        <v>287</v>
      </c>
      <c r="D61" s="53" t="s">
        <v>2485</v>
      </c>
      <c r="E61" s="53">
        <v>1038</v>
      </c>
      <c r="F61" s="53" t="s">
        <v>2355</v>
      </c>
      <c r="G61" s="53" t="s">
        <v>2520</v>
      </c>
      <c r="H61" s="100">
        <v>2936.19</v>
      </c>
      <c r="I61" s="174">
        <v>2936.19</v>
      </c>
      <c r="J61" s="115">
        <v>0</v>
      </c>
      <c r="K61" s="143" t="s">
        <v>2352</v>
      </c>
      <c r="L61" s="35" t="s">
        <v>287</v>
      </c>
      <c r="M61" s="15">
        <f>SUM(SUMIFS(T[qty_received],T[order_no],E61,T[order_line_no],{1,2,3}))</f>
        <v>2936.19</v>
      </c>
      <c r="N61" s="303">
        <f t="shared" si="0"/>
        <v>0</v>
      </c>
      <c r="O61" s="304"/>
    </row>
    <row r="62" spans="2:16" s="4" customFormat="1" ht="17.25" thickTop="1" thickBot="1" x14ac:dyDescent="0.3">
      <c r="B62" s="317"/>
      <c r="C62" s="54" t="s">
        <v>287</v>
      </c>
      <c r="D62" s="53" t="s">
        <v>2486</v>
      </c>
      <c r="E62" s="53">
        <v>1046</v>
      </c>
      <c r="F62" s="53" t="s">
        <v>2355</v>
      </c>
      <c r="G62" s="53" t="s">
        <v>2520</v>
      </c>
      <c r="H62" s="100">
        <v>1000</v>
      </c>
      <c r="I62" s="174">
        <v>1000</v>
      </c>
      <c r="J62" s="115">
        <v>0</v>
      </c>
      <c r="K62" s="143" t="s">
        <v>2352</v>
      </c>
      <c r="L62" s="35" t="s">
        <v>287</v>
      </c>
      <c r="M62" s="15">
        <f>SUM(SUMIFS(T[qty_received],T[order_no],E62,T[order_line_no],{1,2,3}))</f>
        <v>1000</v>
      </c>
      <c r="N62" s="303">
        <f t="shared" si="0"/>
        <v>0</v>
      </c>
      <c r="O62" s="304"/>
    </row>
    <row r="63" spans="2:16" s="4" customFormat="1" ht="17.25" thickTop="1" thickBot="1" x14ac:dyDescent="0.3">
      <c r="B63" s="317"/>
      <c r="C63" s="54" t="s">
        <v>287</v>
      </c>
      <c r="D63" s="53" t="s">
        <v>2486</v>
      </c>
      <c r="E63" s="53">
        <v>1055</v>
      </c>
      <c r="F63" s="53" t="s">
        <v>2353</v>
      </c>
      <c r="G63" s="53" t="s">
        <v>2522</v>
      </c>
      <c r="H63" s="93">
        <v>501.86</v>
      </c>
      <c r="I63" s="174">
        <v>1000</v>
      </c>
      <c r="J63" s="115">
        <v>-498.14</v>
      </c>
      <c r="K63" s="143" t="s">
        <v>2571</v>
      </c>
      <c r="L63" s="35" t="s">
        <v>287</v>
      </c>
      <c r="M63" s="15">
        <f>SUM(SUMIFS(T[qty_received],T[order_no],E63,T[order_line_no],{1,2}))</f>
        <v>501.86</v>
      </c>
      <c r="N63" s="303">
        <f t="shared" si="0"/>
        <v>0</v>
      </c>
      <c r="O63" s="304"/>
    </row>
    <row r="64" spans="2:16" s="4" customFormat="1" ht="17.25" thickTop="1" thickBot="1" x14ac:dyDescent="0.3">
      <c r="B64" s="317"/>
      <c r="C64" s="54" t="s">
        <v>287</v>
      </c>
      <c r="D64" s="53" t="s">
        <v>2485</v>
      </c>
      <c r="E64" s="53">
        <v>1113</v>
      </c>
      <c r="F64" s="53">
        <v>1</v>
      </c>
      <c r="G64" s="53" t="s">
        <v>2523</v>
      </c>
      <c r="H64" s="100">
        <v>1299.53</v>
      </c>
      <c r="I64" s="174">
        <v>1299.53</v>
      </c>
      <c r="J64" s="115">
        <v>0</v>
      </c>
      <c r="K64" s="143" t="s">
        <v>2571</v>
      </c>
      <c r="L64" s="35" t="s">
        <v>287</v>
      </c>
      <c r="M64" s="15">
        <f>SUM(SUMIFS(T[qty_received],T[order_no],E64,T[order_line_no],{1}))</f>
        <v>1299.53</v>
      </c>
      <c r="N64" s="303">
        <f t="shared" si="0"/>
        <v>0</v>
      </c>
      <c r="O64" s="304"/>
    </row>
    <row r="65" spans="2:15" s="4" customFormat="1" ht="17.25" thickTop="1" thickBot="1" x14ac:dyDescent="0.3">
      <c r="B65" s="317"/>
      <c r="C65" s="54" t="s">
        <v>287</v>
      </c>
      <c r="D65" s="53" t="s">
        <v>2359</v>
      </c>
      <c r="E65" s="53">
        <v>1135</v>
      </c>
      <c r="F65" s="53" t="s">
        <v>2353</v>
      </c>
      <c r="G65" s="53" t="s">
        <v>2524</v>
      </c>
      <c r="H65" s="93">
        <v>109.75</v>
      </c>
      <c r="I65" s="174">
        <v>500</v>
      </c>
      <c r="J65" s="115">
        <v>-390.25</v>
      </c>
      <c r="K65" s="143" t="s">
        <v>2571</v>
      </c>
      <c r="L65" s="35" t="s">
        <v>287</v>
      </c>
      <c r="M65" s="15">
        <f>SUM(SUMIFS(T[qty_received],T[order_no],E65,T[order_line_no],{1,2}))</f>
        <v>109.75</v>
      </c>
      <c r="N65" s="303">
        <f t="shared" si="0"/>
        <v>0</v>
      </c>
      <c r="O65" s="304"/>
    </row>
    <row r="66" spans="2:15" s="4" customFormat="1" ht="17.25" thickTop="1" thickBot="1" x14ac:dyDescent="0.3">
      <c r="B66" s="308" t="s">
        <v>2540</v>
      </c>
      <c r="C66" s="54" t="s">
        <v>2069</v>
      </c>
      <c r="D66" s="53" t="s">
        <v>2487</v>
      </c>
      <c r="E66" s="53">
        <v>980</v>
      </c>
      <c r="F66" s="53" t="s">
        <v>2361</v>
      </c>
      <c r="G66" s="53" t="s">
        <v>2525</v>
      </c>
      <c r="H66" s="100">
        <v>2899.567</v>
      </c>
      <c r="I66" s="174">
        <v>2899.567</v>
      </c>
      <c r="J66" s="115">
        <v>0</v>
      </c>
      <c r="K66" s="143" t="s">
        <v>2352</v>
      </c>
      <c r="L66" s="35" t="s">
        <v>2069</v>
      </c>
      <c r="M66" s="15">
        <f>SUM(SUMIFS(T[qty_received],T[order_no],E66,T[order_line_no],{1,2,3,4}))</f>
        <v>2899.567</v>
      </c>
      <c r="N66" s="303">
        <f t="shared" si="0"/>
        <v>0</v>
      </c>
      <c r="O66" s="304"/>
    </row>
    <row r="67" spans="2:15" s="4" customFormat="1" ht="17.25" thickTop="1" thickBot="1" x14ac:dyDescent="0.3">
      <c r="B67" s="309"/>
      <c r="C67" s="55" t="s">
        <v>2069</v>
      </c>
      <c r="D67" s="53" t="s">
        <v>2359</v>
      </c>
      <c r="E67" s="53">
        <v>1134</v>
      </c>
      <c r="F67" s="53">
        <v>1</v>
      </c>
      <c r="G67" s="53" t="s">
        <v>2526</v>
      </c>
      <c r="H67" s="93">
        <v>11.59</v>
      </c>
      <c r="I67" s="175">
        <v>500</v>
      </c>
      <c r="J67" s="115">
        <v>-488.41</v>
      </c>
      <c r="K67" s="144" t="s">
        <v>2571</v>
      </c>
      <c r="L67" s="35" t="s">
        <v>2069</v>
      </c>
      <c r="M67" s="15">
        <f>SUM(SUMIFS(T[qty_received],T[order_no],E67,T[order_line_no],{1}))</f>
        <v>11.59</v>
      </c>
      <c r="N67" s="303">
        <f t="shared" si="0"/>
        <v>0</v>
      </c>
      <c r="O67" s="304"/>
    </row>
    <row r="68" spans="2:15" s="4" customFormat="1" ht="17.25" thickTop="1" thickBot="1" x14ac:dyDescent="0.3">
      <c r="B68" s="313" t="s">
        <v>2368</v>
      </c>
      <c r="C68" s="56" t="s">
        <v>196</v>
      </c>
      <c r="D68" s="57" t="s">
        <v>2477</v>
      </c>
      <c r="E68" s="57">
        <v>900</v>
      </c>
      <c r="F68" s="57" t="s">
        <v>2361</v>
      </c>
      <c r="G68" s="57" t="s">
        <v>2527</v>
      </c>
      <c r="H68" s="101">
        <v>7037.4610000000002</v>
      </c>
      <c r="I68" s="176">
        <v>7037.4610000000002</v>
      </c>
      <c r="J68" s="116">
        <v>0</v>
      </c>
      <c r="K68" s="145" t="s">
        <v>2352</v>
      </c>
      <c r="L68" s="35" t="s">
        <v>196</v>
      </c>
      <c r="M68" s="15">
        <f>SUM(SUMIFS(T[qty_received],T[order_no],E68,T[order_line_no],{1,2,3,4}))</f>
        <v>7037.4610000000002</v>
      </c>
      <c r="N68" s="303">
        <f t="shared" si="0"/>
        <v>0</v>
      </c>
      <c r="O68" s="304"/>
    </row>
    <row r="69" spans="2:15" s="4" customFormat="1" ht="17.25" thickTop="1" thickBot="1" x14ac:dyDescent="0.3">
      <c r="B69" s="314"/>
      <c r="C69" s="58" t="s">
        <v>196</v>
      </c>
      <c r="D69" s="57" t="s">
        <v>2488</v>
      </c>
      <c r="E69" s="57">
        <v>1028</v>
      </c>
      <c r="F69" s="57">
        <v>1</v>
      </c>
      <c r="G69" s="57" t="s">
        <v>2528</v>
      </c>
      <c r="H69" s="101">
        <v>3000</v>
      </c>
      <c r="I69" s="177">
        <v>3000</v>
      </c>
      <c r="J69" s="116">
        <v>0</v>
      </c>
      <c r="K69" s="146" t="s">
        <v>2352</v>
      </c>
      <c r="L69" s="35" t="s">
        <v>196</v>
      </c>
      <c r="M69" s="15">
        <f>SUM(SUMIFS(T[qty_received],T[order_no],E69,T[order_line_no],{1}))</f>
        <v>3000</v>
      </c>
      <c r="N69" s="303">
        <f t="shared" si="0"/>
        <v>0</v>
      </c>
      <c r="O69" s="304"/>
    </row>
    <row r="70" spans="2:15" s="4" customFormat="1" ht="17.25" thickTop="1" thickBot="1" x14ac:dyDescent="0.3">
      <c r="B70" s="314"/>
      <c r="C70" s="58" t="s">
        <v>196</v>
      </c>
      <c r="D70" s="57" t="s">
        <v>2488</v>
      </c>
      <c r="E70" s="57">
        <v>1056</v>
      </c>
      <c r="F70" s="57" t="s">
        <v>2355</v>
      </c>
      <c r="G70" s="57" t="s">
        <v>2528</v>
      </c>
      <c r="H70" s="101">
        <v>7000</v>
      </c>
      <c r="I70" s="177">
        <v>7000</v>
      </c>
      <c r="J70" s="116">
        <v>0</v>
      </c>
      <c r="K70" s="146" t="s">
        <v>2352</v>
      </c>
      <c r="L70" s="35" t="s">
        <v>196</v>
      </c>
      <c r="M70" s="15">
        <f>SUM(SUMIFS(T[qty_received],T[order_no],E70,T[order_line_no],{1,2,3}))</f>
        <v>7000</v>
      </c>
      <c r="N70" s="303">
        <f t="shared" si="0"/>
        <v>0</v>
      </c>
      <c r="O70" s="304"/>
    </row>
    <row r="71" spans="2:15" s="4" customFormat="1" ht="17.25" thickTop="1" thickBot="1" x14ac:dyDescent="0.3">
      <c r="B71" s="315"/>
      <c r="C71" s="58" t="s">
        <v>196</v>
      </c>
      <c r="D71" s="57" t="s">
        <v>2477</v>
      </c>
      <c r="E71" s="57">
        <v>1071</v>
      </c>
      <c r="F71" s="57" t="s">
        <v>2355</v>
      </c>
      <c r="G71" s="57" t="s">
        <v>2517</v>
      </c>
      <c r="H71" s="101">
        <v>20240.837</v>
      </c>
      <c r="I71" s="177">
        <v>20240.837</v>
      </c>
      <c r="J71" s="116">
        <v>0</v>
      </c>
      <c r="K71" s="146" t="s">
        <v>2352</v>
      </c>
      <c r="L71" s="35" t="s">
        <v>196</v>
      </c>
      <c r="M71" s="15">
        <f>SUM(SUMIFS(T[qty_received],T[order_no],E71,T[order_line_no],{1,2,3}))</f>
        <v>20240.837</v>
      </c>
      <c r="N71" s="303">
        <f t="shared" ref="N71:N86" si="1">H71-M71</f>
        <v>0</v>
      </c>
      <c r="O71" s="304"/>
    </row>
    <row r="72" spans="2:15" s="4" customFormat="1" ht="17.25" thickTop="1" thickBot="1" x14ac:dyDescent="0.3">
      <c r="B72" s="310" t="s">
        <v>2369</v>
      </c>
      <c r="C72" s="59" t="s">
        <v>167</v>
      </c>
      <c r="D72" s="60" t="s">
        <v>2370</v>
      </c>
      <c r="E72" s="60">
        <v>1007</v>
      </c>
      <c r="F72" s="60" t="s">
        <v>2355</v>
      </c>
      <c r="G72" s="60" t="s">
        <v>2529</v>
      </c>
      <c r="H72" s="102">
        <v>1210</v>
      </c>
      <c r="I72" s="178">
        <v>1210</v>
      </c>
      <c r="J72" s="117">
        <v>0</v>
      </c>
      <c r="K72" s="147" t="s">
        <v>2352</v>
      </c>
      <c r="L72" s="35" t="s">
        <v>167</v>
      </c>
      <c r="M72" s="15">
        <f>SUM(SUMIFS(T[qty_received],T[order_no],E72,T[order_line_no],{1,2,3}))</f>
        <v>1210</v>
      </c>
      <c r="N72" s="303">
        <f t="shared" si="1"/>
        <v>0</v>
      </c>
      <c r="O72" s="304"/>
    </row>
    <row r="73" spans="2:15" s="4" customFormat="1" ht="17.25" thickTop="1" thickBot="1" x14ac:dyDescent="0.3">
      <c r="B73" s="311"/>
      <c r="C73" s="61" t="s">
        <v>167</v>
      </c>
      <c r="D73" s="60" t="s">
        <v>2370</v>
      </c>
      <c r="E73" s="60">
        <v>1039</v>
      </c>
      <c r="F73" s="60" t="s">
        <v>2355</v>
      </c>
      <c r="G73" s="60" t="s">
        <v>2530</v>
      </c>
      <c r="H73" s="102">
        <v>1000</v>
      </c>
      <c r="I73" s="179">
        <v>1000</v>
      </c>
      <c r="J73" s="117">
        <v>0</v>
      </c>
      <c r="K73" s="148" t="s">
        <v>2352</v>
      </c>
      <c r="L73" s="35" t="s">
        <v>167</v>
      </c>
      <c r="M73" s="15">
        <f>SUM(SUMIFS(T[qty_received],T[order_no],E73,T[order_line_no],{1,2,3}))</f>
        <v>1000</v>
      </c>
      <c r="N73" s="303">
        <f t="shared" si="1"/>
        <v>0</v>
      </c>
      <c r="O73" s="304"/>
    </row>
    <row r="74" spans="2:15" s="4" customFormat="1" ht="17.25" thickTop="1" thickBot="1" x14ac:dyDescent="0.3">
      <c r="B74" s="311"/>
      <c r="C74" s="61" t="s">
        <v>167</v>
      </c>
      <c r="D74" s="60" t="s">
        <v>2370</v>
      </c>
      <c r="E74" s="60">
        <v>1052</v>
      </c>
      <c r="F74" s="60" t="s">
        <v>2353</v>
      </c>
      <c r="G74" s="60" t="s">
        <v>2531</v>
      </c>
      <c r="H74" s="102">
        <v>1078.72</v>
      </c>
      <c r="I74" s="179">
        <v>1078.72</v>
      </c>
      <c r="J74" s="117">
        <v>0</v>
      </c>
      <c r="K74" s="148" t="s">
        <v>2352</v>
      </c>
      <c r="L74" s="35" t="s">
        <v>167</v>
      </c>
      <c r="M74" s="15">
        <f>SUM(SUMIFS(T[qty_received],T[order_no],E74,T[order_line_no],{1,2}))</f>
        <v>1078.72</v>
      </c>
      <c r="N74" s="303">
        <f t="shared" si="1"/>
        <v>0</v>
      </c>
      <c r="O74" s="304"/>
    </row>
    <row r="75" spans="2:15" s="4" customFormat="1" ht="17.25" thickTop="1" thickBot="1" x14ac:dyDescent="0.3">
      <c r="B75" s="311"/>
      <c r="C75" s="61" t="s">
        <v>167</v>
      </c>
      <c r="D75" s="60" t="s">
        <v>2370</v>
      </c>
      <c r="E75" s="60">
        <v>1058</v>
      </c>
      <c r="F75" s="62" t="s">
        <v>2353</v>
      </c>
      <c r="G75" s="60" t="s">
        <v>2532</v>
      </c>
      <c r="H75" s="120">
        <v>900</v>
      </c>
      <c r="I75" s="179">
        <v>900</v>
      </c>
      <c r="J75" s="117">
        <v>0</v>
      </c>
      <c r="K75" s="148" t="s">
        <v>2352</v>
      </c>
      <c r="L75" s="35" t="s">
        <v>167</v>
      </c>
      <c r="M75" s="15">
        <f>SUM(SUMIFS(T[qty_received],T[order_no],E75,T[order_line_no],{1,2}))</f>
        <v>900</v>
      </c>
      <c r="N75" s="303">
        <f t="shared" si="1"/>
        <v>0</v>
      </c>
      <c r="O75" s="304"/>
    </row>
    <row r="76" spans="2:15" s="4" customFormat="1" ht="17.25" thickTop="1" thickBot="1" x14ac:dyDescent="0.3">
      <c r="B76" s="311"/>
      <c r="C76" s="61" t="s">
        <v>167</v>
      </c>
      <c r="D76" s="60" t="s">
        <v>2370</v>
      </c>
      <c r="E76" s="60">
        <v>1061</v>
      </c>
      <c r="F76" s="63">
        <v>1</v>
      </c>
      <c r="G76" s="60" t="s">
        <v>2533</v>
      </c>
      <c r="H76" s="120">
        <v>500</v>
      </c>
      <c r="I76" s="179">
        <v>500</v>
      </c>
      <c r="J76" s="117">
        <v>0</v>
      </c>
      <c r="K76" s="148" t="s">
        <v>2352</v>
      </c>
      <c r="L76" s="35" t="s">
        <v>167</v>
      </c>
      <c r="M76" s="15">
        <f>SUM(SUMIFS(T[qty_received],T[order_no],E76,T[order_line_no],{1}))</f>
        <v>500</v>
      </c>
      <c r="N76" s="303">
        <f t="shared" si="1"/>
        <v>0</v>
      </c>
      <c r="O76" s="304"/>
    </row>
    <row r="77" spans="2:15" s="4" customFormat="1" ht="17.25" thickTop="1" thickBot="1" x14ac:dyDescent="0.3">
      <c r="B77" s="311"/>
      <c r="C77" s="61" t="s">
        <v>167</v>
      </c>
      <c r="D77" s="60" t="s">
        <v>2370</v>
      </c>
      <c r="E77" s="60">
        <v>1111</v>
      </c>
      <c r="F77" s="63">
        <v>1</v>
      </c>
      <c r="G77" s="60" t="s">
        <v>2533</v>
      </c>
      <c r="H77" s="120">
        <v>800</v>
      </c>
      <c r="I77" s="179">
        <v>800</v>
      </c>
      <c r="J77" s="117">
        <v>0</v>
      </c>
      <c r="K77" s="148" t="s">
        <v>2352</v>
      </c>
      <c r="L77" s="35" t="s">
        <v>167</v>
      </c>
      <c r="M77" s="15">
        <f>SUM(SUMIFS(T[qty_received],T[order_no],E77,T[order_line_no],{1}))</f>
        <v>800</v>
      </c>
      <c r="N77" s="303">
        <f t="shared" si="1"/>
        <v>0</v>
      </c>
      <c r="O77" s="304"/>
    </row>
    <row r="78" spans="2:15" s="4" customFormat="1" ht="17.25" thickTop="1" thickBot="1" x14ac:dyDescent="0.3">
      <c r="B78" s="311"/>
      <c r="C78" s="61" t="s">
        <v>167</v>
      </c>
      <c r="D78" s="60" t="s">
        <v>2370</v>
      </c>
      <c r="E78" s="60">
        <v>1136</v>
      </c>
      <c r="F78" s="63">
        <v>1</v>
      </c>
      <c r="G78" s="60" t="s">
        <v>2533</v>
      </c>
      <c r="H78" s="120">
        <v>521.28</v>
      </c>
      <c r="I78" s="179">
        <v>600</v>
      </c>
      <c r="J78" s="117">
        <v>-78.72</v>
      </c>
      <c r="K78" s="148" t="s">
        <v>2571</v>
      </c>
      <c r="L78" s="35" t="s">
        <v>167</v>
      </c>
      <c r="M78" s="15">
        <f>SUM(SUMIFS(T[qty_received],T[order_no],E78,T[order_line_no],{1}))</f>
        <v>521.28</v>
      </c>
      <c r="N78" s="303">
        <f t="shared" si="1"/>
        <v>0</v>
      </c>
      <c r="O78" s="304"/>
    </row>
    <row r="79" spans="2:15" s="4" customFormat="1" ht="17.25" thickTop="1" thickBot="1" x14ac:dyDescent="0.3">
      <c r="B79" s="311"/>
      <c r="C79" s="64" t="s">
        <v>2458</v>
      </c>
      <c r="D79" s="60" t="s">
        <v>2484</v>
      </c>
      <c r="E79" s="60">
        <v>1032</v>
      </c>
      <c r="F79" s="65" t="s">
        <v>2353</v>
      </c>
      <c r="G79" s="60" t="s">
        <v>2514</v>
      </c>
      <c r="H79" s="120">
        <v>321.5</v>
      </c>
      <c r="I79" s="179">
        <v>321.5</v>
      </c>
      <c r="J79" s="117">
        <v>0</v>
      </c>
      <c r="K79" s="148" t="s">
        <v>2571</v>
      </c>
      <c r="L79" s="35" t="s">
        <v>2458</v>
      </c>
      <c r="M79" s="15">
        <f>SUM(SUMIFS(T[qty_received],T[order_no],E79,T[order_line_no],{1,2}))</f>
        <v>321.5</v>
      </c>
      <c r="N79" s="303">
        <f t="shared" si="1"/>
        <v>0</v>
      </c>
      <c r="O79" s="304"/>
    </row>
    <row r="80" spans="2:15" s="4" customFormat="1" ht="17.25" thickTop="1" thickBot="1" x14ac:dyDescent="0.3">
      <c r="B80" s="312"/>
      <c r="C80" s="64" t="s">
        <v>167</v>
      </c>
      <c r="D80" s="60" t="s">
        <v>2370</v>
      </c>
      <c r="E80" s="60">
        <v>1213</v>
      </c>
      <c r="F80" s="65">
        <v>1</v>
      </c>
      <c r="G80" s="60" t="s">
        <v>2534</v>
      </c>
      <c r="H80" s="120">
        <v>600</v>
      </c>
      <c r="I80" s="180">
        <v>600</v>
      </c>
      <c r="J80" s="117">
        <v>0</v>
      </c>
      <c r="K80" s="149" t="s">
        <v>2571</v>
      </c>
      <c r="L80" s="35" t="s">
        <v>167</v>
      </c>
      <c r="M80" s="15">
        <f>SUM(SUMIFS(T[qty_received],T[order_no],E80,T[order_line_no],{1}))</f>
        <v>600</v>
      </c>
      <c r="N80" s="303">
        <f t="shared" si="1"/>
        <v>0</v>
      </c>
      <c r="O80" s="304"/>
    </row>
    <row r="81" spans="2:15" s="4" customFormat="1" ht="17.25" thickTop="1" thickBot="1" x14ac:dyDescent="0.3">
      <c r="B81" s="305" t="s">
        <v>2545</v>
      </c>
      <c r="C81" s="66" t="s">
        <v>300</v>
      </c>
      <c r="D81" s="67" t="s">
        <v>2354</v>
      </c>
      <c r="E81" s="67">
        <v>1090</v>
      </c>
      <c r="F81" s="67">
        <v>1</v>
      </c>
      <c r="G81" s="67" t="s">
        <v>2535</v>
      </c>
      <c r="H81" s="94">
        <v>216.66</v>
      </c>
      <c r="I81" s="181">
        <v>1000</v>
      </c>
      <c r="J81" s="118">
        <v>-783.34</v>
      </c>
      <c r="K81" s="150" t="s">
        <v>2571</v>
      </c>
      <c r="L81" s="35" t="s">
        <v>300</v>
      </c>
      <c r="M81" s="15">
        <f>SUM(SUMIFS(T[qty_received],T[order_no],E81,T[order_line_no],{1}))</f>
        <v>216.66</v>
      </c>
      <c r="N81" s="303">
        <f t="shared" si="1"/>
        <v>0</v>
      </c>
      <c r="O81" s="304"/>
    </row>
    <row r="82" spans="2:15" s="4" customFormat="1" ht="17.25" thickTop="1" thickBot="1" x14ac:dyDescent="0.3">
      <c r="B82" s="306"/>
      <c r="C82" s="68" t="s">
        <v>300</v>
      </c>
      <c r="D82" s="67" t="s">
        <v>2476</v>
      </c>
      <c r="E82" s="67">
        <v>1075</v>
      </c>
      <c r="F82" s="67">
        <v>1</v>
      </c>
      <c r="G82" s="67" t="s">
        <v>2536</v>
      </c>
      <c r="H82" s="94">
        <v>209.32</v>
      </c>
      <c r="I82" s="182">
        <v>209.32</v>
      </c>
      <c r="J82" s="118">
        <v>0</v>
      </c>
      <c r="K82" s="151" t="s">
        <v>2352</v>
      </c>
      <c r="L82" s="35" t="s">
        <v>300</v>
      </c>
      <c r="M82" s="15">
        <f>SUM(SUMIFS(T[qty_received],T[order_no],E82,T[order_line_no],{1}))</f>
        <v>209.32</v>
      </c>
      <c r="N82" s="303">
        <f t="shared" si="1"/>
        <v>0</v>
      </c>
      <c r="O82" s="304"/>
    </row>
    <row r="83" spans="2:15" s="4" customFormat="1" ht="17.25" thickTop="1" thickBot="1" x14ac:dyDescent="0.3">
      <c r="B83" s="306"/>
      <c r="C83" s="68" t="s">
        <v>300</v>
      </c>
      <c r="D83" s="67" t="s">
        <v>2354</v>
      </c>
      <c r="E83" s="67">
        <v>1156</v>
      </c>
      <c r="F83" s="67" t="s">
        <v>2353</v>
      </c>
      <c r="G83" s="67" t="s">
        <v>2535</v>
      </c>
      <c r="H83" s="94">
        <v>77.92</v>
      </c>
      <c r="I83" s="182">
        <v>250</v>
      </c>
      <c r="J83" s="118">
        <v>-172.08</v>
      </c>
      <c r="K83" s="151" t="s">
        <v>2571</v>
      </c>
      <c r="L83" s="35" t="s">
        <v>300</v>
      </c>
      <c r="M83" s="15">
        <f>SUM(SUMIFS(T[qty_received],T[order_no],E83,T[order_line_no],{1,2}))</f>
        <v>77.92</v>
      </c>
      <c r="N83" s="303">
        <f t="shared" si="1"/>
        <v>0</v>
      </c>
      <c r="O83" s="304"/>
    </row>
    <row r="84" spans="2:15" s="4" customFormat="1" ht="17.25" thickTop="1" thickBot="1" x14ac:dyDescent="0.3">
      <c r="B84" s="306"/>
      <c r="C84" s="68" t="s">
        <v>300</v>
      </c>
      <c r="D84" s="67" t="s">
        <v>2489</v>
      </c>
      <c r="E84" s="67">
        <v>1178</v>
      </c>
      <c r="F84" s="67" t="s">
        <v>2353</v>
      </c>
      <c r="G84" s="67" t="s">
        <v>2535</v>
      </c>
      <c r="H84" s="94">
        <v>21.72</v>
      </c>
      <c r="I84" s="182">
        <v>22.001999999999999</v>
      </c>
      <c r="J84" s="118">
        <v>-0.28000000000000003</v>
      </c>
      <c r="K84" s="151" t="s">
        <v>2571</v>
      </c>
      <c r="L84" s="35" t="s">
        <v>300</v>
      </c>
      <c r="M84" s="15">
        <f>SUM(SUMIFS(T[qty_received],T[order_no],E84,T[order_line_no],{1,2}))</f>
        <v>21.72</v>
      </c>
      <c r="N84" s="303">
        <f t="shared" si="1"/>
        <v>0</v>
      </c>
      <c r="O84" s="304"/>
    </row>
    <row r="85" spans="2:15" s="4" customFormat="1" ht="17.25" thickTop="1" thickBot="1" x14ac:dyDescent="0.3">
      <c r="B85" s="307"/>
      <c r="C85" s="69" t="s">
        <v>1259</v>
      </c>
      <c r="D85" s="67" t="s">
        <v>2490</v>
      </c>
      <c r="E85" s="67">
        <v>1108</v>
      </c>
      <c r="F85" s="67">
        <v>1</v>
      </c>
      <c r="G85" s="67" t="s">
        <v>2536</v>
      </c>
      <c r="H85" s="94">
        <v>228</v>
      </c>
      <c r="I85" s="183">
        <v>228</v>
      </c>
      <c r="J85" s="118">
        <v>0</v>
      </c>
      <c r="K85" s="152" t="s">
        <v>2352</v>
      </c>
      <c r="L85" s="35" t="s">
        <v>1259</v>
      </c>
      <c r="M85" s="15">
        <f>SUM(SUMIFS(T[qty_received],T[order_no],E85,T[order_line_no],{1}))</f>
        <v>228</v>
      </c>
      <c r="N85" s="303">
        <f t="shared" si="1"/>
        <v>0</v>
      </c>
      <c r="O85" s="304"/>
    </row>
    <row r="86" spans="2:15" s="4" customFormat="1" ht="20.25" thickTop="1" thickBot="1" x14ac:dyDescent="0.3">
      <c r="B86" s="70" t="s">
        <v>2546</v>
      </c>
      <c r="C86" s="71" t="s">
        <v>474</v>
      </c>
      <c r="D86" s="72" t="s">
        <v>2354</v>
      </c>
      <c r="E86" s="72">
        <v>1159</v>
      </c>
      <c r="F86" s="72">
        <v>1</v>
      </c>
      <c r="G86" s="72" t="s">
        <v>2469</v>
      </c>
      <c r="H86" s="95">
        <v>382.49</v>
      </c>
      <c r="I86" s="184">
        <v>382.49</v>
      </c>
      <c r="J86" s="119">
        <v>0</v>
      </c>
      <c r="K86" s="153" t="s">
        <v>2571</v>
      </c>
      <c r="L86" s="35" t="s">
        <v>474</v>
      </c>
      <c r="M86" s="15">
        <f>SUM(SUMIFS(T[qty_received],T[order_no],E86,T[order_line_no],{1}))</f>
        <v>382.49</v>
      </c>
      <c r="N86" s="303">
        <f t="shared" si="1"/>
        <v>0</v>
      </c>
      <c r="O86" s="304"/>
    </row>
    <row r="87" spans="2:15" s="4" customFormat="1" x14ac:dyDescent="0.25">
      <c r="H87" s="5"/>
      <c r="I87" s="73"/>
      <c r="J87" s="103"/>
    </row>
    <row r="88" spans="2:15" s="4" customFormat="1" x14ac:dyDescent="0.25">
      <c r="H88" s="5"/>
      <c r="I88" s="73"/>
      <c r="J88" s="103"/>
    </row>
    <row r="89" spans="2:15" s="4" customFormat="1" x14ac:dyDescent="0.25">
      <c r="H89" s="5"/>
      <c r="I89" s="73"/>
      <c r="J89" s="103"/>
    </row>
    <row r="90" spans="2:15" s="4" customFormat="1" x14ac:dyDescent="0.25">
      <c r="H90" s="5"/>
      <c r="I90" s="73"/>
      <c r="J90" s="103"/>
    </row>
    <row r="91" spans="2:15" s="4" customFormat="1" x14ac:dyDescent="0.25">
      <c r="H91" s="5"/>
      <c r="I91" s="73"/>
      <c r="J91" s="103"/>
    </row>
    <row r="92" spans="2:15" s="4" customFormat="1" x14ac:dyDescent="0.25">
      <c r="H92" s="5"/>
      <c r="I92" s="73"/>
      <c r="J92" s="103"/>
    </row>
    <row r="93" spans="2:15" s="4" customFormat="1" x14ac:dyDescent="0.25">
      <c r="H93" s="5"/>
      <c r="I93" s="73"/>
      <c r="J93" s="103"/>
    </row>
    <row r="94" spans="2:15" s="4" customFormat="1" x14ac:dyDescent="0.25">
      <c r="H94" s="5"/>
      <c r="I94" s="73"/>
      <c r="J94" s="103"/>
    </row>
    <row r="95" spans="2:15" s="4" customFormat="1" x14ac:dyDescent="0.25">
      <c r="H95" s="5"/>
      <c r="I95" s="73"/>
      <c r="J95" s="103"/>
    </row>
    <row r="96" spans="2:15" s="4" customFormat="1" x14ac:dyDescent="0.25">
      <c r="H96" s="5"/>
      <c r="I96" s="73"/>
      <c r="J96" s="103"/>
    </row>
    <row r="97" spans="8:10" s="4" customFormat="1" x14ac:dyDescent="0.25">
      <c r="H97" s="5"/>
      <c r="I97" s="73"/>
      <c r="J97" s="103"/>
    </row>
    <row r="98" spans="8:10" s="4" customFormat="1" x14ac:dyDescent="0.25">
      <c r="H98" s="5"/>
      <c r="I98" s="73"/>
      <c r="J98" s="103"/>
    </row>
    <row r="99" spans="8:10" s="4" customFormat="1" x14ac:dyDescent="0.25">
      <c r="H99" s="5"/>
      <c r="I99" s="73"/>
      <c r="J99" s="103"/>
    </row>
    <row r="100" spans="8:10" s="4" customFormat="1" x14ac:dyDescent="0.25">
      <c r="H100" s="5"/>
      <c r="I100" s="73"/>
      <c r="J100" s="103"/>
    </row>
    <row r="101" spans="8:10" s="4" customFormat="1" x14ac:dyDescent="0.25">
      <c r="H101" s="5"/>
      <c r="I101" s="73"/>
      <c r="J101" s="103"/>
    </row>
    <row r="102" spans="8:10" s="4" customFormat="1" x14ac:dyDescent="0.25">
      <c r="H102" s="5"/>
      <c r="I102" s="73"/>
      <c r="J102" s="103"/>
    </row>
    <row r="103" spans="8:10" s="4" customFormat="1" x14ac:dyDescent="0.25">
      <c r="H103" s="5"/>
      <c r="I103" s="73"/>
      <c r="J103" s="103"/>
    </row>
    <row r="104" spans="8:10" s="4" customFormat="1" x14ac:dyDescent="0.25">
      <c r="H104" s="5"/>
      <c r="I104" s="73"/>
      <c r="J104" s="103"/>
    </row>
    <row r="105" spans="8:10" s="4" customFormat="1" x14ac:dyDescent="0.25">
      <c r="H105" s="5"/>
      <c r="I105" s="73"/>
      <c r="J105" s="103"/>
    </row>
    <row r="106" spans="8:10" s="4" customFormat="1" x14ac:dyDescent="0.25">
      <c r="H106" s="5"/>
      <c r="I106" s="73"/>
      <c r="J106" s="103"/>
    </row>
    <row r="107" spans="8:10" s="4" customFormat="1" x14ac:dyDescent="0.25">
      <c r="H107" s="5"/>
      <c r="I107" s="73"/>
      <c r="J107" s="103"/>
    </row>
    <row r="108" spans="8:10" s="4" customFormat="1" x14ac:dyDescent="0.25">
      <c r="H108" s="5"/>
      <c r="I108" s="5"/>
      <c r="J108" s="103"/>
    </row>
    <row r="109" spans="8:10" s="4" customFormat="1" x14ac:dyDescent="0.25">
      <c r="H109" s="5"/>
      <c r="I109" s="5"/>
      <c r="J109" s="103"/>
    </row>
    <row r="110" spans="8:10" s="4" customFormat="1" x14ac:dyDescent="0.25">
      <c r="H110" s="5"/>
      <c r="I110" s="5"/>
      <c r="J110" s="103"/>
    </row>
    <row r="111" spans="8:10" s="4" customFormat="1" x14ac:dyDescent="0.25">
      <c r="H111" s="5"/>
      <c r="I111" s="5"/>
      <c r="J111" s="103"/>
    </row>
    <row r="112" spans="8:10" s="4" customFormat="1" x14ac:dyDescent="0.25">
      <c r="H112" s="5"/>
      <c r="I112" s="5"/>
      <c r="J112" s="103"/>
    </row>
    <row r="113" spans="8:10" s="4" customFormat="1" x14ac:dyDescent="0.25">
      <c r="H113" s="5"/>
      <c r="I113" s="5"/>
      <c r="J113" s="103"/>
    </row>
    <row r="114" spans="8:10" s="4" customFormat="1" x14ac:dyDescent="0.25">
      <c r="H114" s="5"/>
      <c r="I114" s="5"/>
      <c r="J114" s="103"/>
    </row>
    <row r="115" spans="8:10" s="4" customFormat="1" x14ac:dyDescent="0.25">
      <c r="H115" s="5"/>
      <c r="I115" s="5"/>
      <c r="J115" s="103"/>
    </row>
    <row r="116" spans="8:10" s="4" customFormat="1" x14ac:dyDescent="0.25">
      <c r="H116" s="5"/>
      <c r="I116" s="5"/>
      <c r="J116" s="103"/>
    </row>
    <row r="117" spans="8:10" s="4" customFormat="1" x14ac:dyDescent="0.25">
      <c r="H117" s="5"/>
      <c r="I117" s="5"/>
      <c r="J117" s="103"/>
    </row>
    <row r="118" spans="8:10" s="4" customFormat="1" x14ac:dyDescent="0.25">
      <c r="H118" s="5"/>
      <c r="I118" s="5"/>
      <c r="J118" s="103"/>
    </row>
    <row r="119" spans="8:10" s="4" customFormat="1" x14ac:dyDescent="0.25">
      <c r="H119" s="5"/>
      <c r="I119" s="5"/>
      <c r="J119" s="103"/>
    </row>
    <row r="120" spans="8:10" s="4" customFormat="1" x14ac:dyDescent="0.25">
      <c r="H120" s="5"/>
      <c r="I120" s="5"/>
      <c r="J120" s="103"/>
    </row>
    <row r="121" spans="8:10" s="4" customFormat="1" x14ac:dyDescent="0.25">
      <c r="H121" s="5"/>
      <c r="I121" s="5"/>
      <c r="J121" s="103"/>
    </row>
    <row r="122" spans="8:10" s="4" customFormat="1" x14ac:dyDescent="0.25">
      <c r="H122" s="5"/>
      <c r="I122" s="5"/>
      <c r="J122" s="103"/>
    </row>
    <row r="123" spans="8:10" s="4" customFormat="1" x14ac:dyDescent="0.25">
      <c r="H123" s="5"/>
      <c r="I123" s="5"/>
      <c r="J123" s="103"/>
    </row>
    <row r="124" spans="8:10" s="4" customFormat="1" x14ac:dyDescent="0.25">
      <c r="H124" s="5"/>
      <c r="I124" s="5"/>
      <c r="J124" s="103"/>
    </row>
    <row r="125" spans="8:10" s="4" customFormat="1" x14ac:dyDescent="0.25">
      <c r="H125" s="5"/>
      <c r="I125" s="5"/>
      <c r="J125" s="103"/>
    </row>
    <row r="126" spans="8:10" s="4" customFormat="1" x14ac:dyDescent="0.25">
      <c r="H126" s="5"/>
      <c r="I126" s="5"/>
      <c r="J126" s="103"/>
    </row>
    <row r="127" spans="8:10" s="4" customFormat="1" x14ac:dyDescent="0.25">
      <c r="H127" s="5"/>
      <c r="I127" s="5"/>
      <c r="J127" s="103"/>
    </row>
    <row r="128" spans="8:10" s="4" customFormat="1" x14ac:dyDescent="0.25">
      <c r="H128" s="5"/>
      <c r="I128" s="5"/>
      <c r="J128" s="103"/>
    </row>
    <row r="129" spans="8:10" s="4" customFormat="1" x14ac:dyDescent="0.25">
      <c r="H129" s="5"/>
      <c r="I129" s="5"/>
      <c r="J129" s="103"/>
    </row>
    <row r="130" spans="8:10" s="4" customFormat="1" x14ac:dyDescent="0.25">
      <c r="H130" s="5"/>
      <c r="I130" s="5"/>
      <c r="J130" s="103"/>
    </row>
    <row r="131" spans="8:10" s="4" customFormat="1" x14ac:dyDescent="0.25">
      <c r="H131" s="5"/>
      <c r="I131" s="5"/>
      <c r="J131" s="103"/>
    </row>
    <row r="132" spans="8:10" s="4" customFormat="1" x14ac:dyDescent="0.25">
      <c r="H132" s="5"/>
      <c r="I132" s="5"/>
      <c r="J132" s="103"/>
    </row>
    <row r="133" spans="8:10" s="4" customFormat="1" x14ac:dyDescent="0.25">
      <c r="H133" s="5"/>
      <c r="I133" s="5"/>
      <c r="J133" s="103"/>
    </row>
    <row r="134" spans="8:10" s="4" customFormat="1" x14ac:dyDescent="0.25">
      <c r="H134" s="5"/>
      <c r="I134" s="5"/>
      <c r="J134" s="103"/>
    </row>
    <row r="135" spans="8:10" s="4" customFormat="1" x14ac:dyDescent="0.25">
      <c r="H135" s="5"/>
      <c r="I135" s="5"/>
      <c r="J135" s="103"/>
    </row>
    <row r="136" spans="8:10" s="4" customFormat="1" x14ac:dyDescent="0.25">
      <c r="H136" s="5"/>
      <c r="I136" s="5"/>
      <c r="J136" s="103"/>
    </row>
    <row r="137" spans="8:10" s="4" customFormat="1" x14ac:dyDescent="0.25">
      <c r="H137" s="5"/>
      <c r="I137" s="5"/>
      <c r="J137" s="103"/>
    </row>
    <row r="138" spans="8:10" s="4" customFormat="1" x14ac:dyDescent="0.25">
      <c r="H138" s="5"/>
      <c r="I138" s="5"/>
      <c r="J138" s="103"/>
    </row>
    <row r="139" spans="8:10" s="4" customFormat="1" x14ac:dyDescent="0.25">
      <c r="H139" s="5"/>
      <c r="I139" s="5"/>
      <c r="J139" s="103"/>
    </row>
    <row r="140" spans="8:10" s="4" customFormat="1" x14ac:dyDescent="0.25">
      <c r="H140" s="5"/>
      <c r="I140" s="5"/>
      <c r="J140" s="103"/>
    </row>
    <row r="141" spans="8:10" s="4" customFormat="1" x14ac:dyDescent="0.25">
      <c r="H141" s="5"/>
      <c r="I141" s="5"/>
      <c r="J141" s="103"/>
    </row>
    <row r="142" spans="8:10" s="4" customFormat="1" x14ac:dyDescent="0.25">
      <c r="H142" s="5"/>
      <c r="I142" s="5"/>
      <c r="J142" s="103"/>
    </row>
    <row r="143" spans="8:10" s="4" customFormat="1" x14ac:dyDescent="0.25">
      <c r="H143" s="5"/>
      <c r="I143" s="5"/>
      <c r="J143" s="103"/>
    </row>
    <row r="144" spans="8:10" s="4" customFormat="1" x14ac:dyDescent="0.25">
      <c r="H144" s="5"/>
      <c r="I144" s="5"/>
      <c r="J144" s="103"/>
    </row>
    <row r="145" spans="8:10" s="4" customFormat="1" x14ac:dyDescent="0.25">
      <c r="H145" s="5"/>
      <c r="I145" s="5"/>
      <c r="J145" s="103"/>
    </row>
    <row r="146" spans="8:10" s="4" customFormat="1" x14ac:dyDescent="0.25">
      <c r="H146" s="5"/>
      <c r="I146" s="5"/>
      <c r="J146" s="103"/>
    </row>
    <row r="147" spans="8:10" s="4" customFormat="1" x14ac:dyDescent="0.25">
      <c r="H147" s="5"/>
      <c r="I147" s="5"/>
      <c r="J147" s="103"/>
    </row>
    <row r="148" spans="8:10" s="4" customFormat="1" x14ac:dyDescent="0.25">
      <c r="H148" s="5"/>
      <c r="I148" s="5"/>
      <c r="J148" s="103"/>
    </row>
    <row r="149" spans="8:10" s="4" customFormat="1" x14ac:dyDescent="0.25">
      <c r="H149" s="5"/>
      <c r="I149" s="5"/>
      <c r="J149" s="103"/>
    </row>
    <row r="150" spans="8:10" s="4" customFormat="1" x14ac:dyDescent="0.25">
      <c r="H150" s="5"/>
      <c r="I150" s="5"/>
      <c r="J150" s="103"/>
    </row>
    <row r="151" spans="8:10" s="4" customFormat="1" x14ac:dyDescent="0.25">
      <c r="H151" s="5"/>
      <c r="I151" s="5"/>
      <c r="J151" s="103"/>
    </row>
    <row r="152" spans="8:10" s="4" customFormat="1" x14ac:dyDescent="0.25">
      <c r="H152" s="5"/>
      <c r="I152" s="5"/>
      <c r="J152" s="103"/>
    </row>
    <row r="153" spans="8:10" s="4" customFormat="1" x14ac:dyDescent="0.25">
      <c r="H153" s="5"/>
      <c r="I153" s="5"/>
      <c r="J153" s="103"/>
    </row>
    <row r="154" spans="8:10" s="4" customFormat="1" x14ac:dyDescent="0.25">
      <c r="H154" s="5"/>
      <c r="I154" s="5"/>
      <c r="J154" s="103"/>
    </row>
    <row r="155" spans="8:10" s="4" customFormat="1" x14ac:dyDescent="0.25">
      <c r="H155" s="5"/>
      <c r="I155" s="5"/>
      <c r="J155" s="103"/>
    </row>
    <row r="156" spans="8:10" s="4" customFormat="1" x14ac:dyDescent="0.25">
      <c r="H156" s="5"/>
      <c r="I156" s="5"/>
      <c r="J156" s="103"/>
    </row>
    <row r="157" spans="8:10" s="4" customFormat="1" x14ac:dyDescent="0.25">
      <c r="H157" s="5"/>
      <c r="I157" s="5"/>
      <c r="J157" s="103"/>
    </row>
    <row r="158" spans="8:10" s="4" customFormat="1" x14ac:dyDescent="0.25">
      <c r="H158" s="5"/>
      <c r="I158" s="5"/>
      <c r="J158" s="103"/>
    </row>
    <row r="159" spans="8:10" s="4" customFormat="1" x14ac:dyDescent="0.25">
      <c r="H159" s="5"/>
      <c r="I159" s="5"/>
      <c r="J159" s="103"/>
    </row>
    <row r="160" spans="8:10" s="4" customFormat="1" x14ac:dyDescent="0.25">
      <c r="H160" s="5"/>
      <c r="I160" s="5"/>
      <c r="J160" s="103"/>
    </row>
    <row r="161" spans="8:10" s="4" customFormat="1" x14ac:dyDescent="0.25">
      <c r="H161" s="5"/>
      <c r="I161" s="5"/>
      <c r="J161" s="103"/>
    </row>
    <row r="162" spans="8:10" s="4" customFormat="1" x14ac:dyDescent="0.25">
      <c r="H162" s="5"/>
      <c r="I162" s="5"/>
      <c r="J162" s="103"/>
    </row>
    <row r="163" spans="8:10" s="4" customFormat="1" x14ac:dyDescent="0.25">
      <c r="H163" s="5"/>
      <c r="I163" s="5"/>
      <c r="J163" s="103"/>
    </row>
    <row r="164" spans="8:10" s="4" customFormat="1" x14ac:dyDescent="0.25">
      <c r="H164" s="5"/>
      <c r="I164" s="5"/>
      <c r="J164" s="103"/>
    </row>
    <row r="165" spans="8:10" s="4" customFormat="1" x14ac:dyDescent="0.25">
      <c r="H165" s="5"/>
      <c r="I165" s="5"/>
      <c r="J165" s="103"/>
    </row>
    <row r="166" spans="8:10" s="4" customFormat="1" x14ac:dyDescent="0.25">
      <c r="H166" s="5"/>
      <c r="I166" s="5"/>
      <c r="J166" s="103"/>
    </row>
    <row r="167" spans="8:10" s="4" customFormat="1" x14ac:dyDescent="0.25">
      <c r="H167" s="5"/>
      <c r="I167" s="5"/>
      <c r="J167" s="103"/>
    </row>
    <row r="168" spans="8:10" s="4" customFormat="1" x14ac:dyDescent="0.25">
      <c r="H168" s="5"/>
      <c r="I168" s="5"/>
      <c r="J168" s="103"/>
    </row>
    <row r="169" spans="8:10" s="4" customFormat="1" x14ac:dyDescent="0.25">
      <c r="H169" s="5"/>
      <c r="I169" s="5"/>
      <c r="J169" s="103"/>
    </row>
    <row r="170" spans="8:10" s="4" customFormat="1" x14ac:dyDescent="0.25">
      <c r="H170" s="5"/>
      <c r="I170" s="5"/>
      <c r="J170" s="103"/>
    </row>
    <row r="171" spans="8:10" s="4" customFormat="1" x14ac:dyDescent="0.25">
      <c r="H171" s="5"/>
      <c r="I171" s="5"/>
      <c r="J171" s="103"/>
    </row>
    <row r="172" spans="8:10" s="4" customFormat="1" x14ac:dyDescent="0.25">
      <c r="H172" s="5"/>
      <c r="I172" s="5"/>
      <c r="J172" s="103"/>
    </row>
    <row r="173" spans="8:10" s="4" customFormat="1" x14ac:dyDescent="0.25">
      <c r="H173" s="5"/>
      <c r="I173" s="5"/>
      <c r="J173" s="103"/>
    </row>
    <row r="174" spans="8:10" s="4" customFormat="1" x14ac:dyDescent="0.25">
      <c r="H174" s="5"/>
      <c r="I174" s="5"/>
      <c r="J174" s="103"/>
    </row>
    <row r="175" spans="8:10" s="4" customFormat="1" x14ac:dyDescent="0.25">
      <c r="H175" s="5"/>
      <c r="I175" s="5"/>
      <c r="J175" s="103"/>
    </row>
    <row r="176" spans="8:10" s="4" customFormat="1" x14ac:dyDescent="0.25">
      <c r="H176" s="5"/>
      <c r="I176" s="5"/>
      <c r="J176" s="103"/>
    </row>
    <row r="177" spans="8:10" s="4" customFormat="1" x14ac:dyDescent="0.25">
      <c r="H177" s="5"/>
      <c r="I177" s="5"/>
      <c r="J177" s="103"/>
    </row>
    <row r="178" spans="8:10" s="4" customFormat="1" x14ac:dyDescent="0.25">
      <c r="H178" s="5"/>
      <c r="I178" s="5"/>
      <c r="J178" s="103"/>
    </row>
    <row r="179" spans="8:10" s="4" customFormat="1" x14ac:dyDescent="0.25">
      <c r="H179" s="5"/>
      <c r="I179" s="5"/>
      <c r="J179" s="103"/>
    </row>
    <row r="180" spans="8:10" s="4" customFormat="1" x14ac:dyDescent="0.25">
      <c r="H180" s="5"/>
      <c r="I180" s="5"/>
      <c r="J180" s="103"/>
    </row>
    <row r="181" spans="8:10" s="4" customFormat="1" x14ac:dyDescent="0.25">
      <c r="H181" s="5"/>
      <c r="I181" s="5"/>
      <c r="J181" s="103"/>
    </row>
    <row r="182" spans="8:10" s="4" customFormat="1" x14ac:dyDescent="0.25">
      <c r="H182" s="5"/>
      <c r="I182" s="5"/>
      <c r="J182" s="103"/>
    </row>
    <row r="183" spans="8:10" s="4" customFormat="1" x14ac:dyDescent="0.25">
      <c r="H183" s="5"/>
      <c r="I183" s="5"/>
      <c r="J183" s="103"/>
    </row>
    <row r="184" spans="8:10" s="4" customFormat="1" x14ac:dyDescent="0.25">
      <c r="H184" s="5"/>
      <c r="I184" s="5"/>
      <c r="J184" s="103"/>
    </row>
    <row r="185" spans="8:10" s="4" customFormat="1" x14ac:dyDescent="0.25">
      <c r="H185" s="5"/>
      <c r="I185" s="5"/>
      <c r="J185" s="103"/>
    </row>
    <row r="186" spans="8:10" s="4" customFormat="1" x14ac:dyDescent="0.25">
      <c r="H186" s="5"/>
      <c r="I186" s="5"/>
      <c r="J186" s="103"/>
    </row>
    <row r="187" spans="8:10" s="4" customFormat="1" x14ac:dyDescent="0.25">
      <c r="H187" s="5"/>
      <c r="I187" s="5"/>
      <c r="J187" s="103"/>
    </row>
    <row r="188" spans="8:10" s="4" customFormat="1" x14ac:dyDescent="0.25">
      <c r="H188" s="5"/>
      <c r="I188" s="5"/>
      <c r="J188" s="103"/>
    </row>
    <row r="189" spans="8:10" s="4" customFormat="1" x14ac:dyDescent="0.25">
      <c r="H189" s="5"/>
      <c r="I189" s="5"/>
      <c r="J189" s="103"/>
    </row>
    <row r="190" spans="8:10" s="4" customFormat="1" x14ac:dyDescent="0.25">
      <c r="H190" s="5"/>
      <c r="I190" s="5"/>
      <c r="J190" s="103"/>
    </row>
    <row r="191" spans="8:10" s="4" customFormat="1" x14ac:dyDescent="0.25">
      <c r="H191" s="5"/>
      <c r="I191" s="5"/>
      <c r="J191" s="103"/>
    </row>
    <row r="192" spans="8:10" s="4" customFormat="1" x14ac:dyDescent="0.25">
      <c r="H192" s="5"/>
      <c r="I192" s="5"/>
      <c r="J192" s="103"/>
    </row>
    <row r="193" spans="8:10" s="4" customFormat="1" x14ac:dyDescent="0.25">
      <c r="H193" s="5"/>
      <c r="I193" s="5"/>
      <c r="J193" s="103"/>
    </row>
    <row r="194" spans="8:10" s="4" customFormat="1" x14ac:dyDescent="0.25">
      <c r="H194" s="5"/>
      <c r="I194" s="5"/>
      <c r="J194" s="103"/>
    </row>
    <row r="195" spans="8:10" s="4" customFormat="1" x14ac:dyDescent="0.25">
      <c r="H195" s="5"/>
      <c r="I195" s="5"/>
      <c r="J195" s="103"/>
    </row>
    <row r="196" spans="8:10" s="4" customFormat="1" x14ac:dyDescent="0.25">
      <c r="H196" s="5"/>
      <c r="I196" s="5"/>
      <c r="J196" s="103"/>
    </row>
    <row r="197" spans="8:10" s="4" customFormat="1" x14ac:dyDescent="0.25">
      <c r="H197" s="5"/>
      <c r="I197" s="5"/>
      <c r="J197" s="103"/>
    </row>
    <row r="198" spans="8:10" s="4" customFormat="1" x14ac:dyDescent="0.25">
      <c r="H198" s="5"/>
      <c r="I198" s="5"/>
      <c r="J198" s="103"/>
    </row>
    <row r="199" spans="8:10" s="4" customFormat="1" x14ac:dyDescent="0.25">
      <c r="H199" s="5"/>
      <c r="I199" s="5"/>
      <c r="J199" s="103"/>
    </row>
    <row r="200" spans="8:10" s="4" customFormat="1" x14ac:dyDescent="0.25">
      <c r="H200" s="5"/>
      <c r="I200" s="5"/>
      <c r="J200" s="103"/>
    </row>
    <row r="201" spans="8:10" s="4" customFormat="1" x14ac:dyDescent="0.25">
      <c r="H201" s="5"/>
      <c r="I201" s="5"/>
      <c r="J201" s="103"/>
    </row>
    <row r="202" spans="8:10" s="4" customFormat="1" x14ac:dyDescent="0.25">
      <c r="H202" s="5"/>
      <c r="I202" s="5"/>
      <c r="J202" s="103"/>
    </row>
    <row r="203" spans="8:10" s="4" customFormat="1" x14ac:dyDescent="0.25">
      <c r="H203" s="5"/>
      <c r="I203" s="5"/>
      <c r="J203" s="103"/>
    </row>
    <row r="204" spans="8:10" s="4" customFormat="1" x14ac:dyDescent="0.25">
      <c r="H204" s="5"/>
      <c r="I204" s="5"/>
      <c r="J204" s="103"/>
    </row>
    <row r="205" spans="8:10" s="4" customFormat="1" x14ac:dyDescent="0.25">
      <c r="H205" s="5"/>
      <c r="I205" s="5"/>
      <c r="J205" s="103"/>
    </row>
    <row r="206" spans="8:10" s="4" customFormat="1" x14ac:dyDescent="0.25">
      <c r="H206" s="5"/>
      <c r="I206" s="5"/>
      <c r="J206" s="103"/>
    </row>
    <row r="207" spans="8:10" s="4" customFormat="1" x14ac:dyDescent="0.25">
      <c r="H207" s="5"/>
      <c r="I207" s="5"/>
      <c r="J207" s="103"/>
    </row>
    <row r="208" spans="8:10" s="4" customFormat="1" x14ac:dyDescent="0.25">
      <c r="H208" s="5"/>
      <c r="I208" s="5"/>
      <c r="J208" s="103"/>
    </row>
    <row r="209" spans="8:10" s="4" customFormat="1" x14ac:dyDescent="0.25">
      <c r="H209" s="5"/>
      <c r="I209" s="5"/>
      <c r="J209" s="103"/>
    </row>
    <row r="210" spans="8:10" s="4" customFormat="1" x14ac:dyDescent="0.25">
      <c r="H210" s="5"/>
      <c r="I210" s="5"/>
      <c r="J210" s="103"/>
    </row>
    <row r="211" spans="8:10" s="4" customFormat="1" x14ac:dyDescent="0.25">
      <c r="H211" s="5"/>
      <c r="I211" s="5"/>
      <c r="J211" s="103"/>
    </row>
    <row r="212" spans="8:10" s="4" customFormat="1" x14ac:dyDescent="0.25">
      <c r="H212" s="5"/>
      <c r="I212" s="5"/>
      <c r="J212" s="103"/>
    </row>
    <row r="213" spans="8:10" s="4" customFormat="1" x14ac:dyDescent="0.25">
      <c r="H213" s="5"/>
      <c r="I213" s="5"/>
      <c r="J213" s="103"/>
    </row>
    <row r="214" spans="8:10" s="4" customFormat="1" x14ac:dyDescent="0.25">
      <c r="H214" s="5"/>
      <c r="I214" s="5"/>
      <c r="J214" s="103"/>
    </row>
    <row r="215" spans="8:10" s="4" customFormat="1" x14ac:dyDescent="0.25">
      <c r="H215" s="5"/>
      <c r="I215" s="5"/>
      <c r="J215" s="103"/>
    </row>
    <row r="216" spans="8:10" s="4" customFormat="1" x14ac:dyDescent="0.25">
      <c r="H216" s="5"/>
      <c r="I216" s="5"/>
      <c r="J216" s="103"/>
    </row>
    <row r="217" spans="8:10" s="4" customFormat="1" x14ac:dyDescent="0.25">
      <c r="H217" s="5"/>
      <c r="I217" s="5"/>
      <c r="J217" s="103"/>
    </row>
    <row r="218" spans="8:10" s="4" customFormat="1" x14ac:dyDescent="0.25">
      <c r="H218" s="5"/>
      <c r="I218" s="5"/>
      <c r="J218" s="103"/>
    </row>
    <row r="219" spans="8:10" s="4" customFormat="1" x14ac:dyDescent="0.25">
      <c r="H219" s="5"/>
      <c r="I219" s="5"/>
      <c r="J219" s="103"/>
    </row>
    <row r="220" spans="8:10" s="4" customFormat="1" x14ac:dyDescent="0.25">
      <c r="H220" s="5"/>
      <c r="I220" s="5"/>
      <c r="J220" s="103"/>
    </row>
    <row r="221" spans="8:10" s="4" customFormat="1" x14ac:dyDescent="0.25">
      <c r="H221" s="5"/>
      <c r="I221" s="5"/>
      <c r="J221" s="103"/>
    </row>
    <row r="222" spans="8:10" s="4" customFormat="1" x14ac:dyDescent="0.25">
      <c r="H222" s="5"/>
      <c r="I222" s="5"/>
      <c r="J222" s="103"/>
    </row>
    <row r="223" spans="8:10" s="4" customFormat="1" x14ac:dyDescent="0.25">
      <c r="H223" s="5"/>
      <c r="I223" s="5"/>
      <c r="J223" s="103"/>
    </row>
    <row r="224" spans="8:10" s="4" customFormat="1" x14ac:dyDescent="0.25">
      <c r="H224" s="5"/>
      <c r="I224" s="5"/>
      <c r="J224" s="103"/>
    </row>
    <row r="225" spans="8:10" s="4" customFormat="1" x14ac:dyDescent="0.25">
      <c r="H225" s="5"/>
      <c r="I225" s="5"/>
      <c r="J225" s="103"/>
    </row>
    <row r="226" spans="8:10" s="4" customFormat="1" x14ac:dyDescent="0.25">
      <c r="H226" s="5"/>
      <c r="I226" s="5"/>
      <c r="J226" s="103"/>
    </row>
    <row r="227" spans="8:10" s="4" customFormat="1" x14ac:dyDescent="0.25">
      <c r="H227" s="5"/>
      <c r="I227" s="5"/>
      <c r="J227" s="103"/>
    </row>
    <row r="228" spans="8:10" s="4" customFormat="1" x14ac:dyDescent="0.25">
      <c r="H228" s="5"/>
      <c r="I228" s="5"/>
      <c r="J228" s="103"/>
    </row>
    <row r="229" spans="8:10" s="4" customFormat="1" x14ac:dyDescent="0.25">
      <c r="H229" s="5"/>
      <c r="I229" s="5"/>
      <c r="J229" s="103"/>
    </row>
    <row r="230" spans="8:10" s="4" customFormat="1" x14ac:dyDescent="0.25">
      <c r="H230" s="5"/>
      <c r="I230" s="5"/>
      <c r="J230" s="103"/>
    </row>
    <row r="231" spans="8:10" s="4" customFormat="1" x14ac:dyDescent="0.25">
      <c r="H231" s="5"/>
      <c r="I231" s="5"/>
      <c r="J231" s="103"/>
    </row>
    <row r="232" spans="8:10" s="4" customFormat="1" x14ac:dyDescent="0.25">
      <c r="H232" s="5"/>
      <c r="I232" s="5"/>
      <c r="J232" s="103"/>
    </row>
    <row r="233" spans="8:10" s="4" customFormat="1" x14ac:dyDescent="0.25">
      <c r="H233" s="5"/>
      <c r="I233" s="5"/>
      <c r="J233" s="103"/>
    </row>
    <row r="234" spans="8:10" s="4" customFormat="1" x14ac:dyDescent="0.25">
      <c r="H234" s="5"/>
      <c r="I234" s="5"/>
      <c r="J234" s="103"/>
    </row>
    <row r="235" spans="8:10" s="4" customFormat="1" x14ac:dyDescent="0.25">
      <c r="H235" s="5"/>
      <c r="I235" s="5"/>
      <c r="J235" s="103"/>
    </row>
    <row r="236" spans="8:10" s="4" customFormat="1" x14ac:dyDescent="0.25">
      <c r="H236" s="5"/>
      <c r="I236" s="5"/>
      <c r="J236" s="103"/>
    </row>
    <row r="237" spans="8:10" s="4" customFormat="1" x14ac:dyDescent="0.25">
      <c r="H237" s="5"/>
      <c r="I237" s="5"/>
      <c r="J237" s="103"/>
    </row>
    <row r="238" spans="8:10" s="4" customFormat="1" x14ac:dyDescent="0.25">
      <c r="H238" s="5"/>
      <c r="I238" s="5"/>
      <c r="J238" s="103"/>
    </row>
    <row r="239" spans="8:10" s="4" customFormat="1" x14ac:dyDescent="0.25">
      <c r="H239" s="5"/>
      <c r="I239" s="5"/>
      <c r="J239" s="103"/>
    </row>
    <row r="240" spans="8:10" s="4" customFormat="1" x14ac:dyDescent="0.25">
      <c r="H240" s="5"/>
      <c r="I240" s="5"/>
      <c r="J240" s="103"/>
    </row>
    <row r="241" spans="8:10" s="4" customFormat="1" x14ac:dyDescent="0.25">
      <c r="H241" s="5"/>
      <c r="I241" s="5"/>
      <c r="J241" s="103"/>
    </row>
    <row r="242" spans="8:10" s="4" customFormat="1" x14ac:dyDescent="0.25">
      <c r="H242" s="5"/>
      <c r="I242" s="5"/>
      <c r="J242" s="103"/>
    </row>
    <row r="243" spans="8:10" s="4" customFormat="1" x14ac:dyDescent="0.25">
      <c r="H243" s="5"/>
      <c r="I243" s="5"/>
      <c r="J243" s="103"/>
    </row>
    <row r="244" spans="8:10" s="4" customFormat="1" x14ac:dyDescent="0.25">
      <c r="H244" s="5"/>
      <c r="I244" s="5"/>
      <c r="J244" s="103"/>
    </row>
    <row r="245" spans="8:10" s="4" customFormat="1" x14ac:dyDescent="0.25">
      <c r="H245" s="5"/>
      <c r="I245" s="5"/>
      <c r="J245" s="103"/>
    </row>
    <row r="246" spans="8:10" s="4" customFormat="1" x14ac:dyDescent="0.25">
      <c r="H246" s="5"/>
      <c r="I246" s="5"/>
      <c r="J246" s="103"/>
    </row>
    <row r="247" spans="8:10" s="4" customFormat="1" x14ac:dyDescent="0.25">
      <c r="H247" s="5"/>
      <c r="I247" s="5"/>
      <c r="J247" s="103"/>
    </row>
    <row r="248" spans="8:10" s="4" customFormat="1" x14ac:dyDescent="0.25">
      <c r="H248" s="5"/>
      <c r="I248" s="5"/>
      <c r="J248" s="103"/>
    </row>
    <row r="249" spans="8:10" s="4" customFormat="1" x14ac:dyDescent="0.25">
      <c r="H249" s="5"/>
      <c r="I249" s="5"/>
      <c r="J249" s="103"/>
    </row>
    <row r="250" spans="8:10" s="4" customFormat="1" x14ac:dyDescent="0.25">
      <c r="H250" s="5"/>
      <c r="I250" s="5"/>
      <c r="J250" s="103"/>
    </row>
    <row r="251" spans="8:10" s="4" customFormat="1" x14ac:dyDescent="0.25">
      <c r="H251" s="5"/>
      <c r="I251" s="5"/>
      <c r="J251" s="103"/>
    </row>
    <row r="252" spans="8:10" s="4" customFormat="1" x14ac:dyDescent="0.25">
      <c r="H252" s="5"/>
      <c r="I252" s="5"/>
      <c r="J252" s="103"/>
    </row>
    <row r="253" spans="8:10" s="4" customFormat="1" x14ac:dyDescent="0.25">
      <c r="H253" s="5"/>
      <c r="I253" s="5"/>
      <c r="J253" s="103"/>
    </row>
    <row r="254" spans="8:10" s="4" customFormat="1" x14ac:dyDescent="0.25">
      <c r="H254" s="5"/>
      <c r="I254" s="5"/>
      <c r="J254" s="103"/>
    </row>
    <row r="255" spans="8:10" s="4" customFormat="1" x14ac:dyDescent="0.25">
      <c r="H255" s="5"/>
      <c r="I255" s="5"/>
      <c r="J255" s="103"/>
    </row>
    <row r="256" spans="8:10" s="4" customFormat="1" x14ac:dyDescent="0.25">
      <c r="H256" s="5"/>
      <c r="I256" s="5"/>
      <c r="J256" s="103"/>
    </row>
    <row r="257" spans="8:10" s="4" customFormat="1" x14ac:dyDescent="0.25">
      <c r="H257" s="5"/>
      <c r="I257" s="5"/>
      <c r="J257" s="103"/>
    </row>
    <row r="258" spans="8:10" s="4" customFormat="1" x14ac:dyDescent="0.25">
      <c r="H258" s="5"/>
      <c r="I258" s="5"/>
      <c r="J258" s="103"/>
    </row>
    <row r="259" spans="8:10" s="4" customFormat="1" x14ac:dyDescent="0.25">
      <c r="H259" s="5"/>
      <c r="I259" s="5"/>
      <c r="J259" s="103"/>
    </row>
    <row r="260" spans="8:10" s="4" customFormat="1" x14ac:dyDescent="0.25">
      <c r="H260" s="5"/>
      <c r="I260" s="5"/>
      <c r="J260" s="103"/>
    </row>
    <row r="261" spans="8:10" s="4" customFormat="1" x14ac:dyDescent="0.25">
      <c r="H261" s="5"/>
      <c r="I261" s="5"/>
      <c r="J261" s="103"/>
    </row>
    <row r="262" spans="8:10" s="4" customFormat="1" x14ac:dyDescent="0.25">
      <c r="H262" s="5"/>
      <c r="I262" s="5"/>
      <c r="J262" s="103"/>
    </row>
    <row r="263" spans="8:10" s="4" customFormat="1" x14ac:dyDescent="0.25">
      <c r="H263" s="5"/>
      <c r="I263" s="5"/>
      <c r="J263" s="103"/>
    </row>
    <row r="264" spans="8:10" s="4" customFormat="1" x14ac:dyDescent="0.25">
      <c r="H264" s="5"/>
      <c r="I264" s="5"/>
      <c r="J264" s="103"/>
    </row>
    <row r="265" spans="8:10" s="4" customFormat="1" x14ac:dyDescent="0.25">
      <c r="H265" s="5"/>
      <c r="I265" s="5"/>
      <c r="J265" s="103"/>
    </row>
    <row r="266" spans="8:10" s="4" customFormat="1" x14ac:dyDescent="0.25">
      <c r="H266" s="5"/>
      <c r="I266" s="5"/>
      <c r="J266" s="103"/>
    </row>
    <row r="267" spans="8:10" s="4" customFormat="1" x14ac:dyDescent="0.25">
      <c r="H267" s="5"/>
      <c r="I267" s="5"/>
      <c r="J267" s="103"/>
    </row>
    <row r="268" spans="8:10" s="4" customFormat="1" x14ac:dyDescent="0.25">
      <c r="H268" s="5"/>
      <c r="I268" s="5"/>
      <c r="J268" s="103"/>
    </row>
    <row r="269" spans="8:10" s="4" customFormat="1" x14ac:dyDescent="0.25">
      <c r="H269" s="5"/>
      <c r="I269" s="5"/>
      <c r="J269" s="103"/>
    </row>
    <row r="270" spans="8:10" s="4" customFormat="1" x14ac:dyDescent="0.25">
      <c r="H270" s="5"/>
      <c r="I270" s="5"/>
      <c r="J270" s="103"/>
    </row>
    <row r="271" spans="8:10" s="4" customFormat="1" x14ac:dyDescent="0.25">
      <c r="H271" s="5"/>
      <c r="I271" s="5"/>
      <c r="J271" s="103"/>
    </row>
    <row r="272" spans="8:10" s="4" customFormat="1" x14ac:dyDescent="0.25">
      <c r="H272" s="5"/>
      <c r="I272" s="5"/>
      <c r="J272" s="103"/>
    </row>
    <row r="273" spans="8:10" s="4" customFormat="1" x14ac:dyDescent="0.25">
      <c r="H273" s="5"/>
      <c r="I273" s="5"/>
      <c r="J273" s="103"/>
    </row>
    <row r="274" spans="8:10" s="4" customFormat="1" x14ac:dyDescent="0.25">
      <c r="H274" s="5"/>
      <c r="I274" s="5"/>
      <c r="J274" s="103"/>
    </row>
    <row r="275" spans="8:10" s="4" customFormat="1" x14ac:dyDescent="0.25">
      <c r="H275" s="5"/>
      <c r="I275" s="5"/>
      <c r="J275" s="103"/>
    </row>
    <row r="276" spans="8:10" s="4" customFormat="1" x14ac:dyDescent="0.25">
      <c r="H276" s="5"/>
      <c r="I276" s="5"/>
      <c r="J276" s="103"/>
    </row>
    <row r="277" spans="8:10" s="4" customFormat="1" x14ac:dyDescent="0.25">
      <c r="H277" s="5"/>
      <c r="I277" s="5"/>
      <c r="J277" s="103"/>
    </row>
    <row r="278" spans="8:10" s="4" customFormat="1" x14ac:dyDescent="0.25">
      <c r="H278" s="5"/>
      <c r="I278" s="5"/>
      <c r="J278" s="103"/>
    </row>
    <row r="279" spans="8:10" s="4" customFormat="1" x14ac:dyDescent="0.25">
      <c r="H279" s="5"/>
      <c r="I279" s="5"/>
      <c r="J279" s="103"/>
    </row>
    <row r="280" spans="8:10" s="4" customFormat="1" x14ac:dyDescent="0.25">
      <c r="H280" s="5"/>
      <c r="I280" s="5"/>
      <c r="J280" s="103"/>
    </row>
    <row r="281" spans="8:10" s="4" customFormat="1" x14ac:dyDescent="0.25">
      <c r="H281" s="5"/>
      <c r="I281" s="5"/>
      <c r="J281" s="103"/>
    </row>
    <row r="282" spans="8:10" s="4" customFormat="1" x14ac:dyDescent="0.25">
      <c r="H282" s="5"/>
      <c r="I282" s="5"/>
      <c r="J282" s="103"/>
    </row>
    <row r="283" spans="8:10" s="4" customFormat="1" x14ac:dyDescent="0.25">
      <c r="H283" s="5"/>
      <c r="I283" s="5"/>
      <c r="J283" s="103"/>
    </row>
    <row r="284" spans="8:10" s="4" customFormat="1" x14ac:dyDescent="0.25">
      <c r="H284" s="5"/>
      <c r="I284" s="5"/>
      <c r="J284" s="103"/>
    </row>
    <row r="285" spans="8:10" s="4" customFormat="1" x14ac:dyDescent="0.25">
      <c r="H285" s="5"/>
      <c r="I285" s="5"/>
      <c r="J285" s="103"/>
    </row>
    <row r="286" spans="8:10" s="4" customFormat="1" x14ac:dyDescent="0.25">
      <c r="H286" s="5"/>
      <c r="I286" s="5"/>
      <c r="J286" s="103"/>
    </row>
    <row r="287" spans="8:10" s="4" customFormat="1" x14ac:dyDescent="0.25">
      <c r="H287" s="5"/>
      <c r="I287" s="5"/>
      <c r="J287" s="103"/>
    </row>
    <row r="288" spans="8:10" s="4" customFormat="1" x14ac:dyDescent="0.25">
      <c r="H288" s="5"/>
      <c r="I288" s="5"/>
      <c r="J288" s="103"/>
    </row>
    <row r="289" spans="8:10" s="4" customFormat="1" x14ac:dyDescent="0.25">
      <c r="H289" s="5"/>
      <c r="I289" s="5"/>
      <c r="J289" s="103"/>
    </row>
    <row r="290" spans="8:10" s="4" customFormat="1" x14ac:dyDescent="0.25">
      <c r="H290" s="5"/>
      <c r="I290" s="5"/>
      <c r="J290" s="103"/>
    </row>
    <row r="291" spans="8:10" s="4" customFormat="1" x14ac:dyDescent="0.25">
      <c r="H291" s="5"/>
      <c r="I291" s="5"/>
      <c r="J291" s="103"/>
    </row>
    <row r="292" spans="8:10" s="4" customFormat="1" x14ac:dyDescent="0.25">
      <c r="H292" s="5"/>
      <c r="I292" s="5"/>
      <c r="J292" s="103"/>
    </row>
    <row r="293" spans="8:10" s="4" customFormat="1" x14ac:dyDescent="0.25">
      <c r="H293" s="5"/>
      <c r="I293" s="5"/>
      <c r="J293" s="103"/>
    </row>
    <row r="294" spans="8:10" s="4" customFormat="1" x14ac:dyDescent="0.25">
      <c r="H294" s="5"/>
      <c r="I294" s="5"/>
      <c r="J294" s="103"/>
    </row>
    <row r="295" spans="8:10" s="4" customFormat="1" x14ac:dyDescent="0.25">
      <c r="H295" s="5"/>
      <c r="I295" s="5"/>
      <c r="J295" s="103"/>
    </row>
    <row r="296" spans="8:10" s="4" customFormat="1" x14ac:dyDescent="0.25">
      <c r="H296" s="5"/>
      <c r="I296" s="5"/>
      <c r="J296" s="103"/>
    </row>
    <row r="297" spans="8:10" s="4" customFormat="1" x14ac:dyDescent="0.25">
      <c r="H297" s="5"/>
      <c r="I297" s="5"/>
      <c r="J297" s="103"/>
    </row>
    <row r="298" spans="8:10" s="4" customFormat="1" x14ac:dyDescent="0.25">
      <c r="H298" s="5"/>
      <c r="I298" s="5"/>
      <c r="J298" s="103"/>
    </row>
    <row r="299" spans="8:10" s="4" customFormat="1" x14ac:dyDescent="0.25">
      <c r="H299" s="5"/>
      <c r="I299" s="5"/>
      <c r="J299" s="103"/>
    </row>
    <row r="300" spans="8:10" s="4" customFormat="1" x14ac:dyDescent="0.25">
      <c r="H300" s="5"/>
      <c r="I300" s="5"/>
      <c r="J300" s="103"/>
    </row>
    <row r="301" spans="8:10" s="4" customFormat="1" x14ac:dyDescent="0.25">
      <c r="H301" s="5"/>
      <c r="I301" s="5"/>
      <c r="J301" s="103"/>
    </row>
    <row r="302" spans="8:10" s="4" customFormat="1" x14ac:dyDescent="0.25">
      <c r="H302" s="5"/>
      <c r="I302" s="5"/>
      <c r="J302" s="103"/>
    </row>
    <row r="303" spans="8:10" s="4" customFormat="1" x14ac:dyDescent="0.25">
      <c r="H303" s="5"/>
      <c r="I303" s="5"/>
      <c r="J303" s="103"/>
    </row>
    <row r="304" spans="8:10" s="4" customFormat="1" x14ac:dyDescent="0.25">
      <c r="H304" s="5"/>
      <c r="I304" s="5"/>
      <c r="J304" s="103"/>
    </row>
    <row r="305" spans="8:10" s="4" customFormat="1" x14ac:dyDescent="0.25">
      <c r="H305" s="5"/>
      <c r="I305" s="5"/>
      <c r="J305" s="103"/>
    </row>
    <row r="306" spans="8:10" s="4" customFormat="1" x14ac:dyDescent="0.25">
      <c r="H306" s="5"/>
      <c r="I306" s="5"/>
      <c r="J306" s="103"/>
    </row>
    <row r="307" spans="8:10" s="4" customFormat="1" x14ac:dyDescent="0.25">
      <c r="H307" s="5"/>
      <c r="I307" s="5"/>
      <c r="J307" s="103"/>
    </row>
    <row r="308" spans="8:10" s="4" customFormat="1" x14ac:dyDescent="0.25">
      <c r="H308" s="5"/>
      <c r="I308" s="5"/>
      <c r="J308" s="103"/>
    </row>
    <row r="309" spans="8:10" s="4" customFormat="1" x14ac:dyDescent="0.25">
      <c r="H309" s="5"/>
      <c r="I309" s="5"/>
      <c r="J309" s="103"/>
    </row>
    <row r="310" spans="8:10" s="4" customFormat="1" x14ac:dyDescent="0.25">
      <c r="H310" s="5"/>
      <c r="I310" s="5"/>
      <c r="J310" s="103"/>
    </row>
    <row r="311" spans="8:10" s="4" customFormat="1" x14ac:dyDescent="0.25">
      <c r="H311" s="5"/>
      <c r="I311" s="5"/>
      <c r="J311" s="103"/>
    </row>
    <row r="312" spans="8:10" s="4" customFormat="1" x14ac:dyDescent="0.25">
      <c r="H312" s="5"/>
      <c r="I312" s="5"/>
      <c r="J312" s="103"/>
    </row>
    <row r="313" spans="8:10" s="4" customFormat="1" x14ac:dyDescent="0.25">
      <c r="H313" s="5"/>
      <c r="I313" s="5"/>
      <c r="J313" s="103"/>
    </row>
    <row r="314" spans="8:10" s="4" customFormat="1" x14ac:dyDescent="0.25">
      <c r="H314" s="5"/>
      <c r="I314" s="5"/>
      <c r="J314" s="103"/>
    </row>
    <row r="315" spans="8:10" s="4" customFormat="1" x14ac:dyDescent="0.25">
      <c r="H315" s="5"/>
      <c r="I315" s="5"/>
      <c r="J315" s="103"/>
    </row>
    <row r="316" spans="8:10" s="4" customFormat="1" x14ac:dyDescent="0.25">
      <c r="H316" s="5"/>
      <c r="I316" s="5"/>
      <c r="J316" s="103"/>
    </row>
    <row r="317" spans="8:10" s="4" customFormat="1" x14ac:dyDescent="0.25">
      <c r="H317" s="5"/>
      <c r="I317" s="5"/>
      <c r="J317" s="103"/>
    </row>
    <row r="318" spans="8:10" s="4" customFormat="1" x14ac:dyDescent="0.25">
      <c r="H318" s="5"/>
      <c r="I318" s="5"/>
      <c r="J318" s="103"/>
    </row>
    <row r="319" spans="8:10" s="4" customFormat="1" x14ac:dyDescent="0.25">
      <c r="H319" s="5"/>
      <c r="I319" s="5"/>
      <c r="J319" s="103"/>
    </row>
    <row r="320" spans="8:10" s="4" customFormat="1" x14ac:dyDescent="0.25">
      <c r="H320" s="5"/>
      <c r="I320" s="5"/>
      <c r="J320" s="103"/>
    </row>
    <row r="321" spans="8:10" s="4" customFormat="1" x14ac:dyDescent="0.25">
      <c r="H321" s="5"/>
      <c r="I321" s="5"/>
      <c r="J321" s="103"/>
    </row>
    <row r="322" spans="8:10" s="4" customFormat="1" x14ac:dyDescent="0.25">
      <c r="H322" s="5"/>
      <c r="I322" s="5"/>
      <c r="J322" s="103"/>
    </row>
    <row r="323" spans="8:10" s="4" customFormat="1" x14ac:dyDescent="0.25">
      <c r="H323" s="5"/>
      <c r="I323" s="5"/>
      <c r="J323" s="103"/>
    </row>
    <row r="324" spans="8:10" s="4" customFormat="1" x14ac:dyDescent="0.25">
      <c r="H324" s="5"/>
      <c r="I324" s="5"/>
      <c r="J324" s="103"/>
    </row>
    <row r="325" spans="8:10" s="4" customFormat="1" x14ac:dyDescent="0.25">
      <c r="H325" s="5"/>
      <c r="I325" s="5"/>
      <c r="J325" s="103"/>
    </row>
    <row r="326" spans="8:10" s="4" customFormat="1" x14ac:dyDescent="0.25">
      <c r="H326" s="5"/>
      <c r="I326" s="5"/>
      <c r="J326" s="103"/>
    </row>
    <row r="327" spans="8:10" s="4" customFormat="1" x14ac:dyDescent="0.25">
      <c r="H327" s="5"/>
      <c r="I327" s="5"/>
      <c r="J327" s="103"/>
    </row>
    <row r="328" spans="8:10" s="4" customFormat="1" x14ac:dyDescent="0.25">
      <c r="H328" s="5"/>
      <c r="I328" s="5"/>
      <c r="J328" s="103"/>
    </row>
    <row r="329" spans="8:10" s="4" customFormat="1" x14ac:dyDescent="0.25">
      <c r="H329" s="5"/>
      <c r="I329" s="5"/>
      <c r="J329" s="103"/>
    </row>
    <row r="330" spans="8:10" s="4" customFormat="1" x14ac:dyDescent="0.25">
      <c r="H330" s="5"/>
      <c r="I330" s="5"/>
      <c r="J330" s="103"/>
    </row>
    <row r="331" spans="8:10" s="4" customFormat="1" x14ac:dyDescent="0.25">
      <c r="H331" s="5"/>
      <c r="I331" s="5"/>
      <c r="J331" s="103"/>
    </row>
    <row r="332" spans="8:10" s="4" customFormat="1" x14ac:dyDescent="0.25">
      <c r="H332" s="5"/>
      <c r="I332" s="5"/>
      <c r="J332" s="103"/>
    </row>
    <row r="333" spans="8:10" s="4" customFormat="1" x14ac:dyDescent="0.25">
      <c r="H333" s="5"/>
      <c r="I333" s="5"/>
      <c r="J333" s="103"/>
    </row>
    <row r="334" spans="8:10" s="4" customFormat="1" x14ac:dyDescent="0.25">
      <c r="H334" s="5"/>
      <c r="I334" s="5"/>
      <c r="J334" s="103"/>
    </row>
    <row r="335" spans="8:10" s="4" customFormat="1" x14ac:dyDescent="0.25">
      <c r="H335" s="5"/>
      <c r="I335" s="5"/>
      <c r="J335" s="103"/>
    </row>
    <row r="336" spans="8:10" s="4" customFormat="1" x14ac:dyDescent="0.25">
      <c r="H336" s="5"/>
      <c r="I336" s="5"/>
      <c r="J336" s="103"/>
    </row>
    <row r="337" spans="8:10" s="4" customFormat="1" x14ac:dyDescent="0.25">
      <c r="H337" s="5"/>
      <c r="I337" s="5"/>
      <c r="J337" s="103"/>
    </row>
    <row r="338" spans="8:10" s="4" customFormat="1" x14ac:dyDescent="0.25">
      <c r="H338" s="5"/>
      <c r="I338" s="5"/>
      <c r="J338" s="103"/>
    </row>
    <row r="339" spans="8:10" s="4" customFormat="1" x14ac:dyDescent="0.25">
      <c r="H339" s="5"/>
      <c r="I339" s="5"/>
      <c r="J339" s="103"/>
    </row>
    <row r="340" spans="8:10" s="4" customFormat="1" x14ac:dyDescent="0.25">
      <c r="H340" s="5"/>
      <c r="I340" s="5"/>
      <c r="J340" s="103"/>
    </row>
    <row r="341" spans="8:10" s="4" customFormat="1" x14ac:dyDescent="0.25">
      <c r="H341" s="5"/>
      <c r="I341" s="5"/>
      <c r="J341" s="103"/>
    </row>
    <row r="342" spans="8:10" s="4" customFormat="1" x14ac:dyDescent="0.25">
      <c r="H342" s="5"/>
      <c r="I342" s="5"/>
      <c r="J342" s="103"/>
    </row>
    <row r="343" spans="8:10" s="4" customFormat="1" x14ac:dyDescent="0.25">
      <c r="H343" s="5"/>
      <c r="I343" s="5"/>
      <c r="J343" s="103"/>
    </row>
    <row r="344" spans="8:10" s="4" customFormat="1" x14ac:dyDescent="0.25">
      <c r="H344" s="5"/>
      <c r="I344" s="5"/>
      <c r="J344" s="103"/>
    </row>
    <row r="345" spans="8:10" s="4" customFormat="1" x14ac:dyDescent="0.25">
      <c r="H345" s="5"/>
      <c r="I345" s="5"/>
      <c r="J345" s="103"/>
    </row>
    <row r="346" spans="8:10" s="4" customFormat="1" x14ac:dyDescent="0.25">
      <c r="H346" s="5"/>
      <c r="I346" s="5"/>
      <c r="J346" s="103"/>
    </row>
    <row r="347" spans="8:10" s="4" customFormat="1" x14ac:dyDescent="0.25">
      <c r="H347" s="5"/>
      <c r="I347" s="5"/>
      <c r="J347" s="103"/>
    </row>
    <row r="348" spans="8:10" s="4" customFormat="1" x14ac:dyDescent="0.25">
      <c r="H348" s="5"/>
      <c r="I348" s="5"/>
      <c r="J348" s="103"/>
    </row>
    <row r="349" spans="8:10" s="4" customFormat="1" x14ac:dyDescent="0.25">
      <c r="H349" s="5"/>
      <c r="I349" s="5"/>
      <c r="J349" s="103"/>
    </row>
    <row r="350" spans="8:10" s="4" customFormat="1" x14ac:dyDescent="0.25">
      <c r="H350" s="5"/>
      <c r="I350" s="5"/>
      <c r="J350" s="103"/>
    </row>
    <row r="351" spans="8:10" s="4" customFormat="1" x14ac:dyDescent="0.25">
      <c r="H351" s="5"/>
      <c r="I351" s="5"/>
      <c r="J351" s="103"/>
    </row>
    <row r="352" spans="8:10" s="4" customFormat="1" x14ac:dyDescent="0.25">
      <c r="H352" s="5"/>
      <c r="I352" s="5"/>
      <c r="J352" s="103"/>
    </row>
    <row r="353" spans="8:10" s="4" customFormat="1" x14ac:dyDescent="0.25">
      <c r="H353" s="5"/>
      <c r="I353" s="5"/>
      <c r="J353" s="103"/>
    </row>
    <row r="354" spans="8:10" s="4" customFormat="1" x14ac:dyDescent="0.25">
      <c r="H354" s="5"/>
      <c r="I354" s="5"/>
      <c r="J354" s="103"/>
    </row>
    <row r="355" spans="8:10" s="4" customFormat="1" x14ac:dyDescent="0.25">
      <c r="H355" s="5"/>
      <c r="I355" s="5"/>
      <c r="J355" s="103"/>
    </row>
    <row r="356" spans="8:10" s="4" customFormat="1" x14ac:dyDescent="0.25">
      <c r="H356" s="5"/>
      <c r="I356" s="5"/>
      <c r="J356" s="103"/>
    </row>
    <row r="357" spans="8:10" s="4" customFormat="1" x14ac:dyDescent="0.25">
      <c r="H357" s="5"/>
      <c r="I357" s="5"/>
      <c r="J357" s="103"/>
    </row>
    <row r="358" spans="8:10" s="4" customFormat="1" x14ac:dyDescent="0.25">
      <c r="H358" s="5"/>
      <c r="I358" s="5"/>
      <c r="J358" s="103"/>
    </row>
    <row r="359" spans="8:10" s="4" customFormat="1" x14ac:dyDescent="0.25">
      <c r="H359" s="5"/>
      <c r="I359" s="5"/>
      <c r="J359" s="103"/>
    </row>
    <row r="360" spans="8:10" s="4" customFormat="1" x14ac:dyDescent="0.25">
      <c r="H360" s="5"/>
      <c r="I360" s="5"/>
      <c r="J360" s="103"/>
    </row>
    <row r="361" spans="8:10" s="4" customFormat="1" x14ac:dyDescent="0.25">
      <c r="H361" s="5"/>
      <c r="I361" s="5"/>
      <c r="J361" s="103"/>
    </row>
    <row r="362" spans="8:10" s="4" customFormat="1" x14ac:dyDescent="0.25">
      <c r="H362" s="5"/>
      <c r="I362" s="5"/>
      <c r="J362" s="103"/>
    </row>
    <row r="363" spans="8:10" s="4" customFormat="1" x14ac:dyDescent="0.25">
      <c r="H363" s="5"/>
      <c r="I363" s="5"/>
      <c r="J363" s="103"/>
    </row>
    <row r="364" spans="8:10" s="4" customFormat="1" x14ac:dyDescent="0.25">
      <c r="H364" s="5"/>
      <c r="I364" s="5"/>
      <c r="J364" s="103"/>
    </row>
    <row r="365" spans="8:10" s="4" customFormat="1" x14ac:dyDescent="0.25">
      <c r="H365" s="5"/>
      <c r="I365" s="5"/>
      <c r="J365" s="103"/>
    </row>
    <row r="366" spans="8:10" s="4" customFormat="1" x14ac:dyDescent="0.25">
      <c r="H366" s="5"/>
      <c r="I366" s="5"/>
      <c r="J366" s="103"/>
    </row>
    <row r="367" spans="8:10" s="4" customFormat="1" x14ac:dyDescent="0.25">
      <c r="H367" s="5"/>
      <c r="I367" s="5"/>
      <c r="J367" s="103"/>
    </row>
    <row r="368" spans="8:10" s="4" customFormat="1" x14ac:dyDescent="0.25">
      <c r="H368" s="5"/>
      <c r="I368" s="5"/>
      <c r="J368" s="103"/>
    </row>
    <row r="369" spans="8:10" s="4" customFormat="1" x14ac:dyDescent="0.25">
      <c r="H369" s="5"/>
      <c r="I369" s="5"/>
      <c r="J369" s="103"/>
    </row>
    <row r="370" spans="8:10" s="4" customFormat="1" x14ac:dyDescent="0.25">
      <c r="H370" s="5"/>
      <c r="I370" s="5"/>
      <c r="J370" s="103"/>
    </row>
    <row r="371" spans="8:10" s="4" customFormat="1" x14ac:dyDescent="0.25">
      <c r="H371" s="5"/>
      <c r="I371" s="5"/>
      <c r="J371" s="103"/>
    </row>
    <row r="372" spans="8:10" s="4" customFormat="1" x14ac:dyDescent="0.25">
      <c r="H372" s="5"/>
      <c r="I372" s="5"/>
      <c r="J372" s="103"/>
    </row>
    <row r="373" spans="8:10" s="4" customFormat="1" x14ac:dyDescent="0.25">
      <c r="H373" s="5"/>
      <c r="I373" s="5"/>
      <c r="J373" s="103"/>
    </row>
    <row r="374" spans="8:10" s="4" customFormat="1" x14ac:dyDescent="0.25">
      <c r="H374" s="5"/>
      <c r="I374" s="5"/>
      <c r="J374" s="103"/>
    </row>
    <row r="375" spans="8:10" s="4" customFormat="1" x14ac:dyDescent="0.25">
      <c r="H375" s="5"/>
      <c r="I375" s="5"/>
      <c r="J375" s="103"/>
    </row>
    <row r="376" spans="8:10" s="4" customFormat="1" x14ac:dyDescent="0.25">
      <c r="H376" s="5"/>
      <c r="I376" s="5"/>
      <c r="J376" s="103"/>
    </row>
    <row r="377" spans="8:10" s="4" customFormat="1" x14ac:dyDescent="0.25">
      <c r="H377" s="5"/>
      <c r="I377" s="5"/>
      <c r="J377" s="103"/>
    </row>
    <row r="378" spans="8:10" s="4" customFormat="1" x14ac:dyDescent="0.25">
      <c r="H378" s="5"/>
      <c r="I378" s="5"/>
      <c r="J378" s="103"/>
    </row>
    <row r="379" spans="8:10" s="4" customFormat="1" x14ac:dyDescent="0.25">
      <c r="H379" s="5"/>
      <c r="I379" s="5"/>
      <c r="J379" s="103"/>
    </row>
    <row r="380" spans="8:10" s="4" customFormat="1" x14ac:dyDescent="0.25">
      <c r="H380" s="5"/>
      <c r="I380" s="5"/>
      <c r="J380" s="103"/>
    </row>
    <row r="381" spans="8:10" s="4" customFormat="1" x14ac:dyDescent="0.25">
      <c r="H381" s="5"/>
      <c r="I381" s="5"/>
      <c r="J381" s="103"/>
    </row>
    <row r="382" spans="8:10" s="4" customFormat="1" x14ac:dyDescent="0.25">
      <c r="H382" s="5"/>
      <c r="I382" s="5"/>
      <c r="J382" s="103"/>
    </row>
    <row r="383" spans="8:10" s="4" customFormat="1" x14ac:dyDescent="0.25">
      <c r="H383" s="5"/>
      <c r="I383" s="5"/>
      <c r="J383" s="103"/>
    </row>
    <row r="384" spans="8:10" s="4" customFormat="1" x14ac:dyDescent="0.25">
      <c r="H384" s="5"/>
      <c r="I384" s="5"/>
      <c r="J384" s="103"/>
    </row>
    <row r="385" spans="8:10" s="4" customFormat="1" x14ac:dyDescent="0.25">
      <c r="H385" s="5"/>
      <c r="I385" s="5"/>
      <c r="J385" s="103"/>
    </row>
    <row r="386" spans="8:10" s="4" customFormat="1" x14ac:dyDescent="0.25">
      <c r="H386" s="5"/>
      <c r="I386" s="5"/>
      <c r="J386" s="103"/>
    </row>
    <row r="387" spans="8:10" s="4" customFormat="1" x14ac:dyDescent="0.25">
      <c r="H387" s="5"/>
      <c r="I387" s="5"/>
      <c r="J387" s="103"/>
    </row>
    <row r="388" spans="8:10" s="4" customFormat="1" x14ac:dyDescent="0.25">
      <c r="H388" s="5"/>
      <c r="I388" s="5"/>
      <c r="J388" s="103"/>
    </row>
    <row r="389" spans="8:10" s="4" customFormat="1" x14ac:dyDescent="0.25">
      <c r="H389" s="5"/>
      <c r="I389" s="5"/>
      <c r="J389" s="103"/>
    </row>
    <row r="390" spans="8:10" s="4" customFormat="1" x14ac:dyDescent="0.25">
      <c r="H390" s="5"/>
      <c r="I390" s="5"/>
      <c r="J390" s="103"/>
    </row>
    <row r="391" spans="8:10" s="4" customFormat="1" x14ac:dyDescent="0.25">
      <c r="H391" s="5"/>
      <c r="I391" s="5"/>
      <c r="J391" s="103"/>
    </row>
    <row r="392" spans="8:10" s="4" customFormat="1" x14ac:dyDescent="0.25">
      <c r="H392" s="5"/>
      <c r="I392" s="5"/>
      <c r="J392" s="103"/>
    </row>
    <row r="393" spans="8:10" s="4" customFormat="1" x14ac:dyDescent="0.25">
      <c r="H393" s="5"/>
      <c r="I393" s="5"/>
      <c r="J393" s="103"/>
    </row>
    <row r="394" spans="8:10" s="4" customFormat="1" x14ac:dyDescent="0.25">
      <c r="H394" s="5"/>
      <c r="I394" s="5"/>
      <c r="J394" s="103"/>
    </row>
    <row r="395" spans="8:10" s="4" customFormat="1" x14ac:dyDescent="0.25">
      <c r="H395" s="5"/>
      <c r="I395" s="5"/>
      <c r="J395" s="103"/>
    </row>
    <row r="396" spans="8:10" s="4" customFormat="1" x14ac:dyDescent="0.25">
      <c r="H396" s="5"/>
      <c r="I396" s="5"/>
      <c r="J396" s="103"/>
    </row>
    <row r="397" spans="8:10" s="4" customFormat="1" x14ac:dyDescent="0.25">
      <c r="H397" s="5"/>
      <c r="I397" s="5"/>
      <c r="J397" s="103"/>
    </row>
    <row r="398" spans="8:10" s="4" customFormat="1" x14ac:dyDescent="0.25">
      <c r="H398" s="5"/>
      <c r="I398" s="5"/>
      <c r="J398" s="103"/>
    </row>
    <row r="399" spans="8:10" s="4" customFormat="1" x14ac:dyDescent="0.25">
      <c r="H399" s="5"/>
      <c r="I399" s="5"/>
      <c r="J399" s="103"/>
    </row>
    <row r="400" spans="8:10" s="4" customFormat="1" x14ac:dyDescent="0.25">
      <c r="H400" s="5"/>
      <c r="I400" s="5"/>
      <c r="J400" s="103"/>
    </row>
    <row r="401" spans="8:10" s="4" customFormat="1" x14ac:dyDescent="0.25">
      <c r="H401" s="5"/>
      <c r="I401" s="5"/>
      <c r="J401" s="103"/>
    </row>
    <row r="402" spans="8:10" s="4" customFormat="1" x14ac:dyDescent="0.25">
      <c r="H402" s="5"/>
      <c r="I402" s="5"/>
      <c r="J402" s="103"/>
    </row>
    <row r="403" spans="8:10" s="4" customFormat="1" x14ac:dyDescent="0.25">
      <c r="H403" s="5"/>
      <c r="I403" s="5"/>
      <c r="J403" s="103"/>
    </row>
    <row r="404" spans="8:10" s="4" customFormat="1" x14ac:dyDescent="0.25">
      <c r="H404" s="5"/>
      <c r="I404" s="5"/>
      <c r="J404" s="103"/>
    </row>
    <row r="405" spans="8:10" s="4" customFormat="1" x14ac:dyDescent="0.25">
      <c r="H405" s="5"/>
      <c r="I405" s="5"/>
      <c r="J405" s="103"/>
    </row>
    <row r="406" spans="8:10" s="4" customFormat="1" x14ac:dyDescent="0.25">
      <c r="H406" s="5"/>
      <c r="I406" s="5"/>
      <c r="J406" s="103"/>
    </row>
    <row r="407" spans="8:10" s="4" customFormat="1" x14ac:dyDescent="0.25">
      <c r="H407" s="5"/>
      <c r="I407" s="5"/>
      <c r="J407" s="103"/>
    </row>
    <row r="408" spans="8:10" s="4" customFormat="1" x14ac:dyDescent="0.25">
      <c r="H408" s="5"/>
      <c r="I408" s="5"/>
      <c r="J408" s="103"/>
    </row>
    <row r="409" spans="8:10" s="4" customFormat="1" x14ac:dyDescent="0.25">
      <c r="H409" s="5"/>
      <c r="I409" s="5"/>
      <c r="J409" s="103"/>
    </row>
    <row r="410" spans="8:10" s="4" customFormat="1" x14ac:dyDescent="0.25">
      <c r="H410" s="5"/>
      <c r="I410" s="5"/>
      <c r="J410" s="103"/>
    </row>
    <row r="411" spans="8:10" s="4" customFormat="1" x14ac:dyDescent="0.25">
      <c r="H411" s="5"/>
      <c r="I411" s="5"/>
      <c r="J411" s="103"/>
    </row>
    <row r="412" spans="8:10" s="4" customFormat="1" x14ac:dyDescent="0.25">
      <c r="H412" s="5"/>
      <c r="I412" s="5"/>
      <c r="J412" s="103"/>
    </row>
    <row r="413" spans="8:10" s="4" customFormat="1" x14ac:dyDescent="0.25">
      <c r="H413" s="5"/>
      <c r="I413" s="5"/>
      <c r="J413" s="103"/>
    </row>
    <row r="414" spans="8:10" s="4" customFormat="1" x14ac:dyDescent="0.25">
      <c r="H414" s="5"/>
      <c r="I414" s="5"/>
      <c r="J414" s="103"/>
    </row>
    <row r="415" spans="8:10" s="4" customFormat="1" x14ac:dyDescent="0.25">
      <c r="H415" s="5"/>
      <c r="I415" s="5"/>
      <c r="J415" s="103"/>
    </row>
    <row r="416" spans="8:10" s="4" customFormat="1" x14ac:dyDescent="0.25">
      <c r="H416" s="5"/>
      <c r="I416" s="5"/>
      <c r="J416" s="103"/>
    </row>
    <row r="417" spans="8:10" s="4" customFormat="1" x14ac:dyDescent="0.25">
      <c r="H417" s="5"/>
      <c r="I417" s="5"/>
      <c r="J417" s="103"/>
    </row>
    <row r="418" spans="8:10" s="4" customFormat="1" x14ac:dyDescent="0.25">
      <c r="H418" s="5"/>
      <c r="I418" s="5"/>
      <c r="J418" s="103"/>
    </row>
    <row r="419" spans="8:10" s="4" customFormat="1" x14ac:dyDescent="0.25">
      <c r="H419" s="5"/>
      <c r="I419" s="5"/>
      <c r="J419" s="103"/>
    </row>
    <row r="420" spans="8:10" s="4" customFormat="1" x14ac:dyDescent="0.25">
      <c r="H420" s="5"/>
      <c r="I420" s="5"/>
      <c r="J420" s="103"/>
    </row>
    <row r="421" spans="8:10" s="4" customFormat="1" x14ac:dyDescent="0.25">
      <c r="H421" s="5"/>
      <c r="I421" s="5"/>
      <c r="J421" s="103"/>
    </row>
    <row r="422" spans="8:10" s="4" customFormat="1" x14ac:dyDescent="0.25">
      <c r="H422" s="5"/>
      <c r="I422" s="5"/>
      <c r="J422" s="103"/>
    </row>
    <row r="423" spans="8:10" s="4" customFormat="1" x14ac:dyDescent="0.25">
      <c r="H423" s="5"/>
      <c r="I423" s="5"/>
      <c r="J423" s="103"/>
    </row>
    <row r="424" spans="8:10" s="4" customFormat="1" x14ac:dyDescent="0.25">
      <c r="H424" s="5"/>
      <c r="I424" s="5"/>
      <c r="J424" s="103"/>
    </row>
    <row r="425" spans="8:10" s="4" customFormat="1" x14ac:dyDescent="0.25">
      <c r="H425" s="5"/>
      <c r="I425" s="5"/>
      <c r="J425" s="103"/>
    </row>
    <row r="426" spans="8:10" s="4" customFormat="1" x14ac:dyDescent="0.25">
      <c r="H426" s="5"/>
      <c r="I426" s="5"/>
      <c r="J426" s="103"/>
    </row>
    <row r="427" spans="8:10" s="4" customFormat="1" x14ac:dyDescent="0.25">
      <c r="H427" s="5"/>
      <c r="I427" s="5"/>
      <c r="J427" s="103"/>
    </row>
    <row r="428" spans="8:10" s="4" customFormat="1" x14ac:dyDescent="0.25">
      <c r="H428" s="5"/>
      <c r="I428" s="5"/>
      <c r="J428" s="103"/>
    </row>
    <row r="429" spans="8:10" s="4" customFormat="1" x14ac:dyDescent="0.25">
      <c r="H429" s="5"/>
      <c r="I429" s="5"/>
      <c r="J429" s="103"/>
    </row>
    <row r="430" spans="8:10" s="4" customFormat="1" x14ac:dyDescent="0.25">
      <c r="H430" s="5"/>
      <c r="I430" s="5"/>
      <c r="J430" s="103"/>
    </row>
    <row r="431" spans="8:10" s="4" customFormat="1" x14ac:dyDescent="0.25">
      <c r="H431" s="5"/>
      <c r="I431" s="5"/>
      <c r="J431" s="103"/>
    </row>
    <row r="432" spans="8:10" s="4" customFormat="1" x14ac:dyDescent="0.25">
      <c r="H432" s="5"/>
      <c r="I432" s="5"/>
      <c r="J432" s="103"/>
    </row>
    <row r="433" spans="8:10" s="4" customFormat="1" x14ac:dyDescent="0.25">
      <c r="H433" s="5"/>
      <c r="I433" s="5"/>
      <c r="J433" s="103"/>
    </row>
    <row r="434" spans="8:10" s="4" customFormat="1" x14ac:dyDescent="0.25">
      <c r="H434" s="5"/>
      <c r="I434" s="5"/>
      <c r="J434" s="103"/>
    </row>
    <row r="435" spans="8:10" s="4" customFormat="1" x14ac:dyDescent="0.25">
      <c r="H435" s="5"/>
      <c r="I435" s="5"/>
      <c r="J435" s="103"/>
    </row>
    <row r="436" spans="8:10" s="4" customFormat="1" x14ac:dyDescent="0.25">
      <c r="H436" s="5"/>
      <c r="I436" s="5"/>
      <c r="J436" s="103"/>
    </row>
    <row r="437" spans="8:10" s="4" customFormat="1" x14ac:dyDescent="0.25">
      <c r="H437" s="5"/>
      <c r="I437" s="5"/>
      <c r="J437" s="103"/>
    </row>
    <row r="438" spans="8:10" s="4" customFormat="1" x14ac:dyDescent="0.25">
      <c r="H438" s="5"/>
      <c r="I438" s="5"/>
      <c r="J438" s="103"/>
    </row>
    <row r="439" spans="8:10" s="4" customFormat="1" x14ac:dyDescent="0.25">
      <c r="H439" s="5"/>
      <c r="I439" s="5"/>
      <c r="J439" s="103"/>
    </row>
    <row r="440" spans="8:10" s="4" customFormat="1" x14ac:dyDescent="0.25">
      <c r="H440" s="5"/>
      <c r="I440" s="5"/>
      <c r="J440" s="103"/>
    </row>
    <row r="441" spans="8:10" s="4" customFormat="1" x14ac:dyDescent="0.25">
      <c r="H441" s="5"/>
      <c r="I441" s="5"/>
      <c r="J441" s="103"/>
    </row>
    <row r="442" spans="8:10" s="4" customFormat="1" x14ac:dyDescent="0.25">
      <c r="H442" s="5"/>
      <c r="I442" s="5"/>
      <c r="J442" s="103"/>
    </row>
    <row r="443" spans="8:10" s="4" customFormat="1" x14ac:dyDescent="0.25">
      <c r="H443" s="5"/>
      <c r="I443" s="5"/>
      <c r="J443" s="103"/>
    </row>
    <row r="444" spans="8:10" s="4" customFormat="1" x14ac:dyDescent="0.25">
      <c r="H444" s="5"/>
      <c r="I444" s="5"/>
      <c r="J444" s="103"/>
    </row>
    <row r="445" spans="8:10" s="4" customFormat="1" x14ac:dyDescent="0.25">
      <c r="H445" s="5"/>
      <c r="I445" s="5"/>
      <c r="J445" s="103"/>
    </row>
    <row r="446" spans="8:10" s="4" customFormat="1" x14ac:dyDescent="0.25">
      <c r="H446" s="5"/>
      <c r="I446" s="5"/>
      <c r="J446" s="103"/>
    </row>
    <row r="447" spans="8:10" s="4" customFormat="1" x14ac:dyDescent="0.25">
      <c r="H447" s="5"/>
      <c r="I447" s="5"/>
      <c r="J447" s="103"/>
    </row>
    <row r="448" spans="8:10" s="4" customFormat="1" x14ac:dyDescent="0.25">
      <c r="H448" s="5"/>
      <c r="I448" s="5"/>
      <c r="J448" s="103"/>
    </row>
    <row r="449" spans="8:10" s="4" customFormat="1" x14ac:dyDescent="0.25">
      <c r="H449" s="5"/>
      <c r="I449" s="5"/>
      <c r="J449" s="103"/>
    </row>
    <row r="450" spans="8:10" s="4" customFormat="1" x14ac:dyDescent="0.25">
      <c r="H450" s="5"/>
      <c r="I450" s="5"/>
      <c r="J450" s="103"/>
    </row>
    <row r="451" spans="8:10" s="4" customFormat="1" x14ac:dyDescent="0.25">
      <c r="H451" s="5"/>
      <c r="I451" s="5"/>
      <c r="J451" s="103"/>
    </row>
    <row r="452" spans="8:10" s="4" customFormat="1" x14ac:dyDescent="0.25">
      <c r="H452" s="5"/>
      <c r="I452" s="5"/>
      <c r="J452" s="103"/>
    </row>
    <row r="453" spans="8:10" s="4" customFormat="1" x14ac:dyDescent="0.25">
      <c r="H453" s="5"/>
      <c r="I453" s="5"/>
      <c r="J453" s="103"/>
    </row>
    <row r="454" spans="8:10" s="4" customFormat="1" x14ac:dyDescent="0.25">
      <c r="H454" s="5"/>
      <c r="I454" s="5"/>
      <c r="J454" s="103"/>
    </row>
    <row r="455" spans="8:10" s="4" customFormat="1" x14ac:dyDescent="0.25">
      <c r="H455" s="5"/>
      <c r="I455" s="5"/>
      <c r="J455" s="103"/>
    </row>
    <row r="456" spans="8:10" s="4" customFormat="1" x14ac:dyDescent="0.25">
      <c r="H456" s="5"/>
      <c r="I456" s="5"/>
      <c r="J456" s="103"/>
    </row>
    <row r="457" spans="8:10" s="4" customFormat="1" x14ac:dyDescent="0.25">
      <c r="H457" s="5"/>
      <c r="I457" s="5"/>
      <c r="J457" s="103"/>
    </row>
    <row r="458" spans="8:10" s="4" customFormat="1" x14ac:dyDescent="0.25">
      <c r="H458" s="5"/>
      <c r="I458" s="5"/>
      <c r="J458" s="103"/>
    </row>
    <row r="459" spans="8:10" s="4" customFormat="1" x14ac:dyDescent="0.25">
      <c r="H459" s="5"/>
      <c r="I459" s="5"/>
      <c r="J459" s="103"/>
    </row>
    <row r="460" spans="8:10" s="4" customFormat="1" x14ac:dyDescent="0.25">
      <c r="H460" s="5"/>
      <c r="I460" s="5"/>
      <c r="J460" s="103"/>
    </row>
    <row r="461" spans="8:10" s="4" customFormat="1" x14ac:dyDescent="0.25">
      <c r="H461" s="5"/>
      <c r="I461" s="5"/>
      <c r="J461" s="103"/>
    </row>
    <row r="462" spans="8:10" s="4" customFormat="1" x14ac:dyDescent="0.25">
      <c r="H462" s="5"/>
      <c r="I462" s="5"/>
      <c r="J462" s="103"/>
    </row>
    <row r="463" spans="8:10" s="4" customFormat="1" x14ac:dyDescent="0.25">
      <c r="H463" s="5"/>
      <c r="I463" s="5"/>
      <c r="J463" s="103"/>
    </row>
    <row r="464" spans="8:10" s="4" customFormat="1" x14ac:dyDescent="0.25">
      <c r="H464" s="5"/>
      <c r="I464" s="5"/>
      <c r="J464" s="103"/>
    </row>
    <row r="465" spans="8:10" s="4" customFormat="1" x14ac:dyDescent="0.25">
      <c r="H465" s="5"/>
      <c r="I465" s="5"/>
      <c r="J465" s="103"/>
    </row>
    <row r="466" spans="8:10" s="4" customFormat="1" x14ac:dyDescent="0.25">
      <c r="H466" s="5"/>
      <c r="I466" s="5"/>
      <c r="J466" s="103"/>
    </row>
    <row r="467" spans="8:10" s="4" customFormat="1" x14ac:dyDescent="0.25">
      <c r="H467" s="5"/>
      <c r="I467" s="5"/>
      <c r="J467" s="103"/>
    </row>
    <row r="468" spans="8:10" s="4" customFormat="1" x14ac:dyDescent="0.25">
      <c r="H468" s="5"/>
      <c r="I468" s="5"/>
      <c r="J468" s="103"/>
    </row>
    <row r="469" spans="8:10" s="4" customFormat="1" x14ac:dyDescent="0.25">
      <c r="H469" s="5"/>
      <c r="I469" s="5"/>
      <c r="J469" s="103"/>
    </row>
    <row r="470" spans="8:10" s="4" customFormat="1" x14ac:dyDescent="0.25">
      <c r="H470" s="5"/>
      <c r="I470" s="5"/>
      <c r="J470" s="103"/>
    </row>
    <row r="471" spans="8:10" s="4" customFormat="1" x14ac:dyDescent="0.25">
      <c r="H471" s="5"/>
      <c r="I471" s="5"/>
      <c r="J471" s="103"/>
    </row>
    <row r="472" spans="8:10" s="4" customFormat="1" x14ac:dyDescent="0.25">
      <c r="H472" s="5"/>
      <c r="I472" s="5"/>
      <c r="J472" s="103"/>
    </row>
    <row r="473" spans="8:10" s="4" customFormat="1" x14ac:dyDescent="0.25">
      <c r="H473" s="5"/>
      <c r="I473" s="5"/>
      <c r="J473" s="103"/>
    </row>
    <row r="474" spans="8:10" s="4" customFormat="1" x14ac:dyDescent="0.25">
      <c r="H474" s="5"/>
      <c r="I474" s="5"/>
      <c r="J474" s="103"/>
    </row>
    <row r="475" spans="8:10" s="4" customFormat="1" x14ac:dyDescent="0.25">
      <c r="H475" s="5"/>
      <c r="I475" s="5"/>
      <c r="J475" s="103"/>
    </row>
    <row r="476" spans="8:10" s="4" customFormat="1" x14ac:dyDescent="0.25">
      <c r="H476" s="5"/>
      <c r="I476" s="5"/>
      <c r="J476" s="103"/>
    </row>
    <row r="477" spans="8:10" s="4" customFormat="1" x14ac:dyDescent="0.25">
      <c r="H477" s="5"/>
      <c r="I477" s="5"/>
      <c r="J477" s="103"/>
    </row>
    <row r="478" spans="8:10" s="4" customFormat="1" x14ac:dyDescent="0.25">
      <c r="H478" s="5"/>
      <c r="I478" s="5"/>
      <c r="J478" s="103"/>
    </row>
    <row r="479" spans="8:10" s="4" customFormat="1" x14ac:dyDescent="0.25">
      <c r="H479" s="5"/>
      <c r="I479" s="5"/>
      <c r="J479" s="103"/>
    </row>
    <row r="480" spans="8:10" s="4" customFormat="1" x14ac:dyDescent="0.25">
      <c r="H480" s="5"/>
      <c r="I480" s="5"/>
      <c r="J480" s="103"/>
    </row>
    <row r="481" spans="8:10" s="4" customFormat="1" x14ac:dyDescent="0.25">
      <c r="H481" s="5"/>
      <c r="I481" s="5"/>
      <c r="J481" s="103"/>
    </row>
    <row r="482" spans="8:10" s="4" customFormat="1" x14ac:dyDescent="0.25">
      <c r="H482" s="5"/>
      <c r="I482" s="5"/>
      <c r="J482" s="103"/>
    </row>
    <row r="483" spans="8:10" s="4" customFormat="1" x14ac:dyDescent="0.25">
      <c r="H483" s="5"/>
      <c r="I483" s="5"/>
      <c r="J483" s="103"/>
    </row>
    <row r="484" spans="8:10" s="4" customFormat="1" x14ac:dyDescent="0.25">
      <c r="H484" s="5"/>
      <c r="I484" s="5"/>
      <c r="J484" s="103"/>
    </row>
    <row r="485" spans="8:10" s="4" customFormat="1" x14ac:dyDescent="0.25">
      <c r="H485" s="5"/>
      <c r="I485" s="5"/>
      <c r="J485" s="103"/>
    </row>
    <row r="486" spans="8:10" s="4" customFormat="1" x14ac:dyDescent="0.25">
      <c r="H486" s="5"/>
      <c r="I486" s="5"/>
      <c r="J486" s="103"/>
    </row>
    <row r="487" spans="8:10" s="4" customFormat="1" x14ac:dyDescent="0.25">
      <c r="H487" s="5"/>
      <c r="I487" s="5"/>
      <c r="J487" s="103"/>
    </row>
    <row r="488" spans="8:10" s="4" customFormat="1" x14ac:dyDescent="0.25">
      <c r="H488" s="5"/>
      <c r="I488" s="5"/>
      <c r="J488" s="103"/>
    </row>
    <row r="489" spans="8:10" s="4" customFormat="1" x14ac:dyDescent="0.25">
      <c r="H489" s="5"/>
      <c r="I489" s="5"/>
      <c r="J489" s="103"/>
    </row>
    <row r="490" spans="8:10" s="4" customFormat="1" x14ac:dyDescent="0.25">
      <c r="H490" s="5"/>
      <c r="I490" s="5"/>
      <c r="J490" s="103"/>
    </row>
    <row r="491" spans="8:10" s="4" customFormat="1" x14ac:dyDescent="0.25">
      <c r="H491" s="5"/>
      <c r="I491" s="5"/>
      <c r="J491" s="103"/>
    </row>
    <row r="492" spans="8:10" s="4" customFormat="1" x14ac:dyDescent="0.25">
      <c r="H492" s="5"/>
      <c r="I492" s="5"/>
      <c r="J492" s="103"/>
    </row>
    <row r="493" spans="8:10" s="4" customFormat="1" x14ac:dyDescent="0.25">
      <c r="H493" s="5"/>
      <c r="I493" s="5"/>
      <c r="J493" s="103"/>
    </row>
    <row r="494" spans="8:10" s="4" customFormat="1" x14ac:dyDescent="0.25">
      <c r="H494" s="5"/>
      <c r="I494" s="5"/>
      <c r="J494" s="103"/>
    </row>
    <row r="495" spans="8:10" s="4" customFormat="1" x14ac:dyDescent="0.25">
      <c r="H495" s="5"/>
      <c r="I495" s="5"/>
      <c r="J495" s="103"/>
    </row>
    <row r="496" spans="8:10" s="4" customFormat="1" x14ac:dyDescent="0.25">
      <c r="H496" s="5"/>
      <c r="I496" s="5"/>
      <c r="J496" s="103"/>
    </row>
    <row r="497" spans="8:10" s="4" customFormat="1" x14ac:dyDescent="0.25">
      <c r="H497" s="5"/>
      <c r="I497" s="5"/>
      <c r="J497" s="103"/>
    </row>
    <row r="498" spans="8:10" s="4" customFormat="1" x14ac:dyDescent="0.25">
      <c r="H498" s="5"/>
      <c r="I498" s="5"/>
      <c r="J498" s="103"/>
    </row>
    <row r="499" spans="8:10" s="4" customFormat="1" x14ac:dyDescent="0.25">
      <c r="H499" s="5"/>
      <c r="I499" s="5"/>
      <c r="J499" s="103"/>
    </row>
    <row r="500" spans="8:10" s="4" customFormat="1" x14ac:dyDescent="0.25">
      <c r="H500" s="5"/>
      <c r="I500" s="5"/>
      <c r="J500" s="103"/>
    </row>
    <row r="501" spans="8:10" s="4" customFormat="1" x14ac:dyDescent="0.25">
      <c r="H501" s="5"/>
      <c r="I501" s="5"/>
      <c r="J501" s="103"/>
    </row>
    <row r="502" spans="8:10" s="4" customFormat="1" x14ac:dyDescent="0.25">
      <c r="H502" s="5"/>
      <c r="I502" s="5"/>
      <c r="J502" s="103"/>
    </row>
    <row r="503" spans="8:10" s="4" customFormat="1" x14ac:dyDescent="0.25">
      <c r="H503" s="5"/>
      <c r="I503" s="5"/>
      <c r="J503" s="103"/>
    </row>
    <row r="504" spans="8:10" s="4" customFormat="1" x14ac:dyDescent="0.25">
      <c r="H504" s="5"/>
      <c r="I504" s="5"/>
      <c r="J504" s="103"/>
    </row>
    <row r="505" spans="8:10" s="4" customFormat="1" x14ac:dyDescent="0.25">
      <c r="H505" s="5"/>
      <c r="I505" s="5"/>
      <c r="J505" s="103"/>
    </row>
    <row r="506" spans="8:10" s="4" customFormat="1" x14ac:dyDescent="0.25">
      <c r="H506" s="5"/>
      <c r="I506" s="5"/>
      <c r="J506" s="103"/>
    </row>
    <row r="507" spans="8:10" s="4" customFormat="1" x14ac:dyDescent="0.25">
      <c r="H507" s="5"/>
      <c r="I507" s="5"/>
      <c r="J507" s="103"/>
    </row>
    <row r="508" spans="8:10" s="4" customFormat="1" x14ac:dyDescent="0.25">
      <c r="H508" s="5"/>
      <c r="I508" s="5"/>
      <c r="J508" s="103"/>
    </row>
    <row r="509" spans="8:10" s="4" customFormat="1" x14ac:dyDescent="0.25">
      <c r="H509" s="5"/>
      <c r="I509" s="5"/>
      <c r="J509" s="103"/>
    </row>
    <row r="510" spans="8:10" s="4" customFormat="1" x14ac:dyDescent="0.25">
      <c r="H510" s="5"/>
      <c r="I510" s="5"/>
      <c r="J510" s="103"/>
    </row>
    <row r="511" spans="8:10" s="4" customFormat="1" x14ac:dyDescent="0.25">
      <c r="H511" s="5"/>
      <c r="I511" s="5"/>
      <c r="J511" s="103"/>
    </row>
    <row r="512" spans="8:10" s="4" customFormat="1" x14ac:dyDescent="0.25">
      <c r="H512" s="5"/>
      <c r="I512" s="5"/>
      <c r="J512" s="103"/>
    </row>
    <row r="513" spans="2:11" s="4" customFormat="1" x14ac:dyDescent="0.25">
      <c r="H513" s="5"/>
      <c r="I513" s="5"/>
      <c r="J513" s="103"/>
    </row>
    <row r="514" spans="2:11" s="4" customFormat="1" x14ac:dyDescent="0.25">
      <c r="H514" s="5"/>
      <c r="I514" s="5"/>
      <c r="J514" s="103"/>
    </row>
    <row r="515" spans="2:11" s="4" customFormat="1" x14ac:dyDescent="0.25">
      <c r="H515" s="5"/>
      <c r="I515" s="5"/>
      <c r="J515" s="103"/>
    </row>
    <row r="516" spans="2:11" s="4" customFormat="1" x14ac:dyDescent="0.25">
      <c r="H516" s="5"/>
      <c r="I516" s="5"/>
      <c r="J516" s="103"/>
    </row>
    <row r="517" spans="2:11" s="4" customFormat="1" x14ac:dyDescent="0.25">
      <c r="H517" s="5"/>
      <c r="I517" s="5"/>
      <c r="J517" s="103"/>
    </row>
    <row r="518" spans="2:11" s="4" customFormat="1" x14ac:dyDescent="0.25">
      <c r="H518" s="5"/>
      <c r="I518" s="5"/>
      <c r="J518" s="103"/>
    </row>
    <row r="519" spans="2:11" s="4" customFormat="1" x14ac:dyDescent="0.25">
      <c r="H519" s="5"/>
      <c r="I519" s="5"/>
      <c r="J519" s="103"/>
    </row>
    <row r="520" spans="2:11" s="4" customFormat="1" x14ac:dyDescent="0.25">
      <c r="H520" s="5"/>
      <c r="I520" s="5"/>
      <c r="J520" s="103"/>
    </row>
    <row r="521" spans="2:11" s="4" customFormat="1" x14ac:dyDescent="0.25">
      <c r="H521" s="5"/>
      <c r="I521" s="5"/>
      <c r="J521" s="103"/>
    </row>
    <row r="522" spans="2:11" s="4" customFormat="1" x14ac:dyDescent="0.25">
      <c r="H522" s="5"/>
      <c r="I522" s="5"/>
      <c r="J522" s="103"/>
    </row>
    <row r="523" spans="2:11" x14ac:dyDescent="0.25">
      <c r="B523" s="4"/>
      <c r="C523" s="4"/>
      <c r="D523" s="4"/>
      <c r="E523" s="4"/>
      <c r="F523" s="4"/>
      <c r="G523" s="4"/>
      <c r="H523" s="5"/>
      <c r="I523" s="5"/>
      <c r="J523" s="103"/>
      <c r="K523" s="4"/>
    </row>
  </sheetData>
  <mergeCells count="99">
    <mergeCell ref="N12:O12"/>
    <mergeCell ref="B1:K1"/>
    <mergeCell ref="B2:K2"/>
    <mergeCell ref="B3:K3"/>
    <mergeCell ref="L3:O4"/>
    <mergeCell ref="N5:O5"/>
    <mergeCell ref="P51:P55"/>
    <mergeCell ref="B6:B13"/>
    <mergeCell ref="N6:O6"/>
    <mergeCell ref="N7:O7"/>
    <mergeCell ref="N8:O8"/>
    <mergeCell ref="N9:O9"/>
    <mergeCell ref="N10:O10"/>
    <mergeCell ref="N11:O11"/>
    <mergeCell ref="N13:O13"/>
    <mergeCell ref="N25:O25"/>
    <mergeCell ref="N26:O26"/>
    <mergeCell ref="N27:O27"/>
    <mergeCell ref="N28:O28"/>
    <mergeCell ref="B14:B18"/>
    <mergeCell ref="N14:O14"/>
    <mergeCell ref="N15:O15"/>
    <mergeCell ref="N17:O17"/>
    <mergeCell ref="N18:O18"/>
    <mergeCell ref="N19:O19"/>
    <mergeCell ref="N29:O29"/>
    <mergeCell ref="N30:O30"/>
    <mergeCell ref="B31:B44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4:O44"/>
    <mergeCell ref="N41:O41"/>
    <mergeCell ref="N42:O42"/>
    <mergeCell ref="N43:O43"/>
    <mergeCell ref="B20:B30"/>
    <mergeCell ref="N20:O20"/>
    <mergeCell ref="N21:O21"/>
    <mergeCell ref="N22:O22"/>
    <mergeCell ref="N23:O23"/>
    <mergeCell ref="N24:O24"/>
    <mergeCell ref="B45:B46"/>
    <mergeCell ref="N45:O45"/>
    <mergeCell ref="N46:O46"/>
    <mergeCell ref="B47:B49"/>
    <mergeCell ref="N47:O47"/>
    <mergeCell ref="N48:O48"/>
    <mergeCell ref="N49:O49"/>
    <mergeCell ref="N50:O50"/>
    <mergeCell ref="B51:B55"/>
    <mergeCell ref="N51:O51"/>
    <mergeCell ref="N52:O52"/>
    <mergeCell ref="N53:O53"/>
    <mergeCell ref="N54:O54"/>
    <mergeCell ref="N55:O55"/>
    <mergeCell ref="N56:O56"/>
    <mergeCell ref="N57:O57"/>
    <mergeCell ref="N65:O65"/>
    <mergeCell ref="B58:B65"/>
    <mergeCell ref="N58:O58"/>
    <mergeCell ref="N59:O59"/>
    <mergeCell ref="N60:O60"/>
    <mergeCell ref="N61:O61"/>
    <mergeCell ref="N62:O62"/>
    <mergeCell ref="N63:O63"/>
    <mergeCell ref="N64:O64"/>
    <mergeCell ref="N76:O76"/>
    <mergeCell ref="N77:O77"/>
    <mergeCell ref="N78:O78"/>
    <mergeCell ref="N80:O80"/>
    <mergeCell ref="B68:B71"/>
    <mergeCell ref="N68:O68"/>
    <mergeCell ref="N69:O69"/>
    <mergeCell ref="N70:O70"/>
    <mergeCell ref="N71:O71"/>
    <mergeCell ref="N79:O79"/>
    <mergeCell ref="N16:O16"/>
    <mergeCell ref="N86:O86"/>
    <mergeCell ref="B81:B85"/>
    <mergeCell ref="N81:O81"/>
    <mergeCell ref="N82:O82"/>
    <mergeCell ref="N83:O83"/>
    <mergeCell ref="N84:O84"/>
    <mergeCell ref="N85:O85"/>
    <mergeCell ref="B66:B67"/>
    <mergeCell ref="N66:O66"/>
    <mergeCell ref="N67:O67"/>
    <mergeCell ref="B72:B80"/>
    <mergeCell ref="N72:O72"/>
    <mergeCell ref="N73:O73"/>
    <mergeCell ref="N74:O74"/>
    <mergeCell ref="N75:O7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4"/>
  <sheetViews>
    <sheetView topLeftCell="F1" zoomScale="80" zoomScaleNormal="80" workbookViewId="0">
      <selection activeCell="N6" sqref="N6"/>
    </sheetView>
  </sheetViews>
  <sheetFormatPr defaultRowHeight="15" x14ac:dyDescent="0.25"/>
  <cols>
    <col min="1" max="1" width="45.85546875" bestFit="1" customWidth="1"/>
    <col min="2" max="2" width="12.7109375" bestFit="1" customWidth="1"/>
    <col min="3" max="3" width="12.7109375" customWidth="1"/>
    <col min="4" max="4" width="29.7109375" customWidth="1"/>
    <col min="5" max="5" width="11.42578125" bestFit="1" customWidth="1"/>
    <col min="6" max="6" width="16.28515625" customWidth="1"/>
    <col min="7" max="7" width="60.5703125" customWidth="1"/>
    <col min="8" max="8" width="24.7109375" customWidth="1"/>
    <col min="9" max="9" width="24.28515625" customWidth="1"/>
    <col min="10" max="10" width="27.7109375" customWidth="1"/>
    <col min="11" max="11" width="21" bestFit="1" customWidth="1"/>
    <col min="12" max="12" width="30.28515625" customWidth="1"/>
    <col min="13" max="13" width="31.42578125" style="212" customWidth="1"/>
    <col min="14" max="14" width="17.7109375" bestFit="1" customWidth="1"/>
    <col min="15" max="15" width="97" bestFit="1" customWidth="1"/>
  </cols>
  <sheetData>
    <row r="1" spans="1:17" ht="18.75" x14ac:dyDescent="0.25">
      <c r="A1" s="294" t="s">
        <v>2466</v>
      </c>
      <c r="B1" s="295"/>
      <c r="C1" s="295"/>
      <c r="D1" s="295"/>
      <c r="E1" s="295"/>
      <c r="F1" s="295"/>
      <c r="G1" s="295"/>
      <c r="H1" s="295"/>
      <c r="I1" s="295"/>
      <c r="J1" s="295"/>
      <c r="K1" s="296"/>
      <c r="L1" s="4"/>
      <c r="M1" s="209"/>
      <c r="N1" s="4"/>
      <c r="O1" s="4"/>
    </row>
    <row r="2" spans="1:17" ht="18.75" x14ac:dyDescent="0.25">
      <c r="A2" s="297" t="s">
        <v>2467</v>
      </c>
      <c r="B2" s="298"/>
      <c r="C2" s="298"/>
      <c r="D2" s="298"/>
      <c r="E2" s="298"/>
      <c r="F2" s="298"/>
      <c r="G2" s="298"/>
      <c r="H2" s="298"/>
      <c r="I2" s="298"/>
      <c r="J2" s="298"/>
      <c r="K2" s="299"/>
      <c r="L2" s="4"/>
      <c r="M2" s="209"/>
      <c r="N2" s="4"/>
      <c r="O2" s="4"/>
    </row>
    <row r="3" spans="1:17" ht="19.5" customHeight="1" thickBot="1" x14ac:dyDescent="0.3">
      <c r="A3" s="300" t="s">
        <v>2572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43" t="s">
        <v>2576</v>
      </c>
      <c r="M3" s="343"/>
      <c r="N3" s="343"/>
      <c r="O3" s="4"/>
    </row>
    <row r="4" spans="1:17" ht="15.75" customHeight="1" thickBot="1" x14ac:dyDescent="0.3">
      <c r="A4" s="4"/>
      <c r="B4" s="4"/>
      <c r="C4" s="4"/>
      <c r="D4" s="4"/>
      <c r="E4" s="4"/>
      <c r="F4" s="4"/>
      <c r="G4" s="4"/>
      <c r="H4" s="5"/>
      <c r="I4" s="5"/>
      <c r="J4" s="103"/>
      <c r="K4" s="4"/>
      <c r="L4" s="343"/>
      <c r="M4" s="343"/>
      <c r="N4" s="343"/>
      <c r="O4" s="188"/>
    </row>
    <row r="5" spans="1:17" ht="19.5" thickBot="1" x14ac:dyDescent="0.3">
      <c r="A5" s="6" t="s">
        <v>2344</v>
      </c>
      <c r="B5" s="7" t="s">
        <v>2345</v>
      </c>
      <c r="C5" s="7" t="s">
        <v>2595</v>
      </c>
      <c r="D5" s="8" t="s">
        <v>2346</v>
      </c>
      <c r="E5" s="8" t="s">
        <v>2347</v>
      </c>
      <c r="F5" s="9" t="s">
        <v>2348</v>
      </c>
      <c r="G5" s="8" t="s">
        <v>2558</v>
      </c>
      <c r="H5" s="10" t="s">
        <v>2557</v>
      </c>
      <c r="I5" s="10" t="s">
        <v>2556</v>
      </c>
      <c r="J5" s="104" t="s">
        <v>2555</v>
      </c>
      <c r="K5" s="190" t="s">
        <v>2349</v>
      </c>
      <c r="L5" s="191" t="s">
        <v>2554</v>
      </c>
      <c r="M5" s="210" t="s">
        <v>2553</v>
      </c>
      <c r="N5" s="189" t="s">
        <v>2574</v>
      </c>
      <c r="O5" s="187"/>
    </row>
    <row r="6" spans="1:17" ht="19.5" thickBot="1" x14ac:dyDescent="0.3">
      <c r="A6" s="185" t="s">
        <v>2068</v>
      </c>
      <c r="B6" s="186" t="s">
        <v>108</v>
      </c>
      <c r="C6" s="217" t="s">
        <v>2971</v>
      </c>
      <c r="D6" s="206" t="s">
        <v>2573</v>
      </c>
      <c r="E6" s="206">
        <v>1216</v>
      </c>
      <c r="F6" s="186" t="s">
        <v>2361</v>
      </c>
      <c r="G6" s="206" t="s">
        <v>2907</v>
      </c>
      <c r="H6" s="227">
        <v>1686.31</v>
      </c>
      <c r="I6" s="227">
        <v>1686.31</v>
      </c>
      <c r="J6" s="221" t="s">
        <v>3002</v>
      </c>
      <c r="K6" s="206" t="s">
        <v>3026</v>
      </c>
      <c r="L6" s="192" t="s">
        <v>108</v>
      </c>
      <c r="M6" s="211">
        <f>SUM(SUMIFS(T[qty_received],T[order_no],E6))</f>
        <v>1686.31</v>
      </c>
      <c r="N6" s="193">
        <f>M6-H6</f>
        <v>0</v>
      </c>
      <c r="O6" s="204"/>
      <c r="P6" s="205"/>
      <c r="Q6" s="205"/>
    </row>
    <row r="7" spans="1:17" ht="19.5" thickBot="1" x14ac:dyDescent="0.3">
      <c r="A7" s="194" t="s">
        <v>2365</v>
      </c>
      <c r="B7" s="195" t="s">
        <v>230</v>
      </c>
      <c r="C7" s="350" t="s">
        <v>2971</v>
      </c>
      <c r="D7" s="49" t="s">
        <v>2477</v>
      </c>
      <c r="E7" s="49">
        <v>1230</v>
      </c>
      <c r="F7" s="49">
        <v>1</v>
      </c>
      <c r="G7" s="49" t="s">
        <v>2876</v>
      </c>
      <c r="H7" s="99">
        <v>2651.73</v>
      </c>
      <c r="I7" s="99">
        <v>5705.21</v>
      </c>
      <c r="J7" s="92" t="s">
        <v>3003</v>
      </c>
      <c r="K7" s="49" t="s">
        <v>2591</v>
      </c>
      <c r="L7" s="192" t="s">
        <v>230</v>
      </c>
      <c r="M7" s="207">
        <f>SUM(SUMIFS(T[qty_received],T[order_no],E7,T[order_line_no],{1,2,3,4}))</f>
        <v>4583.97</v>
      </c>
      <c r="N7" s="193">
        <f>M7-H7</f>
        <v>1932.24</v>
      </c>
      <c r="O7" s="215" t="e">
        <f>SUM(SUMIFS(#REF!,#REF!,E7))</f>
        <v>#REF!</v>
      </c>
      <c r="P7" s="205"/>
      <c r="Q7" s="205"/>
    </row>
    <row r="8" spans="1:17" ht="19.5" thickBot="1" x14ac:dyDescent="0.3">
      <c r="A8" s="196" t="s">
        <v>2592</v>
      </c>
      <c r="B8" s="197" t="s">
        <v>230</v>
      </c>
      <c r="C8" s="351"/>
      <c r="D8" s="197" t="s">
        <v>2477</v>
      </c>
      <c r="E8" s="198">
        <v>1234</v>
      </c>
      <c r="F8" s="49" t="s">
        <v>2355</v>
      </c>
      <c r="G8" s="198" t="s">
        <v>2877</v>
      </c>
      <c r="H8" s="226">
        <v>487.59</v>
      </c>
      <c r="I8" s="226" t="s">
        <v>3019</v>
      </c>
      <c r="J8" s="226" t="s">
        <v>3004</v>
      </c>
      <c r="K8" s="198" t="s">
        <v>2591</v>
      </c>
      <c r="L8" s="192" t="s">
        <v>230</v>
      </c>
      <c r="M8" s="211">
        <f>SUM(SUMIFS(T[qty_received],T[order_no],E8,T[order_line_no],{1,2,3,4}))</f>
        <v>640.11</v>
      </c>
      <c r="N8" s="193">
        <f t="shared" ref="N8:N18" si="0">M8-H8</f>
        <v>152.52000000000001</v>
      </c>
      <c r="O8" s="204"/>
      <c r="P8" s="205"/>
      <c r="Q8" s="205"/>
    </row>
    <row r="9" spans="1:17" ht="19.5" customHeight="1" thickBot="1" x14ac:dyDescent="0.3">
      <c r="A9" s="344" t="s">
        <v>2369</v>
      </c>
      <c r="B9" s="65" t="s">
        <v>167</v>
      </c>
      <c r="C9" s="347" t="s">
        <v>2971</v>
      </c>
      <c r="D9" s="65" t="s">
        <v>2370</v>
      </c>
      <c r="E9" s="65">
        <v>1229</v>
      </c>
      <c r="F9" s="65">
        <v>1</v>
      </c>
      <c r="G9" s="65" t="s">
        <v>2878</v>
      </c>
      <c r="H9" s="222">
        <v>400</v>
      </c>
      <c r="I9" s="222">
        <v>400</v>
      </c>
      <c r="J9" s="222" t="s">
        <v>3002</v>
      </c>
      <c r="K9" s="65" t="s">
        <v>3026</v>
      </c>
      <c r="L9" s="192" t="s">
        <v>167</v>
      </c>
      <c r="M9" s="211">
        <f>SUM(SUMIFS(T[qty_received],T[order_no],E9,T[order_line_no],{1,2,3,4}))</f>
        <v>400</v>
      </c>
      <c r="N9" s="193">
        <f t="shared" si="0"/>
        <v>0</v>
      </c>
      <c r="O9" s="204"/>
      <c r="P9" s="205"/>
      <c r="Q9" s="205"/>
    </row>
    <row r="10" spans="1:17" ht="16.5" customHeight="1" thickBot="1" x14ac:dyDescent="0.3">
      <c r="A10" s="345"/>
      <c r="B10" s="65" t="s">
        <v>167</v>
      </c>
      <c r="C10" s="348"/>
      <c r="D10" s="60" t="s">
        <v>2370</v>
      </c>
      <c r="E10" s="60">
        <v>1232</v>
      </c>
      <c r="F10" s="65">
        <v>1</v>
      </c>
      <c r="G10" s="60" t="s">
        <v>2878</v>
      </c>
      <c r="H10" s="120">
        <v>600</v>
      </c>
      <c r="I10" s="120">
        <v>600</v>
      </c>
      <c r="J10" s="120" t="s">
        <v>3002</v>
      </c>
      <c r="K10" s="60" t="s">
        <v>3026</v>
      </c>
      <c r="L10" s="192" t="s">
        <v>167</v>
      </c>
      <c r="M10" s="211">
        <f>SUM(SUMIFS(T[qty_received],T[order_no],E10,T[order_line_no],{1,2,3,4}))</f>
        <v>600</v>
      </c>
      <c r="N10" s="193">
        <f t="shared" si="0"/>
        <v>0</v>
      </c>
      <c r="O10" s="204"/>
      <c r="P10" s="205"/>
      <c r="Q10" s="205"/>
    </row>
    <row r="11" spans="1:17" ht="16.5" customHeight="1" thickBot="1" x14ac:dyDescent="0.3">
      <c r="A11" s="345"/>
      <c r="B11" s="60" t="s">
        <v>167</v>
      </c>
      <c r="C11" s="348"/>
      <c r="D11" s="60" t="s">
        <v>2902</v>
      </c>
      <c r="E11" s="60">
        <v>1245</v>
      </c>
      <c r="F11" s="60">
        <v>1</v>
      </c>
      <c r="G11" s="60" t="s">
        <v>2903</v>
      </c>
      <c r="H11" s="120">
        <v>200</v>
      </c>
      <c r="I11" s="120">
        <v>200</v>
      </c>
      <c r="J11" s="120" t="s">
        <v>3002</v>
      </c>
      <c r="K11" s="60" t="s">
        <v>3026</v>
      </c>
      <c r="L11" s="192" t="s">
        <v>167</v>
      </c>
      <c r="M11" s="211">
        <f>SUM(SUMIFS(T[qty_received],T[order_no],E11,T[order_line_no],{1,2,3,4}))</f>
        <v>200</v>
      </c>
      <c r="N11" s="193">
        <f t="shared" si="0"/>
        <v>0</v>
      </c>
      <c r="O11" s="204"/>
      <c r="P11" s="205"/>
      <c r="Q11" s="205"/>
    </row>
    <row r="12" spans="1:17" ht="16.5" customHeight="1" thickBot="1" x14ac:dyDescent="0.3">
      <c r="A12" s="345"/>
      <c r="B12" s="60" t="s">
        <v>167</v>
      </c>
      <c r="C12" s="348"/>
      <c r="D12" s="60" t="s">
        <v>2370</v>
      </c>
      <c r="E12" s="60">
        <v>1254</v>
      </c>
      <c r="F12" s="60">
        <v>1</v>
      </c>
      <c r="G12" s="60" t="s">
        <v>2878</v>
      </c>
      <c r="H12" s="120">
        <v>700</v>
      </c>
      <c r="I12" s="120">
        <v>700</v>
      </c>
      <c r="J12" s="120" t="s">
        <v>3002</v>
      </c>
      <c r="K12" s="60" t="s">
        <v>3026</v>
      </c>
      <c r="L12" s="192" t="s">
        <v>167</v>
      </c>
      <c r="M12" s="211">
        <f>SUM(SUMIFS(T[qty_received],T[order_no],E12,T[order_line_no],{1,2,3,4}))</f>
        <v>700</v>
      </c>
      <c r="N12" s="193">
        <f t="shared" si="0"/>
        <v>0</v>
      </c>
      <c r="O12" s="204"/>
      <c r="P12" s="205"/>
      <c r="Q12" s="205"/>
    </row>
    <row r="13" spans="1:17" ht="16.5" customHeight="1" thickBot="1" x14ac:dyDescent="0.3">
      <c r="A13" s="345"/>
      <c r="B13" s="60" t="s">
        <v>167</v>
      </c>
      <c r="C13" s="348"/>
      <c r="D13" s="60" t="s">
        <v>2370</v>
      </c>
      <c r="E13" s="60">
        <v>1273</v>
      </c>
      <c r="F13" s="60">
        <v>1</v>
      </c>
      <c r="G13" s="60" t="s">
        <v>2878</v>
      </c>
      <c r="H13" s="120">
        <v>500</v>
      </c>
      <c r="I13" s="120">
        <v>500</v>
      </c>
      <c r="J13" s="120" t="s">
        <v>3002</v>
      </c>
      <c r="K13" s="60" t="s">
        <v>3026</v>
      </c>
      <c r="L13" s="192" t="s">
        <v>167</v>
      </c>
      <c r="M13" s="211">
        <f>SUM(SUMIFS(T[qty_received],T[order_no],E13,T[order_line_no],{1,2,3,4}))</f>
        <v>500</v>
      </c>
      <c r="N13" s="193">
        <f t="shared" si="0"/>
        <v>0</v>
      </c>
      <c r="O13" s="204"/>
      <c r="P13" s="205"/>
      <c r="Q13" s="205"/>
    </row>
    <row r="14" spans="1:17" ht="16.5" customHeight="1" thickBot="1" x14ac:dyDescent="0.3">
      <c r="A14" s="345"/>
      <c r="B14" s="60" t="s">
        <v>167</v>
      </c>
      <c r="C14" s="348"/>
      <c r="D14" s="60" t="s">
        <v>2370</v>
      </c>
      <c r="E14" s="60">
        <v>1293</v>
      </c>
      <c r="F14" s="60">
        <v>1</v>
      </c>
      <c r="G14" s="60" t="s">
        <v>2878</v>
      </c>
      <c r="H14" s="120">
        <v>984.24</v>
      </c>
      <c r="I14" s="229">
        <v>1500</v>
      </c>
      <c r="J14" s="120" t="s">
        <v>3021</v>
      </c>
      <c r="K14" s="60" t="s">
        <v>2591</v>
      </c>
      <c r="L14" s="192" t="s">
        <v>167</v>
      </c>
      <c r="M14" s="211">
        <f>SUM(SUMIFS(T[qty_received],T[order_no],E14,T[order_line_no],{1,2,3,4}))</f>
        <v>1500</v>
      </c>
      <c r="N14" s="193">
        <f t="shared" si="0"/>
        <v>515.76</v>
      </c>
      <c r="O14" s="204"/>
      <c r="P14" s="205"/>
      <c r="Q14" s="205"/>
    </row>
    <row r="15" spans="1:17" ht="16.5" customHeight="1" thickBot="1" x14ac:dyDescent="0.3">
      <c r="A15" s="346"/>
      <c r="B15" s="60" t="s">
        <v>167</v>
      </c>
      <c r="C15" s="349"/>
      <c r="D15" s="60" t="s">
        <v>2902</v>
      </c>
      <c r="E15" s="60">
        <v>1295</v>
      </c>
      <c r="F15" s="60">
        <v>1</v>
      </c>
      <c r="G15" s="60" t="s">
        <v>2903</v>
      </c>
      <c r="H15" s="120">
        <v>96.78</v>
      </c>
      <c r="I15" s="120">
        <v>200</v>
      </c>
      <c r="J15" s="120" t="s">
        <v>3022</v>
      </c>
      <c r="K15" s="60" t="s">
        <v>2591</v>
      </c>
      <c r="L15" s="192" t="s">
        <v>167</v>
      </c>
      <c r="M15" s="211">
        <f>SUM(SUMIFS(T[qty_received],T[order_no],E15,T[order_line_no],{1,2,3,4}))</f>
        <v>200</v>
      </c>
      <c r="N15" s="193">
        <f>M15-H15</f>
        <v>103.22</v>
      </c>
      <c r="O15" s="204"/>
      <c r="P15" s="205"/>
      <c r="Q15" s="205"/>
    </row>
    <row r="16" spans="1:17" ht="19.5" customHeight="1" thickBot="1" x14ac:dyDescent="0.3">
      <c r="A16" s="359" t="s">
        <v>407</v>
      </c>
      <c r="B16" s="29" t="s">
        <v>406</v>
      </c>
      <c r="C16" s="369" t="s">
        <v>2971</v>
      </c>
      <c r="D16" s="29" t="s">
        <v>2475</v>
      </c>
      <c r="E16" s="29">
        <v>1231</v>
      </c>
      <c r="F16" s="199" t="s">
        <v>2355</v>
      </c>
      <c r="G16" s="29" t="s">
        <v>2958</v>
      </c>
      <c r="H16" s="98">
        <v>1234.31</v>
      </c>
      <c r="I16" s="230">
        <v>1234</v>
      </c>
      <c r="J16" s="87" t="s">
        <v>3002</v>
      </c>
      <c r="K16" s="29" t="s">
        <v>3027</v>
      </c>
      <c r="L16" s="192" t="s">
        <v>406</v>
      </c>
      <c r="M16" s="211">
        <f>SUM(SUMIFS(T[qty_received],T[order_no],E16,T[order_line_no],{1,2,3,4}))</f>
        <v>1234.31</v>
      </c>
      <c r="N16" s="193">
        <f t="shared" si="0"/>
        <v>0</v>
      </c>
      <c r="O16" s="204"/>
      <c r="P16" s="205"/>
      <c r="Q16" s="205"/>
    </row>
    <row r="17" spans="1:15" ht="16.5" thickBot="1" x14ac:dyDescent="0.3">
      <c r="A17" s="360"/>
      <c r="B17" s="29" t="s">
        <v>406</v>
      </c>
      <c r="C17" s="370"/>
      <c r="D17" s="213" t="s">
        <v>2916</v>
      </c>
      <c r="E17" s="213">
        <v>1237</v>
      </c>
      <c r="F17" s="199" t="s">
        <v>2353</v>
      </c>
      <c r="G17" s="29" t="s">
        <v>2917</v>
      </c>
      <c r="H17" s="228">
        <v>1758.3</v>
      </c>
      <c r="I17" s="232">
        <v>1758</v>
      </c>
      <c r="J17" s="213" t="s">
        <v>3002</v>
      </c>
      <c r="K17" s="213" t="s">
        <v>2571</v>
      </c>
      <c r="L17" s="192" t="s">
        <v>406</v>
      </c>
      <c r="M17" s="211">
        <f>SUM(SUMIFS(T[qty_received],T[order_no],E17,T[order_line_no],{1,2,3,4}))</f>
        <v>1758.3</v>
      </c>
      <c r="N17" s="193">
        <f t="shared" si="0"/>
        <v>0</v>
      </c>
    </row>
    <row r="18" spans="1:15" ht="19.5" customHeight="1" thickBot="1" x14ac:dyDescent="0.3">
      <c r="A18" s="367" t="s">
        <v>2364</v>
      </c>
      <c r="B18" s="44" t="s">
        <v>526</v>
      </c>
      <c r="C18" s="371" t="s">
        <v>2971</v>
      </c>
      <c r="D18" s="44" t="s">
        <v>2902</v>
      </c>
      <c r="E18" s="44">
        <v>1269</v>
      </c>
      <c r="F18" s="44">
        <v>1</v>
      </c>
      <c r="G18" s="44" t="s">
        <v>2949</v>
      </c>
      <c r="H18" s="91">
        <v>350.94</v>
      </c>
      <c r="I18" s="91">
        <v>500</v>
      </c>
      <c r="J18" s="91" t="s">
        <v>3005</v>
      </c>
      <c r="K18" s="44" t="s">
        <v>2591</v>
      </c>
      <c r="L18" s="192" t="s">
        <v>526</v>
      </c>
      <c r="M18" s="211">
        <f>SUM(SUMIFS(T[qty_received],T[order_no],E18,T[order_line_no],{1,2,3,4}))/20</f>
        <v>490</v>
      </c>
      <c r="N18" s="193">
        <f t="shared" si="0"/>
        <v>139.06</v>
      </c>
      <c r="O18" s="358" t="s">
        <v>2470</v>
      </c>
    </row>
    <row r="19" spans="1:15" ht="16.5" thickBot="1" x14ac:dyDescent="0.3">
      <c r="A19" s="368"/>
      <c r="B19" s="44" t="s">
        <v>526</v>
      </c>
      <c r="C19" s="372"/>
      <c r="D19" s="44" t="s">
        <v>2370</v>
      </c>
      <c r="E19" s="44">
        <v>1274</v>
      </c>
      <c r="F19" s="44">
        <v>1</v>
      </c>
      <c r="G19" s="44" t="s">
        <v>2955</v>
      </c>
      <c r="H19" s="91">
        <v>140.44</v>
      </c>
      <c r="I19" s="91">
        <v>200</v>
      </c>
      <c r="J19" s="44" t="s">
        <v>3023</v>
      </c>
      <c r="K19" s="44" t="s">
        <v>2571</v>
      </c>
      <c r="L19" s="192" t="s">
        <v>526</v>
      </c>
      <c r="M19" s="211">
        <f>SUM(SUMIFS(T[qty_received],T[order_no],E19,T[order_line_no],{1,2,3,4}))/20</f>
        <v>200</v>
      </c>
      <c r="N19" s="193">
        <f t="shared" ref="N19" si="1">M19-H19</f>
        <v>59.56</v>
      </c>
      <c r="O19" s="358"/>
    </row>
    <row r="20" spans="1:15" ht="19.5" customHeight="1" thickBot="1" x14ac:dyDescent="0.3">
      <c r="A20" s="365" t="s">
        <v>2350</v>
      </c>
      <c r="B20" s="13" t="s">
        <v>86</v>
      </c>
      <c r="C20" s="373" t="s">
        <v>2971</v>
      </c>
      <c r="D20" s="218" t="s">
        <v>2573</v>
      </c>
      <c r="E20" s="13">
        <v>1288</v>
      </c>
      <c r="F20" s="13">
        <v>1</v>
      </c>
      <c r="G20" s="13" t="s">
        <v>2956</v>
      </c>
      <c r="H20" s="84">
        <v>844.42</v>
      </c>
      <c r="I20" s="231">
        <v>1000</v>
      </c>
      <c r="J20" s="84" t="s">
        <v>3024</v>
      </c>
      <c r="K20" s="13" t="s">
        <v>2591</v>
      </c>
      <c r="L20" s="192" t="s">
        <v>86</v>
      </c>
      <c r="M20" s="211">
        <f>SUM(SUMIFS(T[qty_received],T[order_no],E20,T[order_line_no],{1,2,3,4}))</f>
        <v>2559.56</v>
      </c>
      <c r="N20" s="193">
        <f t="shared" ref="N20:N21" si="2">M20-H20</f>
        <v>1715.14</v>
      </c>
    </row>
    <row r="21" spans="1:15" ht="16.5" thickBot="1" x14ac:dyDescent="0.3">
      <c r="A21" s="366"/>
      <c r="B21" s="13" t="s">
        <v>86</v>
      </c>
      <c r="C21" s="374"/>
      <c r="D21" s="121" t="s">
        <v>2473</v>
      </c>
      <c r="E21" s="13">
        <v>1292</v>
      </c>
      <c r="F21" s="13">
        <v>1</v>
      </c>
      <c r="G21" s="13" t="s">
        <v>2960</v>
      </c>
      <c r="H21" s="84">
        <v>415.79</v>
      </c>
      <c r="I21" s="84">
        <v>771.20100000000002</v>
      </c>
      <c r="J21" s="84" t="s">
        <v>3025</v>
      </c>
      <c r="K21" s="13" t="s">
        <v>2591</v>
      </c>
      <c r="L21" s="192" t="s">
        <v>86</v>
      </c>
      <c r="M21" s="211">
        <f>SUM(SUMIFS(T[qty_received],T[order_no],E21,T[order_line_no],{1,2,3,4}))</f>
        <v>3921.99</v>
      </c>
      <c r="N21" s="193">
        <f t="shared" si="2"/>
        <v>3506.2</v>
      </c>
    </row>
    <row r="22" spans="1:15" ht="19.5" customHeight="1" thickBot="1" x14ac:dyDescent="0.3">
      <c r="A22" s="361" t="s">
        <v>2366</v>
      </c>
      <c r="B22" s="53" t="s">
        <v>287</v>
      </c>
      <c r="C22" s="363" t="s">
        <v>2971</v>
      </c>
      <c r="D22" s="53" t="s">
        <v>2485</v>
      </c>
      <c r="E22" s="53">
        <v>1244</v>
      </c>
      <c r="F22" s="53">
        <v>1</v>
      </c>
      <c r="G22" s="53" t="s">
        <v>2957</v>
      </c>
      <c r="H22" s="100">
        <v>3256.92</v>
      </c>
      <c r="I22" s="100">
        <v>3256.92</v>
      </c>
      <c r="J22" s="93" t="s">
        <v>3002</v>
      </c>
      <c r="K22" s="53" t="s">
        <v>3027</v>
      </c>
      <c r="L22" s="192" t="s">
        <v>287</v>
      </c>
      <c r="M22" s="211">
        <f>SUM(SUMIFS(T[qty_received],T[order_no],E22,T[order_line_no],{1,2,3,4}))</f>
        <v>6401.39</v>
      </c>
      <c r="N22" s="193">
        <f t="shared" ref="N22:N24" si="3">M22-H22</f>
        <v>3144.47</v>
      </c>
    </row>
    <row r="23" spans="1:15" ht="16.5" customHeight="1" thickBot="1" x14ac:dyDescent="0.3">
      <c r="A23" s="362"/>
      <c r="B23" s="53" t="s">
        <v>287</v>
      </c>
      <c r="C23" s="364"/>
      <c r="D23" s="53" t="s">
        <v>2354</v>
      </c>
      <c r="E23" s="53">
        <v>1266</v>
      </c>
      <c r="F23" s="53">
        <v>1</v>
      </c>
      <c r="G23" s="53" t="s">
        <v>2957</v>
      </c>
      <c r="H23" s="93">
        <v>574.01</v>
      </c>
      <c r="I23" s="93">
        <v>574.01</v>
      </c>
      <c r="J23" s="93" t="s">
        <v>3002</v>
      </c>
      <c r="K23" s="53" t="s">
        <v>3027</v>
      </c>
      <c r="L23" s="192" t="s">
        <v>287</v>
      </c>
      <c r="M23" s="211">
        <f>SUM(SUMIFS(T[qty_received],T[order_no],E23,T[order_line_no],{1,2,3,4}))</f>
        <v>2106.02</v>
      </c>
      <c r="N23" s="193">
        <f t="shared" si="3"/>
        <v>1532.01</v>
      </c>
    </row>
    <row r="24" spans="1:15" ht="19.5" thickBot="1" x14ac:dyDescent="0.3">
      <c r="A24" s="219" t="s">
        <v>2358</v>
      </c>
      <c r="B24" s="27" t="s">
        <v>486</v>
      </c>
      <c r="C24" s="220" t="s">
        <v>2971</v>
      </c>
      <c r="D24" s="27" t="s">
        <v>2354</v>
      </c>
      <c r="E24" s="27">
        <v>1294</v>
      </c>
      <c r="F24" s="27">
        <v>1</v>
      </c>
      <c r="G24" s="27" t="s">
        <v>2979</v>
      </c>
      <c r="H24" s="86">
        <v>778.05</v>
      </c>
      <c r="I24" s="86">
        <v>778.05</v>
      </c>
      <c r="J24" s="27" t="s">
        <v>3002</v>
      </c>
      <c r="K24" s="27" t="s">
        <v>3027</v>
      </c>
      <c r="L24" s="192" t="s">
        <v>486</v>
      </c>
      <c r="M24" s="211">
        <f>SUM(SUMIFS(T[qty_received],T[order_no],E24,T[order_line_no],{1,2,3,4}))</f>
        <v>1646.47</v>
      </c>
      <c r="N24" s="193">
        <f t="shared" si="3"/>
        <v>868.42</v>
      </c>
    </row>
    <row r="25" spans="1:15" ht="16.5" customHeight="1" thickBot="1" x14ac:dyDescent="0.3">
      <c r="A25" s="352" t="s">
        <v>2964</v>
      </c>
      <c r="B25" s="216" t="s">
        <v>2965</v>
      </c>
      <c r="C25" s="355" t="s">
        <v>2966</v>
      </c>
      <c r="D25" s="216" t="s">
        <v>2967</v>
      </c>
      <c r="E25" s="216">
        <v>3</v>
      </c>
      <c r="F25" s="216">
        <v>1</v>
      </c>
      <c r="G25" s="216" t="s">
        <v>2984</v>
      </c>
      <c r="H25" s="223">
        <v>110</v>
      </c>
      <c r="I25" s="223">
        <v>110</v>
      </c>
      <c r="J25" s="223" t="s">
        <v>3002</v>
      </c>
      <c r="K25" s="216" t="s">
        <v>3026</v>
      </c>
      <c r="L25" s="192" t="s">
        <v>2965</v>
      </c>
      <c r="M25" s="211" t="e">
        <f>SUM(SUMIFS(#REF!,#REF!,E25))</f>
        <v>#REF!</v>
      </c>
      <c r="N25" s="193" t="e">
        <f t="shared" ref="N25:N30" si="4">M25-H25</f>
        <v>#REF!</v>
      </c>
    </row>
    <row r="26" spans="1:15" ht="16.5" customHeight="1" thickBot="1" x14ac:dyDescent="0.3">
      <c r="A26" s="353"/>
      <c r="B26" s="216" t="s">
        <v>2965</v>
      </c>
      <c r="C26" s="356"/>
      <c r="D26" s="216" t="s">
        <v>2968</v>
      </c>
      <c r="E26" s="216">
        <v>8</v>
      </c>
      <c r="F26" s="216">
        <v>1</v>
      </c>
      <c r="G26" s="216" t="s">
        <v>2984</v>
      </c>
      <c r="H26" s="223">
        <v>81.728999999999999</v>
      </c>
      <c r="I26" s="223">
        <v>81.729299999999995</v>
      </c>
      <c r="J26" s="216" t="s">
        <v>3002</v>
      </c>
      <c r="K26" s="216" t="s">
        <v>2352</v>
      </c>
      <c r="L26" s="192" t="s">
        <v>2965</v>
      </c>
      <c r="M26" s="211" t="e">
        <f>SUM(SUMIFS(#REF!,#REF!,E26))</f>
        <v>#REF!</v>
      </c>
      <c r="N26" s="193" t="e">
        <f t="shared" si="4"/>
        <v>#REF!</v>
      </c>
    </row>
    <row r="27" spans="1:15" ht="16.5" customHeight="1" thickBot="1" x14ac:dyDescent="0.3">
      <c r="A27" s="353"/>
      <c r="B27" s="216" t="s">
        <v>2965</v>
      </c>
      <c r="C27" s="356"/>
      <c r="D27" s="216" t="s">
        <v>2967</v>
      </c>
      <c r="E27" s="216">
        <v>9</v>
      </c>
      <c r="F27" s="216">
        <v>1</v>
      </c>
      <c r="G27" s="216" t="s">
        <v>2984</v>
      </c>
      <c r="H27" s="223">
        <v>800</v>
      </c>
      <c r="I27" s="223" t="s">
        <v>3020</v>
      </c>
      <c r="J27" s="216" t="s">
        <v>3002</v>
      </c>
      <c r="K27" s="216" t="s">
        <v>2352</v>
      </c>
      <c r="L27" s="192" t="s">
        <v>2965</v>
      </c>
      <c r="M27" s="211" t="e">
        <f>SUM(SUMIFS(#REF!,#REF!,E27))</f>
        <v>#REF!</v>
      </c>
      <c r="N27" s="193" t="e">
        <f t="shared" si="4"/>
        <v>#REF!</v>
      </c>
    </row>
    <row r="28" spans="1:15" ht="16.5" customHeight="1" thickBot="1" x14ac:dyDescent="0.3">
      <c r="A28" s="353"/>
      <c r="B28" s="216" t="s">
        <v>2965</v>
      </c>
      <c r="C28" s="356"/>
      <c r="D28" s="216" t="s">
        <v>2969</v>
      </c>
      <c r="E28" s="216">
        <v>10</v>
      </c>
      <c r="F28" s="216">
        <v>1</v>
      </c>
      <c r="G28" s="216" t="s">
        <v>2984</v>
      </c>
      <c r="H28" s="223">
        <v>115</v>
      </c>
      <c r="I28" s="223">
        <v>115</v>
      </c>
      <c r="J28" s="216" t="s">
        <v>3002</v>
      </c>
      <c r="K28" s="216" t="s">
        <v>2352</v>
      </c>
      <c r="L28" s="192" t="s">
        <v>2965</v>
      </c>
      <c r="M28" s="211" t="e">
        <f>SUM(SUMIFS(#REF!,#REF!,E28))</f>
        <v>#REF!</v>
      </c>
      <c r="N28" s="193" t="e">
        <f>M28-H28</f>
        <v>#REF!</v>
      </c>
    </row>
    <row r="29" spans="1:15" ht="16.5" customHeight="1" thickBot="1" x14ac:dyDescent="0.3">
      <c r="A29" s="353"/>
      <c r="B29" s="216" t="s">
        <v>2965</v>
      </c>
      <c r="C29" s="356"/>
      <c r="D29" s="216" t="s">
        <v>2970</v>
      </c>
      <c r="E29" s="216">
        <v>11</v>
      </c>
      <c r="F29" s="216">
        <v>1</v>
      </c>
      <c r="G29" s="216" t="s">
        <v>2984</v>
      </c>
      <c r="H29" s="223">
        <v>178</v>
      </c>
      <c r="I29" s="223">
        <v>178</v>
      </c>
      <c r="J29" s="216" t="s">
        <v>3002</v>
      </c>
      <c r="K29" s="216" t="s">
        <v>2352</v>
      </c>
      <c r="L29" s="192" t="s">
        <v>2965</v>
      </c>
      <c r="M29" s="211" t="e">
        <f>SUM(SUMIFS(#REF!,#REF!,E29))</f>
        <v>#REF!</v>
      </c>
      <c r="N29" s="193" t="e">
        <f t="shared" si="4"/>
        <v>#REF!</v>
      </c>
    </row>
    <row r="30" spans="1:15" ht="16.5" customHeight="1" thickBot="1" x14ac:dyDescent="0.3">
      <c r="A30" s="353"/>
      <c r="B30" s="216" t="s">
        <v>2965</v>
      </c>
      <c r="C30" s="356"/>
      <c r="D30" s="216" t="s">
        <v>2968</v>
      </c>
      <c r="E30" s="216">
        <v>17</v>
      </c>
      <c r="F30" s="216">
        <v>1</v>
      </c>
      <c r="G30" s="216" t="s">
        <v>2984</v>
      </c>
      <c r="H30" s="223">
        <v>150</v>
      </c>
      <c r="I30" s="223">
        <v>150</v>
      </c>
      <c r="J30" s="216" t="s">
        <v>3002</v>
      </c>
      <c r="K30" s="216" t="s">
        <v>2352</v>
      </c>
      <c r="L30" s="192" t="s">
        <v>2965</v>
      </c>
      <c r="M30" s="211" t="e">
        <f>SUM(SUMIFS(#REF!,#REF!,E30))</f>
        <v>#REF!</v>
      </c>
      <c r="N30" s="193" t="e">
        <f t="shared" si="4"/>
        <v>#REF!</v>
      </c>
    </row>
    <row r="31" spans="1:15" ht="15.75" customHeight="1" thickBot="1" x14ac:dyDescent="0.3">
      <c r="A31" s="353"/>
      <c r="B31" s="216" t="s">
        <v>2965</v>
      </c>
      <c r="C31" s="356"/>
      <c r="D31" s="216" t="s">
        <v>2968</v>
      </c>
      <c r="E31" s="216">
        <v>22</v>
      </c>
      <c r="F31" s="216">
        <v>1</v>
      </c>
      <c r="G31" s="216" t="s">
        <v>2984</v>
      </c>
      <c r="H31" s="233">
        <v>168</v>
      </c>
      <c r="I31" s="233">
        <v>168</v>
      </c>
      <c r="J31" s="216" t="s">
        <v>3002</v>
      </c>
      <c r="K31" s="216" t="s">
        <v>2571</v>
      </c>
      <c r="L31" s="192" t="s">
        <v>2965</v>
      </c>
      <c r="M31" s="211" t="e">
        <f>SUM(SUMIFS(#REF!,#REF!,E31))</f>
        <v>#REF!</v>
      </c>
      <c r="N31" s="193" t="e">
        <f>M31-H31</f>
        <v>#REF!</v>
      </c>
    </row>
    <row r="32" spans="1:15" ht="15.75" customHeight="1" thickBot="1" x14ac:dyDescent="0.3">
      <c r="A32" s="354"/>
      <c r="B32" s="216" t="s">
        <v>2965</v>
      </c>
      <c r="C32" s="357"/>
      <c r="D32" s="216" t="s">
        <v>2967</v>
      </c>
      <c r="E32" s="216">
        <v>23</v>
      </c>
      <c r="F32" s="216">
        <v>1</v>
      </c>
      <c r="G32" s="216" t="s">
        <v>2984</v>
      </c>
      <c r="H32" s="223">
        <v>99.634</v>
      </c>
      <c r="I32" s="223">
        <v>99.634</v>
      </c>
      <c r="J32" s="216" t="s">
        <v>3002</v>
      </c>
      <c r="K32" s="216" t="s">
        <v>2571</v>
      </c>
      <c r="L32" s="192" t="s">
        <v>2965</v>
      </c>
      <c r="M32" s="211" t="e">
        <f>SUM(SUMIFS(#REF!,#REF!,E32))</f>
        <v>#REF!</v>
      </c>
      <c r="N32" s="193" t="e">
        <f t="shared" ref="N32" si="5">M32-H32</f>
        <v>#REF!</v>
      </c>
    </row>
    <row r="33" spans="6:8" x14ac:dyDescent="0.25">
      <c r="F33" s="208"/>
    </row>
    <row r="37" spans="6:8" x14ac:dyDescent="0.25">
      <c r="H37" s="224"/>
    </row>
    <row r="38" spans="6:8" x14ac:dyDescent="0.25">
      <c r="H38" s="224"/>
    </row>
    <row r="39" spans="6:8" x14ac:dyDescent="0.25">
      <c r="H39" s="224"/>
    </row>
    <row r="40" spans="6:8" x14ac:dyDescent="0.25">
      <c r="H40" s="224"/>
    </row>
    <row r="41" spans="6:8" x14ac:dyDescent="0.25">
      <c r="H41" s="224"/>
    </row>
    <row r="42" spans="6:8" x14ac:dyDescent="0.25">
      <c r="H42" s="224"/>
    </row>
    <row r="43" spans="6:8" x14ac:dyDescent="0.25">
      <c r="H43" s="224"/>
    </row>
    <row r="44" spans="6:8" x14ac:dyDescent="0.25">
      <c r="H44" s="224"/>
    </row>
    <row r="45" spans="6:8" x14ac:dyDescent="0.25">
      <c r="H45" s="224"/>
    </row>
    <row r="46" spans="6:8" x14ac:dyDescent="0.25">
      <c r="H46" s="224"/>
    </row>
    <row r="47" spans="6:8" x14ac:dyDescent="0.25">
      <c r="H47" s="224"/>
    </row>
    <row r="48" spans="6:8" x14ac:dyDescent="0.25">
      <c r="H48" s="224"/>
    </row>
    <row r="49" spans="8:8" x14ac:dyDescent="0.25">
      <c r="H49" s="224"/>
    </row>
    <row r="50" spans="8:8" x14ac:dyDescent="0.25">
      <c r="H50" s="224"/>
    </row>
    <row r="51" spans="8:8" x14ac:dyDescent="0.25">
      <c r="H51" s="224"/>
    </row>
    <row r="52" spans="8:8" x14ac:dyDescent="0.25">
      <c r="H52" s="224"/>
    </row>
    <row r="53" spans="8:8" x14ac:dyDescent="0.25">
      <c r="H53" s="224"/>
    </row>
    <row r="54" spans="8:8" x14ac:dyDescent="0.25">
      <c r="H54" s="224"/>
    </row>
    <row r="55" spans="8:8" x14ac:dyDescent="0.25">
      <c r="H55" s="224"/>
    </row>
    <row r="56" spans="8:8" x14ac:dyDescent="0.25">
      <c r="H56" s="224"/>
    </row>
    <row r="57" spans="8:8" x14ac:dyDescent="0.25">
      <c r="H57" s="225"/>
    </row>
    <row r="58" spans="8:8" x14ac:dyDescent="0.25">
      <c r="H58" s="225"/>
    </row>
    <row r="59" spans="8:8" x14ac:dyDescent="0.25">
      <c r="H59" s="225"/>
    </row>
    <row r="60" spans="8:8" x14ac:dyDescent="0.25">
      <c r="H60" s="225"/>
    </row>
    <row r="61" spans="8:8" x14ac:dyDescent="0.25">
      <c r="H61" s="225"/>
    </row>
    <row r="62" spans="8:8" x14ac:dyDescent="0.25">
      <c r="H62" s="225"/>
    </row>
    <row r="63" spans="8:8" x14ac:dyDescent="0.25">
      <c r="H63" s="225"/>
    </row>
    <row r="64" spans="8:8" x14ac:dyDescent="0.25">
      <c r="H64" s="225"/>
    </row>
  </sheetData>
  <autoFilter ref="A5:K32" xr:uid="{00000000-0009-0000-0000-000004000000}"/>
  <mergeCells count="18">
    <mergeCell ref="A25:A32"/>
    <mergeCell ref="C25:C32"/>
    <mergeCell ref="O18:O19"/>
    <mergeCell ref="A16:A17"/>
    <mergeCell ref="A22:A23"/>
    <mergeCell ref="C22:C23"/>
    <mergeCell ref="A20:A21"/>
    <mergeCell ref="A18:A19"/>
    <mergeCell ref="C16:C17"/>
    <mergeCell ref="C18:C19"/>
    <mergeCell ref="C20:C21"/>
    <mergeCell ref="L3:N4"/>
    <mergeCell ref="A1:K1"/>
    <mergeCell ref="A2:K2"/>
    <mergeCell ref="A3:K3"/>
    <mergeCell ref="A9:A15"/>
    <mergeCell ref="C9:C15"/>
    <mergeCell ref="C7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Receiving 23-24</vt:lpstr>
      <vt:lpstr>Define </vt:lpstr>
      <vt:lpstr>ERP Data</vt:lpstr>
      <vt:lpstr>Raw Receiving Ex Season 21-22</vt:lpstr>
      <vt:lpstr>Raw Receiving 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Hassan Eisa Eltalib</dc:creator>
  <cp:lastModifiedBy>Sara Muhammed Muhammed Alamin</cp:lastModifiedBy>
  <dcterms:created xsi:type="dcterms:W3CDTF">2022-09-08T12:55:45Z</dcterms:created>
  <dcterms:modified xsi:type="dcterms:W3CDTF">2026-08-24T07:42:59Z</dcterms:modified>
</cp:coreProperties>
</file>