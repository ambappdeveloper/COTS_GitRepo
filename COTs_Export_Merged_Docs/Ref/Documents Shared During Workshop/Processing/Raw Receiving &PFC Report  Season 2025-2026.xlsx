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pivotTables/pivotTable4.xml" ContentType="application/vnd.openxmlformats-officedocument.spreadsheetml.pivotTable+xml"/>
  <Override PartName="/xl/tables/table5.xml" ContentType="application/vnd.openxmlformats-officedocument.spreadsheetml.table+xml"/>
  <Override PartName="/xl/pivotTables/pivotTable5.xml" ContentType="application/vnd.openxmlformats-officedocument.spreadsheetml.pivot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zeinab.amir\Desktop\Zeinab\25-26\"/>
    </mc:Choice>
  </mc:AlternateContent>
  <bookViews>
    <workbookView xWindow="0" yWindow="0" windowWidth="20490" windowHeight="6765"/>
  </bookViews>
  <sheets>
    <sheet name="Summary" sheetId="2" r:id="rId1"/>
    <sheet name="GS" sheetId="3" r:id="rId2"/>
    <sheet name="Sorghum" sheetId="5" r:id="rId3"/>
    <sheet name="Pigeon Peas" sheetId="8" r:id="rId4"/>
    <sheet name="WSNG" sheetId="9" r:id="rId5"/>
    <sheet name="Gum Arabic" sheetId="10" r:id="rId6"/>
    <sheet name="PO#" sheetId="4" state="hidden" r:id="rId7"/>
    <sheet name="Codes" sheetId="7" state="hidden" r:id="rId8"/>
  </sheets>
  <definedNames>
    <definedName name="_xlnm._FilterDatabase" localSheetId="6" hidden="1">'PO#'!$A$1:$K$20</definedName>
  </definedNames>
  <calcPr calcId="162913"/>
  <pivotCaches>
    <pivotCache cacheId="44" r:id="rId9"/>
    <pivotCache cacheId="49" r:id="rId10"/>
    <pivotCache cacheId="55" r:id="rId11"/>
    <pivotCache cacheId="60" r:id="rId12"/>
    <pivotCache cacheId="66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5" i="8" l="1"/>
  <c r="F85" i="8"/>
  <c r="G85" i="8" s="1"/>
  <c r="F84" i="8" l="1"/>
  <c r="G84" i="8" s="1"/>
  <c r="H84" i="8" s="1"/>
  <c r="F82" i="8" l="1"/>
  <c r="G82" i="8" s="1"/>
  <c r="H82" i="8" s="1"/>
  <c r="F83" i="8"/>
  <c r="G83" i="8" s="1"/>
  <c r="H83" i="8" s="1"/>
  <c r="F80" i="8" l="1"/>
  <c r="G80" i="8" s="1"/>
  <c r="H80" i="8" s="1"/>
  <c r="F81" i="8"/>
  <c r="G81" i="8" s="1"/>
  <c r="H81" i="8" s="1"/>
  <c r="F2" i="10" l="1"/>
  <c r="F3" i="10"/>
  <c r="F4" i="10"/>
  <c r="F5" i="10"/>
  <c r="H24" i="2"/>
  <c r="I24" i="2" l="1"/>
  <c r="J24" i="2" l="1"/>
  <c r="F79" i="8"/>
  <c r="G79" i="8" s="1"/>
  <c r="H79" i="8" s="1"/>
  <c r="F68" i="8"/>
  <c r="G68" i="8" s="1"/>
  <c r="H68" i="8" s="1"/>
  <c r="F69" i="8"/>
  <c r="G69" i="8" s="1"/>
  <c r="H69" i="8" s="1"/>
  <c r="F70" i="8"/>
  <c r="G70" i="8" s="1"/>
  <c r="H70" i="8" s="1"/>
  <c r="F71" i="8"/>
  <c r="G71" i="8" s="1"/>
  <c r="H71" i="8" s="1"/>
  <c r="F72" i="8"/>
  <c r="G72" i="8" s="1"/>
  <c r="H72" i="8" s="1"/>
  <c r="F73" i="8"/>
  <c r="G73" i="8" s="1"/>
  <c r="H73" i="8" s="1"/>
  <c r="F74" i="8"/>
  <c r="G74" i="8" s="1"/>
  <c r="H74" i="8" s="1"/>
  <c r="F75" i="8"/>
  <c r="G75" i="8" s="1"/>
  <c r="H75" i="8" s="1"/>
  <c r="F76" i="8"/>
  <c r="G76" i="8" s="1"/>
  <c r="H76" i="8" s="1"/>
  <c r="F77" i="8"/>
  <c r="G77" i="8" s="1"/>
  <c r="H77" i="8" s="1"/>
  <c r="F78" i="8"/>
  <c r="G78" i="8" s="1"/>
  <c r="H78" i="8" s="1"/>
  <c r="H21" i="2"/>
  <c r="H20" i="2"/>
  <c r="H17" i="2"/>
  <c r="H19" i="2"/>
  <c r="H18" i="2"/>
  <c r="H22" i="2"/>
  <c r="F57" i="8" l="1"/>
  <c r="G57" i="8" s="1"/>
  <c r="H57" i="8" s="1"/>
  <c r="F58" i="8"/>
  <c r="G58" i="8" s="1"/>
  <c r="H58" i="8" s="1"/>
  <c r="F59" i="8"/>
  <c r="G59" i="8" s="1"/>
  <c r="H59" i="8" s="1"/>
  <c r="F60" i="8"/>
  <c r="G60" i="8" s="1"/>
  <c r="H60" i="8" s="1"/>
  <c r="F61" i="8"/>
  <c r="G61" i="8" s="1"/>
  <c r="H61" i="8" s="1"/>
  <c r="F62" i="8"/>
  <c r="G62" i="8" s="1"/>
  <c r="H62" i="8" s="1"/>
  <c r="F63" i="8"/>
  <c r="G63" i="8" s="1"/>
  <c r="H63" i="8" s="1"/>
  <c r="F64" i="8"/>
  <c r="G64" i="8" s="1"/>
  <c r="H64" i="8" s="1"/>
  <c r="F65" i="8"/>
  <c r="G65" i="8" s="1"/>
  <c r="H65" i="8" s="1"/>
  <c r="F66" i="8"/>
  <c r="G66" i="8" s="1"/>
  <c r="H66" i="8" s="1"/>
  <c r="F67" i="8"/>
  <c r="G67" i="8" l="1"/>
  <c r="H67" i="8" s="1"/>
  <c r="J22" i="2"/>
  <c r="I21" i="2"/>
  <c r="J21" i="2" s="1"/>
  <c r="F52" i="8"/>
  <c r="G52" i="8" s="1"/>
  <c r="H52" i="8" s="1"/>
  <c r="F53" i="8"/>
  <c r="G53" i="8" s="1"/>
  <c r="H53" i="8" s="1"/>
  <c r="F54" i="8"/>
  <c r="G54" i="8" s="1"/>
  <c r="H54" i="8" s="1"/>
  <c r="F55" i="8"/>
  <c r="G55" i="8" s="1"/>
  <c r="H55" i="8" s="1"/>
  <c r="F56" i="8"/>
  <c r="G56" i="8" s="1"/>
  <c r="H56" i="8" s="1"/>
  <c r="H193" i="3" l="1"/>
  <c r="H194" i="3"/>
  <c r="H195" i="3"/>
  <c r="H196" i="3"/>
  <c r="H197" i="3"/>
  <c r="H198" i="3"/>
  <c r="H199" i="3"/>
  <c r="H200" i="3"/>
  <c r="F47" i="8" l="1"/>
  <c r="G47" i="8" s="1"/>
  <c r="H47" i="8" s="1"/>
  <c r="F48" i="8"/>
  <c r="G48" i="8" s="1"/>
  <c r="H48" i="8" s="1"/>
  <c r="F49" i="8"/>
  <c r="G49" i="8" s="1"/>
  <c r="H49" i="8" s="1"/>
  <c r="F50" i="8"/>
  <c r="G50" i="8" s="1"/>
  <c r="H50" i="8" s="1"/>
  <c r="F51" i="8"/>
  <c r="G51" i="8" s="1"/>
  <c r="H51" i="8" s="1"/>
  <c r="H2" i="9" l="1"/>
  <c r="H3" i="9"/>
  <c r="H4" i="9"/>
  <c r="F43" i="8"/>
  <c r="G43" i="8" s="1"/>
  <c r="H43" i="8" s="1"/>
  <c r="F44" i="8"/>
  <c r="G44" i="8" s="1"/>
  <c r="H44" i="8" s="1"/>
  <c r="F45" i="8"/>
  <c r="G45" i="8" s="1"/>
  <c r="H45" i="8" s="1"/>
  <c r="F46" i="8"/>
  <c r="G46" i="8" s="1"/>
  <c r="H46" i="8" s="1"/>
  <c r="H6" i="9" l="1"/>
  <c r="H7" i="9"/>
  <c r="H8" i="9"/>
  <c r="H5" i="9"/>
  <c r="H23" i="2"/>
  <c r="J23" i="2" l="1"/>
  <c r="G188" i="3"/>
  <c r="G189" i="3"/>
  <c r="G190" i="3"/>
  <c r="G191" i="3"/>
  <c r="G192" i="3"/>
  <c r="G187" i="3"/>
  <c r="F39" i="8"/>
  <c r="G39" i="8" s="1"/>
  <c r="H39" i="8" s="1"/>
  <c r="F40" i="8"/>
  <c r="G40" i="8" s="1"/>
  <c r="H40" i="8" s="1"/>
  <c r="F41" i="8"/>
  <c r="G41" i="8" s="1"/>
  <c r="H41" i="8" s="1"/>
  <c r="F42" i="8"/>
  <c r="G42" i="8" s="1"/>
  <c r="H42" i="8" s="1"/>
  <c r="H11" i="2"/>
  <c r="I11" i="2" l="1"/>
  <c r="F27" i="8"/>
  <c r="G27" i="8" s="1"/>
  <c r="H27" i="8" s="1"/>
  <c r="F28" i="8"/>
  <c r="G28" i="8" s="1"/>
  <c r="H28" i="8" s="1"/>
  <c r="F29" i="8"/>
  <c r="G29" i="8" s="1"/>
  <c r="H29" i="8" s="1"/>
  <c r="F30" i="8"/>
  <c r="G30" i="8" s="1"/>
  <c r="H30" i="8" s="1"/>
  <c r="F31" i="8"/>
  <c r="G31" i="8" s="1"/>
  <c r="H31" i="8" s="1"/>
  <c r="F32" i="8"/>
  <c r="G32" i="8" s="1"/>
  <c r="H32" i="8" s="1"/>
  <c r="F33" i="8"/>
  <c r="G33" i="8" s="1"/>
  <c r="H33" i="8" s="1"/>
  <c r="F34" i="8"/>
  <c r="G34" i="8" s="1"/>
  <c r="H34" i="8" s="1"/>
  <c r="F35" i="8"/>
  <c r="G35" i="8" s="1"/>
  <c r="H35" i="8" s="1"/>
  <c r="F36" i="8"/>
  <c r="G36" i="8" s="1"/>
  <c r="H36" i="8" s="1"/>
  <c r="F37" i="8"/>
  <c r="G37" i="8" s="1"/>
  <c r="H37" i="8" s="1"/>
  <c r="F38" i="8"/>
  <c r="G38" i="8" s="1"/>
  <c r="H38" i="8" s="1"/>
  <c r="F25" i="8" l="1"/>
  <c r="G25" i="8" s="1"/>
  <c r="H25" i="8" s="1"/>
  <c r="F26" i="8"/>
  <c r="G26" i="8" s="1"/>
  <c r="H26" i="8" s="1"/>
  <c r="F24" i="8"/>
  <c r="G24" i="8" s="1"/>
  <c r="H24" i="8" s="1"/>
  <c r="I20" i="2" l="1"/>
  <c r="J20" i="2" s="1"/>
  <c r="J11" i="2"/>
  <c r="F22" i="8" l="1"/>
  <c r="G22" i="8" s="1"/>
  <c r="H22" i="8" s="1"/>
  <c r="F23" i="8"/>
  <c r="G23" i="8" s="1"/>
  <c r="H23" i="8" s="1"/>
  <c r="F21" i="8"/>
  <c r="G21" i="8" s="1"/>
  <c r="H21" i="8" s="1"/>
  <c r="F15" i="8" l="1"/>
  <c r="G15" i="8" s="1"/>
  <c r="H15" i="8" s="1"/>
  <c r="F16" i="8"/>
  <c r="G16" i="8" s="1"/>
  <c r="H16" i="8" s="1"/>
  <c r="F17" i="8"/>
  <c r="G17" i="8" s="1"/>
  <c r="H17" i="8" s="1"/>
  <c r="F18" i="8"/>
  <c r="G18" i="8" s="1"/>
  <c r="H18" i="8" s="1"/>
  <c r="F19" i="8"/>
  <c r="G19" i="8" s="1"/>
  <c r="H19" i="8" s="1"/>
  <c r="F20" i="8"/>
  <c r="G20" i="8" s="1"/>
  <c r="H20" i="8" s="1"/>
  <c r="F2" i="8" l="1"/>
  <c r="G2" i="8" s="1"/>
  <c r="H2" i="8" s="1"/>
  <c r="F3" i="8"/>
  <c r="G3" i="8" s="1"/>
  <c r="H3" i="8" s="1"/>
  <c r="F4" i="8"/>
  <c r="G4" i="8" s="1"/>
  <c r="H4" i="8" s="1"/>
  <c r="F5" i="8"/>
  <c r="G5" i="8" s="1"/>
  <c r="H5" i="8" s="1"/>
  <c r="F6" i="8"/>
  <c r="G6" i="8" s="1"/>
  <c r="H6" i="8" s="1"/>
  <c r="F7" i="8"/>
  <c r="G7" i="8" s="1"/>
  <c r="H7" i="8" s="1"/>
  <c r="F8" i="8"/>
  <c r="G8" i="8" s="1"/>
  <c r="H8" i="8" s="1"/>
  <c r="F9" i="8"/>
  <c r="G9" i="8" s="1"/>
  <c r="H9" i="8" s="1"/>
  <c r="F10" i="8"/>
  <c r="G10" i="8" s="1"/>
  <c r="H10" i="8" s="1"/>
  <c r="F11" i="8"/>
  <c r="G11" i="8" s="1"/>
  <c r="H11" i="8" s="1"/>
  <c r="F12" i="8"/>
  <c r="G12" i="8" s="1"/>
  <c r="H12" i="8" s="1"/>
  <c r="F13" i="8"/>
  <c r="G13" i="8" s="1"/>
  <c r="H13" i="8" s="1"/>
  <c r="F14" i="8"/>
  <c r="G14" i="8" s="1"/>
  <c r="H14" i="8" s="1"/>
  <c r="I19" i="2" l="1"/>
  <c r="J19" i="2" s="1"/>
  <c r="I18" i="2"/>
  <c r="J18" i="2" s="1"/>
  <c r="I17" i="2"/>
  <c r="J17" i="2" s="1"/>
  <c r="H174" i="3" l="1"/>
  <c r="H175" i="3"/>
  <c r="H176" i="3"/>
  <c r="H177" i="3"/>
  <c r="H178" i="3"/>
  <c r="H179" i="3"/>
  <c r="H180" i="3"/>
  <c r="H181" i="3"/>
  <c r="H182" i="3"/>
  <c r="H183" i="3"/>
  <c r="H184" i="3"/>
  <c r="H185" i="3"/>
  <c r="H186" i="3"/>
  <c r="H157" i="3" l="1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50" i="3"/>
  <c r="H151" i="3"/>
  <c r="H152" i="3"/>
  <c r="H153" i="3"/>
  <c r="H154" i="3"/>
  <c r="H155" i="3"/>
  <c r="H156" i="3"/>
  <c r="H133" i="3" l="1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0" i="2"/>
  <c r="I10" i="2" l="1"/>
  <c r="J10" i="2" s="1"/>
  <c r="H125" i="3"/>
  <c r="H126" i="3"/>
  <c r="H127" i="3"/>
  <c r="H128" i="3"/>
  <c r="H129" i="3"/>
  <c r="H130" i="3"/>
  <c r="H131" i="3"/>
  <c r="H132" i="3"/>
  <c r="E165" i="5"/>
  <c r="E166" i="5"/>
  <c r="E167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8" i="5"/>
  <c r="H15" i="2"/>
  <c r="H16" i="2"/>
  <c r="I15" i="2" l="1"/>
  <c r="J15" i="2" s="1"/>
  <c r="J16" i="2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9" i="2"/>
  <c r="H8" i="2"/>
  <c r="H7" i="2"/>
  <c r="H13" i="2"/>
  <c r="H14" i="2"/>
  <c r="H12" i="2"/>
  <c r="I9" i="2" l="1"/>
  <c r="J9" i="2" s="1"/>
  <c r="I7" i="2"/>
  <c r="J7" i="2" s="1"/>
  <c r="I8" i="2"/>
  <c r="J8" i="2" s="1"/>
  <c r="J14" i="2"/>
  <c r="J13" i="2"/>
  <c r="I12" i="2"/>
  <c r="J12" i="2" s="1"/>
  <c r="F5" i="5"/>
  <c r="F3" i="5" l="1"/>
  <c r="F4" i="5"/>
  <c r="F6" i="5"/>
  <c r="F7" i="5"/>
  <c r="F2" i="5"/>
  <c r="H49" i="3" l="1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27" i="3"/>
  <c r="G19" i="3" l="1"/>
  <c r="G20" i="3"/>
  <c r="G21" i="3"/>
  <c r="G22" i="3"/>
  <c r="G23" i="3"/>
  <c r="G24" i="3"/>
  <c r="G25" i="3"/>
  <c r="G26" i="3"/>
  <c r="G17" i="3"/>
  <c r="G12" i="3"/>
  <c r="G13" i="3"/>
  <c r="G14" i="3"/>
  <c r="G15" i="3"/>
  <c r="G16" i="3"/>
  <c r="G18" i="3"/>
  <c r="G11" i="3"/>
  <c r="H2" i="3" l="1"/>
  <c r="H10" i="3"/>
  <c r="H9" i="3"/>
  <c r="H8" i="3"/>
  <c r="H7" i="3"/>
  <c r="H6" i="3"/>
  <c r="H5" i="3"/>
  <c r="H4" i="3"/>
  <c r="H3" i="3"/>
  <c r="E71" i="5" l="1"/>
</calcChain>
</file>

<file path=xl/sharedStrings.xml><?xml version="1.0" encoding="utf-8"?>
<sst xmlns="http://schemas.openxmlformats.org/spreadsheetml/2006/main" count="1841" uniqueCount="153">
  <si>
    <t>Commodity Processing Unit</t>
  </si>
  <si>
    <t xml:space="preserve"> Raw Receiving &amp; Purchased Finished Commodities Delivery Report - Sudan</t>
  </si>
  <si>
    <t>Commodity</t>
  </si>
  <si>
    <t>Code</t>
  </si>
  <si>
    <t>Region</t>
  </si>
  <si>
    <t>Supplier</t>
  </si>
  <si>
    <t>PO#</t>
  </si>
  <si>
    <t>Receiving Location</t>
  </si>
  <si>
    <t>Received Weight-MT</t>
  </si>
  <si>
    <t>Purchasing Weight-MT</t>
  </si>
  <si>
    <t>Purchasing Balance</t>
  </si>
  <si>
    <t>PO Status</t>
  </si>
  <si>
    <t>Job Status</t>
  </si>
  <si>
    <t xml:space="preserve">Responsible Person </t>
  </si>
  <si>
    <t>GS-Above Medium Quality</t>
  </si>
  <si>
    <t>SM0101</t>
  </si>
  <si>
    <t>Gadarif</t>
  </si>
  <si>
    <t>Mohd Karamallah</t>
  </si>
  <si>
    <t>Gadarif WH-AG</t>
  </si>
  <si>
    <t>Completed</t>
  </si>
  <si>
    <t>Ongoing</t>
  </si>
  <si>
    <t>Abubaker Mahjoub</t>
  </si>
  <si>
    <t>Date</t>
  </si>
  <si>
    <t>Truck No.</t>
  </si>
  <si>
    <t xml:space="preserve">Jute Bags </t>
  </si>
  <si>
    <t>Weight MT</t>
  </si>
  <si>
    <t>Weight KG</t>
  </si>
  <si>
    <t>Commodity Code</t>
  </si>
  <si>
    <t>Supplier Name</t>
  </si>
  <si>
    <t>Grade</t>
  </si>
  <si>
    <t>Summary</t>
  </si>
  <si>
    <t>Above Medium Quality</t>
  </si>
  <si>
    <t xml:space="preserve"> Weight MT</t>
  </si>
  <si>
    <t xml:space="preserve"> Truck No.</t>
  </si>
  <si>
    <t>Grand Total</t>
  </si>
  <si>
    <t>Season 2025-2026</t>
  </si>
  <si>
    <t>PO#1763</t>
  </si>
  <si>
    <t xml:space="preserve"> Jute Bags </t>
  </si>
  <si>
    <t>Organica Sifter</t>
  </si>
  <si>
    <t>Ahmed Abdalah</t>
  </si>
  <si>
    <t>#</t>
  </si>
  <si>
    <t>Goods Source</t>
  </si>
  <si>
    <t>Agreed Qty</t>
  </si>
  <si>
    <t>Unit of purchase</t>
  </si>
  <si>
    <t>Sifter Name</t>
  </si>
  <si>
    <t>Sifter Code</t>
  </si>
  <si>
    <t>Delivery</t>
  </si>
  <si>
    <t>Status</t>
  </si>
  <si>
    <t>Gadarif White Sesame</t>
  </si>
  <si>
    <t>Mohamed Karmalla -Fuknab Agri.</t>
  </si>
  <si>
    <t>Collection</t>
  </si>
  <si>
    <t>MT</t>
  </si>
  <si>
    <t>Gadarif Warehouse</t>
  </si>
  <si>
    <t>AG</t>
  </si>
  <si>
    <t>PZU</t>
  </si>
  <si>
    <t>Closed</t>
  </si>
  <si>
    <t>Non Gadarif Sesame</t>
  </si>
  <si>
    <t>Abdallah Abdelaziz</t>
  </si>
  <si>
    <t>Sennar</t>
  </si>
  <si>
    <t>Not Available yet</t>
  </si>
  <si>
    <t>Cancelled</t>
  </si>
  <si>
    <t>Sorghum Raw</t>
  </si>
  <si>
    <t>Concrete Silo SF</t>
  </si>
  <si>
    <t>SGCO</t>
  </si>
  <si>
    <t>On Going</t>
  </si>
  <si>
    <t>Sorghum Finished</t>
  </si>
  <si>
    <t>Pigeon Peas Raw</t>
  </si>
  <si>
    <t>Magdi Gurnas</t>
  </si>
  <si>
    <t>New Halfa</t>
  </si>
  <si>
    <t>Sesame White Gadarif Raw</t>
  </si>
  <si>
    <t>Gadarif WH</t>
  </si>
  <si>
    <t>PO#4500000384</t>
  </si>
  <si>
    <t>Concrete Silo</t>
  </si>
  <si>
    <t>GS</t>
  </si>
  <si>
    <t>Bulk</t>
  </si>
  <si>
    <t>Sorghum-RM</t>
  </si>
  <si>
    <t>Sorghum-FG</t>
  </si>
  <si>
    <t>Sorghum-Raw</t>
  </si>
  <si>
    <t>KaramallahAbass</t>
  </si>
  <si>
    <t>GD08</t>
  </si>
  <si>
    <t>Jute Bags/Bulk</t>
  </si>
  <si>
    <t>Five Stars Sifter</t>
  </si>
  <si>
    <t>Jan</t>
  </si>
  <si>
    <t>Feb</t>
  </si>
  <si>
    <t>05-Feb</t>
  </si>
  <si>
    <t xml:space="preserve"> Jute Bags/Bulk</t>
  </si>
  <si>
    <t>10-Feb</t>
  </si>
  <si>
    <t>11-Feb</t>
  </si>
  <si>
    <t>12-Feb</t>
  </si>
  <si>
    <t>14-Feb</t>
  </si>
  <si>
    <t>15-Feb</t>
  </si>
  <si>
    <t>16-Feb</t>
  </si>
  <si>
    <t>Feras Ibrahim</t>
  </si>
  <si>
    <t>Five Star Sifter</t>
  </si>
  <si>
    <t>SGFI</t>
  </si>
  <si>
    <t>Abdalla Abdelaziz</t>
  </si>
  <si>
    <t>Almnaqil</t>
  </si>
  <si>
    <t>PO#4500001491</t>
  </si>
  <si>
    <t>Pigeon Peas Finished</t>
  </si>
  <si>
    <t>Madani</t>
  </si>
  <si>
    <t>21-Jan</t>
  </si>
  <si>
    <t>12-Jan</t>
  </si>
  <si>
    <t>13-Jan</t>
  </si>
  <si>
    <t>19-Jan</t>
  </si>
  <si>
    <t>PO#4500001484</t>
  </si>
  <si>
    <t>PO#4500001652</t>
  </si>
  <si>
    <t>PO#4500001654</t>
  </si>
  <si>
    <t>Abdallah Abdealziz</t>
  </si>
  <si>
    <t>Magdi Gournas</t>
  </si>
  <si>
    <t>PZU WH-A013</t>
  </si>
  <si>
    <t xml:space="preserve"> Bags</t>
  </si>
  <si>
    <t>Pigeon Peas-FG</t>
  </si>
  <si>
    <t>Mohd Karmallah</t>
  </si>
  <si>
    <t>PO#4500002146</t>
  </si>
  <si>
    <t xml:space="preserve">  Bags No.</t>
  </si>
  <si>
    <t>Mohd Elmustafa</t>
  </si>
  <si>
    <t>Balaji Sifter</t>
  </si>
  <si>
    <t>Aljaali Sabahalkheir</t>
  </si>
  <si>
    <t>PO34500001655</t>
  </si>
  <si>
    <t>SP Bags</t>
  </si>
  <si>
    <t>BP Bags</t>
  </si>
  <si>
    <t>Bags</t>
  </si>
  <si>
    <t>WSNG-Eastern</t>
  </si>
  <si>
    <t xml:space="preserve"> BP Bags</t>
  </si>
  <si>
    <t xml:space="preserve"> SP Bags</t>
  </si>
  <si>
    <t>PO#4500002362</t>
  </si>
  <si>
    <t>Gross Weight MT</t>
  </si>
  <si>
    <t>Net Weight KG</t>
  </si>
  <si>
    <t>Net Weight MT</t>
  </si>
  <si>
    <t>Gross Weight KG</t>
  </si>
  <si>
    <t xml:space="preserve">A13 Warehouse </t>
  </si>
  <si>
    <t>A013</t>
  </si>
  <si>
    <t>Balaji 1 SF PZU</t>
  </si>
  <si>
    <t>SPB1</t>
  </si>
  <si>
    <t xml:space="preserve">        250.00 </t>
  </si>
  <si>
    <t xml:space="preserve">  20,000.00 </t>
  </si>
  <si>
    <t>PO#4500005939</t>
  </si>
  <si>
    <t>PO#4500005740</t>
  </si>
  <si>
    <t>Remark</t>
  </si>
  <si>
    <t>Gum Arabic talha raw</t>
  </si>
  <si>
    <t xml:space="preserve">        224.72 </t>
  </si>
  <si>
    <t>Albagier</t>
  </si>
  <si>
    <t>Pigeon Peas FG</t>
  </si>
  <si>
    <t>NH-Agent WH</t>
  </si>
  <si>
    <t>Pigeon Peas-RM</t>
  </si>
  <si>
    <t>Yousif Mohd</t>
  </si>
  <si>
    <t>KHT-Baghier</t>
  </si>
  <si>
    <t>Baghier WH</t>
  </si>
  <si>
    <t xml:space="preserve">Bags No. </t>
  </si>
  <si>
    <t>Gum Arabic Talha-RM</t>
  </si>
  <si>
    <t>Row Labels</t>
  </si>
  <si>
    <t xml:space="preserve"> Bags No. </t>
  </si>
  <si>
    <t>PO#4500006403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</si>
</sst>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0.59999389629810485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9"/>
      </patternFill>
    </fill>
    <fill>
      <patternFill patternType="solid">
        <fgColor rgb="FF80808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9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 style="medium">
        <color rgb="FF4BACC6"/>
      </bottom>
      <diagonal/>
    </border>
    <border>
      <left/>
      <right style="medium">
        <color rgb="FF4BACC6"/>
      </right>
      <top style="medium">
        <color rgb="FF4BACC6"/>
      </top>
      <bottom style="medium">
        <color rgb="FF4BACC6"/>
      </bottom>
      <diagonal/>
    </border>
    <border>
      <left style="medium">
        <color rgb="FF4BACC6"/>
      </left>
      <right style="medium">
        <color rgb="FF4BACC6"/>
      </right>
      <top/>
      <bottom style="medium">
        <color rgb="FF4BACC6"/>
      </bottom>
      <diagonal/>
    </border>
    <border>
      <left/>
      <right style="medium">
        <color rgb="FF4BACC6"/>
      </right>
      <top/>
      <bottom style="medium">
        <color rgb="FF4BACC6"/>
      </bottom>
      <diagonal/>
    </border>
    <border>
      <left style="thin">
        <color theme="9"/>
      </left>
      <right style="thin">
        <color theme="9"/>
      </right>
      <top style="thin">
        <color indexed="64"/>
      </top>
      <bottom style="medium">
        <color theme="7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9"/>
      </left>
      <right style="thin">
        <color theme="9"/>
      </right>
      <top/>
      <bottom style="medium">
        <color theme="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9"/>
      </left>
      <right style="thin">
        <color theme="9"/>
      </right>
      <top/>
      <bottom style="medium">
        <color theme="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9">
    <xf numFmtId="0" fontId="0" fillId="0" borderId="0" xfId="0"/>
    <xf numFmtId="43" fontId="0" fillId="0" borderId="0" xfId="1" applyFont="1"/>
    <xf numFmtId="0" fontId="0" fillId="0" borderId="0" xfId="0" applyAlignment="1">
      <alignment horizontal="center" vertical="center"/>
    </xf>
    <xf numFmtId="0" fontId="0" fillId="0" borderId="0" xfId="0" applyFill="1" applyBorder="1"/>
    <xf numFmtId="43" fontId="0" fillId="0" borderId="0" xfId="1" applyFont="1" applyFill="1" applyBorder="1"/>
    <xf numFmtId="164" fontId="0" fillId="0" borderId="0" xfId="1" applyNumberFormat="1" applyFont="1" applyFill="1" applyBorder="1"/>
    <xf numFmtId="0" fontId="0" fillId="0" borderId="0" xfId="0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43" fontId="4" fillId="0" borderId="9" xfId="1" applyFont="1" applyFill="1" applyBorder="1" applyAlignment="1">
      <alignment horizontal="center" vertical="center" wrapText="1"/>
    </xf>
    <xf numFmtId="164" fontId="4" fillId="0" borderId="9" xfId="1" applyNumberFormat="1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165" fontId="0" fillId="2" borderId="10" xfId="1" applyNumberFormat="1" applyFont="1" applyFill="1" applyBorder="1" applyAlignment="1">
      <alignment horizontal="center" vertical="center"/>
    </xf>
    <xf numFmtId="0" fontId="0" fillId="2" borderId="10" xfId="0" applyFont="1" applyFill="1" applyBorder="1"/>
    <xf numFmtId="0" fontId="4" fillId="3" borderId="0" xfId="0" applyFont="1" applyFill="1" applyBorder="1" applyAlignment="1">
      <alignment horizontal="center" vertical="center" wrapText="1"/>
    </xf>
    <xf numFmtId="0" fontId="5" fillId="0" borderId="0" xfId="0" applyFont="1"/>
    <xf numFmtId="0" fontId="6" fillId="4" borderId="11" xfId="0" applyFont="1" applyFill="1" applyBorder="1" applyAlignment="1">
      <alignment vertical="center"/>
    </xf>
    <xf numFmtId="16" fontId="5" fillId="0" borderId="0" xfId="0" applyNumberFormat="1" applyFont="1" applyBorder="1" applyAlignment="1"/>
    <xf numFmtId="164" fontId="5" fillId="0" borderId="0" xfId="1" applyNumberFormat="1" applyFont="1"/>
    <xf numFmtId="165" fontId="5" fillId="0" borderId="0" xfId="1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pivotButton="1"/>
    <xf numFmtId="0" fontId="7" fillId="0" borderId="0" xfId="0" applyFont="1"/>
    <xf numFmtId="165" fontId="7" fillId="0" borderId="0" xfId="1" applyNumberFormat="1" applyFont="1"/>
    <xf numFmtId="16" fontId="7" fillId="0" borderId="0" xfId="0" applyNumberFormat="1" applyFont="1" applyAlignment="1">
      <alignment vertical="center"/>
    </xf>
    <xf numFmtId="165" fontId="0" fillId="0" borderId="0" xfId="0" applyNumberFormat="1"/>
    <xf numFmtId="0" fontId="9" fillId="2" borderId="12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165" fontId="8" fillId="2" borderId="12" xfId="1" applyNumberFormat="1" applyFont="1" applyFill="1" applyBorder="1" applyAlignment="1">
      <alignment horizontal="center" vertical="center"/>
    </xf>
    <xf numFmtId="0" fontId="8" fillId="2" borderId="12" xfId="0" applyFont="1" applyFill="1" applyBorder="1"/>
    <xf numFmtId="0" fontId="0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vertical="center"/>
    </xf>
    <xf numFmtId="43" fontId="0" fillId="2" borderId="10" xfId="1" applyNumberFormat="1" applyFont="1" applyFill="1" applyBorder="1"/>
    <xf numFmtId="43" fontId="8" fillId="2" borderId="12" xfId="1" applyNumberFormat="1" applyFont="1" applyFill="1" applyBorder="1"/>
    <xf numFmtId="0" fontId="13" fillId="7" borderId="19" xfId="0" applyFont="1" applyFill="1" applyBorder="1" applyAlignment="1">
      <alignment horizontal="center" vertical="center" wrapText="1"/>
    </xf>
    <xf numFmtId="43" fontId="13" fillId="7" borderId="19" xfId="1" applyNumberFormat="1" applyFont="1" applyFill="1" applyBorder="1" applyAlignment="1">
      <alignment horizontal="center" vertical="center" wrapText="1"/>
    </xf>
    <xf numFmtId="165" fontId="13" fillId="7" borderId="19" xfId="1" applyNumberFormat="1" applyFont="1" applyFill="1" applyBorder="1" applyAlignment="1">
      <alignment horizontal="center" vertical="center" wrapText="1"/>
    </xf>
    <xf numFmtId="0" fontId="13" fillId="7" borderId="17" xfId="0" applyFont="1" applyFill="1" applyBorder="1" applyAlignment="1">
      <alignment horizontal="left" vertical="center" wrapText="1"/>
    </xf>
    <xf numFmtId="43" fontId="0" fillId="2" borderId="12" xfId="1" applyNumberFormat="1" applyFont="1" applyFill="1" applyBorder="1"/>
    <xf numFmtId="0" fontId="0" fillId="2" borderId="12" xfId="0" applyFont="1" applyFill="1" applyBorder="1"/>
    <xf numFmtId="0" fontId="8" fillId="8" borderId="10" xfId="0" applyFont="1" applyFill="1" applyBorder="1" applyAlignment="1">
      <alignment horizontal="center" vertical="center"/>
    </xf>
    <xf numFmtId="0" fontId="0" fillId="8" borderId="10" xfId="0" applyFont="1" applyFill="1" applyBorder="1"/>
    <xf numFmtId="43" fontId="0" fillId="8" borderId="10" xfId="1" applyNumberFormat="1" applyFont="1" applyFill="1" applyBorder="1"/>
    <xf numFmtId="165" fontId="0" fillId="8" borderId="10" xfId="0" applyNumberFormat="1" applyFont="1" applyFill="1" applyBorder="1" applyAlignment="1">
      <alignment horizontal="center" vertical="center"/>
    </xf>
    <xf numFmtId="0" fontId="0" fillId="8" borderId="10" xfId="0" applyFill="1" applyBorder="1"/>
    <xf numFmtId="43" fontId="0" fillId="0" borderId="0" xfId="0" applyNumberFormat="1"/>
    <xf numFmtId="16" fontId="14" fillId="0" borderId="18" xfId="0" applyNumberFormat="1" applyFont="1" applyFill="1" applyBorder="1"/>
    <xf numFmtId="0" fontId="14" fillId="0" borderId="18" xfId="0" applyFont="1" applyFill="1" applyBorder="1"/>
    <xf numFmtId="43" fontId="14" fillId="0" borderId="18" xfId="1" applyNumberFormat="1" applyFont="1" applyFill="1" applyBorder="1"/>
    <xf numFmtId="165" fontId="14" fillId="0" borderId="18" xfId="1" applyNumberFormat="1" applyFont="1" applyFill="1" applyBorder="1"/>
    <xf numFmtId="0" fontId="15" fillId="0" borderId="18" xfId="0" applyFont="1" applyFill="1" applyBorder="1"/>
    <xf numFmtId="0" fontId="2" fillId="8" borderId="12" xfId="0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center" vertical="center"/>
    </xf>
    <xf numFmtId="0" fontId="17" fillId="0" borderId="0" xfId="0" applyFont="1"/>
    <xf numFmtId="165" fontId="17" fillId="0" borderId="0" xfId="1" applyNumberFormat="1" applyFont="1"/>
    <xf numFmtId="0" fontId="16" fillId="8" borderId="20" xfId="0" applyFont="1" applyFill="1" applyBorder="1" applyAlignment="1">
      <alignment horizontal="center" vertical="center"/>
    </xf>
    <xf numFmtId="16" fontId="18" fillId="0" borderId="18" xfId="0" applyNumberFormat="1" applyFont="1" applyFill="1" applyBorder="1"/>
    <xf numFmtId="0" fontId="18" fillId="0" borderId="18" xfId="0" applyFont="1" applyFill="1" applyBorder="1"/>
    <xf numFmtId="43" fontId="18" fillId="0" borderId="18" xfId="1" applyNumberFormat="1" applyFont="1" applyFill="1" applyBorder="1"/>
    <xf numFmtId="165" fontId="18" fillId="0" borderId="18" xfId="1" applyNumberFormat="1" applyFont="1" applyFill="1" applyBorder="1"/>
    <xf numFmtId="16" fontId="18" fillId="0" borderId="22" xfId="0" applyNumberFormat="1" applyFont="1" applyFill="1" applyBorder="1"/>
    <xf numFmtId="0" fontId="18" fillId="0" borderId="22" xfId="0" applyFont="1" applyFill="1" applyBorder="1"/>
    <xf numFmtId="43" fontId="18" fillId="0" borderId="22" xfId="1" applyNumberFormat="1" applyFont="1" applyFill="1" applyBorder="1"/>
    <xf numFmtId="165" fontId="18" fillId="0" borderId="22" xfId="1" applyNumberFormat="1" applyFont="1" applyFill="1" applyBorder="1"/>
    <xf numFmtId="0" fontId="18" fillId="0" borderId="22" xfId="0" applyFont="1" applyFill="1" applyBorder="1" applyAlignment="1">
      <alignment horizontal="center"/>
    </xf>
    <xf numFmtId="0" fontId="18" fillId="0" borderId="18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top"/>
    </xf>
    <xf numFmtId="0" fontId="18" fillId="9" borderId="18" xfId="0" applyFont="1" applyFill="1" applyBorder="1"/>
    <xf numFmtId="0" fontId="20" fillId="8" borderId="20" xfId="0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horizontal="center" vertical="center"/>
    </xf>
    <xf numFmtId="16" fontId="17" fillId="0" borderId="0" xfId="0" applyNumberFormat="1" applyFont="1" applyAlignment="1">
      <alignment vertical="center"/>
    </xf>
    <xf numFmtId="165" fontId="21" fillId="8" borderId="10" xfId="0" applyNumberFormat="1" applyFont="1" applyFill="1" applyBorder="1" applyAlignment="1">
      <alignment horizontal="center" vertical="center"/>
    </xf>
    <xf numFmtId="165" fontId="1" fillId="2" borderId="12" xfId="1" applyNumberFormat="1" applyFont="1" applyFill="1" applyBorder="1" applyAlignment="1">
      <alignment horizontal="center" vertical="center"/>
    </xf>
    <xf numFmtId="16" fontId="5" fillId="0" borderId="0" xfId="0" applyNumberFormat="1" applyFont="1" applyAlignment="1">
      <alignment vertical="center"/>
    </xf>
    <xf numFmtId="0" fontId="22" fillId="0" borderId="0" xfId="0" applyFont="1"/>
    <xf numFmtId="165" fontId="22" fillId="0" borderId="0" xfId="1" applyNumberFormat="1" applyFont="1"/>
    <xf numFmtId="0" fontId="13" fillId="0" borderId="19" xfId="0" applyFont="1" applyFill="1" applyBorder="1" applyAlignment="1">
      <alignment horizontal="center" vertical="center" wrapText="1"/>
    </xf>
    <xf numFmtId="165" fontId="13" fillId="0" borderId="19" xfId="1" applyNumberFormat="1" applyFont="1" applyFill="1" applyBorder="1" applyAlignment="1">
      <alignment horizontal="center" vertical="center" wrapText="1"/>
    </xf>
    <xf numFmtId="165" fontId="0" fillId="0" borderId="0" xfId="1" applyNumberFormat="1" applyFont="1"/>
    <xf numFmtId="0" fontId="13" fillId="0" borderId="23" xfId="0" applyFont="1" applyFill="1" applyBorder="1" applyAlignment="1">
      <alignment horizontal="center" vertical="center" wrapText="1"/>
    </xf>
    <xf numFmtId="0" fontId="0" fillId="0" borderId="0" xfId="0" applyBorder="1"/>
    <xf numFmtId="0" fontId="2" fillId="10" borderId="0" xfId="0" applyFont="1" applyFill="1"/>
    <xf numFmtId="0" fontId="0" fillId="8" borderId="10" xfId="0" applyFont="1" applyFill="1" applyBorder="1" applyAlignment="1">
      <alignment horizontal="center" vertical="center"/>
    </xf>
    <xf numFmtId="0" fontId="0" fillId="8" borderId="12" xfId="0" applyFont="1" applyFill="1" applyBorder="1" applyAlignment="1">
      <alignment horizontal="center" vertical="center"/>
    </xf>
    <xf numFmtId="43" fontId="0" fillId="8" borderId="12" xfId="1" applyNumberFormat="1" applyFont="1" applyFill="1" applyBorder="1"/>
    <xf numFmtId="165" fontId="0" fillId="8" borderId="12" xfId="0" applyNumberFormat="1" applyFont="1" applyFill="1" applyBorder="1" applyAlignment="1">
      <alignment horizontal="center" vertical="center"/>
    </xf>
    <xf numFmtId="0" fontId="0" fillId="8" borderId="12" xfId="0" applyFont="1" applyFill="1" applyBorder="1"/>
    <xf numFmtId="0" fontId="0" fillId="8" borderId="12" xfId="0" applyFill="1" applyBorder="1"/>
    <xf numFmtId="0" fontId="0" fillId="10" borderId="10" xfId="0" applyFont="1" applyFill="1" applyBorder="1"/>
    <xf numFmtId="0" fontId="0" fillId="10" borderId="10" xfId="0" applyFont="1" applyFill="1" applyBorder="1" applyAlignment="1">
      <alignment horizontal="center" vertical="center"/>
    </xf>
    <xf numFmtId="43" fontId="0" fillId="10" borderId="10" xfId="1" applyNumberFormat="1" applyFont="1" applyFill="1" applyBorder="1"/>
    <xf numFmtId="165" fontId="0" fillId="10" borderId="10" xfId="0" applyNumberFormat="1" applyFont="1" applyFill="1" applyBorder="1" applyAlignment="1">
      <alignment horizontal="center" vertical="center"/>
    </xf>
    <xf numFmtId="0" fontId="0" fillId="10" borderId="10" xfId="0" applyFill="1" applyBorder="1"/>
    <xf numFmtId="0" fontId="23" fillId="10" borderId="20" xfId="0" applyFont="1" applyFill="1" applyBorder="1" applyAlignment="1">
      <alignment horizontal="center" vertical="center"/>
    </xf>
    <xf numFmtId="0" fontId="2" fillId="0" borderId="0" xfId="0" applyFont="1" applyAlignment="1">
      <alignment horizontal="left" indent="2"/>
    </xf>
    <xf numFmtId="0" fontId="2" fillId="0" borderId="0" xfId="0" applyFont="1" applyFill="1" applyAlignment="1">
      <alignment horizontal="left"/>
    </xf>
    <xf numFmtId="43" fontId="2" fillId="0" borderId="0" xfId="0" applyNumberFormat="1" applyFont="1" applyFill="1"/>
    <xf numFmtId="165" fontId="2" fillId="0" borderId="0" xfId="0" applyNumberFormat="1" applyFont="1" applyFill="1"/>
    <xf numFmtId="165" fontId="0" fillId="0" borderId="0" xfId="1" applyNumberFormat="1" applyFont="1" applyFill="1"/>
    <xf numFmtId="43" fontId="0" fillId="0" borderId="0" xfId="1" applyNumberFormat="1" applyFont="1" applyFill="1"/>
    <xf numFmtId="43" fontId="2" fillId="2" borderId="10" xfId="1" applyNumberFormat="1" applyFont="1" applyFill="1" applyBorder="1"/>
    <xf numFmtId="43" fontId="2" fillId="2" borderId="12" xfId="1" applyNumberFormat="1" applyFont="1" applyFill="1" applyBorder="1"/>
    <xf numFmtId="43" fontId="2" fillId="8" borderId="10" xfId="1" applyNumberFormat="1" applyFont="1" applyFill="1" applyBorder="1" applyAlignment="1">
      <alignment horizontal="center" vertical="center"/>
    </xf>
    <xf numFmtId="43" fontId="2" fillId="8" borderId="12" xfId="1" applyNumberFormat="1" applyFont="1" applyFill="1" applyBorder="1" applyAlignment="1">
      <alignment horizontal="center" vertical="center"/>
    </xf>
    <xf numFmtId="43" fontId="2" fillId="10" borderId="10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left" indent="1"/>
    </xf>
    <xf numFmtId="0" fontId="0" fillId="0" borderId="10" xfId="0" applyBorder="1" applyAlignment="1">
      <alignment horizontal="left" indent="2"/>
    </xf>
    <xf numFmtId="0" fontId="0" fillId="0" borderId="10" xfId="0" applyBorder="1" applyAlignment="1">
      <alignment horizontal="left" indent="3"/>
    </xf>
    <xf numFmtId="0" fontId="0" fillId="0" borderId="10" xfId="0" applyBorder="1" applyAlignment="1">
      <alignment horizontal="left" indent="4"/>
    </xf>
    <xf numFmtId="0" fontId="0" fillId="0" borderId="25" xfId="0" applyNumberFormat="1" applyBorder="1"/>
    <xf numFmtId="43" fontId="0" fillId="0" borderId="26" xfId="0" applyNumberFormat="1" applyBorder="1"/>
    <xf numFmtId="43" fontId="0" fillId="0" borderId="28" xfId="0" applyNumberFormat="1" applyBorder="1"/>
    <xf numFmtId="43" fontId="0" fillId="0" borderId="29" xfId="0" applyNumberFormat="1" applyBorder="1"/>
    <xf numFmtId="0" fontId="0" fillId="0" borderId="28" xfId="0" applyNumberFormat="1" applyBorder="1"/>
    <xf numFmtId="0" fontId="0" fillId="0" borderId="29" xfId="0" applyNumberFormat="1" applyBorder="1"/>
    <xf numFmtId="43" fontId="0" fillId="0" borderId="31" xfId="0" applyNumberFormat="1" applyBorder="1"/>
    <xf numFmtId="0" fontId="0" fillId="0" borderId="32" xfId="0" applyNumberFormat="1" applyBorder="1"/>
    <xf numFmtId="43" fontId="0" fillId="0" borderId="24" xfId="0" applyNumberFormat="1" applyBorder="1"/>
    <xf numFmtId="43" fontId="0" fillId="0" borderId="27" xfId="0" applyNumberFormat="1" applyBorder="1"/>
    <xf numFmtId="43" fontId="0" fillId="0" borderId="30" xfId="0" applyNumberFormat="1" applyBorder="1"/>
    <xf numFmtId="0" fontId="0" fillId="0" borderId="33" xfId="0" applyBorder="1" applyAlignment="1">
      <alignment horizontal="left" indent="4"/>
    </xf>
    <xf numFmtId="0" fontId="0" fillId="0" borderId="34" xfId="0" applyBorder="1" applyAlignment="1">
      <alignment horizontal="left" indent="4"/>
    </xf>
    <xf numFmtId="0" fontId="0" fillId="0" borderId="35" xfId="0" applyBorder="1" applyAlignment="1">
      <alignment horizontal="left" indent="4"/>
    </xf>
    <xf numFmtId="16" fontId="0" fillId="0" borderId="0" xfId="0" applyNumberFormat="1"/>
    <xf numFmtId="165" fontId="24" fillId="0" borderId="0" xfId="1" applyNumberFormat="1" applyFont="1" applyFill="1"/>
    <xf numFmtId="43" fontId="24" fillId="0" borderId="0" xfId="1" applyNumberFormat="1" applyFont="1" applyFill="1"/>
    <xf numFmtId="2" fontId="0" fillId="0" borderId="0" xfId="0" applyNumberFormat="1"/>
    <xf numFmtId="0" fontId="0" fillId="0" borderId="0" xfId="0" applyFill="1"/>
    <xf numFmtId="0" fontId="0" fillId="9" borderId="0" xfId="0" applyFill="1"/>
    <xf numFmtId="43" fontId="0" fillId="10" borderId="12" xfId="1" applyNumberFormat="1" applyFont="1" applyFill="1" applyBorder="1"/>
    <xf numFmtId="165" fontId="0" fillId="10" borderId="12" xfId="0" applyNumberFormat="1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43" fontId="24" fillId="2" borderId="12" xfId="1" applyNumberFormat="1" applyFont="1" applyFill="1" applyBorder="1"/>
    <xf numFmtId="165" fontId="24" fillId="2" borderId="12" xfId="1" applyNumberFormat="1" applyFont="1" applyFill="1" applyBorder="1" applyAlignment="1">
      <alignment horizontal="center" vertical="center"/>
    </xf>
    <xf numFmtId="0" fontId="24" fillId="2" borderId="12" xfId="0" applyFont="1" applyFill="1" applyBorder="1"/>
    <xf numFmtId="0" fontId="0" fillId="0" borderId="0" xfId="0" applyAlignment="1">
      <alignment horizontal="left" vertical="top"/>
    </xf>
    <xf numFmtId="165" fontId="1" fillId="0" borderId="0" xfId="1" applyNumberFormat="1" applyFont="1" applyFill="1"/>
    <xf numFmtId="0" fontId="0" fillId="9" borderId="0" xfId="0" applyFont="1" applyFill="1"/>
    <xf numFmtId="0" fontId="2" fillId="11" borderId="10" xfId="0" applyFont="1" applyFill="1" applyBorder="1" applyAlignment="1">
      <alignment horizontal="center" vertical="center"/>
    </xf>
    <xf numFmtId="0" fontId="13" fillId="11" borderId="36" xfId="0" applyFont="1" applyFill="1" applyBorder="1" applyAlignment="1">
      <alignment horizontal="center" vertical="center" wrapText="1"/>
    </xf>
    <xf numFmtId="0" fontId="2" fillId="11" borderId="0" xfId="0" applyFont="1" applyFill="1"/>
    <xf numFmtId="0" fontId="0" fillId="11" borderId="10" xfId="0" applyFont="1" applyFill="1" applyBorder="1" applyAlignment="1">
      <alignment horizontal="center" vertical="center"/>
    </xf>
    <xf numFmtId="43" fontId="2" fillId="11" borderId="10" xfId="1" applyNumberFormat="1" applyFont="1" applyFill="1" applyBorder="1" applyAlignment="1">
      <alignment horizontal="center" vertical="center"/>
    </xf>
    <xf numFmtId="43" fontId="0" fillId="11" borderId="10" xfId="1" applyNumberFormat="1" applyFont="1" applyFill="1" applyBorder="1"/>
    <xf numFmtId="165" fontId="0" fillId="11" borderId="10" xfId="0" applyNumberFormat="1" applyFont="1" applyFill="1" applyBorder="1" applyAlignment="1">
      <alignment horizontal="center" vertical="center"/>
    </xf>
    <xf numFmtId="0" fontId="0" fillId="11" borderId="10" xfId="0" applyFont="1" applyFill="1" applyBorder="1"/>
    <xf numFmtId="0" fontId="0" fillId="11" borderId="10" xfId="0" applyFill="1" applyBorder="1"/>
    <xf numFmtId="165" fontId="0" fillId="9" borderId="0" xfId="1" applyNumberFormat="1" applyFont="1" applyFill="1"/>
    <xf numFmtId="43" fontId="0" fillId="9" borderId="0" xfId="1" applyNumberFormat="1" applyFont="1" applyFill="1"/>
    <xf numFmtId="16" fontId="26" fillId="0" borderId="0" xfId="0" applyNumberFormat="1" applyFont="1" applyAlignment="1">
      <alignment vertical="center"/>
    </xf>
    <xf numFmtId="0" fontId="26" fillId="0" borderId="0" xfId="0" applyFont="1"/>
    <xf numFmtId="165" fontId="26" fillId="0" borderId="0" xfId="1" applyNumberFormat="1" applyFont="1"/>
    <xf numFmtId="0" fontId="11" fillId="5" borderId="14" xfId="0" applyFont="1" applyFill="1" applyBorder="1" applyAlignment="1">
      <alignment vertical="center"/>
    </xf>
    <xf numFmtId="0" fontId="6" fillId="10" borderId="12" xfId="0" applyFont="1" applyFill="1" applyBorder="1" applyAlignment="1">
      <alignment horizontal="center" vertical="center"/>
    </xf>
    <xf numFmtId="0" fontId="0" fillId="10" borderId="12" xfId="0" applyFont="1" applyFill="1" applyBorder="1" applyAlignment="1">
      <alignment horizontal="center" vertical="center"/>
    </xf>
    <xf numFmtId="43" fontId="2" fillId="10" borderId="12" xfId="1" applyNumberFormat="1" applyFont="1" applyFill="1" applyBorder="1" applyAlignment="1">
      <alignment horizontal="center" vertical="center"/>
    </xf>
    <xf numFmtId="0" fontId="0" fillId="10" borderId="12" xfId="0" applyFont="1" applyFill="1" applyBorder="1"/>
    <xf numFmtId="0" fontId="0" fillId="10" borderId="12" xfId="0" applyFill="1" applyBorder="1"/>
    <xf numFmtId="0" fontId="6" fillId="10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left" indent="3"/>
    </xf>
    <xf numFmtId="0" fontId="2" fillId="12" borderId="10" xfId="0" applyFont="1" applyFill="1" applyBorder="1" applyAlignment="1">
      <alignment horizontal="center" vertical="center"/>
    </xf>
    <xf numFmtId="0" fontId="0" fillId="12" borderId="10" xfId="0" applyFont="1" applyFill="1" applyBorder="1" applyAlignment="1">
      <alignment horizontal="center" vertical="center"/>
    </xf>
    <xf numFmtId="43" fontId="2" fillId="12" borderId="10" xfId="1" applyNumberFormat="1" applyFont="1" applyFill="1" applyBorder="1" applyAlignment="1">
      <alignment horizontal="center" vertical="center"/>
    </xf>
    <xf numFmtId="43" fontId="0" fillId="12" borderId="10" xfId="1" applyNumberFormat="1" applyFont="1" applyFill="1" applyBorder="1"/>
    <xf numFmtId="165" fontId="0" fillId="12" borderId="10" xfId="0" applyNumberFormat="1" applyFont="1" applyFill="1" applyBorder="1" applyAlignment="1">
      <alignment horizontal="center" vertical="center"/>
    </xf>
    <xf numFmtId="0" fontId="0" fillId="12" borderId="10" xfId="0" applyFont="1" applyFill="1" applyBorder="1"/>
    <xf numFmtId="0" fontId="0" fillId="12" borderId="10" xfId="0" applyFill="1" applyBorder="1"/>
    <xf numFmtId="0" fontId="13" fillId="12" borderId="36" xfId="0" applyFont="1" applyFill="1" applyBorder="1" applyAlignment="1">
      <alignment horizontal="center" vertical="center" wrapText="1"/>
    </xf>
    <xf numFmtId="0" fontId="2" fillId="12" borderId="0" xfId="0" applyFont="1" applyFill="1"/>
    <xf numFmtId="165" fontId="27" fillId="0" borderId="0" xfId="1" applyNumberFormat="1" applyFont="1" applyFill="1"/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4" fontId="3" fillId="0" borderId="4" xfId="0" applyNumberFormat="1" applyFont="1" applyFill="1" applyBorder="1" applyAlignment="1">
      <alignment horizontal="center" vertical="center"/>
    </xf>
    <xf numFmtId="4" fontId="3" fillId="0" borderId="0" xfId="0" applyNumberFormat="1" applyFont="1" applyFill="1" applyBorder="1" applyAlignment="1">
      <alignment horizontal="center" vertical="center"/>
    </xf>
    <xf numFmtId="4" fontId="3" fillId="0" borderId="5" xfId="0" applyNumberFormat="1" applyFont="1" applyFill="1" applyBorder="1" applyAlignment="1">
      <alignment horizontal="center" vertical="center"/>
    </xf>
    <xf numFmtId="4" fontId="3" fillId="0" borderId="6" xfId="0" applyNumberFormat="1" applyFont="1" applyFill="1" applyBorder="1" applyAlignment="1">
      <alignment horizontal="center" vertical="center"/>
    </xf>
    <xf numFmtId="4" fontId="3" fillId="0" borderId="7" xfId="0" applyNumberFormat="1" applyFont="1" applyFill="1" applyBorder="1" applyAlignment="1">
      <alignment horizontal="center" vertical="center"/>
    </xf>
    <xf numFmtId="4" fontId="3" fillId="0" borderId="8" xfId="0" applyNumberFormat="1" applyFont="1" applyFill="1" applyBorder="1" applyAlignment="1">
      <alignment horizontal="center" vertical="center"/>
    </xf>
    <xf numFmtId="0" fontId="12" fillId="6" borderId="21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0" fillId="0" borderId="0" xfId="0" applyNumberFormat="1"/>
    <xf numFmtId="0" fontId="2" fillId="8" borderId="10" xfId="0" applyFont="1" applyFill="1" applyBorder="1" applyAlignment="1">
      <alignment horizontal="center"/>
    </xf>
    <xf numFmtId="0" fontId="20" fillId="8" borderId="20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20" fillId="11" borderId="10" xfId="0" applyFont="1" applyFill="1" applyBorder="1" applyAlignment="1">
      <alignment horizontal="center"/>
    </xf>
    <xf numFmtId="0" fontId="28" fillId="12" borderId="0" xfId="0" applyFont="1" applyFill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5" fillId="2" borderId="12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0" fillId="12" borderId="10" xfId="0" applyFont="1" applyFill="1" applyBorder="1" applyAlignment="1">
      <alignment horizontal="center"/>
    </xf>
    <xf numFmtId="165" fontId="29" fillId="0" borderId="0" xfId="1" applyNumberFormat="1" applyFont="1" applyFill="1"/>
  </cellXfs>
  <cellStyles count="2">
    <cellStyle name="Comma" xfId="1" builtinId="3"/>
    <cellStyle name="Normal" xfId="0" builtinId="0"/>
  </cellStyles>
  <dxfs count="291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166" formatCode="_(* #,##0.0_);_(* \(#,##0.0\);_(* &quot;-&quot;??_);_(@_)"/>
    </dxf>
    <dxf>
      <numFmt numFmtId="165" formatCode="_(* #,##0_);_(* \(#,##0\);_(* &quot;-&quot;??_);_(@_)"/>
    </dxf>
    <dxf>
      <numFmt numFmtId="166" formatCode="_(* #,##0.0_);_(* \(#,##0.0\);_(* &quot;-&quot;??_);_(@_)"/>
    </dxf>
    <dxf>
      <numFmt numFmtId="165" formatCode="_(* #,##0_);_(* \(#,##0\);_(* &quot;-&quot;??_);_(@_)"/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5" formatCode="_(* #,##0.00_);_(* \(#,##0.00\);_(* &quot;-&quot;??_);_(@_)"/>
    </dxf>
    <dxf>
      <numFmt numFmtId="166" formatCode="_(* #,##0.0_);_(* \(#,##0.0\);_(* &quot;-&quot;??_);_(@_)"/>
    </dxf>
    <dxf>
      <numFmt numFmtId="165" formatCode="_(* #,##0_);_(* \(#,##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ont>
        <b/>
      </font>
      <fill>
        <patternFill patternType="solid">
          <fgColor indexed="64"/>
          <bgColor theme="5"/>
        </patternFill>
      </fill>
    </dxf>
    <dxf>
      <font>
        <b/>
      </font>
      <fill>
        <patternFill patternType="solid">
          <fgColor indexed="64"/>
          <bgColor theme="5"/>
        </patternFill>
      </fill>
    </dxf>
    <dxf>
      <font>
        <b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6" formatCode="_(* #,##0.0_);_(* \(#,##0.0\);_(* &quot;-&quot;??_);_(@_)"/>
    </dxf>
    <dxf>
      <numFmt numFmtId="165" formatCode="_(* #,##0_);_(* \(#,##0\);_(* &quot;-&quot;??_);_(@_)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inor"/>
      </font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border outline="0">
        <right style="thin">
          <color indexed="64"/>
        </right>
      </border>
    </dxf>
    <dxf>
      <numFmt numFmtId="0" formatCode="General"/>
    </dxf>
    <dxf>
      <numFmt numFmtId="165" formatCode="_(* #,##0_);_(* \(#,##0\);_(* &quot;-&quot;??_);_(@_)"/>
    </dxf>
    <dxf>
      <border outline="0">
        <top style="thin">
          <color indexed="64"/>
        </top>
      </border>
    </dxf>
    <dxf>
      <border outline="0">
        <bottom style="medium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numFmt numFmtId="165" formatCode="_(* #,##0_);_(* \(#,##0\);_(* &quot;-&quot;??_);_(@_)"/>
    </dxf>
    <dxf>
      <numFmt numFmtId="166" formatCode="_(* #,##0.0_);_(* \(#,##0.0\);_(* &quot;-&quot;??_);_(@_)"/>
    </dxf>
    <dxf>
      <numFmt numFmtId="35" formatCode="_(* #,##0.00_);_(* \(#,##0.00\);_(* &quot;-&quot;??_);_(@_)"/>
    </dxf>
    <dxf>
      <numFmt numFmtId="0" formatCode="General"/>
    </dxf>
    <dxf>
      <numFmt numFmtId="165" formatCode="_(* #,##0_);_(* \(#,##0\);_(* &quot;-&quot;??_);_(@_)"/>
    </dxf>
    <dxf>
      <border outline="0">
        <top style="thin">
          <color indexed="64"/>
        </top>
      </border>
    </dxf>
    <dxf>
      <border outline="0">
        <bottom style="medium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</dxf>
    <dxf>
      <numFmt numFmtId="0" formatCode="General"/>
    </dxf>
    <dxf>
      <numFmt numFmtId="165" formatCode="_(* #,##0_);_(* \(#,##0\);_(* &quot;-&quot;??_);_(@_)"/>
    </dxf>
    <dxf>
      <border outline="0">
        <top style="thin">
          <color indexed="64"/>
        </top>
      </border>
    </dxf>
    <dxf>
      <border outline="0">
        <bottom style="medium">
          <color theme="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/>
      </font>
      <fill>
        <patternFill patternType="solid">
          <fgColor indexed="64"/>
          <bgColor theme="5"/>
        </patternFill>
      </fill>
    </dxf>
    <dxf>
      <font>
        <b/>
      </font>
      <fill>
        <patternFill patternType="solid">
          <fgColor indexed="64"/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_(* #,##0_);_(* \(#,##0\);_(* &quot;-&quot;??_);_(@_)"/>
    </dxf>
    <dxf>
      <numFmt numFmtId="166" formatCode="_(* #,##0.0_);_(* \(#,##0.0\);_(* &quot;-&quot;??_);_(@_)"/>
    </dxf>
    <dxf>
      <numFmt numFmtId="35" formatCode="_(* #,##0.00_);_(* \(#,##0.00\);_(* &quot;-&quot;??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1" formatCode="dd\-mmm"/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 outline="0">
        <top style="thin">
          <color theme="6"/>
        </top>
      </border>
    </dxf>
    <dxf>
      <border outline="0">
        <top style="thin">
          <color indexed="64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border outline="0">
        <bottom style="medium">
          <color theme="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_(* #,##0_);_(* \(#,##0\);_(* &quot;-&quot;??_);_(@_)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21" formatCode="dd\-mmm"/>
      <alignment horizontal="general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</dxf>
    <dxf>
      <numFmt numFmtId="165" formatCode="_(* #,##0_);_(* \(#,##0\);_(* &quot;-&quot;??_);_(@_)"/>
    </dxf>
    <dxf>
      <numFmt numFmtId="166" formatCode="_(* #,##0.0_);_(* \(#,##0.0\);_(* &quot;-&quot;??_);_(@_)"/>
    </dxf>
    <dxf>
      <numFmt numFmtId="165" formatCode="_(* #,##0_);_(* \(#,##0\);_(* &quot;-&quot;??_);_(@_)"/>
    </dxf>
    <dxf>
      <numFmt numFmtId="166" formatCode="_(* #,##0.0_);_(* \(#,##0.0\);_(* &quot;-&quot;??_);_(@_)"/>
    </dxf>
    <dxf>
      <numFmt numFmtId="35" formatCode="_(* #,##0.00_);_(* \(#,##0.0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border diagonalUp="0" diagonalDown="0" outline="0">
        <left style="thin">
          <color auto="1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35" formatCode="_(* #,##0.00_);_(* \(#,##0.00\);_(* &quot;-&quot;??_);_(@_)"/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Zeinab Amir Yahia Gamal" refreshedDate="46232.562507407405" createdVersion="6" refreshedVersion="6" minRefreshableVersion="3" recordCount="4">
  <cacheSource type="worksheet">
    <worksheetSource name="Table8"/>
  </cacheSource>
  <cacheFields count="10">
    <cacheField name="Date" numFmtId="16">
      <sharedItems containsSemiMixedTypes="0" containsNonDate="0" containsDate="1" containsString="0" minDate="2026-07-05T00:00:00" maxDate="2026-07-08T00:00:00"/>
    </cacheField>
    <cacheField name="Receiving Location" numFmtId="0">
      <sharedItems containsBlank="1" count="2">
        <s v="Baghier WH"/>
        <m u="1"/>
      </sharedItems>
    </cacheField>
    <cacheField name="Truck No." numFmtId="0">
      <sharedItems containsSemiMixedTypes="0" containsString="0" containsNumber="1" containsInteger="1" minValue="7595" maxValue="80162"/>
    </cacheField>
    <cacheField name="Bags No. " numFmtId="0">
      <sharedItems containsSemiMixedTypes="0" containsString="0" containsNumber="1" containsInteger="1" minValue="823" maxValue="875"/>
    </cacheField>
    <cacheField name="Weight KG" numFmtId="165">
      <sharedItems containsSemiMixedTypes="0" containsString="0" containsNumber="1" containsInteger="1" minValue="56790" maxValue="63890"/>
    </cacheField>
    <cacheField name="Weight MT" numFmtId="0">
      <sharedItems containsSemiMixedTypes="0" containsString="0" containsNumber="1" minValue="56.79" maxValue="63.89"/>
    </cacheField>
    <cacheField name="Commodity Code" numFmtId="0">
      <sharedItems containsSemiMixedTypes="0" containsString="0" containsNumber="1" containsInteger="1" minValue="1000000033" maxValue="1000000033"/>
    </cacheField>
    <cacheField name="Supplier Name" numFmtId="0">
      <sharedItems/>
    </cacheField>
    <cacheField name="PO#" numFmtId="0">
      <sharedItems containsSemiMixedTypes="0" containsString="0" containsNumber="1" containsInteger="1" minValue="4500006403" maxValue="4500006403" count="1">
        <n v="4500006403"/>
      </sharedItems>
    </cacheField>
    <cacheField name="Commod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Zeinab Amir Yahia Gamal" refreshedDate="46232.56250763889" createdVersion="6" refreshedVersion="6" minRefreshableVersion="3" recordCount="7">
  <cacheSource type="worksheet">
    <worksheetSource name="Table7"/>
  </cacheSource>
  <cacheFields count="12">
    <cacheField name="Date" numFmtId="16">
      <sharedItems containsSemiMixedTypes="0" containsNonDate="0" containsDate="1" containsString="0" minDate="2026-04-26T00:00:00" maxDate="2026-05-04T00:00:00"/>
    </cacheField>
    <cacheField name="Receiving Location" numFmtId="0">
      <sharedItems containsBlank="1" count="2">
        <s v="Balaji Sifter"/>
        <m u="1"/>
      </sharedItems>
    </cacheField>
    <cacheField name="Truck No." numFmtId="0">
      <sharedItems containsSemiMixedTypes="0" containsString="0" containsNumber="1" containsInteger="1" minValue="29190" maxValue="274922"/>
    </cacheField>
    <cacheField name="Jute Bags " numFmtId="0">
      <sharedItems containsString="0" containsBlank="1" containsNumber="1" containsInteger="1" minValue="20" maxValue="60"/>
    </cacheField>
    <cacheField name="BP Bags" numFmtId="0">
      <sharedItems containsString="0" containsBlank="1" containsNumber="1" containsInteger="1" minValue="2" maxValue="519"/>
    </cacheField>
    <cacheField name="SP Bags" numFmtId="0">
      <sharedItems containsString="0" containsBlank="1" containsNumber="1" containsInteger="1" minValue="165" maxValue="1027"/>
    </cacheField>
    <cacheField name="Weight KG" numFmtId="165">
      <sharedItems containsSemiMixedTypes="0" containsString="0" containsNumber="1" containsInteger="1" minValue="45380" maxValue="49080"/>
    </cacheField>
    <cacheField name="Weight MT" numFmtId="0">
      <sharedItems containsSemiMixedTypes="0" containsString="0" containsNumber="1" minValue="45.38" maxValue="49.08"/>
    </cacheField>
    <cacheField name="Commodity Code" numFmtId="0">
      <sharedItems containsSemiMixedTypes="0" containsString="0" containsNumber="1" containsInteger="1" minValue="1000000041" maxValue="1000000041"/>
    </cacheField>
    <cacheField name="Supplier Name" numFmtId="0">
      <sharedItems containsBlank="1" count="2">
        <s v="Abdallah Abdealziz"/>
        <m u="1"/>
      </sharedItems>
    </cacheField>
    <cacheField name="PO#" numFmtId="0">
      <sharedItems containsSemiMixedTypes="0" containsString="0" containsNumber="1" containsInteger="1" minValue="4500002362" maxValue="4500002362" count="1">
        <n v="4500002362"/>
      </sharedItems>
    </cacheField>
    <cacheField name="Commod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Zeinab Amir Yahia Gamal" refreshedDate="46232.562507870367" createdVersion="6" refreshedVersion="6" minRefreshableVersion="3" recordCount="84">
  <cacheSource type="worksheet">
    <worksheetSource name="Table6"/>
  </cacheSource>
  <cacheFields count="12">
    <cacheField name="Date" numFmtId="16">
      <sharedItems containsSemiMixedTypes="0" containsNonDate="0" containsDate="1" containsString="0" minDate="2026-04-04T00:00:00" maxDate="2026-07-29T00:00:00"/>
    </cacheField>
    <cacheField name="Receiving Location" numFmtId="0">
      <sharedItems count="15">
        <s v="PZU WH-A013"/>
        <s v="NH-Agent WH"/>
        <s v="WH A020" u="1"/>
        <s v="WH A021" u="1"/>
        <s v="WH A022" u="1"/>
        <s v="WH A013" u="1"/>
        <s v="WH A023" u="1"/>
        <s v="WH A014" u="1"/>
        <s v="WH A024" u="1"/>
        <s v="WH A015" u="1"/>
        <s v="WH A025" u="1"/>
        <s v="WH A016" u="1"/>
        <s v="WH A017" u="1"/>
        <s v="WH A018" u="1"/>
        <s v="WH A019" u="1"/>
      </sharedItems>
    </cacheField>
    <cacheField name="Truck No." numFmtId="0">
      <sharedItems containsSemiMixedTypes="0" containsString="0" containsNumber="1" containsInteger="1" minValue="452" maxValue="100109"/>
    </cacheField>
    <cacheField name=" Bags" numFmtId="165">
      <sharedItems containsSemiMixedTypes="0" containsString="0" containsNumber="1" containsInteger="1" minValue="998" maxValue="1100"/>
    </cacheField>
    <cacheField name="Gross Weight MT" numFmtId="0">
      <sharedItems containsSemiMixedTypes="0" containsString="0" containsNumber="1" minValue="48.78" maxValue="55"/>
    </cacheField>
    <cacheField name="Gross Weight KG" numFmtId="0">
      <sharedItems containsSemiMixedTypes="0" containsString="0" containsNumber="1" containsInteger="1" minValue="48780" maxValue="55000"/>
    </cacheField>
    <cacheField name="Net Weight KG" numFmtId="165">
      <sharedItems containsSemiMixedTypes="0" containsString="0" containsNumber="1" minValue="48680" maxValue="54890"/>
    </cacheField>
    <cacheField name="Net Weight MT" numFmtId="43">
      <sharedItems containsSemiMixedTypes="0" containsString="0" containsNumber="1" minValue="48.68" maxValue="54.89"/>
    </cacheField>
    <cacheField name="Commodity" numFmtId="0">
      <sharedItems/>
    </cacheField>
    <cacheField name="Commodity Code" numFmtId="0">
      <sharedItems containsSemiMixedTypes="0" containsString="0" containsNumber="1" containsInteger="1" minValue="1000000035" maxValue="4000000059" count="2">
        <n v="4000000059"/>
        <n v="1000000035"/>
      </sharedItems>
    </cacheField>
    <cacheField name="Supplier Name" numFmtId="0">
      <sharedItems count="7">
        <s v="Abdallah Abdealziz"/>
        <s v="Magdi Gournas"/>
        <s v="Mohd Karmallah"/>
        <s v="" u="1"/>
        <s v="Abdalla Abdelaziz" u="1"/>
        <s v="abdallah Abdalaziz" u="1"/>
        <s v="Magdi gurnas" u="1"/>
      </sharedItems>
    </cacheField>
    <cacheField name="PO#" numFmtId="0">
      <sharedItems containsSemiMixedTypes="0" containsString="0" containsNumber="1" containsInteger="1" minValue="4500001484" maxValue="4500005939" count="6">
        <n v="4500001484"/>
        <n v="4500001654"/>
        <n v="4500001652"/>
        <n v="4500002146"/>
        <n v="4500005740"/>
        <n v="450000593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Zeinab Amir Yahia Gamal" refreshedDate="46232.562508101852" createdVersion="6" refreshedVersion="6" minRefreshableVersion="3" recordCount="199">
  <cacheSource type="worksheet">
    <worksheetSource name="Table3"/>
  </cacheSource>
  <cacheFields count="12">
    <cacheField name="Date" numFmtId="16">
      <sharedItems containsSemiMixedTypes="0" containsNonDate="0" containsDate="1" containsString="0" minDate="2025-12-10T00:00:00" maxDate="2026-05-13T00:00:00"/>
    </cacheField>
    <cacheField name="Receiving Location" numFmtId="0">
      <sharedItems count="4">
        <s v="Gadarif WH-AG"/>
        <s v="Organica Sifter"/>
        <s v="Gadarif WH"/>
        <s v="Balaji Sifter"/>
      </sharedItems>
    </cacheField>
    <cacheField name="Truck No." numFmtId="0">
      <sharedItems containsSemiMixedTypes="0" containsString="0" containsNumber="1" containsInteger="1" minValue="60" maxValue="80762"/>
    </cacheField>
    <cacheField name="Jute Bags " numFmtId="0">
      <sharedItems containsSemiMixedTypes="0" containsString="0" containsNumber="1" containsInteger="1" minValue="10" maxValue="550"/>
    </cacheField>
    <cacheField name="BP Bags" numFmtId="0">
      <sharedItems containsNonDate="0" containsString="0" containsBlank="1"/>
    </cacheField>
    <cacheField name="SP Bags" numFmtId="0">
      <sharedItems containsNonDate="0" containsString="0" containsBlank="1"/>
    </cacheField>
    <cacheField name="Weight MT" numFmtId="0">
      <sharedItems containsSemiMixedTypes="0" containsString="0" containsNumber="1" minValue="0.9" maxValue="53.02"/>
    </cacheField>
    <cacheField name="Weight KG" numFmtId="165">
      <sharedItems containsSemiMixedTypes="0" containsString="0" containsNumber="1" minValue="90" maxValue="46300"/>
    </cacheField>
    <cacheField name="Commodity Code" numFmtId="0">
      <sharedItems containsMixedTypes="1" containsNumber="1" containsInteger="1" minValue="1000000040" maxValue="1000000040"/>
    </cacheField>
    <cacheField name="Supplier Name" numFmtId="0">
      <sharedItems/>
    </cacheField>
    <cacheField name="PO#" numFmtId="0">
      <sharedItems containsSemiMixedTypes="0" containsString="0" containsNumber="1" containsInteger="1" minValue="1763" maxValue="4500001655" count="4">
        <n v="1763"/>
        <n v="4500000384"/>
        <n v="4500001491"/>
        <n v="4500001655"/>
      </sharedItems>
    </cacheField>
    <cacheField name="Grade" numFmtId="0">
      <sharedItems count="1">
        <s v="Above Medium Qualit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Zeinab Amir Yahia Gamal" refreshedDate="46232.562508333336" createdVersion="6" refreshedVersion="6" minRefreshableVersion="3" recordCount="166">
  <cacheSource type="worksheet">
    <worksheetSource name="Table5"/>
  </cacheSource>
  <cacheFields count="11">
    <cacheField name="Date" numFmtId="16">
      <sharedItems containsSemiMixedTypes="0" containsNonDate="0" containsDate="1" containsString="0" minDate="2026-01-12T00:00:00" maxDate="2026-02-17T00:00:00" count="11">
        <d v="2026-01-12T00:00:00"/>
        <d v="2026-01-13T00:00:00"/>
        <d v="2026-01-19T00:00:00"/>
        <d v="2026-01-21T00:00:00"/>
        <d v="2026-02-05T00:00:00"/>
        <d v="2026-02-10T00:00:00"/>
        <d v="2026-02-11T00:00:00"/>
        <d v="2026-02-12T00:00:00"/>
        <d v="2026-02-14T00:00:00"/>
        <d v="2026-02-15T00:00:00"/>
        <d v="2026-02-16T00:00:00"/>
      </sharedItems>
      <fieldGroup par="10" base="0">
        <rangePr groupBy="days" startDate="2026-01-12T00:00:00" endDate="2026-02-17T00:00:00"/>
        <groupItems count="368">
          <s v="&lt;12/01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7/02/2026"/>
        </groupItems>
      </fieldGroup>
    </cacheField>
    <cacheField name="Receiving Location" numFmtId="0">
      <sharedItems count="3">
        <s v="Concrete Silo"/>
        <s v="Five Stars Sifter"/>
        <s v="Five Stars" u="1"/>
      </sharedItems>
    </cacheField>
    <cacheField name="Truck No." numFmtId="0">
      <sharedItems containsString="0" containsBlank="1" containsNumber="1" containsInteger="1" minValue="40" maxValue="91760"/>
    </cacheField>
    <cacheField name="Jute Bags/Bulk" numFmtId="0">
      <sharedItems containsBlank="1" containsMixedTypes="1" containsNumber="1" containsInteger="1" minValue="46" maxValue="450"/>
    </cacheField>
    <cacheField name="Weight MT" numFmtId="43">
      <sharedItems containsSemiMixedTypes="0" containsString="0" containsNumber="1" minValue="4.84" maxValue="2922.61"/>
    </cacheField>
    <cacheField name="Weight KG" numFmtId="0">
      <sharedItems containsSemiMixedTypes="0" containsString="0" containsNumber="1" containsInteger="1" minValue="4840" maxValue="2922610"/>
    </cacheField>
    <cacheField name="Commodity" numFmtId="165">
      <sharedItems count="2">
        <s v="Sorghum-RM"/>
        <s v="Sorghum-FG"/>
      </sharedItems>
    </cacheField>
    <cacheField name="Commodity Code" numFmtId="0">
      <sharedItems containsSemiMixedTypes="0" containsString="0" containsNumber="1" containsInteger="1" minValue="1000000037" maxValue="4000000232"/>
    </cacheField>
    <cacheField name="Supplier Name" numFmtId="0">
      <sharedItems/>
    </cacheField>
    <cacheField name="PO#" numFmtId="0">
      <sharedItems containsSemiMixedTypes="0" containsString="0" containsNumber="1" containsInteger="1" minValue="4500000001" maxValue="4500000567" count="4">
        <n v="4500000001"/>
        <n v="4500000294"/>
        <n v="4500000293"/>
        <n v="4500000567"/>
      </sharedItems>
    </cacheField>
    <cacheField name="Months" numFmtId="0" databaseField="0">
      <fieldGroup base="0">
        <rangePr groupBy="months" startDate="2026-01-12T00:00:00" endDate="2026-02-17T00:00:00"/>
        <groupItems count="14">
          <s v="&lt;12/0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7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d v="2026-07-05T00:00:00"/>
    <x v="0"/>
    <n v="23561"/>
    <n v="856"/>
    <n v="61250"/>
    <n v="61.25"/>
    <n v="1000000033"/>
    <s v="Abdallah Abdealziz"/>
    <x v="0"/>
    <s v="Gum Arabic Talha-RM"/>
  </r>
  <r>
    <d v="2026-07-06T00:00:00"/>
    <x v="0"/>
    <n v="80162"/>
    <n v="875"/>
    <n v="63890"/>
    <n v="63.89"/>
    <n v="1000000033"/>
    <s v="Abdallah Abdealziz"/>
    <x v="0"/>
    <s v="Gum Arabic Talha-RM"/>
  </r>
  <r>
    <d v="2026-07-06T00:00:00"/>
    <x v="0"/>
    <n v="8478"/>
    <n v="823"/>
    <n v="56790"/>
    <n v="56.79"/>
    <n v="1000000033"/>
    <s v="Abdallah Abdealziz"/>
    <x v="0"/>
    <s v="Gum Arabic Talha-RM"/>
  </r>
  <r>
    <d v="2026-07-07T00:00:00"/>
    <x v="0"/>
    <n v="7595"/>
    <n v="866"/>
    <n v="63317"/>
    <n v="63.317"/>
    <n v="1000000033"/>
    <s v="Abdallah Abdealziz"/>
    <x v="0"/>
    <s v="Gum Arabic Talha-R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">
  <r>
    <d v="2026-04-26T00:00:00"/>
    <x v="0"/>
    <n v="33088"/>
    <n v="31"/>
    <n v="519"/>
    <m/>
    <n v="49080"/>
    <n v="49.08"/>
    <n v="1000000041"/>
    <x v="0"/>
    <x v="0"/>
    <s v="WSNG-Eastern"/>
  </r>
  <r>
    <d v="2026-04-26T00:00:00"/>
    <x v="0"/>
    <n v="33079"/>
    <n v="60"/>
    <n v="490"/>
    <m/>
    <n v="48940"/>
    <n v="48.94"/>
    <n v="1000000041"/>
    <x v="0"/>
    <x v="0"/>
    <s v="WSNG-Eastern"/>
  </r>
  <r>
    <d v="2026-04-26T00:00:00"/>
    <x v="0"/>
    <n v="33085"/>
    <n v="20"/>
    <n v="420"/>
    <n v="165"/>
    <n v="46920"/>
    <n v="46.92"/>
    <n v="1000000041"/>
    <x v="0"/>
    <x v="0"/>
    <s v="WSNG-Eastern"/>
  </r>
  <r>
    <d v="2026-04-29T00:00:00"/>
    <x v="0"/>
    <n v="34015"/>
    <m/>
    <m/>
    <n v="1027"/>
    <n v="48660"/>
    <n v="48.66"/>
    <n v="1000000041"/>
    <x v="0"/>
    <x v="0"/>
    <s v="WSNG-Eastern"/>
  </r>
  <r>
    <d v="2026-05-03T00:00:00"/>
    <x v="0"/>
    <n v="32441"/>
    <m/>
    <m/>
    <n v="951"/>
    <n v="46900"/>
    <n v="46.9"/>
    <n v="1000000041"/>
    <x v="0"/>
    <x v="0"/>
    <s v="WSNG-Eastern"/>
  </r>
  <r>
    <d v="2026-05-03T00:00:00"/>
    <x v="0"/>
    <n v="29190"/>
    <m/>
    <n v="2"/>
    <n v="892"/>
    <n v="47960"/>
    <n v="47.96"/>
    <n v="1000000041"/>
    <x v="0"/>
    <x v="0"/>
    <s v="WSNG-Eastern"/>
  </r>
  <r>
    <d v="2026-05-03T00:00:00"/>
    <x v="0"/>
    <n v="274922"/>
    <m/>
    <m/>
    <n v="951"/>
    <n v="45380"/>
    <n v="45.38"/>
    <n v="1000000041"/>
    <x v="0"/>
    <x v="0"/>
    <s v="WSNG-Eastern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84">
  <r>
    <d v="2026-04-04T00:00:00"/>
    <x v="0"/>
    <n v="14663"/>
    <n v="1049"/>
    <n v="51.76"/>
    <n v="51760"/>
    <n v="51655.1"/>
    <n v="51.655099999999997"/>
    <s v="Pigeon Peas FG"/>
    <x v="0"/>
    <x v="0"/>
    <x v="0"/>
  </r>
  <r>
    <d v="2026-04-04T00:00:00"/>
    <x v="0"/>
    <n v="9158"/>
    <n v="1050"/>
    <n v="52.5"/>
    <n v="52500"/>
    <n v="52395"/>
    <n v="52.395000000000003"/>
    <s v="Pigeon Peas FG"/>
    <x v="0"/>
    <x v="0"/>
    <x v="0"/>
  </r>
  <r>
    <d v="2026-04-06T00:00:00"/>
    <x v="0"/>
    <n v="34379"/>
    <n v="1050"/>
    <n v="52.56"/>
    <n v="52560"/>
    <n v="52455"/>
    <n v="52.454999999999998"/>
    <s v="Pigeon Peas FG"/>
    <x v="0"/>
    <x v="0"/>
    <x v="0"/>
  </r>
  <r>
    <d v="2026-04-06T00:00:00"/>
    <x v="0"/>
    <n v="33083"/>
    <n v="1050"/>
    <n v="52.7"/>
    <n v="52700"/>
    <n v="52595"/>
    <n v="52.594999999999999"/>
    <s v="Pigeon Peas FG"/>
    <x v="0"/>
    <x v="0"/>
    <x v="0"/>
  </r>
  <r>
    <d v="2026-04-06T00:00:00"/>
    <x v="0"/>
    <n v="23825"/>
    <n v="1050"/>
    <n v="52.52"/>
    <n v="52520"/>
    <n v="52415"/>
    <n v="52.414999999999999"/>
    <s v="Pigeon Peas FG"/>
    <x v="0"/>
    <x v="0"/>
    <x v="0"/>
  </r>
  <r>
    <d v="2026-04-09T00:00:00"/>
    <x v="0"/>
    <n v="23831"/>
    <n v="1047"/>
    <n v="52.1"/>
    <n v="52100"/>
    <n v="51995.3"/>
    <n v="51.9953"/>
    <s v="Pigeon Peas FG"/>
    <x v="0"/>
    <x v="0"/>
    <x v="0"/>
  </r>
  <r>
    <d v="2026-04-09T00:00:00"/>
    <x v="0"/>
    <n v="18118"/>
    <n v="1000"/>
    <n v="49.68"/>
    <n v="49680"/>
    <n v="49580"/>
    <n v="49.58"/>
    <s v="Pigeon Peas FG"/>
    <x v="0"/>
    <x v="0"/>
    <x v="1"/>
  </r>
  <r>
    <d v="2026-04-09T00:00:00"/>
    <x v="0"/>
    <n v="17575"/>
    <n v="1000"/>
    <n v="49.8"/>
    <n v="49800"/>
    <n v="49700"/>
    <n v="49.7"/>
    <s v="Pigeon Peas FG"/>
    <x v="0"/>
    <x v="0"/>
    <x v="1"/>
  </r>
  <r>
    <d v="2026-04-10T00:00:00"/>
    <x v="0"/>
    <n v="14537"/>
    <n v="1000"/>
    <n v="50.02"/>
    <n v="50020"/>
    <n v="49920"/>
    <n v="49.92"/>
    <s v="Pigeon Peas FG"/>
    <x v="0"/>
    <x v="0"/>
    <x v="1"/>
  </r>
  <r>
    <d v="2026-04-10T00:00:00"/>
    <x v="0"/>
    <n v="35808"/>
    <n v="1000"/>
    <n v="49.92"/>
    <n v="49920"/>
    <n v="49820"/>
    <n v="49.82"/>
    <s v="Pigeon Peas FG"/>
    <x v="0"/>
    <x v="0"/>
    <x v="1"/>
  </r>
  <r>
    <d v="2026-04-10T00:00:00"/>
    <x v="0"/>
    <n v="23317"/>
    <n v="1000"/>
    <n v="49.62"/>
    <n v="49620"/>
    <n v="49520"/>
    <n v="49.52"/>
    <s v="Pigeon Peas FG"/>
    <x v="0"/>
    <x v="0"/>
    <x v="1"/>
  </r>
  <r>
    <d v="2026-04-12T00:00:00"/>
    <x v="0"/>
    <n v="21385"/>
    <n v="1050"/>
    <n v="52.4"/>
    <n v="52400"/>
    <n v="52295"/>
    <n v="52.295000000000002"/>
    <s v="Pigeon Peas FG"/>
    <x v="0"/>
    <x v="0"/>
    <x v="0"/>
  </r>
  <r>
    <d v="2026-04-18T00:00:00"/>
    <x v="0"/>
    <n v="10335"/>
    <n v="1000"/>
    <n v="49.72"/>
    <n v="49720"/>
    <n v="49620"/>
    <n v="49.62"/>
    <s v="Pigeon Peas FG"/>
    <x v="0"/>
    <x v="1"/>
    <x v="2"/>
  </r>
  <r>
    <d v="2026-04-20T00:00:00"/>
    <x v="0"/>
    <n v="452"/>
    <n v="1050"/>
    <n v="52.52"/>
    <n v="52520"/>
    <n v="52415"/>
    <n v="52.414999999999999"/>
    <s v="Pigeon Peas FG"/>
    <x v="0"/>
    <x v="0"/>
    <x v="0"/>
  </r>
  <r>
    <d v="2026-04-20T00:00:00"/>
    <x v="0"/>
    <n v="13825"/>
    <n v="1000"/>
    <n v="49.16"/>
    <n v="49160"/>
    <n v="49060"/>
    <n v="49.06"/>
    <s v="Pigeon Peas FG"/>
    <x v="0"/>
    <x v="0"/>
    <x v="1"/>
  </r>
  <r>
    <d v="2026-04-20T00:00:00"/>
    <x v="0"/>
    <n v="14541"/>
    <n v="1000"/>
    <n v="49.46"/>
    <n v="49460"/>
    <n v="49360"/>
    <n v="49.36"/>
    <s v="Pigeon Peas FG"/>
    <x v="0"/>
    <x v="0"/>
    <x v="1"/>
  </r>
  <r>
    <d v="2026-04-20T00:00:00"/>
    <x v="0"/>
    <n v="14543"/>
    <n v="1000"/>
    <n v="49.48"/>
    <n v="49480"/>
    <n v="49380"/>
    <n v="49.38"/>
    <s v="Pigeon Peas FG"/>
    <x v="0"/>
    <x v="0"/>
    <x v="1"/>
  </r>
  <r>
    <d v="2026-04-20T00:00:00"/>
    <x v="0"/>
    <n v="9511"/>
    <n v="1000"/>
    <n v="49.88"/>
    <n v="49880"/>
    <n v="49780"/>
    <n v="49.78"/>
    <s v="Pigeon Peas FG"/>
    <x v="0"/>
    <x v="2"/>
    <x v="3"/>
  </r>
  <r>
    <d v="2026-04-20T00:00:00"/>
    <x v="0"/>
    <n v="100109"/>
    <n v="1000"/>
    <n v="50"/>
    <n v="50000"/>
    <n v="49900"/>
    <n v="49.9"/>
    <s v="Pigeon Peas FG"/>
    <x v="0"/>
    <x v="2"/>
    <x v="3"/>
  </r>
  <r>
    <d v="2026-04-21T00:00:00"/>
    <x v="0"/>
    <n v="17581"/>
    <n v="1000"/>
    <n v="49.48"/>
    <n v="49480"/>
    <n v="49380"/>
    <n v="49.38"/>
    <s v="Pigeon Peas FG"/>
    <x v="0"/>
    <x v="0"/>
    <x v="1"/>
  </r>
  <r>
    <d v="2026-04-21T00:00:00"/>
    <x v="0"/>
    <n v="9302"/>
    <n v="1000"/>
    <n v="50.24"/>
    <n v="50240"/>
    <n v="50140"/>
    <n v="50.14"/>
    <s v="Pigeon Peas FG"/>
    <x v="0"/>
    <x v="1"/>
    <x v="2"/>
  </r>
  <r>
    <d v="2026-04-21T00:00:00"/>
    <x v="0"/>
    <n v="17577"/>
    <n v="1000"/>
    <n v="49.74"/>
    <n v="49740"/>
    <n v="49640"/>
    <n v="49.64"/>
    <s v="Pigeon Peas FG"/>
    <x v="0"/>
    <x v="0"/>
    <x v="1"/>
  </r>
  <r>
    <d v="2026-04-22T00:00:00"/>
    <x v="0"/>
    <n v="25824"/>
    <n v="1053"/>
    <n v="52.96"/>
    <n v="52960"/>
    <n v="52854.7"/>
    <n v="52.854699999999994"/>
    <s v="Pigeon Peas FG"/>
    <x v="0"/>
    <x v="0"/>
    <x v="0"/>
  </r>
  <r>
    <d v="2026-04-22T00:00:00"/>
    <x v="0"/>
    <n v="36280"/>
    <n v="1000"/>
    <n v="49.82"/>
    <n v="49820"/>
    <n v="49720"/>
    <n v="49.72"/>
    <s v="Pigeon Peas FG"/>
    <x v="0"/>
    <x v="1"/>
    <x v="2"/>
  </r>
  <r>
    <d v="2026-04-22T00:00:00"/>
    <x v="0"/>
    <n v="11245"/>
    <n v="1000"/>
    <n v="49.82"/>
    <n v="49820"/>
    <n v="49720"/>
    <n v="49.72"/>
    <s v="Pigeon Peas FG"/>
    <x v="0"/>
    <x v="2"/>
    <x v="3"/>
  </r>
  <r>
    <d v="2026-04-23T00:00:00"/>
    <x v="0"/>
    <n v="35804"/>
    <n v="1000"/>
    <n v="50"/>
    <n v="50000"/>
    <n v="49900"/>
    <n v="49.9"/>
    <s v="Pigeon Peas FG"/>
    <x v="0"/>
    <x v="2"/>
    <x v="3"/>
  </r>
  <r>
    <d v="2026-04-23T00:00:00"/>
    <x v="0"/>
    <n v="18216"/>
    <n v="1000"/>
    <n v="48.78"/>
    <n v="48780"/>
    <n v="48680"/>
    <n v="48.68"/>
    <s v="Pigeon Peas FG"/>
    <x v="0"/>
    <x v="1"/>
    <x v="2"/>
  </r>
  <r>
    <d v="2026-04-23T00:00:00"/>
    <x v="0"/>
    <n v="14661"/>
    <n v="1050"/>
    <n v="52.4"/>
    <n v="52400"/>
    <n v="52295"/>
    <n v="52.295000000000002"/>
    <s v="Pigeon Peas FG"/>
    <x v="0"/>
    <x v="0"/>
    <x v="0"/>
  </r>
  <r>
    <d v="2026-04-23T00:00:00"/>
    <x v="0"/>
    <n v="20751"/>
    <n v="1000"/>
    <n v="49.48"/>
    <n v="49480"/>
    <n v="49380"/>
    <n v="49.38"/>
    <s v="Pigeon Peas FG"/>
    <x v="0"/>
    <x v="1"/>
    <x v="2"/>
  </r>
  <r>
    <d v="2026-04-23T00:00:00"/>
    <x v="0"/>
    <n v="9307"/>
    <n v="1000"/>
    <n v="50.42"/>
    <n v="50420"/>
    <n v="50320"/>
    <n v="50.32"/>
    <s v="Pigeon Peas FG"/>
    <x v="0"/>
    <x v="1"/>
    <x v="2"/>
  </r>
  <r>
    <d v="2026-04-25T00:00:00"/>
    <x v="0"/>
    <n v="9297"/>
    <n v="1000"/>
    <n v="50.3"/>
    <n v="50300"/>
    <n v="50200"/>
    <n v="50.2"/>
    <s v="Pigeon Peas FG"/>
    <x v="0"/>
    <x v="1"/>
    <x v="2"/>
  </r>
  <r>
    <d v="2026-04-25T00:00:00"/>
    <x v="0"/>
    <n v="13830"/>
    <n v="1000"/>
    <n v="49.52"/>
    <n v="49520"/>
    <n v="49420"/>
    <n v="49.42"/>
    <s v="Pigeon Peas FG"/>
    <x v="0"/>
    <x v="0"/>
    <x v="1"/>
  </r>
  <r>
    <d v="2026-04-25T00:00:00"/>
    <x v="0"/>
    <n v="11487"/>
    <n v="1000"/>
    <n v="49.46"/>
    <n v="49460"/>
    <n v="49360"/>
    <n v="49.36"/>
    <s v="Pigeon Peas FG"/>
    <x v="0"/>
    <x v="0"/>
    <x v="1"/>
  </r>
  <r>
    <d v="2026-04-25T00:00:00"/>
    <x v="0"/>
    <n v="13822"/>
    <n v="1000"/>
    <n v="49.98"/>
    <n v="49980"/>
    <n v="49880"/>
    <n v="49.88"/>
    <s v="Pigeon Peas FG"/>
    <x v="0"/>
    <x v="0"/>
    <x v="1"/>
  </r>
  <r>
    <d v="2026-04-25T00:00:00"/>
    <x v="0"/>
    <n v="10598"/>
    <n v="1000"/>
    <n v="49.66"/>
    <n v="49660"/>
    <n v="49560"/>
    <n v="49.56"/>
    <s v="Pigeon Peas FG"/>
    <x v="0"/>
    <x v="1"/>
    <x v="2"/>
  </r>
  <r>
    <d v="2026-04-25T00:00:00"/>
    <x v="0"/>
    <n v="10741"/>
    <n v="1000"/>
    <n v="50.18"/>
    <n v="50180"/>
    <n v="50080"/>
    <n v="50.08"/>
    <s v="Pigeon Peas FG"/>
    <x v="0"/>
    <x v="1"/>
    <x v="2"/>
  </r>
  <r>
    <d v="2026-04-25T00:00:00"/>
    <x v="0"/>
    <n v="10739"/>
    <n v="1000"/>
    <n v="49.94"/>
    <n v="49940"/>
    <n v="49840"/>
    <n v="49.84"/>
    <s v="Pigeon Peas FG"/>
    <x v="0"/>
    <x v="1"/>
    <x v="2"/>
  </r>
  <r>
    <d v="2026-04-26T00:00:00"/>
    <x v="0"/>
    <n v="15475"/>
    <n v="1000"/>
    <n v="49.36"/>
    <n v="49360"/>
    <n v="49260"/>
    <n v="49.26"/>
    <s v="Pigeon Peas FG"/>
    <x v="0"/>
    <x v="0"/>
    <x v="1"/>
  </r>
  <r>
    <d v="2026-04-26T00:00:00"/>
    <x v="0"/>
    <n v="12151"/>
    <n v="1000"/>
    <n v="50.04"/>
    <n v="50040"/>
    <n v="49940"/>
    <n v="49.94"/>
    <s v="Pigeon Peas FG"/>
    <x v="0"/>
    <x v="0"/>
    <x v="1"/>
  </r>
  <r>
    <d v="2026-04-26T00:00:00"/>
    <x v="0"/>
    <n v="18105"/>
    <n v="1000"/>
    <n v="49.28"/>
    <n v="49280"/>
    <n v="49180"/>
    <n v="49.18"/>
    <s v="Pigeon Peas FG"/>
    <x v="0"/>
    <x v="0"/>
    <x v="1"/>
  </r>
  <r>
    <d v="2026-04-26T00:00:00"/>
    <x v="0"/>
    <n v="18114"/>
    <n v="1000"/>
    <n v="49.42"/>
    <n v="49420"/>
    <n v="49320"/>
    <n v="49.32"/>
    <s v="Pigeon Peas FG"/>
    <x v="0"/>
    <x v="0"/>
    <x v="1"/>
  </r>
  <r>
    <d v="2026-04-27T00:00:00"/>
    <x v="0"/>
    <n v="17580"/>
    <n v="1000"/>
    <n v="49.54"/>
    <n v="49540"/>
    <n v="49440"/>
    <n v="49.44"/>
    <s v="Pigeon Peas FG"/>
    <x v="0"/>
    <x v="0"/>
    <x v="1"/>
  </r>
  <r>
    <d v="2026-04-28T00:00:00"/>
    <x v="0"/>
    <n v="11253"/>
    <n v="1000"/>
    <n v="49.72"/>
    <n v="49720"/>
    <n v="49620"/>
    <n v="49.62"/>
    <s v="Pigeon Peas FG"/>
    <x v="0"/>
    <x v="0"/>
    <x v="1"/>
  </r>
  <r>
    <d v="2026-04-28T00:00:00"/>
    <x v="0"/>
    <n v="11252"/>
    <n v="1000"/>
    <n v="49.64"/>
    <n v="49640"/>
    <n v="49540"/>
    <n v="49.54"/>
    <s v="Pigeon Peas FG"/>
    <x v="0"/>
    <x v="0"/>
    <x v="1"/>
  </r>
  <r>
    <d v="2026-04-28T00:00:00"/>
    <x v="0"/>
    <n v="10192"/>
    <n v="1000"/>
    <n v="50.04"/>
    <n v="50040"/>
    <n v="49940"/>
    <n v="49.94"/>
    <s v="Pigeon Peas FG"/>
    <x v="0"/>
    <x v="1"/>
    <x v="2"/>
  </r>
  <r>
    <d v="2026-05-10T00:00:00"/>
    <x v="0"/>
    <n v="17579"/>
    <n v="1000"/>
    <n v="49.74"/>
    <n v="49740"/>
    <n v="49640"/>
    <n v="49.64"/>
    <s v="Pigeon Peas FG"/>
    <x v="0"/>
    <x v="0"/>
    <x v="1"/>
  </r>
  <r>
    <d v="2026-05-10T00:00:00"/>
    <x v="0"/>
    <n v="18115"/>
    <n v="1000"/>
    <n v="49.74"/>
    <n v="49740"/>
    <n v="49640"/>
    <n v="49.64"/>
    <s v="Pigeon Peas FG"/>
    <x v="0"/>
    <x v="0"/>
    <x v="1"/>
  </r>
  <r>
    <d v="2026-05-10T00:00:00"/>
    <x v="0"/>
    <n v="18114"/>
    <n v="1000"/>
    <n v="49.74"/>
    <n v="49740"/>
    <n v="49640"/>
    <n v="49.64"/>
    <s v="Pigeon Peas FG"/>
    <x v="0"/>
    <x v="0"/>
    <x v="1"/>
  </r>
  <r>
    <d v="2026-05-12T00:00:00"/>
    <x v="0"/>
    <n v="15475"/>
    <n v="1000"/>
    <n v="49.72"/>
    <n v="49720"/>
    <n v="49620"/>
    <n v="49.62"/>
    <s v="Pigeon Peas FG"/>
    <x v="0"/>
    <x v="0"/>
    <x v="1"/>
  </r>
  <r>
    <d v="2026-05-12T00:00:00"/>
    <x v="0"/>
    <n v="15468"/>
    <n v="1000"/>
    <n v="49.64"/>
    <n v="49640"/>
    <n v="49540"/>
    <n v="49.54"/>
    <s v="Pigeon Peas FG"/>
    <x v="0"/>
    <x v="0"/>
    <x v="1"/>
  </r>
  <r>
    <d v="2026-05-23T00:00:00"/>
    <x v="0"/>
    <n v="12501"/>
    <n v="1000"/>
    <n v="50"/>
    <n v="50000"/>
    <n v="49900"/>
    <n v="49.9"/>
    <s v="Pigeon Peas FG"/>
    <x v="0"/>
    <x v="1"/>
    <x v="2"/>
  </r>
  <r>
    <d v="2026-05-23T00:00:00"/>
    <x v="0"/>
    <n v="36465"/>
    <n v="1000"/>
    <n v="49.78"/>
    <n v="49780"/>
    <n v="49680"/>
    <n v="49.68"/>
    <s v="Pigeon Peas FG"/>
    <x v="0"/>
    <x v="0"/>
    <x v="1"/>
  </r>
  <r>
    <d v="2026-05-23T00:00:00"/>
    <x v="0"/>
    <n v="36282"/>
    <n v="1000"/>
    <n v="49.8"/>
    <n v="49800"/>
    <n v="49700"/>
    <n v="49.7"/>
    <s v="Pigeon Peas FG"/>
    <x v="0"/>
    <x v="0"/>
    <x v="1"/>
  </r>
  <r>
    <d v="2026-05-24T00:00:00"/>
    <x v="0"/>
    <n v="33084"/>
    <n v="1000"/>
    <n v="49.94"/>
    <n v="49940"/>
    <n v="49840"/>
    <n v="49.84"/>
    <s v="Pigeon Peas FG"/>
    <x v="0"/>
    <x v="0"/>
    <x v="1"/>
  </r>
  <r>
    <d v="2026-05-24T00:00:00"/>
    <x v="0"/>
    <n v="34962"/>
    <n v="1000"/>
    <n v="49.88"/>
    <n v="49880"/>
    <n v="49780"/>
    <n v="49.78"/>
    <s v="Pigeon Peas FG"/>
    <x v="0"/>
    <x v="0"/>
    <x v="1"/>
  </r>
  <r>
    <d v="2026-06-04T00:00:00"/>
    <x v="0"/>
    <n v="17571"/>
    <n v="1000"/>
    <n v="49.82"/>
    <n v="49820"/>
    <n v="49720"/>
    <n v="49.72"/>
    <s v="Pigeon Peas FG"/>
    <x v="0"/>
    <x v="0"/>
    <x v="1"/>
  </r>
  <r>
    <d v="2026-06-06T00:00:00"/>
    <x v="0"/>
    <n v="17569"/>
    <n v="1000"/>
    <n v="49.96"/>
    <n v="49960"/>
    <n v="49860"/>
    <n v="49.86"/>
    <s v="Pigeon Peas FG"/>
    <x v="0"/>
    <x v="0"/>
    <x v="1"/>
  </r>
  <r>
    <d v="2026-06-13T00:00:00"/>
    <x v="0"/>
    <n v="33084"/>
    <n v="1000"/>
    <n v="50.04"/>
    <n v="50040"/>
    <n v="49940"/>
    <n v="49.94"/>
    <s v="Pigeon Peas FG"/>
    <x v="0"/>
    <x v="1"/>
    <x v="2"/>
  </r>
  <r>
    <d v="2026-06-14T00:00:00"/>
    <x v="0"/>
    <n v="20723"/>
    <n v="1000"/>
    <n v="49.8"/>
    <n v="49800"/>
    <n v="49700"/>
    <n v="49.7"/>
    <s v="Pigeon Peas FG"/>
    <x v="0"/>
    <x v="1"/>
    <x v="2"/>
  </r>
  <r>
    <d v="2026-06-14T00:00:00"/>
    <x v="0"/>
    <n v="12142"/>
    <n v="1000"/>
    <n v="49.6"/>
    <n v="49600"/>
    <n v="49500"/>
    <n v="49.5"/>
    <s v="Pigeon Peas FG"/>
    <x v="0"/>
    <x v="1"/>
    <x v="2"/>
  </r>
  <r>
    <d v="2026-06-14T00:00:00"/>
    <x v="0"/>
    <n v="15500"/>
    <n v="1000"/>
    <n v="49.74"/>
    <n v="49740"/>
    <n v="49640"/>
    <n v="49.64"/>
    <s v="Pigeon Peas FG"/>
    <x v="0"/>
    <x v="1"/>
    <x v="2"/>
  </r>
  <r>
    <d v="2026-06-14T00:00:00"/>
    <x v="0"/>
    <n v="12150"/>
    <n v="1000"/>
    <n v="49.9"/>
    <n v="49900"/>
    <n v="49800"/>
    <n v="49.8"/>
    <s v="Pigeon Peas FG"/>
    <x v="0"/>
    <x v="1"/>
    <x v="2"/>
  </r>
  <r>
    <d v="2026-06-15T00:00:00"/>
    <x v="0"/>
    <n v="33083"/>
    <n v="1000"/>
    <n v="49.92"/>
    <n v="49920"/>
    <n v="49820"/>
    <n v="49.82"/>
    <s v="Pigeon Peas FG"/>
    <x v="0"/>
    <x v="0"/>
    <x v="0"/>
  </r>
  <r>
    <d v="2026-06-18T00:00:00"/>
    <x v="0"/>
    <n v="14650"/>
    <n v="1000"/>
    <n v="49.98"/>
    <n v="49980"/>
    <n v="49880"/>
    <n v="49.88"/>
    <s v="Pigeon Peas FG"/>
    <x v="0"/>
    <x v="0"/>
    <x v="0"/>
  </r>
  <r>
    <d v="2026-06-18T00:00:00"/>
    <x v="0"/>
    <n v="35624"/>
    <n v="999"/>
    <n v="50.18"/>
    <n v="50180"/>
    <n v="50080.1"/>
    <n v="50.080100000000002"/>
    <s v="Pigeon Peas FG"/>
    <x v="0"/>
    <x v="0"/>
    <x v="0"/>
  </r>
  <r>
    <d v="2026-06-21T00:00:00"/>
    <x v="0"/>
    <n v="49376"/>
    <n v="998"/>
    <n v="49.96"/>
    <n v="49960"/>
    <n v="49860.2"/>
    <n v="49.860199999999999"/>
    <s v="Pigeon Peas FG"/>
    <x v="0"/>
    <x v="0"/>
    <x v="0"/>
  </r>
  <r>
    <d v="2026-06-21T00:00:00"/>
    <x v="1"/>
    <n v="1812"/>
    <n v="1000"/>
    <n v="50"/>
    <n v="50000"/>
    <n v="49900"/>
    <n v="49.9"/>
    <s v="Pigeon Peas Raw"/>
    <x v="1"/>
    <x v="1"/>
    <x v="4"/>
  </r>
  <r>
    <d v="2026-06-21T00:00:00"/>
    <x v="1"/>
    <n v="2889"/>
    <n v="1000"/>
    <n v="50"/>
    <n v="50000"/>
    <n v="49900"/>
    <n v="49.9"/>
    <s v="Pigeon Peas Raw"/>
    <x v="1"/>
    <x v="1"/>
    <x v="4"/>
  </r>
  <r>
    <d v="2026-06-23T00:00:00"/>
    <x v="0"/>
    <n v="14651"/>
    <n v="1000"/>
    <n v="49.76"/>
    <n v="49760"/>
    <n v="49660"/>
    <n v="49.66"/>
    <s v="Pigeon Peas FG"/>
    <x v="0"/>
    <x v="0"/>
    <x v="5"/>
  </r>
  <r>
    <d v="2026-06-25T00:00:00"/>
    <x v="1"/>
    <n v="1804"/>
    <n v="1100"/>
    <n v="55"/>
    <n v="55000"/>
    <n v="54890"/>
    <n v="54.89"/>
    <s v="Pigeon Peas Raw"/>
    <x v="1"/>
    <x v="1"/>
    <x v="4"/>
  </r>
  <r>
    <d v="2026-06-27T00:00:00"/>
    <x v="0"/>
    <n v="14342"/>
    <n v="1000"/>
    <n v="50.44"/>
    <n v="50440"/>
    <n v="50340"/>
    <n v="50.34"/>
    <s v="Pigeon Peas FG"/>
    <x v="0"/>
    <x v="0"/>
    <x v="5"/>
  </r>
  <r>
    <d v="2026-06-27T00:00:00"/>
    <x v="1"/>
    <n v="9353"/>
    <n v="1100"/>
    <n v="55"/>
    <n v="55000"/>
    <n v="54890"/>
    <n v="54.89"/>
    <s v="Pigeon Peas Raw"/>
    <x v="1"/>
    <x v="1"/>
    <x v="4"/>
  </r>
  <r>
    <d v="2026-06-27T00:00:00"/>
    <x v="1"/>
    <n v="9568"/>
    <n v="1000"/>
    <n v="50"/>
    <n v="50000"/>
    <n v="49900"/>
    <n v="49.9"/>
    <s v="Pigeon Peas Raw"/>
    <x v="1"/>
    <x v="1"/>
    <x v="4"/>
  </r>
  <r>
    <d v="2026-06-28T00:00:00"/>
    <x v="0"/>
    <n v="886"/>
    <n v="1000"/>
    <n v="50.34"/>
    <n v="50340"/>
    <n v="50240"/>
    <n v="50.24"/>
    <s v="Pigeon Peas FG"/>
    <x v="0"/>
    <x v="1"/>
    <x v="2"/>
  </r>
  <r>
    <d v="2026-06-28T00:00:00"/>
    <x v="0"/>
    <n v="32987"/>
    <n v="1000"/>
    <n v="50.3"/>
    <n v="50300"/>
    <n v="50200"/>
    <n v="50.2"/>
    <s v="Pigeon Peas FG"/>
    <x v="0"/>
    <x v="0"/>
    <x v="5"/>
  </r>
  <r>
    <d v="2026-06-28T00:00:00"/>
    <x v="1"/>
    <n v="9354"/>
    <n v="1100"/>
    <n v="55"/>
    <n v="55000"/>
    <n v="54890"/>
    <n v="54.89"/>
    <s v="Pigeon Peas Raw"/>
    <x v="1"/>
    <x v="1"/>
    <x v="4"/>
  </r>
  <r>
    <d v="2026-06-29T00:00:00"/>
    <x v="0"/>
    <n v="34813"/>
    <n v="1000"/>
    <n v="50.52"/>
    <n v="50520"/>
    <n v="50420"/>
    <n v="50.42"/>
    <s v="Pigeon Peas FG"/>
    <x v="0"/>
    <x v="0"/>
    <x v="5"/>
  </r>
  <r>
    <d v="2026-06-29T00:00:00"/>
    <x v="0"/>
    <n v="36230"/>
    <n v="1000"/>
    <n v="50"/>
    <n v="50000"/>
    <n v="49900"/>
    <n v="49.9"/>
    <s v="Pigeon Peas FG"/>
    <x v="0"/>
    <x v="0"/>
    <x v="5"/>
  </r>
  <r>
    <d v="2026-07-05T00:00:00"/>
    <x v="0"/>
    <n v="15473"/>
    <n v="998"/>
    <n v="49.96"/>
    <n v="49960"/>
    <n v="49860.2"/>
    <n v="49.860199999999999"/>
    <s v="Pigeon Peas FG"/>
    <x v="0"/>
    <x v="0"/>
    <x v="5"/>
  </r>
  <r>
    <d v="2026-07-08T00:00:00"/>
    <x v="0"/>
    <n v="15498"/>
    <n v="1000"/>
    <n v="49.88"/>
    <n v="49880"/>
    <n v="49780"/>
    <n v="49.78"/>
    <s v="Pigeon Peas FG"/>
    <x v="0"/>
    <x v="0"/>
    <x v="5"/>
  </r>
  <r>
    <d v="2026-07-18T00:00:00"/>
    <x v="0"/>
    <n v="15496"/>
    <n v="1000"/>
    <n v="50.28"/>
    <n v="50280"/>
    <n v="50180"/>
    <n v="50.18"/>
    <s v="Pigeon Peas FG"/>
    <x v="0"/>
    <x v="0"/>
    <x v="5"/>
  </r>
  <r>
    <d v="2026-07-18T00:00:00"/>
    <x v="0"/>
    <n v="14188"/>
    <n v="998"/>
    <n v="50.04"/>
    <n v="50040"/>
    <n v="49940.2"/>
    <n v="49.940199999999997"/>
    <s v="Pigeon Peas FG"/>
    <x v="0"/>
    <x v="0"/>
    <x v="5"/>
  </r>
  <r>
    <d v="2026-07-27T00:00:00"/>
    <x v="0"/>
    <n v="37182"/>
    <n v="1000"/>
    <n v="50"/>
    <n v="50000"/>
    <n v="49900"/>
    <n v="49.9"/>
    <s v="Pigeon Peas FG"/>
    <x v="0"/>
    <x v="0"/>
    <x v="5"/>
  </r>
  <r>
    <d v="2026-07-28T00:00:00"/>
    <x v="0"/>
    <n v="14662"/>
    <n v="1000"/>
    <n v="49.9"/>
    <n v="49900"/>
    <n v="49800"/>
    <n v="49.8"/>
    <s v="Pigeon Peas FG"/>
    <x v="0"/>
    <x v="0"/>
    <x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99">
  <r>
    <d v="2025-12-10T00:00:00"/>
    <x v="0"/>
    <n v="62100"/>
    <n v="65"/>
    <m/>
    <m/>
    <n v="5.66"/>
    <n v="566"/>
    <s v="SM0101"/>
    <s v="Mohd Karamallah"/>
    <x v="0"/>
    <x v="0"/>
  </r>
  <r>
    <d v="2025-12-10T00:00:00"/>
    <x v="0"/>
    <n v="1861"/>
    <n v="68"/>
    <m/>
    <m/>
    <n v="5.84"/>
    <n v="584"/>
    <s v="SM0101"/>
    <s v="Mohd Karamallah"/>
    <x v="0"/>
    <x v="0"/>
  </r>
  <r>
    <d v="2025-12-10T00:00:00"/>
    <x v="0"/>
    <n v="71107"/>
    <n v="160"/>
    <m/>
    <m/>
    <n v="14.14"/>
    <n v="1414"/>
    <s v="SM0101"/>
    <s v="Mohd Karamallah"/>
    <x v="0"/>
    <x v="0"/>
  </r>
  <r>
    <d v="2025-12-10T00:00:00"/>
    <x v="0"/>
    <n v="1862"/>
    <n v="66"/>
    <m/>
    <m/>
    <n v="5.68"/>
    <n v="568"/>
    <s v="SM0101"/>
    <s v="Mohd Karamallah"/>
    <x v="0"/>
    <x v="0"/>
  </r>
  <r>
    <d v="2025-12-10T00:00:00"/>
    <x v="0"/>
    <n v="3390"/>
    <n v="69"/>
    <m/>
    <m/>
    <n v="5.98"/>
    <n v="598"/>
    <s v="SM0101"/>
    <s v="Mohd Karamallah"/>
    <x v="0"/>
    <x v="0"/>
  </r>
  <r>
    <d v="2025-12-10T00:00:00"/>
    <x v="0"/>
    <n v="5914"/>
    <n v="70"/>
    <m/>
    <m/>
    <n v="5.94"/>
    <n v="594"/>
    <s v="SM0101"/>
    <s v="Mohd Karamallah"/>
    <x v="0"/>
    <x v="0"/>
  </r>
  <r>
    <d v="2025-12-10T00:00:00"/>
    <x v="0"/>
    <n v="48464"/>
    <n v="65"/>
    <m/>
    <m/>
    <n v="5.66"/>
    <n v="566"/>
    <s v="SM0101"/>
    <s v="Mohd Karamallah"/>
    <x v="0"/>
    <x v="0"/>
  </r>
  <r>
    <d v="2025-12-11T00:00:00"/>
    <x v="0"/>
    <n v="48844"/>
    <n v="267"/>
    <m/>
    <m/>
    <n v="23.02"/>
    <n v="2302"/>
    <s v="SM0101"/>
    <s v="Mohd Karamallah"/>
    <x v="0"/>
    <x v="0"/>
  </r>
  <r>
    <d v="2025-12-11T00:00:00"/>
    <x v="0"/>
    <n v="20290"/>
    <n v="140"/>
    <m/>
    <m/>
    <n v="11.86"/>
    <n v="1186"/>
    <s v="SM0101"/>
    <s v="Mohd Karamallah"/>
    <x v="0"/>
    <x v="0"/>
  </r>
  <r>
    <d v="2025-12-21T00:00:00"/>
    <x v="1"/>
    <n v="1187"/>
    <n v="150"/>
    <m/>
    <m/>
    <n v="13.1"/>
    <n v="13100"/>
    <s v="SM0101"/>
    <s v="Mohd Karamallah"/>
    <x v="0"/>
    <x v="0"/>
  </r>
  <r>
    <d v="2025-12-21T00:00:00"/>
    <x v="1"/>
    <n v="4722"/>
    <n v="150"/>
    <m/>
    <m/>
    <n v="12.84"/>
    <n v="12840"/>
    <s v="SM0101"/>
    <s v="Mohd Karamallah"/>
    <x v="0"/>
    <x v="0"/>
  </r>
  <r>
    <d v="2025-12-21T00:00:00"/>
    <x v="1"/>
    <n v="1187"/>
    <n v="150"/>
    <m/>
    <m/>
    <n v="12.82"/>
    <n v="12820"/>
    <s v="SM0101"/>
    <s v="Mohd Karamallah"/>
    <x v="0"/>
    <x v="0"/>
  </r>
  <r>
    <d v="2025-12-21T00:00:00"/>
    <x v="1"/>
    <n v="368"/>
    <n v="150"/>
    <m/>
    <m/>
    <n v="13.28"/>
    <n v="13280"/>
    <s v="SM0101"/>
    <s v="Mohd Karamallah"/>
    <x v="0"/>
    <x v="0"/>
  </r>
  <r>
    <d v="2025-12-21T00:00:00"/>
    <x v="1"/>
    <n v="4722"/>
    <n v="150"/>
    <m/>
    <m/>
    <n v="12.9"/>
    <n v="12900"/>
    <s v="SM0101"/>
    <s v="Mohd Karamallah"/>
    <x v="0"/>
    <x v="0"/>
  </r>
  <r>
    <d v="2025-12-21T00:00:00"/>
    <x v="1"/>
    <n v="80762"/>
    <n v="150"/>
    <m/>
    <m/>
    <n v="12.92"/>
    <n v="12920"/>
    <s v="SM0101"/>
    <s v="Mohd Karamallah"/>
    <x v="0"/>
    <x v="0"/>
  </r>
  <r>
    <d v="2025-12-21T00:00:00"/>
    <x v="1"/>
    <n v="80762"/>
    <n v="150"/>
    <m/>
    <m/>
    <n v="12.96"/>
    <n v="12960"/>
    <s v="SM0101"/>
    <s v="Mohd Karamallah"/>
    <x v="0"/>
    <x v="0"/>
  </r>
  <r>
    <d v="2025-12-21T00:00:00"/>
    <x v="1"/>
    <n v="4722"/>
    <n v="150"/>
    <m/>
    <m/>
    <n v="13.24"/>
    <n v="13240"/>
    <s v="SM0101"/>
    <s v="Mohd Karamallah"/>
    <x v="0"/>
    <x v="0"/>
  </r>
  <r>
    <d v="2025-12-23T00:00:00"/>
    <x v="1"/>
    <n v="80762"/>
    <n v="170"/>
    <m/>
    <m/>
    <n v="14.66"/>
    <n v="14660"/>
    <s v="SM0101"/>
    <s v="Mohd Karamallah"/>
    <x v="0"/>
    <x v="0"/>
  </r>
  <r>
    <d v="2025-12-23T00:00:00"/>
    <x v="1"/>
    <n v="1387"/>
    <n v="170"/>
    <m/>
    <m/>
    <n v="14.68"/>
    <n v="14680"/>
    <s v="SM0101"/>
    <s v="Mohd Karamallah"/>
    <x v="0"/>
    <x v="0"/>
  </r>
  <r>
    <d v="2025-12-23T00:00:00"/>
    <x v="1"/>
    <n v="80762"/>
    <n v="185"/>
    <m/>
    <m/>
    <n v="16.34"/>
    <n v="16340"/>
    <s v="SM0101"/>
    <s v="Mohd Karamallah"/>
    <x v="0"/>
    <x v="0"/>
  </r>
  <r>
    <d v="2025-12-23T00:00:00"/>
    <x v="1"/>
    <n v="1387"/>
    <n v="185"/>
    <m/>
    <m/>
    <n v="16.32"/>
    <n v="16320"/>
    <s v="SM0101"/>
    <s v="Mohd Karamallah"/>
    <x v="0"/>
    <x v="0"/>
  </r>
  <r>
    <d v="2025-12-23T00:00:00"/>
    <x v="1"/>
    <n v="4722"/>
    <n v="170"/>
    <m/>
    <m/>
    <n v="14.7"/>
    <n v="14700"/>
    <s v="SM0101"/>
    <s v="Mohd Karamallah"/>
    <x v="0"/>
    <x v="0"/>
  </r>
  <r>
    <d v="2025-12-23T00:00:00"/>
    <x v="1"/>
    <n v="16429"/>
    <n v="185"/>
    <m/>
    <m/>
    <n v="16.5"/>
    <n v="16500"/>
    <s v="SM0101"/>
    <s v="Mohd Karamallah"/>
    <x v="0"/>
    <x v="0"/>
  </r>
  <r>
    <d v="2025-12-23T00:00:00"/>
    <x v="1"/>
    <n v="4722"/>
    <n v="185"/>
    <m/>
    <m/>
    <n v="15.8"/>
    <n v="15800"/>
    <s v="SM0101"/>
    <s v="Mohd Karamallah"/>
    <x v="0"/>
    <x v="0"/>
  </r>
  <r>
    <d v="2025-12-24T00:00:00"/>
    <x v="1"/>
    <n v="1187"/>
    <n v="180"/>
    <m/>
    <m/>
    <n v="16.52"/>
    <n v="16520"/>
    <s v="SM0101"/>
    <s v="Mohd Karamallah"/>
    <x v="0"/>
    <x v="0"/>
  </r>
  <r>
    <d v="2026-01-29T00:00:00"/>
    <x v="2"/>
    <n v="1364"/>
    <n v="120"/>
    <m/>
    <m/>
    <n v="11.62"/>
    <n v="1162"/>
    <n v="1000000040"/>
    <s v="Mohd Karamallah"/>
    <x v="1"/>
    <x v="0"/>
  </r>
  <r>
    <d v="2026-01-29T00:00:00"/>
    <x v="2"/>
    <n v="467"/>
    <n v="80"/>
    <m/>
    <m/>
    <n v="7.7"/>
    <n v="770"/>
    <n v="1000000040"/>
    <s v="Mohd Karamallah"/>
    <x v="1"/>
    <x v="0"/>
  </r>
  <r>
    <d v="2026-01-31T00:00:00"/>
    <x v="2"/>
    <n v="42209"/>
    <n v="100"/>
    <m/>
    <m/>
    <n v="9.48"/>
    <n v="948"/>
    <n v="1000000040"/>
    <s v="Mohd Karamallah"/>
    <x v="1"/>
    <x v="0"/>
  </r>
  <r>
    <d v="2026-01-31T00:00:00"/>
    <x v="2"/>
    <n v="663"/>
    <n v="80"/>
    <m/>
    <m/>
    <n v="7.55"/>
    <n v="755"/>
    <n v="1000000040"/>
    <s v="Mohd Karamallah"/>
    <x v="1"/>
    <x v="0"/>
  </r>
  <r>
    <d v="2026-01-31T00:00:00"/>
    <x v="2"/>
    <n v="303"/>
    <n v="80"/>
    <m/>
    <m/>
    <n v="7.62"/>
    <n v="762"/>
    <n v="1000000040"/>
    <s v="Mohd Karamallah"/>
    <x v="1"/>
    <x v="0"/>
  </r>
  <r>
    <d v="2026-01-31T00:00:00"/>
    <x v="2"/>
    <n v="264"/>
    <n v="80"/>
    <m/>
    <m/>
    <n v="7.55"/>
    <n v="755"/>
    <n v="1000000040"/>
    <s v="Mohd Karamallah"/>
    <x v="1"/>
    <x v="0"/>
  </r>
  <r>
    <d v="2026-01-31T00:00:00"/>
    <x v="2"/>
    <n v="711"/>
    <n v="80"/>
    <m/>
    <m/>
    <n v="7.46"/>
    <n v="746"/>
    <n v="1000000040"/>
    <s v="Mohd Karamallah"/>
    <x v="1"/>
    <x v="0"/>
  </r>
  <r>
    <d v="2026-02-01T00:00:00"/>
    <x v="2"/>
    <n v="769"/>
    <n v="80"/>
    <m/>
    <m/>
    <n v="7.5"/>
    <n v="750"/>
    <n v="1000000040"/>
    <s v="Mohd Karamallah"/>
    <x v="1"/>
    <x v="0"/>
  </r>
  <r>
    <d v="2026-02-01T00:00:00"/>
    <x v="2"/>
    <n v="19913"/>
    <n v="80"/>
    <m/>
    <m/>
    <n v="7.78"/>
    <n v="778"/>
    <n v="1000000040"/>
    <s v="Mohd Karamallah"/>
    <x v="1"/>
    <x v="0"/>
  </r>
  <r>
    <d v="2026-02-02T00:00:00"/>
    <x v="2"/>
    <n v="3487"/>
    <n v="200"/>
    <m/>
    <m/>
    <n v="18.28"/>
    <n v="1828"/>
    <n v="1000000040"/>
    <s v="Mohd Karamallah"/>
    <x v="1"/>
    <x v="0"/>
  </r>
  <r>
    <d v="2026-02-02T00:00:00"/>
    <x v="2"/>
    <n v="4164"/>
    <n v="200"/>
    <m/>
    <m/>
    <n v="18.260000000000002"/>
    <n v="1826.0000000000002"/>
    <n v="1000000040"/>
    <s v="Mohd Karamallah"/>
    <x v="1"/>
    <x v="0"/>
  </r>
  <r>
    <d v="2026-02-02T00:00:00"/>
    <x v="2"/>
    <n v="3952"/>
    <n v="200"/>
    <m/>
    <m/>
    <n v="18.02"/>
    <n v="1802"/>
    <n v="1000000040"/>
    <s v="Mohd Karamallah"/>
    <x v="1"/>
    <x v="0"/>
  </r>
  <r>
    <d v="2026-02-02T00:00:00"/>
    <x v="2"/>
    <n v="264"/>
    <n v="85"/>
    <m/>
    <m/>
    <n v="7.98"/>
    <n v="798"/>
    <n v="1000000040"/>
    <s v="Mohd Karamallah"/>
    <x v="1"/>
    <x v="0"/>
  </r>
  <r>
    <d v="2026-02-02T00:00:00"/>
    <x v="2"/>
    <n v="15094"/>
    <n v="80"/>
    <m/>
    <m/>
    <n v="7.64"/>
    <n v="764"/>
    <n v="1000000040"/>
    <s v="Mohd Karamallah"/>
    <x v="1"/>
    <x v="0"/>
  </r>
  <r>
    <d v="2026-02-02T00:00:00"/>
    <x v="2"/>
    <n v="1194"/>
    <n v="80"/>
    <m/>
    <m/>
    <n v="7.52"/>
    <n v="752"/>
    <n v="1000000040"/>
    <s v="Mohd Karamallah"/>
    <x v="1"/>
    <x v="0"/>
  </r>
  <r>
    <d v="2026-02-02T00:00:00"/>
    <x v="2"/>
    <n v="19913"/>
    <n v="90"/>
    <m/>
    <m/>
    <n v="8.52"/>
    <n v="852"/>
    <n v="1000000040"/>
    <s v="Mohd Karamallah"/>
    <x v="1"/>
    <x v="0"/>
  </r>
  <r>
    <d v="2026-02-02T00:00:00"/>
    <x v="2"/>
    <n v="1110"/>
    <n v="80"/>
    <m/>
    <m/>
    <n v="7.52"/>
    <n v="752"/>
    <n v="1000000040"/>
    <s v="Mohd Karamallah"/>
    <x v="1"/>
    <x v="0"/>
  </r>
  <r>
    <d v="2026-02-02T00:00:00"/>
    <x v="2"/>
    <n v="1364"/>
    <n v="85"/>
    <m/>
    <m/>
    <n v="7.92"/>
    <n v="792"/>
    <n v="1000000040"/>
    <s v="Mohd Karamallah"/>
    <x v="1"/>
    <x v="0"/>
  </r>
  <r>
    <d v="2026-02-02T00:00:00"/>
    <x v="2"/>
    <n v="59757"/>
    <n v="120"/>
    <m/>
    <m/>
    <n v="11.52"/>
    <n v="1152"/>
    <n v="1000000040"/>
    <s v="Mohd Karamallah"/>
    <x v="1"/>
    <x v="0"/>
  </r>
  <r>
    <d v="2026-02-03T00:00:00"/>
    <x v="2"/>
    <n v="1194"/>
    <n v="80"/>
    <m/>
    <m/>
    <n v="7.1"/>
    <n v="710"/>
    <n v="1000000040"/>
    <s v="Mohd Karamallah"/>
    <x v="1"/>
    <x v="0"/>
  </r>
  <r>
    <d v="2026-02-03T00:00:00"/>
    <x v="2"/>
    <n v="772"/>
    <n v="80"/>
    <m/>
    <m/>
    <n v="7"/>
    <n v="700"/>
    <n v="1000000040"/>
    <s v="Mohd Karamallah"/>
    <x v="1"/>
    <x v="0"/>
  </r>
  <r>
    <d v="2026-02-03T00:00:00"/>
    <x v="2"/>
    <n v="737"/>
    <n v="80"/>
    <m/>
    <m/>
    <n v="7.6"/>
    <n v="760"/>
    <n v="1000000040"/>
    <s v="Mohd Karamallah"/>
    <x v="1"/>
    <x v="0"/>
  </r>
  <r>
    <d v="2026-02-03T00:00:00"/>
    <x v="2"/>
    <n v="19913"/>
    <n v="94"/>
    <m/>
    <m/>
    <n v="8.7200000000000006"/>
    <n v="872.00000000000011"/>
    <n v="1000000040"/>
    <s v="Mohd Karamallah"/>
    <x v="1"/>
    <x v="0"/>
  </r>
  <r>
    <d v="2026-02-03T00:00:00"/>
    <x v="2"/>
    <n v="945"/>
    <n v="80"/>
    <m/>
    <m/>
    <n v="7.32"/>
    <n v="732"/>
    <n v="1000000040"/>
    <s v="Mohd Karamallah"/>
    <x v="1"/>
    <x v="0"/>
  </r>
  <r>
    <d v="2026-02-03T00:00:00"/>
    <x v="2"/>
    <n v="714"/>
    <n v="80"/>
    <m/>
    <m/>
    <n v="7.5"/>
    <n v="750"/>
    <n v="1000000040"/>
    <s v="Mohd Karamallah"/>
    <x v="1"/>
    <x v="0"/>
  </r>
  <r>
    <d v="2026-02-03T00:00:00"/>
    <x v="2"/>
    <n v="1194"/>
    <n v="80"/>
    <m/>
    <m/>
    <n v="7.54"/>
    <n v="754"/>
    <n v="1000000040"/>
    <s v="Mohd Karamallah"/>
    <x v="1"/>
    <x v="0"/>
  </r>
  <r>
    <d v="2026-02-03T00:00:00"/>
    <x v="2"/>
    <n v="737"/>
    <n v="80"/>
    <m/>
    <m/>
    <n v="7.18"/>
    <n v="718"/>
    <n v="1000000040"/>
    <s v="Mohd Karamallah"/>
    <x v="1"/>
    <x v="0"/>
  </r>
  <r>
    <d v="2026-02-03T00:00:00"/>
    <x v="2"/>
    <n v="772"/>
    <n v="80"/>
    <m/>
    <m/>
    <n v="7.64"/>
    <n v="764"/>
    <n v="1000000040"/>
    <s v="Mohd Karamallah"/>
    <x v="1"/>
    <x v="0"/>
  </r>
  <r>
    <d v="2026-02-03T00:00:00"/>
    <x v="2"/>
    <n v="945"/>
    <n v="85"/>
    <m/>
    <m/>
    <n v="7.82"/>
    <n v="782"/>
    <n v="1000000040"/>
    <s v="Mohd Karamallah"/>
    <x v="1"/>
    <x v="0"/>
  </r>
  <r>
    <d v="2026-02-03T00:00:00"/>
    <x v="2"/>
    <n v="6850"/>
    <n v="159"/>
    <m/>
    <m/>
    <n v="13.76"/>
    <n v="1376"/>
    <n v="1000000040"/>
    <s v="Mohd Karamallah"/>
    <x v="1"/>
    <x v="0"/>
  </r>
  <r>
    <d v="2026-02-03T00:00:00"/>
    <x v="2"/>
    <n v="535"/>
    <n v="100"/>
    <m/>
    <m/>
    <n v="9.5399999999999991"/>
    <n v="953.99999999999989"/>
    <n v="1000000040"/>
    <s v="Mohd Karamallah"/>
    <x v="1"/>
    <x v="0"/>
  </r>
  <r>
    <d v="2026-02-03T00:00:00"/>
    <x v="2"/>
    <n v="717"/>
    <n v="80"/>
    <m/>
    <m/>
    <n v="7.62"/>
    <n v="762"/>
    <n v="1000000040"/>
    <s v="Mohd Karamallah"/>
    <x v="1"/>
    <x v="0"/>
  </r>
  <r>
    <d v="2026-02-03T00:00:00"/>
    <x v="2"/>
    <n v="663"/>
    <n v="80"/>
    <m/>
    <m/>
    <n v="7.6"/>
    <n v="760"/>
    <n v="1000000040"/>
    <s v="Mohd Karamallah"/>
    <x v="1"/>
    <x v="0"/>
  </r>
  <r>
    <d v="2026-02-03T00:00:00"/>
    <x v="2"/>
    <n v="9373"/>
    <n v="80"/>
    <m/>
    <m/>
    <n v="7.64"/>
    <n v="764"/>
    <n v="1000000040"/>
    <s v="Mohd Karamallah"/>
    <x v="1"/>
    <x v="0"/>
  </r>
  <r>
    <d v="2026-02-03T00:00:00"/>
    <x v="2"/>
    <n v="91"/>
    <n v="60"/>
    <m/>
    <m/>
    <n v="5.68"/>
    <n v="568"/>
    <n v="1000000040"/>
    <s v="Mohd Karamallah"/>
    <x v="1"/>
    <x v="0"/>
  </r>
  <r>
    <d v="2026-02-04T00:00:00"/>
    <x v="2"/>
    <n v="368"/>
    <n v="137"/>
    <m/>
    <m/>
    <n v="12.66"/>
    <n v="1266"/>
    <n v="1000000040"/>
    <s v="Mohd Karamallah"/>
    <x v="1"/>
    <x v="0"/>
  </r>
  <r>
    <d v="2026-02-04T00:00:00"/>
    <x v="2"/>
    <n v="368"/>
    <n v="130"/>
    <m/>
    <m/>
    <n v="11.56"/>
    <n v="1156"/>
    <n v="1000000040"/>
    <s v="Mohd Karamallah"/>
    <x v="1"/>
    <x v="0"/>
  </r>
  <r>
    <d v="2026-02-07T00:00:00"/>
    <x v="2"/>
    <n v="938"/>
    <n v="80"/>
    <m/>
    <m/>
    <n v="7.6"/>
    <n v="760"/>
    <n v="1000000040"/>
    <s v="Mohd Karamallah"/>
    <x v="1"/>
    <x v="0"/>
  </r>
  <r>
    <d v="2026-02-07T00:00:00"/>
    <x v="2"/>
    <n v="753"/>
    <n v="80"/>
    <m/>
    <m/>
    <n v="7.56"/>
    <n v="756"/>
    <n v="1000000040"/>
    <s v="Mohd Karamallah"/>
    <x v="1"/>
    <x v="0"/>
  </r>
  <r>
    <d v="2026-02-07T00:00:00"/>
    <x v="2"/>
    <n v="1093"/>
    <n v="80"/>
    <m/>
    <m/>
    <n v="7.5"/>
    <n v="750"/>
    <n v="1000000040"/>
    <s v="Mohd Karamallah"/>
    <x v="1"/>
    <x v="0"/>
  </r>
  <r>
    <d v="2026-02-07T00:00:00"/>
    <x v="2"/>
    <n v="663"/>
    <n v="80"/>
    <m/>
    <m/>
    <n v="7.52"/>
    <n v="752"/>
    <n v="1000000040"/>
    <s v="Mohd Karamallah"/>
    <x v="1"/>
    <x v="0"/>
  </r>
  <r>
    <d v="2026-02-07T00:00:00"/>
    <x v="2"/>
    <n v="516"/>
    <n v="80"/>
    <m/>
    <m/>
    <n v="7.56"/>
    <n v="756"/>
    <n v="1000000040"/>
    <s v="Mohd Karamallah"/>
    <x v="1"/>
    <x v="0"/>
  </r>
  <r>
    <d v="2026-02-07T00:00:00"/>
    <x v="2"/>
    <n v="756"/>
    <n v="80"/>
    <m/>
    <m/>
    <n v="7.5"/>
    <n v="750"/>
    <n v="1000000040"/>
    <s v="Mohd Karamallah"/>
    <x v="1"/>
    <x v="0"/>
  </r>
  <r>
    <d v="2026-02-07T00:00:00"/>
    <x v="2"/>
    <n v="1460"/>
    <n v="80"/>
    <m/>
    <m/>
    <n v="7.46"/>
    <n v="746"/>
    <n v="1000000040"/>
    <s v="Mohd Karamallah"/>
    <x v="1"/>
    <x v="0"/>
  </r>
  <r>
    <d v="2026-02-07T00:00:00"/>
    <x v="2"/>
    <n v="42209"/>
    <n v="80"/>
    <m/>
    <m/>
    <n v="7.5"/>
    <n v="750"/>
    <n v="1000000040"/>
    <s v="Mohd Karamallah"/>
    <x v="1"/>
    <x v="0"/>
  </r>
  <r>
    <d v="2026-02-07T00:00:00"/>
    <x v="2"/>
    <n v="1207"/>
    <n v="80"/>
    <m/>
    <m/>
    <n v="7.48"/>
    <n v="748"/>
    <n v="1000000040"/>
    <s v="Mohd Karamallah"/>
    <x v="1"/>
    <x v="0"/>
  </r>
  <r>
    <d v="2026-02-07T00:00:00"/>
    <x v="2"/>
    <n v="551"/>
    <n v="80"/>
    <m/>
    <m/>
    <n v="7.52"/>
    <n v="752"/>
    <n v="1000000040"/>
    <s v="Mohd Karamallah"/>
    <x v="1"/>
    <x v="0"/>
  </r>
  <r>
    <d v="2026-02-07T00:00:00"/>
    <x v="2"/>
    <n v="19913"/>
    <n v="100"/>
    <m/>
    <m/>
    <n v="9.42"/>
    <n v="942"/>
    <n v="1000000040"/>
    <s v="Mohd Karamallah"/>
    <x v="1"/>
    <x v="0"/>
  </r>
  <r>
    <d v="2026-02-08T00:00:00"/>
    <x v="2"/>
    <n v="2226"/>
    <n v="80"/>
    <m/>
    <m/>
    <n v="7.62"/>
    <n v="762"/>
    <n v="1000000040"/>
    <s v="Mohd Karamallah"/>
    <x v="1"/>
    <x v="0"/>
  </r>
  <r>
    <d v="2026-02-08T00:00:00"/>
    <x v="2"/>
    <n v="1112"/>
    <n v="100"/>
    <m/>
    <m/>
    <n v="9.44"/>
    <n v="944"/>
    <n v="1000000040"/>
    <s v="Mohd Karamallah"/>
    <x v="1"/>
    <x v="0"/>
  </r>
  <r>
    <d v="2026-02-08T00:00:00"/>
    <x v="2"/>
    <n v="3381"/>
    <n v="80"/>
    <m/>
    <m/>
    <n v="7.6"/>
    <n v="760"/>
    <n v="1000000040"/>
    <s v="Mohd Karamallah"/>
    <x v="1"/>
    <x v="0"/>
  </r>
  <r>
    <d v="2026-02-08T00:00:00"/>
    <x v="2"/>
    <n v="1194"/>
    <n v="80"/>
    <m/>
    <m/>
    <n v="7.6"/>
    <n v="760"/>
    <n v="1000000040"/>
    <s v="Mohd Karamallah"/>
    <x v="1"/>
    <x v="0"/>
  </r>
  <r>
    <d v="2026-02-08T00:00:00"/>
    <x v="2"/>
    <n v="59757"/>
    <n v="100"/>
    <m/>
    <m/>
    <n v="9.36"/>
    <n v="936"/>
    <n v="1000000040"/>
    <s v="Mohd Karamallah"/>
    <x v="1"/>
    <x v="0"/>
  </r>
  <r>
    <d v="2026-02-08T00:00:00"/>
    <x v="2"/>
    <n v="535"/>
    <n v="100"/>
    <m/>
    <m/>
    <n v="9.56"/>
    <n v="956"/>
    <n v="1000000040"/>
    <s v="Mohd Karamallah"/>
    <x v="1"/>
    <x v="0"/>
  </r>
  <r>
    <d v="2026-02-08T00:00:00"/>
    <x v="2"/>
    <n v="717"/>
    <n v="80"/>
    <m/>
    <m/>
    <n v="7.56"/>
    <n v="756"/>
    <n v="1000000040"/>
    <s v="Mohd Karamallah"/>
    <x v="1"/>
    <x v="0"/>
  </r>
  <r>
    <d v="2026-02-08T00:00:00"/>
    <x v="2"/>
    <n v="516"/>
    <n v="80"/>
    <m/>
    <m/>
    <n v="7.62"/>
    <n v="762"/>
    <n v="1000000040"/>
    <s v="Mohd Karamallah"/>
    <x v="1"/>
    <x v="0"/>
  </r>
  <r>
    <d v="2026-02-08T00:00:00"/>
    <x v="2"/>
    <n v="293"/>
    <n v="80"/>
    <m/>
    <m/>
    <n v="7.52"/>
    <n v="752"/>
    <n v="1000000040"/>
    <s v="Mohd Karamallah"/>
    <x v="1"/>
    <x v="0"/>
  </r>
  <r>
    <d v="2026-02-08T00:00:00"/>
    <x v="2"/>
    <n v="1349"/>
    <n v="80"/>
    <m/>
    <m/>
    <n v="7.42"/>
    <n v="742"/>
    <n v="1000000040"/>
    <s v="Mohd Karamallah"/>
    <x v="1"/>
    <x v="0"/>
  </r>
  <r>
    <d v="2026-02-08T00:00:00"/>
    <x v="2"/>
    <n v="19913"/>
    <n v="100"/>
    <m/>
    <m/>
    <n v="9.5399999999999991"/>
    <n v="953.99999999999989"/>
    <n v="1000000040"/>
    <s v="Mohd Karamallah"/>
    <x v="1"/>
    <x v="0"/>
  </r>
  <r>
    <d v="2026-02-08T00:00:00"/>
    <x v="2"/>
    <n v="1110"/>
    <n v="80"/>
    <m/>
    <m/>
    <n v="7.56"/>
    <n v="756"/>
    <n v="1000000040"/>
    <s v="Mohd Karamallah"/>
    <x v="1"/>
    <x v="0"/>
  </r>
  <r>
    <d v="2026-02-08T00:00:00"/>
    <x v="2"/>
    <n v="1056"/>
    <n v="80"/>
    <m/>
    <m/>
    <n v="7.54"/>
    <n v="754"/>
    <n v="1000000040"/>
    <s v="Mohd Karamallah"/>
    <x v="1"/>
    <x v="0"/>
  </r>
  <r>
    <d v="2026-02-08T00:00:00"/>
    <x v="2"/>
    <n v="737"/>
    <n v="80"/>
    <m/>
    <m/>
    <n v="7.54"/>
    <n v="754"/>
    <n v="1000000040"/>
    <s v="Mohd Karamallah"/>
    <x v="1"/>
    <x v="0"/>
  </r>
  <r>
    <d v="2026-02-08T00:00:00"/>
    <x v="2"/>
    <n v="303"/>
    <n v="80"/>
    <m/>
    <m/>
    <n v="7.44"/>
    <n v="744"/>
    <n v="1000000040"/>
    <s v="Mohd Karamallah"/>
    <x v="1"/>
    <x v="0"/>
  </r>
  <r>
    <d v="2026-02-08T00:00:00"/>
    <x v="2"/>
    <n v="60"/>
    <n v="80"/>
    <m/>
    <m/>
    <n v="7.56"/>
    <n v="756"/>
    <n v="1000000040"/>
    <s v="Mohd Karamallah"/>
    <x v="1"/>
    <x v="0"/>
  </r>
  <r>
    <d v="2026-02-08T00:00:00"/>
    <x v="2"/>
    <n v="1149"/>
    <n v="45"/>
    <m/>
    <m/>
    <n v="4.2"/>
    <n v="420"/>
    <n v="1000000040"/>
    <s v="Mohd Karamallah"/>
    <x v="1"/>
    <x v="0"/>
  </r>
  <r>
    <d v="2026-02-08T00:00:00"/>
    <x v="2"/>
    <n v="39157"/>
    <n v="100"/>
    <m/>
    <m/>
    <n v="9.44"/>
    <n v="944"/>
    <n v="1000000040"/>
    <s v="Mohd Karamallah"/>
    <x v="1"/>
    <x v="0"/>
  </r>
  <r>
    <d v="2026-02-08T00:00:00"/>
    <x v="2"/>
    <n v="264"/>
    <n v="80"/>
    <m/>
    <m/>
    <n v="7.52"/>
    <n v="752"/>
    <n v="1000000040"/>
    <s v="Mohd Karamallah"/>
    <x v="1"/>
    <x v="0"/>
  </r>
  <r>
    <d v="2026-02-08T00:00:00"/>
    <x v="2"/>
    <n v="467"/>
    <n v="80"/>
    <m/>
    <m/>
    <n v="7.58"/>
    <n v="758"/>
    <n v="1000000040"/>
    <s v="Mohd Karamallah"/>
    <x v="1"/>
    <x v="0"/>
  </r>
  <r>
    <d v="2026-02-08T00:00:00"/>
    <x v="2"/>
    <n v="772"/>
    <n v="80"/>
    <m/>
    <m/>
    <n v="7.54"/>
    <n v="754"/>
    <n v="1000000040"/>
    <s v="Mohd Karamallah"/>
    <x v="1"/>
    <x v="0"/>
  </r>
  <r>
    <d v="2026-02-08T00:00:00"/>
    <x v="2"/>
    <n v="4041"/>
    <n v="10"/>
    <m/>
    <m/>
    <n v="0.9"/>
    <n v="90"/>
    <n v="1000000040"/>
    <s v="Mohd Karamallah"/>
    <x v="1"/>
    <x v="0"/>
  </r>
  <r>
    <d v="2026-02-08T00:00:00"/>
    <x v="2"/>
    <n v="4546"/>
    <n v="11"/>
    <m/>
    <m/>
    <n v="1"/>
    <n v="100"/>
    <n v="1000000040"/>
    <s v="Mohd Karamallah"/>
    <x v="1"/>
    <x v="0"/>
  </r>
  <r>
    <d v="2026-02-10T00:00:00"/>
    <x v="2"/>
    <n v="9373"/>
    <n v="80"/>
    <m/>
    <m/>
    <n v="7.6"/>
    <n v="760"/>
    <n v="1000000040"/>
    <s v="Mohd Karamallah"/>
    <x v="1"/>
    <x v="0"/>
  </r>
  <r>
    <d v="2026-02-10T00:00:00"/>
    <x v="2"/>
    <n v="516"/>
    <n v="80"/>
    <m/>
    <m/>
    <n v="7.58"/>
    <n v="758"/>
    <n v="1000000040"/>
    <s v="Mohd Karamallah"/>
    <x v="1"/>
    <x v="0"/>
  </r>
  <r>
    <d v="2026-02-10T00:00:00"/>
    <x v="2"/>
    <n v="714"/>
    <n v="100"/>
    <m/>
    <m/>
    <n v="9.6"/>
    <n v="960"/>
    <n v="1000000040"/>
    <s v="Mohd Karamallah"/>
    <x v="1"/>
    <x v="0"/>
  </r>
  <r>
    <d v="2026-02-10T00:00:00"/>
    <x v="2"/>
    <n v="70579"/>
    <n v="80"/>
    <m/>
    <m/>
    <n v="7.66"/>
    <n v="766"/>
    <n v="1000000040"/>
    <s v="Mohd Karamallah"/>
    <x v="1"/>
    <x v="0"/>
  </r>
  <r>
    <d v="2026-02-10T00:00:00"/>
    <x v="2"/>
    <n v="60"/>
    <n v="80"/>
    <m/>
    <m/>
    <n v="7.56"/>
    <n v="756"/>
    <n v="1000000040"/>
    <s v="Mohd Karamallah"/>
    <x v="1"/>
    <x v="0"/>
  </r>
  <r>
    <d v="2026-02-10T00:00:00"/>
    <x v="2"/>
    <n v="1366"/>
    <n v="80"/>
    <m/>
    <m/>
    <n v="7.6"/>
    <n v="760"/>
    <n v="1000000040"/>
    <s v="Mohd Karamallah"/>
    <x v="1"/>
    <x v="0"/>
  </r>
  <r>
    <d v="2026-02-10T00:00:00"/>
    <x v="2"/>
    <n v="605"/>
    <n v="80"/>
    <m/>
    <m/>
    <n v="7.66"/>
    <n v="766"/>
    <n v="1000000040"/>
    <s v="Mohd Karamallah"/>
    <x v="1"/>
    <x v="0"/>
  </r>
  <r>
    <d v="2026-02-10T00:00:00"/>
    <x v="2"/>
    <n v="1398"/>
    <n v="80"/>
    <m/>
    <m/>
    <n v="7.6"/>
    <n v="760"/>
    <n v="1000000040"/>
    <s v="Mohd Karamallah"/>
    <x v="1"/>
    <x v="0"/>
  </r>
  <r>
    <d v="2026-02-10T00:00:00"/>
    <x v="2"/>
    <n v="535"/>
    <n v="100"/>
    <m/>
    <m/>
    <n v="9.48"/>
    <n v="948"/>
    <n v="1000000040"/>
    <s v="Mohd Karamallah"/>
    <x v="1"/>
    <x v="0"/>
  </r>
  <r>
    <d v="2026-02-10T00:00:00"/>
    <x v="2"/>
    <n v="938"/>
    <n v="80"/>
    <m/>
    <m/>
    <n v="7.66"/>
    <n v="766"/>
    <n v="1000000040"/>
    <s v="Mohd Karamallah"/>
    <x v="1"/>
    <x v="0"/>
  </r>
  <r>
    <d v="2026-02-10T00:00:00"/>
    <x v="2"/>
    <n v="1194"/>
    <n v="80"/>
    <m/>
    <m/>
    <n v="7.7"/>
    <n v="770"/>
    <n v="1000000040"/>
    <s v="Mohd Karamallah"/>
    <x v="1"/>
    <x v="0"/>
  </r>
  <r>
    <d v="2026-02-10T00:00:00"/>
    <x v="2"/>
    <n v="343"/>
    <n v="90"/>
    <m/>
    <m/>
    <n v="8.4600000000000009"/>
    <n v="846.00000000000011"/>
    <n v="1000000040"/>
    <s v="Mohd Karamallah"/>
    <x v="1"/>
    <x v="0"/>
  </r>
  <r>
    <d v="2026-02-10T00:00:00"/>
    <x v="2"/>
    <n v="1012"/>
    <n v="90"/>
    <m/>
    <m/>
    <n v="8.5"/>
    <n v="850"/>
    <n v="1000000040"/>
    <s v="Mohd Karamallah"/>
    <x v="1"/>
    <x v="0"/>
  </r>
  <r>
    <d v="2026-02-10T00:00:00"/>
    <x v="2"/>
    <n v="714"/>
    <n v="100"/>
    <m/>
    <m/>
    <n v="9.4"/>
    <n v="940"/>
    <n v="1000000040"/>
    <s v="Mohd Karamallah"/>
    <x v="1"/>
    <x v="0"/>
  </r>
  <r>
    <d v="2026-02-11T00:00:00"/>
    <x v="2"/>
    <n v="41109"/>
    <n v="90"/>
    <m/>
    <m/>
    <n v="7.76"/>
    <n v="776"/>
    <n v="1000000040"/>
    <s v="Mohd Karamallah"/>
    <x v="1"/>
    <x v="0"/>
  </r>
  <r>
    <d v="2026-02-11T00:00:00"/>
    <x v="2"/>
    <n v="264"/>
    <n v="80"/>
    <m/>
    <m/>
    <n v="7.04"/>
    <n v="704"/>
    <n v="1000000040"/>
    <s v="Mohd Karamallah"/>
    <x v="1"/>
    <x v="0"/>
  </r>
  <r>
    <d v="2026-02-11T00:00:00"/>
    <x v="2"/>
    <n v="423"/>
    <n v="80"/>
    <m/>
    <m/>
    <n v="7.1"/>
    <n v="710"/>
    <n v="1000000040"/>
    <s v="Mohd Karamallah"/>
    <x v="1"/>
    <x v="0"/>
  </r>
  <r>
    <d v="2026-02-11T00:00:00"/>
    <x v="2"/>
    <n v="1112"/>
    <n v="80"/>
    <m/>
    <m/>
    <n v="6.84"/>
    <n v="684"/>
    <n v="1000000040"/>
    <s v="Mohd Karamallah"/>
    <x v="1"/>
    <x v="0"/>
  </r>
  <r>
    <d v="2026-02-11T00:00:00"/>
    <x v="2"/>
    <n v="714"/>
    <n v="80"/>
    <m/>
    <m/>
    <n v="6.92"/>
    <n v="692"/>
    <n v="1000000040"/>
    <s v="Mohd Karamallah"/>
    <x v="1"/>
    <x v="0"/>
  </r>
  <r>
    <d v="2026-02-11T00:00:00"/>
    <x v="2"/>
    <n v="717"/>
    <n v="80"/>
    <m/>
    <m/>
    <n v="6.84"/>
    <n v="684"/>
    <n v="1000000040"/>
    <s v="Mohd Karamallah"/>
    <x v="1"/>
    <x v="0"/>
  </r>
  <r>
    <d v="2026-02-11T00:00:00"/>
    <x v="2"/>
    <n v="41109"/>
    <n v="80"/>
    <m/>
    <m/>
    <n v="6.86"/>
    <n v="686"/>
    <n v="1000000040"/>
    <s v="Mohd Karamallah"/>
    <x v="1"/>
    <x v="0"/>
  </r>
  <r>
    <d v="2026-02-11T00:00:00"/>
    <x v="2"/>
    <n v="1802"/>
    <n v="80"/>
    <m/>
    <m/>
    <n v="6.86"/>
    <n v="686"/>
    <n v="1000000040"/>
    <s v="Mohd Karamallah"/>
    <x v="1"/>
    <x v="0"/>
  </r>
  <r>
    <d v="2026-02-11T00:00:00"/>
    <x v="2"/>
    <n v="915"/>
    <n v="80"/>
    <m/>
    <m/>
    <n v="6.5"/>
    <n v="650"/>
    <n v="1000000040"/>
    <s v="Mohd Karamallah"/>
    <x v="1"/>
    <x v="0"/>
  </r>
  <r>
    <d v="2026-02-11T00:00:00"/>
    <x v="2"/>
    <n v="264"/>
    <n v="80"/>
    <m/>
    <m/>
    <n v="6.96"/>
    <n v="696"/>
    <n v="1000000040"/>
    <s v="Mohd Karamallah"/>
    <x v="1"/>
    <x v="0"/>
  </r>
  <r>
    <d v="2026-02-11T00:00:00"/>
    <x v="2"/>
    <n v="423"/>
    <n v="80"/>
    <m/>
    <m/>
    <n v="6.9"/>
    <n v="690"/>
    <n v="1000000040"/>
    <s v="Mohd Karamallah"/>
    <x v="1"/>
    <x v="0"/>
  </r>
  <r>
    <d v="2026-02-11T00:00:00"/>
    <x v="2"/>
    <n v="714"/>
    <n v="80"/>
    <m/>
    <m/>
    <n v="6.98"/>
    <n v="698"/>
    <n v="1000000040"/>
    <s v="Mohd Karamallah"/>
    <x v="1"/>
    <x v="0"/>
  </r>
  <r>
    <d v="2026-02-11T00:00:00"/>
    <x v="2"/>
    <n v="1112"/>
    <n v="80"/>
    <m/>
    <m/>
    <n v="6.96"/>
    <n v="696"/>
    <n v="1000000040"/>
    <s v="Mohd Karamallah"/>
    <x v="1"/>
    <x v="0"/>
  </r>
  <r>
    <d v="2026-02-16T00:00:00"/>
    <x v="2"/>
    <n v="1110"/>
    <n v="80"/>
    <m/>
    <m/>
    <n v="6.92"/>
    <n v="692"/>
    <n v="1000000040"/>
    <s v="Mohd Karamallah"/>
    <x v="1"/>
    <x v="0"/>
  </r>
  <r>
    <d v="2026-02-16T00:00:00"/>
    <x v="2"/>
    <n v="915"/>
    <n v="80"/>
    <m/>
    <m/>
    <n v="6.98"/>
    <n v="698"/>
    <n v="1000000040"/>
    <s v="Mohd Karamallah"/>
    <x v="1"/>
    <x v="0"/>
  </r>
  <r>
    <d v="2026-02-16T00:00:00"/>
    <x v="2"/>
    <n v="1194"/>
    <n v="80"/>
    <m/>
    <m/>
    <n v="6.96"/>
    <n v="696"/>
    <n v="1000000040"/>
    <s v="Mohd Karamallah"/>
    <x v="1"/>
    <x v="0"/>
  </r>
  <r>
    <d v="2026-02-16T00:00:00"/>
    <x v="2"/>
    <n v="737"/>
    <n v="80"/>
    <m/>
    <m/>
    <n v="7.18"/>
    <n v="718"/>
    <n v="1000000040"/>
    <s v="Mohd Karamallah"/>
    <x v="1"/>
    <x v="0"/>
  </r>
  <r>
    <d v="2026-02-16T00:00:00"/>
    <x v="2"/>
    <n v="1056"/>
    <n v="80"/>
    <m/>
    <m/>
    <n v="7"/>
    <n v="700"/>
    <n v="1000000040"/>
    <s v="Mohd Karamallah"/>
    <x v="1"/>
    <x v="0"/>
  </r>
  <r>
    <d v="2026-02-16T00:00:00"/>
    <x v="2"/>
    <n v="1471"/>
    <n v="80"/>
    <m/>
    <m/>
    <n v="7.08"/>
    <n v="708"/>
    <n v="1000000040"/>
    <s v="Mohd Karamallah"/>
    <x v="1"/>
    <x v="0"/>
  </r>
  <r>
    <d v="2026-02-16T00:00:00"/>
    <x v="2"/>
    <n v="737"/>
    <n v="80"/>
    <m/>
    <m/>
    <n v="7.04"/>
    <n v="704"/>
    <n v="1000000040"/>
    <s v="Mohd Karamallah"/>
    <x v="1"/>
    <x v="0"/>
  </r>
  <r>
    <d v="2026-02-16T00:00:00"/>
    <x v="2"/>
    <n v="1056"/>
    <n v="88"/>
    <m/>
    <m/>
    <n v="7.74"/>
    <n v="774"/>
    <n v="1000000040"/>
    <s v="Mohd Karamallah"/>
    <x v="1"/>
    <x v="0"/>
  </r>
  <r>
    <d v="2026-03-30T00:00:00"/>
    <x v="2"/>
    <n v="62023"/>
    <n v="97"/>
    <m/>
    <m/>
    <n v="9.34"/>
    <n v="934"/>
    <n v="1000000040"/>
    <s v="Mohd Karamallah"/>
    <x v="2"/>
    <x v="0"/>
  </r>
  <r>
    <d v="2026-03-30T00:00:00"/>
    <x v="2"/>
    <n v="1110"/>
    <n v="80"/>
    <m/>
    <m/>
    <n v="7.6"/>
    <n v="760"/>
    <n v="1000000040"/>
    <s v="Mohd Karamallah"/>
    <x v="2"/>
    <x v="0"/>
  </r>
  <r>
    <d v="2026-03-30T00:00:00"/>
    <x v="2"/>
    <n v="42209"/>
    <n v="100"/>
    <m/>
    <m/>
    <n v="9.44"/>
    <n v="944"/>
    <n v="1000000040"/>
    <s v="Mohd Karamallah"/>
    <x v="2"/>
    <x v="0"/>
  </r>
  <r>
    <d v="2026-03-30T00:00:00"/>
    <x v="2"/>
    <n v="915"/>
    <n v="80"/>
    <m/>
    <m/>
    <n v="7.66"/>
    <n v="766"/>
    <n v="1000000040"/>
    <s v="Mohd Karamallah"/>
    <x v="2"/>
    <x v="0"/>
  </r>
  <r>
    <d v="2026-03-30T00:00:00"/>
    <x v="2"/>
    <n v="714"/>
    <n v="80"/>
    <m/>
    <m/>
    <n v="7.56"/>
    <n v="756"/>
    <n v="1000000040"/>
    <s v="Mohd Karamallah"/>
    <x v="2"/>
    <x v="0"/>
  </r>
  <r>
    <d v="2026-03-30T00:00:00"/>
    <x v="2"/>
    <n v="280"/>
    <n v="80"/>
    <m/>
    <m/>
    <n v="7.52"/>
    <n v="752"/>
    <n v="1000000040"/>
    <s v="Mohd Karamallah"/>
    <x v="2"/>
    <x v="0"/>
  </r>
  <r>
    <d v="2026-03-30T00:00:00"/>
    <x v="2"/>
    <n v="1398"/>
    <n v="80"/>
    <m/>
    <m/>
    <n v="7.5"/>
    <n v="750"/>
    <n v="1000000040"/>
    <s v="Mohd Karamallah"/>
    <x v="2"/>
    <x v="0"/>
  </r>
  <r>
    <d v="2026-03-30T00:00:00"/>
    <x v="2"/>
    <n v="1207"/>
    <n v="80"/>
    <m/>
    <m/>
    <n v="7.56"/>
    <n v="756"/>
    <n v="1000000040"/>
    <s v="Mohd Karamallah"/>
    <x v="2"/>
    <x v="0"/>
  </r>
  <r>
    <d v="2026-03-30T00:00:00"/>
    <x v="2"/>
    <n v="41109"/>
    <n v="80"/>
    <m/>
    <m/>
    <n v="7.54"/>
    <n v="754"/>
    <n v="1000000040"/>
    <s v="Mohd Karamallah"/>
    <x v="2"/>
    <x v="0"/>
  </r>
  <r>
    <d v="2026-03-30T00:00:00"/>
    <x v="2"/>
    <n v="516"/>
    <n v="80"/>
    <m/>
    <m/>
    <n v="7.58"/>
    <n v="758"/>
    <n v="1000000040"/>
    <s v="Mohd Karamallah"/>
    <x v="2"/>
    <x v="0"/>
  </r>
  <r>
    <d v="2026-03-30T00:00:00"/>
    <x v="2"/>
    <n v="916"/>
    <n v="60"/>
    <m/>
    <m/>
    <n v="5.64"/>
    <n v="564"/>
    <n v="1000000040"/>
    <s v="Mohd Karamallah"/>
    <x v="2"/>
    <x v="0"/>
  </r>
  <r>
    <d v="2026-03-31T00:00:00"/>
    <x v="2"/>
    <n v="280"/>
    <n v="85"/>
    <m/>
    <m/>
    <n v="7.32"/>
    <n v="732"/>
    <n v="1000000040"/>
    <s v="Mohd Karamallah"/>
    <x v="2"/>
    <x v="0"/>
  </r>
  <r>
    <d v="2026-03-31T00:00:00"/>
    <x v="2"/>
    <n v="5511"/>
    <n v="85"/>
    <m/>
    <m/>
    <n v="7.46"/>
    <n v="746"/>
    <n v="1000000040"/>
    <s v="Mohd Karamallah"/>
    <x v="2"/>
    <x v="0"/>
  </r>
  <r>
    <d v="2026-03-31T00:00:00"/>
    <x v="2"/>
    <n v="756"/>
    <n v="85"/>
    <m/>
    <m/>
    <n v="7.36"/>
    <n v="736"/>
    <n v="1000000040"/>
    <s v="Mohd Karamallah"/>
    <x v="2"/>
    <x v="0"/>
  </r>
  <r>
    <d v="2026-03-31T00:00:00"/>
    <x v="2"/>
    <n v="1460"/>
    <n v="85"/>
    <m/>
    <m/>
    <n v="7.42"/>
    <n v="742"/>
    <n v="1000000040"/>
    <s v="Mohd Karamallah"/>
    <x v="2"/>
    <x v="0"/>
  </r>
  <r>
    <d v="2026-03-31T00:00:00"/>
    <x v="2"/>
    <n v="2226"/>
    <n v="55"/>
    <m/>
    <m/>
    <n v="4.74"/>
    <n v="474"/>
    <n v="1000000040"/>
    <s v="Mohd Karamallah"/>
    <x v="2"/>
    <x v="0"/>
  </r>
  <r>
    <d v="2026-03-31T00:00:00"/>
    <x v="2"/>
    <n v="772"/>
    <n v="80"/>
    <m/>
    <m/>
    <n v="6.96"/>
    <n v="696"/>
    <n v="1000000040"/>
    <s v="Mohd Karamallah"/>
    <x v="2"/>
    <x v="0"/>
  </r>
  <r>
    <d v="2026-04-01T00:00:00"/>
    <x v="2"/>
    <n v="1112"/>
    <n v="107"/>
    <m/>
    <m/>
    <n v="10.08"/>
    <n v="1008"/>
    <n v="1000000040"/>
    <s v="Mohd Karamallah"/>
    <x v="2"/>
    <x v="0"/>
  </r>
  <r>
    <d v="2026-04-04T00:00:00"/>
    <x v="2"/>
    <n v="6775"/>
    <n v="90"/>
    <m/>
    <m/>
    <n v="8.44"/>
    <n v="844"/>
    <n v="1000000040"/>
    <s v="Mohd Karamallah"/>
    <x v="2"/>
    <x v="0"/>
  </r>
  <r>
    <d v="2026-04-04T00:00:00"/>
    <x v="2"/>
    <n v="5511"/>
    <n v="90"/>
    <m/>
    <m/>
    <n v="8.32"/>
    <n v="832"/>
    <n v="1000000040"/>
    <s v="Mohd Karamallah"/>
    <x v="2"/>
    <x v="0"/>
  </r>
  <r>
    <d v="2026-04-04T00:00:00"/>
    <x v="2"/>
    <n v="1112"/>
    <n v="104"/>
    <m/>
    <m/>
    <n v="9.16"/>
    <n v="916"/>
    <n v="1000000040"/>
    <s v="Mohd Karamallah"/>
    <x v="2"/>
    <x v="0"/>
  </r>
  <r>
    <d v="2026-04-04T00:00:00"/>
    <x v="2"/>
    <n v="91"/>
    <n v="80"/>
    <m/>
    <m/>
    <n v="6.92"/>
    <n v="692"/>
    <n v="1000000040"/>
    <s v="Mohd Karamallah"/>
    <x v="2"/>
    <x v="0"/>
  </r>
  <r>
    <d v="2026-04-04T00:00:00"/>
    <x v="2"/>
    <n v="263"/>
    <n v="81"/>
    <m/>
    <m/>
    <n v="6.94"/>
    <n v="694"/>
    <n v="1000000040"/>
    <s v="Mohd Karamallah"/>
    <x v="2"/>
    <x v="0"/>
  </r>
  <r>
    <d v="2026-04-07T00:00:00"/>
    <x v="2"/>
    <n v="411"/>
    <n v="100"/>
    <m/>
    <m/>
    <n v="9.48"/>
    <n v="948"/>
    <n v="1000000040"/>
    <s v="Mohd Karamallah"/>
    <x v="2"/>
    <x v="0"/>
  </r>
  <r>
    <d v="2026-04-07T00:00:00"/>
    <x v="2"/>
    <n v="60"/>
    <n v="80"/>
    <m/>
    <m/>
    <n v="7.56"/>
    <n v="756"/>
    <n v="1000000040"/>
    <s v="Mohd Karamallah"/>
    <x v="2"/>
    <x v="0"/>
  </r>
  <r>
    <d v="2026-04-07T00:00:00"/>
    <x v="2"/>
    <n v="1110"/>
    <n v="80"/>
    <m/>
    <m/>
    <n v="7.48"/>
    <n v="748"/>
    <n v="1000000040"/>
    <s v="Mohd Karamallah"/>
    <x v="2"/>
    <x v="0"/>
  </r>
  <r>
    <d v="2026-04-07T00:00:00"/>
    <x v="2"/>
    <n v="1080"/>
    <n v="85"/>
    <m/>
    <m/>
    <n v="8.14"/>
    <n v="814"/>
    <n v="1000000040"/>
    <s v="Mohd Karamallah"/>
    <x v="2"/>
    <x v="0"/>
  </r>
  <r>
    <d v="2026-04-07T00:00:00"/>
    <x v="2"/>
    <n v="1093"/>
    <n v="80"/>
    <m/>
    <m/>
    <n v="7.56"/>
    <n v="756"/>
    <n v="1000000040"/>
    <s v="Mohd Karamallah"/>
    <x v="2"/>
    <x v="0"/>
  </r>
  <r>
    <d v="2026-04-07T00:00:00"/>
    <x v="2"/>
    <n v="1460"/>
    <n v="80"/>
    <m/>
    <m/>
    <n v="7.46"/>
    <n v="746"/>
    <n v="1000000040"/>
    <s v="Mohd Karamallah"/>
    <x v="2"/>
    <x v="0"/>
  </r>
  <r>
    <d v="2026-04-07T00:00:00"/>
    <x v="2"/>
    <n v="264"/>
    <n v="80"/>
    <m/>
    <m/>
    <n v="7.58"/>
    <n v="758"/>
    <n v="1000000040"/>
    <s v="Mohd Karamallah"/>
    <x v="2"/>
    <x v="0"/>
  </r>
  <r>
    <d v="2026-04-07T00:00:00"/>
    <x v="2"/>
    <n v="769"/>
    <n v="85"/>
    <m/>
    <m/>
    <n v="8.1999999999999993"/>
    <n v="819.99999999999989"/>
    <n v="1000000040"/>
    <s v="Mohd Karamallah"/>
    <x v="2"/>
    <x v="0"/>
  </r>
  <r>
    <d v="2026-04-07T00:00:00"/>
    <x v="2"/>
    <n v="2226"/>
    <n v="80"/>
    <m/>
    <m/>
    <n v="7.58"/>
    <n v="758"/>
    <n v="1000000040"/>
    <s v="Mohd Karamallah"/>
    <x v="2"/>
    <x v="0"/>
  </r>
  <r>
    <d v="2026-04-07T00:00:00"/>
    <x v="2"/>
    <n v="461"/>
    <n v="80"/>
    <m/>
    <m/>
    <n v="7.58"/>
    <n v="758"/>
    <n v="1000000040"/>
    <s v="Mohd Karamallah"/>
    <x v="2"/>
    <x v="0"/>
  </r>
  <r>
    <d v="2026-04-07T00:00:00"/>
    <x v="2"/>
    <n v="1398"/>
    <n v="80"/>
    <m/>
    <m/>
    <n v="7.52"/>
    <n v="752"/>
    <n v="1000000040"/>
    <s v="Mohd Karamallah"/>
    <x v="2"/>
    <x v="0"/>
  </r>
  <r>
    <d v="2026-04-07T00:00:00"/>
    <x v="2"/>
    <n v="772"/>
    <n v="80"/>
    <m/>
    <m/>
    <n v="7.58"/>
    <n v="758"/>
    <n v="1000000040"/>
    <s v="Mohd Karamallah"/>
    <x v="2"/>
    <x v="0"/>
  </r>
  <r>
    <d v="2026-04-07T00:00:00"/>
    <x v="2"/>
    <n v="742"/>
    <n v="93"/>
    <m/>
    <m/>
    <n v="8.68"/>
    <n v="868"/>
    <n v="1000000040"/>
    <s v="Mohd Karamallah"/>
    <x v="2"/>
    <x v="0"/>
  </r>
  <r>
    <d v="2026-04-07T00:00:00"/>
    <x v="2"/>
    <n v="62023"/>
    <n v="100"/>
    <m/>
    <m/>
    <n v="9.5"/>
    <n v="950"/>
    <n v="1000000040"/>
    <s v="Mohd Karamallah"/>
    <x v="2"/>
    <x v="0"/>
  </r>
  <r>
    <d v="2026-04-07T00:00:00"/>
    <x v="2"/>
    <n v="319"/>
    <n v="80"/>
    <m/>
    <m/>
    <n v="7.64"/>
    <n v="764"/>
    <n v="1000000040"/>
    <s v="Mohd Karamallah"/>
    <x v="2"/>
    <x v="0"/>
  </r>
  <r>
    <d v="2026-04-07T00:00:00"/>
    <x v="2"/>
    <n v="310"/>
    <n v="80"/>
    <m/>
    <m/>
    <n v="7.7"/>
    <n v="770"/>
    <n v="1000000040"/>
    <s v="Mohd Karamallah"/>
    <x v="2"/>
    <x v="0"/>
  </r>
  <r>
    <d v="2026-04-07T00:00:00"/>
    <x v="2"/>
    <n v="366"/>
    <n v="85"/>
    <m/>
    <m/>
    <n v="8.26"/>
    <n v="826"/>
    <n v="1000000040"/>
    <s v="Mohd Karamallah"/>
    <x v="2"/>
    <x v="0"/>
  </r>
  <r>
    <d v="2026-04-07T00:00:00"/>
    <x v="2"/>
    <n v="411"/>
    <n v="80"/>
    <m/>
    <m/>
    <n v="7.74"/>
    <n v="774"/>
    <n v="1000000040"/>
    <s v="Mohd Karamallah"/>
    <x v="2"/>
    <x v="0"/>
  </r>
  <r>
    <d v="2026-04-13T00:00:00"/>
    <x v="2"/>
    <n v="611"/>
    <n v="80"/>
    <m/>
    <m/>
    <n v="7.58"/>
    <n v="758"/>
    <n v="1000000040"/>
    <s v="Mohd Karamallah"/>
    <x v="2"/>
    <x v="0"/>
  </r>
  <r>
    <d v="2026-04-13T00:00:00"/>
    <x v="2"/>
    <n v="1535"/>
    <n v="80"/>
    <m/>
    <m/>
    <n v="7.66"/>
    <n v="766"/>
    <n v="1000000040"/>
    <s v="Mohd Karamallah"/>
    <x v="2"/>
    <x v="0"/>
  </r>
  <r>
    <d v="2026-04-13T00:00:00"/>
    <x v="2"/>
    <n v="1093"/>
    <n v="80"/>
    <m/>
    <m/>
    <n v="7.72"/>
    <n v="772"/>
    <n v="1000000040"/>
    <s v="Mohd Karamallah"/>
    <x v="2"/>
    <x v="0"/>
  </r>
  <r>
    <d v="2026-04-13T00:00:00"/>
    <x v="2"/>
    <n v="263"/>
    <n v="80"/>
    <m/>
    <m/>
    <n v="7.7"/>
    <n v="770"/>
    <n v="1000000040"/>
    <s v="Mohd Karamallah"/>
    <x v="2"/>
    <x v="0"/>
  </r>
  <r>
    <d v="2026-04-13T00:00:00"/>
    <x v="2"/>
    <n v="663"/>
    <n v="80"/>
    <m/>
    <m/>
    <n v="7.72"/>
    <n v="772"/>
    <n v="1000000040"/>
    <s v="Mohd Karamallah"/>
    <x v="2"/>
    <x v="0"/>
  </r>
  <r>
    <d v="2026-04-13T00:00:00"/>
    <x v="2"/>
    <n v="19913"/>
    <n v="98"/>
    <m/>
    <m/>
    <n v="9.4"/>
    <n v="940"/>
    <n v="1000000040"/>
    <s v="Mohd Karamallah"/>
    <x v="2"/>
    <x v="0"/>
  </r>
  <r>
    <d v="2026-04-13T00:00:00"/>
    <x v="2"/>
    <n v="62023"/>
    <n v="100"/>
    <m/>
    <m/>
    <n v="9.4600000000000009"/>
    <n v="946.00000000000011"/>
    <n v="1000000040"/>
    <s v="Mohd Karamallah"/>
    <x v="2"/>
    <x v="0"/>
  </r>
  <r>
    <d v="2026-04-15T00:00:00"/>
    <x v="2"/>
    <n v="605"/>
    <n v="80"/>
    <m/>
    <m/>
    <n v="7.52"/>
    <n v="752"/>
    <n v="1000000040"/>
    <s v="Mohd Karamallah"/>
    <x v="2"/>
    <x v="0"/>
  </r>
  <r>
    <d v="2026-04-15T00:00:00"/>
    <x v="2"/>
    <n v="1471"/>
    <n v="100"/>
    <m/>
    <m/>
    <n v="9.52"/>
    <n v="952"/>
    <n v="1000000040"/>
    <s v="Mohd Karamallah"/>
    <x v="2"/>
    <x v="0"/>
  </r>
  <r>
    <d v="2026-04-15T00:00:00"/>
    <x v="2"/>
    <n v="1651"/>
    <n v="80"/>
    <m/>
    <m/>
    <n v="7.56"/>
    <n v="756"/>
    <n v="1000000040"/>
    <s v="Mohd Karamallah"/>
    <x v="2"/>
    <x v="0"/>
  </r>
  <r>
    <d v="2026-04-15T00:00:00"/>
    <x v="2"/>
    <n v="769"/>
    <n v="80"/>
    <m/>
    <m/>
    <n v="7.66"/>
    <n v="766"/>
    <n v="1000000040"/>
    <s v="Mohd Karamallah"/>
    <x v="2"/>
    <x v="0"/>
  </r>
  <r>
    <d v="2026-04-15T00:00:00"/>
    <x v="2"/>
    <n v="737"/>
    <n v="80"/>
    <m/>
    <m/>
    <n v="7.62"/>
    <n v="762"/>
    <n v="1000000040"/>
    <s v="Mohd Karamallah"/>
    <x v="2"/>
    <x v="0"/>
  </r>
  <r>
    <d v="2026-04-15T00:00:00"/>
    <x v="2"/>
    <n v="19913"/>
    <n v="85"/>
    <m/>
    <m/>
    <n v="8"/>
    <n v="800"/>
    <n v="1000000040"/>
    <s v="Mohd Karamallah"/>
    <x v="2"/>
    <x v="0"/>
  </r>
  <r>
    <d v="2026-04-08T00:00:00"/>
    <x v="3"/>
    <n v="4236"/>
    <n v="500"/>
    <m/>
    <m/>
    <n v="44.6"/>
    <n v="44600"/>
    <n v="1000000040"/>
    <s v="Mohd Karamallah"/>
    <x v="3"/>
    <x v="0"/>
  </r>
  <r>
    <d v="2026-04-11T00:00:00"/>
    <x v="3"/>
    <n v="13005"/>
    <n v="500"/>
    <m/>
    <m/>
    <n v="41.6"/>
    <n v="41600"/>
    <n v="1000000040"/>
    <s v="Mohd Karamallah"/>
    <x v="3"/>
    <x v="0"/>
  </r>
  <r>
    <d v="2026-04-12T00:00:00"/>
    <x v="3"/>
    <n v="9138"/>
    <n v="500"/>
    <m/>
    <m/>
    <n v="44.48"/>
    <n v="44480"/>
    <n v="1000000040"/>
    <s v="Mohd Karamallah"/>
    <x v="3"/>
    <x v="0"/>
  </r>
  <r>
    <d v="2026-04-15T00:00:00"/>
    <x v="3"/>
    <n v="2125"/>
    <n v="500"/>
    <m/>
    <m/>
    <n v="41.58"/>
    <n v="41580"/>
    <n v="1000000040"/>
    <s v="Mohd Karamallah"/>
    <x v="3"/>
    <x v="0"/>
  </r>
  <r>
    <d v="2026-04-18T00:00:00"/>
    <x v="3"/>
    <n v="35136"/>
    <n v="550"/>
    <m/>
    <m/>
    <n v="46.3"/>
    <n v="46300"/>
    <n v="1000000040"/>
    <s v="Mohd Karamallah"/>
    <x v="3"/>
    <x v="0"/>
  </r>
  <r>
    <d v="2026-04-20T00:00:00"/>
    <x v="3"/>
    <n v="4983"/>
    <n v="500"/>
    <m/>
    <m/>
    <n v="41.72"/>
    <n v="41720"/>
    <n v="1000000040"/>
    <s v="Mohd Karamallah"/>
    <x v="3"/>
    <x v="0"/>
  </r>
  <r>
    <d v="2026-05-04T00:00:00"/>
    <x v="2"/>
    <n v="53808"/>
    <n v="550"/>
    <m/>
    <m/>
    <n v="50.44"/>
    <n v="5044"/>
    <n v="1000000040"/>
    <s v="Mohd Karamallah"/>
    <x v="2"/>
    <x v="0"/>
  </r>
  <r>
    <d v="2026-05-04T00:00:00"/>
    <x v="2"/>
    <n v="1812"/>
    <n v="201"/>
    <m/>
    <m/>
    <n v="18.5"/>
    <n v="1850"/>
    <n v="1000000040"/>
    <s v="Mohd Karamallah"/>
    <x v="2"/>
    <x v="0"/>
  </r>
  <r>
    <d v="2026-05-04T00:00:00"/>
    <x v="2"/>
    <n v="1812"/>
    <n v="299"/>
    <m/>
    <m/>
    <n v="26.62"/>
    <n v="2662"/>
    <n v="1000000040"/>
    <s v="Mohd Karamallah"/>
    <x v="2"/>
    <x v="0"/>
  </r>
  <r>
    <d v="2026-05-06T00:00:00"/>
    <x v="2"/>
    <n v="10763"/>
    <n v="500"/>
    <m/>
    <m/>
    <n v="47.48"/>
    <n v="4748"/>
    <n v="1000000040"/>
    <s v="Mohd Karamallah"/>
    <x v="2"/>
    <x v="0"/>
  </r>
  <r>
    <d v="2026-05-07T00:00:00"/>
    <x v="2"/>
    <n v="9353"/>
    <n v="500"/>
    <m/>
    <m/>
    <n v="43.2"/>
    <n v="4320"/>
    <n v="1000000040"/>
    <s v="Mohd Karamallah"/>
    <x v="2"/>
    <x v="0"/>
  </r>
  <r>
    <d v="2026-05-11T00:00:00"/>
    <x v="2"/>
    <n v="9360"/>
    <n v="550"/>
    <m/>
    <m/>
    <n v="52.28"/>
    <n v="5228"/>
    <n v="1000000040"/>
    <s v="Mohd Karamallah"/>
    <x v="2"/>
    <x v="0"/>
  </r>
  <r>
    <d v="2026-05-11T00:00:00"/>
    <x v="2"/>
    <n v="10326"/>
    <n v="497"/>
    <m/>
    <m/>
    <n v="44.48"/>
    <n v="4448"/>
    <n v="1000000040"/>
    <s v="Mohd Karamallah"/>
    <x v="2"/>
    <x v="0"/>
  </r>
  <r>
    <d v="2026-05-12T00:00:00"/>
    <x v="2"/>
    <n v="9354"/>
    <n v="550"/>
    <m/>
    <m/>
    <n v="53.02"/>
    <n v="5302"/>
    <n v="1000000040"/>
    <s v="Mohd Karamallah"/>
    <x v="2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66">
  <r>
    <x v="0"/>
    <x v="0"/>
    <m/>
    <s v="Bulk"/>
    <n v="2922.61"/>
    <n v="2922610"/>
    <x v="0"/>
    <n v="1000000037"/>
    <s v="Mohd Karamallah"/>
    <x v="0"/>
  </r>
  <r>
    <x v="1"/>
    <x v="0"/>
    <m/>
    <s v="Bulk"/>
    <n v="2078"/>
    <n v="2078000"/>
    <x v="0"/>
    <n v="1000000037"/>
    <s v="Mohd Karamallah"/>
    <x v="0"/>
  </r>
  <r>
    <x v="2"/>
    <x v="0"/>
    <m/>
    <s v="Bulk"/>
    <n v="1942"/>
    <n v="1942000"/>
    <x v="0"/>
    <n v="1000000037"/>
    <s v="Mohd Karamallah"/>
    <x v="1"/>
  </r>
  <r>
    <x v="3"/>
    <x v="0"/>
    <m/>
    <s v="Bulk"/>
    <n v="78"/>
    <n v="78000"/>
    <x v="0"/>
    <n v="1000000037"/>
    <s v="Mohd Karamallah"/>
    <x v="1"/>
  </r>
  <r>
    <x v="3"/>
    <x v="0"/>
    <m/>
    <s v="Bulk"/>
    <n v="480"/>
    <n v="480000"/>
    <x v="1"/>
    <n v="4000000232"/>
    <s v="Mohd Karamallah"/>
    <x v="1"/>
  </r>
  <r>
    <x v="4"/>
    <x v="0"/>
    <m/>
    <s v="Bulk"/>
    <n v="2500"/>
    <n v="2500000"/>
    <x v="0"/>
    <n v="1000000037"/>
    <s v="Mohd Karamallah"/>
    <x v="2"/>
  </r>
  <r>
    <x v="5"/>
    <x v="1"/>
    <n v="264"/>
    <n v="80"/>
    <n v="8.02"/>
    <n v="8020"/>
    <x v="0"/>
    <n v="1000000037"/>
    <s v="Mohd Karamallah"/>
    <x v="3"/>
  </r>
  <r>
    <x v="5"/>
    <x v="1"/>
    <n v="737"/>
    <n v="80"/>
    <n v="8.02"/>
    <n v="8020"/>
    <x v="0"/>
    <n v="1000000037"/>
    <s v="Mohd Karamallah"/>
    <x v="3"/>
  </r>
  <r>
    <x v="5"/>
    <x v="1"/>
    <n v="1110"/>
    <n v="80"/>
    <n v="7.96"/>
    <n v="7960"/>
    <x v="0"/>
    <n v="1000000037"/>
    <s v="Mohd Karamallah"/>
    <x v="3"/>
  </r>
  <r>
    <x v="5"/>
    <x v="1"/>
    <n v="1802"/>
    <n v="80"/>
    <n v="8.06"/>
    <n v="8060"/>
    <x v="0"/>
    <n v="1000000037"/>
    <s v="Mohd Karamallah"/>
    <x v="3"/>
  </r>
  <r>
    <x v="5"/>
    <x v="1"/>
    <n v="2226"/>
    <n v="80"/>
    <n v="7.98"/>
    <n v="7980"/>
    <x v="0"/>
    <n v="1000000037"/>
    <s v="Mohd Karamallah"/>
    <x v="3"/>
  </r>
  <r>
    <x v="5"/>
    <x v="1"/>
    <n v="573"/>
    <n v="80"/>
    <n v="7.88"/>
    <n v="7880"/>
    <x v="0"/>
    <n v="1000000037"/>
    <s v="Mohd Karamallah"/>
    <x v="3"/>
  </r>
  <r>
    <x v="5"/>
    <x v="1"/>
    <n v="264"/>
    <n v="80"/>
    <n v="7.98"/>
    <n v="7980"/>
    <x v="0"/>
    <n v="1000000037"/>
    <s v="Mohd Karamallah"/>
    <x v="3"/>
  </r>
  <r>
    <x v="5"/>
    <x v="1"/>
    <n v="343"/>
    <n v="80"/>
    <n v="7.9"/>
    <n v="7900"/>
    <x v="0"/>
    <n v="1000000037"/>
    <s v="Mohd Karamallah"/>
    <x v="3"/>
  </r>
  <r>
    <x v="5"/>
    <x v="1"/>
    <n v="263"/>
    <n v="80"/>
    <n v="7.86"/>
    <n v="7860"/>
    <x v="0"/>
    <n v="1000000037"/>
    <s v="Mohd Karamallah"/>
    <x v="3"/>
  </r>
  <r>
    <x v="5"/>
    <x v="1"/>
    <n v="1606"/>
    <n v="80"/>
    <n v="7.86"/>
    <n v="7860"/>
    <x v="0"/>
    <n v="1000000037"/>
    <s v="Mohd Karamallah"/>
    <x v="3"/>
  </r>
  <r>
    <x v="5"/>
    <x v="1"/>
    <n v="62023"/>
    <n v="80"/>
    <n v="8"/>
    <n v="8000"/>
    <x v="0"/>
    <n v="1000000037"/>
    <s v="Mohd Karamallah"/>
    <x v="3"/>
  </r>
  <r>
    <x v="5"/>
    <x v="1"/>
    <n v="41109"/>
    <n v="80"/>
    <n v="8.0399999999999991"/>
    <n v="8040"/>
    <x v="0"/>
    <n v="1000000037"/>
    <s v="Mohd Karamallah"/>
    <x v="3"/>
  </r>
  <r>
    <x v="5"/>
    <x v="1"/>
    <n v="1056"/>
    <n v="80"/>
    <n v="7.74"/>
    <n v="7740"/>
    <x v="0"/>
    <n v="1000000037"/>
    <s v="Mohd Karamallah"/>
    <x v="3"/>
  </r>
  <r>
    <x v="5"/>
    <x v="1"/>
    <n v="293"/>
    <n v="80"/>
    <n v="7.76"/>
    <n v="7760"/>
    <x v="0"/>
    <n v="1000000037"/>
    <s v="Mohd Karamallah"/>
    <x v="3"/>
  </r>
  <r>
    <x v="5"/>
    <x v="1"/>
    <n v="15094"/>
    <n v="80"/>
    <n v="7.86"/>
    <n v="7860"/>
    <x v="0"/>
    <n v="1000000037"/>
    <s v="Mohd Karamallah"/>
    <x v="3"/>
  </r>
  <r>
    <x v="5"/>
    <x v="1"/>
    <n v="1080"/>
    <n v="80"/>
    <n v="8"/>
    <n v="8000"/>
    <x v="0"/>
    <n v="1000000037"/>
    <s v="Mohd Karamallah"/>
    <x v="3"/>
  </r>
  <r>
    <x v="5"/>
    <x v="1"/>
    <n v="764"/>
    <n v="80"/>
    <n v="8"/>
    <n v="8000"/>
    <x v="0"/>
    <n v="1000000037"/>
    <s v="Mohd Karamallah"/>
    <x v="3"/>
  </r>
  <r>
    <x v="5"/>
    <x v="1"/>
    <n v="91"/>
    <n v="80"/>
    <n v="7.94"/>
    <n v="7940"/>
    <x v="0"/>
    <n v="1000000037"/>
    <s v="Mohd Karamallah"/>
    <x v="3"/>
  </r>
  <r>
    <x v="5"/>
    <x v="1"/>
    <n v="1717"/>
    <n v="80"/>
    <n v="8.0399999999999991"/>
    <n v="8040"/>
    <x v="0"/>
    <n v="1000000037"/>
    <s v="Mohd Karamallah"/>
    <x v="3"/>
  </r>
  <r>
    <x v="5"/>
    <x v="1"/>
    <n v="737"/>
    <n v="80"/>
    <n v="8.02"/>
    <n v="8020"/>
    <x v="0"/>
    <n v="1000000037"/>
    <s v="Mohd Karamallah"/>
    <x v="3"/>
  </r>
  <r>
    <x v="5"/>
    <x v="1"/>
    <n v="915"/>
    <n v="80"/>
    <n v="8.06"/>
    <n v="8060"/>
    <x v="0"/>
    <n v="1000000037"/>
    <s v="Mohd Karamallah"/>
    <x v="3"/>
  </r>
  <r>
    <x v="5"/>
    <x v="1"/>
    <n v="573"/>
    <n v="80"/>
    <n v="8.06"/>
    <n v="8060"/>
    <x v="0"/>
    <n v="1000000037"/>
    <s v="Mohd Karamallah"/>
    <x v="3"/>
  </r>
  <r>
    <x v="5"/>
    <x v="1"/>
    <n v="2226"/>
    <n v="80"/>
    <n v="8"/>
    <n v="8000"/>
    <x v="0"/>
    <n v="1000000037"/>
    <s v="Mohd Karamallah"/>
    <x v="3"/>
  </r>
  <r>
    <x v="5"/>
    <x v="1"/>
    <n v="263"/>
    <n v="80"/>
    <n v="8.0399999999999991"/>
    <n v="8040"/>
    <x v="0"/>
    <n v="1000000037"/>
    <s v="Mohd Karamallah"/>
    <x v="3"/>
  </r>
  <r>
    <x v="5"/>
    <x v="1"/>
    <n v="42209"/>
    <n v="80"/>
    <n v="8.1"/>
    <n v="8100"/>
    <x v="0"/>
    <n v="1000000037"/>
    <s v="Mohd Karamallah"/>
    <x v="3"/>
  </r>
  <r>
    <x v="5"/>
    <x v="1"/>
    <n v="16429"/>
    <n v="82"/>
    <n v="8.2799999999999994"/>
    <n v="8280"/>
    <x v="0"/>
    <n v="1000000037"/>
    <s v="Mohd Karamallah"/>
    <x v="3"/>
  </r>
  <r>
    <x v="5"/>
    <x v="1"/>
    <n v="69"/>
    <n v="138"/>
    <n v="14.56"/>
    <n v="14560"/>
    <x v="0"/>
    <n v="1000000037"/>
    <s v="Mohd Karamallah"/>
    <x v="3"/>
  </r>
  <r>
    <x v="6"/>
    <x v="1"/>
    <n v="70579"/>
    <n v="85"/>
    <n v="8.2799999999999994"/>
    <n v="8280"/>
    <x v="0"/>
    <n v="1000000037"/>
    <s v="Mohd Karamallah"/>
    <x v="3"/>
  </r>
  <r>
    <x v="6"/>
    <x v="1"/>
    <n v="59757"/>
    <n v="80"/>
    <n v="7.98"/>
    <n v="7980"/>
    <x v="0"/>
    <n v="1000000037"/>
    <s v="Mohd Karamallah"/>
    <x v="3"/>
  </r>
  <r>
    <x v="6"/>
    <x v="1"/>
    <n v="42209"/>
    <n v="85"/>
    <n v="8.3000000000000007"/>
    <n v="8300"/>
    <x v="0"/>
    <n v="1000000037"/>
    <s v="Mohd Karamallah"/>
    <x v="3"/>
  </r>
  <r>
    <x v="6"/>
    <x v="1"/>
    <n v="9373"/>
    <n v="80"/>
    <n v="8"/>
    <n v="8000"/>
    <x v="0"/>
    <n v="1000000037"/>
    <s v="Mohd Karamallah"/>
    <x v="3"/>
  </r>
  <r>
    <x v="6"/>
    <x v="1"/>
    <n v="605"/>
    <n v="80"/>
    <n v="8.06"/>
    <n v="8060"/>
    <x v="0"/>
    <n v="1000000037"/>
    <s v="Mohd Karamallah"/>
    <x v="3"/>
  </r>
  <r>
    <x v="6"/>
    <x v="1"/>
    <n v="938"/>
    <n v="80"/>
    <n v="8.1"/>
    <n v="8100"/>
    <x v="0"/>
    <n v="1000000037"/>
    <s v="Mohd Karamallah"/>
    <x v="3"/>
  </r>
  <r>
    <x v="6"/>
    <x v="1"/>
    <n v="9373"/>
    <n v="80"/>
    <n v="8.0399999999999991"/>
    <n v="8040"/>
    <x v="0"/>
    <n v="1000000037"/>
    <s v="Mohd Karamallah"/>
    <x v="3"/>
  </r>
  <r>
    <x v="6"/>
    <x v="1"/>
    <n v="989"/>
    <n v="80"/>
    <n v="8.18"/>
    <n v="8180"/>
    <x v="0"/>
    <n v="1000000037"/>
    <s v="Mohd Karamallah"/>
    <x v="3"/>
  </r>
  <r>
    <x v="6"/>
    <x v="1"/>
    <n v="764"/>
    <n v="80"/>
    <n v="8.06"/>
    <n v="8060"/>
    <x v="0"/>
    <n v="1000000037"/>
    <s v="Mohd Karamallah"/>
    <x v="3"/>
  </r>
  <r>
    <x v="6"/>
    <x v="1"/>
    <n v="663"/>
    <n v="80"/>
    <n v="8.02"/>
    <n v="8020"/>
    <x v="0"/>
    <n v="1000000037"/>
    <s v="Mohd Karamallah"/>
    <x v="3"/>
  </r>
  <r>
    <x v="6"/>
    <x v="1"/>
    <n v="611"/>
    <n v="80"/>
    <n v="8.14"/>
    <n v="8140"/>
    <x v="0"/>
    <n v="1000000037"/>
    <s v="Mohd Karamallah"/>
    <x v="3"/>
  </r>
  <r>
    <x v="6"/>
    <x v="1"/>
    <n v="742"/>
    <n v="80"/>
    <n v="8.1"/>
    <n v="8100"/>
    <x v="0"/>
    <n v="1000000037"/>
    <s v="Mohd Karamallah"/>
    <x v="3"/>
  </r>
  <r>
    <x v="6"/>
    <x v="1"/>
    <n v="303"/>
    <n v="80"/>
    <n v="8.1199999999999992"/>
    <n v="8120"/>
    <x v="0"/>
    <n v="1000000037"/>
    <s v="Mohd Karamallah"/>
    <x v="3"/>
  </r>
  <r>
    <x v="6"/>
    <x v="1"/>
    <n v="1012"/>
    <n v="80"/>
    <n v="8.16"/>
    <n v="8160"/>
    <x v="0"/>
    <n v="1000000037"/>
    <s v="Mohd Karamallah"/>
    <x v="3"/>
  </r>
  <r>
    <x v="6"/>
    <x v="1"/>
    <n v="1651"/>
    <n v="80"/>
    <n v="8.3000000000000007"/>
    <n v="8300"/>
    <x v="0"/>
    <n v="1000000037"/>
    <s v="Mohd Karamallah"/>
    <x v="3"/>
  </r>
  <r>
    <x v="6"/>
    <x v="1"/>
    <n v="945"/>
    <n v="80"/>
    <n v="8.14"/>
    <n v="8140"/>
    <x v="0"/>
    <n v="1000000037"/>
    <s v="Mohd Karamallah"/>
    <x v="3"/>
  </r>
  <r>
    <x v="6"/>
    <x v="1"/>
    <n v="149"/>
    <n v="80"/>
    <n v="8.18"/>
    <n v="8180"/>
    <x v="0"/>
    <n v="1000000037"/>
    <s v="Mohd Karamallah"/>
    <x v="3"/>
  </r>
  <r>
    <x v="6"/>
    <x v="1"/>
    <n v="772"/>
    <n v="80"/>
    <n v="8.14"/>
    <n v="8140"/>
    <x v="0"/>
    <n v="1000000037"/>
    <s v="Mohd Karamallah"/>
    <x v="3"/>
  </r>
  <r>
    <x v="6"/>
    <x v="1"/>
    <n v="90"/>
    <n v="80"/>
    <n v="8.18"/>
    <n v="8180"/>
    <x v="0"/>
    <n v="1000000037"/>
    <s v="Mohd Karamallah"/>
    <x v="3"/>
  </r>
  <r>
    <x v="6"/>
    <x v="1"/>
    <n v="1812"/>
    <n v="80"/>
    <n v="8.2200000000000006"/>
    <n v="8220"/>
    <x v="0"/>
    <n v="1000000037"/>
    <s v="Mohd Karamallah"/>
    <x v="3"/>
  </r>
  <r>
    <x v="6"/>
    <x v="1"/>
    <n v="916"/>
    <n v="80"/>
    <n v="8.1199999999999992"/>
    <n v="8120"/>
    <x v="0"/>
    <n v="1000000037"/>
    <s v="Mohd Karamallah"/>
    <x v="3"/>
  </r>
  <r>
    <x v="6"/>
    <x v="1"/>
    <n v="1802"/>
    <n v="80"/>
    <n v="7.84"/>
    <n v="7840"/>
    <x v="0"/>
    <n v="1000000037"/>
    <s v="Mohd Karamallah"/>
    <x v="3"/>
  </r>
  <r>
    <x v="6"/>
    <x v="1"/>
    <n v="60"/>
    <n v="85"/>
    <n v="8.26"/>
    <n v="8260"/>
    <x v="0"/>
    <n v="1000000037"/>
    <s v="Mohd Karamallah"/>
    <x v="3"/>
  </r>
  <r>
    <x v="6"/>
    <x v="1"/>
    <n v="1349"/>
    <n v="85"/>
    <n v="8.3000000000000007"/>
    <n v="8300"/>
    <x v="0"/>
    <n v="1000000037"/>
    <s v="Mohd Karamallah"/>
    <x v="3"/>
  </r>
  <r>
    <x v="6"/>
    <x v="1"/>
    <n v="91"/>
    <n v="85"/>
    <n v="8.16"/>
    <n v="8160"/>
    <x v="0"/>
    <n v="1000000037"/>
    <s v="Mohd Karamallah"/>
    <x v="3"/>
  </r>
  <r>
    <x v="6"/>
    <x v="1"/>
    <n v="1194"/>
    <n v="85"/>
    <n v="8.18"/>
    <n v="8180"/>
    <x v="0"/>
    <n v="1000000037"/>
    <s v="Mohd Karamallah"/>
    <x v="3"/>
  </r>
  <r>
    <x v="6"/>
    <x v="1"/>
    <n v="772"/>
    <n v="85"/>
    <n v="8.26"/>
    <n v="8260"/>
    <x v="0"/>
    <n v="1000000037"/>
    <s v="Mohd Karamallah"/>
    <x v="3"/>
  </r>
  <r>
    <x v="6"/>
    <x v="1"/>
    <n v="945"/>
    <n v="85"/>
    <n v="8.5"/>
    <n v="8500"/>
    <x v="0"/>
    <n v="1000000037"/>
    <s v="Mohd Karamallah"/>
    <x v="3"/>
  </r>
  <r>
    <x v="6"/>
    <x v="1"/>
    <n v="945"/>
    <n v="80"/>
    <n v="8.1"/>
    <n v="8100"/>
    <x v="0"/>
    <n v="1000000037"/>
    <s v="Mohd Karamallah"/>
    <x v="3"/>
  </r>
  <r>
    <x v="6"/>
    <x v="1"/>
    <n v="70579"/>
    <n v="80"/>
    <n v="8.14"/>
    <n v="8140"/>
    <x v="0"/>
    <n v="1000000037"/>
    <s v="Mohd Karamallah"/>
    <x v="3"/>
  </r>
  <r>
    <x v="6"/>
    <x v="1"/>
    <n v="605"/>
    <n v="80"/>
    <n v="8.18"/>
    <n v="8180"/>
    <x v="0"/>
    <n v="1000000037"/>
    <s v="Mohd Karamallah"/>
    <x v="3"/>
  </r>
  <r>
    <x v="6"/>
    <x v="1"/>
    <n v="2056"/>
    <n v="80"/>
    <n v="8.2200000000000006"/>
    <n v="8220"/>
    <x v="0"/>
    <n v="1000000037"/>
    <s v="Mohd Karamallah"/>
    <x v="3"/>
  </r>
  <r>
    <x v="6"/>
    <x v="1"/>
    <n v="737"/>
    <n v="80"/>
    <n v="8.14"/>
    <n v="8140"/>
    <x v="0"/>
    <n v="1000000037"/>
    <s v="Mohd Karamallah"/>
    <x v="3"/>
  </r>
  <r>
    <x v="6"/>
    <x v="1"/>
    <n v="34782"/>
    <n v="80"/>
    <n v="8.16"/>
    <n v="8160"/>
    <x v="0"/>
    <n v="1000000037"/>
    <s v="Mohd Karamallah"/>
    <x v="3"/>
  </r>
  <r>
    <x v="6"/>
    <x v="1"/>
    <n v="516"/>
    <n v="80"/>
    <n v="8.08"/>
    <n v="8080"/>
    <x v="0"/>
    <n v="1000000037"/>
    <s v="Mohd Karamallah"/>
    <x v="3"/>
  </r>
  <r>
    <x v="6"/>
    <x v="1"/>
    <n v="411"/>
    <n v="80"/>
    <n v="8.08"/>
    <n v="8080"/>
    <x v="0"/>
    <n v="1000000037"/>
    <s v="Mohd Karamallah"/>
    <x v="3"/>
  </r>
  <r>
    <x v="6"/>
    <x v="1"/>
    <n v="5511"/>
    <n v="80"/>
    <n v="8.02"/>
    <n v="8020"/>
    <x v="0"/>
    <n v="1000000037"/>
    <s v="Mohd Karamallah"/>
    <x v="3"/>
  </r>
  <r>
    <x v="7"/>
    <x v="1"/>
    <n v="1802"/>
    <n v="80"/>
    <n v="8.1999999999999993"/>
    <n v="8200"/>
    <x v="0"/>
    <n v="1000000037"/>
    <s v="Mohd Karamallah"/>
    <x v="3"/>
  </r>
  <r>
    <x v="7"/>
    <x v="1"/>
    <n v="1460"/>
    <n v="85"/>
    <n v="8.64"/>
    <n v="8640"/>
    <x v="0"/>
    <n v="1000000037"/>
    <s v="Mohd Karamallah"/>
    <x v="3"/>
  </r>
  <r>
    <x v="7"/>
    <x v="1"/>
    <n v="915"/>
    <n v="85"/>
    <n v="8.6199999999999992"/>
    <n v="8620"/>
    <x v="0"/>
    <n v="1000000037"/>
    <s v="Mohd Karamallah"/>
    <x v="3"/>
  </r>
  <r>
    <x v="7"/>
    <x v="1"/>
    <n v="91"/>
    <n v="85"/>
    <n v="8.6999999999999993"/>
    <n v="8700"/>
    <x v="0"/>
    <n v="1000000037"/>
    <s v="Mohd Karamallah"/>
    <x v="3"/>
  </r>
  <r>
    <x v="7"/>
    <x v="1"/>
    <n v="19913"/>
    <n v="80"/>
    <n v="8.08"/>
    <n v="8080"/>
    <x v="0"/>
    <n v="1000000037"/>
    <s v="Mohd Karamallah"/>
    <x v="3"/>
  </r>
  <r>
    <x v="7"/>
    <x v="1"/>
    <n v="742"/>
    <n v="85"/>
    <n v="8.6199999999999992"/>
    <n v="8620"/>
    <x v="0"/>
    <n v="1000000037"/>
    <s v="Mohd Karamallah"/>
    <x v="3"/>
  </r>
  <r>
    <x v="7"/>
    <x v="1"/>
    <n v="60"/>
    <n v="85"/>
    <n v="8.68"/>
    <n v="8680"/>
    <x v="0"/>
    <n v="1000000037"/>
    <s v="Mohd Karamallah"/>
    <x v="3"/>
  </r>
  <r>
    <x v="7"/>
    <x v="1"/>
    <n v="1349"/>
    <n v="85"/>
    <n v="8.82"/>
    <n v="8820"/>
    <x v="0"/>
    <n v="1000000037"/>
    <s v="Mohd Karamallah"/>
    <x v="3"/>
  </r>
  <r>
    <x v="7"/>
    <x v="1"/>
    <n v="5511"/>
    <n v="85"/>
    <n v="8.6"/>
    <n v="8600"/>
    <x v="0"/>
    <n v="1000000037"/>
    <s v="Mohd Karamallah"/>
    <x v="3"/>
  </r>
  <r>
    <x v="7"/>
    <x v="1"/>
    <n v="1194"/>
    <n v="85"/>
    <n v="8.64"/>
    <n v="8640"/>
    <x v="0"/>
    <n v="1000000037"/>
    <s v="Mohd Karamallah"/>
    <x v="3"/>
  </r>
  <r>
    <x v="7"/>
    <x v="1"/>
    <n v="772"/>
    <n v="80"/>
    <n v="8.3000000000000007"/>
    <n v="8300"/>
    <x v="0"/>
    <n v="1000000037"/>
    <s v="Mohd Karamallah"/>
    <x v="3"/>
  </r>
  <r>
    <x v="7"/>
    <x v="1"/>
    <n v="42209"/>
    <n v="80"/>
    <n v="8.0399999999999991"/>
    <n v="8040"/>
    <x v="0"/>
    <n v="1000000037"/>
    <s v="Mohd Karamallah"/>
    <x v="3"/>
  </r>
  <r>
    <x v="7"/>
    <x v="1"/>
    <n v="90132"/>
    <n v="150"/>
    <n v="15.7"/>
    <n v="15700"/>
    <x v="0"/>
    <n v="1000000037"/>
    <s v="Mohd Karamallah"/>
    <x v="3"/>
  </r>
  <r>
    <x v="7"/>
    <x v="1"/>
    <n v="676"/>
    <n v="69"/>
    <n v="6.78"/>
    <n v="6780"/>
    <x v="0"/>
    <n v="1000000037"/>
    <s v="Mohd Karamallah"/>
    <x v="3"/>
  </r>
  <r>
    <x v="7"/>
    <x v="1"/>
    <n v="65146"/>
    <n v="150"/>
    <n v="15.5"/>
    <n v="15500"/>
    <x v="0"/>
    <n v="1000000037"/>
    <s v="Mohd Karamallah"/>
    <x v="3"/>
  </r>
  <r>
    <x v="7"/>
    <x v="1"/>
    <n v="285"/>
    <n v="80"/>
    <n v="8.0399999999999991"/>
    <n v="8040"/>
    <x v="0"/>
    <n v="1000000037"/>
    <s v="Mohd Karamallah"/>
    <x v="3"/>
  </r>
  <r>
    <x v="7"/>
    <x v="1"/>
    <n v="2926"/>
    <n v="160"/>
    <n v="15.92"/>
    <n v="15920"/>
    <x v="0"/>
    <n v="1000000037"/>
    <s v="Mohd Karamallah"/>
    <x v="3"/>
  </r>
  <r>
    <x v="7"/>
    <x v="1"/>
    <n v="61233"/>
    <n v="138"/>
    <n v="13.68"/>
    <n v="13680"/>
    <x v="0"/>
    <n v="1000000037"/>
    <s v="Mohd Karamallah"/>
    <x v="3"/>
  </r>
  <r>
    <x v="7"/>
    <x v="1"/>
    <n v="1194"/>
    <n v="80"/>
    <n v="8.24"/>
    <n v="8240"/>
    <x v="0"/>
    <n v="1000000037"/>
    <s v="Mohd Karamallah"/>
    <x v="3"/>
  </r>
  <r>
    <x v="7"/>
    <x v="1"/>
    <n v="467"/>
    <n v="80"/>
    <n v="8"/>
    <n v="8000"/>
    <x v="0"/>
    <n v="1000000037"/>
    <s v="Mohd Karamallah"/>
    <x v="3"/>
  </r>
  <r>
    <x v="7"/>
    <x v="1"/>
    <n v="1802"/>
    <n v="80"/>
    <n v="8.1"/>
    <n v="8100"/>
    <x v="0"/>
    <n v="1000000037"/>
    <s v="Mohd Karamallah"/>
    <x v="3"/>
  </r>
  <r>
    <x v="7"/>
    <x v="1"/>
    <n v="945"/>
    <n v="80"/>
    <n v="7.94"/>
    <n v="7940"/>
    <x v="0"/>
    <n v="1000000037"/>
    <s v="Mohd Karamallah"/>
    <x v="3"/>
  </r>
  <r>
    <x v="7"/>
    <x v="1"/>
    <n v="915"/>
    <n v="80"/>
    <n v="8.16"/>
    <n v="8160"/>
    <x v="0"/>
    <n v="1000000037"/>
    <s v="Mohd Karamallah"/>
    <x v="3"/>
  </r>
  <r>
    <x v="7"/>
    <x v="1"/>
    <n v="663"/>
    <n v="80"/>
    <n v="8.1"/>
    <n v="8100"/>
    <x v="0"/>
    <n v="1000000037"/>
    <s v="Mohd Karamallah"/>
    <x v="3"/>
  </r>
  <r>
    <x v="7"/>
    <x v="1"/>
    <n v="5511"/>
    <n v="80"/>
    <n v="8.16"/>
    <n v="8160"/>
    <x v="0"/>
    <n v="1000000037"/>
    <s v="Mohd Karamallah"/>
    <x v="3"/>
  </r>
  <r>
    <x v="7"/>
    <x v="1"/>
    <n v="1366"/>
    <n v="80"/>
    <n v="8.14"/>
    <n v="8140"/>
    <x v="0"/>
    <n v="1000000037"/>
    <s v="Mohd Karamallah"/>
    <x v="3"/>
  </r>
  <r>
    <x v="7"/>
    <x v="1"/>
    <n v="853"/>
    <n v="80"/>
    <n v="8.16"/>
    <n v="8160"/>
    <x v="0"/>
    <n v="1000000037"/>
    <s v="Mohd Karamallah"/>
    <x v="3"/>
  </r>
  <r>
    <x v="7"/>
    <x v="1"/>
    <n v="1080"/>
    <n v="80"/>
    <n v="8"/>
    <n v="8000"/>
    <x v="0"/>
    <n v="1000000037"/>
    <s v="Mohd Karamallah"/>
    <x v="3"/>
  </r>
  <r>
    <x v="7"/>
    <x v="1"/>
    <n v="516"/>
    <n v="80"/>
    <n v="7.92"/>
    <n v="7920"/>
    <x v="0"/>
    <n v="1000000037"/>
    <s v="Mohd Karamallah"/>
    <x v="3"/>
  </r>
  <r>
    <x v="7"/>
    <x v="1"/>
    <n v="1009"/>
    <n v="85"/>
    <n v="8.42"/>
    <n v="8420"/>
    <x v="0"/>
    <n v="1000000037"/>
    <s v="Mohd Karamallah"/>
    <x v="3"/>
  </r>
  <r>
    <x v="7"/>
    <x v="1"/>
    <n v="34782"/>
    <n v="83"/>
    <n v="8.1199999999999992"/>
    <n v="8120"/>
    <x v="0"/>
    <n v="1000000037"/>
    <s v="Mohd Karamallah"/>
    <x v="3"/>
  </r>
  <r>
    <x v="7"/>
    <x v="1"/>
    <n v="2537"/>
    <n v="80"/>
    <n v="8.24"/>
    <n v="8240"/>
    <x v="0"/>
    <n v="1000000037"/>
    <s v="Mohd Karamallah"/>
    <x v="3"/>
  </r>
  <r>
    <x v="7"/>
    <x v="1"/>
    <n v="15094"/>
    <n v="85"/>
    <n v="8.4"/>
    <n v="8400"/>
    <x v="0"/>
    <n v="1000000037"/>
    <s v="Mohd Karamallah"/>
    <x v="3"/>
  </r>
  <r>
    <x v="7"/>
    <x v="1"/>
    <n v="1093"/>
    <n v="80"/>
    <n v="8.34"/>
    <n v="8340"/>
    <x v="0"/>
    <n v="1000000037"/>
    <s v="Mohd Karamallah"/>
    <x v="3"/>
  </r>
  <r>
    <x v="7"/>
    <x v="1"/>
    <n v="611"/>
    <n v="80"/>
    <n v="8.3800000000000008"/>
    <n v="8380"/>
    <x v="0"/>
    <n v="1000000037"/>
    <s v="Mohd Karamallah"/>
    <x v="3"/>
  </r>
  <r>
    <x v="7"/>
    <x v="1"/>
    <n v="1012"/>
    <n v="80"/>
    <n v="8.4600000000000009"/>
    <n v="8460"/>
    <x v="0"/>
    <n v="1000000037"/>
    <s v="Mohd Karamallah"/>
    <x v="3"/>
  </r>
  <r>
    <x v="7"/>
    <x v="1"/>
    <n v="764"/>
    <n v="80"/>
    <n v="7.9"/>
    <n v="7900"/>
    <x v="0"/>
    <n v="1000000037"/>
    <s v="Mohd Karamallah"/>
    <x v="3"/>
  </r>
  <r>
    <x v="7"/>
    <x v="1"/>
    <n v="717"/>
    <n v="80"/>
    <n v="8.14"/>
    <n v="8140"/>
    <x v="0"/>
    <n v="1000000037"/>
    <s v="Mohd Karamallah"/>
    <x v="3"/>
  </r>
  <r>
    <x v="7"/>
    <x v="1"/>
    <n v="91"/>
    <n v="80"/>
    <n v="8.08"/>
    <n v="8080"/>
    <x v="0"/>
    <n v="1000000037"/>
    <s v="Mohd Karamallah"/>
    <x v="3"/>
  </r>
  <r>
    <x v="7"/>
    <x v="1"/>
    <n v="60"/>
    <n v="80"/>
    <n v="8.4"/>
    <n v="8400"/>
    <x v="0"/>
    <n v="1000000037"/>
    <s v="Mohd Karamallah"/>
    <x v="3"/>
  </r>
  <r>
    <x v="7"/>
    <x v="1"/>
    <n v="742"/>
    <n v="80"/>
    <n v="8.18"/>
    <n v="8180"/>
    <x v="0"/>
    <n v="1000000037"/>
    <s v="Mohd Karamallah"/>
    <x v="3"/>
  </r>
  <r>
    <x v="7"/>
    <x v="1"/>
    <n v="1535"/>
    <n v="80"/>
    <n v="8"/>
    <n v="8000"/>
    <x v="0"/>
    <n v="1000000037"/>
    <s v="Mohd Karamallah"/>
    <x v="3"/>
  </r>
  <r>
    <x v="7"/>
    <x v="1"/>
    <n v="772"/>
    <n v="80"/>
    <n v="8.26"/>
    <n v="8260"/>
    <x v="0"/>
    <n v="1000000037"/>
    <s v="Mohd Karamallah"/>
    <x v="3"/>
  </r>
  <r>
    <x v="7"/>
    <x v="1"/>
    <n v="1194"/>
    <n v="80"/>
    <n v="7.9"/>
    <n v="7900"/>
    <x v="0"/>
    <n v="1000000037"/>
    <s v="Mohd Karamallah"/>
    <x v="3"/>
  </r>
  <r>
    <x v="7"/>
    <x v="1"/>
    <n v="423"/>
    <n v="80"/>
    <n v="7.9"/>
    <n v="7900"/>
    <x v="0"/>
    <n v="1000000037"/>
    <s v="Mohd Karamallah"/>
    <x v="3"/>
  </r>
  <r>
    <x v="7"/>
    <x v="1"/>
    <n v="791"/>
    <n v="80"/>
    <n v="7.94"/>
    <n v="7940"/>
    <x v="0"/>
    <n v="1000000037"/>
    <s v="Mohd Karamallah"/>
    <x v="3"/>
  </r>
  <r>
    <x v="8"/>
    <x v="1"/>
    <n v="717"/>
    <n v="80"/>
    <n v="8.36"/>
    <n v="8360"/>
    <x v="0"/>
    <n v="1000000037"/>
    <s v="Mohd Karamallah"/>
    <x v="3"/>
  </r>
  <r>
    <x v="8"/>
    <x v="1"/>
    <n v="1811"/>
    <n v="150"/>
    <n v="14.98"/>
    <n v="14980"/>
    <x v="0"/>
    <n v="1000000037"/>
    <s v="Mohd Karamallah"/>
    <x v="3"/>
  </r>
  <r>
    <x v="8"/>
    <x v="1"/>
    <n v="939"/>
    <n v="58"/>
    <n v="6"/>
    <n v="6000"/>
    <x v="0"/>
    <n v="1000000037"/>
    <s v="Mohd Karamallah"/>
    <x v="3"/>
  </r>
  <r>
    <x v="8"/>
    <x v="1"/>
    <n v="11899"/>
    <n v="55"/>
    <n v="5.48"/>
    <n v="5480"/>
    <x v="0"/>
    <n v="1000000037"/>
    <s v="Mohd Karamallah"/>
    <x v="3"/>
  </r>
  <r>
    <x v="8"/>
    <x v="1"/>
    <n v="701"/>
    <n v="160"/>
    <n v="15.86"/>
    <n v="15860"/>
    <x v="0"/>
    <n v="1000000037"/>
    <s v="Mohd Karamallah"/>
    <x v="3"/>
  </r>
  <r>
    <x v="8"/>
    <x v="1"/>
    <n v="4722"/>
    <n v="150"/>
    <n v="14.62"/>
    <n v="14620"/>
    <x v="0"/>
    <n v="1000000037"/>
    <s v="Mohd Karamallah"/>
    <x v="3"/>
  </r>
  <r>
    <x v="8"/>
    <x v="1"/>
    <n v="38680"/>
    <n v="138"/>
    <n v="13.58"/>
    <n v="13580"/>
    <x v="0"/>
    <n v="1000000037"/>
    <s v="Mohd Karamallah"/>
    <x v="3"/>
  </r>
  <r>
    <x v="8"/>
    <x v="1"/>
    <n v="599"/>
    <n v="80"/>
    <n v="7.94"/>
    <n v="7940"/>
    <x v="0"/>
    <n v="1000000037"/>
    <s v="Mohd Karamallah"/>
    <x v="3"/>
  </r>
  <r>
    <x v="8"/>
    <x v="1"/>
    <n v="351"/>
    <n v="80"/>
    <n v="7.72"/>
    <n v="7720"/>
    <x v="0"/>
    <n v="1000000037"/>
    <s v="Mohd Karamallah"/>
    <x v="3"/>
  </r>
  <r>
    <x v="8"/>
    <x v="1"/>
    <n v="5523"/>
    <n v="150"/>
    <n v="14.98"/>
    <n v="14980"/>
    <x v="0"/>
    <n v="1000000037"/>
    <s v="Mohd Karamallah"/>
    <x v="3"/>
  </r>
  <r>
    <x v="8"/>
    <x v="1"/>
    <n v="40"/>
    <n v="80"/>
    <n v="8.34"/>
    <n v="8340"/>
    <x v="0"/>
    <n v="1000000037"/>
    <s v="Mohd Karamallah"/>
    <x v="3"/>
  </r>
  <r>
    <x v="8"/>
    <x v="1"/>
    <n v="630"/>
    <m/>
    <n v="6.9"/>
    <n v="6900"/>
    <x v="0"/>
    <n v="1000000037"/>
    <s v="Mohd Karamallah"/>
    <x v="3"/>
  </r>
  <r>
    <x v="8"/>
    <x v="1"/>
    <n v="14808"/>
    <n v="160"/>
    <n v="16.46"/>
    <n v="16460"/>
    <x v="0"/>
    <n v="1000000037"/>
    <s v="Mohd Karamallah"/>
    <x v="3"/>
  </r>
  <r>
    <x v="8"/>
    <x v="1"/>
    <n v="9363"/>
    <n v="80"/>
    <n v="7.82"/>
    <n v="7820"/>
    <x v="0"/>
    <n v="1000000037"/>
    <s v="Mohd Karamallah"/>
    <x v="3"/>
  </r>
  <r>
    <x v="8"/>
    <x v="1"/>
    <n v="4919"/>
    <n v="150"/>
    <n v="15.44"/>
    <n v="15440"/>
    <x v="0"/>
    <n v="1000000037"/>
    <s v="Mohd Karamallah"/>
    <x v="3"/>
  </r>
  <r>
    <x v="8"/>
    <x v="1"/>
    <n v="90776"/>
    <n v="150"/>
    <n v="15.12"/>
    <n v="15120"/>
    <x v="0"/>
    <n v="1000000037"/>
    <s v="Mohd Karamallah"/>
    <x v="3"/>
  </r>
  <r>
    <x v="8"/>
    <x v="1"/>
    <n v="1659"/>
    <n v="150"/>
    <n v="15.16"/>
    <n v="15160"/>
    <x v="0"/>
    <n v="1000000037"/>
    <s v="Mohd Karamallah"/>
    <x v="3"/>
  </r>
  <r>
    <x v="8"/>
    <x v="1"/>
    <n v="7632"/>
    <n v="229"/>
    <n v="22.92"/>
    <n v="22920"/>
    <x v="0"/>
    <n v="1000000037"/>
    <s v="Mohd Karamallah"/>
    <x v="3"/>
  </r>
  <r>
    <x v="8"/>
    <x v="1"/>
    <n v="23259"/>
    <n v="138"/>
    <n v="13.48"/>
    <n v="13480"/>
    <x v="0"/>
    <n v="1000000037"/>
    <s v="Mohd Karamallah"/>
    <x v="3"/>
  </r>
  <r>
    <x v="8"/>
    <x v="1"/>
    <n v="1353"/>
    <n v="115"/>
    <n v="12.06"/>
    <n v="12060"/>
    <x v="0"/>
    <n v="1000000037"/>
    <s v="Mohd Karamallah"/>
    <x v="3"/>
  </r>
  <r>
    <x v="8"/>
    <x v="1"/>
    <n v="9025"/>
    <n v="150"/>
    <n v="14.78"/>
    <n v="14780"/>
    <x v="0"/>
    <n v="1000000037"/>
    <s v="Mohd Karamallah"/>
    <x v="3"/>
  </r>
  <r>
    <x v="8"/>
    <x v="1"/>
    <n v="65052"/>
    <n v="138"/>
    <n v="13.54"/>
    <n v="13540"/>
    <x v="0"/>
    <n v="1000000037"/>
    <s v="Mohd Karamallah"/>
    <x v="3"/>
  </r>
  <r>
    <x v="9"/>
    <x v="1"/>
    <n v="62798"/>
    <n v="46"/>
    <n v="4.84"/>
    <n v="4840"/>
    <x v="0"/>
    <n v="1000000037"/>
    <s v="Mohd Karamallah"/>
    <x v="3"/>
  </r>
  <r>
    <x v="9"/>
    <x v="1"/>
    <n v="1894"/>
    <n v="66"/>
    <n v="6.66"/>
    <n v="6660"/>
    <x v="0"/>
    <n v="1000000037"/>
    <s v="Mohd Karamallah"/>
    <x v="3"/>
  </r>
  <r>
    <x v="9"/>
    <x v="1"/>
    <n v="6662"/>
    <n v="160"/>
    <n v="16.88"/>
    <n v="16880"/>
    <x v="0"/>
    <n v="1000000037"/>
    <s v="Mohd Karamallah"/>
    <x v="3"/>
  </r>
  <r>
    <x v="9"/>
    <x v="1"/>
    <n v="33222"/>
    <n v="69"/>
    <n v="7.42"/>
    <n v="7420"/>
    <x v="0"/>
    <n v="1000000037"/>
    <s v="Mohd Karamallah"/>
    <x v="3"/>
  </r>
  <r>
    <x v="9"/>
    <x v="1"/>
    <n v="622"/>
    <n v="80"/>
    <n v="8.36"/>
    <n v="8360"/>
    <x v="0"/>
    <n v="1000000037"/>
    <s v="Mohd Karamallah"/>
    <x v="3"/>
  </r>
  <r>
    <x v="9"/>
    <x v="1"/>
    <n v="3084"/>
    <n v="136"/>
    <n v="13.54"/>
    <n v="13540"/>
    <x v="0"/>
    <n v="1000000037"/>
    <s v="Mohd Karamallah"/>
    <x v="3"/>
  </r>
  <r>
    <x v="9"/>
    <x v="1"/>
    <n v="1967"/>
    <n v="80"/>
    <n v="8.16"/>
    <n v="8160"/>
    <x v="0"/>
    <n v="1000000037"/>
    <s v="Mohd Karamallah"/>
    <x v="3"/>
  </r>
  <r>
    <x v="9"/>
    <x v="1"/>
    <n v="20289"/>
    <n v="149"/>
    <n v="15.06"/>
    <n v="15060"/>
    <x v="0"/>
    <n v="1000000037"/>
    <s v="Mohd Karamallah"/>
    <x v="3"/>
  </r>
  <r>
    <x v="9"/>
    <x v="1"/>
    <n v="34917"/>
    <n v="150"/>
    <n v="15.42"/>
    <n v="15420"/>
    <x v="0"/>
    <n v="1000000037"/>
    <s v="Mohd Karamallah"/>
    <x v="3"/>
  </r>
  <r>
    <x v="9"/>
    <x v="1"/>
    <n v="113"/>
    <n v="150"/>
    <n v="15.74"/>
    <n v="15740"/>
    <x v="0"/>
    <n v="1000000037"/>
    <s v="Mohd Karamallah"/>
    <x v="3"/>
  </r>
  <r>
    <x v="9"/>
    <x v="1"/>
    <n v="692"/>
    <n v="75"/>
    <n v="7.82"/>
    <n v="7820"/>
    <x v="0"/>
    <n v="1000000037"/>
    <s v="Mohd Karamallah"/>
    <x v="3"/>
  </r>
  <r>
    <x v="9"/>
    <x v="1"/>
    <n v="1210"/>
    <n v="150"/>
    <n v="14.88"/>
    <n v="14880"/>
    <x v="0"/>
    <n v="1000000037"/>
    <s v="Mohd Karamallah"/>
    <x v="3"/>
  </r>
  <r>
    <x v="9"/>
    <x v="1"/>
    <n v="4919"/>
    <n v="117"/>
    <n v="12"/>
    <n v="12000"/>
    <x v="0"/>
    <n v="1000000037"/>
    <s v="Mohd Karamallah"/>
    <x v="3"/>
  </r>
  <r>
    <x v="9"/>
    <x v="1"/>
    <n v="40144"/>
    <n v="150"/>
    <n v="15.36"/>
    <n v="15360"/>
    <x v="0"/>
    <n v="1000000037"/>
    <s v="Mohd Karamallah"/>
    <x v="3"/>
  </r>
  <r>
    <x v="9"/>
    <x v="1"/>
    <n v="46306"/>
    <n v="150"/>
    <n v="15.26"/>
    <n v="15260"/>
    <x v="0"/>
    <n v="1000000037"/>
    <s v="Mohd Karamallah"/>
    <x v="3"/>
  </r>
  <r>
    <x v="9"/>
    <x v="1"/>
    <n v="4232"/>
    <n v="130"/>
    <n v="13.14"/>
    <n v="13140"/>
    <x v="0"/>
    <n v="1000000037"/>
    <s v="Mohd Karamallah"/>
    <x v="3"/>
  </r>
  <r>
    <x v="9"/>
    <x v="1"/>
    <n v="15632"/>
    <n v="80"/>
    <n v="8.1199999999999992"/>
    <n v="8120"/>
    <x v="0"/>
    <n v="1000000037"/>
    <s v="Mohd Karamallah"/>
    <x v="3"/>
  </r>
  <r>
    <x v="9"/>
    <x v="1"/>
    <n v="751"/>
    <n v="80"/>
    <n v="8.0399999999999991"/>
    <n v="8040"/>
    <x v="0"/>
    <n v="1000000037"/>
    <s v="Mohd Karamallah"/>
    <x v="3"/>
  </r>
  <r>
    <x v="9"/>
    <x v="1"/>
    <n v="1813"/>
    <n v="69"/>
    <n v="6.96"/>
    <n v="6960"/>
    <x v="0"/>
    <n v="1000000037"/>
    <s v="Mohd Karamallah"/>
    <x v="3"/>
  </r>
  <r>
    <x v="9"/>
    <x v="1"/>
    <n v="710"/>
    <n v="69"/>
    <n v="7.42"/>
    <n v="7420"/>
    <x v="0"/>
    <n v="1000000037"/>
    <s v="Mohd Karamallah"/>
    <x v="3"/>
  </r>
  <r>
    <x v="9"/>
    <x v="1"/>
    <n v="351"/>
    <n v="74"/>
    <n v="7.56"/>
    <n v="7560"/>
    <x v="0"/>
    <n v="1000000037"/>
    <s v="Mohd Karamallah"/>
    <x v="3"/>
  </r>
  <r>
    <x v="9"/>
    <x v="1"/>
    <n v="2069"/>
    <n v="80"/>
    <n v="8.06"/>
    <n v="8060"/>
    <x v="0"/>
    <n v="1000000037"/>
    <s v="Mohd Karamallah"/>
    <x v="3"/>
  </r>
  <r>
    <x v="9"/>
    <x v="1"/>
    <n v="664"/>
    <n v="80"/>
    <n v="8.1199999999999992"/>
    <n v="8120"/>
    <x v="0"/>
    <n v="1000000037"/>
    <s v="Mohd Karamallah"/>
    <x v="3"/>
  </r>
  <r>
    <x v="9"/>
    <x v="1"/>
    <n v="1059"/>
    <n v="80"/>
    <n v="8.32"/>
    <n v="8320"/>
    <x v="0"/>
    <n v="1000000037"/>
    <s v="Mohd Karamallah"/>
    <x v="3"/>
  </r>
  <r>
    <x v="9"/>
    <x v="1"/>
    <n v="90132"/>
    <n v="150"/>
    <n v="15.98"/>
    <n v="15980"/>
    <x v="0"/>
    <n v="1000000037"/>
    <s v="Mohd Karamallah"/>
    <x v="3"/>
  </r>
  <r>
    <x v="10"/>
    <x v="1"/>
    <n v="91760"/>
    <n v="80"/>
    <n v="8.32"/>
    <n v="8320"/>
    <x v="0"/>
    <n v="1000000037"/>
    <s v="Mohd Karamallah"/>
    <x v="3"/>
  </r>
  <r>
    <x v="10"/>
    <x v="1"/>
    <n v="1395"/>
    <n v="450"/>
    <n v="45.94"/>
    <n v="45940"/>
    <x v="0"/>
    <n v="1000000037"/>
    <s v="Mohd Karamallah"/>
    <x v="3"/>
  </r>
  <r>
    <x v="10"/>
    <x v="1"/>
    <n v="15007"/>
    <n v="450"/>
    <n v="46.06"/>
    <n v="46060"/>
    <x v="0"/>
    <n v="1000000037"/>
    <s v="Mohd Karamallah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ceiving Location">
  <location ref="N2:Q16" firstHeaderRow="0" firstDataRow="1" firstDataCol="1"/>
  <pivotFields count="12">
    <pivotField numFmtId="16"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dataField="1" showAll="0"/>
    <pivotField showAll="0" defaultSubtotal="0"/>
    <pivotField showAll="0" defaultSubtotal="0"/>
    <pivotField dataField="1" numFmtId="164" showAll="0"/>
    <pivotField numFmtId="165" showAll="0"/>
    <pivotField showAll="0"/>
    <pivotField showAll="0"/>
    <pivotField axis="axisRow" showAll="0">
      <items count="5">
        <item n="PO#1763" x="0"/>
        <item n="PO#4500000384" x="1"/>
        <item n="PO#4500001491" x="2"/>
        <item n="PO34500001655" x="3"/>
        <item t="default"/>
      </items>
    </pivotField>
    <pivotField axis="axisRow" showAll="0">
      <items count="2">
        <item x="0"/>
        <item t="default"/>
      </items>
    </pivotField>
  </pivotFields>
  <rowFields count="3">
    <field x="1"/>
    <field x="11"/>
    <field x="10"/>
  </rowFields>
  <rowItems count="14">
    <i>
      <x/>
    </i>
    <i r="1">
      <x/>
    </i>
    <i r="2">
      <x/>
    </i>
    <i>
      <x v="1"/>
    </i>
    <i r="1">
      <x/>
    </i>
    <i r="2">
      <x/>
    </i>
    <i>
      <x v="2"/>
    </i>
    <i r="1">
      <x/>
    </i>
    <i r="2">
      <x v="1"/>
    </i>
    <i r="2">
      <x v="2"/>
    </i>
    <i>
      <x v="3"/>
    </i>
    <i r="1">
      <x/>
    </i>
    <i r="2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Weight MT" fld="6" baseField="2" baseItem="0"/>
    <dataField name=" Jute Bags " fld="3" baseField="2" baseItem="0" numFmtId="165"/>
    <dataField name=" Truck No." fld="2" subtotal="count" baseField="2" baseItem="0" numFmtId="165"/>
  </dataFields>
  <formats count="21">
    <format dxfId="267">
      <pivotArea collapsedLevelsAreSubtotals="1" fieldPosition="0">
        <references count="2">
          <reference field="4294967294" count="1" selected="0">
            <x v="1"/>
          </reference>
          <reference field="1" count="1">
            <x v="1"/>
          </reference>
        </references>
      </pivotArea>
    </format>
    <format dxfId="266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11" count="0"/>
        </references>
      </pivotArea>
    </format>
    <format dxfId="265">
      <pivotArea collapsedLevelsAreSubtotals="1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10" count="0"/>
          <reference field="11" count="0" selected="0"/>
        </references>
      </pivotArea>
    </format>
    <format dxfId="264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63">
      <pivotArea collapsedLevelsAreSubtotals="1" fieldPosition="0">
        <references count="2">
          <reference field="4294967294" count="1" selected="0">
            <x v="1"/>
          </reference>
          <reference field="1" count="1">
            <x v="1"/>
          </reference>
        </references>
      </pivotArea>
    </format>
    <format dxfId="262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11" count="0"/>
        </references>
      </pivotArea>
    </format>
    <format dxfId="261">
      <pivotArea collapsedLevelsAreSubtotals="1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10" count="0"/>
          <reference field="11" count="0" selected="0"/>
        </references>
      </pivotArea>
    </format>
    <format dxfId="260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59">
      <pivotArea collapsedLevelsAreSubtotals="1" fieldPosition="0">
        <references count="2">
          <reference field="4294967294" count="1" selected="0">
            <x v="1"/>
          </reference>
          <reference field="1" count="1">
            <x v="1"/>
          </reference>
        </references>
      </pivotArea>
    </format>
    <format dxfId="258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11" count="0"/>
        </references>
      </pivotArea>
    </format>
    <format dxfId="257">
      <pivotArea collapsedLevelsAreSubtotals="1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10" count="0"/>
          <reference field="11" count="0" selected="0"/>
        </references>
      </pivotArea>
    </format>
    <format dxfId="256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55">
      <pivotArea collapsedLevelsAreSubtotals="1" fieldPosition="0">
        <references count="2">
          <reference field="4294967294" count="1" selected="0">
            <x v="1"/>
          </reference>
          <reference field="1" count="1">
            <x v="1"/>
          </reference>
        </references>
      </pivotArea>
    </format>
    <format dxfId="254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11" count="0"/>
        </references>
      </pivotArea>
    </format>
    <format dxfId="253">
      <pivotArea collapsedLevelsAreSubtotals="1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10" count="0"/>
          <reference field="11" count="0" selected="0"/>
        </references>
      </pivotArea>
    </format>
    <format dxfId="25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51">
      <pivotArea outline="0" collapsedLevelsAreSubtotals="1" fieldPosition="0"/>
    </format>
    <format dxfId="25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4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6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ceiving Location">
  <location ref="L2:O30" firstHeaderRow="0" firstDataRow="1" firstDataCol="1"/>
  <pivotFields count="11"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4">
        <item x="0"/>
        <item m="1" x="2"/>
        <item x="1"/>
        <item t="default"/>
      </items>
    </pivotField>
    <pivotField dataField="1" showAll="0"/>
    <pivotField dataField="1" showAll="0" defaultSubtotal="0"/>
    <pivotField dataField="1" showAll="0"/>
    <pivotField showAll="0"/>
    <pivotField axis="axisRow" showAll="0" defaultSubtotal="0">
      <items count="2">
        <item x="1"/>
        <item x="0"/>
      </items>
    </pivotField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axis="axisRow" showAll="0" defaultSubtotal="0">
      <items count="14">
        <item sd="0" x="0"/>
        <item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5">
    <field x="1"/>
    <field x="6"/>
    <field x="9"/>
    <field x="10"/>
    <field x="0"/>
  </rowFields>
  <rowItems count="28">
    <i>
      <x/>
    </i>
    <i r="1">
      <x/>
    </i>
    <i r="2">
      <x v="2"/>
    </i>
    <i r="3">
      <x v="1"/>
    </i>
    <i r="4">
      <x v="21"/>
    </i>
    <i r="1">
      <x v="1"/>
    </i>
    <i r="2">
      <x/>
    </i>
    <i r="3">
      <x v="1"/>
    </i>
    <i r="4">
      <x v="12"/>
    </i>
    <i r="4">
      <x v="13"/>
    </i>
    <i r="2">
      <x v="1"/>
    </i>
    <i r="3">
      <x v="2"/>
    </i>
    <i r="4">
      <x v="36"/>
    </i>
    <i r="2">
      <x v="2"/>
    </i>
    <i r="3">
      <x v="1"/>
    </i>
    <i r="4">
      <x v="19"/>
    </i>
    <i r="4">
      <x v="21"/>
    </i>
    <i>
      <x v="2"/>
    </i>
    <i r="1">
      <x v="1"/>
    </i>
    <i r="2">
      <x v="3"/>
    </i>
    <i r="3">
      <x v="2"/>
    </i>
    <i r="4">
      <x v="41"/>
    </i>
    <i r="4">
      <x v="42"/>
    </i>
    <i r="4">
      <x v="43"/>
    </i>
    <i r="4">
      <x v="45"/>
    </i>
    <i r="4">
      <x v="46"/>
    </i>
    <i r="4">
      <x v="4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Weight MT" fld="4" baseField="1" baseItem="0" numFmtId="43"/>
    <dataField name=" Jute Bags/Bulk" fld="3" baseField="9" baseItem="3"/>
    <dataField name=" Truck No." fld="2" subtotal="count" baseField="0" baseItem="0"/>
  </dataFields>
  <formats count="66">
    <format dxfId="23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30">
      <pivotArea collapsedLevelsAreSubtotals="1" fieldPosition="0">
        <references count="3">
          <reference field="4294967294" count="2" selected="0">
            <x v="0"/>
            <x v="1"/>
          </reference>
          <reference field="1" count="1" selected="0">
            <x v="0"/>
          </reference>
          <reference field="6" count="1">
            <x v="0"/>
          </reference>
        </references>
      </pivotArea>
    </format>
    <format dxfId="229">
      <pivotArea collapsedLevelsAreSubtotals="1" fieldPosition="0">
        <references count="4">
          <reference field="4294967294" count="2" selected="0">
            <x v="0"/>
            <x v="1"/>
          </reference>
          <reference field="1" count="1" selected="0">
            <x v="0"/>
          </reference>
          <reference field="6" count="1" selected="0">
            <x v="0"/>
          </reference>
          <reference field="9" count="1">
            <x v="2"/>
          </reference>
        </references>
      </pivotArea>
    </format>
    <format dxfId="228">
      <pivotArea collapsedLevelsAreSubtotals="1" fieldPosition="0">
        <references count="5">
          <reference field="4294967294" count="2" selected="0">
            <x v="0"/>
            <x v="1"/>
          </reference>
          <reference field="1" count="1" selected="0">
            <x v="0"/>
          </reference>
          <reference field="6" count="1" selected="0">
            <x v="0"/>
          </reference>
          <reference field="9" count="1" selected="0">
            <x v="2"/>
          </reference>
          <reference field="10" count="1">
            <x v="1"/>
          </reference>
        </references>
      </pivotArea>
    </format>
    <format dxfId="227">
      <pivotArea collapsedLevelsAreSubtotals="1" fieldPosition="0">
        <references count="3">
          <reference field="4294967294" count="2" selected="0">
            <x v="0"/>
            <x v="1"/>
          </reference>
          <reference field="1" count="1" selected="0">
            <x v="0"/>
          </reference>
          <reference field="6" count="1">
            <x v="1"/>
          </reference>
        </references>
      </pivotArea>
    </format>
    <format dxfId="226">
      <pivotArea collapsedLevelsAreSubtotals="1" fieldPosition="0">
        <references count="4">
          <reference field="4294967294" count="2" selected="0">
            <x v="0"/>
            <x v="1"/>
          </reference>
          <reference field="1" count="1" selected="0">
            <x v="0"/>
          </reference>
          <reference field="6" count="1" selected="0">
            <x v="1"/>
          </reference>
          <reference field="9" count="1">
            <x v="0"/>
          </reference>
        </references>
      </pivotArea>
    </format>
    <format dxfId="225">
      <pivotArea collapsedLevelsAreSubtotals="1" fieldPosition="0">
        <references count="5">
          <reference field="4294967294" count="2" selected="0">
            <x v="0"/>
            <x v="1"/>
          </reference>
          <reference field="1" count="1" selected="0">
            <x v="0"/>
          </reference>
          <reference field="6" count="1" selected="0">
            <x v="1"/>
          </reference>
          <reference field="9" count="1" selected="0">
            <x v="0"/>
          </reference>
          <reference field="10" count="1">
            <x v="1"/>
          </reference>
        </references>
      </pivotArea>
    </format>
    <format dxfId="224">
      <pivotArea collapsedLevelsAreSubtotals="1" fieldPosition="0">
        <references count="4">
          <reference field="4294967294" count="2" selected="0">
            <x v="0"/>
            <x v="1"/>
          </reference>
          <reference field="1" count="1" selected="0">
            <x v="0"/>
          </reference>
          <reference field="6" count="1" selected="0">
            <x v="1"/>
          </reference>
          <reference field="9" count="1">
            <x v="1"/>
          </reference>
        </references>
      </pivotArea>
    </format>
    <format dxfId="223">
      <pivotArea collapsedLevelsAreSubtotals="1" fieldPosition="0">
        <references count="5">
          <reference field="4294967294" count="2" selected="0">
            <x v="0"/>
            <x v="1"/>
          </reference>
          <reference field="1" count="1" selected="0">
            <x v="0"/>
          </reference>
          <reference field="6" count="1" selected="0">
            <x v="1"/>
          </reference>
          <reference field="9" count="1" selected="0">
            <x v="1"/>
          </reference>
          <reference field="10" count="1">
            <x v="2"/>
          </reference>
        </references>
      </pivotArea>
    </format>
    <format dxfId="222">
      <pivotArea collapsedLevelsAreSubtotals="1" fieldPosition="0">
        <references count="6">
          <reference field="4294967294" count="2" selected="0">
            <x v="0"/>
            <x v="1"/>
          </reference>
          <reference field="0" count="1">
            <x v="36"/>
          </reference>
          <reference field="1" count="1" selected="0">
            <x v="0"/>
          </reference>
          <reference field="6" count="1" selected="0">
            <x v="1"/>
          </reference>
          <reference field="9" count="1" selected="0">
            <x v="1"/>
          </reference>
          <reference field="10" count="1" selected="0">
            <x v="2"/>
          </reference>
        </references>
      </pivotArea>
    </format>
    <format dxfId="221">
      <pivotArea collapsedLevelsAreSubtotals="1" fieldPosition="0">
        <references count="4">
          <reference field="4294967294" count="2" selected="0">
            <x v="0"/>
            <x v="1"/>
          </reference>
          <reference field="1" count="1" selected="0">
            <x v="0"/>
          </reference>
          <reference field="6" count="1" selected="0">
            <x v="1"/>
          </reference>
          <reference field="9" count="1">
            <x v="2"/>
          </reference>
        </references>
      </pivotArea>
    </format>
    <format dxfId="220">
      <pivotArea collapsedLevelsAreSubtotals="1" fieldPosition="0">
        <references count="5">
          <reference field="4294967294" count="2" selected="0">
            <x v="0"/>
            <x v="1"/>
          </reference>
          <reference field="1" count="1" selected="0">
            <x v="0"/>
          </reference>
          <reference field="6" count="1" selected="0">
            <x v="1"/>
          </reference>
          <reference field="9" count="1" selected="0">
            <x v="2"/>
          </reference>
          <reference field="10" count="1">
            <x v="1"/>
          </reference>
        </references>
      </pivotArea>
    </format>
    <format dxfId="219">
      <pivotArea collapsedLevelsAreSubtotals="1" fieldPosition="0">
        <references count="2">
          <reference field="4294967294" count="2" selected="0">
            <x v="0"/>
            <x v="1"/>
          </reference>
          <reference field="1" count="1">
            <x v="2"/>
          </reference>
        </references>
      </pivotArea>
    </format>
    <format dxfId="218">
      <pivotArea collapsedLevelsAreSubtotals="1" fieldPosition="0">
        <references count="3">
          <reference field="4294967294" count="2" selected="0">
            <x v="0"/>
            <x v="1"/>
          </reference>
          <reference field="1" count="1" selected="0">
            <x v="2"/>
          </reference>
          <reference field="6" count="1">
            <x v="1"/>
          </reference>
        </references>
      </pivotArea>
    </format>
    <format dxfId="217">
      <pivotArea collapsedLevelsAreSubtotals="1" fieldPosition="0">
        <references count="4">
          <reference field="4294967294" count="2" selected="0">
            <x v="0"/>
            <x v="1"/>
          </reference>
          <reference field="1" count="1" selected="0">
            <x v="2"/>
          </reference>
          <reference field="6" count="1" selected="0">
            <x v="1"/>
          </reference>
          <reference field="9" count="1">
            <x v="3"/>
          </reference>
        </references>
      </pivotArea>
    </format>
    <format dxfId="216">
      <pivotArea collapsedLevelsAreSubtotals="1" fieldPosition="0">
        <references count="5">
          <reference field="4294967294" count="2" selected="0">
            <x v="0"/>
            <x v="1"/>
          </reference>
          <reference field="1" count="1" selected="0">
            <x v="2"/>
          </reference>
          <reference field="6" count="1" selected="0">
            <x v="1"/>
          </reference>
          <reference field="9" count="1" selected="0">
            <x v="3"/>
          </reference>
          <reference field="10" count="1">
            <x v="2"/>
          </reference>
        </references>
      </pivotArea>
    </format>
    <format dxfId="215">
      <pivotArea collapsedLevelsAreSubtotals="1" fieldPosition="0">
        <references count="6">
          <reference field="4294967294" count="2" selected="0">
            <x v="0"/>
            <x v="1"/>
          </reference>
          <reference field="0" count="1">
            <x v="36"/>
          </reference>
          <reference field="1" count="1" selected="0">
            <x v="2"/>
          </reference>
          <reference field="6" count="1" selected="0">
            <x v="1"/>
          </reference>
          <reference field="9" count="1" selected="0">
            <x v="3"/>
          </reference>
          <reference field="10" count="1" selected="0">
            <x v="2"/>
          </reference>
        </references>
      </pivotArea>
    </format>
    <format dxfId="214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213">
      <pivotArea collapsedLevelsAreSubtotals="1" fieldPosition="0">
        <references count="2">
          <reference field="4294967294" count="1" selected="0">
            <x v="2"/>
          </reference>
          <reference field="1" count="1">
            <x v="0"/>
          </reference>
        </references>
      </pivotArea>
    </format>
    <format dxfId="212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6" count="1">
            <x v="0"/>
          </reference>
        </references>
      </pivotArea>
    </format>
    <format dxfId="211">
      <pivotArea collapsedLevelsAreSubtotals="1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9" count="1">
            <x v="2"/>
          </reference>
        </references>
      </pivotArea>
    </format>
    <format dxfId="210">
      <pivotArea collapsedLevelsAreSubtotals="1" fieldPosition="0">
        <references count="5">
          <reference field="4294967294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9" count="1" selected="0">
            <x v="2"/>
          </reference>
          <reference field="10" count="1">
            <x v="1"/>
          </reference>
        </references>
      </pivotArea>
    </format>
    <format dxfId="209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6" count="1">
            <x v="1"/>
          </reference>
        </references>
      </pivotArea>
    </format>
    <format dxfId="208">
      <pivotArea collapsedLevelsAreSubtotals="1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6" count="1" selected="0">
            <x v="1"/>
          </reference>
          <reference field="9" count="1">
            <x v="0"/>
          </reference>
        </references>
      </pivotArea>
    </format>
    <format dxfId="207">
      <pivotArea collapsedLevelsAreSubtotals="1" fieldPosition="0">
        <references count="5">
          <reference field="4294967294" count="1" selected="0">
            <x v="2"/>
          </reference>
          <reference field="1" count="1" selected="0">
            <x v="0"/>
          </reference>
          <reference field="6" count="1" selected="0">
            <x v="1"/>
          </reference>
          <reference field="9" count="1" selected="0">
            <x v="0"/>
          </reference>
          <reference field="10" count="1">
            <x v="1"/>
          </reference>
        </references>
      </pivotArea>
    </format>
    <format dxfId="206">
      <pivotArea collapsedLevelsAreSubtotals="1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6" count="1" selected="0">
            <x v="1"/>
          </reference>
          <reference field="9" count="1">
            <x v="1"/>
          </reference>
        </references>
      </pivotArea>
    </format>
    <format dxfId="205">
      <pivotArea collapsedLevelsAreSubtotals="1" fieldPosition="0">
        <references count="5">
          <reference field="4294967294" count="1" selected="0">
            <x v="2"/>
          </reference>
          <reference field="1" count="1" selected="0">
            <x v="0"/>
          </reference>
          <reference field="6" count="1" selected="0">
            <x v="1"/>
          </reference>
          <reference field="9" count="1" selected="0">
            <x v="1"/>
          </reference>
          <reference field="10" count="1">
            <x v="2"/>
          </reference>
        </references>
      </pivotArea>
    </format>
    <format dxfId="204">
      <pivotArea collapsedLevelsAreSubtotals="1" fieldPosition="0">
        <references count="6">
          <reference field="4294967294" count="1" selected="0">
            <x v="2"/>
          </reference>
          <reference field="0" count="1">
            <x v="36"/>
          </reference>
          <reference field="1" count="1" selected="0">
            <x v="0"/>
          </reference>
          <reference field="6" count="1" selected="0">
            <x v="1"/>
          </reference>
          <reference field="9" count="1" selected="0">
            <x v="1"/>
          </reference>
          <reference field="10" count="1" selected="0">
            <x v="2"/>
          </reference>
        </references>
      </pivotArea>
    </format>
    <format dxfId="203">
      <pivotArea collapsedLevelsAreSubtotals="1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6" count="1" selected="0">
            <x v="1"/>
          </reference>
          <reference field="9" count="1">
            <x v="2"/>
          </reference>
        </references>
      </pivotArea>
    </format>
    <format dxfId="202">
      <pivotArea collapsedLevelsAreSubtotals="1" fieldPosition="0">
        <references count="5">
          <reference field="4294967294" count="1" selected="0">
            <x v="2"/>
          </reference>
          <reference field="1" count="1" selected="0">
            <x v="0"/>
          </reference>
          <reference field="6" count="1" selected="0">
            <x v="1"/>
          </reference>
          <reference field="9" count="1" selected="0">
            <x v="2"/>
          </reference>
          <reference field="10" count="1">
            <x v="1"/>
          </reference>
        </references>
      </pivotArea>
    </format>
    <format dxfId="201">
      <pivotArea outline="0" collapsedLevelsAreSubtotals="1" fieldPosition="0"/>
    </format>
    <format dxfId="200">
      <pivotArea dataOnly="0" labelOnly="1" fieldPosition="0">
        <references count="1">
          <reference field="1" count="0"/>
        </references>
      </pivotArea>
    </format>
    <format dxfId="199">
      <pivotArea dataOnly="0" labelOnly="1" grandRow="1" outline="0" fieldPosition="0"/>
    </format>
    <format dxfId="198">
      <pivotArea dataOnly="0" labelOnly="1" fieldPosition="0">
        <references count="2">
          <reference field="1" count="1" selected="0">
            <x v="0"/>
          </reference>
          <reference field="6" count="0"/>
        </references>
      </pivotArea>
    </format>
    <format dxfId="197">
      <pivotArea dataOnly="0" labelOnly="1" fieldPosition="0">
        <references count="2">
          <reference field="1" count="1" selected="0">
            <x v="2"/>
          </reference>
          <reference field="6" count="1">
            <x v="1"/>
          </reference>
        </references>
      </pivotArea>
    </format>
    <format dxfId="196">
      <pivotArea dataOnly="0" labelOnly="1" fieldPosition="0">
        <references count="3">
          <reference field="1" count="1" selected="0">
            <x v="0"/>
          </reference>
          <reference field="6" count="1" selected="0">
            <x v="0"/>
          </reference>
          <reference field="9" count="1">
            <x v="2"/>
          </reference>
        </references>
      </pivotArea>
    </format>
    <format dxfId="195">
      <pivotArea dataOnly="0" labelOnly="1" fieldPosition="0">
        <references count="3">
          <reference field="1" count="1" selected="0">
            <x v="0"/>
          </reference>
          <reference field="6" count="1" selected="0">
            <x v="1"/>
          </reference>
          <reference field="9" count="3">
            <x v="0"/>
            <x v="1"/>
            <x v="2"/>
          </reference>
        </references>
      </pivotArea>
    </format>
    <format dxfId="194">
      <pivotArea dataOnly="0" labelOnly="1" fieldPosition="0">
        <references count="3">
          <reference field="1" count="1" selected="0">
            <x v="2"/>
          </reference>
          <reference field="6" count="1" selected="0">
            <x v="1"/>
          </reference>
          <reference field="9" count="1">
            <x v="3"/>
          </reference>
        </references>
      </pivotArea>
    </format>
    <format dxfId="193">
      <pivotArea dataOnly="0" labelOnly="1" fieldPosition="0">
        <references count="4">
          <reference field="1" count="1" selected="0">
            <x v="0"/>
          </reference>
          <reference field="6" count="1" selected="0">
            <x v="0"/>
          </reference>
          <reference field="9" count="1" selected="0">
            <x v="2"/>
          </reference>
          <reference field="10" count="1">
            <x v="1"/>
          </reference>
        </references>
      </pivotArea>
    </format>
    <format dxfId="192">
      <pivotArea dataOnly="0" labelOnly="1" fieldPosition="0">
        <references count="4">
          <reference field="1" count="1" selected="0">
            <x v="0"/>
          </reference>
          <reference field="6" count="1" selected="0">
            <x v="1"/>
          </reference>
          <reference field="9" count="1" selected="0">
            <x v="0"/>
          </reference>
          <reference field="10" count="1">
            <x v="1"/>
          </reference>
        </references>
      </pivotArea>
    </format>
    <format dxfId="191">
      <pivotArea dataOnly="0" labelOnly="1" fieldPosition="0">
        <references count="4">
          <reference field="1" count="1" selected="0">
            <x v="0"/>
          </reference>
          <reference field="6" count="1" selected="0">
            <x v="1"/>
          </reference>
          <reference field="9" count="1" selected="0">
            <x v="1"/>
          </reference>
          <reference field="10" count="1">
            <x v="2"/>
          </reference>
        </references>
      </pivotArea>
    </format>
    <format dxfId="190">
      <pivotArea dataOnly="0" labelOnly="1" fieldPosition="0">
        <references count="4">
          <reference field="1" count="1" selected="0">
            <x v="0"/>
          </reference>
          <reference field="6" count="1" selected="0">
            <x v="1"/>
          </reference>
          <reference field="9" count="1" selected="0">
            <x v="2"/>
          </reference>
          <reference field="10" count="1">
            <x v="1"/>
          </reference>
        </references>
      </pivotArea>
    </format>
    <format dxfId="189">
      <pivotArea dataOnly="0" labelOnly="1" fieldPosition="0">
        <references count="4">
          <reference field="1" count="1" selected="0">
            <x v="2"/>
          </reference>
          <reference field="6" count="1" selected="0">
            <x v="1"/>
          </reference>
          <reference field="9" count="1" selected="0">
            <x v="3"/>
          </reference>
          <reference field="10" count="1">
            <x v="2"/>
          </reference>
        </references>
      </pivotArea>
    </format>
    <format dxfId="188">
      <pivotArea dataOnly="0" labelOnly="1" fieldPosition="0">
        <references count="5">
          <reference field="0" count="1">
            <x v="21"/>
          </reference>
          <reference field="1" count="1" selected="0">
            <x v="0"/>
          </reference>
          <reference field="6" count="1" selected="0">
            <x v="0"/>
          </reference>
          <reference field="9" count="1" selected="0">
            <x v="2"/>
          </reference>
          <reference field="10" count="1" selected="0">
            <x v="1"/>
          </reference>
        </references>
      </pivotArea>
    </format>
    <format dxfId="187">
      <pivotArea dataOnly="0" labelOnly="1" fieldPosition="0">
        <references count="5">
          <reference field="0" count="2">
            <x v="12"/>
            <x v="13"/>
          </reference>
          <reference field="1" count="1" selected="0">
            <x v="0"/>
          </reference>
          <reference field="6" count="1" selected="0">
            <x v="1"/>
          </reference>
          <reference field="9" count="1" selected="0">
            <x v="0"/>
          </reference>
          <reference field="10" count="1" selected="0">
            <x v="1"/>
          </reference>
        </references>
      </pivotArea>
    </format>
    <format dxfId="186">
      <pivotArea dataOnly="0" labelOnly="1" fieldPosition="0">
        <references count="5">
          <reference field="0" count="1">
            <x v="36"/>
          </reference>
          <reference field="1" count="1" selected="0">
            <x v="0"/>
          </reference>
          <reference field="6" count="1" selected="0">
            <x v="1"/>
          </reference>
          <reference field="9" count="1" selected="0">
            <x v="1"/>
          </reference>
          <reference field="10" count="1" selected="0">
            <x v="2"/>
          </reference>
        </references>
      </pivotArea>
    </format>
    <format dxfId="185">
      <pivotArea dataOnly="0" labelOnly="1" fieldPosition="0">
        <references count="5">
          <reference field="0" count="2">
            <x v="19"/>
            <x v="21"/>
          </reference>
          <reference field="1" count="1" selected="0">
            <x v="0"/>
          </reference>
          <reference field="6" count="1" selected="0">
            <x v="1"/>
          </reference>
          <reference field="9" count="1" selected="0">
            <x v="2"/>
          </reference>
          <reference field="10" count="1" selected="0">
            <x v="1"/>
          </reference>
        </references>
      </pivotArea>
    </format>
    <format dxfId="184">
      <pivotArea dataOnly="0" labelOnly="1" fieldPosition="0">
        <references count="5">
          <reference field="0" count="6">
            <x v="41"/>
            <x v="42"/>
            <x v="43"/>
            <x v="45"/>
            <x v="46"/>
            <x v="47"/>
          </reference>
          <reference field="1" count="1" selected="0">
            <x v="2"/>
          </reference>
          <reference field="6" count="1" selected="0">
            <x v="1"/>
          </reference>
          <reference field="9" count="1" selected="0">
            <x v="3"/>
          </reference>
          <reference field="10" count="1" selected="0">
            <x v="2"/>
          </reference>
        </references>
      </pivotArea>
    </format>
    <format dxfId="183">
      <pivotArea outline="0" collapsedLevelsAreSubtotals="1" fieldPosition="0"/>
    </format>
    <format dxfId="182">
      <pivotArea dataOnly="0" labelOnly="1" fieldPosition="0">
        <references count="1">
          <reference field="1" count="0"/>
        </references>
      </pivotArea>
    </format>
    <format dxfId="181">
      <pivotArea dataOnly="0" labelOnly="1" grandRow="1" outline="0" fieldPosition="0"/>
    </format>
    <format dxfId="180">
      <pivotArea dataOnly="0" labelOnly="1" fieldPosition="0">
        <references count="2">
          <reference field="1" count="1" selected="0">
            <x v="0"/>
          </reference>
          <reference field="6" count="0"/>
        </references>
      </pivotArea>
    </format>
    <format dxfId="179">
      <pivotArea dataOnly="0" labelOnly="1" fieldPosition="0">
        <references count="2">
          <reference field="1" count="1" selected="0">
            <x v="2"/>
          </reference>
          <reference field="6" count="1">
            <x v="1"/>
          </reference>
        </references>
      </pivotArea>
    </format>
    <format dxfId="178">
      <pivotArea dataOnly="0" labelOnly="1" fieldPosition="0">
        <references count="3">
          <reference field="1" count="1" selected="0">
            <x v="0"/>
          </reference>
          <reference field="6" count="1" selected="0">
            <x v="0"/>
          </reference>
          <reference field="9" count="1">
            <x v="2"/>
          </reference>
        </references>
      </pivotArea>
    </format>
    <format dxfId="177">
      <pivotArea dataOnly="0" labelOnly="1" fieldPosition="0">
        <references count="3">
          <reference field="1" count="1" selected="0">
            <x v="0"/>
          </reference>
          <reference field="6" count="1" selected="0">
            <x v="1"/>
          </reference>
          <reference field="9" count="3">
            <x v="0"/>
            <x v="1"/>
            <x v="2"/>
          </reference>
        </references>
      </pivotArea>
    </format>
    <format dxfId="176">
      <pivotArea dataOnly="0" labelOnly="1" fieldPosition="0">
        <references count="3">
          <reference field="1" count="1" selected="0">
            <x v="2"/>
          </reference>
          <reference field="6" count="1" selected="0">
            <x v="1"/>
          </reference>
          <reference field="9" count="1">
            <x v="3"/>
          </reference>
        </references>
      </pivotArea>
    </format>
    <format dxfId="175">
      <pivotArea dataOnly="0" labelOnly="1" fieldPosition="0">
        <references count="4">
          <reference field="1" count="1" selected="0">
            <x v="0"/>
          </reference>
          <reference field="6" count="1" selected="0">
            <x v="0"/>
          </reference>
          <reference field="9" count="1" selected="0">
            <x v="2"/>
          </reference>
          <reference field="10" count="1">
            <x v="1"/>
          </reference>
        </references>
      </pivotArea>
    </format>
    <format dxfId="174">
      <pivotArea dataOnly="0" labelOnly="1" fieldPosition="0">
        <references count="4">
          <reference field="1" count="1" selected="0">
            <x v="0"/>
          </reference>
          <reference field="6" count="1" selected="0">
            <x v="1"/>
          </reference>
          <reference field="9" count="1" selected="0">
            <x v="0"/>
          </reference>
          <reference field="10" count="1">
            <x v="1"/>
          </reference>
        </references>
      </pivotArea>
    </format>
    <format dxfId="173">
      <pivotArea dataOnly="0" labelOnly="1" fieldPosition="0">
        <references count="4">
          <reference field="1" count="1" selected="0">
            <x v="0"/>
          </reference>
          <reference field="6" count="1" selected="0">
            <x v="1"/>
          </reference>
          <reference field="9" count="1" selected="0">
            <x v="1"/>
          </reference>
          <reference field="10" count="1">
            <x v="2"/>
          </reference>
        </references>
      </pivotArea>
    </format>
    <format dxfId="172">
      <pivotArea dataOnly="0" labelOnly="1" fieldPosition="0">
        <references count="4">
          <reference field="1" count="1" selected="0">
            <x v="0"/>
          </reference>
          <reference field="6" count="1" selected="0">
            <x v="1"/>
          </reference>
          <reference field="9" count="1" selected="0">
            <x v="2"/>
          </reference>
          <reference field="10" count="1">
            <x v="1"/>
          </reference>
        </references>
      </pivotArea>
    </format>
    <format dxfId="171">
      <pivotArea dataOnly="0" labelOnly="1" fieldPosition="0">
        <references count="4">
          <reference field="1" count="1" selected="0">
            <x v="2"/>
          </reference>
          <reference field="6" count="1" selected="0">
            <x v="1"/>
          </reference>
          <reference field="9" count="1" selected="0">
            <x v="3"/>
          </reference>
          <reference field="10" count="1">
            <x v="2"/>
          </reference>
        </references>
      </pivotArea>
    </format>
    <format dxfId="170">
      <pivotArea dataOnly="0" labelOnly="1" fieldPosition="0">
        <references count="5">
          <reference field="0" count="1">
            <x v="21"/>
          </reference>
          <reference field="1" count="1" selected="0">
            <x v="0"/>
          </reference>
          <reference field="6" count="1" selected="0">
            <x v="0"/>
          </reference>
          <reference field="9" count="1" selected="0">
            <x v="2"/>
          </reference>
          <reference field="10" count="1" selected="0">
            <x v="1"/>
          </reference>
        </references>
      </pivotArea>
    </format>
    <format dxfId="169">
      <pivotArea dataOnly="0" labelOnly="1" fieldPosition="0">
        <references count="5">
          <reference field="0" count="2">
            <x v="12"/>
            <x v="13"/>
          </reference>
          <reference field="1" count="1" selected="0">
            <x v="0"/>
          </reference>
          <reference field="6" count="1" selected="0">
            <x v="1"/>
          </reference>
          <reference field="9" count="1" selected="0">
            <x v="0"/>
          </reference>
          <reference field="10" count="1" selected="0">
            <x v="1"/>
          </reference>
        </references>
      </pivotArea>
    </format>
    <format dxfId="168">
      <pivotArea dataOnly="0" labelOnly="1" fieldPosition="0">
        <references count="5">
          <reference field="0" count="1">
            <x v="36"/>
          </reference>
          <reference field="1" count="1" selected="0">
            <x v="0"/>
          </reference>
          <reference field="6" count="1" selected="0">
            <x v="1"/>
          </reference>
          <reference field="9" count="1" selected="0">
            <x v="1"/>
          </reference>
          <reference field="10" count="1" selected="0">
            <x v="2"/>
          </reference>
        </references>
      </pivotArea>
    </format>
    <format dxfId="167">
      <pivotArea dataOnly="0" labelOnly="1" fieldPosition="0">
        <references count="5">
          <reference field="0" count="2">
            <x v="19"/>
            <x v="21"/>
          </reference>
          <reference field="1" count="1" selected="0">
            <x v="0"/>
          </reference>
          <reference field="6" count="1" selected="0">
            <x v="1"/>
          </reference>
          <reference field="9" count="1" selected="0">
            <x v="2"/>
          </reference>
          <reference field="10" count="1" selected="0">
            <x v="1"/>
          </reference>
        </references>
      </pivotArea>
    </format>
    <format dxfId="166">
      <pivotArea dataOnly="0" labelOnly="1" fieldPosition="0">
        <references count="5">
          <reference field="0" count="6">
            <x v="41"/>
            <x v="42"/>
            <x v="43"/>
            <x v="45"/>
            <x v="46"/>
            <x v="47"/>
          </reference>
          <reference field="1" count="1" selected="0">
            <x v="2"/>
          </reference>
          <reference field="6" count="1" selected="0">
            <x v="1"/>
          </reference>
          <reference field="9" count="1" selected="0">
            <x v="3"/>
          </reference>
          <reference field="10" count="1" selected="0">
            <x v="2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5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ceiving Location">
  <location ref="N2:Q17" firstHeaderRow="0" firstDataRow="1" firstDataCol="1"/>
  <pivotFields count="12">
    <pivotField numFmtId="16" showAll="0"/>
    <pivotField axis="axisRow" showAll="0">
      <items count="16">
        <item m="1" x="5"/>
        <item m="1" x="7"/>
        <item m="1" x="9"/>
        <item m="1" x="11"/>
        <item m="1" x="12"/>
        <item m="1" x="13"/>
        <item m="1" x="14"/>
        <item m="1" x="2"/>
        <item m="1" x="3"/>
        <item m="1" x="4"/>
        <item m="1" x="6"/>
        <item m="1" x="8"/>
        <item m="1" x="10"/>
        <item x="0"/>
        <item x="1"/>
        <item t="default"/>
      </items>
    </pivotField>
    <pivotField dataField="1" showAll="0"/>
    <pivotField dataField="1" numFmtId="165" showAll="0" defaultSubtotal="0"/>
    <pivotField dataField="1" showAll="0" defaultSubtotal="0"/>
    <pivotField showAll="0" defaultSubtotal="0"/>
    <pivotField numFmtId="165" showAll="0" defaultSubtotal="0"/>
    <pivotField numFmtId="43" showAll="0" defaultSubtotal="0"/>
    <pivotField showAll="0"/>
    <pivotField axis="axisRow" showAll="0">
      <items count="3">
        <item x="1"/>
        <item x="0"/>
        <item t="default"/>
      </items>
    </pivotField>
    <pivotField axis="axisRow" showAll="0">
      <items count="8">
        <item m="1" x="4"/>
        <item m="1" x="6"/>
        <item x="0"/>
        <item x="1"/>
        <item x="2"/>
        <item m="1" x="5"/>
        <item m="1" x="3"/>
        <item t="default"/>
      </items>
    </pivotField>
    <pivotField axis="axisRow" showAll="0">
      <items count="7">
        <item n="PO#4500001484" x="0"/>
        <item n="PO#4500001652" x="2"/>
        <item n="PO#4500001654" x="1"/>
        <item n="PO#4500002146" x="3"/>
        <item n="PO#4500005939" x="5"/>
        <item n="PO#4500005740" x="4"/>
        <item t="default"/>
      </items>
    </pivotField>
  </pivotFields>
  <rowFields count="4">
    <field x="1"/>
    <field x="9"/>
    <field x="10"/>
    <field x="11"/>
  </rowFields>
  <rowItems count="15">
    <i>
      <x v="13"/>
    </i>
    <i r="1">
      <x v="1"/>
    </i>
    <i r="2">
      <x v="2"/>
    </i>
    <i r="3">
      <x/>
    </i>
    <i r="3">
      <x v="2"/>
    </i>
    <i r="3">
      <x v="4"/>
    </i>
    <i r="2">
      <x v="3"/>
    </i>
    <i r="3">
      <x v="1"/>
    </i>
    <i r="2">
      <x v="4"/>
    </i>
    <i r="3">
      <x v="3"/>
    </i>
    <i>
      <x v="14"/>
    </i>
    <i r="1">
      <x/>
    </i>
    <i r="2">
      <x v="3"/>
    </i>
    <i r="3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Weight MT" fld="4" baseField="0" baseItem="0"/>
    <dataField name="  Bags No." fld="3" baseField="0" baseItem="0"/>
    <dataField name=" Truck No." fld="2" subtotal="count" baseField="0" baseItem="0" numFmtId="165"/>
  </dataFields>
  <formats count="16">
    <format dxfId="150">
      <pivotArea collapsedLevelsAreSubtotals="1" fieldPosition="0">
        <references count="1">
          <reference field="1" count="0"/>
        </references>
      </pivotArea>
    </format>
    <format dxfId="149">
      <pivotArea dataOnly="0" labelOnly="1" fieldPosition="0">
        <references count="1">
          <reference field="1" count="0"/>
        </references>
      </pivotArea>
    </format>
    <format dxfId="148">
      <pivotArea dataOnly="0" labelOnly="1" fieldPosition="0">
        <references count="2">
          <reference field="1" count="0" selected="0"/>
          <reference field="11" count="0"/>
        </references>
      </pivotArea>
    </format>
    <format dxfId="147">
      <pivotArea collapsedLevelsAreSubtotals="1" fieldPosition="0">
        <references count="1">
          <reference field="1" count="0"/>
        </references>
      </pivotArea>
    </format>
    <format dxfId="146">
      <pivotArea field="1" type="button" dataOnly="0" labelOnly="1" outline="0" axis="axisRow" fieldPosition="0"/>
    </format>
    <format dxfId="145">
      <pivotArea dataOnly="0" labelOnly="1" fieldPosition="0">
        <references count="1">
          <reference field="1" count="0"/>
        </references>
      </pivotArea>
    </format>
    <format dxfId="14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3">
      <pivotArea outline="0" collapsedLevelsAreSubtotals="1" fieldPosition="0"/>
    </format>
    <format dxfId="14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0">
      <pivotArea collapsedLevelsAreSubtotals="1" fieldPosition="0">
        <references count="1">
          <reference field="1" count="0"/>
        </references>
      </pivotArea>
    </format>
    <format dxfId="139">
      <pivotArea dataOnly="0" labelOnly="1" fieldPosition="0">
        <references count="1">
          <reference field="1" count="0"/>
        </references>
      </pivotArea>
    </format>
    <format dxfId="138">
      <pivotArea field="1" type="button" dataOnly="0" labelOnly="1" outline="0" axis="axisRow" fieldPosition="0"/>
    </format>
    <format dxfId="13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5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4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ceiving Location">
  <location ref="N2:S6" firstHeaderRow="0" firstDataRow="1" firstDataCol="1"/>
  <pivotFields count="12">
    <pivotField showAll="0"/>
    <pivotField axis="axisRow" showAll="0">
      <items count="3">
        <item m="1"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axis="axisRow" showAll="0">
      <items count="3">
        <item m="1" x="1"/>
        <item x="0"/>
        <item t="default"/>
      </items>
    </pivotField>
    <pivotField axis="axisRow" showAll="0">
      <items count="2">
        <item n="PO#4500002362" x="0"/>
        <item t="default"/>
      </items>
    </pivotField>
    <pivotField showAll="0" defaultSubtotal="0"/>
  </pivotFields>
  <rowFields count="3">
    <field x="1"/>
    <field x="9"/>
    <field x="10"/>
  </rowFields>
  <rowItems count="4">
    <i>
      <x v="1"/>
    </i>
    <i r="1">
      <x v="1"/>
    </i>
    <i r="2"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Weight MT" fld="7" baseField="1" baseItem="0" numFmtId="43"/>
    <dataField name=" Jute Bags " fld="3" baseField="1" baseItem="0"/>
    <dataField name=" BP Bags" fld="4" baseField="1" baseItem="0"/>
    <dataField name=" SP Bags" fld="5" baseField="1" baseItem="0"/>
    <dataField name=" Truck No." fld="2" subtotal="count" baseField="0" baseItem="0"/>
  </dataFields>
  <formats count="3">
    <format dxfId="127">
      <pivotArea dataOnly="0" labelOnly="1" fieldPosition="0">
        <references count="3">
          <reference field="1" count="0" selected="0"/>
          <reference field="9" count="0" selected="0"/>
          <reference field="10" count="0"/>
        </references>
      </pivotArea>
    </format>
    <format dxfId="126">
      <pivotArea outline="0" collapsedLevelsAreSubtotals="1" fieldPosition="0"/>
    </format>
    <format dxfId="12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4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L2:O5" firstHeaderRow="0" firstDataRow="1" firstDataCol="1"/>
  <pivotFields count="10">
    <pivotField showAll="0"/>
    <pivotField axis="axisRow" showAll="0">
      <items count="3">
        <item m="1" x="1"/>
        <item x="0"/>
        <item t="default"/>
      </items>
    </pivotField>
    <pivotField dataField="1" showAll="0"/>
    <pivotField dataField="1" showAll="0" defaultSubtotal="0"/>
    <pivotField showAll="0"/>
    <pivotField dataField="1" showAll="0"/>
    <pivotField showAll="0"/>
    <pivotField showAll="0"/>
    <pivotField axis="axisRow" showAll="0">
      <items count="2">
        <item n="PO#4500006403" x="0"/>
        <item t="default"/>
      </items>
    </pivotField>
    <pivotField showAll="0"/>
  </pivotFields>
  <rowFields count="2">
    <field x="1"/>
    <field x="8"/>
  </rowFields>
  <rowItems count="3">
    <i>
      <x v="1"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Weight MT" fld="5" baseField="1" baseItem="0"/>
    <dataField name=" Bags No. " fld="3" baseField="8" baseItem="1" numFmtId="165"/>
    <dataField name=" Truck No." fld="2" subtotal="count" baseField="0" baseItem="0" numFmtId="165"/>
  </dataFields>
  <formats count="3">
    <format dxfId="119">
      <pivotArea outline="0" collapsedLevelsAreSubtotals="1" fieldPosition="0"/>
    </format>
    <format dxfId="118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117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4" displayName="Table4" ref="B6:M24" totalsRowShown="0" headerRowDxfId="290" dataDxfId="288" headerRowBorderDxfId="289" tableBorderDxfId="287">
  <autoFilter ref="B6:M24"/>
  <tableColumns count="12">
    <tableColumn id="1" name="Commodity" dataDxfId="286" totalsRowDxfId="285"/>
    <tableColumn id="2" name="Code" dataDxfId="284" totalsRowDxfId="283"/>
    <tableColumn id="3" name="Region" dataDxfId="282" totalsRowDxfId="281"/>
    <tableColumn id="4" name="Supplier" dataDxfId="111" totalsRowDxfId="280"/>
    <tableColumn id="5" name="PO#" dataDxfId="109" totalsRowDxfId="279"/>
    <tableColumn id="6" name="Receiving Location" dataDxfId="110" totalsRowDxfId="278"/>
    <tableColumn id="7" name="Received Weight-MT" dataDxfId="277" totalsRowDxfId="276" dataCellStyle="Comma">
      <calculatedColumnFormula>GETPIVOTDATA(" Weight MT",GS!$N$2,"Receiving Location","Gadarif WH-AG","PO#","PO#1763","Grade","Above Medium Quality")</calculatedColumnFormula>
    </tableColumn>
    <tableColumn id="8" name="Purchasing Weight-MT" dataDxfId="275" totalsRowDxfId="274" dataCellStyle="Comma"/>
    <tableColumn id="9" name="Purchasing Balance" dataDxfId="273" totalsRowDxfId="272">
      <calculatedColumnFormula>Table4[[#This Row],[Received Weight-MT]]-Table4[[#This Row],[Purchasing Weight-MT]]</calculatedColumnFormula>
    </tableColumn>
    <tableColumn id="10" name="PO Status" dataDxfId="271" totalsRowDxfId="270"/>
    <tableColumn id="12" name="Job Status"/>
    <tableColumn id="11" name="Responsible Person " dataDxfId="269" totalsRowDxfId="26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1:L200" totalsRowShown="0" headerRowDxfId="246" dataDxfId="245" tableBorderDxfId="244">
  <autoFilter ref="A1:L200"/>
  <sortState ref="A2:K573">
    <sortCondition ref="A1:A573"/>
  </sortState>
  <tableColumns count="12">
    <tableColumn id="2" name="Date" dataDxfId="243"/>
    <tableColumn id="3" name="Receiving Location" dataDxfId="242"/>
    <tableColumn id="4" name="Truck No." dataDxfId="241"/>
    <tableColumn id="5" name="Jute Bags " dataDxfId="240"/>
    <tableColumn id="1" name="BP Bags" dataDxfId="239"/>
    <tableColumn id="8" name="SP Bags" dataDxfId="238"/>
    <tableColumn id="6" name="Weight MT" dataDxfId="237"/>
    <tableColumn id="7" name="Weight KG" dataDxfId="236" dataCellStyle="Comma">
      <calculatedColumnFormula>Table3[[#This Row],[Weight MT]]*100</calculatedColumnFormula>
    </tableColumn>
    <tableColumn id="12" name="Commodity Code" dataDxfId="235"/>
    <tableColumn id="13" name="Supplier Name" dataDxfId="234"/>
    <tableColumn id="14" name="PO#" dataDxfId="233"/>
    <tableColumn id="15" name="Grade" dataDxfId="232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id="3" name="Table5" displayName="Table5" ref="A1:J167" totalsRowShown="0" headerRowDxfId="165" dataDxfId="163" headerRowBorderDxfId="164" tableBorderDxfId="162" totalsRowBorderDxfId="161">
  <autoFilter ref="A1:J167"/>
  <tableColumns count="10">
    <tableColumn id="1" name="Date" dataDxfId="160"/>
    <tableColumn id="2" name="Receiving Location" dataDxfId="159"/>
    <tableColumn id="3" name="Truck No." dataDxfId="158"/>
    <tableColumn id="4" name="Jute Bags/Bulk" dataDxfId="157"/>
    <tableColumn id="5" name="Weight MT" dataDxfId="156" dataCellStyle="Comma"/>
    <tableColumn id="6" name="Weight KG" dataDxfId="155" dataCellStyle="Comma">
      <calculatedColumnFormula>Table5[[#This Row],[Weight MT]]*1000</calculatedColumnFormula>
    </tableColumn>
    <tableColumn id="10" name="Commodity" dataDxfId="154" dataCellStyle="Comma"/>
    <tableColumn id="7" name="Commodity Code" dataDxfId="153"/>
    <tableColumn id="8" name="Supplier Name" dataDxfId="152"/>
    <tableColumn id="9" name="PO#" dataDxfId="1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6" displayName="Table6" ref="A1:L85" totalsRowShown="0" headerRowDxfId="134" headerRowBorderDxfId="133" tableBorderDxfId="132">
  <autoFilter ref="A1:L85"/>
  <tableColumns count="12">
    <tableColumn id="1" name="Date"/>
    <tableColumn id="2" name="Receiving Location"/>
    <tableColumn id="3" name="Truck No."/>
    <tableColumn id="4" name=" Bags" dataDxfId="131" dataCellStyle="Comma"/>
    <tableColumn id="5" name="Gross Weight MT"/>
    <tableColumn id="6" name="Gross Weight KG" dataDxfId="130">
      <calculatedColumnFormula>Table6[[#This Row],[Gross Weight MT]]*1000</calculatedColumnFormula>
    </tableColumn>
    <tableColumn id="11" name="Net Weight KG" dataDxfId="129" dataCellStyle="Comma">
      <calculatedColumnFormula>Table6[[#This Row],[Gross Weight KG]]-(Table6[[#This Row],[ Bags]]*0.1)</calculatedColumnFormula>
    </tableColumn>
    <tableColumn id="12" name="Net Weight MT" dataDxfId="128" dataCellStyle="Comma"/>
    <tableColumn id="7" name="Commodity"/>
    <tableColumn id="8" name="Commodity Code"/>
    <tableColumn id="9" name="Supplier Name"/>
    <tableColumn id="10" name="PO#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id="5" name="Table7" displayName="Table7" ref="A1:L8" totalsRowShown="0" headerRowDxfId="124" headerRowBorderDxfId="123" tableBorderDxfId="122">
  <autoFilter ref="A1:L8"/>
  <tableColumns count="12">
    <tableColumn id="1" name="Date"/>
    <tableColumn id="2" name="Receiving Location"/>
    <tableColumn id="3" name="Truck No."/>
    <tableColumn id="4" name="Jute Bags "/>
    <tableColumn id="5" name="BP Bags"/>
    <tableColumn id="6" name="SP Bags"/>
    <tableColumn id="7" name="Weight KG" dataDxfId="121" dataCellStyle="Comma"/>
    <tableColumn id="8" name="Weight MT" dataDxfId="120"/>
    <tableColumn id="9" name="Commodity Code"/>
    <tableColumn id="10" name="Supplier Name"/>
    <tableColumn id="11" name="PO#"/>
    <tableColumn id="12" name="Commodity"/>
  </tableColumns>
  <tableStyleInfo name="TableStyleLight19" showFirstColumn="0" showLastColumn="0" showRowStripes="1" showColumnStripes="0"/>
</table>
</file>

<file path=xl/tables/table6.xml><?xml version="1.0" encoding="utf-8"?>
<table xmlns="http://schemas.openxmlformats.org/spreadsheetml/2006/main" id="6" name="Table8" displayName="Table8" ref="A1:J5" totalsRowShown="0" headerRowDxfId="116" headerRowBorderDxfId="115" tableBorderDxfId="114">
  <autoFilter ref="A1:J5"/>
  <tableColumns count="10">
    <tableColumn id="1" name="Date"/>
    <tableColumn id="2" name="Receiving Location"/>
    <tableColumn id="3" name="Truck No."/>
    <tableColumn id="4" name="Bags No. "/>
    <tableColumn id="7" name="Weight KG" dataDxfId="113" dataCellStyle="Comma"/>
    <tableColumn id="8" name="Weight MT" dataDxfId="112">
      <calculatedColumnFormula>Table8[[#This Row],[Weight KG]]/1000</calculatedColumnFormula>
    </tableColumn>
    <tableColumn id="9" name="Commodity Code"/>
    <tableColumn id="10" name="Supplier Name"/>
    <tableColumn id="11" name="PO#"/>
    <tableColumn id="12" name="Commodity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24"/>
  <sheetViews>
    <sheetView showGridLines="0" tabSelected="1" zoomScale="70" zoomScaleNormal="7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J24" sqref="J24"/>
    </sheetView>
  </sheetViews>
  <sheetFormatPr defaultRowHeight="15" x14ac:dyDescent="0.25"/>
  <cols>
    <col min="1" max="1" width="3.5703125" customWidth="1"/>
    <col min="2" max="2" width="33.7109375" customWidth="1"/>
    <col min="3" max="3" width="16" bestFit="1" customWidth="1"/>
    <col min="4" max="4" width="14.42578125" bestFit="1" customWidth="1"/>
    <col min="5" max="5" width="20.5703125" bestFit="1" customWidth="1"/>
    <col min="6" max="6" width="16" bestFit="1" customWidth="1"/>
    <col min="7" max="7" width="18.140625" customWidth="1"/>
    <col min="8" max="8" width="16" style="1" customWidth="1"/>
    <col min="9" max="9" width="15.28515625" customWidth="1"/>
    <col min="10" max="10" width="12.5703125" style="2" customWidth="1"/>
    <col min="11" max="11" width="12.5703125" customWidth="1"/>
    <col min="12" max="12" width="17.28515625" hidden="1" customWidth="1"/>
    <col min="13" max="13" width="21.140625" customWidth="1"/>
    <col min="15" max="15" width="12.140625" bestFit="1" customWidth="1"/>
    <col min="16" max="16" width="13.42578125" bestFit="1" customWidth="1"/>
  </cols>
  <sheetData>
    <row r="1" spans="2:14" ht="9" customHeight="1" x14ac:dyDescent="0.25"/>
    <row r="2" spans="2:14" ht="18.75" customHeight="1" x14ac:dyDescent="0.25">
      <c r="B2" s="183" t="s">
        <v>0</v>
      </c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5"/>
    </row>
    <row r="3" spans="2:14" ht="18.75" customHeight="1" x14ac:dyDescent="0.25">
      <c r="B3" s="186" t="s">
        <v>1</v>
      </c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8"/>
    </row>
    <row r="4" spans="2:14" ht="18.75" customHeight="1" x14ac:dyDescent="0.25">
      <c r="B4" s="189" t="s">
        <v>35</v>
      </c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1"/>
    </row>
    <row r="5" spans="2:14" ht="7.5" customHeight="1" x14ac:dyDescent="0.25">
      <c r="B5" s="3"/>
      <c r="C5" s="3"/>
      <c r="D5" s="3"/>
      <c r="E5" s="3"/>
      <c r="F5" s="3"/>
      <c r="G5" s="3"/>
      <c r="H5" s="4"/>
      <c r="I5" s="5"/>
      <c r="J5" s="6"/>
      <c r="K5" s="3"/>
      <c r="L5" s="3"/>
      <c r="M5" s="91"/>
      <c r="N5" s="91"/>
    </row>
    <row r="6" spans="2:14" ht="45.75" customHeight="1" x14ac:dyDescent="0.25">
      <c r="B6" s="7" t="s">
        <v>2</v>
      </c>
      <c r="C6" s="8" t="s">
        <v>3</v>
      </c>
      <c r="D6" s="8" t="s">
        <v>4</v>
      </c>
      <c r="E6" s="8" t="s">
        <v>5</v>
      </c>
      <c r="F6" s="8" t="s">
        <v>6</v>
      </c>
      <c r="G6" s="8" t="s">
        <v>7</v>
      </c>
      <c r="H6" s="9" t="s">
        <v>8</v>
      </c>
      <c r="I6" s="10" t="s">
        <v>9</v>
      </c>
      <c r="J6" s="11" t="s">
        <v>10</v>
      </c>
      <c r="K6" s="11" t="s">
        <v>11</v>
      </c>
      <c r="L6" s="11" t="s">
        <v>12</v>
      </c>
      <c r="M6" s="11" t="s">
        <v>13</v>
      </c>
    </row>
    <row r="7" spans="2:14" x14ac:dyDescent="0.25">
      <c r="B7" s="35" t="s">
        <v>14</v>
      </c>
      <c r="C7" s="12" t="s">
        <v>15</v>
      </c>
      <c r="D7" s="13" t="s">
        <v>16</v>
      </c>
      <c r="E7" s="13" t="s">
        <v>17</v>
      </c>
      <c r="F7" s="201">
        <v>1763</v>
      </c>
      <c r="G7" s="13" t="s">
        <v>18</v>
      </c>
      <c r="H7" s="111">
        <f>GETPIVOTDATA(" Weight MT",GS!$N$2,"Receiving Location","Gadarif WH-AG","PO#","PO#1763","Grade","Above Medium Quality")</f>
        <v>83.779999999999987</v>
      </c>
      <c r="I7" s="42">
        <f>Table4[[#This Row],[Received Weight-MT]]</f>
        <v>83.779999999999987</v>
      </c>
      <c r="J7" s="14">
        <f>Table4[[#This Row],[Received Weight-MT]]-Table4[[#This Row],[Purchasing Weight-MT]]</f>
        <v>0</v>
      </c>
      <c r="K7" s="15" t="s">
        <v>19</v>
      </c>
      <c r="L7" s="13" t="s">
        <v>20</v>
      </c>
      <c r="M7" s="15" t="s">
        <v>21</v>
      </c>
    </row>
    <row r="8" spans="2:14" x14ac:dyDescent="0.25">
      <c r="B8" s="36" t="s">
        <v>14</v>
      </c>
      <c r="C8" s="30" t="s">
        <v>15</v>
      </c>
      <c r="D8" s="31" t="s">
        <v>16</v>
      </c>
      <c r="E8" s="31" t="s">
        <v>17</v>
      </c>
      <c r="F8" s="202">
        <v>1763</v>
      </c>
      <c r="G8" s="34" t="s">
        <v>38</v>
      </c>
      <c r="H8" s="111">
        <f>GETPIVOTDATA(" Weight MT",GS!$N$2,"Receiving Location","Organica Sifter","PO#","PO#1763","Grade","Above Medium Quality")</f>
        <v>229.57999999999998</v>
      </c>
      <c r="I8" s="43">
        <f>Table4[[#This Row],[Received Weight-MT]]</f>
        <v>229.57999999999998</v>
      </c>
      <c r="J8" s="32">
        <f>Table4[[#This Row],[Received Weight-MT]]-Table4[[#This Row],[Purchasing Weight-MT]]</f>
        <v>0</v>
      </c>
      <c r="K8" s="33" t="s">
        <v>19</v>
      </c>
      <c r="L8" s="34" t="s">
        <v>20</v>
      </c>
      <c r="M8" s="49" t="s">
        <v>39</v>
      </c>
    </row>
    <row r="9" spans="2:14" x14ac:dyDescent="0.25">
      <c r="B9" s="35" t="s">
        <v>14</v>
      </c>
      <c r="C9" s="35">
        <v>1000000040</v>
      </c>
      <c r="D9" s="31" t="s">
        <v>16</v>
      </c>
      <c r="E9" s="31" t="s">
        <v>17</v>
      </c>
      <c r="F9" s="203">
        <v>4500000384</v>
      </c>
      <c r="G9" s="34" t="s">
        <v>70</v>
      </c>
      <c r="H9" s="112">
        <f>GETPIVOTDATA(" Weight MT",GS!$N$2,"Receiving Location","Gadarif WH","PO#","PO#4500000384","Grade","Above Medium Quality")</f>
        <v>851.68000000000018</v>
      </c>
      <c r="I9" s="48">
        <f>Table4[[#This Row],[Received Weight-MT]]</f>
        <v>851.68000000000018</v>
      </c>
      <c r="J9" s="83">
        <f>Table4[[#This Row],[Received Weight-MT]]-Table4[[#This Row],[Purchasing Weight-MT]]</f>
        <v>0</v>
      </c>
      <c r="K9" s="33" t="s">
        <v>19</v>
      </c>
      <c r="L9" s="34"/>
      <c r="M9" s="49" t="s">
        <v>21</v>
      </c>
    </row>
    <row r="10" spans="2:14" x14ac:dyDescent="0.25">
      <c r="B10" s="143" t="s">
        <v>14</v>
      </c>
      <c r="C10" s="35">
        <v>1000000040</v>
      </c>
      <c r="D10" s="31" t="s">
        <v>16</v>
      </c>
      <c r="E10" s="31" t="s">
        <v>17</v>
      </c>
      <c r="F10" s="203">
        <v>4500001491</v>
      </c>
      <c r="G10" s="34" t="s">
        <v>70</v>
      </c>
      <c r="H10" s="112">
        <f>GETPIVOTDATA(" Weight MT",GS!$N$2,"Receiving Location","Gadarif WH","PO#","PO#4500001491","Grade","Above Medium Quality")</f>
        <v>760.43999999999994</v>
      </c>
      <c r="I10" s="48">
        <f>Table4[[#This Row],[Received Weight-MT]]</f>
        <v>760.43999999999994</v>
      </c>
      <c r="J10" s="83">
        <f>Table4[[#This Row],[Received Weight-MT]]-Table4[[#This Row],[Purchasing Weight-MT]]</f>
        <v>0</v>
      </c>
      <c r="K10" s="49" t="s">
        <v>19</v>
      </c>
      <c r="L10" s="34"/>
      <c r="M10" s="49" t="s">
        <v>21</v>
      </c>
    </row>
    <row r="11" spans="2:14" x14ac:dyDescent="0.25">
      <c r="B11" s="36" t="s">
        <v>14</v>
      </c>
      <c r="C11" s="35">
        <v>1000000040</v>
      </c>
      <c r="D11" s="34" t="s">
        <v>54</v>
      </c>
      <c r="E11" s="31" t="s">
        <v>17</v>
      </c>
      <c r="F11" s="204">
        <v>4500001655</v>
      </c>
      <c r="G11" s="144" t="s">
        <v>116</v>
      </c>
      <c r="H11" s="112">
        <f>GETPIVOTDATA(" Weight MT",GS!$N$2,"Receiving Location","Balaji Sifter","Grade","Above Medium Quality")</f>
        <v>260.27999999999997</v>
      </c>
      <c r="I11" s="145">
        <f>Table4[[#This Row],[Received Weight-MT]]</f>
        <v>260.27999999999997</v>
      </c>
      <c r="J11" s="146">
        <f>Table4[[#This Row],[Received Weight-MT]]-Table4[[#This Row],[Purchasing Weight-MT]]</f>
        <v>0</v>
      </c>
      <c r="K11" s="49" t="s">
        <v>19</v>
      </c>
      <c r="L11" s="34"/>
      <c r="M11" s="147" t="s">
        <v>115</v>
      </c>
    </row>
    <row r="12" spans="2:14" x14ac:dyDescent="0.25">
      <c r="B12" s="61" t="s">
        <v>75</v>
      </c>
      <c r="C12" s="195">
        <v>1000000037</v>
      </c>
      <c r="D12" s="50" t="s">
        <v>16</v>
      </c>
      <c r="E12" s="50" t="s">
        <v>17</v>
      </c>
      <c r="F12" s="195">
        <v>4500000001</v>
      </c>
      <c r="G12" s="93" t="s">
        <v>72</v>
      </c>
      <c r="H12" s="113">
        <f>GETPIVOTDATA(" Weight MT",Sorghum!$L$2,"Receiving Location","Concrete Silo","PO#",4500000001)</f>
        <v>5000.6100000000006</v>
      </c>
      <c r="I12" s="52">
        <f>Table4[[#This Row],[Received Weight-MT]]</f>
        <v>5000.6100000000006</v>
      </c>
      <c r="J12" s="53">
        <f>Table4[[#This Row],[Received Weight-MT]]-Table4[[#This Row],[Purchasing Weight-MT]]</f>
        <v>0</v>
      </c>
      <c r="K12" s="51" t="s">
        <v>19</v>
      </c>
      <c r="L12" s="54"/>
      <c r="M12" s="51" t="s">
        <v>39</v>
      </c>
    </row>
    <row r="13" spans="2:14" x14ac:dyDescent="0.25">
      <c r="B13" s="65" t="s">
        <v>77</v>
      </c>
      <c r="C13" s="195">
        <v>1000000037</v>
      </c>
      <c r="D13" s="50" t="s">
        <v>16</v>
      </c>
      <c r="E13" s="50" t="s">
        <v>17</v>
      </c>
      <c r="F13" s="195">
        <v>4500000293</v>
      </c>
      <c r="G13" s="93" t="s">
        <v>72</v>
      </c>
      <c r="H13" s="113">
        <f>GETPIVOTDATA(" Weight MT",Sorghum!$L$2,"Receiving Location","Concrete Silo","PO#",4500000293)</f>
        <v>2500</v>
      </c>
      <c r="I13" s="52">
        <v>2500</v>
      </c>
      <c r="J13" s="53">
        <f>Table4[[#This Row],[Received Weight-MT]]-Table4[[#This Row],[Purchasing Weight-MT]]</f>
        <v>0</v>
      </c>
      <c r="K13" s="51" t="s">
        <v>19</v>
      </c>
      <c r="L13" s="54"/>
      <c r="M13" s="51" t="s">
        <v>39</v>
      </c>
    </row>
    <row r="14" spans="2:14" x14ac:dyDescent="0.25">
      <c r="B14" s="65" t="s">
        <v>77</v>
      </c>
      <c r="C14" s="195">
        <v>1000000037</v>
      </c>
      <c r="D14" s="50" t="s">
        <v>16</v>
      </c>
      <c r="E14" s="50" t="s">
        <v>17</v>
      </c>
      <c r="F14" s="195">
        <v>4500000294</v>
      </c>
      <c r="G14" s="93" t="s">
        <v>72</v>
      </c>
      <c r="H14" s="113">
        <f>GETPIVOTDATA(" Weight MT",Sorghum!$L$2,"Receiving Location","Concrete Silo","Commodity","Sorghum-RM","PO#",4500000294)</f>
        <v>2020</v>
      </c>
      <c r="I14" s="52">
        <v>2020</v>
      </c>
      <c r="J14" s="53">
        <f>Table4[[#This Row],[Received Weight-MT]]-Table4[[#This Row],[Purchasing Weight-MT]]</f>
        <v>0</v>
      </c>
      <c r="K14" s="51" t="s">
        <v>19</v>
      </c>
      <c r="L14" s="54"/>
      <c r="M14" s="51" t="s">
        <v>39</v>
      </c>
    </row>
    <row r="15" spans="2:14" x14ac:dyDescent="0.25">
      <c r="B15" s="62" t="s">
        <v>77</v>
      </c>
      <c r="C15" s="195">
        <v>1000000037</v>
      </c>
      <c r="D15" s="50" t="s">
        <v>16</v>
      </c>
      <c r="E15" s="50" t="s">
        <v>17</v>
      </c>
      <c r="F15" s="195">
        <v>4500000567</v>
      </c>
      <c r="G15" s="93" t="s">
        <v>81</v>
      </c>
      <c r="H15" s="113">
        <f>GETPIVOTDATA(" Weight MT",Sorghum!$L$2,"Receiving Location","Five Stars Sifter","Commodity","Sorghum-RM","PO#",4500000567)</f>
        <v>1569.98</v>
      </c>
      <c r="I15" s="52">
        <f>Table4[[#This Row],[Received Weight-MT]]</f>
        <v>1569.98</v>
      </c>
      <c r="J15" s="82">
        <f>Table4[[#This Row],[Received Weight-MT]]-Table4[[#This Row],[Purchasing Weight-MT]]</f>
        <v>0</v>
      </c>
      <c r="K15" s="51" t="s">
        <v>19</v>
      </c>
      <c r="L15" s="54"/>
      <c r="M15" s="51" t="s">
        <v>92</v>
      </c>
    </row>
    <row r="16" spans="2:14" x14ac:dyDescent="0.25">
      <c r="B16" s="79" t="s">
        <v>76</v>
      </c>
      <c r="C16" s="196">
        <v>4000000232</v>
      </c>
      <c r="D16" s="80" t="s">
        <v>16</v>
      </c>
      <c r="E16" s="80" t="s">
        <v>17</v>
      </c>
      <c r="F16" s="205">
        <v>4500000294</v>
      </c>
      <c r="G16" s="94" t="s">
        <v>72</v>
      </c>
      <c r="H16" s="114">
        <f>GETPIVOTDATA(" Weight MT",Sorghum!$L$2,"Receiving Location","Concrete Silo","Commodity","Sorghum-FG","PO#",4500000294)</f>
        <v>480</v>
      </c>
      <c r="I16" s="95">
        <v>480</v>
      </c>
      <c r="J16" s="96">
        <f>Table4[[#This Row],[Received Weight-MT]]-Table4[[#This Row],[Purchasing Weight-MT]]</f>
        <v>0</v>
      </c>
      <c r="K16" s="97" t="s">
        <v>19</v>
      </c>
      <c r="L16" s="98"/>
      <c r="M16" s="97" t="s">
        <v>39</v>
      </c>
    </row>
    <row r="17" spans="2:13" x14ac:dyDescent="0.25">
      <c r="B17" s="166" t="s">
        <v>111</v>
      </c>
      <c r="C17" s="197">
        <v>4000000059</v>
      </c>
      <c r="D17" s="100" t="s">
        <v>54</v>
      </c>
      <c r="E17" s="100" t="s">
        <v>107</v>
      </c>
      <c r="F17" s="197">
        <v>4500001484</v>
      </c>
      <c r="G17" s="100" t="s">
        <v>109</v>
      </c>
      <c r="H17" s="115">
        <f>GETPIVOTDATA(" Weight MT",'Pigeon Peas'!$N$2,"Receiving Location","PZU WH-A013","Commodity Code",4000000059,"Supplier Name","Abdallah Abdealziz","PO#","PO#4500001484")</f>
        <v>724.45999999999992</v>
      </c>
      <c r="I17" s="101">
        <f>Table4[[#This Row],[Received Weight-MT]]</f>
        <v>724.45999999999992</v>
      </c>
      <c r="J17" s="102">
        <f>Table4[[#This Row],[Received Weight-MT]]-Table4[[#This Row],[Purchasing Weight-MT]]</f>
        <v>0</v>
      </c>
      <c r="K17" s="99" t="s">
        <v>20</v>
      </c>
      <c r="L17" s="103"/>
      <c r="M17" s="99" t="s">
        <v>117</v>
      </c>
    </row>
    <row r="18" spans="2:13" x14ac:dyDescent="0.25">
      <c r="B18" s="104" t="s">
        <v>111</v>
      </c>
      <c r="C18" s="197">
        <v>4000000059</v>
      </c>
      <c r="D18" s="100" t="s">
        <v>54</v>
      </c>
      <c r="E18" s="100" t="s">
        <v>107</v>
      </c>
      <c r="F18" s="197">
        <v>4500001654</v>
      </c>
      <c r="G18" s="100" t="s">
        <v>109</v>
      </c>
      <c r="H18" s="115">
        <f>GETPIVOTDATA(" Weight MT",'Pigeon Peas'!$N$2,"Receiving Location","PZU WH-A013","Commodity Code",4000000059,"Supplier Name","Abdallah Abdealziz","PO#","PO#4500001654")</f>
        <v>1540.0800000000002</v>
      </c>
      <c r="I18" s="101">
        <f>Table4[[#This Row],[Received Weight-MT]]</f>
        <v>1540.0800000000002</v>
      </c>
      <c r="J18" s="102">
        <f>Table4[[#This Row],[Received Weight-MT]]-Table4[[#This Row],[Purchasing Weight-MT]]</f>
        <v>0</v>
      </c>
      <c r="K18" s="99" t="s">
        <v>20</v>
      </c>
      <c r="L18" s="103"/>
      <c r="M18" s="99" t="s">
        <v>117</v>
      </c>
    </row>
    <row r="19" spans="2:13" x14ac:dyDescent="0.25">
      <c r="B19" s="104" t="s">
        <v>111</v>
      </c>
      <c r="C19" s="197">
        <v>4000000059</v>
      </c>
      <c r="D19" s="100" t="s">
        <v>54</v>
      </c>
      <c r="E19" s="100" t="s">
        <v>108</v>
      </c>
      <c r="F19" s="197">
        <v>4500001652</v>
      </c>
      <c r="G19" s="100" t="s">
        <v>109</v>
      </c>
      <c r="H19" s="115">
        <f>GETPIVOTDATA(" Weight MT",'Pigeon Peas'!$N$2,"Receiving Location","PZU WH-A013","Commodity Code",4000000059,"Supplier Name","Magdi Gournas","PO#","PO#4500001652")</f>
        <v>897.99999999999989</v>
      </c>
      <c r="I19" s="101">
        <f>Table4[[#This Row],[Received Weight-MT]]</f>
        <v>897.99999999999989</v>
      </c>
      <c r="J19" s="102">
        <f>Table4[[#This Row],[Received Weight-MT]]-Table4[[#This Row],[Purchasing Weight-MT]]</f>
        <v>0</v>
      </c>
      <c r="K19" s="99" t="s">
        <v>20</v>
      </c>
      <c r="L19" s="103"/>
      <c r="M19" s="99" t="s">
        <v>117</v>
      </c>
    </row>
    <row r="20" spans="2:13" x14ac:dyDescent="0.25">
      <c r="B20" s="104" t="s">
        <v>111</v>
      </c>
      <c r="C20" s="197">
        <v>4000000059</v>
      </c>
      <c r="D20" s="100" t="s">
        <v>54</v>
      </c>
      <c r="E20" s="100" t="s">
        <v>17</v>
      </c>
      <c r="F20" s="197">
        <v>4500002146</v>
      </c>
      <c r="G20" s="100" t="s">
        <v>109</v>
      </c>
      <c r="H20" s="115">
        <f>GETPIVOTDATA(" Weight MT",'Pigeon Peas'!$N$2,"Receiving Location","PZU WH-A013","Commodity Code",4000000059,"Supplier Name","Mohd Karmallah","PO#","PO#4500002146")</f>
        <v>199.7</v>
      </c>
      <c r="I20" s="141">
        <f>Table4[[#This Row],[Received Weight-MT]]</f>
        <v>199.7</v>
      </c>
      <c r="J20" s="142">
        <f>Table4[[#This Row],[Received Weight-MT]]-Table4[[#This Row],[Purchasing Weight-MT]]</f>
        <v>0</v>
      </c>
      <c r="K20" s="99" t="s">
        <v>19</v>
      </c>
      <c r="L20" s="103"/>
      <c r="M20" s="99" t="s">
        <v>117</v>
      </c>
    </row>
    <row r="21" spans="2:13" x14ac:dyDescent="0.25">
      <c r="B21" s="104" t="s">
        <v>111</v>
      </c>
      <c r="C21" s="198">
        <v>4000000059</v>
      </c>
      <c r="D21" s="167" t="s">
        <v>54</v>
      </c>
      <c r="E21" s="167" t="s">
        <v>107</v>
      </c>
      <c r="F21" s="198">
        <v>4500005939</v>
      </c>
      <c r="G21" s="167" t="s">
        <v>109</v>
      </c>
      <c r="H21" s="168">
        <f>GETPIVOTDATA(" Weight MT",'Pigeon Peas'!$N$2,"Receiving Location","PZU WH-A013","Commodity Code",4000000059,"Supplier Name","Abdallah Abdealziz","PO#","PO#4500005939")</f>
        <v>551.08000000000004</v>
      </c>
      <c r="I21" s="141">
        <f>Table4[[#This Row],[Received Weight-MT]]</f>
        <v>551.08000000000004</v>
      </c>
      <c r="J21" s="102">
        <f>Table4[[#This Row],[Received Weight-MT]]-Table4[[#This Row],[Purchasing Weight-MT]]</f>
        <v>0</v>
      </c>
      <c r="K21" s="169" t="s">
        <v>20</v>
      </c>
      <c r="L21" s="170"/>
      <c r="M21" s="169" t="s">
        <v>117</v>
      </c>
    </row>
    <row r="22" spans="2:13" x14ac:dyDescent="0.25">
      <c r="B22" s="171" t="s">
        <v>144</v>
      </c>
      <c r="C22" s="197">
        <v>1000000035</v>
      </c>
      <c r="D22" s="100" t="s">
        <v>68</v>
      </c>
      <c r="E22" s="100" t="s">
        <v>108</v>
      </c>
      <c r="F22" s="197">
        <v>4500005740</v>
      </c>
      <c r="G22" s="100" t="s">
        <v>143</v>
      </c>
      <c r="H22" s="168">
        <f>GETPIVOTDATA(" Weight MT",'Pigeon Peas'!$N$2,"Receiving Location","NH-Agent WH","Commodity Code",1000000035,"Supplier Name","Magdi Gournas","PO#","PO#4500005740")</f>
        <v>315</v>
      </c>
      <c r="I22" s="141">
        <v>350</v>
      </c>
      <c r="J22" s="142">
        <f>Table4[[#This Row],[Received Weight-MT]]-Table4[[#This Row],[Purchasing Weight-MT]]</f>
        <v>-35</v>
      </c>
      <c r="K22" s="99" t="s">
        <v>20</v>
      </c>
      <c r="L22" s="103"/>
      <c r="M22" s="99" t="s">
        <v>117</v>
      </c>
    </row>
    <row r="23" spans="2:13" x14ac:dyDescent="0.25">
      <c r="B23" s="151" t="s">
        <v>122</v>
      </c>
      <c r="C23" s="199">
        <v>1000000041</v>
      </c>
      <c r="D23" s="154" t="s">
        <v>54</v>
      </c>
      <c r="E23" s="154" t="s">
        <v>107</v>
      </c>
      <c r="F23" s="206">
        <v>4500002362</v>
      </c>
      <c r="G23" s="154" t="s">
        <v>116</v>
      </c>
      <c r="H23" s="155">
        <f>GETPIVOTDATA(" Weight MT",WSNG!$N$2,"Receiving Location","Balaji Sifter","Supplier Name","Abdallah Abdealziz","PO#","PO#4500002362")</f>
        <v>333.84</v>
      </c>
      <c r="I23" s="156">
        <v>350</v>
      </c>
      <c r="J23" s="157">
        <f>Table4[[#This Row],[Received Weight-MT]]-Table4[[#This Row],[Purchasing Weight-MT]]</f>
        <v>-16.160000000000025</v>
      </c>
      <c r="K23" s="158" t="s">
        <v>20</v>
      </c>
      <c r="L23" s="159"/>
      <c r="M23" s="158" t="s">
        <v>115</v>
      </c>
    </row>
    <row r="24" spans="2:13" x14ac:dyDescent="0.25">
      <c r="B24" s="173" t="s">
        <v>149</v>
      </c>
      <c r="C24" s="200">
        <v>1000000033</v>
      </c>
      <c r="D24" s="174" t="s">
        <v>146</v>
      </c>
      <c r="E24" s="174" t="s">
        <v>107</v>
      </c>
      <c r="F24" s="207">
        <v>4500006403</v>
      </c>
      <c r="G24" s="174" t="s">
        <v>147</v>
      </c>
      <c r="H24" s="175">
        <f>GETPIVOTDATA(" Weight MT",'Gum Arabic'!$L$2,"Receiving Location","Baghier WH","PO#",4500006403)</f>
        <v>245.24700000000001</v>
      </c>
      <c r="I24" s="176">
        <f>Table4[[#This Row],[Received Weight-MT]]</f>
        <v>245.24700000000001</v>
      </c>
      <c r="J24" s="177">
        <f>Table4[[#This Row],[Received Weight-MT]]-Table4[[#This Row],[Purchasing Weight-MT]]</f>
        <v>0</v>
      </c>
      <c r="K24" s="178" t="s">
        <v>20</v>
      </c>
      <c r="L24" s="179"/>
      <c r="M24" s="178" t="s">
        <v>145</v>
      </c>
    </row>
  </sheetData>
  <mergeCells count="3">
    <mergeCell ref="B2:M2"/>
    <mergeCell ref="B3:M3"/>
    <mergeCell ref="B4:M4"/>
  </mergeCells>
  <pageMargins left="0.7" right="0.7" top="0.75" bottom="0.75" header="0.3" footer="0.3"/>
  <pageSetup scale="69" fitToHeight="0" orientation="landscape" r:id="rId1"/>
  <ignoredErrors>
    <ignoredError sqref="H11:H16 H8:H10 H23:H24 H17:H22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0"/>
  <sheetViews>
    <sheetView showGridLines="0" zoomScale="80" zoomScaleNormal="80" workbookViewId="0">
      <selection activeCell="I198" sqref="I198"/>
    </sheetView>
  </sheetViews>
  <sheetFormatPr defaultRowHeight="15" x14ac:dyDescent="0.25"/>
  <cols>
    <col min="2" max="2" width="16.140625" customWidth="1"/>
    <col min="3" max="3" width="7.85546875" customWidth="1"/>
    <col min="4" max="4" width="8" customWidth="1"/>
    <col min="5" max="5" width="7.140625" customWidth="1"/>
    <col min="6" max="6" width="6.85546875" customWidth="1"/>
    <col min="7" max="7" width="8.140625" customWidth="1"/>
    <col min="8" max="8" width="12.28515625" customWidth="1"/>
    <col min="9" max="9" width="12.85546875" customWidth="1"/>
    <col min="10" max="10" width="19.140625" customWidth="1"/>
    <col min="11" max="11" width="12" bestFit="1" customWidth="1"/>
    <col min="12" max="12" width="23.7109375" bestFit="1" customWidth="1"/>
    <col min="13" max="13" width="4.28515625" customWidth="1"/>
    <col min="14" max="14" width="25.7109375" customWidth="1"/>
    <col min="15" max="15" width="11.5703125" customWidth="1"/>
    <col min="16" max="16" width="10.7109375" customWidth="1"/>
    <col min="17" max="17" width="10.140625" customWidth="1"/>
    <col min="18" max="18" width="11.5703125" bestFit="1" customWidth="1"/>
  </cols>
  <sheetData>
    <row r="1" spans="1:17" ht="31.5" customHeight="1" x14ac:dyDescent="0.25">
      <c r="A1" s="16" t="s">
        <v>22</v>
      </c>
      <c r="B1" s="16" t="s">
        <v>7</v>
      </c>
      <c r="C1" s="16" t="s">
        <v>23</v>
      </c>
      <c r="D1" s="16" t="s">
        <v>24</v>
      </c>
      <c r="E1" s="16" t="s">
        <v>120</v>
      </c>
      <c r="F1" s="16" t="s">
        <v>119</v>
      </c>
      <c r="G1" s="16" t="s">
        <v>25</v>
      </c>
      <c r="H1" s="16" t="s">
        <v>26</v>
      </c>
      <c r="I1" s="16" t="s">
        <v>27</v>
      </c>
      <c r="J1" s="16" t="s">
        <v>28</v>
      </c>
      <c r="K1" s="16" t="s">
        <v>6</v>
      </c>
      <c r="L1" s="16" t="s">
        <v>29</v>
      </c>
      <c r="M1" s="17"/>
      <c r="N1" s="18" t="s">
        <v>30</v>
      </c>
    </row>
    <row r="2" spans="1:17" x14ac:dyDescent="0.25">
      <c r="A2" s="19">
        <v>46001</v>
      </c>
      <c r="B2" s="17" t="s">
        <v>18</v>
      </c>
      <c r="C2" s="17">
        <v>62100</v>
      </c>
      <c r="D2" s="17">
        <v>65</v>
      </c>
      <c r="E2" s="17"/>
      <c r="F2" s="17"/>
      <c r="G2" s="20">
        <v>5.66</v>
      </c>
      <c r="H2" s="21">
        <f>Table3[[#This Row],[Weight MT]]*100</f>
        <v>566</v>
      </c>
      <c r="I2" s="17" t="s">
        <v>15</v>
      </c>
      <c r="J2" s="17" t="s">
        <v>17</v>
      </c>
      <c r="K2" s="17">
        <v>1763</v>
      </c>
      <c r="L2" s="17" t="s">
        <v>31</v>
      </c>
      <c r="M2" s="17"/>
      <c r="N2" s="25" t="s">
        <v>7</v>
      </c>
      <c r="O2" t="s">
        <v>32</v>
      </c>
      <c r="P2" t="s">
        <v>37</v>
      </c>
      <c r="Q2" t="s">
        <v>33</v>
      </c>
    </row>
    <row r="3" spans="1:17" x14ac:dyDescent="0.25">
      <c r="A3" s="19">
        <v>46001</v>
      </c>
      <c r="B3" s="17" t="s">
        <v>18</v>
      </c>
      <c r="C3" s="17">
        <v>1861</v>
      </c>
      <c r="D3" s="17">
        <v>68</v>
      </c>
      <c r="E3" s="17"/>
      <c r="F3" s="17"/>
      <c r="G3" s="20">
        <v>5.84</v>
      </c>
      <c r="H3" s="21">
        <f>Table3[[#This Row],[Weight MT]]*100</f>
        <v>584</v>
      </c>
      <c r="I3" s="17" t="s">
        <v>15</v>
      </c>
      <c r="J3" s="17" t="s">
        <v>17</v>
      </c>
      <c r="K3" s="17">
        <v>1763</v>
      </c>
      <c r="L3" s="17" t="s">
        <v>31</v>
      </c>
      <c r="N3" s="22" t="s">
        <v>18</v>
      </c>
      <c r="O3" s="55">
        <v>83.779999999999987</v>
      </c>
      <c r="P3" s="29">
        <v>970</v>
      </c>
      <c r="Q3" s="29">
        <v>9</v>
      </c>
    </row>
    <row r="4" spans="1:17" x14ac:dyDescent="0.25">
      <c r="A4" s="19">
        <v>46001</v>
      </c>
      <c r="B4" s="17" t="s">
        <v>18</v>
      </c>
      <c r="C4" s="17">
        <v>71107</v>
      </c>
      <c r="D4" s="17">
        <v>160</v>
      </c>
      <c r="E4" s="17"/>
      <c r="F4" s="17"/>
      <c r="G4" s="20">
        <v>14.14</v>
      </c>
      <c r="H4" s="21">
        <f>Table3[[#This Row],[Weight MT]]*100</f>
        <v>1414</v>
      </c>
      <c r="I4" s="17" t="s">
        <v>15</v>
      </c>
      <c r="J4" s="17" t="s">
        <v>17</v>
      </c>
      <c r="K4" s="17">
        <v>1763</v>
      </c>
      <c r="L4" s="17" t="s">
        <v>31</v>
      </c>
      <c r="N4" s="23" t="s">
        <v>31</v>
      </c>
      <c r="O4" s="55">
        <v>83.779999999999987</v>
      </c>
      <c r="P4" s="29">
        <v>970</v>
      </c>
      <c r="Q4" s="29">
        <v>9</v>
      </c>
    </row>
    <row r="5" spans="1:17" x14ac:dyDescent="0.25">
      <c r="A5" s="19">
        <v>46001</v>
      </c>
      <c r="B5" s="17" t="s">
        <v>18</v>
      </c>
      <c r="C5" s="17">
        <v>1862</v>
      </c>
      <c r="D5" s="17">
        <v>66</v>
      </c>
      <c r="E5" s="17"/>
      <c r="F5" s="17"/>
      <c r="G5" s="20">
        <v>5.68</v>
      </c>
      <c r="H5" s="21">
        <f>Table3[[#This Row],[Weight MT]]*100</f>
        <v>568</v>
      </c>
      <c r="I5" s="17" t="s">
        <v>15</v>
      </c>
      <c r="J5" s="17" t="s">
        <v>17</v>
      </c>
      <c r="K5" s="17">
        <v>1763</v>
      </c>
      <c r="L5" s="17" t="s">
        <v>31</v>
      </c>
      <c r="N5" s="24" t="s">
        <v>36</v>
      </c>
      <c r="O5" s="55">
        <v>83.779999999999987</v>
      </c>
      <c r="P5" s="29">
        <v>970</v>
      </c>
      <c r="Q5" s="29">
        <v>9</v>
      </c>
    </row>
    <row r="6" spans="1:17" x14ac:dyDescent="0.25">
      <c r="A6" s="19">
        <v>46001</v>
      </c>
      <c r="B6" s="17" t="s">
        <v>18</v>
      </c>
      <c r="C6" s="17">
        <v>3390</v>
      </c>
      <c r="D6" s="17">
        <v>69</v>
      </c>
      <c r="E6" s="17"/>
      <c r="F6" s="17"/>
      <c r="G6" s="20">
        <v>5.98</v>
      </c>
      <c r="H6" s="21">
        <f>Table3[[#This Row],[Weight MT]]*100</f>
        <v>598</v>
      </c>
      <c r="I6" s="17" t="s">
        <v>15</v>
      </c>
      <c r="J6" s="17" t="s">
        <v>17</v>
      </c>
      <c r="K6" s="17">
        <v>1763</v>
      </c>
      <c r="L6" s="17" t="s">
        <v>31</v>
      </c>
      <c r="N6" s="22" t="s">
        <v>38</v>
      </c>
      <c r="O6" s="55">
        <v>229.57999999999998</v>
      </c>
      <c r="P6" s="29">
        <v>2630</v>
      </c>
      <c r="Q6" s="29">
        <v>16</v>
      </c>
    </row>
    <row r="7" spans="1:17" x14ac:dyDescent="0.25">
      <c r="A7" s="19">
        <v>46001</v>
      </c>
      <c r="B7" s="17" t="s">
        <v>18</v>
      </c>
      <c r="C7" s="17">
        <v>5914</v>
      </c>
      <c r="D7" s="17">
        <v>70</v>
      </c>
      <c r="E7" s="17"/>
      <c r="F7" s="17"/>
      <c r="G7" s="20">
        <v>5.94</v>
      </c>
      <c r="H7" s="21">
        <f>Table3[[#This Row],[Weight MT]]*100</f>
        <v>594</v>
      </c>
      <c r="I7" s="17" t="s">
        <v>15</v>
      </c>
      <c r="J7" s="17" t="s">
        <v>17</v>
      </c>
      <c r="K7" s="17">
        <v>1763</v>
      </c>
      <c r="L7" s="17" t="s">
        <v>31</v>
      </c>
      <c r="N7" s="23" t="s">
        <v>31</v>
      </c>
      <c r="O7" s="55">
        <v>229.57999999999998</v>
      </c>
      <c r="P7" s="29">
        <v>2630</v>
      </c>
      <c r="Q7" s="29">
        <v>16</v>
      </c>
    </row>
    <row r="8" spans="1:17" x14ac:dyDescent="0.25">
      <c r="A8" s="19">
        <v>46001</v>
      </c>
      <c r="B8" s="17" t="s">
        <v>18</v>
      </c>
      <c r="C8" s="17">
        <v>48464</v>
      </c>
      <c r="D8" s="17">
        <v>65</v>
      </c>
      <c r="E8" s="17"/>
      <c r="F8" s="17"/>
      <c r="G8" s="20">
        <v>5.66</v>
      </c>
      <c r="H8" s="21">
        <f>Table3[[#This Row],[Weight MT]]*100</f>
        <v>566</v>
      </c>
      <c r="I8" s="17" t="s">
        <v>15</v>
      </c>
      <c r="J8" s="17" t="s">
        <v>17</v>
      </c>
      <c r="K8" s="17">
        <v>1763</v>
      </c>
      <c r="L8" s="17" t="s">
        <v>31</v>
      </c>
      <c r="N8" s="24" t="s">
        <v>36</v>
      </c>
      <c r="O8" s="55">
        <v>229.57999999999998</v>
      </c>
      <c r="P8" s="29">
        <v>2630</v>
      </c>
      <c r="Q8" s="29">
        <v>16</v>
      </c>
    </row>
    <row r="9" spans="1:17" x14ac:dyDescent="0.25">
      <c r="A9" s="19">
        <v>46002</v>
      </c>
      <c r="B9" s="17" t="s">
        <v>18</v>
      </c>
      <c r="C9" s="17">
        <v>48844</v>
      </c>
      <c r="D9" s="17">
        <v>267</v>
      </c>
      <c r="E9" s="17"/>
      <c r="F9" s="17"/>
      <c r="G9" s="20">
        <v>23.02</v>
      </c>
      <c r="H9" s="21">
        <f>Table3[[#This Row],[Weight MT]]*100</f>
        <v>2302</v>
      </c>
      <c r="I9" s="17" t="s">
        <v>15</v>
      </c>
      <c r="J9" s="17" t="s">
        <v>17</v>
      </c>
      <c r="K9" s="17">
        <v>1763</v>
      </c>
      <c r="L9" s="17" t="s">
        <v>31</v>
      </c>
      <c r="N9" s="22" t="s">
        <v>70</v>
      </c>
      <c r="O9" s="55">
        <v>1612.1200000000003</v>
      </c>
      <c r="P9" s="29">
        <v>17391</v>
      </c>
      <c r="Q9" s="29">
        <v>168</v>
      </c>
    </row>
    <row r="10" spans="1:17" x14ac:dyDescent="0.25">
      <c r="A10" s="19">
        <v>46002</v>
      </c>
      <c r="B10" s="17" t="s">
        <v>18</v>
      </c>
      <c r="C10" s="17">
        <v>20290</v>
      </c>
      <c r="D10" s="17">
        <v>140</v>
      </c>
      <c r="E10" s="17"/>
      <c r="F10" s="17"/>
      <c r="G10" s="20">
        <v>11.86</v>
      </c>
      <c r="H10" s="21">
        <f>Table3[[#This Row],[Weight MT]]*100</f>
        <v>1186</v>
      </c>
      <c r="I10" s="17" t="s">
        <v>15</v>
      </c>
      <c r="J10" s="17" t="s">
        <v>17</v>
      </c>
      <c r="K10" s="17">
        <v>1763</v>
      </c>
      <c r="L10" s="17" t="s">
        <v>31</v>
      </c>
      <c r="N10" s="23" t="s">
        <v>31</v>
      </c>
      <c r="O10" s="55">
        <v>1612.1200000000003</v>
      </c>
      <c r="P10" s="29">
        <v>17391</v>
      </c>
      <c r="Q10" s="29">
        <v>168</v>
      </c>
    </row>
    <row r="11" spans="1:17" x14ac:dyDescent="0.25">
      <c r="A11" s="19">
        <v>46012</v>
      </c>
      <c r="B11" s="26" t="s">
        <v>38</v>
      </c>
      <c r="C11" s="26">
        <v>1187</v>
      </c>
      <c r="D11" s="26">
        <v>150</v>
      </c>
      <c r="E11" s="26"/>
      <c r="F11" s="26"/>
      <c r="G11" s="26">
        <f>Table3[[#This Row],[Weight KG]]/1000</f>
        <v>13.1</v>
      </c>
      <c r="H11" s="27">
        <v>13100</v>
      </c>
      <c r="I11" s="17" t="s">
        <v>15</v>
      </c>
      <c r="J11" s="17" t="s">
        <v>17</v>
      </c>
      <c r="K11" s="17">
        <v>1763</v>
      </c>
      <c r="L11" s="17" t="s">
        <v>31</v>
      </c>
      <c r="N11" s="24" t="s">
        <v>71</v>
      </c>
      <c r="O11" s="55">
        <v>851.68000000000018</v>
      </c>
      <c r="P11" s="29">
        <v>9209</v>
      </c>
      <c r="Q11" s="29">
        <v>106</v>
      </c>
    </row>
    <row r="12" spans="1:17" x14ac:dyDescent="0.25">
      <c r="A12" s="19">
        <v>46012</v>
      </c>
      <c r="B12" s="26" t="s">
        <v>38</v>
      </c>
      <c r="C12" s="26">
        <v>4722</v>
      </c>
      <c r="D12" s="26">
        <v>150</v>
      </c>
      <c r="E12" s="26"/>
      <c r="F12" s="26"/>
      <c r="G12" s="26">
        <f>Table3[[#This Row],[Weight KG]]/1000</f>
        <v>12.84</v>
      </c>
      <c r="H12" s="27">
        <v>12840</v>
      </c>
      <c r="I12" s="17" t="s">
        <v>15</v>
      </c>
      <c r="J12" s="17" t="s">
        <v>17</v>
      </c>
      <c r="K12" s="17">
        <v>1763</v>
      </c>
      <c r="L12" s="17" t="s">
        <v>31</v>
      </c>
      <c r="N12" s="24" t="s">
        <v>97</v>
      </c>
      <c r="O12" s="55">
        <v>760.43999999999994</v>
      </c>
      <c r="P12" s="29">
        <v>8182</v>
      </c>
      <c r="Q12" s="29">
        <v>62</v>
      </c>
    </row>
    <row r="13" spans="1:17" x14ac:dyDescent="0.25">
      <c r="A13" s="19">
        <v>46012</v>
      </c>
      <c r="B13" s="26" t="s">
        <v>38</v>
      </c>
      <c r="C13" s="26">
        <v>1187</v>
      </c>
      <c r="D13" s="26">
        <v>150</v>
      </c>
      <c r="E13" s="26"/>
      <c r="F13" s="26"/>
      <c r="G13" s="26">
        <f>Table3[[#This Row],[Weight KG]]/1000</f>
        <v>12.82</v>
      </c>
      <c r="H13" s="27">
        <v>12820</v>
      </c>
      <c r="I13" s="17" t="s">
        <v>15</v>
      </c>
      <c r="J13" s="17" t="s">
        <v>17</v>
      </c>
      <c r="K13" s="17">
        <v>1763</v>
      </c>
      <c r="L13" s="17" t="s">
        <v>31</v>
      </c>
      <c r="N13" s="22" t="s">
        <v>116</v>
      </c>
      <c r="O13" s="55">
        <v>260.27999999999997</v>
      </c>
      <c r="P13" s="29">
        <v>3050</v>
      </c>
      <c r="Q13" s="29">
        <v>6</v>
      </c>
    </row>
    <row r="14" spans="1:17" x14ac:dyDescent="0.25">
      <c r="A14" s="19">
        <v>46012</v>
      </c>
      <c r="B14" s="26" t="s">
        <v>38</v>
      </c>
      <c r="C14" s="26">
        <v>368</v>
      </c>
      <c r="D14" s="26">
        <v>150</v>
      </c>
      <c r="E14" s="26"/>
      <c r="F14" s="26"/>
      <c r="G14" s="26">
        <f>Table3[[#This Row],[Weight KG]]/1000</f>
        <v>13.28</v>
      </c>
      <c r="H14" s="27">
        <v>13280</v>
      </c>
      <c r="I14" s="17" t="s">
        <v>15</v>
      </c>
      <c r="J14" s="17" t="s">
        <v>17</v>
      </c>
      <c r="K14" s="17">
        <v>1763</v>
      </c>
      <c r="L14" s="17" t="s">
        <v>31</v>
      </c>
      <c r="N14" s="23" t="s">
        <v>31</v>
      </c>
      <c r="O14" s="55">
        <v>260.27999999999997</v>
      </c>
      <c r="P14" s="29">
        <v>3050</v>
      </c>
      <c r="Q14" s="29">
        <v>6</v>
      </c>
    </row>
    <row r="15" spans="1:17" x14ac:dyDescent="0.25">
      <c r="A15" s="19">
        <v>46012</v>
      </c>
      <c r="B15" s="26" t="s">
        <v>38</v>
      </c>
      <c r="C15" s="26">
        <v>4722</v>
      </c>
      <c r="D15" s="26">
        <v>150</v>
      </c>
      <c r="E15" s="26"/>
      <c r="F15" s="26"/>
      <c r="G15" s="26">
        <f>Table3[[#This Row],[Weight KG]]/1000</f>
        <v>12.9</v>
      </c>
      <c r="H15" s="27">
        <v>12900</v>
      </c>
      <c r="I15" s="17" t="s">
        <v>15</v>
      </c>
      <c r="J15" s="17" t="s">
        <v>17</v>
      </c>
      <c r="K15" s="17">
        <v>1763</v>
      </c>
      <c r="L15" s="17" t="s">
        <v>31</v>
      </c>
      <c r="N15" s="24" t="s">
        <v>118</v>
      </c>
      <c r="O15" s="55">
        <v>260.27999999999997</v>
      </c>
      <c r="P15" s="29">
        <v>3050</v>
      </c>
      <c r="Q15" s="29">
        <v>6</v>
      </c>
    </row>
    <row r="16" spans="1:17" x14ac:dyDescent="0.25">
      <c r="A16" s="19">
        <v>46012</v>
      </c>
      <c r="B16" s="26" t="s">
        <v>38</v>
      </c>
      <c r="C16" s="26">
        <v>80762</v>
      </c>
      <c r="D16" s="26">
        <v>150</v>
      </c>
      <c r="E16" s="26"/>
      <c r="F16" s="26"/>
      <c r="G16" s="26">
        <f>Table3[[#This Row],[Weight KG]]/1000</f>
        <v>12.92</v>
      </c>
      <c r="H16" s="27">
        <v>12920</v>
      </c>
      <c r="I16" s="17" t="s">
        <v>15</v>
      </c>
      <c r="J16" s="17" t="s">
        <v>17</v>
      </c>
      <c r="K16" s="17">
        <v>1763</v>
      </c>
      <c r="L16" s="17" t="s">
        <v>31</v>
      </c>
      <c r="N16" s="22" t="s">
        <v>34</v>
      </c>
      <c r="O16" s="55">
        <v>2185.7599999999993</v>
      </c>
      <c r="P16" s="29">
        <v>24041</v>
      </c>
      <c r="Q16" s="29">
        <v>199</v>
      </c>
    </row>
    <row r="17" spans="1:12" x14ac:dyDescent="0.25">
      <c r="A17" s="19">
        <v>46012</v>
      </c>
      <c r="B17" s="26" t="s">
        <v>38</v>
      </c>
      <c r="C17" s="26">
        <v>80762</v>
      </c>
      <c r="D17" s="26">
        <v>150</v>
      </c>
      <c r="E17" s="26"/>
      <c r="F17" s="26"/>
      <c r="G17" s="26">
        <f>Table3[[#This Row],[Weight KG]]/1000</f>
        <v>12.96</v>
      </c>
      <c r="H17" s="27">
        <v>12960</v>
      </c>
      <c r="I17" s="17" t="s">
        <v>15</v>
      </c>
      <c r="J17" s="17" t="s">
        <v>17</v>
      </c>
      <c r="K17" s="17">
        <v>1763</v>
      </c>
      <c r="L17" s="17" t="s">
        <v>31</v>
      </c>
    </row>
    <row r="18" spans="1:12" x14ac:dyDescent="0.25">
      <c r="A18" s="19">
        <v>46012</v>
      </c>
      <c r="B18" s="26" t="s">
        <v>38</v>
      </c>
      <c r="C18" s="26">
        <v>4722</v>
      </c>
      <c r="D18" s="26">
        <v>150</v>
      </c>
      <c r="E18" s="26"/>
      <c r="F18" s="26"/>
      <c r="G18" s="26">
        <f>Table3[[#This Row],[Weight KG]]/1000</f>
        <v>13.24</v>
      </c>
      <c r="H18" s="27">
        <v>13240</v>
      </c>
      <c r="I18" s="17" t="s">
        <v>15</v>
      </c>
      <c r="J18" s="17" t="s">
        <v>17</v>
      </c>
      <c r="K18" s="17">
        <v>1763</v>
      </c>
      <c r="L18" s="17" t="s">
        <v>31</v>
      </c>
    </row>
    <row r="19" spans="1:12" x14ac:dyDescent="0.25">
      <c r="A19" s="28">
        <v>46014</v>
      </c>
      <c r="B19" s="26" t="s">
        <v>38</v>
      </c>
      <c r="C19" s="26">
        <v>80762</v>
      </c>
      <c r="D19" s="26">
        <v>170</v>
      </c>
      <c r="E19" s="26"/>
      <c r="F19" s="26"/>
      <c r="G19" s="26">
        <f>Table3[[#This Row],[Weight KG]]/1000</f>
        <v>14.66</v>
      </c>
      <c r="H19" s="27">
        <v>14660</v>
      </c>
      <c r="I19" s="17" t="s">
        <v>15</v>
      </c>
      <c r="J19" s="17" t="s">
        <v>17</v>
      </c>
      <c r="K19" s="17">
        <v>1763</v>
      </c>
      <c r="L19" s="17" t="s">
        <v>31</v>
      </c>
    </row>
    <row r="20" spans="1:12" x14ac:dyDescent="0.25">
      <c r="A20" s="28">
        <v>46014</v>
      </c>
      <c r="B20" s="26" t="s">
        <v>38</v>
      </c>
      <c r="C20" s="26">
        <v>1387</v>
      </c>
      <c r="D20" s="26">
        <v>170</v>
      </c>
      <c r="E20" s="26"/>
      <c r="F20" s="26"/>
      <c r="G20" s="26">
        <f>Table3[[#This Row],[Weight KG]]/1000</f>
        <v>14.68</v>
      </c>
      <c r="H20" s="27">
        <v>14680</v>
      </c>
      <c r="I20" s="17" t="s">
        <v>15</v>
      </c>
      <c r="J20" s="17" t="s">
        <v>17</v>
      </c>
      <c r="K20" s="17">
        <v>1763</v>
      </c>
      <c r="L20" s="17" t="s">
        <v>31</v>
      </c>
    </row>
    <row r="21" spans="1:12" x14ac:dyDescent="0.25">
      <c r="A21" s="28">
        <v>46014</v>
      </c>
      <c r="B21" s="26" t="s">
        <v>38</v>
      </c>
      <c r="C21" s="26">
        <v>80762</v>
      </c>
      <c r="D21" s="26">
        <v>185</v>
      </c>
      <c r="E21" s="26"/>
      <c r="F21" s="26"/>
      <c r="G21" s="26">
        <f>Table3[[#This Row],[Weight KG]]/1000</f>
        <v>16.34</v>
      </c>
      <c r="H21" s="27">
        <v>16340</v>
      </c>
      <c r="I21" s="17" t="s">
        <v>15</v>
      </c>
      <c r="J21" s="17" t="s">
        <v>17</v>
      </c>
      <c r="K21" s="17">
        <v>1763</v>
      </c>
      <c r="L21" s="17" t="s">
        <v>31</v>
      </c>
    </row>
    <row r="22" spans="1:12" x14ac:dyDescent="0.25">
      <c r="A22" s="28">
        <v>46014</v>
      </c>
      <c r="B22" s="26" t="s">
        <v>38</v>
      </c>
      <c r="C22" s="26">
        <v>1387</v>
      </c>
      <c r="D22" s="26">
        <v>185</v>
      </c>
      <c r="E22" s="26"/>
      <c r="F22" s="26"/>
      <c r="G22" s="26">
        <f>Table3[[#This Row],[Weight KG]]/1000</f>
        <v>16.32</v>
      </c>
      <c r="H22" s="27">
        <v>16320</v>
      </c>
      <c r="I22" s="17" t="s">
        <v>15</v>
      </c>
      <c r="J22" s="17" t="s">
        <v>17</v>
      </c>
      <c r="K22" s="17">
        <v>1763</v>
      </c>
      <c r="L22" s="17" t="s">
        <v>31</v>
      </c>
    </row>
    <row r="23" spans="1:12" x14ac:dyDescent="0.25">
      <c r="A23" s="28">
        <v>46014</v>
      </c>
      <c r="B23" s="26" t="s">
        <v>38</v>
      </c>
      <c r="C23" s="26">
        <v>4722</v>
      </c>
      <c r="D23" s="26">
        <v>170</v>
      </c>
      <c r="E23" s="26"/>
      <c r="F23" s="26"/>
      <c r="G23" s="26">
        <f>Table3[[#This Row],[Weight KG]]/1000</f>
        <v>14.7</v>
      </c>
      <c r="H23" s="27">
        <v>14700</v>
      </c>
      <c r="I23" s="17" t="s">
        <v>15</v>
      </c>
      <c r="J23" s="17" t="s">
        <v>17</v>
      </c>
      <c r="K23" s="17">
        <v>1763</v>
      </c>
      <c r="L23" s="17" t="s">
        <v>31</v>
      </c>
    </row>
    <row r="24" spans="1:12" x14ac:dyDescent="0.25">
      <c r="A24" s="28">
        <v>46014</v>
      </c>
      <c r="B24" s="26" t="s">
        <v>38</v>
      </c>
      <c r="C24" s="26">
        <v>16429</v>
      </c>
      <c r="D24" s="26">
        <v>185</v>
      </c>
      <c r="E24" s="26"/>
      <c r="F24" s="26"/>
      <c r="G24" s="26">
        <f>Table3[[#This Row],[Weight KG]]/1000</f>
        <v>16.5</v>
      </c>
      <c r="H24" s="27">
        <v>16500</v>
      </c>
      <c r="I24" s="17" t="s">
        <v>15</v>
      </c>
      <c r="J24" s="17" t="s">
        <v>17</v>
      </c>
      <c r="K24" s="17">
        <v>1763</v>
      </c>
      <c r="L24" s="17" t="s">
        <v>31</v>
      </c>
    </row>
    <row r="25" spans="1:12" x14ac:dyDescent="0.25">
      <c r="A25" s="28">
        <v>46014</v>
      </c>
      <c r="B25" s="26" t="s">
        <v>38</v>
      </c>
      <c r="C25" s="26">
        <v>4722</v>
      </c>
      <c r="D25" s="26">
        <v>185</v>
      </c>
      <c r="E25" s="26"/>
      <c r="F25" s="26"/>
      <c r="G25" s="26">
        <f>Table3[[#This Row],[Weight KG]]/1000</f>
        <v>15.8</v>
      </c>
      <c r="H25" s="27">
        <v>15800</v>
      </c>
      <c r="I25" s="17" t="s">
        <v>15</v>
      </c>
      <c r="J25" s="17" t="s">
        <v>17</v>
      </c>
      <c r="K25" s="17">
        <v>1763</v>
      </c>
      <c r="L25" s="17" t="s">
        <v>31</v>
      </c>
    </row>
    <row r="26" spans="1:12" x14ac:dyDescent="0.25">
      <c r="A26" s="28">
        <v>46015</v>
      </c>
      <c r="B26" s="26" t="s">
        <v>38</v>
      </c>
      <c r="C26" s="26">
        <v>1187</v>
      </c>
      <c r="D26" s="26">
        <v>180</v>
      </c>
      <c r="E26" s="26"/>
      <c r="F26" s="26"/>
      <c r="G26" s="26">
        <f>Table3[[#This Row],[Weight KG]]/1000</f>
        <v>16.52</v>
      </c>
      <c r="H26" s="27">
        <v>16520</v>
      </c>
      <c r="I26" s="17" t="s">
        <v>15</v>
      </c>
      <c r="J26" s="17" t="s">
        <v>17</v>
      </c>
      <c r="K26" s="17">
        <v>1763</v>
      </c>
      <c r="L26" s="17" t="s">
        <v>31</v>
      </c>
    </row>
    <row r="27" spans="1:12" x14ac:dyDescent="0.25">
      <c r="A27" s="28">
        <v>46051</v>
      </c>
      <c r="B27" s="17" t="s">
        <v>70</v>
      </c>
      <c r="C27" s="17">
        <v>1364</v>
      </c>
      <c r="D27" s="17">
        <v>120</v>
      </c>
      <c r="E27" s="17"/>
      <c r="F27" s="17"/>
      <c r="G27" s="17">
        <v>11.62</v>
      </c>
      <c r="H27" s="21">
        <f>Table3[[#This Row],[Weight MT]]*100</f>
        <v>1162</v>
      </c>
      <c r="I27" s="17">
        <v>1000000040</v>
      </c>
      <c r="J27" s="17" t="s">
        <v>17</v>
      </c>
      <c r="K27" s="17">
        <v>4500000384</v>
      </c>
      <c r="L27" s="17" t="s">
        <v>31</v>
      </c>
    </row>
    <row r="28" spans="1:12" x14ac:dyDescent="0.25">
      <c r="A28" s="28">
        <v>46051</v>
      </c>
      <c r="B28" s="17" t="s">
        <v>70</v>
      </c>
      <c r="C28" s="17">
        <v>467</v>
      </c>
      <c r="D28" s="17">
        <v>80</v>
      </c>
      <c r="E28" s="17"/>
      <c r="F28" s="17"/>
      <c r="G28" s="17">
        <v>7.7</v>
      </c>
      <c r="H28" s="21">
        <f>Table3[[#This Row],[Weight MT]]*100</f>
        <v>770</v>
      </c>
      <c r="I28" s="17">
        <v>1000000040</v>
      </c>
      <c r="J28" s="17" t="s">
        <v>17</v>
      </c>
      <c r="K28" s="17">
        <v>4500000384</v>
      </c>
      <c r="L28" s="17" t="s">
        <v>31</v>
      </c>
    </row>
    <row r="29" spans="1:12" x14ac:dyDescent="0.25">
      <c r="A29" s="28">
        <v>46053</v>
      </c>
      <c r="B29" s="17" t="s">
        <v>70</v>
      </c>
      <c r="C29" s="17">
        <v>42209</v>
      </c>
      <c r="D29" s="17">
        <v>100</v>
      </c>
      <c r="E29" s="17"/>
      <c r="F29" s="17"/>
      <c r="G29" s="17">
        <v>9.48</v>
      </c>
      <c r="H29" s="21">
        <f>Table3[[#This Row],[Weight MT]]*100</f>
        <v>948</v>
      </c>
      <c r="I29" s="17">
        <v>1000000040</v>
      </c>
      <c r="J29" s="17" t="s">
        <v>17</v>
      </c>
      <c r="K29" s="17">
        <v>4500000384</v>
      </c>
      <c r="L29" s="17" t="s">
        <v>31</v>
      </c>
    </row>
    <row r="30" spans="1:12" x14ac:dyDescent="0.25">
      <c r="A30" s="28">
        <v>46053</v>
      </c>
      <c r="B30" s="17" t="s">
        <v>70</v>
      </c>
      <c r="C30" s="17">
        <v>663</v>
      </c>
      <c r="D30" s="17">
        <v>80</v>
      </c>
      <c r="E30" s="17"/>
      <c r="F30" s="17"/>
      <c r="G30" s="17">
        <v>7.55</v>
      </c>
      <c r="H30" s="21">
        <f>Table3[[#This Row],[Weight MT]]*100</f>
        <v>755</v>
      </c>
      <c r="I30" s="17">
        <v>1000000040</v>
      </c>
      <c r="J30" s="17" t="s">
        <v>17</v>
      </c>
      <c r="K30" s="17">
        <v>4500000384</v>
      </c>
      <c r="L30" s="17" t="s">
        <v>31</v>
      </c>
    </row>
    <row r="31" spans="1:12" x14ac:dyDescent="0.25">
      <c r="A31" s="28">
        <v>46053</v>
      </c>
      <c r="B31" s="17" t="s">
        <v>70</v>
      </c>
      <c r="C31" s="17">
        <v>303</v>
      </c>
      <c r="D31" s="17">
        <v>80</v>
      </c>
      <c r="E31" s="17"/>
      <c r="F31" s="17"/>
      <c r="G31" s="17">
        <v>7.62</v>
      </c>
      <c r="H31" s="21">
        <f>Table3[[#This Row],[Weight MT]]*100</f>
        <v>762</v>
      </c>
      <c r="I31" s="17">
        <v>1000000040</v>
      </c>
      <c r="J31" s="17" t="s">
        <v>17</v>
      </c>
      <c r="K31" s="17">
        <v>4500000384</v>
      </c>
      <c r="L31" s="17" t="s">
        <v>31</v>
      </c>
    </row>
    <row r="32" spans="1:12" x14ac:dyDescent="0.25">
      <c r="A32" s="28">
        <v>46053</v>
      </c>
      <c r="B32" s="17" t="s">
        <v>70</v>
      </c>
      <c r="C32" s="17">
        <v>264</v>
      </c>
      <c r="D32" s="17">
        <v>80</v>
      </c>
      <c r="E32" s="17"/>
      <c r="F32" s="17"/>
      <c r="G32" s="17">
        <v>7.55</v>
      </c>
      <c r="H32" s="21">
        <f>Table3[[#This Row],[Weight MT]]*100</f>
        <v>755</v>
      </c>
      <c r="I32" s="17">
        <v>1000000040</v>
      </c>
      <c r="J32" s="17" t="s">
        <v>17</v>
      </c>
      <c r="K32" s="17">
        <v>4500000384</v>
      </c>
      <c r="L32" s="17" t="s">
        <v>31</v>
      </c>
    </row>
    <row r="33" spans="1:12" x14ac:dyDescent="0.25">
      <c r="A33" s="28">
        <v>46053</v>
      </c>
      <c r="B33" s="17" t="s">
        <v>70</v>
      </c>
      <c r="C33" s="17">
        <v>711</v>
      </c>
      <c r="D33" s="17">
        <v>80</v>
      </c>
      <c r="E33" s="17"/>
      <c r="F33" s="17"/>
      <c r="G33" s="17">
        <v>7.46</v>
      </c>
      <c r="H33" s="21">
        <f>Table3[[#This Row],[Weight MT]]*100</f>
        <v>746</v>
      </c>
      <c r="I33" s="17">
        <v>1000000040</v>
      </c>
      <c r="J33" s="17" t="s">
        <v>17</v>
      </c>
      <c r="K33" s="17">
        <v>4500000384</v>
      </c>
      <c r="L33" s="17" t="s">
        <v>31</v>
      </c>
    </row>
    <row r="34" spans="1:12" x14ac:dyDescent="0.25">
      <c r="A34" s="28">
        <v>46054</v>
      </c>
      <c r="B34" s="17" t="s">
        <v>70</v>
      </c>
      <c r="C34" s="17">
        <v>769</v>
      </c>
      <c r="D34" s="17">
        <v>80</v>
      </c>
      <c r="E34" s="17"/>
      <c r="F34" s="17"/>
      <c r="G34" s="17">
        <v>7.5</v>
      </c>
      <c r="H34" s="21">
        <f>Table3[[#This Row],[Weight MT]]*100</f>
        <v>750</v>
      </c>
      <c r="I34" s="17">
        <v>1000000040</v>
      </c>
      <c r="J34" s="17" t="s">
        <v>17</v>
      </c>
      <c r="K34" s="17">
        <v>4500000384</v>
      </c>
      <c r="L34" s="17" t="s">
        <v>31</v>
      </c>
    </row>
    <row r="35" spans="1:12" x14ac:dyDescent="0.25">
      <c r="A35" s="28">
        <v>46054</v>
      </c>
      <c r="B35" s="17" t="s">
        <v>70</v>
      </c>
      <c r="C35" s="17">
        <v>19913</v>
      </c>
      <c r="D35" s="17">
        <v>80</v>
      </c>
      <c r="E35" s="17"/>
      <c r="F35" s="17"/>
      <c r="G35" s="17">
        <v>7.78</v>
      </c>
      <c r="H35" s="21">
        <f>Table3[[#This Row],[Weight MT]]*100</f>
        <v>778</v>
      </c>
      <c r="I35" s="17">
        <v>1000000040</v>
      </c>
      <c r="J35" s="17" t="s">
        <v>17</v>
      </c>
      <c r="K35" s="17">
        <v>4500000384</v>
      </c>
      <c r="L35" s="17" t="s">
        <v>31</v>
      </c>
    </row>
    <row r="36" spans="1:12" x14ac:dyDescent="0.25">
      <c r="A36" s="28">
        <v>46055</v>
      </c>
      <c r="B36" s="17" t="s">
        <v>70</v>
      </c>
      <c r="C36" s="17">
        <v>3487</v>
      </c>
      <c r="D36" s="17">
        <v>200</v>
      </c>
      <c r="E36" s="17"/>
      <c r="F36" s="17"/>
      <c r="G36" s="17">
        <v>18.28</v>
      </c>
      <c r="H36" s="21">
        <f>Table3[[#This Row],[Weight MT]]*100</f>
        <v>1828</v>
      </c>
      <c r="I36" s="17">
        <v>1000000040</v>
      </c>
      <c r="J36" s="17" t="s">
        <v>17</v>
      </c>
      <c r="K36" s="17">
        <v>4500000384</v>
      </c>
      <c r="L36" s="17" t="s">
        <v>31</v>
      </c>
    </row>
    <row r="37" spans="1:12" x14ac:dyDescent="0.25">
      <c r="A37" s="28">
        <v>46055</v>
      </c>
      <c r="B37" s="17" t="s">
        <v>70</v>
      </c>
      <c r="C37" s="17">
        <v>4164</v>
      </c>
      <c r="D37" s="17">
        <v>200</v>
      </c>
      <c r="E37" s="17"/>
      <c r="F37" s="17"/>
      <c r="G37" s="17">
        <v>18.260000000000002</v>
      </c>
      <c r="H37" s="21">
        <f>Table3[[#This Row],[Weight MT]]*100</f>
        <v>1826.0000000000002</v>
      </c>
      <c r="I37" s="17">
        <v>1000000040</v>
      </c>
      <c r="J37" s="17" t="s">
        <v>17</v>
      </c>
      <c r="K37" s="17">
        <v>4500000384</v>
      </c>
      <c r="L37" s="17" t="s">
        <v>31</v>
      </c>
    </row>
    <row r="38" spans="1:12" x14ac:dyDescent="0.25">
      <c r="A38" s="28">
        <v>46055</v>
      </c>
      <c r="B38" s="17" t="s">
        <v>70</v>
      </c>
      <c r="C38" s="17">
        <v>3952</v>
      </c>
      <c r="D38" s="17">
        <v>200</v>
      </c>
      <c r="E38" s="17"/>
      <c r="F38" s="17"/>
      <c r="G38" s="17">
        <v>18.02</v>
      </c>
      <c r="H38" s="21">
        <f>Table3[[#This Row],[Weight MT]]*100</f>
        <v>1802</v>
      </c>
      <c r="I38" s="17">
        <v>1000000040</v>
      </c>
      <c r="J38" s="17" t="s">
        <v>17</v>
      </c>
      <c r="K38" s="17">
        <v>4500000384</v>
      </c>
      <c r="L38" s="17" t="s">
        <v>31</v>
      </c>
    </row>
    <row r="39" spans="1:12" x14ac:dyDescent="0.25">
      <c r="A39" s="28">
        <v>46055</v>
      </c>
      <c r="B39" s="17" t="s">
        <v>70</v>
      </c>
      <c r="C39" s="17">
        <v>264</v>
      </c>
      <c r="D39" s="17">
        <v>85</v>
      </c>
      <c r="E39" s="17"/>
      <c r="F39" s="17"/>
      <c r="G39" s="17">
        <v>7.98</v>
      </c>
      <c r="H39" s="21">
        <f>Table3[[#This Row],[Weight MT]]*100</f>
        <v>798</v>
      </c>
      <c r="I39" s="17">
        <v>1000000040</v>
      </c>
      <c r="J39" s="17" t="s">
        <v>17</v>
      </c>
      <c r="K39" s="17">
        <v>4500000384</v>
      </c>
      <c r="L39" s="17" t="s">
        <v>31</v>
      </c>
    </row>
    <row r="40" spans="1:12" x14ac:dyDescent="0.25">
      <c r="A40" s="28">
        <v>46055</v>
      </c>
      <c r="B40" s="17" t="s">
        <v>70</v>
      </c>
      <c r="C40" s="17">
        <v>15094</v>
      </c>
      <c r="D40" s="17">
        <v>80</v>
      </c>
      <c r="E40" s="17"/>
      <c r="F40" s="17"/>
      <c r="G40" s="17">
        <v>7.64</v>
      </c>
      <c r="H40" s="21">
        <f>Table3[[#This Row],[Weight MT]]*100</f>
        <v>764</v>
      </c>
      <c r="I40" s="17">
        <v>1000000040</v>
      </c>
      <c r="J40" s="17" t="s">
        <v>17</v>
      </c>
      <c r="K40" s="17">
        <v>4500000384</v>
      </c>
      <c r="L40" s="17" t="s">
        <v>31</v>
      </c>
    </row>
    <row r="41" spans="1:12" x14ac:dyDescent="0.25">
      <c r="A41" s="28">
        <v>46055</v>
      </c>
      <c r="B41" s="17" t="s">
        <v>70</v>
      </c>
      <c r="C41" s="17">
        <v>1194</v>
      </c>
      <c r="D41" s="17">
        <v>80</v>
      </c>
      <c r="E41" s="17"/>
      <c r="F41" s="17"/>
      <c r="G41" s="17">
        <v>7.52</v>
      </c>
      <c r="H41" s="21">
        <f>Table3[[#This Row],[Weight MT]]*100</f>
        <v>752</v>
      </c>
      <c r="I41" s="17">
        <v>1000000040</v>
      </c>
      <c r="J41" s="17" t="s">
        <v>17</v>
      </c>
      <c r="K41" s="17">
        <v>4500000384</v>
      </c>
      <c r="L41" s="17" t="s">
        <v>31</v>
      </c>
    </row>
    <row r="42" spans="1:12" x14ac:dyDescent="0.25">
      <c r="A42" s="28">
        <v>46055</v>
      </c>
      <c r="B42" s="17" t="s">
        <v>70</v>
      </c>
      <c r="C42" s="17">
        <v>19913</v>
      </c>
      <c r="D42" s="17">
        <v>90</v>
      </c>
      <c r="E42" s="17"/>
      <c r="F42" s="17"/>
      <c r="G42" s="17">
        <v>8.52</v>
      </c>
      <c r="H42" s="21">
        <f>Table3[[#This Row],[Weight MT]]*100</f>
        <v>852</v>
      </c>
      <c r="I42" s="17">
        <v>1000000040</v>
      </c>
      <c r="J42" s="17" t="s">
        <v>17</v>
      </c>
      <c r="K42" s="17">
        <v>4500000384</v>
      </c>
      <c r="L42" s="17" t="s">
        <v>31</v>
      </c>
    </row>
    <row r="43" spans="1:12" x14ac:dyDescent="0.25">
      <c r="A43" s="28">
        <v>46055</v>
      </c>
      <c r="B43" s="17" t="s">
        <v>70</v>
      </c>
      <c r="C43" s="17">
        <v>1110</v>
      </c>
      <c r="D43" s="17">
        <v>80</v>
      </c>
      <c r="E43" s="17"/>
      <c r="F43" s="17"/>
      <c r="G43" s="17">
        <v>7.52</v>
      </c>
      <c r="H43" s="21">
        <f>Table3[[#This Row],[Weight MT]]*100</f>
        <v>752</v>
      </c>
      <c r="I43" s="17">
        <v>1000000040</v>
      </c>
      <c r="J43" s="17" t="s">
        <v>17</v>
      </c>
      <c r="K43" s="17">
        <v>4500000384</v>
      </c>
      <c r="L43" s="17" t="s">
        <v>31</v>
      </c>
    </row>
    <row r="44" spans="1:12" x14ac:dyDescent="0.25">
      <c r="A44" s="28">
        <v>46055</v>
      </c>
      <c r="B44" s="17" t="s">
        <v>70</v>
      </c>
      <c r="C44" s="17">
        <v>1364</v>
      </c>
      <c r="D44" s="17">
        <v>85</v>
      </c>
      <c r="E44" s="17"/>
      <c r="F44" s="17"/>
      <c r="G44" s="17">
        <v>7.92</v>
      </c>
      <c r="H44" s="21">
        <f>Table3[[#This Row],[Weight MT]]*100</f>
        <v>792</v>
      </c>
      <c r="I44" s="17">
        <v>1000000040</v>
      </c>
      <c r="J44" s="17" t="s">
        <v>17</v>
      </c>
      <c r="K44" s="17">
        <v>4500000384</v>
      </c>
      <c r="L44" s="17" t="s">
        <v>31</v>
      </c>
    </row>
    <row r="45" spans="1:12" x14ac:dyDescent="0.25">
      <c r="A45" s="28">
        <v>46055</v>
      </c>
      <c r="B45" s="17" t="s">
        <v>70</v>
      </c>
      <c r="C45" s="17">
        <v>59757</v>
      </c>
      <c r="D45" s="17">
        <v>120</v>
      </c>
      <c r="E45" s="17"/>
      <c r="F45" s="17"/>
      <c r="G45" s="17">
        <v>11.52</v>
      </c>
      <c r="H45" s="21">
        <f>Table3[[#This Row],[Weight MT]]*100</f>
        <v>1152</v>
      </c>
      <c r="I45" s="17">
        <v>1000000040</v>
      </c>
      <c r="J45" s="17" t="s">
        <v>17</v>
      </c>
      <c r="K45" s="17">
        <v>4500000384</v>
      </c>
      <c r="L45" s="17" t="s">
        <v>31</v>
      </c>
    </row>
    <row r="46" spans="1:12" x14ac:dyDescent="0.25">
      <c r="A46" s="28">
        <v>46056</v>
      </c>
      <c r="B46" s="17" t="s">
        <v>70</v>
      </c>
      <c r="C46" s="17">
        <v>1194</v>
      </c>
      <c r="D46" s="17">
        <v>80</v>
      </c>
      <c r="E46" s="17"/>
      <c r="F46" s="17"/>
      <c r="G46" s="17">
        <v>7.1</v>
      </c>
      <c r="H46" s="21">
        <f>Table3[[#This Row],[Weight MT]]*100</f>
        <v>710</v>
      </c>
      <c r="I46" s="17">
        <v>1000000040</v>
      </c>
      <c r="J46" s="17" t="s">
        <v>17</v>
      </c>
      <c r="K46" s="17">
        <v>4500000384</v>
      </c>
      <c r="L46" s="17" t="s">
        <v>31</v>
      </c>
    </row>
    <row r="47" spans="1:12" x14ac:dyDescent="0.25">
      <c r="A47" s="28">
        <v>46056</v>
      </c>
      <c r="B47" s="17" t="s">
        <v>70</v>
      </c>
      <c r="C47" s="17">
        <v>772</v>
      </c>
      <c r="D47" s="17">
        <v>80</v>
      </c>
      <c r="E47" s="17"/>
      <c r="F47" s="17"/>
      <c r="G47" s="17">
        <v>7</v>
      </c>
      <c r="H47" s="21">
        <f>Table3[[#This Row],[Weight MT]]*100</f>
        <v>700</v>
      </c>
      <c r="I47" s="17">
        <v>1000000040</v>
      </c>
      <c r="J47" s="17" t="s">
        <v>17</v>
      </c>
      <c r="K47" s="17">
        <v>4500000384</v>
      </c>
      <c r="L47" s="17" t="s">
        <v>31</v>
      </c>
    </row>
    <row r="48" spans="1:12" x14ac:dyDescent="0.25">
      <c r="A48" s="28">
        <v>46056</v>
      </c>
      <c r="B48" s="17" t="s">
        <v>70</v>
      </c>
      <c r="C48" s="17">
        <v>737</v>
      </c>
      <c r="D48" s="17">
        <v>80</v>
      </c>
      <c r="E48" s="17"/>
      <c r="F48" s="17"/>
      <c r="G48" s="17">
        <v>7.6</v>
      </c>
      <c r="H48" s="21">
        <f>Table3[[#This Row],[Weight MT]]*100</f>
        <v>760</v>
      </c>
      <c r="I48" s="17">
        <v>1000000040</v>
      </c>
      <c r="J48" s="17" t="s">
        <v>17</v>
      </c>
      <c r="K48" s="17">
        <v>4500000384</v>
      </c>
      <c r="L48" s="17" t="s">
        <v>31</v>
      </c>
    </row>
    <row r="49" spans="1:12" x14ac:dyDescent="0.25">
      <c r="A49" s="28">
        <v>46056</v>
      </c>
      <c r="B49" s="17" t="s">
        <v>70</v>
      </c>
      <c r="C49" s="17">
        <v>19913</v>
      </c>
      <c r="D49" s="17">
        <v>94</v>
      </c>
      <c r="E49" s="17"/>
      <c r="F49" s="17"/>
      <c r="G49" s="17">
        <v>8.7200000000000006</v>
      </c>
      <c r="H49" s="21">
        <f>Table3[[#This Row],[Weight MT]]*100</f>
        <v>872.00000000000011</v>
      </c>
      <c r="I49" s="17">
        <v>1000000040</v>
      </c>
      <c r="J49" s="17" t="s">
        <v>17</v>
      </c>
      <c r="K49" s="17">
        <v>4500000384</v>
      </c>
      <c r="L49" s="17" t="s">
        <v>31</v>
      </c>
    </row>
    <row r="50" spans="1:12" x14ac:dyDescent="0.25">
      <c r="A50" s="28">
        <v>46056</v>
      </c>
      <c r="B50" s="17" t="s">
        <v>70</v>
      </c>
      <c r="C50" s="17">
        <v>945</v>
      </c>
      <c r="D50" s="17">
        <v>80</v>
      </c>
      <c r="E50" s="17"/>
      <c r="F50" s="17"/>
      <c r="G50" s="17">
        <v>7.32</v>
      </c>
      <c r="H50" s="21">
        <f>Table3[[#This Row],[Weight MT]]*100</f>
        <v>732</v>
      </c>
      <c r="I50" s="17">
        <v>1000000040</v>
      </c>
      <c r="J50" s="17" t="s">
        <v>17</v>
      </c>
      <c r="K50" s="17">
        <v>4500000384</v>
      </c>
      <c r="L50" s="17" t="s">
        <v>31</v>
      </c>
    </row>
    <row r="51" spans="1:12" x14ac:dyDescent="0.25">
      <c r="A51" s="28">
        <v>46056</v>
      </c>
      <c r="B51" s="17" t="s">
        <v>70</v>
      </c>
      <c r="C51" s="17">
        <v>714</v>
      </c>
      <c r="D51" s="17">
        <v>80</v>
      </c>
      <c r="E51" s="17"/>
      <c r="F51" s="17"/>
      <c r="G51" s="17">
        <v>7.5</v>
      </c>
      <c r="H51" s="21">
        <f>Table3[[#This Row],[Weight MT]]*100</f>
        <v>750</v>
      </c>
      <c r="I51" s="17">
        <v>1000000040</v>
      </c>
      <c r="J51" s="17" t="s">
        <v>17</v>
      </c>
      <c r="K51" s="17">
        <v>4500000384</v>
      </c>
      <c r="L51" s="17" t="s">
        <v>31</v>
      </c>
    </row>
    <row r="52" spans="1:12" x14ac:dyDescent="0.25">
      <c r="A52" s="28">
        <v>46056</v>
      </c>
      <c r="B52" s="17" t="s">
        <v>70</v>
      </c>
      <c r="C52" s="17">
        <v>1194</v>
      </c>
      <c r="D52" s="17">
        <v>80</v>
      </c>
      <c r="E52" s="17"/>
      <c r="F52" s="17"/>
      <c r="G52" s="17">
        <v>7.54</v>
      </c>
      <c r="H52" s="21">
        <f>Table3[[#This Row],[Weight MT]]*100</f>
        <v>754</v>
      </c>
      <c r="I52" s="17">
        <v>1000000040</v>
      </c>
      <c r="J52" s="17" t="s">
        <v>17</v>
      </c>
      <c r="K52" s="17">
        <v>4500000384</v>
      </c>
      <c r="L52" s="17" t="s">
        <v>31</v>
      </c>
    </row>
    <row r="53" spans="1:12" x14ac:dyDescent="0.25">
      <c r="A53" s="28">
        <v>46056</v>
      </c>
      <c r="B53" s="17" t="s">
        <v>70</v>
      </c>
      <c r="C53" s="17">
        <v>737</v>
      </c>
      <c r="D53" s="17">
        <v>80</v>
      </c>
      <c r="E53" s="17"/>
      <c r="F53" s="17"/>
      <c r="G53" s="17">
        <v>7.18</v>
      </c>
      <c r="H53" s="21">
        <f>Table3[[#This Row],[Weight MT]]*100</f>
        <v>718</v>
      </c>
      <c r="I53" s="17">
        <v>1000000040</v>
      </c>
      <c r="J53" s="17" t="s">
        <v>17</v>
      </c>
      <c r="K53" s="17">
        <v>4500000384</v>
      </c>
      <c r="L53" s="17" t="s">
        <v>31</v>
      </c>
    </row>
    <row r="54" spans="1:12" x14ac:dyDescent="0.25">
      <c r="A54" s="28">
        <v>46056</v>
      </c>
      <c r="B54" s="17" t="s">
        <v>70</v>
      </c>
      <c r="C54" s="17">
        <v>772</v>
      </c>
      <c r="D54" s="17">
        <v>80</v>
      </c>
      <c r="E54" s="17"/>
      <c r="F54" s="17"/>
      <c r="G54" s="17">
        <v>7.64</v>
      </c>
      <c r="H54" s="21">
        <f>Table3[[#This Row],[Weight MT]]*100</f>
        <v>764</v>
      </c>
      <c r="I54" s="17">
        <v>1000000040</v>
      </c>
      <c r="J54" s="17" t="s">
        <v>17</v>
      </c>
      <c r="K54" s="17">
        <v>4500000384</v>
      </c>
      <c r="L54" s="17" t="s">
        <v>31</v>
      </c>
    </row>
    <row r="55" spans="1:12" x14ac:dyDescent="0.25">
      <c r="A55" s="28">
        <v>46056</v>
      </c>
      <c r="B55" s="17" t="s">
        <v>70</v>
      </c>
      <c r="C55" s="17">
        <v>945</v>
      </c>
      <c r="D55" s="17">
        <v>85</v>
      </c>
      <c r="E55" s="17"/>
      <c r="F55" s="17"/>
      <c r="G55" s="17">
        <v>7.82</v>
      </c>
      <c r="H55" s="21">
        <f>Table3[[#This Row],[Weight MT]]*100</f>
        <v>782</v>
      </c>
      <c r="I55" s="17">
        <v>1000000040</v>
      </c>
      <c r="J55" s="17" t="s">
        <v>17</v>
      </c>
      <c r="K55" s="17">
        <v>4500000384</v>
      </c>
      <c r="L55" s="17" t="s">
        <v>31</v>
      </c>
    </row>
    <row r="56" spans="1:12" x14ac:dyDescent="0.25">
      <c r="A56" s="28">
        <v>46056</v>
      </c>
      <c r="B56" s="17" t="s">
        <v>70</v>
      </c>
      <c r="C56" s="17">
        <v>6850</v>
      </c>
      <c r="D56" s="17">
        <v>159</v>
      </c>
      <c r="E56" s="17"/>
      <c r="F56" s="17"/>
      <c r="G56" s="17">
        <v>13.76</v>
      </c>
      <c r="H56" s="21">
        <f>Table3[[#This Row],[Weight MT]]*100</f>
        <v>1376</v>
      </c>
      <c r="I56" s="17">
        <v>1000000040</v>
      </c>
      <c r="J56" s="17" t="s">
        <v>17</v>
      </c>
      <c r="K56" s="17">
        <v>4500000384</v>
      </c>
      <c r="L56" s="17" t="s">
        <v>31</v>
      </c>
    </row>
    <row r="57" spans="1:12" x14ac:dyDescent="0.25">
      <c r="A57" s="28">
        <v>46056</v>
      </c>
      <c r="B57" s="17" t="s">
        <v>70</v>
      </c>
      <c r="C57" s="17">
        <v>535</v>
      </c>
      <c r="D57" s="17">
        <v>100</v>
      </c>
      <c r="E57" s="17"/>
      <c r="F57" s="17"/>
      <c r="G57" s="17">
        <v>9.5399999999999991</v>
      </c>
      <c r="H57" s="21">
        <f>Table3[[#This Row],[Weight MT]]*100</f>
        <v>953.99999999999989</v>
      </c>
      <c r="I57" s="17">
        <v>1000000040</v>
      </c>
      <c r="J57" s="17" t="s">
        <v>17</v>
      </c>
      <c r="K57" s="17">
        <v>4500000384</v>
      </c>
      <c r="L57" s="17" t="s">
        <v>31</v>
      </c>
    </row>
    <row r="58" spans="1:12" x14ac:dyDescent="0.25">
      <c r="A58" s="28">
        <v>46056</v>
      </c>
      <c r="B58" s="17" t="s">
        <v>70</v>
      </c>
      <c r="C58" s="17">
        <v>717</v>
      </c>
      <c r="D58" s="17">
        <v>80</v>
      </c>
      <c r="E58" s="17"/>
      <c r="F58" s="17"/>
      <c r="G58" s="17">
        <v>7.62</v>
      </c>
      <c r="H58" s="21">
        <f>Table3[[#This Row],[Weight MT]]*100</f>
        <v>762</v>
      </c>
      <c r="I58" s="17">
        <v>1000000040</v>
      </c>
      <c r="J58" s="17" t="s">
        <v>17</v>
      </c>
      <c r="K58" s="17">
        <v>4500000384</v>
      </c>
      <c r="L58" s="17" t="s">
        <v>31</v>
      </c>
    </row>
    <row r="59" spans="1:12" x14ac:dyDescent="0.25">
      <c r="A59" s="28">
        <v>46056</v>
      </c>
      <c r="B59" s="17" t="s">
        <v>70</v>
      </c>
      <c r="C59" s="17">
        <v>663</v>
      </c>
      <c r="D59" s="17">
        <v>80</v>
      </c>
      <c r="E59" s="17"/>
      <c r="F59" s="17"/>
      <c r="G59" s="17">
        <v>7.6</v>
      </c>
      <c r="H59" s="21">
        <f>Table3[[#This Row],[Weight MT]]*100</f>
        <v>760</v>
      </c>
      <c r="I59" s="17">
        <v>1000000040</v>
      </c>
      <c r="J59" s="17" t="s">
        <v>17</v>
      </c>
      <c r="K59" s="17">
        <v>4500000384</v>
      </c>
      <c r="L59" s="17" t="s">
        <v>31</v>
      </c>
    </row>
    <row r="60" spans="1:12" x14ac:dyDescent="0.25">
      <c r="A60" s="28">
        <v>46056</v>
      </c>
      <c r="B60" s="17" t="s">
        <v>70</v>
      </c>
      <c r="C60" s="17">
        <v>9373</v>
      </c>
      <c r="D60" s="17">
        <v>80</v>
      </c>
      <c r="E60" s="17"/>
      <c r="F60" s="17"/>
      <c r="G60" s="17">
        <v>7.64</v>
      </c>
      <c r="H60" s="21">
        <f>Table3[[#This Row],[Weight MT]]*100</f>
        <v>764</v>
      </c>
      <c r="I60" s="17">
        <v>1000000040</v>
      </c>
      <c r="J60" s="17" t="s">
        <v>17</v>
      </c>
      <c r="K60" s="17">
        <v>4500000384</v>
      </c>
      <c r="L60" s="17" t="s">
        <v>31</v>
      </c>
    </row>
    <row r="61" spans="1:12" x14ac:dyDescent="0.25">
      <c r="A61" s="28">
        <v>46056</v>
      </c>
      <c r="B61" s="17" t="s">
        <v>70</v>
      </c>
      <c r="C61" s="17">
        <v>91</v>
      </c>
      <c r="D61" s="17">
        <v>60</v>
      </c>
      <c r="E61" s="17"/>
      <c r="F61" s="17"/>
      <c r="G61" s="17">
        <v>5.68</v>
      </c>
      <c r="H61" s="21">
        <f>Table3[[#This Row],[Weight MT]]*100</f>
        <v>568</v>
      </c>
      <c r="I61" s="17">
        <v>1000000040</v>
      </c>
      <c r="J61" s="17" t="s">
        <v>17</v>
      </c>
      <c r="K61" s="17">
        <v>4500000384</v>
      </c>
      <c r="L61" s="17" t="s">
        <v>31</v>
      </c>
    </row>
    <row r="62" spans="1:12" x14ac:dyDescent="0.25">
      <c r="A62" s="28">
        <v>46057</v>
      </c>
      <c r="B62" s="17" t="s">
        <v>70</v>
      </c>
      <c r="C62" s="17">
        <v>368</v>
      </c>
      <c r="D62" s="17">
        <v>137</v>
      </c>
      <c r="E62" s="17"/>
      <c r="F62" s="17"/>
      <c r="G62" s="17">
        <v>12.66</v>
      </c>
      <c r="H62" s="21">
        <f>Table3[[#This Row],[Weight MT]]*100</f>
        <v>1266</v>
      </c>
      <c r="I62" s="17">
        <v>1000000040</v>
      </c>
      <c r="J62" s="17" t="s">
        <v>17</v>
      </c>
      <c r="K62" s="17">
        <v>4500000384</v>
      </c>
      <c r="L62" s="17" t="s">
        <v>31</v>
      </c>
    </row>
    <row r="63" spans="1:12" x14ac:dyDescent="0.25">
      <c r="A63" s="28">
        <v>46057</v>
      </c>
      <c r="B63" s="17" t="s">
        <v>70</v>
      </c>
      <c r="C63" s="17">
        <v>368</v>
      </c>
      <c r="D63" s="17">
        <v>130</v>
      </c>
      <c r="E63" s="17"/>
      <c r="F63" s="17"/>
      <c r="G63" s="17">
        <v>11.56</v>
      </c>
      <c r="H63" s="21">
        <f>Table3[[#This Row],[Weight MT]]*100</f>
        <v>1156</v>
      </c>
      <c r="I63" s="17">
        <v>1000000040</v>
      </c>
      <c r="J63" s="17" t="s">
        <v>17</v>
      </c>
      <c r="K63" s="17">
        <v>4500000384</v>
      </c>
      <c r="L63" s="17" t="s">
        <v>31</v>
      </c>
    </row>
    <row r="64" spans="1:12" x14ac:dyDescent="0.25">
      <c r="A64" s="28">
        <v>46060</v>
      </c>
      <c r="B64" s="17" t="s">
        <v>70</v>
      </c>
      <c r="C64" s="63">
        <v>938</v>
      </c>
      <c r="D64" s="63">
        <v>80</v>
      </c>
      <c r="E64" s="63"/>
      <c r="F64" s="63"/>
      <c r="G64" s="63">
        <v>7.6</v>
      </c>
      <c r="H64" s="64">
        <f>Table3[[#This Row],[Weight MT]]*100</f>
        <v>760</v>
      </c>
      <c r="I64" s="17">
        <v>1000000040</v>
      </c>
      <c r="J64" s="17" t="s">
        <v>17</v>
      </c>
      <c r="K64" s="17">
        <v>4500000384</v>
      </c>
      <c r="L64" s="17" t="s">
        <v>31</v>
      </c>
    </row>
    <row r="65" spans="1:12" x14ac:dyDescent="0.25">
      <c r="A65" s="28">
        <v>46060</v>
      </c>
      <c r="B65" s="17" t="s">
        <v>70</v>
      </c>
      <c r="C65" s="63">
        <v>753</v>
      </c>
      <c r="D65" s="63">
        <v>80</v>
      </c>
      <c r="E65" s="63"/>
      <c r="F65" s="63"/>
      <c r="G65" s="63">
        <v>7.56</v>
      </c>
      <c r="H65" s="64">
        <f>Table3[[#This Row],[Weight MT]]*100</f>
        <v>756</v>
      </c>
      <c r="I65" s="17">
        <v>1000000040</v>
      </c>
      <c r="J65" s="17" t="s">
        <v>17</v>
      </c>
      <c r="K65" s="17">
        <v>4500000384</v>
      </c>
      <c r="L65" s="17" t="s">
        <v>31</v>
      </c>
    </row>
    <row r="66" spans="1:12" x14ac:dyDescent="0.25">
      <c r="A66" s="28">
        <v>46060</v>
      </c>
      <c r="B66" s="17" t="s">
        <v>70</v>
      </c>
      <c r="C66" s="63">
        <v>1093</v>
      </c>
      <c r="D66" s="63">
        <v>80</v>
      </c>
      <c r="E66" s="63"/>
      <c r="F66" s="63"/>
      <c r="G66" s="63">
        <v>7.5</v>
      </c>
      <c r="H66" s="64">
        <f>Table3[[#This Row],[Weight MT]]*100</f>
        <v>750</v>
      </c>
      <c r="I66" s="17">
        <v>1000000040</v>
      </c>
      <c r="J66" s="17" t="s">
        <v>17</v>
      </c>
      <c r="K66" s="17">
        <v>4500000384</v>
      </c>
      <c r="L66" s="17" t="s">
        <v>31</v>
      </c>
    </row>
    <row r="67" spans="1:12" x14ac:dyDescent="0.25">
      <c r="A67" s="28">
        <v>46060</v>
      </c>
      <c r="B67" s="17" t="s">
        <v>70</v>
      </c>
      <c r="C67" s="63">
        <v>663</v>
      </c>
      <c r="D67" s="63">
        <v>80</v>
      </c>
      <c r="E67" s="63"/>
      <c r="F67" s="63"/>
      <c r="G67" s="63">
        <v>7.52</v>
      </c>
      <c r="H67" s="64">
        <f>Table3[[#This Row],[Weight MT]]*100</f>
        <v>752</v>
      </c>
      <c r="I67" s="17">
        <v>1000000040</v>
      </c>
      <c r="J67" s="17" t="s">
        <v>17</v>
      </c>
      <c r="K67" s="17">
        <v>4500000384</v>
      </c>
      <c r="L67" s="17" t="s">
        <v>31</v>
      </c>
    </row>
    <row r="68" spans="1:12" x14ac:dyDescent="0.25">
      <c r="A68" s="28">
        <v>46060</v>
      </c>
      <c r="B68" s="17" t="s">
        <v>70</v>
      </c>
      <c r="C68" s="63">
        <v>516</v>
      </c>
      <c r="D68" s="63">
        <v>80</v>
      </c>
      <c r="E68" s="63"/>
      <c r="F68" s="63"/>
      <c r="G68" s="63">
        <v>7.56</v>
      </c>
      <c r="H68" s="64">
        <f>Table3[[#This Row],[Weight MT]]*100</f>
        <v>756</v>
      </c>
      <c r="I68" s="17">
        <v>1000000040</v>
      </c>
      <c r="J68" s="17" t="s">
        <v>17</v>
      </c>
      <c r="K68" s="17">
        <v>4500000384</v>
      </c>
      <c r="L68" s="17" t="s">
        <v>31</v>
      </c>
    </row>
    <row r="69" spans="1:12" x14ac:dyDescent="0.25">
      <c r="A69" s="28">
        <v>46060</v>
      </c>
      <c r="B69" s="17" t="s">
        <v>70</v>
      </c>
      <c r="C69" s="63">
        <v>756</v>
      </c>
      <c r="D69" s="63">
        <v>80</v>
      </c>
      <c r="E69" s="63"/>
      <c r="F69" s="63"/>
      <c r="G69" s="63">
        <v>7.5</v>
      </c>
      <c r="H69" s="64">
        <f>Table3[[#This Row],[Weight MT]]*100</f>
        <v>750</v>
      </c>
      <c r="I69" s="17">
        <v>1000000040</v>
      </c>
      <c r="J69" s="17" t="s">
        <v>17</v>
      </c>
      <c r="K69" s="17">
        <v>4500000384</v>
      </c>
      <c r="L69" s="17" t="s">
        <v>31</v>
      </c>
    </row>
    <row r="70" spans="1:12" x14ac:dyDescent="0.25">
      <c r="A70" s="28">
        <v>46060</v>
      </c>
      <c r="B70" s="17" t="s">
        <v>70</v>
      </c>
      <c r="C70" s="63">
        <v>1460</v>
      </c>
      <c r="D70" s="63">
        <v>80</v>
      </c>
      <c r="E70" s="63"/>
      <c r="F70" s="63"/>
      <c r="G70" s="63">
        <v>7.46</v>
      </c>
      <c r="H70" s="64">
        <f>Table3[[#This Row],[Weight MT]]*100</f>
        <v>746</v>
      </c>
      <c r="I70" s="17">
        <v>1000000040</v>
      </c>
      <c r="J70" s="17" t="s">
        <v>17</v>
      </c>
      <c r="K70" s="17">
        <v>4500000384</v>
      </c>
      <c r="L70" s="17" t="s">
        <v>31</v>
      </c>
    </row>
    <row r="71" spans="1:12" x14ac:dyDescent="0.25">
      <c r="A71" s="28">
        <v>46060</v>
      </c>
      <c r="B71" s="17" t="s">
        <v>70</v>
      </c>
      <c r="C71" s="63">
        <v>42209</v>
      </c>
      <c r="D71" s="63">
        <v>80</v>
      </c>
      <c r="E71" s="63"/>
      <c r="F71" s="63"/>
      <c r="G71" s="63">
        <v>7.5</v>
      </c>
      <c r="H71" s="64">
        <f>Table3[[#This Row],[Weight MT]]*100</f>
        <v>750</v>
      </c>
      <c r="I71" s="17">
        <v>1000000040</v>
      </c>
      <c r="J71" s="17" t="s">
        <v>17</v>
      </c>
      <c r="K71" s="17">
        <v>4500000384</v>
      </c>
      <c r="L71" s="17" t="s">
        <v>31</v>
      </c>
    </row>
    <row r="72" spans="1:12" x14ac:dyDescent="0.25">
      <c r="A72" s="28">
        <v>46060</v>
      </c>
      <c r="B72" s="17" t="s">
        <v>70</v>
      </c>
      <c r="C72" s="63">
        <v>1207</v>
      </c>
      <c r="D72" s="63">
        <v>80</v>
      </c>
      <c r="E72" s="63"/>
      <c r="F72" s="63"/>
      <c r="G72" s="63">
        <v>7.48</v>
      </c>
      <c r="H72" s="64">
        <f>Table3[[#This Row],[Weight MT]]*100</f>
        <v>748</v>
      </c>
      <c r="I72" s="17">
        <v>1000000040</v>
      </c>
      <c r="J72" s="17" t="s">
        <v>17</v>
      </c>
      <c r="K72" s="17">
        <v>4500000384</v>
      </c>
      <c r="L72" s="17" t="s">
        <v>31</v>
      </c>
    </row>
    <row r="73" spans="1:12" x14ac:dyDescent="0.25">
      <c r="A73" s="28">
        <v>46060</v>
      </c>
      <c r="B73" s="17" t="s">
        <v>70</v>
      </c>
      <c r="C73" s="63">
        <v>551</v>
      </c>
      <c r="D73" s="63">
        <v>80</v>
      </c>
      <c r="E73" s="63"/>
      <c r="F73" s="63"/>
      <c r="G73" s="63">
        <v>7.52</v>
      </c>
      <c r="H73" s="64">
        <f>Table3[[#This Row],[Weight MT]]*100</f>
        <v>752</v>
      </c>
      <c r="I73" s="17">
        <v>1000000040</v>
      </c>
      <c r="J73" s="17" t="s">
        <v>17</v>
      </c>
      <c r="K73" s="17">
        <v>4500000384</v>
      </c>
      <c r="L73" s="17" t="s">
        <v>31</v>
      </c>
    </row>
    <row r="74" spans="1:12" x14ac:dyDescent="0.25">
      <c r="A74" s="28">
        <v>46060</v>
      </c>
      <c r="B74" s="17" t="s">
        <v>70</v>
      </c>
      <c r="C74" s="63">
        <v>19913</v>
      </c>
      <c r="D74" s="63">
        <v>100</v>
      </c>
      <c r="E74" s="63"/>
      <c r="F74" s="63"/>
      <c r="G74" s="63">
        <v>9.42</v>
      </c>
      <c r="H74" s="64">
        <f>Table3[[#This Row],[Weight MT]]*100</f>
        <v>942</v>
      </c>
      <c r="I74" s="17">
        <v>1000000040</v>
      </c>
      <c r="J74" s="17" t="s">
        <v>17</v>
      </c>
      <c r="K74" s="17">
        <v>4500000384</v>
      </c>
      <c r="L74" s="17" t="s">
        <v>31</v>
      </c>
    </row>
    <row r="75" spans="1:12" x14ac:dyDescent="0.25">
      <c r="A75" s="28">
        <v>46061</v>
      </c>
      <c r="B75" s="17" t="s">
        <v>70</v>
      </c>
      <c r="C75" s="63">
        <v>2226</v>
      </c>
      <c r="D75" s="63">
        <v>80</v>
      </c>
      <c r="E75" s="63"/>
      <c r="F75" s="63"/>
      <c r="G75" s="63">
        <v>7.62</v>
      </c>
      <c r="H75" s="64">
        <f>Table3[[#This Row],[Weight MT]]*100</f>
        <v>762</v>
      </c>
      <c r="I75" s="17">
        <v>1000000040</v>
      </c>
      <c r="J75" s="17" t="s">
        <v>17</v>
      </c>
      <c r="K75" s="17">
        <v>4500000384</v>
      </c>
      <c r="L75" s="17" t="s">
        <v>31</v>
      </c>
    </row>
    <row r="76" spans="1:12" x14ac:dyDescent="0.25">
      <c r="A76" s="28">
        <v>46061</v>
      </c>
      <c r="B76" s="17" t="s">
        <v>70</v>
      </c>
      <c r="C76" s="63">
        <v>1112</v>
      </c>
      <c r="D76" s="63">
        <v>100</v>
      </c>
      <c r="E76" s="63"/>
      <c r="F76" s="63"/>
      <c r="G76" s="63">
        <v>9.44</v>
      </c>
      <c r="H76" s="64">
        <f>Table3[[#This Row],[Weight MT]]*100</f>
        <v>944</v>
      </c>
      <c r="I76" s="17">
        <v>1000000040</v>
      </c>
      <c r="J76" s="17" t="s">
        <v>17</v>
      </c>
      <c r="K76" s="17">
        <v>4500000384</v>
      </c>
      <c r="L76" s="17" t="s">
        <v>31</v>
      </c>
    </row>
    <row r="77" spans="1:12" x14ac:dyDescent="0.25">
      <c r="A77" s="28">
        <v>46061</v>
      </c>
      <c r="B77" s="17" t="s">
        <v>70</v>
      </c>
      <c r="C77" s="63">
        <v>3381</v>
      </c>
      <c r="D77" s="63">
        <v>80</v>
      </c>
      <c r="E77" s="63"/>
      <c r="F77" s="63"/>
      <c r="G77" s="63">
        <v>7.6</v>
      </c>
      <c r="H77" s="64">
        <f>Table3[[#This Row],[Weight MT]]*100</f>
        <v>760</v>
      </c>
      <c r="I77" s="17">
        <v>1000000040</v>
      </c>
      <c r="J77" s="17" t="s">
        <v>17</v>
      </c>
      <c r="K77" s="17">
        <v>4500000384</v>
      </c>
      <c r="L77" s="17" t="s">
        <v>31</v>
      </c>
    </row>
    <row r="78" spans="1:12" x14ac:dyDescent="0.25">
      <c r="A78" s="28">
        <v>46061</v>
      </c>
      <c r="B78" s="17" t="s">
        <v>70</v>
      </c>
      <c r="C78" s="63">
        <v>1194</v>
      </c>
      <c r="D78" s="63">
        <v>80</v>
      </c>
      <c r="E78" s="63"/>
      <c r="F78" s="63"/>
      <c r="G78" s="63">
        <v>7.6</v>
      </c>
      <c r="H78" s="64">
        <f>Table3[[#This Row],[Weight MT]]*100</f>
        <v>760</v>
      </c>
      <c r="I78" s="17">
        <v>1000000040</v>
      </c>
      <c r="J78" s="17" t="s">
        <v>17</v>
      </c>
      <c r="K78" s="17">
        <v>4500000384</v>
      </c>
      <c r="L78" s="17" t="s">
        <v>31</v>
      </c>
    </row>
    <row r="79" spans="1:12" x14ac:dyDescent="0.25">
      <c r="A79" s="28">
        <v>46061</v>
      </c>
      <c r="B79" s="17" t="s">
        <v>70</v>
      </c>
      <c r="C79" s="63">
        <v>59757</v>
      </c>
      <c r="D79" s="63">
        <v>100</v>
      </c>
      <c r="E79" s="63"/>
      <c r="F79" s="63"/>
      <c r="G79" s="63">
        <v>9.36</v>
      </c>
      <c r="H79" s="64">
        <f>Table3[[#This Row],[Weight MT]]*100</f>
        <v>936</v>
      </c>
      <c r="I79" s="17">
        <v>1000000040</v>
      </c>
      <c r="J79" s="17" t="s">
        <v>17</v>
      </c>
      <c r="K79" s="17">
        <v>4500000384</v>
      </c>
      <c r="L79" s="17" t="s">
        <v>31</v>
      </c>
    </row>
    <row r="80" spans="1:12" x14ac:dyDescent="0.25">
      <c r="A80" s="28">
        <v>46061</v>
      </c>
      <c r="B80" s="17" t="s">
        <v>70</v>
      </c>
      <c r="C80" s="63">
        <v>535</v>
      </c>
      <c r="D80" s="63">
        <v>100</v>
      </c>
      <c r="E80" s="63"/>
      <c r="F80" s="63"/>
      <c r="G80" s="63">
        <v>9.56</v>
      </c>
      <c r="H80" s="64">
        <f>Table3[[#This Row],[Weight MT]]*100</f>
        <v>956</v>
      </c>
      <c r="I80" s="17">
        <v>1000000040</v>
      </c>
      <c r="J80" s="17" t="s">
        <v>17</v>
      </c>
      <c r="K80" s="17">
        <v>4500000384</v>
      </c>
      <c r="L80" s="17" t="s">
        <v>31</v>
      </c>
    </row>
    <row r="81" spans="1:12" x14ac:dyDescent="0.25">
      <c r="A81" s="28">
        <v>46061</v>
      </c>
      <c r="B81" s="17" t="s">
        <v>70</v>
      </c>
      <c r="C81" s="63">
        <v>717</v>
      </c>
      <c r="D81" s="63">
        <v>80</v>
      </c>
      <c r="E81" s="63"/>
      <c r="F81" s="63"/>
      <c r="G81" s="63">
        <v>7.56</v>
      </c>
      <c r="H81" s="64">
        <f>Table3[[#This Row],[Weight MT]]*100</f>
        <v>756</v>
      </c>
      <c r="I81" s="17">
        <v>1000000040</v>
      </c>
      <c r="J81" s="17" t="s">
        <v>17</v>
      </c>
      <c r="K81" s="17">
        <v>4500000384</v>
      </c>
      <c r="L81" s="17" t="s">
        <v>31</v>
      </c>
    </row>
    <row r="82" spans="1:12" x14ac:dyDescent="0.25">
      <c r="A82" s="28">
        <v>46061</v>
      </c>
      <c r="B82" s="17" t="s">
        <v>70</v>
      </c>
      <c r="C82" s="63">
        <v>516</v>
      </c>
      <c r="D82" s="63">
        <v>80</v>
      </c>
      <c r="E82" s="63"/>
      <c r="F82" s="63"/>
      <c r="G82" s="63">
        <v>7.62</v>
      </c>
      <c r="H82" s="64">
        <f>Table3[[#This Row],[Weight MT]]*100</f>
        <v>762</v>
      </c>
      <c r="I82" s="17">
        <v>1000000040</v>
      </c>
      <c r="J82" s="17" t="s">
        <v>17</v>
      </c>
      <c r="K82" s="17">
        <v>4500000384</v>
      </c>
      <c r="L82" s="17" t="s">
        <v>31</v>
      </c>
    </row>
    <row r="83" spans="1:12" x14ac:dyDescent="0.25">
      <c r="A83" s="28">
        <v>46061</v>
      </c>
      <c r="B83" s="17" t="s">
        <v>70</v>
      </c>
      <c r="C83" s="63">
        <v>293</v>
      </c>
      <c r="D83" s="63">
        <v>80</v>
      </c>
      <c r="E83" s="63"/>
      <c r="F83" s="63"/>
      <c r="G83" s="63">
        <v>7.52</v>
      </c>
      <c r="H83" s="64">
        <f>Table3[[#This Row],[Weight MT]]*100</f>
        <v>752</v>
      </c>
      <c r="I83" s="17">
        <v>1000000040</v>
      </c>
      <c r="J83" s="17" t="s">
        <v>17</v>
      </c>
      <c r="K83" s="17">
        <v>4500000384</v>
      </c>
      <c r="L83" s="17" t="s">
        <v>31</v>
      </c>
    </row>
    <row r="84" spans="1:12" x14ac:dyDescent="0.25">
      <c r="A84" s="28">
        <v>46061</v>
      </c>
      <c r="B84" s="17" t="s">
        <v>70</v>
      </c>
      <c r="C84" s="63">
        <v>1349</v>
      </c>
      <c r="D84" s="63">
        <v>80</v>
      </c>
      <c r="E84" s="63"/>
      <c r="F84" s="63"/>
      <c r="G84" s="63">
        <v>7.42</v>
      </c>
      <c r="H84" s="64">
        <f>Table3[[#This Row],[Weight MT]]*100</f>
        <v>742</v>
      </c>
      <c r="I84" s="17">
        <v>1000000040</v>
      </c>
      <c r="J84" s="17" t="s">
        <v>17</v>
      </c>
      <c r="K84" s="17">
        <v>4500000384</v>
      </c>
      <c r="L84" s="17" t="s">
        <v>31</v>
      </c>
    </row>
    <row r="85" spans="1:12" x14ac:dyDescent="0.25">
      <c r="A85" s="28">
        <v>46061</v>
      </c>
      <c r="B85" s="17" t="s">
        <v>70</v>
      </c>
      <c r="C85" s="63">
        <v>19913</v>
      </c>
      <c r="D85" s="63">
        <v>100</v>
      </c>
      <c r="E85" s="63"/>
      <c r="F85" s="63"/>
      <c r="G85" s="63">
        <v>9.5399999999999991</v>
      </c>
      <c r="H85" s="64">
        <f>Table3[[#This Row],[Weight MT]]*100</f>
        <v>953.99999999999989</v>
      </c>
      <c r="I85" s="17">
        <v>1000000040</v>
      </c>
      <c r="J85" s="17" t="s">
        <v>17</v>
      </c>
      <c r="K85" s="17">
        <v>4500000384</v>
      </c>
      <c r="L85" s="17" t="s">
        <v>31</v>
      </c>
    </row>
    <row r="86" spans="1:12" x14ac:dyDescent="0.25">
      <c r="A86" s="28">
        <v>46061</v>
      </c>
      <c r="B86" s="17" t="s">
        <v>70</v>
      </c>
      <c r="C86" s="63">
        <v>1110</v>
      </c>
      <c r="D86" s="63">
        <v>80</v>
      </c>
      <c r="E86" s="63"/>
      <c r="F86" s="63"/>
      <c r="G86" s="63">
        <v>7.56</v>
      </c>
      <c r="H86" s="64">
        <f>Table3[[#This Row],[Weight MT]]*100</f>
        <v>756</v>
      </c>
      <c r="I86" s="17">
        <v>1000000040</v>
      </c>
      <c r="J86" s="17" t="s">
        <v>17</v>
      </c>
      <c r="K86" s="17">
        <v>4500000384</v>
      </c>
      <c r="L86" s="17" t="s">
        <v>31</v>
      </c>
    </row>
    <row r="87" spans="1:12" x14ac:dyDescent="0.25">
      <c r="A87" s="28">
        <v>46061</v>
      </c>
      <c r="B87" s="17" t="s">
        <v>70</v>
      </c>
      <c r="C87" s="63">
        <v>1056</v>
      </c>
      <c r="D87" s="63">
        <v>80</v>
      </c>
      <c r="E87" s="63"/>
      <c r="F87" s="63"/>
      <c r="G87" s="63">
        <v>7.54</v>
      </c>
      <c r="H87" s="64">
        <f>Table3[[#This Row],[Weight MT]]*100</f>
        <v>754</v>
      </c>
      <c r="I87" s="17">
        <v>1000000040</v>
      </c>
      <c r="J87" s="17" t="s">
        <v>17</v>
      </c>
      <c r="K87" s="17">
        <v>4500000384</v>
      </c>
      <c r="L87" s="17" t="s">
        <v>31</v>
      </c>
    </row>
    <row r="88" spans="1:12" x14ac:dyDescent="0.25">
      <c r="A88" s="28">
        <v>46061</v>
      </c>
      <c r="B88" s="17" t="s">
        <v>70</v>
      </c>
      <c r="C88" s="63">
        <v>737</v>
      </c>
      <c r="D88" s="63">
        <v>80</v>
      </c>
      <c r="E88" s="63"/>
      <c r="F88" s="63"/>
      <c r="G88" s="63">
        <v>7.54</v>
      </c>
      <c r="H88" s="64">
        <f>Table3[[#This Row],[Weight MT]]*100</f>
        <v>754</v>
      </c>
      <c r="I88" s="17">
        <v>1000000040</v>
      </c>
      <c r="J88" s="17" t="s">
        <v>17</v>
      </c>
      <c r="K88" s="17">
        <v>4500000384</v>
      </c>
      <c r="L88" s="17" t="s">
        <v>31</v>
      </c>
    </row>
    <row r="89" spans="1:12" x14ac:dyDescent="0.25">
      <c r="A89" s="28">
        <v>46061</v>
      </c>
      <c r="B89" s="17" t="s">
        <v>70</v>
      </c>
      <c r="C89" s="63">
        <v>303</v>
      </c>
      <c r="D89" s="63">
        <v>80</v>
      </c>
      <c r="E89" s="63"/>
      <c r="F89" s="63"/>
      <c r="G89" s="63">
        <v>7.44</v>
      </c>
      <c r="H89" s="64">
        <f>Table3[[#This Row],[Weight MT]]*100</f>
        <v>744</v>
      </c>
      <c r="I89" s="17">
        <v>1000000040</v>
      </c>
      <c r="J89" s="17" t="s">
        <v>17</v>
      </c>
      <c r="K89" s="17">
        <v>4500000384</v>
      </c>
      <c r="L89" s="17" t="s">
        <v>31</v>
      </c>
    </row>
    <row r="90" spans="1:12" x14ac:dyDescent="0.25">
      <c r="A90" s="28">
        <v>46061</v>
      </c>
      <c r="B90" s="17" t="s">
        <v>70</v>
      </c>
      <c r="C90" s="63">
        <v>60</v>
      </c>
      <c r="D90" s="63">
        <v>80</v>
      </c>
      <c r="E90" s="63"/>
      <c r="F90" s="63"/>
      <c r="G90" s="63">
        <v>7.56</v>
      </c>
      <c r="H90" s="64">
        <f>Table3[[#This Row],[Weight MT]]*100</f>
        <v>756</v>
      </c>
      <c r="I90" s="17">
        <v>1000000040</v>
      </c>
      <c r="J90" s="17" t="s">
        <v>17</v>
      </c>
      <c r="K90" s="17">
        <v>4500000384</v>
      </c>
      <c r="L90" s="17" t="s">
        <v>31</v>
      </c>
    </row>
    <row r="91" spans="1:12" x14ac:dyDescent="0.25">
      <c r="A91" s="28">
        <v>46061</v>
      </c>
      <c r="B91" s="17" t="s">
        <v>70</v>
      </c>
      <c r="C91" s="63">
        <v>1149</v>
      </c>
      <c r="D91" s="63">
        <v>45</v>
      </c>
      <c r="E91" s="63"/>
      <c r="F91" s="63"/>
      <c r="G91" s="63">
        <v>4.2</v>
      </c>
      <c r="H91" s="64">
        <f>Table3[[#This Row],[Weight MT]]*100</f>
        <v>420</v>
      </c>
      <c r="I91" s="17">
        <v>1000000040</v>
      </c>
      <c r="J91" s="17" t="s">
        <v>17</v>
      </c>
      <c r="K91" s="17">
        <v>4500000384</v>
      </c>
      <c r="L91" s="17" t="s">
        <v>31</v>
      </c>
    </row>
    <row r="92" spans="1:12" x14ac:dyDescent="0.25">
      <c r="A92" s="28">
        <v>46061</v>
      </c>
      <c r="B92" s="17" t="s">
        <v>70</v>
      </c>
      <c r="C92" s="63">
        <v>39157</v>
      </c>
      <c r="D92" s="63">
        <v>100</v>
      </c>
      <c r="E92" s="63"/>
      <c r="F92" s="63"/>
      <c r="G92" s="63">
        <v>9.44</v>
      </c>
      <c r="H92" s="64">
        <f>Table3[[#This Row],[Weight MT]]*100</f>
        <v>944</v>
      </c>
      <c r="I92" s="17">
        <v>1000000040</v>
      </c>
      <c r="J92" s="17" t="s">
        <v>17</v>
      </c>
      <c r="K92" s="17">
        <v>4500000384</v>
      </c>
      <c r="L92" s="17" t="s">
        <v>31</v>
      </c>
    </row>
    <row r="93" spans="1:12" x14ac:dyDescent="0.25">
      <c r="A93" s="28">
        <v>46061</v>
      </c>
      <c r="B93" s="17" t="s">
        <v>70</v>
      </c>
      <c r="C93" s="63">
        <v>264</v>
      </c>
      <c r="D93" s="63">
        <v>80</v>
      </c>
      <c r="E93" s="63"/>
      <c r="F93" s="63"/>
      <c r="G93" s="63">
        <v>7.52</v>
      </c>
      <c r="H93" s="64">
        <f>Table3[[#This Row],[Weight MT]]*100</f>
        <v>752</v>
      </c>
      <c r="I93" s="17">
        <v>1000000040</v>
      </c>
      <c r="J93" s="17" t="s">
        <v>17</v>
      </c>
      <c r="K93" s="17">
        <v>4500000384</v>
      </c>
      <c r="L93" s="17" t="s">
        <v>31</v>
      </c>
    </row>
    <row r="94" spans="1:12" x14ac:dyDescent="0.25">
      <c r="A94" s="28">
        <v>46061</v>
      </c>
      <c r="B94" s="17" t="s">
        <v>70</v>
      </c>
      <c r="C94" s="63">
        <v>467</v>
      </c>
      <c r="D94" s="63">
        <v>80</v>
      </c>
      <c r="E94" s="63"/>
      <c r="F94" s="63"/>
      <c r="G94" s="63">
        <v>7.58</v>
      </c>
      <c r="H94" s="64">
        <f>Table3[[#This Row],[Weight MT]]*100</f>
        <v>758</v>
      </c>
      <c r="I94" s="17">
        <v>1000000040</v>
      </c>
      <c r="J94" s="17" t="s">
        <v>17</v>
      </c>
      <c r="K94" s="17">
        <v>4500000384</v>
      </c>
      <c r="L94" s="17" t="s">
        <v>31</v>
      </c>
    </row>
    <row r="95" spans="1:12" x14ac:dyDescent="0.25">
      <c r="A95" s="28">
        <v>46061</v>
      </c>
      <c r="B95" s="17" t="s">
        <v>70</v>
      </c>
      <c r="C95" s="63">
        <v>772</v>
      </c>
      <c r="D95" s="63">
        <v>80</v>
      </c>
      <c r="E95" s="63"/>
      <c r="F95" s="63"/>
      <c r="G95" s="63">
        <v>7.54</v>
      </c>
      <c r="H95" s="64">
        <f>Table3[[#This Row],[Weight MT]]*100</f>
        <v>754</v>
      </c>
      <c r="I95" s="17">
        <v>1000000040</v>
      </c>
      <c r="J95" s="17" t="s">
        <v>17</v>
      </c>
      <c r="K95" s="17">
        <v>4500000384</v>
      </c>
      <c r="L95" s="17" t="s">
        <v>31</v>
      </c>
    </row>
    <row r="96" spans="1:12" x14ac:dyDescent="0.25">
      <c r="A96" s="28">
        <v>46061</v>
      </c>
      <c r="B96" s="17" t="s">
        <v>70</v>
      </c>
      <c r="C96" s="63">
        <v>4041</v>
      </c>
      <c r="D96" s="63">
        <v>10</v>
      </c>
      <c r="E96" s="63"/>
      <c r="F96" s="63"/>
      <c r="G96" s="63">
        <v>0.9</v>
      </c>
      <c r="H96" s="64">
        <f>Table3[[#This Row],[Weight MT]]*100</f>
        <v>90</v>
      </c>
      <c r="I96" s="17">
        <v>1000000040</v>
      </c>
      <c r="J96" s="17" t="s">
        <v>17</v>
      </c>
      <c r="K96" s="17">
        <v>4500000384</v>
      </c>
      <c r="L96" s="17" t="s">
        <v>31</v>
      </c>
    </row>
    <row r="97" spans="1:12" x14ac:dyDescent="0.25">
      <c r="A97" s="28">
        <v>46061</v>
      </c>
      <c r="B97" s="17" t="s">
        <v>70</v>
      </c>
      <c r="C97" s="63">
        <v>4546</v>
      </c>
      <c r="D97" s="63">
        <v>11</v>
      </c>
      <c r="E97" s="63"/>
      <c r="F97" s="63"/>
      <c r="G97" s="63">
        <v>1</v>
      </c>
      <c r="H97" s="64">
        <f>Table3[[#This Row],[Weight MT]]*100</f>
        <v>100</v>
      </c>
      <c r="I97" s="17">
        <v>1000000040</v>
      </c>
      <c r="J97" s="17" t="s">
        <v>17</v>
      </c>
      <c r="K97" s="17">
        <v>4500000384</v>
      </c>
      <c r="L97" s="17" t="s">
        <v>31</v>
      </c>
    </row>
    <row r="98" spans="1:12" x14ac:dyDescent="0.25">
      <c r="A98" s="28">
        <v>46063</v>
      </c>
      <c r="B98" s="17" t="s">
        <v>70</v>
      </c>
      <c r="C98" s="63">
        <v>9373</v>
      </c>
      <c r="D98" s="63">
        <v>80</v>
      </c>
      <c r="E98" s="63"/>
      <c r="F98" s="63"/>
      <c r="G98" s="63">
        <v>7.6</v>
      </c>
      <c r="H98" s="64">
        <f>Table3[[#This Row],[Weight MT]]*100</f>
        <v>760</v>
      </c>
      <c r="I98" s="17">
        <v>1000000040</v>
      </c>
      <c r="J98" s="17" t="s">
        <v>17</v>
      </c>
      <c r="K98" s="17">
        <v>4500000384</v>
      </c>
      <c r="L98" s="17" t="s">
        <v>31</v>
      </c>
    </row>
    <row r="99" spans="1:12" x14ac:dyDescent="0.25">
      <c r="A99" s="28">
        <v>46063</v>
      </c>
      <c r="B99" s="17" t="s">
        <v>70</v>
      </c>
      <c r="C99" s="63">
        <v>516</v>
      </c>
      <c r="D99" s="63">
        <v>80</v>
      </c>
      <c r="E99" s="63"/>
      <c r="F99" s="63"/>
      <c r="G99" s="63">
        <v>7.58</v>
      </c>
      <c r="H99" s="64">
        <f>Table3[[#This Row],[Weight MT]]*100</f>
        <v>758</v>
      </c>
      <c r="I99" s="17">
        <v>1000000040</v>
      </c>
      <c r="J99" s="17" t="s">
        <v>17</v>
      </c>
      <c r="K99" s="17">
        <v>4500000384</v>
      </c>
      <c r="L99" s="17" t="s">
        <v>31</v>
      </c>
    </row>
    <row r="100" spans="1:12" x14ac:dyDescent="0.25">
      <c r="A100" s="28">
        <v>46063</v>
      </c>
      <c r="B100" s="17" t="s">
        <v>70</v>
      </c>
      <c r="C100" s="63">
        <v>714</v>
      </c>
      <c r="D100" s="63">
        <v>100</v>
      </c>
      <c r="E100" s="63"/>
      <c r="F100" s="63"/>
      <c r="G100" s="63">
        <v>9.6</v>
      </c>
      <c r="H100" s="64">
        <f>Table3[[#This Row],[Weight MT]]*100</f>
        <v>960</v>
      </c>
      <c r="I100" s="17">
        <v>1000000040</v>
      </c>
      <c r="J100" s="17" t="s">
        <v>17</v>
      </c>
      <c r="K100" s="17">
        <v>4500000384</v>
      </c>
      <c r="L100" s="17" t="s">
        <v>31</v>
      </c>
    </row>
    <row r="101" spans="1:12" x14ac:dyDescent="0.25">
      <c r="A101" s="28">
        <v>46063</v>
      </c>
      <c r="B101" s="17" t="s">
        <v>70</v>
      </c>
      <c r="C101" s="63">
        <v>70579</v>
      </c>
      <c r="D101" s="63">
        <v>80</v>
      </c>
      <c r="E101" s="63"/>
      <c r="F101" s="63"/>
      <c r="G101" s="63">
        <v>7.66</v>
      </c>
      <c r="H101" s="64">
        <f>Table3[[#This Row],[Weight MT]]*100</f>
        <v>766</v>
      </c>
      <c r="I101" s="17">
        <v>1000000040</v>
      </c>
      <c r="J101" s="17" t="s">
        <v>17</v>
      </c>
      <c r="K101" s="17">
        <v>4500000384</v>
      </c>
      <c r="L101" s="17" t="s">
        <v>31</v>
      </c>
    </row>
    <row r="102" spans="1:12" x14ac:dyDescent="0.25">
      <c r="A102" s="28">
        <v>46063</v>
      </c>
      <c r="B102" s="17" t="s">
        <v>70</v>
      </c>
      <c r="C102" s="63">
        <v>60</v>
      </c>
      <c r="D102" s="63">
        <v>80</v>
      </c>
      <c r="E102" s="63"/>
      <c r="F102" s="63"/>
      <c r="G102" s="63">
        <v>7.56</v>
      </c>
      <c r="H102" s="64">
        <f>Table3[[#This Row],[Weight MT]]*100</f>
        <v>756</v>
      </c>
      <c r="I102" s="17">
        <v>1000000040</v>
      </c>
      <c r="J102" s="17" t="s">
        <v>17</v>
      </c>
      <c r="K102" s="17">
        <v>4500000384</v>
      </c>
      <c r="L102" s="17" t="s">
        <v>31</v>
      </c>
    </row>
    <row r="103" spans="1:12" x14ac:dyDescent="0.25">
      <c r="A103" s="28">
        <v>46063</v>
      </c>
      <c r="B103" s="17" t="s">
        <v>70</v>
      </c>
      <c r="C103" s="63">
        <v>1366</v>
      </c>
      <c r="D103" s="63">
        <v>80</v>
      </c>
      <c r="E103" s="63"/>
      <c r="F103" s="63"/>
      <c r="G103" s="63">
        <v>7.6</v>
      </c>
      <c r="H103" s="64">
        <f>Table3[[#This Row],[Weight MT]]*100</f>
        <v>760</v>
      </c>
      <c r="I103" s="17">
        <v>1000000040</v>
      </c>
      <c r="J103" s="17" t="s">
        <v>17</v>
      </c>
      <c r="K103" s="17">
        <v>4500000384</v>
      </c>
      <c r="L103" s="17" t="s">
        <v>31</v>
      </c>
    </row>
    <row r="104" spans="1:12" x14ac:dyDescent="0.25">
      <c r="A104" s="28">
        <v>46063</v>
      </c>
      <c r="B104" s="17" t="s">
        <v>70</v>
      </c>
      <c r="C104" s="63">
        <v>605</v>
      </c>
      <c r="D104" s="63">
        <v>80</v>
      </c>
      <c r="E104" s="63"/>
      <c r="F104" s="63"/>
      <c r="G104" s="63">
        <v>7.66</v>
      </c>
      <c r="H104" s="64">
        <f>Table3[[#This Row],[Weight MT]]*100</f>
        <v>766</v>
      </c>
      <c r="I104" s="17">
        <v>1000000040</v>
      </c>
      <c r="J104" s="17" t="s">
        <v>17</v>
      </c>
      <c r="K104" s="17">
        <v>4500000384</v>
      </c>
      <c r="L104" s="17" t="s">
        <v>31</v>
      </c>
    </row>
    <row r="105" spans="1:12" x14ac:dyDescent="0.25">
      <c r="A105" s="28">
        <v>46063</v>
      </c>
      <c r="B105" s="17" t="s">
        <v>70</v>
      </c>
      <c r="C105" s="63">
        <v>1398</v>
      </c>
      <c r="D105" s="63">
        <v>80</v>
      </c>
      <c r="E105" s="63"/>
      <c r="F105" s="63"/>
      <c r="G105" s="63">
        <v>7.6</v>
      </c>
      <c r="H105" s="64">
        <f>Table3[[#This Row],[Weight MT]]*100</f>
        <v>760</v>
      </c>
      <c r="I105" s="17">
        <v>1000000040</v>
      </c>
      <c r="J105" s="17" t="s">
        <v>17</v>
      </c>
      <c r="K105" s="17">
        <v>4500000384</v>
      </c>
      <c r="L105" s="17" t="s">
        <v>31</v>
      </c>
    </row>
    <row r="106" spans="1:12" x14ac:dyDescent="0.25">
      <c r="A106" s="28">
        <v>46063</v>
      </c>
      <c r="B106" s="17" t="s">
        <v>70</v>
      </c>
      <c r="C106" s="63">
        <v>535</v>
      </c>
      <c r="D106" s="63">
        <v>100</v>
      </c>
      <c r="E106" s="63"/>
      <c r="F106" s="63"/>
      <c r="G106" s="63">
        <v>9.48</v>
      </c>
      <c r="H106" s="64">
        <f>Table3[[#This Row],[Weight MT]]*100</f>
        <v>948</v>
      </c>
      <c r="I106" s="17">
        <v>1000000040</v>
      </c>
      <c r="J106" s="17" t="s">
        <v>17</v>
      </c>
      <c r="K106" s="17">
        <v>4500000384</v>
      </c>
      <c r="L106" s="17" t="s">
        <v>31</v>
      </c>
    </row>
    <row r="107" spans="1:12" x14ac:dyDescent="0.25">
      <c r="A107" s="28">
        <v>46063</v>
      </c>
      <c r="B107" s="17" t="s">
        <v>70</v>
      </c>
      <c r="C107" s="63">
        <v>938</v>
      </c>
      <c r="D107" s="63">
        <v>80</v>
      </c>
      <c r="E107" s="63"/>
      <c r="F107" s="63"/>
      <c r="G107" s="63">
        <v>7.66</v>
      </c>
      <c r="H107" s="64">
        <f>Table3[[#This Row],[Weight MT]]*100</f>
        <v>766</v>
      </c>
      <c r="I107" s="17">
        <v>1000000040</v>
      </c>
      <c r="J107" s="17" t="s">
        <v>17</v>
      </c>
      <c r="K107" s="17">
        <v>4500000384</v>
      </c>
      <c r="L107" s="17" t="s">
        <v>31</v>
      </c>
    </row>
    <row r="108" spans="1:12" x14ac:dyDescent="0.25">
      <c r="A108" s="28">
        <v>46063</v>
      </c>
      <c r="B108" s="17" t="s">
        <v>70</v>
      </c>
      <c r="C108" s="63">
        <v>1194</v>
      </c>
      <c r="D108" s="63">
        <v>80</v>
      </c>
      <c r="E108" s="63"/>
      <c r="F108" s="63"/>
      <c r="G108" s="63">
        <v>7.7</v>
      </c>
      <c r="H108" s="64">
        <f>Table3[[#This Row],[Weight MT]]*100</f>
        <v>770</v>
      </c>
      <c r="I108" s="17">
        <v>1000000040</v>
      </c>
      <c r="J108" s="17" t="s">
        <v>17</v>
      </c>
      <c r="K108" s="17">
        <v>4500000384</v>
      </c>
      <c r="L108" s="17" t="s">
        <v>31</v>
      </c>
    </row>
    <row r="109" spans="1:12" x14ac:dyDescent="0.25">
      <c r="A109" s="28">
        <v>46063</v>
      </c>
      <c r="B109" s="17" t="s">
        <v>70</v>
      </c>
      <c r="C109" s="63">
        <v>343</v>
      </c>
      <c r="D109" s="63">
        <v>90</v>
      </c>
      <c r="E109" s="63"/>
      <c r="F109" s="63"/>
      <c r="G109" s="63">
        <v>8.4600000000000009</v>
      </c>
      <c r="H109" s="64">
        <f>Table3[[#This Row],[Weight MT]]*100</f>
        <v>846.00000000000011</v>
      </c>
      <c r="I109" s="17">
        <v>1000000040</v>
      </c>
      <c r="J109" s="17" t="s">
        <v>17</v>
      </c>
      <c r="K109" s="17">
        <v>4500000384</v>
      </c>
      <c r="L109" s="17" t="s">
        <v>31</v>
      </c>
    </row>
    <row r="110" spans="1:12" x14ac:dyDescent="0.25">
      <c r="A110" s="28">
        <v>46063</v>
      </c>
      <c r="B110" s="17" t="s">
        <v>70</v>
      </c>
      <c r="C110" s="63">
        <v>1012</v>
      </c>
      <c r="D110" s="63">
        <v>90</v>
      </c>
      <c r="E110" s="63"/>
      <c r="F110" s="63"/>
      <c r="G110" s="63">
        <v>8.5</v>
      </c>
      <c r="H110" s="64">
        <f>Table3[[#This Row],[Weight MT]]*100</f>
        <v>850</v>
      </c>
      <c r="I110" s="17">
        <v>1000000040</v>
      </c>
      <c r="J110" s="17" t="s">
        <v>17</v>
      </c>
      <c r="K110" s="17">
        <v>4500000384</v>
      </c>
      <c r="L110" s="17" t="s">
        <v>31</v>
      </c>
    </row>
    <row r="111" spans="1:12" x14ac:dyDescent="0.25">
      <c r="A111" s="28">
        <v>46063</v>
      </c>
      <c r="B111" s="17" t="s">
        <v>70</v>
      </c>
      <c r="C111" s="63">
        <v>714</v>
      </c>
      <c r="D111" s="63">
        <v>100</v>
      </c>
      <c r="E111" s="63"/>
      <c r="F111" s="63"/>
      <c r="G111" s="63">
        <v>9.4</v>
      </c>
      <c r="H111" s="64">
        <f>Table3[[#This Row],[Weight MT]]*100</f>
        <v>940</v>
      </c>
      <c r="I111" s="17">
        <v>1000000040</v>
      </c>
      <c r="J111" s="17" t="s">
        <v>17</v>
      </c>
      <c r="K111" s="17">
        <v>4500000384</v>
      </c>
      <c r="L111" s="17" t="s">
        <v>31</v>
      </c>
    </row>
    <row r="112" spans="1:12" x14ac:dyDescent="0.25">
      <c r="A112" s="28">
        <v>46064</v>
      </c>
      <c r="B112" s="17" t="s">
        <v>70</v>
      </c>
      <c r="C112" s="63">
        <v>41109</v>
      </c>
      <c r="D112" s="63">
        <v>90</v>
      </c>
      <c r="E112" s="63"/>
      <c r="F112" s="63"/>
      <c r="G112" s="63">
        <v>7.76</v>
      </c>
      <c r="H112" s="64">
        <f>Table3[[#This Row],[Weight MT]]*100</f>
        <v>776</v>
      </c>
      <c r="I112" s="17">
        <v>1000000040</v>
      </c>
      <c r="J112" s="17" t="s">
        <v>17</v>
      </c>
      <c r="K112" s="17">
        <v>4500000384</v>
      </c>
      <c r="L112" s="17" t="s">
        <v>31</v>
      </c>
    </row>
    <row r="113" spans="1:12" x14ac:dyDescent="0.25">
      <c r="A113" s="28">
        <v>46064</v>
      </c>
      <c r="B113" s="17" t="s">
        <v>70</v>
      </c>
      <c r="C113" s="63">
        <v>264</v>
      </c>
      <c r="D113" s="63">
        <v>80</v>
      </c>
      <c r="E113" s="63"/>
      <c r="F113" s="63"/>
      <c r="G113" s="63">
        <v>7.04</v>
      </c>
      <c r="H113" s="64">
        <f>Table3[[#This Row],[Weight MT]]*100</f>
        <v>704</v>
      </c>
      <c r="I113" s="17">
        <v>1000000040</v>
      </c>
      <c r="J113" s="17" t="s">
        <v>17</v>
      </c>
      <c r="K113" s="17">
        <v>4500000384</v>
      </c>
      <c r="L113" s="17" t="s">
        <v>31</v>
      </c>
    </row>
    <row r="114" spans="1:12" x14ac:dyDescent="0.25">
      <c r="A114" s="28">
        <v>46064</v>
      </c>
      <c r="B114" s="17" t="s">
        <v>70</v>
      </c>
      <c r="C114" s="63">
        <v>423</v>
      </c>
      <c r="D114" s="63">
        <v>80</v>
      </c>
      <c r="E114" s="63"/>
      <c r="F114" s="63"/>
      <c r="G114" s="63">
        <v>7.1</v>
      </c>
      <c r="H114" s="64">
        <f>Table3[[#This Row],[Weight MT]]*100</f>
        <v>710</v>
      </c>
      <c r="I114" s="17">
        <v>1000000040</v>
      </c>
      <c r="J114" s="17" t="s">
        <v>17</v>
      </c>
      <c r="K114" s="17">
        <v>4500000384</v>
      </c>
      <c r="L114" s="17" t="s">
        <v>31</v>
      </c>
    </row>
    <row r="115" spans="1:12" x14ac:dyDescent="0.25">
      <c r="A115" s="28">
        <v>46064</v>
      </c>
      <c r="B115" s="17" t="s">
        <v>70</v>
      </c>
      <c r="C115" s="63">
        <v>1112</v>
      </c>
      <c r="D115" s="63">
        <v>80</v>
      </c>
      <c r="E115" s="63"/>
      <c r="F115" s="63"/>
      <c r="G115" s="63">
        <v>6.84</v>
      </c>
      <c r="H115" s="64">
        <f>Table3[[#This Row],[Weight MT]]*100</f>
        <v>684</v>
      </c>
      <c r="I115" s="17">
        <v>1000000040</v>
      </c>
      <c r="J115" s="17" t="s">
        <v>17</v>
      </c>
      <c r="K115" s="17">
        <v>4500000384</v>
      </c>
      <c r="L115" s="17" t="s">
        <v>31</v>
      </c>
    </row>
    <row r="116" spans="1:12" x14ac:dyDescent="0.25">
      <c r="A116" s="28">
        <v>46064</v>
      </c>
      <c r="B116" s="17" t="s">
        <v>70</v>
      </c>
      <c r="C116" s="63">
        <v>714</v>
      </c>
      <c r="D116" s="63">
        <v>80</v>
      </c>
      <c r="E116" s="63"/>
      <c r="F116" s="63"/>
      <c r="G116" s="63">
        <v>6.92</v>
      </c>
      <c r="H116" s="64">
        <f>Table3[[#This Row],[Weight MT]]*100</f>
        <v>692</v>
      </c>
      <c r="I116" s="17">
        <v>1000000040</v>
      </c>
      <c r="J116" s="17" t="s">
        <v>17</v>
      </c>
      <c r="K116" s="17">
        <v>4500000384</v>
      </c>
      <c r="L116" s="17" t="s">
        <v>31</v>
      </c>
    </row>
    <row r="117" spans="1:12" x14ac:dyDescent="0.25">
      <c r="A117" s="28">
        <v>46064</v>
      </c>
      <c r="B117" s="17" t="s">
        <v>70</v>
      </c>
      <c r="C117" s="63">
        <v>717</v>
      </c>
      <c r="D117" s="63">
        <v>80</v>
      </c>
      <c r="E117" s="63"/>
      <c r="F117" s="63"/>
      <c r="G117" s="63">
        <v>6.84</v>
      </c>
      <c r="H117" s="64">
        <f>Table3[[#This Row],[Weight MT]]*100</f>
        <v>684</v>
      </c>
      <c r="I117" s="17">
        <v>1000000040</v>
      </c>
      <c r="J117" s="17" t="s">
        <v>17</v>
      </c>
      <c r="K117" s="17">
        <v>4500000384</v>
      </c>
      <c r="L117" s="17" t="s">
        <v>31</v>
      </c>
    </row>
    <row r="118" spans="1:12" x14ac:dyDescent="0.25">
      <c r="A118" s="28">
        <v>46064</v>
      </c>
      <c r="B118" s="17" t="s">
        <v>70</v>
      </c>
      <c r="C118" s="63">
        <v>41109</v>
      </c>
      <c r="D118" s="63">
        <v>80</v>
      </c>
      <c r="E118" s="63"/>
      <c r="F118" s="63"/>
      <c r="G118" s="63">
        <v>6.86</v>
      </c>
      <c r="H118" s="64">
        <f>Table3[[#This Row],[Weight MT]]*100</f>
        <v>686</v>
      </c>
      <c r="I118" s="17">
        <v>1000000040</v>
      </c>
      <c r="J118" s="17" t="s">
        <v>17</v>
      </c>
      <c r="K118" s="17">
        <v>4500000384</v>
      </c>
      <c r="L118" s="17" t="s">
        <v>31</v>
      </c>
    </row>
    <row r="119" spans="1:12" x14ac:dyDescent="0.25">
      <c r="A119" s="28">
        <v>46064</v>
      </c>
      <c r="B119" s="17" t="s">
        <v>70</v>
      </c>
      <c r="C119" s="63">
        <v>1802</v>
      </c>
      <c r="D119" s="63">
        <v>80</v>
      </c>
      <c r="E119" s="63"/>
      <c r="F119" s="63"/>
      <c r="G119" s="63">
        <v>6.86</v>
      </c>
      <c r="H119" s="64">
        <f>Table3[[#This Row],[Weight MT]]*100</f>
        <v>686</v>
      </c>
      <c r="I119" s="17">
        <v>1000000040</v>
      </c>
      <c r="J119" s="17" t="s">
        <v>17</v>
      </c>
      <c r="K119" s="17">
        <v>4500000384</v>
      </c>
      <c r="L119" s="17" t="s">
        <v>31</v>
      </c>
    </row>
    <row r="120" spans="1:12" x14ac:dyDescent="0.25">
      <c r="A120" s="28">
        <v>46064</v>
      </c>
      <c r="B120" s="17" t="s">
        <v>70</v>
      </c>
      <c r="C120" s="63">
        <v>915</v>
      </c>
      <c r="D120" s="63">
        <v>80</v>
      </c>
      <c r="E120" s="63"/>
      <c r="F120" s="63"/>
      <c r="G120" s="63">
        <v>6.5</v>
      </c>
      <c r="H120" s="64">
        <f>Table3[[#This Row],[Weight MT]]*100</f>
        <v>650</v>
      </c>
      <c r="I120" s="17">
        <v>1000000040</v>
      </c>
      <c r="J120" s="17" t="s">
        <v>17</v>
      </c>
      <c r="K120" s="17">
        <v>4500000384</v>
      </c>
      <c r="L120" s="17" t="s">
        <v>31</v>
      </c>
    </row>
    <row r="121" spans="1:12" x14ac:dyDescent="0.25">
      <c r="A121" s="28">
        <v>46064</v>
      </c>
      <c r="B121" s="17" t="s">
        <v>70</v>
      </c>
      <c r="C121" s="63">
        <v>264</v>
      </c>
      <c r="D121" s="63">
        <v>80</v>
      </c>
      <c r="E121" s="63"/>
      <c r="F121" s="63"/>
      <c r="G121" s="63">
        <v>6.96</v>
      </c>
      <c r="H121" s="64">
        <f>Table3[[#This Row],[Weight MT]]*100</f>
        <v>696</v>
      </c>
      <c r="I121" s="17">
        <v>1000000040</v>
      </c>
      <c r="J121" s="17" t="s">
        <v>17</v>
      </c>
      <c r="K121" s="17">
        <v>4500000384</v>
      </c>
      <c r="L121" s="17" t="s">
        <v>31</v>
      </c>
    </row>
    <row r="122" spans="1:12" x14ac:dyDescent="0.25">
      <c r="A122" s="28">
        <v>46064</v>
      </c>
      <c r="B122" s="17" t="s">
        <v>70</v>
      </c>
      <c r="C122" s="63">
        <v>423</v>
      </c>
      <c r="D122" s="63">
        <v>80</v>
      </c>
      <c r="E122" s="63"/>
      <c r="F122" s="63"/>
      <c r="G122" s="63">
        <v>6.9</v>
      </c>
      <c r="H122" s="64">
        <f>Table3[[#This Row],[Weight MT]]*100</f>
        <v>690</v>
      </c>
      <c r="I122" s="17">
        <v>1000000040</v>
      </c>
      <c r="J122" s="17" t="s">
        <v>17</v>
      </c>
      <c r="K122" s="17">
        <v>4500000384</v>
      </c>
      <c r="L122" s="17" t="s">
        <v>31</v>
      </c>
    </row>
    <row r="123" spans="1:12" x14ac:dyDescent="0.25">
      <c r="A123" s="28">
        <v>46064</v>
      </c>
      <c r="B123" s="17" t="s">
        <v>70</v>
      </c>
      <c r="C123" s="63">
        <v>714</v>
      </c>
      <c r="D123" s="63">
        <v>80</v>
      </c>
      <c r="E123" s="63"/>
      <c r="F123" s="63"/>
      <c r="G123" s="63">
        <v>6.98</v>
      </c>
      <c r="H123" s="64">
        <f>Table3[[#This Row],[Weight MT]]*100</f>
        <v>698</v>
      </c>
      <c r="I123" s="17">
        <v>1000000040</v>
      </c>
      <c r="J123" s="17" t="s">
        <v>17</v>
      </c>
      <c r="K123" s="17">
        <v>4500000384</v>
      </c>
      <c r="L123" s="17" t="s">
        <v>31</v>
      </c>
    </row>
    <row r="124" spans="1:12" x14ac:dyDescent="0.25">
      <c r="A124" s="28">
        <v>46064</v>
      </c>
      <c r="B124" s="17" t="s">
        <v>70</v>
      </c>
      <c r="C124" s="63">
        <v>1112</v>
      </c>
      <c r="D124" s="63">
        <v>80</v>
      </c>
      <c r="E124" s="63"/>
      <c r="F124" s="63"/>
      <c r="G124" s="63">
        <v>6.96</v>
      </c>
      <c r="H124" s="64">
        <f>Table3[[#This Row],[Weight MT]]*100</f>
        <v>696</v>
      </c>
      <c r="I124" s="17">
        <v>1000000040</v>
      </c>
      <c r="J124" s="17" t="s">
        <v>17</v>
      </c>
      <c r="K124" s="17">
        <v>4500000384</v>
      </c>
      <c r="L124" s="17" t="s">
        <v>31</v>
      </c>
    </row>
    <row r="125" spans="1:12" x14ac:dyDescent="0.25">
      <c r="A125" s="28">
        <v>46069</v>
      </c>
      <c r="B125" s="17" t="s">
        <v>70</v>
      </c>
      <c r="C125" s="63">
        <v>1110</v>
      </c>
      <c r="D125" s="63">
        <v>80</v>
      </c>
      <c r="E125" s="63"/>
      <c r="F125" s="63"/>
      <c r="G125" s="63">
        <v>6.92</v>
      </c>
      <c r="H125" s="64">
        <f>Table3[[#This Row],[Weight MT]]*100</f>
        <v>692</v>
      </c>
      <c r="I125" s="17">
        <v>1000000040</v>
      </c>
      <c r="J125" s="17" t="s">
        <v>17</v>
      </c>
      <c r="K125" s="17">
        <v>4500000384</v>
      </c>
      <c r="L125" s="17" t="s">
        <v>31</v>
      </c>
    </row>
    <row r="126" spans="1:12" x14ac:dyDescent="0.25">
      <c r="A126" s="28">
        <v>46069</v>
      </c>
      <c r="B126" s="17" t="s">
        <v>70</v>
      </c>
      <c r="C126" s="63">
        <v>915</v>
      </c>
      <c r="D126" s="63">
        <v>80</v>
      </c>
      <c r="E126" s="63"/>
      <c r="F126" s="63"/>
      <c r="G126" s="63">
        <v>6.98</v>
      </c>
      <c r="H126" s="64">
        <f>Table3[[#This Row],[Weight MT]]*100</f>
        <v>698</v>
      </c>
      <c r="I126" s="17">
        <v>1000000040</v>
      </c>
      <c r="J126" s="17" t="s">
        <v>17</v>
      </c>
      <c r="K126" s="17">
        <v>4500000384</v>
      </c>
      <c r="L126" s="17" t="s">
        <v>31</v>
      </c>
    </row>
    <row r="127" spans="1:12" x14ac:dyDescent="0.25">
      <c r="A127" s="28">
        <v>46069</v>
      </c>
      <c r="B127" s="17" t="s">
        <v>70</v>
      </c>
      <c r="C127" s="63">
        <v>1194</v>
      </c>
      <c r="D127" s="63">
        <v>80</v>
      </c>
      <c r="E127" s="63"/>
      <c r="F127" s="63"/>
      <c r="G127" s="63">
        <v>6.96</v>
      </c>
      <c r="H127" s="64">
        <f>Table3[[#This Row],[Weight MT]]*100</f>
        <v>696</v>
      </c>
      <c r="I127" s="17">
        <v>1000000040</v>
      </c>
      <c r="J127" s="17" t="s">
        <v>17</v>
      </c>
      <c r="K127" s="17">
        <v>4500000384</v>
      </c>
      <c r="L127" s="17" t="s">
        <v>31</v>
      </c>
    </row>
    <row r="128" spans="1:12" x14ac:dyDescent="0.25">
      <c r="A128" s="28">
        <v>46069</v>
      </c>
      <c r="B128" s="17" t="s">
        <v>70</v>
      </c>
      <c r="C128" s="63">
        <v>737</v>
      </c>
      <c r="D128" s="63">
        <v>80</v>
      </c>
      <c r="E128" s="63"/>
      <c r="F128" s="63"/>
      <c r="G128" s="63">
        <v>7.18</v>
      </c>
      <c r="H128" s="64">
        <f>Table3[[#This Row],[Weight MT]]*100</f>
        <v>718</v>
      </c>
      <c r="I128" s="17">
        <v>1000000040</v>
      </c>
      <c r="J128" s="17" t="s">
        <v>17</v>
      </c>
      <c r="K128" s="17">
        <v>4500000384</v>
      </c>
      <c r="L128" s="17" t="s">
        <v>31</v>
      </c>
    </row>
    <row r="129" spans="1:12" x14ac:dyDescent="0.25">
      <c r="A129" s="28">
        <v>46069</v>
      </c>
      <c r="B129" s="17" t="s">
        <v>70</v>
      </c>
      <c r="C129" s="63">
        <v>1056</v>
      </c>
      <c r="D129" s="63">
        <v>80</v>
      </c>
      <c r="E129" s="63"/>
      <c r="F129" s="63"/>
      <c r="G129" s="63">
        <v>7</v>
      </c>
      <c r="H129" s="64">
        <f>Table3[[#This Row],[Weight MT]]*100</f>
        <v>700</v>
      </c>
      <c r="I129" s="17">
        <v>1000000040</v>
      </c>
      <c r="J129" s="17" t="s">
        <v>17</v>
      </c>
      <c r="K129" s="17">
        <v>4500000384</v>
      </c>
      <c r="L129" s="17" t="s">
        <v>31</v>
      </c>
    </row>
    <row r="130" spans="1:12" x14ac:dyDescent="0.25">
      <c r="A130" s="28">
        <v>46069</v>
      </c>
      <c r="B130" s="17" t="s">
        <v>70</v>
      </c>
      <c r="C130" s="63">
        <v>1471</v>
      </c>
      <c r="D130" s="63">
        <v>80</v>
      </c>
      <c r="E130" s="63"/>
      <c r="F130" s="63"/>
      <c r="G130" s="63">
        <v>7.08</v>
      </c>
      <c r="H130" s="64">
        <f>Table3[[#This Row],[Weight MT]]*100</f>
        <v>708</v>
      </c>
      <c r="I130" s="17">
        <v>1000000040</v>
      </c>
      <c r="J130" s="17" t="s">
        <v>17</v>
      </c>
      <c r="K130" s="17">
        <v>4500000384</v>
      </c>
      <c r="L130" s="17" t="s">
        <v>31</v>
      </c>
    </row>
    <row r="131" spans="1:12" x14ac:dyDescent="0.25">
      <c r="A131" s="28">
        <v>46069</v>
      </c>
      <c r="B131" s="17" t="s">
        <v>70</v>
      </c>
      <c r="C131" s="63">
        <v>737</v>
      </c>
      <c r="D131" s="63">
        <v>80</v>
      </c>
      <c r="E131" s="63"/>
      <c r="F131" s="63"/>
      <c r="G131" s="63">
        <v>7.04</v>
      </c>
      <c r="H131" s="64">
        <f>Table3[[#This Row],[Weight MT]]*100</f>
        <v>704</v>
      </c>
      <c r="I131" s="17">
        <v>1000000040</v>
      </c>
      <c r="J131" s="17" t="s">
        <v>17</v>
      </c>
      <c r="K131" s="17">
        <v>4500000384</v>
      </c>
      <c r="L131" s="17" t="s">
        <v>31</v>
      </c>
    </row>
    <row r="132" spans="1:12" x14ac:dyDescent="0.25">
      <c r="A132" s="28">
        <v>46069</v>
      </c>
      <c r="B132" s="17" t="s">
        <v>70</v>
      </c>
      <c r="C132" s="63">
        <v>1056</v>
      </c>
      <c r="D132" s="63">
        <v>88</v>
      </c>
      <c r="E132" s="63"/>
      <c r="F132" s="63"/>
      <c r="G132" s="63">
        <v>7.74</v>
      </c>
      <c r="H132" s="64">
        <f>Table3[[#This Row],[Weight MT]]*100</f>
        <v>774</v>
      </c>
      <c r="I132" s="17">
        <v>1000000040</v>
      </c>
      <c r="J132" s="17" t="s">
        <v>17</v>
      </c>
      <c r="K132" s="17">
        <v>4500000384</v>
      </c>
      <c r="L132" s="17" t="s">
        <v>31</v>
      </c>
    </row>
    <row r="133" spans="1:12" x14ac:dyDescent="0.25">
      <c r="A133" s="81">
        <v>46111</v>
      </c>
      <c r="B133" s="17" t="s">
        <v>70</v>
      </c>
      <c r="C133" s="63">
        <v>62023</v>
      </c>
      <c r="D133" s="63">
        <v>97</v>
      </c>
      <c r="E133" s="63"/>
      <c r="F133" s="63"/>
      <c r="G133" s="63">
        <v>9.34</v>
      </c>
      <c r="H133" s="64">
        <f>Table3[[#This Row],[Weight MT]]*100</f>
        <v>934</v>
      </c>
      <c r="I133" s="17">
        <v>1000000040</v>
      </c>
      <c r="J133" s="17" t="s">
        <v>17</v>
      </c>
      <c r="K133" s="63">
        <v>4500001491</v>
      </c>
      <c r="L133" s="17" t="s">
        <v>31</v>
      </c>
    </row>
    <row r="134" spans="1:12" x14ac:dyDescent="0.25">
      <c r="A134" s="81">
        <v>46111</v>
      </c>
      <c r="B134" s="17" t="s">
        <v>70</v>
      </c>
      <c r="C134" s="63">
        <v>1110</v>
      </c>
      <c r="D134" s="63">
        <v>80</v>
      </c>
      <c r="E134" s="63"/>
      <c r="F134" s="63"/>
      <c r="G134" s="63">
        <v>7.6</v>
      </c>
      <c r="H134" s="64">
        <f>Table3[[#This Row],[Weight MT]]*100</f>
        <v>760</v>
      </c>
      <c r="I134" s="17">
        <v>1000000040</v>
      </c>
      <c r="J134" s="17" t="s">
        <v>17</v>
      </c>
      <c r="K134" s="63">
        <v>4500001491</v>
      </c>
      <c r="L134" s="17" t="s">
        <v>31</v>
      </c>
    </row>
    <row r="135" spans="1:12" x14ac:dyDescent="0.25">
      <c r="A135" s="81">
        <v>46111</v>
      </c>
      <c r="B135" s="17" t="s">
        <v>70</v>
      </c>
      <c r="C135" s="63">
        <v>42209</v>
      </c>
      <c r="D135" s="63">
        <v>100</v>
      </c>
      <c r="E135" s="63"/>
      <c r="F135" s="63"/>
      <c r="G135" s="63">
        <v>9.44</v>
      </c>
      <c r="H135" s="64">
        <f>Table3[[#This Row],[Weight MT]]*100</f>
        <v>944</v>
      </c>
      <c r="I135" s="17">
        <v>1000000040</v>
      </c>
      <c r="J135" s="17" t="s">
        <v>17</v>
      </c>
      <c r="K135" s="63">
        <v>4500001491</v>
      </c>
      <c r="L135" s="17" t="s">
        <v>31</v>
      </c>
    </row>
    <row r="136" spans="1:12" x14ac:dyDescent="0.25">
      <c r="A136" s="81">
        <v>46111</v>
      </c>
      <c r="B136" s="17" t="s">
        <v>70</v>
      </c>
      <c r="C136" s="63">
        <v>915</v>
      </c>
      <c r="D136" s="63">
        <v>80</v>
      </c>
      <c r="E136" s="63"/>
      <c r="F136" s="63"/>
      <c r="G136" s="63">
        <v>7.66</v>
      </c>
      <c r="H136" s="64">
        <f>Table3[[#This Row],[Weight MT]]*100</f>
        <v>766</v>
      </c>
      <c r="I136" s="17">
        <v>1000000040</v>
      </c>
      <c r="J136" s="17" t="s">
        <v>17</v>
      </c>
      <c r="K136" s="63">
        <v>4500001491</v>
      </c>
      <c r="L136" s="17" t="s">
        <v>31</v>
      </c>
    </row>
    <row r="137" spans="1:12" x14ac:dyDescent="0.25">
      <c r="A137" s="81">
        <v>46111</v>
      </c>
      <c r="B137" s="17" t="s">
        <v>70</v>
      </c>
      <c r="C137" s="63">
        <v>714</v>
      </c>
      <c r="D137" s="63">
        <v>80</v>
      </c>
      <c r="E137" s="63"/>
      <c r="F137" s="63"/>
      <c r="G137" s="63">
        <v>7.56</v>
      </c>
      <c r="H137" s="64">
        <f>Table3[[#This Row],[Weight MT]]*100</f>
        <v>756</v>
      </c>
      <c r="I137" s="17">
        <v>1000000040</v>
      </c>
      <c r="J137" s="17" t="s">
        <v>17</v>
      </c>
      <c r="K137" s="63">
        <v>4500001491</v>
      </c>
      <c r="L137" s="17" t="s">
        <v>31</v>
      </c>
    </row>
    <row r="138" spans="1:12" x14ac:dyDescent="0.25">
      <c r="A138" s="81">
        <v>46111</v>
      </c>
      <c r="B138" s="17" t="s">
        <v>70</v>
      </c>
      <c r="C138" s="63">
        <v>280</v>
      </c>
      <c r="D138" s="63">
        <v>80</v>
      </c>
      <c r="E138" s="63"/>
      <c r="F138" s="63"/>
      <c r="G138" s="63">
        <v>7.52</v>
      </c>
      <c r="H138" s="64">
        <f>Table3[[#This Row],[Weight MT]]*100</f>
        <v>752</v>
      </c>
      <c r="I138" s="17">
        <v>1000000040</v>
      </c>
      <c r="J138" s="17" t="s">
        <v>17</v>
      </c>
      <c r="K138" s="63">
        <v>4500001491</v>
      </c>
      <c r="L138" s="17" t="s">
        <v>31</v>
      </c>
    </row>
    <row r="139" spans="1:12" x14ac:dyDescent="0.25">
      <c r="A139" s="81">
        <v>46111</v>
      </c>
      <c r="B139" s="17" t="s">
        <v>70</v>
      </c>
      <c r="C139" s="63">
        <v>1398</v>
      </c>
      <c r="D139" s="63">
        <v>80</v>
      </c>
      <c r="E139" s="63"/>
      <c r="F139" s="63"/>
      <c r="G139" s="63">
        <v>7.5</v>
      </c>
      <c r="H139" s="64">
        <f>Table3[[#This Row],[Weight MT]]*100</f>
        <v>750</v>
      </c>
      <c r="I139" s="17">
        <v>1000000040</v>
      </c>
      <c r="J139" s="17" t="s">
        <v>17</v>
      </c>
      <c r="K139" s="63">
        <v>4500001491</v>
      </c>
      <c r="L139" s="17" t="s">
        <v>31</v>
      </c>
    </row>
    <row r="140" spans="1:12" x14ac:dyDescent="0.25">
      <c r="A140" s="81">
        <v>46111</v>
      </c>
      <c r="B140" s="17" t="s">
        <v>70</v>
      </c>
      <c r="C140" s="63">
        <v>1207</v>
      </c>
      <c r="D140" s="63">
        <v>80</v>
      </c>
      <c r="E140" s="63"/>
      <c r="F140" s="63"/>
      <c r="G140" s="63">
        <v>7.56</v>
      </c>
      <c r="H140" s="64">
        <f>Table3[[#This Row],[Weight MT]]*100</f>
        <v>756</v>
      </c>
      <c r="I140" s="17">
        <v>1000000040</v>
      </c>
      <c r="J140" s="17" t="s">
        <v>17</v>
      </c>
      <c r="K140" s="63">
        <v>4500001491</v>
      </c>
      <c r="L140" s="17" t="s">
        <v>31</v>
      </c>
    </row>
    <row r="141" spans="1:12" x14ac:dyDescent="0.25">
      <c r="A141" s="81">
        <v>46111</v>
      </c>
      <c r="B141" s="17" t="s">
        <v>70</v>
      </c>
      <c r="C141" s="63">
        <v>41109</v>
      </c>
      <c r="D141" s="63">
        <v>80</v>
      </c>
      <c r="E141" s="63"/>
      <c r="F141" s="63"/>
      <c r="G141" s="63">
        <v>7.54</v>
      </c>
      <c r="H141" s="64">
        <f>Table3[[#This Row],[Weight MT]]*100</f>
        <v>754</v>
      </c>
      <c r="I141" s="17">
        <v>1000000040</v>
      </c>
      <c r="J141" s="17" t="s">
        <v>17</v>
      </c>
      <c r="K141" s="63">
        <v>4500001491</v>
      </c>
      <c r="L141" s="17" t="s">
        <v>31</v>
      </c>
    </row>
    <row r="142" spans="1:12" x14ac:dyDescent="0.25">
      <c r="A142" s="81">
        <v>46111</v>
      </c>
      <c r="B142" s="17" t="s">
        <v>70</v>
      </c>
      <c r="C142" s="63">
        <v>516</v>
      </c>
      <c r="D142" s="63">
        <v>80</v>
      </c>
      <c r="E142" s="63"/>
      <c r="F142" s="63"/>
      <c r="G142" s="63">
        <v>7.58</v>
      </c>
      <c r="H142" s="64">
        <f>Table3[[#This Row],[Weight MT]]*100</f>
        <v>758</v>
      </c>
      <c r="I142" s="17">
        <v>1000000040</v>
      </c>
      <c r="J142" s="17" t="s">
        <v>17</v>
      </c>
      <c r="K142" s="63">
        <v>4500001491</v>
      </c>
      <c r="L142" s="17" t="s">
        <v>31</v>
      </c>
    </row>
    <row r="143" spans="1:12" x14ac:dyDescent="0.25">
      <c r="A143" s="81">
        <v>46111</v>
      </c>
      <c r="B143" s="17" t="s">
        <v>70</v>
      </c>
      <c r="C143" s="63">
        <v>916</v>
      </c>
      <c r="D143" s="63">
        <v>60</v>
      </c>
      <c r="E143" s="63"/>
      <c r="F143" s="63"/>
      <c r="G143" s="63">
        <v>5.64</v>
      </c>
      <c r="H143" s="64">
        <f>Table3[[#This Row],[Weight MT]]*100</f>
        <v>564</v>
      </c>
      <c r="I143" s="17">
        <v>1000000040</v>
      </c>
      <c r="J143" s="17" t="s">
        <v>17</v>
      </c>
      <c r="K143" s="63">
        <v>4500001491</v>
      </c>
      <c r="L143" s="17" t="s">
        <v>31</v>
      </c>
    </row>
    <row r="144" spans="1:12" x14ac:dyDescent="0.25">
      <c r="A144" s="81">
        <v>46112</v>
      </c>
      <c r="B144" s="17" t="s">
        <v>70</v>
      </c>
      <c r="C144" s="63">
        <v>280</v>
      </c>
      <c r="D144" s="63">
        <v>85</v>
      </c>
      <c r="E144" s="63"/>
      <c r="F144" s="63"/>
      <c r="G144" s="63">
        <v>7.32</v>
      </c>
      <c r="H144" s="64">
        <f>Table3[[#This Row],[Weight MT]]*100</f>
        <v>732</v>
      </c>
      <c r="I144" s="17">
        <v>1000000040</v>
      </c>
      <c r="J144" s="17" t="s">
        <v>17</v>
      </c>
      <c r="K144" s="63">
        <v>4500001491</v>
      </c>
      <c r="L144" s="17" t="s">
        <v>31</v>
      </c>
    </row>
    <row r="145" spans="1:12" x14ac:dyDescent="0.25">
      <c r="A145" s="81">
        <v>46112</v>
      </c>
      <c r="B145" s="17" t="s">
        <v>70</v>
      </c>
      <c r="C145" s="63">
        <v>5511</v>
      </c>
      <c r="D145" s="63">
        <v>85</v>
      </c>
      <c r="E145" s="63"/>
      <c r="F145" s="63"/>
      <c r="G145" s="63">
        <v>7.46</v>
      </c>
      <c r="H145" s="64">
        <f>Table3[[#This Row],[Weight MT]]*100</f>
        <v>746</v>
      </c>
      <c r="I145" s="17">
        <v>1000000040</v>
      </c>
      <c r="J145" s="17" t="s">
        <v>17</v>
      </c>
      <c r="K145" s="63">
        <v>4500001491</v>
      </c>
      <c r="L145" s="17" t="s">
        <v>31</v>
      </c>
    </row>
    <row r="146" spans="1:12" x14ac:dyDescent="0.25">
      <c r="A146" s="81">
        <v>46112</v>
      </c>
      <c r="B146" s="17" t="s">
        <v>70</v>
      </c>
      <c r="C146" s="63">
        <v>756</v>
      </c>
      <c r="D146" s="63">
        <v>85</v>
      </c>
      <c r="E146" s="63"/>
      <c r="F146" s="63"/>
      <c r="G146" s="63">
        <v>7.36</v>
      </c>
      <c r="H146" s="64">
        <f>Table3[[#This Row],[Weight MT]]*100</f>
        <v>736</v>
      </c>
      <c r="I146" s="17">
        <v>1000000040</v>
      </c>
      <c r="J146" s="17" t="s">
        <v>17</v>
      </c>
      <c r="K146" s="63">
        <v>4500001491</v>
      </c>
      <c r="L146" s="17" t="s">
        <v>31</v>
      </c>
    </row>
    <row r="147" spans="1:12" x14ac:dyDescent="0.25">
      <c r="A147" s="81">
        <v>46112</v>
      </c>
      <c r="B147" s="17" t="s">
        <v>70</v>
      </c>
      <c r="C147" s="63">
        <v>1460</v>
      </c>
      <c r="D147" s="63">
        <v>85</v>
      </c>
      <c r="E147" s="63"/>
      <c r="F147" s="63"/>
      <c r="G147" s="63">
        <v>7.42</v>
      </c>
      <c r="H147" s="64">
        <f>Table3[[#This Row],[Weight MT]]*100</f>
        <v>742</v>
      </c>
      <c r="I147" s="17">
        <v>1000000040</v>
      </c>
      <c r="J147" s="17" t="s">
        <v>17</v>
      </c>
      <c r="K147" s="63">
        <v>4500001491</v>
      </c>
      <c r="L147" s="17" t="s">
        <v>31</v>
      </c>
    </row>
    <row r="148" spans="1:12" x14ac:dyDescent="0.25">
      <c r="A148" s="81">
        <v>46112</v>
      </c>
      <c r="B148" s="17" t="s">
        <v>70</v>
      </c>
      <c r="C148" s="63">
        <v>2226</v>
      </c>
      <c r="D148" s="63">
        <v>55</v>
      </c>
      <c r="E148" s="63"/>
      <c r="F148" s="63"/>
      <c r="G148" s="63">
        <v>4.74</v>
      </c>
      <c r="H148" s="64">
        <f>Table3[[#This Row],[Weight MT]]*100</f>
        <v>474</v>
      </c>
      <c r="I148" s="17">
        <v>1000000040</v>
      </c>
      <c r="J148" s="17" t="s">
        <v>17</v>
      </c>
      <c r="K148" s="63">
        <v>4500001491</v>
      </c>
      <c r="L148" s="17" t="s">
        <v>31</v>
      </c>
    </row>
    <row r="149" spans="1:12" x14ac:dyDescent="0.25">
      <c r="A149" s="81">
        <v>46112</v>
      </c>
      <c r="B149" s="17" t="s">
        <v>70</v>
      </c>
      <c r="C149" s="63">
        <v>772</v>
      </c>
      <c r="D149" s="63">
        <v>80</v>
      </c>
      <c r="E149" s="63"/>
      <c r="F149" s="63"/>
      <c r="G149" s="63">
        <v>6.96</v>
      </c>
      <c r="H149" s="64">
        <f>Table3[[#This Row],[Weight MT]]*100</f>
        <v>696</v>
      </c>
      <c r="I149" s="17">
        <v>1000000040</v>
      </c>
      <c r="J149" s="17" t="s">
        <v>17</v>
      </c>
      <c r="K149" s="63">
        <v>4500001491</v>
      </c>
      <c r="L149" s="17" t="s">
        <v>31</v>
      </c>
    </row>
    <row r="150" spans="1:12" x14ac:dyDescent="0.25">
      <c r="A150" s="84">
        <v>46113</v>
      </c>
      <c r="B150" s="17" t="s">
        <v>70</v>
      </c>
      <c r="C150" s="17">
        <v>1112</v>
      </c>
      <c r="D150" s="17">
        <v>107</v>
      </c>
      <c r="E150" s="17"/>
      <c r="F150" s="17"/>
      <c r="G150" s="17">
        <v>10.08</v>
      </c>
      <c r="H150" s="21">
        <f>Table3[[#This Row],[Weight MT]]*100</f>
        <v>1008</v>
      </c>
      <c r="I150" s="17">
        <v>1000000040</v>
      </c>
      <c r="J150" s="17" t="s">
        <v>17</v>
      </c>
      <c r="K150" s="63">
        <v>4500001491</v>
      </c>
      <c r="L150" s="17" t="s">
        <v>31</v>
      </c>
    </row>
    <row r="151" spans="1:12" x14ac:dyDescent="0.25">
      <c r="A151" s="84">
        <v>46116</v>
      </c>
      <c r="B151" s="17" t="s">
        <v>70</v>
      </c>
      <c r="C151" s="17">
        <v>6775</v>
      </c>
      <c r="D151" s="17">
        <v>90</v>
      </c>
      <c r="E151" s="17"/>
      <c r="F151" s="17"/>
      <c r="G151" s="17">
        <v>8.44</v>
      </c>
      <c r="H151" s="21">
        <f>Table3[[#This Row],[Weight MT]]*100</f>
        <v>844</v>
      </c>
      <c r="I151" s="17">
        <v>1000000040</v>
      </c>
      <c r="J151" s="17" t="s">
        <v>17</v>
      </c>
      <c r="K151" s="63">
        <v>4500001491</v>
      </c>
      <c r="L151" s="17" t="s">
        <v>31</v>
      </c>
    </row>
    <row r="152" spans="1:12" x14ac:dyDescent="0.25">
      <c r="A152" s="84">
        <v>46116</v>
      </c>
      <c r="B152" s="17" t="s">
        <v>70</v>
      </c>
      <c r="C152" s="17">
        <v>5511</v>
      </c>
      <c r="D152" s="17">
        <v>90</v>
      </c>
      <c r="E152" s="17"/>
      <c r="F152" s="17"/>
      <c r="G152" s="17">
        <v>8.32</v>
      </c>
      <c r="H152" s="21">
        <f>Table3[[#This Row],[Weight MT]]*100</f>
        <v>832</v>
      </c>
      <c r="I152" s="17">
        <v>1000000040</v>
      </c>
      <c r="J152" s="17" t="s">
        <v>17</v>
      </c>
      <c r="K152" s="63">
        <v>4500001491</v>
      </c>
      <c r="L152" s="17" t="s">
        <v>31</v>
      </c>
    </row>
    <row r="153" spans="1:12" x14ac:dyDescent="0.25">
      <c r="A153" s="84">
        <v>46116</v>
      </c>
      <c r="B153" s="17" t="s">
        <v>70</v>
      </c>
      <c r="C153" s="17">
        <v>1112</v>
      </c>
      <c r="D153" s="17">
        <v>104</v>
      </c>
      <c r="E153" s="17"/>
      <c r="F153" s="17"/>
      <c r="G153" s="17">
        <v>9.16</v>
      </c>
      <c r="H153" s="21">
        <f>Table3[[#This Row],[Weight MT]]*100</f>
        <v>916</v>
      </c>
      <c r="I153" s="17">
        <v>1000000040</v>
      </c>
      <c r="J153" s="17" t="s">
        <v>17</v>
      </c>
      <c r="K153" s="63">
        <v>4500001491</v>
      </c>
      <c r="L153" s="17" t="s">
        <v>31</v>
      </c>
    </row>
    <row r="154" spans="1:12" x14ac:dyDescent="0.25">
      <c r="A154" s="84">
        <v>46116</v>
      </c>
      <c r="B154" s="17" t="s">
        <v>70</v>
      </c>
      <c r="C154" s="17">
        <v>91</v>
      </c>
      <c r="D154" s="17">
        <v>80</v>
      </c>
      <c r="E154" s="17"/>
      <c r="F154" s="17"/>
      <c r="G154" s="17">
        <v>6.92</v>
      </c>
      <c r="H154" s="21">
        <f>Table3[[#This Row],[Weight MT]]*100</f>
        <v>692</v>
      </c>
      <c r="I154" s="17">
        <v>1000000040</v>
      </c>
      <c r="J154" s="17" t="s">
        <v>17</v>
      </c>
      <c r="K154" s="63">
        <v>4500001491</v>
      </c>
      <c r="L154" s="17" t="s">
        <v>31</v>
      </c>
    </row>
    <row r="155" spans="1:12" x14ac:dyDescent="0.25">
      <c r="A155" s="84">
        <v>46116</v>
      </c>
      <c r="B155" s="17" t="s">
        <v>70</v>
      </c>
      <c r="C155" s="17">
        <v>263</v>
      </c>
      <c r="D155" s="17">
        <v>81</v>
      </c>
      <c r="E155" s="17"/>
      <c r="F155" s="17"/>
      <c r="G155" s="17">
        <v>6.94</v>
      </c>
      <c r="H155" s="21">
        <f>Table3[[#This Row],[Weight MT]]*100</f>
        <v>694</v>
      </c>
      <c r="I155" s="17">
        <v>1000000040</v>
      </c>
      <c r="J155" s="17" t="s">
        <v>17</v>
      </c>
      <c r="K155" s="63">
        <v>4500001491</v>
      </c>
      <c r="L155" s="17" t="s">
        <v>31</v>
      </c>
    </row>
    <row r="156" spans="1:12" x14ac:dyDescent="0.25">
      <c r="A156" s="84">
        <v>46119</v>
      </c>
      <c r="B156" s="17" t="s">
        <v>70</v>
      </c>
      <c r="C156" s="17">
        <v>411</v>
      </c>
      <c r="D156" s="17">
        <v>100</v>
      </c>
      <c r="E156" s="17"/>
      <c r="F156" s="17"/>
      <c r="G156" s="17">
        <v>9.48</v>
      </c>
      <c r="H156" s="21">
        <f>Table3[[#This Row],[Weight MT]]*100</f>
        <v>948</v>
      </c>
      <c r="I156" s="17">
        <v>1000000040</v>
      </c>
      <c r="J156" s="17" t="s">
        <v>17</v>
      </c>
      <c r="K156" s="63">
        <v>4500001491</v>
      </c>
      <c r="L156" s="17" t="s">
        <v>31</v>
      </c>
    </row>
    <row r="157" spans="1:12" x14ac:dyDescent="0.25">
      <c r="A157" s="84">
        <v>46119</v>
      </c>
      <c r="B157" s="17" t="s">
        <v>70</v>
      </c>
      <c r="C157" s="17">
        <v>60</v>
      </c>
      <c r="D157" s="17">
        <v>80</v>
      </c>
      <c r="E157" s="17"/>
      <c r="F157" s="17"/>
      <c r="G157" s="17">
        <v>7.56</v>
      </c>
      <c r="H157" s="21">
        <f>Table3[[#This Row],[Weight MT]]*100</f>
        <v>756</v>
      </c>
      <c r="I157" s="17">
        <v>1000000040</v>
      </c>
      <c r="J157" s="17" t="s">
        <v>17</v>
      </c>
      <c r="K157" s="63">
        <v>4500001491</v>
      </c>
      <c r="L157" s="17" t="s">
        <v>31</v>
      </c>
    </row>
    <row r="158" spans="1:12" x14ac:dyDescent="0.25">
      <c r="A158" s="84">
        <v>46119</v>
      </c>
      <c r="B158" s="17" t="s">
        <v>70</v>
      </c>
      <c r="C158" s="17">
        <v>1110</v>
      </c>
      <c r="D158" s="17">
        <v>80</v>
      </c>
      <c r="E158" s="17"/>
      <c r="F158" s="17"/>
      <c r="G158" s="17">
        <v>7.48</v>
      </c>
      <c r="H158" s="21">
        <f>Table3[[#This Row],[Weight MT]]*100</f>
        <v>748</v>
      </c>
      <c r="I158" s="17">
        <v>1000000040</v>
      </c>
      <c r="J158" s="17" t="s">
        <v>17</v>
      </c>
      <c r="K158" s="63">
        <v>4500001491</v>
      </c>
      <c r="L158" s="17" t="s">
        <v>31</v>
      </c>
    </row>
    <row r="159" spans="1:12" x14ac:dyDescent="0.25">
      <c r="A159" s="84">
        <v>46119</v>
      </c>
      <c r="B159" s="17" t="s">
        <v>70</v>
      </c>
      <c r="C159" s="17">
        <v>1080</v>
      </c>
      <c r="D159" s="17">
        <v>85</v>
      </c>
      <c r="E159" s="17"/>
      <c r="F159" s="17"/>
      <c r="G159" s="17">
        <v>8.14</v>
      </c>
      <c r="H159" s="21">
        <f>Table3[[#This Row],[Weight MT]]*100</f>
        <v>814</v>
      </c>
      <c r="I159" s="17">
        <v>1000000040</v>
      </c>
      <c r="J159" s="17" t="s">
        <v>17</v>
      </c>
      <c r="K159" s="63">
        <v>4500001491</v>
      </c>
      <c r="L159" s="17" t="s">
        <v>31</v>
      </c>
    </row>
    <row r="160" spans="1:12" x14ac:dyDescent="0.25">
      <c r="A160" s="84">
        <v>46119</v>
      </c>
      <c r="B160" s="17" t="s">
        <v>70</v>
      </c>
      <c r="C160" s="17">
        <v>1093</v>
      </c>
      <c r="D160" s="17">
        <v>80</v>
      </c>
      <c r="E160" s="17"/>
      <c r="F160" s="17"/>
      <c r="G160" s="17">
        <v>7.56</v>
      </c>
      <c r="H160" s="21">
        <f>Table3[[#This Row],[Weight MT]]*100</f>
        <v>756</v>
      </c>
      <c r="I160" s="17">
        <v>1000000040</v>
      </c>
      <c r="J160" s="17" t="s">
        <v>17</v>
      </c>
      <c r="K160" s="63">
        <v>4500001491</v>
      </c>
      <c r="L160" s="17" t="s">
        <v>31</v>
      </c>
    </row>
    <row r="161" spans="1:12" x14ac:dyDescent="0.25">
      <c r="A161" s="84">
        <v>46119</v>
      </c>
      <c r="B161" s="17" t="s">
        <v>70</v>
      </c>
      <c r="C161" s="17">
        <v>1460</v>
      </c>
      <c r="D161" s="17">
        <v>80</v>
      </c>
      <c r="E161" s="17"/>
      <c r="F161" s="17"/>
      <c r="G161" s="17">
        <v>7.46</v>
      </c>
      <c r="H161" s="21">
        <f>Table3[[#This Row],[Weight MT]]*100</f>
        <v>746</v>
      </c>
      <c r="I161" s="17">
        <v>1000000040</v>
      </c>
      <c r="J161" s="17" t="s">
        <v>17</v>
      </c>
      <c r="K161" s="63">
        <v>4500001491</v>
      </c>
      <c r="L161" s="17" t="s">
        <v>31</v>
      </c>
    </row>
    <row r="162" spans="1:12" x14ac:dyDescent="0.25">
      <c r="A162" s="84">
        <v>46119</v>
      </c>
      <c r="B162" s="17" t="s">
        <v>70</v>
      </c>
      <c r="C162" s="17">
        <v>264</v>
      </c>
      <c r="D162" s="17">
        <v>80</v>
      </c>
      <c r="E162" s="17"/>
      <c r="F162" s="17"/>
      <c r="G162" s="17">
        <v>7.58</v>
      </c>
      <c r="H162" s="21">
        <f>Table3[[#This Row],[Weight MT]]*100</f>
        <v>758</v>
      </c>
      <c r="I162" s="17">
        <v>1000000040</v>
      </c>
      <c r="J162" s="17" t="s">
        <v>17</v>
      </c>
      <c r="K162" s="63">
        <v>4500001491</v>
      </c>
      <c r="L162" s="17" t="s">
        <v>31</v>
      </c>
    </row>
    <row r="163" spans="1:12" x14ac:dyDescent="0.25">
      <c r="A163" s="84">
        <v>46119</v>
      </c>
      <c r="B163" s="17" t="s">
        <v>70</v>
      </c>
      <c r="C163" s="17">
        <v>769</v>
      </c>
      <c r="D163" s="17">
        <v>85</v>
      </c>
      <c r="E163" s="17"/>
      <c r="F163" s="17"/>
      <c r="G163" s="17">
        <v>8.1999999999999993</v>
      </c>
      <c r="H163" s="21">
        <f>Table3[[#This Row],[Weight MT]]*100</f>
        <v>819.99999999999989</v>
      </c>
      <c r="I163" s="17">
        <v>1000000040</v>
      </c>
      <c r="J163" s="17" t="s">
        <v>17</v>
      </c>
      <c r="K163" s="63">
        <v>4500001491</v>
      </c>
      <c r="L163" s="17" t="s">
        <v>31</v>
      </c>
    </row>
    <row r="164" spans="1:12" x14ac:dyDescent="0.25">
      <c r="A164" s="84">
        <v>46119</v>
      </c>
      <c r="B164" s="17" t="s">
        <v>70</v>
      </c>
      <c r="C164" s="17">
        <v>2226</v>
      </c>
      <c r="D164" s="17">
        <v>80</v>
      </c>
      <c r="E164" s="17"/>
      <c r="F164" s="17"/>
      <c r="G164" s="17">
        <v>7.58</v>
      </c>
      <c r="H164" s="21">
        <f>Table3[[#This Row],[Weight MT]]*100</f>
        <v>758</v>
      </c>
      <c r="I164" s="17">
        <v>1000000040</v>
      </c>
      <c r="J164" s="17" t="s">
        <v>17</v>
      </c>
      <c r="K164" s="63">
        <v>4500001491</v>
      </c>
      <c r="L164" s="17" t="s">
        <v>31</v>
      </c>
    </row>
    <row r="165" spans="1:12" x14ac:dyDescent="0.25">
      <c r="A165" s="84">
        <v>46119</v>
      </c>
      <c r="B165" s="17" t="s">
        <v>70</v>
      </c>
      <c r="C165" s="17">
        <v>461</v>
      </c>
      <c r="D165" s="17">
        <v>80</v>
      </c>
      <c r="E165" s="17"/>
      <c r="F165" s="17"/>
      <c r="G165" s="17">
        <v>7.58</v>
      </c>
      <c r="H165" s="21">
        <f>Table3[[#This Row],[Weight MT]]*100</f>
        <v>758</v>
      </c>
      <c r="I165" s="17">
        <v>1000000040</v>
      </c>
      <c r="J165" s="17" t="s">
        <v>17</v>
      </c>
      <c r="K165" s="63">
        <v>4500001491</v>
      </c>
      <c r="L165" s="17" t="s">
        <v>31</v>
      </c>
    </row>
    <row r="166" spans="1:12" x14ac:dyDescent="0.25">
      <c r="A166" s="84">
        <v>46119</v>
      </c>
      <c r="B166" s="17" t="s">
        <v>70</v>
      </c>
      <c r="C166" s="17">
        <v>1398</v>
      </c>
      <c r="D166" s="17">
        <v>80</v>
      </c>
      <c r="E166" s="17"/>
      <c r="F166" s="17"/>
      <c r="G166" s="17">
        <v>7.52</v>
      </c>
      <c r="H166" s="21">
        <f>Table3[[#This Row],[Weight MT]]*100</f>
        <v>752</v>
      </c>
      <c r="I166" s="17">
        <v>1000000040</v>
      </c>
      <c r="J166" s="17" t="s">
        <v>17</v>
      </c>
      <c r="K166" s="63">
        <v>4500001491</v>
      </c>
      <c r="L166" s="17" t="s">
        <v>31</v>
      </c>
    </row>
    <row r="167" spans="1:12" x14ac:dyDescent="0.25">
      <c r="A167" s="84">
        <v>46119</v>
      </c>
      <c r="B167" s="17" t="s">
        <v>70</v>
      </c>
      <c r="C167" s="17">
        <v>772</v>
      </c>
      <c r="D167" s="17">
        <v>80</v>
      </c>
      <c r="E167" s="17"/>
      <c r="F167" s="17"/>
      <c r="G167" s="17">
        <v>7.58</v>
      </c>
      <c r="H167" s="21">
        <f>Table3[[#This Row],[Weight MT]]*100</f>
        <v>758</v>
      </c>
      <c r="I167" s="17">
        <v>1000000040</v>
      </c>
      <c r="J167" s="17" t="s">
        <v>17</v>
      </c>
      <c r="K167" s="63">
        <v>4500001491</v>
      </c>
      <c r="L167" s="17" t="s">
        <v>31</v>
      </c>
    </row>
    <row r="168" spans="1:12" x14ac:dyDescent="0.25">
      <c r="A168" s="84">
        <v>46119</v>
      </c>
      <c r="B168" s="17" t="s">
        <v>70</v>
      </c>
      <c r="C168" s="17">
        <v>742</v>
      </c>
      <c r="D168" s="17">
        <v>93</v>
      </c>
      <c r="E168" s="17"/>
      <c r="F168" s="17"/>
      <c r="G168" s="17">
        <v>8.68</v>
      </c>
      <c r="H168" s="21">
        <f>Table3[[#This Row],[Weight MT]]*100</f>
        <v>868</v>
      </c>
      <c r="I168" s="17">
        <v>1000000040</v>
      </c>
      <c r="J168" s="17" t="s">
        <v>17</v>
      </c>
      <c r="K168" s="63">
        <v>4500001491</v>
      </c>
      <c r="L168" s="17" t="s">
        <v>31</v>
      </c>
    </row>
    <row r="169" spans="1:12" x14ac:dyDescent="0.25">
      <c r="A169" s="84">
        <v>46119</v>
      </c>
      <c r="B169" s="17" t="s">
        <v>70</v>
      </c>
      <c r="C169" s="17">
        <v>62023</v>
      </c>
      <c r="D169" s="17">
        <v>100</v>
      </c>
      <c r="E169" s="17"/>
      <c r="F169" s="17"/>
      <c r="G169" s="17">
        <v>9.5</v>
      </c>
      <c r="H169" s="21">
        <f>Table3[[#This Row],[Weight MT]]*100</f>
        <v>950</v>
      </c>
      <c r="I169" s="17">
        <v>1000000040</v>
      </c>
      <c r="J169" s="17" t="s">
        <v>17</v>
      </c>
      <c r="K169" s="63">
        <v>4500001491</v>
      </c>
      <c r="L169" s="17" t="s">
        <v>31</v>
      </c>
    </row>
    <row r="170" spans="1:12" x14ac:dyDescent="0.25">
      <c r="A170" s="84">
        <v>46119</v>
      </c>
      <c r="B170" s="17" t="s">
        <v>70</v>
      </c>
      <c r="C170" s="17">
        <v>319</v>
      </c>
      <c r="D170" s="17">
        <v>80</v>
      </c>
      <c r="E170" s="17"/>
      <c r="F170" s="17"/>
      <c r="G170" s="17">
        <v>7.64</v>
      </c>
      <c r="H170" s="21">
        <f>Table3[[#This Row],[Weight MT]]*100</f>
        <v>764</v>
      </c>
      <c r="I170" s="17">
        <v>1000000040</v>
      </c>
      <c r="J170" s="17" t="s">
        <v>17</v>
      </c>
      <c r="K170" s="63">
        <v>4500001491</v>
      </c>
      <c r="L170" s="17" t="s">
        <v>31</v>
      </c>
    </row>
    <row r="171" spans="1:12" x14ac:dyDescent="0.25">
      <c r="A171" s="84">
        <v>46119</v>
      </c>
      <c r="B171" s="17" t="s">
        <v>70</v>
      </c>
      <c r="C171" s="17">
        <v>310</v>
      </c>
      <c r="D171" s="17">
        <v>80</v>
      </c>
      <c r="E171" s="17"/>
      <c r="F171" s="17"/>
      <c r="G171" s="17">
        <v>7.7</v>
      </c>
      <c r="H171" s="21">
        <f>Table3[[#This Row],[Weight MT]]*100</f>
        <v>770</v>
      </c>
      <c r="I171" s="17">
        <v>1000000040</v>
      </c>
      <c r="J171" s="17" t="s">
        <v>17</v>
      </c>
      <c r="K171" s="63">
        <v>4500001491</v>
      </c>
      <c r="L171" s="17" t="s">
        <v>31</v>
      </c>
    </row>
    <row r="172" spans="1:12" x14ac:dyDescent="0.25">
      <c r="A172" s="84">
        <v>46119</v>
      </c>
      <c r="B172" s="17" t="s">
        <v>70</v>
      </c>
      <c r="C172" s="17">
        <v>366</v>
      </c>
      <c r="D172" s="17">
        <v>85</v>
      </c>
      <c r="E172" s="17"/>
      <c r="F172" s="17"/>
      <c r="G172" s="17">
        <v>8.26</v>
      </c>
      <c r="H172" s="21">
        <f>Table3[[#This Row],[Weight MT]]*100</f>
        <v>826</v>
      </c>
      <c r="I172" s="17">
        <v>1000000040</v>
      </c>
      <c r="J172" s="17" t="s">
        <v>17</v>
      </c>
      <c r="K172" s="63">
        <v>4500001491</v>
      </c>
      <c r="L172" s="17" t="s">
        <v>31</v>
      </c>
    </row>
    <row r="173" spans="1:12" x14ac:dyDescent="0.25">
      <c r="A173" s="84">
        <v>46119</v>
      </c>
      <c r="B173" s="17" t="s">
        <v>70</v>
      </c>
      <c r="C173" s="17">
        <v>411</v>
      </c>
      <c r="D173" s="17">
        <v>80</v>
      </c>
      <c r="E173" s="17"/>
      <c r="F173" s="17"/>
      <c r="G173" s="17">
        <v>7.74</v>
      </c>
      <c r="H173" s="21">
        <f>Table3[[#This Row],[Weight MT]]*100</f>
        <v>774</v>
      </c>
      <c r="I173" s="17">
        <v>1000000040</v>
      </c>
      <c r="J173" s="17" t="s">
        <v>17</v>
      </c>
      <c r="K173" s="63">
        <v>4500001491</v>
      </c>
      <c r="L173" s="17" t="s">
        <v>31</v>
      </c>
    </row>
    <row r="174" spans="1:12" x14ac:dyDescent="0.25">
      <c r="A174" s="84">
        <v>46125</v>
      </c>
      <c r="B174" s="17" t="s">
        <v>70</v>
      </c>
      <c r="C174" s="17">
        <v>611</v>
      </c>
      <c r="D174" s="85">
        <v>80</v>
      </c>
      <c r="E174" s="85"/>
      <c r="F174" s="85"/>
      <c r="G174" s="85">
        <v>7.58</v>
      </c>
      <c r="H174" s="86">
        <f>Table3[[#This Row],[Weight MT]]*100</f>
        <v>758</v>
      </c>
      <c r="I174" s="17">
        <v>1000000040</v>
      </c>
      <c r="J174" s="17" t="s">
        <v>17</v>
      </c>
      <c r="K174" s="63">
        <v>4500001491</v>
      </c>
      <c r="L174" s="17" t="s">
        <v>31</v>
      </c>
    </row>
    <row r="175" spans="1:12" x14ac:dyDescent="0.25">
      <c r="A175" s="84">
        <v>46125</v>
      </c>
      <c r="B175" s="17" t="s">
        <v>70</v>
      </c>
      <c r="C175" s="17">
        <v>1535</v>
      </c>
      <c r="D175" s="85">
        <v>80</v>
      </c>
      <c r="E175" s="85"/>
      <c r="F175" s="85"/>
      <c r="G175" s="85">
        <v>7.66</v>
      </c>
      <c r="H175" s="86">
        <f>Table3[[#This Row],[Weight MT]]*100</f>
        <v>766</v>
      </c>
      <c r="I175" s="17">
        <v>1000000040</v>
      </c>
      <c r="J175" s="17" t="s">
        <v>17</v>
      </c>
      <c r="K175" s="63">
        <v>4500001491</v>
      </c>
      <c r="L175" s="17" t="s">
        <v>31</v>
      </c>
    </row>
    <row r="176" spans="1:12" x14ac:dyDescent="0.25">
      <c r="A176" s="84">
        <v>46125</v>
      </c>
      <c r="B176" s="17" t="s">
        <v>70</v>
      </c>
      <c r="C176" s="17">
        <v>1093</v>
      </c>
      <c r="D176" s="85">
        <v>80</v>
      </c>
      <c r="E176" s="85"/>
      <c r="F176" s="85"/>
      <c r="G176" s="85">
        <v>7.72</v>
      </c>
      <c r="H176" s="86">
        <f>Table3[[#This Row],[Weight MT]]*100</f>
        <v>772</v>
      </c>
      <c r="I176" s="17">
        <v>1000000040</v>
      </c>
      <c r="J176" s="17" t="s">
        <v>17</v>
      </c>
      <c r="K176" s="63">
        <v>4500001491</v>
      </c>
      <c r="L176" s="17" t="s">
        <v>31</v>
      </c>
    </row>
    <row r="177" spans="1:12" x14ac:dyDescent="0.25">
      <c r="A177" s="84">
        <v>46125</v>
      </c>
      <c r="B177" s="17" t="s">
        <v>70</v>
      </c>
      <c r="C177" s="17">
        <v>263</v>
      </c>
      <c r="D177" s="85">
        <v>80</v>
      </c>
      <c r="E177" s="85"/>
      <c r="F177" s="85"/>
      <c r="G177" s="85">
        <v>7.7</v>
      </c>
      <c r="H177" s="86">
        <f>Table3[[#This Row],[Weight MT]]*100</f>
        <v>770</v>
      </c>
      <c r="I177" s="17">
        <v>1000000040</v>
      </c>
      <c r="J177" s="17" t="s">
        <v>17</v>
      </c>
      <c r="K177" s="63">
        <v>4500001491</v>
      </c>
      <c r="L177" s="17" t="s">
        <v>31</v>
      </c>
    </row>
    <row r="178" spans="1:12" x14ac:dyDescent="0.25">
      <c r="A178" s="84">
        <v>46125</v>
      </c>
      <c r="B178" s="17" t="s">
        <v>70</v>
      </c>
      <c r="C178" s="17">
        <v>663</v>
      </c>
      <c r="D178" s="85">
        <v>80</v>
      </c>
      <c r="E178" s="85"/>
      <c r="F178" s="85"/>
      <c r="G178" s="85">
        <v>7.72</v>
      </c>
      <c r="H178" s="86">
        <f>Table3[[#This Row],[Weight MT]]*100</f>
        <v>772</v>
      </c>
      <c r="I178" s="17">
        <v>1000000040</v>
      </c>
      <c r="J178" s="17" t="s">
        <v>17</v>
      </c>
      <c r="K178" s="63">
        <v>4500001491</v>
      </c>
      <c r="L178" s="17" t="s">
        <v>31</v>
      </c>
    </row>
    <row r="179" spans="1:12" x14ac:dyDescent="0.25">
      <c r="A179" s="84">
        <v>46125</v>
      </c>
      <c r="B179" s="17" t="s">
        <v>70</v>
      </c>
      <c r="C179" s="17">
        <v>19913</v>
      </c>
      <c r="D179" s="85">
        <v>98</v>
      </c>
      <c r="E179" s="85"/>
      <c r="F179" s="85"/>
      <c r="G179" s="85">
        <v>9.4</v>
      </c>
      <c r="H179" s="86">
        <f>Table3[[#This Row],[Weight MT]]*100</f>
        <v>940</v>
      </c>
      <c r="I179" s="17">
        <v>1000000040</v>
      </c>
      <c r="J179" s="17" t="s">
        <v>17</v>
      </c>
      <c r="K179" s="63">
        <v>4500001491</v>
      </c>
      <c r="L179" s="17" t="s">
        <v>31</v>
      </c>
    </row>
    <row r="180" spans="1:12" x14ac:dyDescent="0.25">
      <c r="A180" s="84">
        <v>46125</v>
      </c>
      <c r="B180" s="17" t="s">
        <v>70</v>
      </c>
      <c r="C180" s="17">
        <v>62023</v>
      </c>
      <c r="D180" s="85">
        <v>100</v>
      </c>
      <c r="E180" s="85"/>
      <c r="F180" s="85"/>
      <c r="G180" s="85">
        <v>9.4600000000000009</v>
      </c>
      <c r="H180" s="86">
        <f>Table3[[#This Row],[Weight MT]]*100</f>
        <v>946.00000000000011</v>
      </c>
      <c r="I180" s="17">
        <v>1000000040</v>
      </c>
      <c r="J180" s="17" t="s">
        <v>17</v>
      </c>
      <c r="K180" s="63">
        <v>4500001491</v>
      </c>
      <c r="L180" s="17" t="s">
        <v>31</v>
      </c>
    </row>
    <row r="181" spans="1:12" x14ac:dyDescent="0.25">
      <c r="A181" s="84">
        <v>46127</v>
      </c>
      <c r="B181" s="17" t="s">
        <v>70</v>
      </c>
      <c r="C181" s="17">
        <v>605</v>
      </c>
      <c r="D181" s="85">
        <v>80</v>
      </c>
      <c r="E181" s="85"/>
      <c r="F181" s="85"/>
      <c r="G181" s="85">
        <v>7.52</v>
      </c>
      <c r="H181" s="86">
        <f>Table3[[#This Row],[Weight MT]]*100</f>
        <v>752</v>
      </c>
      <c r="I181" s="17">
        <v>1000000040</v>
      </c>
      <c r="J181" s="17" t="s">
        <v>17</v>
      </c>
      <c r="K181" s="63">
        <v>4500001491</v>
      </c>
      <c r="L181" s="17" t="s">
        <v>31</v>
      </c>
    </row>
    <row r="182" spans="1:12" x14ac:dyDescent="0.25">
      <c r="A182" s="84">
        <v>46127</v>
      </c>
      <c r="B182" s="17" t="s">
        <v>70</v>
      </c>
      <c r="C182" s="17">
        <v>1471</v>
      </c>
      <c r="D182" s="85">
        <v>100</v>
      </c>
      <c r="E182" s="85"/>
      <c r="F182" s="85"/>
      <c r="G182" s="85">
        <v>9.52</v>
      </c>
      <c r="H182" s="86">
        <f>Table3[[#This Row],[Weight MT]]*100</f>
        <v>952</v>
      </c>
      <c r="I182" s="17">
        <v>1000000040</v>
      </c>
      <c r="J182" s="17" t="s">
        <v>17</v>
      </c>
      <c r="K182" s="63">
        <v>4500001491</v>
      </c>
      <c r="L182" s="17" t="s">
        <v>31</v>
      </c>
    </row>
    <row r="183" spans="1:12" x14ac:dyDescent="0.25">
      <c r="A183" s="84">
        <v>46127</v>
      </c>
      <c r="B183" s="17" t="s">
        <v>70</v>
      </c>
      <c r="C183" s="17">
        <v>1651</v>
      </c>
      <c r="D183" s="85">
        <v>80</v>
      </c>
      <c r="E183" s="85"/>
      <c r="F183" s="85"/>
      <c r="G183" s="85">
        <v>7.56</v>
      </c>
      <c r="H183" s="86">
        <f>Table3[[#This Row],[Weight MT]]*100</f>
        <v>756</v>
      </c>
      <c r="I183" s="17">
        <v>1000000040</v>
      </c>
      <c r="J183" s="17" t="s">
        <v>17</v>
      </c>
      <c r="K183" s="63">
        <v>4500001491</v>
      </c>
      <c r="L183" s="17" t="s">
        <v>31</v>
      </c>
    </row>
    <row r="184" spans="1:12" x14ac:dyDescent="0.25">
      <c r="A184" s="84">
        <v>46127</v>
      </c>
      <c r="B184" s="17" t="s">
        <v>70</v>
      </c>
      <c r="C184" s="17">
        <v>769</v>
      </c>
      <c r="D184" s="85">
        <v>80</v>
      </c>
      <c r="E184" s="85"/>
      <c r="F184" s="85"/>
      <c r="G184" s="85">
        <v>7.66</v>
      </c>
      <c r="H184" s="86">
        <f>Table3[[#This Row],[Weight MT]]*100</f>
        <v>766</v>
      </c>
      <c r="I184" s="17">
        <v>1000000040</v>
      </c>
      <c r="J184" s="17" t="s">
        <v>17</v>
      </c>
      <c r="K184" s="63">
        <v>4500001491</v>
      </c>
      <c r="L184" s="17" t="s">
        <v>31</v>
      </c>
    </row>
    <row r="185" spans="1:12" x14ac:dyDescent="0.25">
      <c r="A185" s="84">
        <v>46127</v>
      </c>
      <c r="B185" s="17" t="s">
        <v>70</v>
      </c>
      <c r="C185" s="17">
        <v>737</v>
      </c>
      <c r="D185" s="85">
        <v>80</v>
      </c>
      <c r="E185" s="85"/>
      <c r="F185" s="85"/>
      <c r="G185" s="85">
        <v>7.62</v>
      </c>
      <c r="H185" s="86">
        <f>Table3[[#This Row],[Weight MT]]*100</f>
        <v>762</v>
      </c>
      <c r="I185" s="17">
        <v>1000000040</v>
      </c>
      <c r="J185" s="17" t="s">
        <v>17</v>
      </c>
      <c r="K185" s="63">
        <v>4500001491</v>
      </c>
      <c r="L185" s="17" t="s">
        <v>31</v>
      </c>
    </row>
    <row r="186" spans="1:12" x14ac:dyDescent="0.25">
      <c r="A186" s="84">
        <v>46127</v>
      </c>
      <c r="B186" s="17" t="s">
        <v>70</v>
      </c>
      <c r="C186" s="17">
        <v>19913</v>
      </c>
      <c r="D186" s="85">
        <v>85</v>
      </c>
      <c r="E186" s="85"/>
      <c r="F186" s="85"/>
      <c r="G186" s="85">
        <v>8</v>
      </c>
      <c r="H186" s="86">
        <f>Table3[[#This Row],[Weight MT]]*100</f>
        <v>800</v>
      </c>
      <c r="I186" s="17">
        <v>1000000040</v>
      </c>
      <c r="J186" s="17" t="s">
        <v>17</v>
      </c>
      <c r="K186" s="63">
        <v>4500001491</v>
      </c>
      <c r="L186" s="17" t="s">
        <v>31</v>
      </c>
    </row>
    <row r="187" spans="1:12" x14ac:dyDescent="0.25">
      <c r="A187" s="84">
        <v>46120</v>
      </c>
      <c r="B187" s="17" t="s">
        <v>116</v>
      </c>
      <c r="C187" s="17">
        <v>4236</v>
      </c>
      <c r="D187" s="17">
        <v>500</v>
      </c>
      <c r="E187" s="17"/>
      <c r="F187" s="17"/>
      <c r="G187" s="17">
        <f>Table3[[#This Row],[Weight KG]]/1000</f>
        <v>44.6</v>
      </c>
      <c r="H187" s="21">
        <v>44600</v>
      </c>
      <c r="I187" s="17">
        <v>1000000040</v>
      </c>
      <c r="J187" s="17" t="s">
        <v>17</v>
      </c>
      <c r="K187" s="17">
        <v>4500001655</v>
      </c>
      <c r="L187" s="17" t="s">
        <v>31</v>
      </c>
    </row>
    <row r="188" spans="1:12" x14ac:dyDescent="0.25">
      <c r="A188" s="84">
        <v>46123</v>
      </c>
      <c r="B188" s="17" t="s">
        <v>116</v>
      </c>
      <c r="C188" s="17">
        <v>13005</v>
      </c>
      <c r="D188" s="17">
        <v>500</v>
      </c>
      <c r="E188" s="17"/>
      <c r="F188" s="17"/>
      <c r="G188" s="17">
        <f>Table3[[#This Row],[Weight KG]]/1000</f>
        <v>41.6</v>
      </c>
      <c r="H188" s="21">
        <v>41600</v>
      </c>
      <c r="I188" s="17">
        <v>1000000040</v>
      </c>
      <c r="J188" s="17" t="s">
        <v>17</v>
      </c>
      <c r="K188" s="17">
        <v>4500001655</v>
      </c>
      <c r="L188" s="17" t="s">
        <v>31</v>
      </c>
    </row>
    <row r="189" spans="1:12" x14ac:dyDescent="0.25">
      <c r="A189" s="84">
        <v>46124</v>
      </c>
      <c r="B189" s="17" t="s">
        <v>116</v>
      </c>
      <c r="C189" s="17">
        <v>9138</v>
      </c>
      <c r="D189" s="17">
        <v>500</v>
      </c>
      <c r="E189" s="17"/>
      <c r="F189" s="17"/>
      <c r="G189" s="17">
        <f>Table3[[#This Row],[Weight KG]]/1000</f>
        <v>44.48</v>
      </c>
      <c r="H189" s="21">
        <v>44480</v>
      </c>
      <c r="I189" s="17">
        <v>1000000040</v>
      </c>
      <c r="J189" s="17" t="s">
        <v>17</v>
      </c>
      <c r="K189" s="17">
        <v>4500001655</v>
      </c>
      <c r="L189" s="17" t="s">
        <v>31</v>
      </c>
    </row>
    <row r="190" spans="1:12" x14ac:dyDescent="0.25">
      <c r="A190" s="84">
        <v>46127</v>
      </c>
      <c r="B190" s="17" t="s">
        <v>116</v>
      </c>
      <c r="C190" s="17">
        <v>2125</v>
      </c>
      <c r="D190" s="17">
        <v>500</v>
      </c>
      <c r="E190" s="17"/>
      <c r="F190" s="17"/>
      <c r="G190" s="17">
        <f>Table3[[#This Row],[Weight KG]]/1000</f>
        <v>41.58</v>
      </c>
      <c r="H190" s="21">
        <v>41580</v>
      </c>
      <c r="I190" s="17">
        <v>1000000040</v>
      </c>
      <c r="J190" s="17" t="s">
        <v>17</v>
      </c>
      <c r="K190" s="17">
        <v>4500001655</v>
      </c>
      <c r="L190" s="17" t="s">
        <v>31</v>
      </c>
    </row>
    <row r="191" spans="1:12" x14ac:dyDescent="0.25">
      <c r="A191" s="84">
        <v>46130</v>
      </c>
      <c r="B191" s="17" t="s">
        <v>116</v>
      </c>
      <c r="C191" s="17">
        <v>35136</v>
      </c>
      <c r="D191" s="17">
        <v>550</v>
      </c>
      <c r="E191" s="17"/>
      <c r="F191" s="17"/>
      <c r="G191" s="17">
        <f>Table3[[#This Row],[Weight KG]]/1000</f>
        <v>46.3</v>
      </c>
      <c r="H191" s="21">
        <v>46300</v>
      </c>
      <c r="I191" s="17">
        <v>1000000040</v>
      </c>
      <c r="J191" s="17" t="s">
        <v>17</v>
      </c>
      <c r="K191" s="17">
        <v>4500001655</v>
      </c>
      <c r="L191" s="17" t="s">
        <v>31</v>
      </c>
    </row>
    <row r="192" spans="1:12" x14ac:dyDescent="0.25">
      <c r="A192" s="84">
        <v>46132</v>
      </c>
      <c r="B192" s="17" t="s">
        <v>116</v>
      </c>
      <c r="C192" s="17">
        <v>4983</v>
      </c>
      <c r="D192" s="17">
        <v>500</v>
      </c>
      <c r="E192" s="17"/>
      <c r="F192" s="17"/>
      <c r="G192" s="17">
        <f>Table3[[#This Row],[Weight KG]]/1000</f>
        <v>41.72</v>
      </c>
      <c r="H192" s="21">
        <v>41720</v>
      </c>
      <c r="I192" s="17">
        <v>1000000040</v>
      </c>
      <c r="J192" s="17" t="s">
        <v>17</v>
      </c>
      <c r="K192" s="17">
        <v>4500001655</v>
      </c>
      <c r="L192" s="17" t="s">
        <v>31</v>
      </c>
    </row>
    <row r="193" spans="1:12" x14ac:dyDescent="0.25">
      <c r="A193" s="162">
        <v>46146</v>
      </c>
      <c r="B193" s="17" t="s">
        <v>70</v>
      </c>
      <c r="C193" s="163">
        <v>53808</v>
      </c>
      <c r="D193" s="163">
        <v>550</v>
      </c>
      <c r="E193" s="163"/>
      <c r="F193" s="163"/>
      <c r="G193" s="163">
        <v>50.44</v>
      </c>
      <c r="H193" s="164">
        <f>Table3[[#This Row],[Weight MT]]*100</f>
        <v>5044</v>
      </c>
      <c r="I193" s="163">
        <v>1000000040</v>
      </c>
      <c r="J193" s="163" t="s">
        <v>17</v>
      </c>
      <c r="K193" s="163">
        <v>4500001491</v>
      </c>
      <c r="L193" s="163" t="s">
        <v>31</v>
      </c>
    </row>
    <row r="194" spans="1:12" x14ac:dyDescent="0.25">
      <c r="A194" s="162">
        <v>46146</v>
      </c>
      <c r="B194" s="17" t="s">
        <v>70</v>
      </c>
      <c r="C194" s="163">
        <v>1812</v>
      </c>
      <c r="D194" s="163">
        <v>201</v>
      </c>
      <c r="E194" s="163"/>
      <c r="F194" s="163"/>
      <c r="G194" s="163">
        <v>18.5</v>
      </c>
      <c r="H194" s="164">
        <f>Table3[[#This Row],[Weight MT]]*100</f>
        <v>1850</v>
      </c>
      <c r="I194" s="163">
        <v>1000000040</v>
      </c>
      <c r="J194" s="163" t="s">
        <v>17</v>
      </c>
      <c r="K194" s="163">
        <v>4500001491</v>
      </c>
      <c r="L194" s="163" t="s">
        <v>31</v>
      </c>
    </row>
    <row r="195" spans="1:12" x14ac:dyDescent="0.25">
      <c r="A195" s="162">
        <v>46146</v>
      </c>
      <c r="B195" s="17" t="s">
        <v>70</v>
      </c>
      <c r="C195" s="163">
        <v>1812</v>
      </c>
      <c r="D195" s="163">
        <v>299</v>
      </c>
      <c r="E195" s="163"/>
      <c r="F195" s="163"/>
      <c r="G195" s="163">
        <v>26.62</v>
      </c>
      <c r="H195" s="164">
        <f>Table3[[#This Row],[Weight MT]]*100</f>
        <v>2662</v>
      </c>
      <c r="I195" s="163">
        <v>1000000040</v>
      </c>
      <c r="J195" s="163" t="s">
        <v>17</v>
      </c>
      <c r="K195" s="163">
        <v>4500001491</v>
      </c>
      <c r="L195" s="163" t="s">
        <v>31</v>
      </c>
    </row>
    <row r="196" spans="1:12" x14ac:dyDescent="0.25">
      <c r="A196" s="162">
        <v>46148</v>
      </c>
      <c r="B196" s="17" t="s">
        <v>70</v>
      </c>
      <c r="C196" s="163">
        <v>10763</v>
      </c>
      <c r="D196" s="163">
        <v>500</v>
      </c>
      <c r="E196" s="163"/>
      <c r="F196" s="163"/>
      <c r="G196" s="163">
        <v>47.48</v>
      </c>
      <c r="H196" s="164">
        <f>Table3[[#This Row],[Weight MT]]*100</f>
        <v>4748</v>
      </c>
      <c r="I196" s="163">
        <v>1000000040</v>
      </c>
      <c r="J196" s="163" t="s">
        <v>17</v>
      </c>
      <c r="K196" s="163">
        <v>4500001491</v>
      </c>
      <c r="L196" s="163" t="s">
        <v>31</v>
      </c>
    </row>
    <row r="197" spans="1:12" x14ac:dyDescent="0.25">
      <c r="A197" s="162">
        <v>46149</v>
      </c>
      <c r="B197" s="17" t="s">
        <v>70</v>
      </c>
      <c r="C197" s="163">
        <v>9353</v>
      </c>
      <c r="D197" s="163">
        <v>500</v>
      </c>
      <c r="E197" s="163"/>
      <c r="F197" s="163"/>
      <c r="G197" s="163">
        <v>43.2</v>
      </c>
      <c r="H197" s="164">
        <f>Table3[[#This Row],[Weight MT]]*100</f>
        <v>4320</v>
      </c>
      <c r="I197" s="163">
        <v>1000000040</v>
      </c>
      <c r="J197" s="163" t="s">
        <v>17</v>
      </c>
      <c r="K197" s="163">
        <v>4500001491</v>
      </c>
      <c r="L197" s="163" t="s">
        <v>31</v>
      </c>
    </row>
    <row r="198" spans="1:12" x14ac:dyDescent="0.25">
      <c r="A198" s="162">
        <v>46153</v>
      </c>
      <c r="B198" s="17" t="s">
        <v>70</v>
      </c>
      <c r="C198" s="163">
        <v>9360</v>
      </c>
      <c r="D198" s="163">
        <v>550</v>
      </c>
      <c r="E198" s="163"/>
      <c r="F198" s="163"/>
      <c r="G198" s="163">
        <v>52.28</v>
      </c>
      <c r="H198" s="164">
        <f>Table3[[#This Row],[Weight MT]]*100</f>
        <v>5228</v>
      </c>
      <c r="I198" s="163">
        <v>1000000040</v>
      </c>
      <c r="J198" s="163" t="s">
        <v>17</v>
      </c>
      <c r="K198" s="163">
        <v>4500001491</v>
      </c>
      <c r="L198" s="163" t="s">
        <v>31</v>
      </c>
    </row>
    <row r="199" spans="1:12" x14ac:dyDescent="0.25">
      <c r="A199" s="162">
        <v>46153</v>
      </c>
      <c r="B199" s="17" t="s">
        <v>70</v>
      </c>
      <c r="C199" s="163">
        <v>10326</v>
      </c>
      <c r="D199" s="163">
        <v>497</v>
      </c>
      <c r="E199" s="163"/>
      <c r="F199" s="163"/>
      <c r="G199" s="163">
        <v>44.48</v>
      </c>
      <c r="H199" s="164">
        <f>Table3[[#This Row],[Weight MT]]*100</f>
        <v>4448</v>
      </c>
      <c r="I199" s="163">
        <v>1000000040</v>
      </c>
      <c r="J199" s="163" t="s">
        <v>17</v>
      </c>
      <c r="K199" s="163">
        <v>4500001491</v>
      </c>
      <c r="L199" s="163" t="s">
        <v>31</v>
      </c>
    </row>
    <row r="200" spans="1:12" x14ac:dyDescent="0.25">
      <c r="A200" s="162">
        <v>46154</v>
      </c>
      <c r="B200" s="17" t="s">
        <v>70</v>
      </c>
      <c r="C200" s="163">
        <v>9354</v>
      </c>
      <c r="D200" s="163">
        <v>550</v>
      </c>
      <c r="E200" s="163"/>
      <c r="F200" s="163"/>
      <c r="G200" s="163">
        <v>53.02</v>
      </c>
      <c r="H200" s="164">
        <f>Table3[[#This Row],[Weight MT]]*100</f>
        <v>5302</v>
      </c>
      <c r="I200" s="163">
        <v>1000000040</v>
      </c>
      <c r="J200" s="163" t="s">
        <v>17</v>
      </c>
      <c r="K200" s="163">
        <v>4500001491</v>
      </c>
      <c r="L200" s="163" t="s">
        <v>31</v>
      </c>
    </row>
  </sheetData>
  <pageMargins left="0.7" right="0.7" top="0.75" bottom="0.75" header="0.3" footer="0.3"/>
  <pageSetup orientation="portrait" horizontalDpi="300" verticalDpi="300" r:id="rId2"/>
  <ignoredErrors>
    <ignoredError sqref="H11:H26 H187:H192" calculatedColumn="1"/>
  </ignoredError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7"/>
  <sheetViews>
    <sheetView showGridLines="0" zoomScale="80" zoomScaleNormal="80" workbookViewId="0">
      <selection activeCell="P7" sqref="P7"/>
    </sheetView>
  </sheetViews>
  <sheetFormatPr defaultRowHeight="15" x14ac:dyDescent="0.25"/>
  <cols>
    <col min="2" max="2" width="13.7109375" customWidth="1"/>
    <col min="3" max="3" width="7.7109375" customWidth="1"/>
    <col min="4" max="4" width="11.140625" customWidth="1"/>
    <col min="5" max="5" width="9.5703125" customWidth="1"/>
    <col min="6" max="6" width="11.7109375" bestFit="1" customWidth="1"/>
    <col min="7" max="7" width="15" customWidth="1"/>
    <col min="8" max="8" width="13" customWidth="1"/>
    <col min="9" max="9" width="15" bestFit="1" customWidth="1"/>
    <col min="10" max="10" width="11" bestFit="1" customWidth="1"/>
    <col min="11" max="11" width="3.42578125" customWidth="1"/>
    <col min="12" max="12" width="20.7109375" customWidth="1"/>
    <col min="13" max="13" width="11.5703125" bestFit="1" customWidth="1"/>
    <col min="14" max="14" width="15.140625" bestFit="1" customWidth="1"/>
    <col min="15" max="15" width="10.140625" bestFit="1" customWidth="1"/>
  </cols>
  <sheetData>
    <row r="1" spans="1:15" ht="34.5" customHeight="1" thickBot="1" x14ac:dyDescent="0.3">
      <c r="A1" s="44" t="s">
        <v>22</v>
      </c>
      <c r="B1" s="44" t="s">
        <v>7</v>
      </c>
      <c r="C1" s="44" t="s">
        <v>23</v>
      </c>
      <c r="D1" s="44" t="s">
        <v>80</v>
      </c>
      <c r="E1" s="45" t="s">
        <v>25</v>
      </c>
      <c r="F1" s="46" t="s">
        <v>26</v>
      </c>
      <c r="G1" s="46" t="s">
        <v>2</v>
      </c>
      <c r="H1" s="44" t="s">
        <v>27</v>
      </c>
      <c r="I1" s="44" t="s">
        <v>28</v>
      </c>
      <c r="J1" s="44" t="s">
        <v>6</v>
      </c>
      <c r="L1" s="47" t="s">
        <v>30</v>
      </c>
    </row>
    <row r="2" spans="1:15" x14ac:dyDescent="0.25">
      <c r="A2" s="56">
        <v>46034</v>
      </c>
      <c r="B2" s="57" t="s">
        <v>72</v>
      </c>
      <c r="C2" s="57"/>
      <c r="D2" s="76" t="s">
        <v>74</v>
      </c>
      <c r="E2" s="58">
        <v>2922.61</v>
      </c>
      <c r="F2" s="59">
        <f>Table5[[#This Row],[Weight MT]]*1000</f>
        <v>2922610</v>
      </c>
      <c r="G2" s="59" t="s">
        <v>75</v>
      </c>
      <c r="H2" s="57">
        <v>1000000037</v>
      </c>
      <c r="I2" s="57" t="s">
        <v>17</v>
      </c>
      <c r="J2" s="57">
        <v>4500000001</v>
      </c>
      <c r="L2" s="25" t="s">
        <v>7</v>
      </c>
      <c r="M2" t="s">
        <v>32</v>
      </c>
      <c r="N2" t="s">
        <v>85</v>
      </c>
      <c r="O2" t="s">
        <v>33</v>
      </c>
    </row>
    <row r="3" spans="1:15" x14ac:dyDescent="0.25">
      <c r="A3" s="56">
        <v>46035</v>
      </c>
      <c r="B3" s="57" t="s">
        <v>72</v>
      </c>
      <c r="C3" s="57"/>
      <c r="D3" s="77" t="s">
        <v>74</v>
      </c>
      <c r="E3" s="58">
        <v>2078</v>
      </c>
      <c r="F3" s="59">
        <f>Table5[[#This Row],[Weight MT]]*1000</f>
        <v>2078000</v>
      </c>
      <c r="G3" s="59" t="s">
        <v>75</v>
      </c>
      <c r="H3" s="57">
        <v>1000000037</v>
      </c>
      <c r="I3" s="57" t="s">
        <v>17</v>
      </c>
      <c r="J3" s="57">
        <v>4500000001</v>
      </c>
      <c r="L3" s="116" t="s">
        <v>72</v>
      </c>
      <c r="M3" s="129">
        <v>10000.61</v>
      </c>
      <c r="N3" s="121">
        <v>0</v>
      </c>
      <c r="O3" s="122"/>
    </row>
    <row r="4" spans="1:15" x14ac:dyDescent="0.25">
      <c r="A4" s="56">
        <v>46041</v>
      </c>
      <c r="B4" s="57" t="s">
        <v>72</v>
      </c>
      <c r="C4" s="57"/>
      <c r="D4" s="77" t="s">
        <v>74</v>
      </c>
      <c r="E4" s="58">
        <v>1942</v>
      </c>
      <c r="F4" s="59">
        <f>Table5[[#This Row],[Weight MT]]*1000</f>
        <v>1942000</v>
      </c>
      <c r="G4" s="59" t="s">
        <v>75</v>
      </c>
      <c r="H4" s="57">
        <v>1000000037</v>
      </c>
      <c r="I4" s="57" t="s">
        <v>17</v>
      </c>
      <c r="J4" s="57">
        <v>4500000294</v>
      </c>
      <c r="L4" s="117" t="s">
        <v>76</v>
      </c>
      <c r="M4" s="130"/>
      <c r="N4" s="123"/>
      <c r="O4" s="124"/>
    </row>
    <row r="5" spans="1:15" x14ac:dyDescent="0.25">
      <c r="A5" s="56">
        <v>46043</v>
      </c>
      <c r="B5" s="57" t="s">
        <v>72</v>
      </c>
      <c r="C5" s="57"/>
      <c r="D5" s="77" t="s">
        <v>74</v>
      </c>
      <c r="E5" s="58">
        <v>78</v>
      </c>
      <c r="F5" s="59">
        <f>Table5[[#This Row],[Weight MT]]*1000</f>
        <v>78000</v>
      </c>
      <c r="G5" s="59" t="s">
        <v>75</v>
      </c>
      <c r="H5" s="57">
        <v>1000000037</v>
      </c>
      <c r="I5" s="57" t="s">
        <v>17</v>
      </c>
      <c r="J5" s="57">
        <v>4500000294</v>
      </c>
      <c r="L5" s="118">
        <v>4500000294</v>
      </c>
      <c r="M5" s="130">
        <v>480</v>
      </c>
      <c r="N5" s="123">
        <v>0</v>
      </c>
      <c r="O5" s="124"/>
    </row>
    <row r="6" spans="1:15" x14ac:dyDescent="0.25">
      <c r="A6" s="56">
        <v>46043</v>
      </c>
      <c r="B6" s="57" t="s">
        <v>72</v>
      </c>
      <c r="C6" s="57"/>
      <c r="D6" s="77" t="s">
        <v>74</v>
      </c>
      <c r="E6" s="58">
        <v>480</v>
      </c>
      <c r="F6" s="59">
        <f>Table5[[#This Row],[Weight MT]]*1000</f>
        <v>480000</v>
      </c>
      <c r="G6" s="59" t="s">
        <v>76</v>
      </c>
      <c r="H6" s="60">
        <v>4000000232</v>
      </c>
      <c r="I6" s="57" t="s">
        <v>17</v>
      </c>
      <c r="J6" s="60">
        <v>4500000294</v>
      </c>
      <c r="L6" s="119" t="s">
        <v>82</v>
      </c>
      <c r="M6" s="130"/>
      <c r="N6" s="123"/>
      <c r="O6" s="124"/>
    </row>
    <row r="7" spans="1:15" x14ac:dyDescent="0.25">
      <c r="A7" s="56">
        <v>46058</v>
      </c>
      <c r="B7" s="57" t="s">
        <v>72</v>
      </c>
      <c r="C7" s="57"/>
      <c r="D7" s="77" t="s">
        <v>74</v>
      </c>
      <c r="E7" s="58">
        <v>2500</v>
      </c>
      <c r="F7" s="59">
        <f>Table5[[#This Row],[Weight MT]]*1000</f>
        <v>2500000</v>
      </c>
      <c r="G7" s="59" t="s">
        <v>75</v>
      </c>
      <c r="H7" s="57">
        <v>1000000037</v>
      </c>
      <c r="I7" s="57" t="s">
        <v>17</v>
      </c>
      <c r="J7" s="60">
        <v>4500000293</v>
      </c>
      <c r="L7" s="120" t="s">
        <v>100</v>
      </c>
      <c r="M7" s="130">
        <v>480</v>
      </c>
      <c r="N7" s="125">
        <v>0</v>
      </c>
      <c r="O7" s="126"/>
    </row>
    <row r="8" spans="1:15" x14ac:dyDescent="0.25">
      <c r="A8" s="56">
        <v>46063</v>
      </c>
      <c r="B8" s="71" t="s">
        <v>81</v>
      </c>
      <c r="C8" s="71">
        <v>264</v>
      </c>
      <c r="D8" s="74">
        <v>80</v>
      </c>
      <c r="E8" s="72">
        <f>Table5[[#This Row],[Weight KG]]/1000</f>
        <v>8.02</v>
      </c>
      <c r="F8" s="73">
        <v>8020</v>
      </c>
      <c r="G8" s="59" t="s">
        <v>75</v>
      </c>
      <c r="H8" s="57">
        <v>1000000037</v>
      </c>
      <c r="I8" s="57" t="s">
        <v>17</v>
      </c>
      <c r="J8" s="60">
        <v>4500000567</v>
      </c>
      <c r="L8" s="117" t="s">
        <v>75</v>
      </c>
      <c r="M8" s="130"/>
      <c r="N8" s="123"/>
      <c r="O8" s="124"/>
    </row>
    <row r="9" spans="1:15" x14ac:dyDescent="0.25">
      <c r="A9" s="56">
        <v>46063</v>
      </c>
      <c r="B9" s="71" t="s">
        <v>81</v>
      </c>
      <c r="C9" s="67">
        <v>737</v>
      </c>
      <c r="D9" s="75">
        <v>80</v>
      </c>
      <c r="E9" s="72">
        <f>Table5[[#This Row],[Weight KG]]/1000</f>
        <v>8.02</v>
      </c>
      <c r="F9" s="69">
        <v>8020</v>
      </c>
      <c r="G9" s="59" t="s">
        <v>75</v>
      </c>
      <c r="H9" s="57">
        <v>1000000037</v>
      </c>
      <c r="I9" s="57" t="s">
        <v>17</v>
      </c>
      <c r="J9" s="60">
        <v>4500000567</v>
      </c>
      <c r="L9" s="118">
        <v>4500000001</v>
      </c>
      <c r="M9" s="130">
        <v>5000.6100000000006</v>
      </c>
      <c r="N9" s="123">
        <v>0</v>
      </c>
      <c r="O9" s="124"/>
    </row>
    <row r="10" spans="1:15" x14ac:dyDescent="0.25">
      <c r="A10" s="56">
        <v>46063</v>
      </c>
      <c r="B10" s="71" t="s">
        <v>81</v>
      </c>
      <c r="C10" s="67">
        <v>1110</v>
      </c>
      <c r="D10" s="74">
        <v>80</v>
      </c>
      <c r="E10" s="72">
        <f>Table5[[#This Row],[Weight KG]]/1000</f>
        <v>7.96</v>
      </c>
      <c r="F10" s="69">
        <v>7960</v>
      </c>
      <c r="G10" s="59" t="s">
        <v>75</v>
      </c>
      <c r="H10" s="57">
        <v>1000000037</v>
      </c>
      <c r="I10" s="57" t="s">
        <v>17</v>
      </c>
      <c r="J10" s="60">
        <v>4500000567</v>
      </c>
      <c r="L10" s="119" t="s">
        <v>82</v>
      </c>
      <c r="M10" s="130"/>
      <c r="N10" s="123"/>
      <c r="O10" s="124"/>
    </row>
    <row r="11" spans="1:15" x14ac:dyDescent="0.25">
      <c r="A11" s="56">
        <v>46063</v>
      </c>
      <c r="B11" s="71" t="s">
        <v>81</v>
      </c>
      <c r="C11" s="67">
        <v>1802</v>
      </c>
      <c r="D11" s="75">
        <v>80</v>
      </c>
      <c r="E11" s="72">
        <f>Table5[[#This Row],[Weight KG]]/1000</f>
        <v>8.06</v>
      </c>
      <c r="F11" s="69">
        <v>8060</v>
      </c>
      <c r="G11" s="59" t="s">
        <v>75</v>
      </c>
      <c r="H11" s="57">
        <v>1000000037</v>
      </c>
      <c r="I11" s="57" t="s">
        <v>17</v>
      </c>
      <c r="J11" s="60">
        <v>4500000567</v>
      </c>
      <c r="L11" s="132" t="s">
        <v>101</v>
      </c>
      <c r="M11" s="130">
        <v>2922.61</v>
      </c>
      <c r="N11" s="125">
        <v>0</v>
      </c>
      <c r="O11" s="126"/>
    </row>
    <row r="12" spans="1:15" x14ac:dyDescent="0.25">
      <c r="A12" s="56">
        <v>46063</v>
      </c>
      <c r="B12" s="71" t="s">
        <v>81</v>
      </c>
      <c r="C12" s="67">
        <v>2226</v>
      </c>
      <c r="D12" s="74">
        <v>80</v>
      </c>
      <c r="E12" s="72">
        <f>Table5[[#This Row],[Weight KG]]/1000</f>
        <v>7.98</v>
      </c>
      <c r="F12" s="69">
        <v>7980</v>
      </c>
      <c r="G12" s="59" t="s">
        <v>75</v>
      </c>
      <c r="H12" s="57">
        <v>1000000037</v>
      </c>
      <c r="I12" s="57" t="s">
        <v>17</v>
      </c>
      <c r="J12" s="60">
        <v>4500000567</v>
      </c>
      <c r="L12" s="133" t="s">
        <v>102</v>
      </c>
      <c r="M12" s="130">
        <v>2078</v>
      </c>
      <c r="N12" s="125">
        <v>0</v>
      </c>
      <c r="O12" s="126"/>
    </row>
    <row r="13" spans="1:15" x14ac:dyDescent="0.25">
      <c r="A13" s="56">
        <v>46063</v>
      </c>
      <c r="B13" s="71" t="s">
        <v>81</v>
      </c>
      <c r="C13" s="67">
        <v>573</v>
      </c>
      <c r="D13" s="75">
        <v>80</v>
      </c>
      <c r="E13" s="72">
        <f>Table5[[#This Row],[Weight KG]]/1000</f>
        <v>7.88</v>
      </c>
      <c r="F13" s="69">
        <v>7880</v>
      </c>
      <c r="G13" s="59" t="s">
        <v>75</v>
      </c>
      <c r="H13" s="57">
        <v>1000000037</v>
      </c>
      <c r="I13" s="57" t="s">
        <v>17</v>
      </c>
      <c r="J13" s="60">
        <v>4500000567</v>
      </c>
      <c r="L13" s="118">
        <v>4500000293</v>
      </c>
      <c r="M13" s="130">
        <v>2500</v>
      </c>
      <c r="N13" s="123">
        <v>0</v>
      </c>
      <c r="O13" s="124"/>
    </row>
    <row r="14" spans="1:15" x14ac:dyDescent="0.25">
      <c r="A14" s="56">
        <v>46063</v>
      </c>
      <c r="B14" s="71" t="s">
        <v>81</v>
      </c>
      <c r="C14" s="67">
        <v>264</v>
      </c>
      <c r="D14" s="74">
        <v>80</v>
      </c>
      <c r="E14" s="72">
        <f>Table5[[#This Row],[Weight KG]]/1000</f>
        <v>7.98</v>
      </c>
      <c r="F14" s="69">
        <v>7980</v>
      </c>
      <c r="G14" s="59" t="s">
        <v>75</v>
      </c>
      <c r="H14" s="57">
        <v>1000000037</v>
      </c>
      <c r="I14" s="57" t="s">
        <v>17</v>
      </c>
      <c r="J14" s="60">
        <v>4500000567</v>
      </c>
      <c r="L14" s="119" t="s">
        <v>83</v>
      </c>
      <c r="M14" s="130"/>
      <c r="N14" s="123"/>
      <c r="O14" s="124"/>
    </row>
    <row r="15" spans="1:15" x14ac:dyDescent="0.25">
      <c r="A15" s="56">
        <v>46063</v>
      </c>
      <c r="B15" s="71" t="s">
        <v>81</v>
      </c>
      <c r="C15" s="67">
        <v>343</v>
      </c>
      <c r="D15" s="75">
        <v>80</v>
      </c>
      <c r="E15" s="72">
        <f>Table5[[#This Row],[Weight KG]]/1000</f>
        <v>7.9</v>
      </c>
      <c r="F15" s="69">
        <v>7900</v>
      </c>
      <c r="G15" s="59" t="s">
        <v>75</v>
      </c>
      <c r="H15" s="57">
        <v>1000000037</v>
      </c>
      <c r="I15" s="57" t="s">
        <v>17</v>
      </c>
      <c r="J15" s="60">
        <v>4500000567</v>
      </c>
      <c r="L15" s="120" t="s">
        <v>84</v>
      </c>
      <c r="M15" s="130">
        <v>2500</v>
      </c>
      <c r="N15" s="123">
        <v>0</v>
      </c>
      <c r="O15" s="124"/>
    </row>
    <row r="16" spans="1:15" x14ac:dyDescent="0.25">
      <c r="A16" s="56">
        <v>46063</v>
      </c>
      <c r="B16" s="71" t="s">
        <v>81</v>
      </c>
      <c r="C16" s="67">
        <v>263</v>
      </c>
      <c r="D16" s="74">
        <v>80</v>
      </c>
      <c r="E16" s="72">
        <f>Table5[[#This Row],[Weight KG]]/1000</f>
        <v>7.86</v>
      </c>
      <c r="F16" s="69">
        <v>7860</v>
      </c>
      <c r="G16" s="59" t="s">
        <v>75</v>
      </c>
      <c r="H16" s="57">
        <v>1000000037</v>
      </c>
      <c r="I16" s="57" t="s">
        <v>17</v>
      </c>
      <c r="J16" s="60">
        <v>4500000567</v>
      </c>
      <c r="L16" s="118">
        <v>4500000294</v>
      </c>
      <c r="M16" s="130">
        <v>2020</v>
      </c>
      <c r="N16" s="123">
        <v>0</v>
      </c>
      <c r="O16" s="124"/>
    </row>
    <row r="17" spans="1:15" x14ac:dyDescent="0.25">
      <c r="A17" s="56">
        <v>46063</v>
      </c>
      <c r="B17" s="71" t="s">
        <v>81</v>
      </c>
      <c r="C17" s="67">
        <v>1606</v>
      </c>
      <c r="D17" s="75">
        <v>80</v>
      </c>
      <c r="E17" s="72">
        <f>Table5[[#This Row],[Weight KG]]/1000</f>
        <v>7.86</v>
      </c>
      <c r="F17" s="69">
        <v>7860</v>
      </c>
      <c r="G17" s="59" t="s">
        <v>75</v>
      </c>
      <c r="H17" s="57">
        <v>1000000037</v>
      </c>
      <c r="I17" s="57" t="s">
        <v>17</v>
      </c>
      <c r="J17" s="60">
        <v>4500000567</v>
      </c>
      <c r="L17" s="119" t="s">
        <v>82</v>
      </c>
      <c r="M17" s="130"/>
      <c r="N17" s="123"/>
      <c r="O17" s="124"/>
    </row>
    <row r="18" spans="1:15" x14ac:dyDescent="0.25">
      <c r="A18" s="56">
        <v>46063</v>
      </c>
      <c r="B18" s="71" t="s">
        <v>81</v>
      </c>
      <c r="C18" s="67">
        <v>62023</v>
      </c>
      <c r="D18" s="74">
        <v>80</v>
      </c>
      <c r="E18" s="72">
        <f>Table5[[#This Row],[Weight KG]]/1000</f>
        <v>8</v>
      </c>
      <c r="F18" s="69">
        <v>8000</v>
      </c>
      <c r="G18" s="59" t="s">
        <v>75</v>
      </c>
      <c r="H18" s="57">
        <v>1000000037</v>
      </c>
      <c r="I18" s="57" t="s">
        <v>17</v>
      </c>
      <c r="J18" s="60">
        <v>4500000567</v>
      </c>
      <c r="L18" s="132" t="s">
        <v>103</v>
      </c>
      <c r="M18" s="130">
        <v>1942</v>
      </c>
      <c r="N18" s="125">
        <v>0</v>
      </c>
      <c r="O18" s="126"/>
    </row>
    <row r="19" spans="1:15" x14ac:dyDescent="0.25">
      <c r="A19" s="56">
        <v>46063</v>
      </c>
      <c r="B19" s="71" t="s">
        <v>81</v>
      </c>
      <c r="C19" s="67">
        <v>41109</v>
      </c>
      <c r="D19" s="75">
        <v>80</v>
      </c>
      <c r="E19" s="72">
        <f>Table5[[#This Row],[Weight KG]]/1000</f>
        <v>8.0399999999999991</v>
      </c>
      <c r="F19" s="69">
        <v>8040</v>
      </c>
      <c r="G19" s="59" t="s">
        <v>75</v>
      </c>
      <c r="H19" s="57">
        <v>1000000037</v>
      </c>
      <c r="I19" s="57" t="s">
        <v>17</v>
      </c>
      <c r="J19" s="60">
        <v>4500000567</v>
      </c>
      <c r="L19" s="133" t="s">
        <v>100</v>
      </c>
      <c r="M19" s="130">
        <v>78</v>
      </c>
      <c r="N19" s="125">
        <v>0</v>
      </c>
      <c r="O19" s="126"/>
    </row>
    <row r="20" spans="1:15" x14ac:dyDescent="0.25">
      <c r="A20" s="56">
        <v>46063</v>
      </c>
      <c r="B20" s="71" t="s">
        <v>81</v>
      </c>
      <c r="C20" s="71">
        <v>1056</v>
      </c>
      <c r="D20" s="74">
        <v>80</v>
      </c>
      <c r="E20" s="72">
        <f>Table5[[#This Row],[Weight KG]]/1000</f>
        <v>7.74</v>
      </c>
      <c r="F20" s="69">
        <v>7740</v>
      </c>
      <c r="G20" s="59" t="s">
        <v>75</v>
      </c>
      <c r="H20" s="57">
        <v>1000000037</v>
      </c>
      <c r="I20" s="57" t="s">
        <v>17</v>
      </c>
      <c r="J20" s="60">
        <v>4500000567</v>
      </c>
      <c r="L20" s="116" t="s">
        <v>81</v>
      </c>
      <c r="M20" s="130">
        <v>1569.98</v>
      </c>
      <c r="N20" s="123">
        <v>15461</v>
      </c>
      <c r="O20" s="126">
        <v>160</v>
      </c>
    </row>
    <row r="21" spans="1:15" x14ac:dyDescent="0.25">
      <c r="A21" s="56">
        <v>46063</v>
      </c>
      <c r="B21" s="71" t="s">
        <v>81</v>
      </c>
      <c r="C21" s="67">
        <v>293</v>
      </c>
      <c r="D21" s="75">
        <v>80</v>
      </c>
      <c r="E21" s="72">
        <f>Table5[[#This Row],[Weight KG]]/1000</f>
        <v>7.76</v>
      </c>
      <c r="F21" s="69">
        <v>7760</v>
      </c>
      <c r="G21" s="59" t="s">
        <v>75</v>
      </c>
      <c r="H21" s="57">
        <v>1000000037</v>
      </c>
      <c r="I21" s="57" t="s">
        <v>17</v>
      </c>
      <c r="J21" s="60">
        <v>4500000567</v>
      </c>
      <c r="L21" s="117" t="s">
        <v>75</v>
      </c>
      <c r="M21" s="130"/>
      <c r="N21" s="123"/>
      <c r="O21" s="126"/>
    </row>
    <row r="22" spans="1:15" x14ac:dyDescent="0.25">
      <c r="A22" s="56">
        <v>46063</v>
      </c>
      <c r="B22" s="71" t="s">
        <v>81</v>
      </c>
      <c r="C22" s="71">
        <v>15094</v>
      </c>
      <c r="D22" s="74">
        <v>80</v>
      </c>
      <c r="E22" s="72">
        <f>Table5[[#This Row],[Weight KG]]/1000</f>
        <v>7.86</v>
      </c>
      <c r="F22" s="69">
        <v>7860</v>
      </c>
      <c r="G22" s="59" t="s">
        <v>75</v>
      </c>
      <c r="H22" s="57">
        <v>1000000037</v>
      </c>
      <c r="I22" s="57" t="s">
        <v>17</v>
      </c>
      <c r="J22" s="60">
        <v>4500000567</v>
      </c>
      <c r="L22" s="118">
        <v>4500000567</v>
      </c>
      <c r="M22" s="130">
        <v>1569.98</v>
      </c>
      <c r="N22" s="123">
        <v>15461</v>
      </c>
      <c r="O22" s="126">
        <v>160</v>
      </c>
    </row>
    <row r="23" spans="1:15" x14ac:dyDescent="0.25">
      <c r="A23" s="56">
        <v>46063</v>
      </c>
      <c r="B23" s="71" t="s">
        <v>81</v>
      </c>
      <c r="C23" s="67">
        <v>1080</v>
      </c>
      <c r="D23" s="75">
        <v>80</v>
      </c>
      <c r="E23" s="72">
        <f>Table5[[#This Row],[Weight KG]]/1000</f>
        <v>8</v>
      </c>
      <c r="F23" s="69">
        <v>8000</v>
      </c>
      <c r="G23" s="59" t="s">
        <v>75</v>
      </c>
      <c r="H23" s="57">
        <v>1000000037</v>
      </c>
      <c r="I23" s="57" t="s">
        <v>17</v>
      </c>
      <c r="J23" s="60">
        <v>4500000567</v>
      </c>
      <c r="L23" s="119" t="s">
        <v>83</v>
      </c>
      <c r="M23" s="130"/>
      <c r="N23" s="123"/>
      <c r="O23" s="126"/>
    </row>
    <row r="24" spans="1:15" x14ac:dyDescent="0.25">
      <c r="A24" s="56">
        <v>46063</v>
      </c>
      <c r="B24" s="71" t="s">
        <v>81</v>
      </c>
      <c r="C24" s="71">
        <v>764</v>
      </c>
      <c r="D24" s="74">
        <v>80</v>
      </c>
      <c r="E24" s="72">
        <f>Table5[[#This Row],[Weight KG]]/1000</f>
        <v>8</v>
      </c>
      <c r="F24" s="69">
        <v>8000</v>
      </c>
      <c r="G24" s="59" t="s">
        <v>75</v>
      </c>
      <c r="H24" s="57">
        <v>1000000037</v>
      </c>
      <c r="I24" s="57" t="s">
        <v>17</v>
      </c>
      <c r="J24" s="60">
        <v>4500000567</v>
      </c>
      <c r="L24" s="132" t="s">
        <v>86</v>
      </c>
      <c r="M24" s="130">
        <v>222.02</v>
      </c>
      <c r="N24" s="125">
        <v>2220</v>
      </c>
      <c r="O24" s="126">
        <v>27</v>
      </c>
    </row>
    <row r="25" spans="1:15" x14ac:dyDescent="0.25">
      <c r="A25" s="56">
        <v>46063</v>
      </c>
      <c r="B25" s="71" t="s">
        <v>81</v>
      </c>
      <c r="C25" s="67">
        <v>91</v>
      </c>
      <c r="D25" s="75">
        <v>80</v>
      </c>
      <c r="E25" s="72">
        <f>Table5[[#This Row],[Weight KG]]/1000</f>
        <v>7.94</v>
      </c>
      <c r="F25" s="69">
        <v>7940</v>
      </c>
      <c r="G25" s="59" t="s">
        <v>75</v>
      </c>
      <c r="H25" s="57">
        <v>1000000037</v>
      </c>
      <c r="I25" s="57" t="s">
        <v>17</v>
      </c>
      <c r="J25" s="60">
        <v>4500000567</v>
      </c>
      <c r="L25" s="134" t="s">
        <v>87</v>
      </c>
      <c r="M25" s="130">
        <v>301.44</v>
      </c>
      <c r="N25" s="125">
        <v>3000</v>
      </c>
      <c r="O25" s="126">
        <v>37</v>
      </c>
    </row>
    <row r="26" spans="1:15" x14ac:dyDescent="0.25">
      <c r="A26" s="56">
        <v>46063</v>
      </c>
      <c r="B26" s="71" t="s">
        <v>81</v>
      </c>
      <c r="C26" s="71">
        <v>1717</v>
      </c>
      <c r="D26" s="74">
        <v>80</v>
      </c>
      <c r="E26" s="72">
        <f>Table5[[#This Row],[Weight KG]]/1000</f>
        <v>8.0399999999999991</v>
      </c>
      <c r="F26" s="69">
        <v>8040</v>
      </c>
      <c r="G26" s="59" t="s">
        <v>75</v>
      </c>
      <c r="H26" s="57">
        <v>1000000037</v>
      </c>
      <c r="I26" s="57" t="s">
        <v>17</v>
      </c>
      <c r="J26" s="60">
        <v>4500000567</v>
      </c>
      <c r="L26" s="134" t="s">
        <v>88</v>
      </c>
      <c r="M26" s="130">
        <v>405.53999999999979</v>
      </c>
      <c r="N26" s="125">
        <v>4000</v>
      </c>
      <c r="O26" s="126">
        <v>46</v>
      </c>
    </row>
    <row r="27" spans="1:15" x14ac:dyDescent="0.25">
      <c r="A27" s="56">
        <v>46063</v>
      </c>
      <c r="B27" s="71" t="s">
        <v>81</v>
      </c>
      <c r="C27" s="67">
        <v>737</v>
      </c>
      <c r="D27" s="75">
        <v>80</v>
      </c>
      <c r="E27" s="72">
        <f>Table5[[#This Row],[Weight KG]]/1000</f>
        <v>8.02</v>
      </c>
      <c r="F27" s="69">
        <v>8020</v>
      </c>
      <c r="G27" s="59" t="s">
        <v>75</v>
      </c>
      <c r="H27" s="57">
        <v>1000000037</v>
      </c>
      <c r="I27" s="57" t="s">
        <v>17</v>
      </c>
      <c r="J27" s="60">
        <v>4500000567</v>
      </c>
      <c r="L27" s="134" t="s">
        <v>89</v>
      </c>
      <c r="M27" s="130">
        <v>271.54000000000002</v>
      </c>
      <c r="N27" s="125">
        <v>2641</v>
      </c>
      <c r="O27" s="126">
        <v>22</v>
      </c>
    </row>
    <row r="28" spans="1:15" x14ac:dyDescent="0.25">
      <c r="A28" s="56">
        <v>46063</v>
      </c>
      <c r="B28" s="71" t="s">
        <v>81</v>
      </c>
      <c r="C28" s="71">
        <v>915</v>
      </c>
      <c r="D28" s="74">
        <v>80</v>
      </c>
      <c r="E28" s="72">
        <f>Table5[[#This Row],[Weight KG]]/1000</f>
        <v>8.06</v>
      </c>
      <c r="F28" s="69">
        <v>8060</v>
      </c>
      <c r="G28" s="59" t="s">
        <v>75</v>
      </c>
      <c r="H28" s="57">
        <v>1000000037</v>
      </c>
      <c r="I28" s="57" t="s">
        <v>17</v>
      </c>
      <c r="J28" s="60">
        <v>4500000567</v>
      </c>
      <c r="L28" s="134" t="s">
        <v>90</v>
      </c>
      <c r="M28" s="130">
        <v>269.11999999999995</v>
      </c>
      <c r="N28" s="125">
        <v>2620</v>
      </c>
      <c r="O28" s="126">
        <v>25</v>
      </c>
    </row>
    <row r="29" spans="1:15" x14ac:dyDescent="0.25">
      <c r="A29" s="56">
        <v>46063</v>
      </c>
      <c r="B29" s="71" t="s">
        <v>81</v>
      </c>
      <c r="C29" s="67">
        <v>573</v>
      </c>
      <c r="D29" s="75">
        <v>80</v>
      </c>
      <c r="E29" s="72">
        <f>Table5[[#This Row],[Weight KG]]/1000</f>
        <v>8.06</v>
      </c>
      <c r="F29" s="69">
        <v>8060</v>
      </c>
      <c r="G29" s="59" t="s">
        <v>75</v>
      </c>
      <c r="H29" s="57">
        <v>1000000037</v>
      </c>
      <c r="I29" s="57" t="s">
        <v>17</v>
      </c>
      <c r="J29" s="60">
        <v>4500000567</v>
      </c>
      <c r="L29" s="133" t="s">
        <v>91</v>
      </c>
      <c r="M29" s="130">
        <v>100.32</v>
      </c>
      <c r="N29" s="125">
        <v>980</v>
      </c>
      <c r="O29" s="126">
        <v>3</v>
      </c>
    </row>
    <row r="30" spans="1:15" x14ac:dyDescent="0.25">
      <c r="A30" s="56">
        <v>46063</v>
      </c>
      <c r="B30" s="71" t="s">
        <v>81</v>
      </c>
      <c r="C30" s="71">
        <v>2226</v>
      </c>
      <c r="D30" s="74">
        <v>80</v>
      </c>
      <c r="E30" s="72">
        <f>Table5[[#This Row],[Weight KG]]/1000</f>
        <v>8</v>
      </c>
      <c r="F30" s="69">
        <v>8000</v>
      </c>
      <c r="G30" s="59" t="s">
        <v>75</v>
      </c>
      <c r="H30" s="57">
        <v>1000000037</v>
      </c>
      <c r="I30" s="57" t="s">
        <v>17</v>
      </c>
      <c r="J30" s="60">
        <v>4500000567</v>
      </c>
      <c r="L30" s="116" t="s">
        <v>34</v>
      </c>
      <c r="M30" s="131">
        <v>11570.590000000004</v>
      </c>
      <c r="N30" s="127">
        <v>15461</v>
      </c>
      <c r="O30" s="128">
        <v>160</v>
      </c>
    </row>
    <row r="31" spans="1:15" x14ac:dyDescent="0.25">
      <c r="A31" s="56">
        <v>46063</v>
      </c>
      <c r="B31" s="71" t="s">
        <v>81</v>
      </c>
      <c r="C31" s="67">
        <v>263</v>
      </c>
      <c r="D31" s="75">
        <v>80</v>
      </c>
      <c r="E31" s="72">
        <f>Table5[[#This Row],[Weight KG]]/1000</f>
        <v>8.0399999999999991</v>
      </c>
      <c r="F31" s="69">
        <v>8040</v>
      </c>
      <c r="G31" s="59" t="s">
        <v>75</v>
      </c>
      <c r="H31" s="57">
        <v>1000000037</v>
      </c>
      <c r="I31" s="57" t="s">
        <v>17</v>
      </c>
      <c r="J31" s="60">
        <v>4500000567</v>
      </c>
    </row>
    <row r="32" spans="1:15" x14ac:dyDescent="0.25">
      <c r="A32" s="56">
        <v>46063</v>
      </c>
      <c r="B32" s="71" t="s">
        <v>81</v>
      </c>
      <c r="C32" s="71">
        <v>42209</v>
      </c>
      <c r="D32" s="74">
        <v>80</v>
      </c>
      <c r="E32" s="72">
        <f>Table5[[#This Row],[Weight KG]]/1000</f>
        <v>8.1</v>
      </c>
      <c r="F32" s="69">
        <v>8100</v>
      </c>
      <c r="G32" s="59" t="s">
        <v>75</v>
      </c>
      <c r="H32" s="57">
        <v>1000000037</v>
      </c>
      <c r="I32" s="57" t="s">
        <v>17</v>
      </c>
      <c r="J32" s="60">
        <v>4500000567</v>
      </c>
    </row>
    <row r="33" spans="1:10" x14ac:dyDescent="0.25">
      <c r="A33" s="56">
        <v>46063</v>
      </c>
      <c r="B33" s="71" t="s">
        <v>81</v>
      </c>
      <c r="C33" s="67">
        <v>16429</v>
      </c>
      <c r="D33" s="75">
        <v>82</v>
      </c>
      <c r="E33" s="72">
        <f>Table5[[#This Row],[Weight KG]]/1000</f>
        <v>8.2799999999999994</v>
      </c>
      <c r="F33" s="69">
        <v>8280</v>
      </c>
      <c r="G33" s="59" t="s">
        <v>75</v>
      </c>
      <c r="H33" s="57">
        <v>1000000037</v>
      </c>
      <c r="I33" s="57" t="s">
        <v>17</v>
      </c>
      <c r="J33" s="60">
        <v>4500000567</v>
      </c>
    </row>
    <row r="34" spans="1:10" x14ac:dyDescent="0.25">
      <c r="A34" s="56">
        <v>46063</v>
      </c>
      <c r="B34" s="71" t="s">
        <v>81</v>
      </c>
      <c r="C34" s="71">
        <v>69</v>
      </c>
      <c r="D34" s="75">
        <v>138</v>
      </c>
      <c r="E34" s="72">
        <f>Table5[[#This Row],[Weight KG]]/1000</f>
        <v>14.56</v>
      </c>
      <c r="F34" s="73">
        <v>14560</v>
      </c>
      <c r="G34" s="59" t="s">
        <v>75</v>
      </c>
      <c r="H34" s="57">
        <v>1000000037</v>
      </c>
      <c r="I34" s="57" t="s">
        <v>17</v>
      </c>
      <c r="J34" s="60">
        <v>4500000567</v>
      </c>
    </row>
    <row r="35" spans="1:10" x14ac:dyDescent="0.25">
      <c r="A35" s="56">
        <v>46064</v>
      </c>
      <c r="B35" s="71" t="s">
        <v>81</v>
      </c>
      <c r="C35" s="67">
        <v>70579</v>
      </c>
      <c r="D35" s="67">
        <v>85</v>
      </c>
      <c r="E35" s="72">
        <f>Table5[[#This Row],[Weight KG]]/1000</f>
        <v>8.2799999999999994</v>
      </c>
      <c r="F35" s="69">
        <v>8280</v>
      </c>
      <c r="G35" s="59" t="s">
        <v>75</v>
      </c>
      <c r="H35" s="57">
        <v>1000000037</v>
      </c>
      <c r="I35" s="57" t="s">
        <v>17</v>
      </c>
      <c r="J35" s="60">
        <v>4500000567</v>
      </c>
    </row>
    <row r="36" spans="1:10" x14ac:dyDescent="0.25">
      <c r="A36" s="66">
        <v>46064</v>
      </c>
      <c r="B36" s="71" t="s">
        <v>81</v>
      </c>
      <c r="C36" s="67">
        <v>59757</v>
      </c>
      <c r="D36" s="67">
        <v>80</v>
      </c>
      <c r="E36" s="72">
        <f>Table5[[#This Row],[Weight KG]]/1000</f>
        <v>7.98</v>
      </c>
      <c r="F36" s="69">
        <v>7980</v>
      </c>
      <c r="G36" s="59" t="s">
        <v>75</v>
      </c>
      <c r="H36" s="57">
        <v>1000000037</v>
      </c>
      <c r="I36" s="57" t="s">
        <v>17</v>
      </c>
      <c r="J36" s="60">
        <v>4500000567</v>
      </c>
    </row>
    <row r="37" spans="1:10" x14ac:dyDescent="0.25">
      <c r="A37" s="66">
        <v>46064</v>
      </c>
      <c r="B37" s="71" t="s">
        <v>81</v>
      </c>
      <c r="C37" s="67">
        <v>42209</v>
      </c>
      <c r="D37" s="67">
        <v>85</v>
      </c>
      <c r="E37" s="72">
        <f>Table5[[#This Row],[Weight KG]]/1000</f>
        <v>8.3000000000000007</v>
      </c>
      <c r="F37" s="69">
        <v>8300</v>
      </c>
      <c r="G37" s="59" t="s">
        <v>75</v>
      </c>
      <c r="H37" s="57">
        <v>1000000037</v>
      </c>
      <c r="I37" s="57" t="s">
        <v>17</v>
      </c>
      <c r="J37" s="60">
        <v>4500000567</v>
      </c>
    </row>
    <row r="38" spans="1:10" x14ac:dyDescent="0.25">
      <c r="A38" s="66">
        <v>46064</v>
      </c>
      <c r="B38" s="71" t="s">
        <v>81</v>
      </c>
      <c r="C38" s="67">
        <v>9373</v>
      </c>
      <c r="D38" s="67">
        <v>80</v>
      </c>
      <c r="E38" s="72">
        <f>Table5[[#This Row],[Weight KG]]/1000</f>
        <v>8</v>
      </c>
      <c r="F38" s="69">
        <v>8000</v>
      </c>
      <c r="G38" s="59" t="s">
        <v>75</v>
      </c>
      <c r="H38" s="57">
        <v>1000000037</v>
      </c>
      <c r="I38" s="57" t="s">
        <v>17</v>
      </c>
      <c r="J38" s="60">
        <v>4500000567</v>
      </c>
    </row>
    <row r="39" spans="1:10" x14ac:dyDescent="0.25">
      <c r="A39" s="66">
        <v>46064</v>
      </c>
      <c r="B39" s="71" t="s">
        <v>81</v>
      </c>
      <c r="C39" s="67">
        <v>605</v>
      </c>
      <c r="D39" s="67">
        <v>80</v>
      </c>
      <c r="E39" s="72">
        <f>Table5[[#This Row],[Weight KG]]/1000</f>
        <v>8.06</v>
      </c>
      <c r="F39" s="69">
        <v>8060</v>
      </c>
      <c r="G39" s="59" t="s">
        <v>75</v>
      </c>
      <c r="H39" s="57">
        <v>1000000037</v>
      </c>
      <c r="I39" s="57" t="s">
        <v>17</v>
      </c>
      <c r="J39" s="60">
        <v>4500000567</v>
      </c>
    </row>
    <row r="40" spans="1:10" x14ac:dyDescent="0.25">
      <c r="A40" s="66">
        <v>46064</v>
      </c>
      <c r="B40" s="71" t="s">
        <v>81</v>
      </c>
      <c r="C40" s="67">
        <v>938</v>
      </c>
      <c r="D40" s="67">
        <v>80</v>
      </c>
      <c r="E40" s="72">
        <f>Table5[[#This Row],[Weight KG]]/1000</f>
        <v>8.1</v>
      </c>
      <c r="F40" s="69">
        <v>8100</v>
      </c>
      <c r="G40" s="59" t="s">
        <v>75</v>
      </c>
      <c r="H40" s="57">
        <v>1000000037</v>
      </c>
      <c r="I40" s="57" t="s">
        <v>17</v>
      </c>
      <c r="J40" s="60">
        <v>4500000567</v>
      </c>
    </row>
    <row r="41" spans="1:10" x14ac:dyDescent="0.25">
      <c r="A41" s="66">
        <v>46064</v>
      </c>
      <c r="B41" s="71" t="s">
        <v>81</v>
      </c>
      <c r="C41" s="67">
        <v>9373</v>
      </c>
      <c r="D41" s="67">
        <v>80</v>
      </c>
      <c r="E41" s="72">
        <f>Table5[[#This Row],[Weight KG]]/1000</f>
        <v>8.0399999999999991</v>
      </c>
      <c r="F41" s="69">
        <v>8040</v>
      </c>
      <c r="G41" s="59" t="s">
        <v>75</v>
      </c>
      <c r="H41" s="57">
        <v>1000000037</v>
      </c>
      <c r="I41" s="57" t="s">
        <v>17</v>
      </c>
      <c r="J41" s="60">
        <v>4500000567</v>
      </c>
    </row>
    <row r="42" spans="1:10" x14ac:dyDescent="0.25">
      <c r="A42" s="66">
        <v>46064</v>
      </c>
      <c r="B42" s="71" t="s">
        <v>81</v>
      </c>
      <c r="C42" s="67">
        <v>989</v>
      </c>
      <c r="D42" s="67">
        <v>80</v>
      </c>
      <c r="E42" s="72">
        <f>Table5[[#This Row],[Weight KG]]/1000</f>
        <v>8.18</v>
      </c>
      <c r="F42" s="69">
        <v>8180</v>
      </c>
      <c r="G42" s="59" t="s">
        <v>75</v>
      </c>
      <c r="H42" s="57">
        <v>1000000037</v>
      </c>
      <c r="I42" s="57" t="s">
        <v>17</v>
      </c>
      <c r="J42" s="60">
        <v>4500000567</v>
      </c>
    </row>
    <row r="43" spans="1:10" x14ac:dyDescent="0.25">
      <c r="A43" s="66">
        <v>46064</v>
      </c>
      <c r="B43" s="71" t="s">
        <v>81</v>
      </c>
      <c r="C43" s="67">
        <v>764</v>
      </c>
      <c r="D43" s="67">
        <v>80</v>
      </c>
      <c r="E43" s="72">
        <f>Table5[[#This Row],[Weight KG]]/1000</f>
        <v>8.06</v>
      </c>
      <c r="F43" s="69">
        <v>8060</v>
      </c>
      <c r="G43" s="59" t="s">
        <v>75</v>
      </c>
      <c r="H43" s="57">
        <v>1000000037</v>
      </c>
      <c r="I43" s="57" t="s">
        <v>17</v>
      </c>
      <c r="J43" s="60">
        <v>4500000567</v>
      </c>
    </row>
    <row r="44" spans="1:10" x14ac:dyDescent="0.25">
      <c r="A44" s="66">
        <v>46064</v>
      </c>
      <c r="B44" s="71" t="s">
        <v>81</v>
      </c>
      <c r="C44" s="67">
        <v>663</v>
      </c>
      <c r="D44" s="67">
        <v>80</v>
      </c>
      <c r="E44" s="72">
        <f>Table5[[#This Row],[Weight KG]]/1000</f>
        <v>8.02</v>
      </c>
      <c r="F44" s="69">
        <v>8020</v>
      </c>
      <c r="G44" s="59" t="s">
        <v>75</v>
      </c>
      <c r="H44" s="57">
        <v>1000000037</v>
      </c>
      <c r="I44" s="57" t="s">
        <v>17</v>
      </c>
      <c r="J44" s="60">
        <v>4500000567</v>
      </c>
    </row>
    <row r="45" spans="1:10" x14ac:dyDescent="0.25">
      <c r="A45" s="66">
        <v>46064</v>
      </c>
      <c r="B45" s="71" t="s">
        <v>81</v>
      </c>
      <c r="C45" s="67">
        <v>611</v>
      </c>
      <c r="D45" s="67">
        <v>80</v>
      </c>
      <c r="E45" s="72">
        <f>Table5[[#This Row],[Weight KG]]/1000</f>
        <v>8.14</v>
      </c>
      <c r="F45" s="69">
        <v>8140</v>
      </c>
      <c r="G45" s="59" t="s">
        <v>75</v>
      </c>
      <c r="H45" s="57">
        <v>1000000037</v>
      </c>
      <c r="I45" s="57" t="s">
        <v>17</v>
      </c>
      <c r="J45" s="60">
        <v>4500000567</v>
      </c>
    </row>
    <row r="46" spans="1:10" x14ac:dyDescent="0.25">
      <c r="A46" s="66">
        <v>46064</v>
      </c>
      <c r="B46" s="71" t="s">
        <v>81</v>
      </c>
      <c r="C46" s="67">
        <v>742</v>
      </c>
      <c r="D46" s="67">
        <v>80</v>
      </c>
      <c r="E46" s="72">
        <f>Table5[[#This Row],[Weight KG]]/1000</f>
        <v>8.1</v>
      </c>
      <c r="F46" s="69">
        <v>8100</v>
      </c>
      <c r="G46" s="59" t="s">
        <v>75</v>
      </c>
      <c r="H46" s="57">
        <v>1000000037</v>
      </c>
      <c r="I46" s="57" t="s">
        <v>17</v>
      </c>
      <c r="J46" s="60">
        <v>4500000567</v>
      </c>
    </row>
    <row r="47" spans="1:10" x14ac:dyDescent="0.25">
      <c r="A47" s="66">
        <v>46064</v>
      </c>
      <c r="B47" s="71" t="s">
        <v>81</v>
      </c>
      <c r="C47" s="67">
        <v>303</v>
      </c>
      <c r="D47" s="67">
        <v>80</v>
      </c>
      <c r="E47" s="72">
        <f>Table5[[#This Row],[Weight KG]]/1000</f>
        <v>8.1199999999999992</v>
      </c>
      <c r="F47" s="69">
        <v>8120</v>
      </c>
      <c r="G47" s="59" t="s">
        <v>75</v>
      </c>
      <c r="H47" s="57">
        <v>1000000037</v>
      </c>
      <c r="I47" s="57" t="s">
        <v>17</v>
      </c>
      <c r="J47" s="60">
        <v>4500000567</v>
      </c>
    </row>
    <row r="48" spans="1:10" x14ac:dyDescent="0.25">
      <c r="A48" s="66">
        <v>46064</v>
      </c>
      <c r="B48" s="71" t="s">
        <v>81</v>
      </c>
      <c r="C48" s="67">
        <v>1012</v>
      </c>
      <c r="D48" s="67">
        <v>80</v>
      </c>
      <c r="E48" s="72">
        <f>Table5[[#This Row],[Weight KG]]/1000</f>
        <v>8.16</v>
      </c>
      <c r="F48" s="69">
        <v>8160</v>
      </c>
      <c r="G48" s="59" t="s">
        <v>75</v>
      </c>
      <c r="H48" s="57">
        <v>1000000037</v>
      </c>
      <c r="I48" s="57" t="s">
        <v>17</v>
      </c>
      <c r="J48" s="60">
        <v>4500000567</v>
      </c>
    </row>
    <row r="49" spans="1:10" x14ac:dyDescent="0.25">
      <c r="A49" s="66">
        <v>46064</v>
      </c>
      <c r="B49" s="71" t="s">
        <v>81</v>
      </c>
      <c r="C49" s="67">
        <v>1651</v>
      </c>
      <c r="D49" s="67">
        <v>80</v>
      </c>
      <c r="E49" s="72">
        <f>Table5[[#This Row],[Weight KG]]/1000</f>
        <v>8.3000000000000007</v>
      </c>
      <c r="F49" s="69">
        <v>8300</v>
      </c>
      <c r="G49" s="59" t="s">
        <v>75</v>
      </c>
      <c r="H49" s="57">
        <v>1000000037</v>
      </c>
      <c r="I49" s="57" t="s">
        <v>17</v>
      </c>
      <c r="J49" s="60">
        <v>4500000567</v>
      </c>
    </row>
    <row r="50" spans="1:10" x14ac:dyDescent="0.25">
      <c r="A50" s="66">
        <v>46064</v>
      </c>
      <c r="B50" s="71" t="s">
        <v>81</v>
      </c>
      <c r="C50" s="67">
        <v>945</v>
      </c>
      <c r="D50" s="67">
        <v>80</v>
      </c>
      <c r="E50" s="72">
        <f>Table5[[#This Row],[Weight KG]]/1000</f>
        <v>8.14</v>
      </c>
      <c r="F50" s="69">
        <v>8140</v>
      </c>
      <c r="G50" s="59" t="s">
        <v>75</v>
      </c>
      <c r="H50" s="57">
        <v>1000000037</v>
      </c>
      <c r="I50" s="57" t="s">
        <v>17</v>
      </c>
      <c r="J50" s="60">
        <v>4500000567</v>
      </c>
    </row>
    <row r="51" spans="1:10" x14ac:dyDescent="0.25">
      <c r="A51" s="66">
        <v>46064</v>
      </c>
      <c r="B51" s="71" t="s">
        <v>81</v>
      </c>
      <c r="C51" s="67">
        <v>149</v>
      </c>
      <c r="D51" s="67">
        <v>80</v>
      </c>
      <c r="E51" s="72">
        <f>Table5[[#This Row],[Weight KG]]/1000</f>
        <v>8.18</v>
      </c>
      <c r="F51" s="69">
        <v>8180</v>
      </c>
      <c r="G51" s="59" t="s">
        <v>75</v>
      </c>
      <c r="H51" s="57">
        <v>1000000037</v>
      </c>
      <c r="I51" s="57" t="s">
        <v>17</v>
      </c>
      <c r="J51" s="60">
        <v>4500000567</v>
      </c>
    </row>
    <row r="52" spans="1:10" x14ac:dyDescent="0.25">
      <c r="A52" s="66">
        <v>46064</v>
      </c>
      <c r="B52" s="71" t="s">
        <v>81</v>
      </c>
      <c r="C52" s="67">
        <v>772</v>
      </c>
      <c r="D52" s="67">
        <v>80</v>
      </c>
      <c r="E52" s="72">
        <f>Table5[[#This Row],[Weight KG]]/1000</f>
        <v>8.14</v>
      </c>
      <c r="F52" s="69">
        <v>8140</v>
      </c>
      <c r="G52" s="59" t="s">
        <v>75</v>
      </c>
      <c r="H52" s="57">
        <v>1000000037</v>
      </c>
      <c r="I52" s="57" t="s">
        <v>17</v>
      </c>
      <c r="J52" s="60">
        <v>4500000567</v>
      </c>
    </row>
    <row r="53" spans="1:10" x14ac:dyDescent="0.25">
      <c r="A53" s="66">
        <v>46064</v>
      </c>
      <c r="B53" s="71" t="s">
        <v>81</v>
      </c>
      <c r="C53" s="67">
        <v>90</v>
      </c>
      <c r="D53" s="67">
        <v>80</v>
      </c>
      <c r="E53" s="72">
        <f>Table5[[#This Row],[Weight KG]]/1000</f>
        <v>8.18</v>
      </c>
      <c r="F53" s="69">
        <v>8180</v>
      </c>
      <c r="G53" s="59" t="s">
        <v>75</v>
      </c>
      <c r="H53" s="57">
        <v>1000000037</v>
      </c>
      <c r="I53" s="57" t="s">
        <v>17</v>
      </c>
      <c r="J53" s="60">
        <v>4500000567</v>
      </c>
    </row>
    <row r="54" spans="1:10" x14ac:dyDescent="0.25">
      <c r="A54" s="66">
        <v>46064</v>
      </c>
      <c r="B54" s="71" t="s">
        <v>81</v>
      </c>
      <c r="C54" s="67">
        <v>1812</v>
      </c>
      <c r="D54" s="67">
        <v>80</v>
      </c>
      <c r="E54" s="72">
        <f>Table5[[#This Row],[Weight KG]]/1000</f>
        <v>8.2200000000000006</v>
      </c>
      <c r="F54" s="69">
        <v>8220</v>
      </c>
      <c r="G54" s="59" t="s">
        <v>75</v>
      </c>
      <c r="H54" s="57">
        <v>1000000037</v>
      </c>
      <c r="I54" s="57" t="s">
        <v>17</v>
      </c>
      <c r="J54" s="60">
        <v>4500000567</v>
      </c>
    </row>
    <row r="55" spans="1:10" x14ac:dyDescent="0.25">
      <c r="A55" s="66">
        <v>46064</v>
      </c>
      <c r="B55" s="71" t="s">
        <v>81</v>
      </c>
      <c r="C55" s="67">
        <v>916</v>
      </c>
      <c r="D55" s="67">
        <v>80</v>
      </c>
      <c r="E55" s="72">
        <f>Table5[[#This Row],[Weight KG]]/1000</f>
        <v>8.1199999999999992</v>
      </c>
      <c r="F55" s="69">
        <v>8120</v>
      </c>
      <c r="G55" s="59" t="s">
        <v>75</v>
      </c>
      <c r="H55" s="57">
        <v>1000000037</v>
      </c>
      <c r="I55" s="57" t="s">
        <v>17</v>
      </c>
      <c r="J55" s="60">
        <v>4500000567</v>
      </c>
    </row>
    <row r="56" spans="1:10" x14ac:dyDescent="0.25">
      <c r="A56" s="66">
        <v>46064</v>
      </c>
      <c r="B56" s="71" t="s">
        <v>81</v>
      </c>
      <c r="C56" s="67">
        <v>1802</v>
      </c>
      <c r="D56" s="67">
        <v>80</v>
      </c>
      <c r="E56" s="72">
        <f>Table5[[#This Row],[Weight KG]]/1000</f>
        <v>7.84</v>
      </c>
      <c r="F56" s="69">
        <v>7840</v>
      </c>
      <c r="G56" s="59" t="s">
        <v>75</v>
      </c>
      <c r="H56" s="57">
        <v>1000000037</v>
      </c>
      <c r="I56" s="57" t="s">
        <v>17</v>
      </c>
      <c r="J56" s="60">
        <v>4500000567</v>
      </c>
    </row>
    <row r="57" spans="1:10" x14ac:dyDescent="0.25">
      <c r="A57" s="66">
        <v>46064</v>
      </c>
      <c r="B57" s="71" t="s">
        <v>81</v>
      </c>
      <c r="C57" s="67">
        <v>60</v>
      </c>
      <c r="D57" s="67">
        <v>85</v>
      </c>
      <c r="E57" s="72">
        <f>Table5[[#This Row],[Weight KG]]/1000</f>
        <v>8.26</v>
      </c>
      <c r="F57" s="69">
        <v>8260</v>
      </c>
      <c r="G57" s="59" t="s">
        <v>75</v>
      </c>
      <c r="H57" s="57">
        <v>1000000037</v>
      </c>
      <c r="I57" s="57" t="s">
        <v>17</v>
      </c>
      <c r="J57" s="60">
        <v>4500000567</v>
      </c>
    </row>
    <row r="58" spans="1:10" x14ac:dyDescent="0.25">
      <c r="A58" s="66">
        <v>46064</v>
      </c>
      <c r="B58" s="71" t="s">
        <v>81</v>
      </c>
      <c r="C58" s="67">
        <v>1349</v>
      </c>
      <c r="D58" s="67">
        <v>85</v>
      </c>
      <c r="E58" s="72">
        <f>Table5[[#This Row],[Weight KG]]/1000</f>
        <v>8.3000000000000007</v>
      </c>
      <c r="F58" s="69">
        <v>8300</v>
      </c>
      <c r="G58" s="59" t="s">
        <v>75</v>
      </c>
      <c r="H58" s="57">
        <v>1000000037</v>
      </c>
      <c r="I58" s="57" t="s">
        <v>17</v>
      </c>
      <c r="J58" s="60">
        <v>4500000567</v>
      </c>
    </row>
    <row r="59" spans="1:10" x14ac:dyDescent="0.25">
      <c r="A59" s="66">
        <v>46064</v>
      </c>
      <c r="B59" s="71" t="s">
        <v>81</v>
      </c>
      <c r="C59" s="67">
        <v>91</v>
      </c>
      <c r="D59" s="67">
        <v>85</v>
      </c>
      <c r="E59" s="72">
        <f>Table5[[#This Row],[Weight KG]]/1000</f>
        <v>8.16</v>
      </c>
      <c r="F59" s="69">
        <v>8160</v>
      </c>
      <c r="G59" s="59" t="s">
        <v>75</v>
      </c>
      <c r="H59" s="57">
        <v>1000000037</v>
      </c>
      <c r="I59" s="57" t="s">
        <v>17</v>
      </c>
      <c r="J59" s="60">
        <v>4500000567</v>
      </c>
    </row>
    <row r="60" spans="1:10" x14ac:dyDescent="0.25">
      <c r="A60" s="66">
        <v>46064</v>
      </c>
      <c r="B60" s="71" t="s">
        <v>81</v>
      </c>
      <c r="C60" s="67">
        <v>1194</v>
      </c>
      <c r="D60" s="67">
        <v>85</v>
      </c>
      <c r="E60" s="72">
        <f>Table5[[#This Row],[Weight KG]]/1000</f>
        <v>8.18</v>
      </c>
      <c r="F60" s="69">
        <v>8180</v>
      </c>
      <c r="G60" s="59" t="s">
        <v>75</v>
      </c>
      <c r="H60" s="57">
        <v>1000000037</v>
      </c>
      <c r="I60" s="57" t="s">
        <v>17</v>
      </c>
      <c r="J60" s="60">
        <v>4500000567</v>
      </c>
    </row>
    <row r="61" spans="1:10" x14ac:dyDescent="0.25">
      <c r="A61" s="66">
        <v>46064</v>
      </c>
      <c r="B61" s="71" t="s">
        <v>81</v>
      </c>
      <c r="C61" s="67">
        <v>772</v>
      </c>
      <c r="D61" s="67">
        <v>85</v>
      </c>
      <c r="E61" s="72">
        <f>Table5[[#This Row],[Weight KG]]/1000</f>
        <v>8.26</v>
      </c>
      <c r="F61" s="69">
        <v>8260</v>
      </c>
      <c r="G61" s="59" t="s">
        <v>75</v>
      </c>
      <c r="H61" s="57">
        <v>1000000037</v>
      </c>
      <c r="I61" s="57" t="s">
        <v>17</v>
      </c>
      <c r="J61" s="60">
        <v>4500000567</v>
      </c>
    </row>
    <row r="62" spans="1:10" x14ac:dyDescent="0.25">
      <c r="A62" s="66">
        <v>46064</v>
      </c>
      <c r="B62" s="71" t="s">
        <v>81</v>
      </c>
      <c r="C62" s="67">
        <v>945</v>
      </c>
      <c r="D62" s="67">
        <v>85</v>
      </c>
      <c r="E62" s="72">
        <f>Table5[[#This Row],[Weight KG]]/1000</f>
        <v>8.5</v>
      </c>
      <c r="F62" s="69">
        <v>8500</v>
      </c>
      <c r="G62" s="59" t="s">
        <v>75</v>
      </c>
      <c r="H62" s="57">
        <v>1000000037</v>
      </c>
      <c r="I62" s="57" t="s">
        <v>17</v>
      </c>
      <c r="J62" s="60">
        <v>4500000567</v>
      </c>
    </row>
    <row r="63" spans="1:10" x14ac:dyDescent="0.25">
      <c r="A63" s="66">
        <v>46064</v>
      </c>
      <c r="B63" s="71" t="s">
        <v>81</v>
      </c>
      <c r="C63" s="67">
        <v>945</v>
      </c>
      <c r="D63" s="67">
        <v>80</v>
      </c>
      <c r="E63" s="72">
        <f>Table5[[#This Row],[Weight KG]]/1000</f>
        <v>8.1</v>
      </c>
      <c r="F63" s="69">
        <v>8100</v>
      </c>
      <c r="G63" s="59" t="s">
        <v>75</v>
      </c>
      <c r="H63" s="57">
        <v>1000000037</v>
      </c>
      <c r="I63" s="57" t="s">
        <v>17</v>
      </c>
      <c r="J63" s="60">
        <v>4500000567</v>
      </c>
    </row>
    <row r="64" spans="1:10" x14ac:dyDescent="0.25">
      <c r="A64" s="66">
        <v>46064</v>
      </c>
      <c r="B64" s="71" t="s">
        <v>81</v>
      </c>
      <c r="C64" s="67">
        <v>70579</v>
      </c>
      <c r="D64" s="67">
        <v>80</v>
      </c>
      <c r="E64" s="72">
        <f>Table5[[#This Row],[Weight KG]]/1000</f>
        <v>8.14</v>
      </c>
      <c r="F64" s="69">
        <v>8140</v>
      </c>
      <c r="G64" s="59" t="s">
        <v>75</v>
      </c>
      <c r="H64" s="57">
        <v>1000000037</v>
      </c>
      <c r="I64" s="57" t="s">
        <v>17</v>
      </c>
      <c r="J64" s="60">
        <v>4500000567</v>
      </c>
    </row>
    <row r="65" spans="1:10" x14ac:dyDescent="0.25">
      <c r="A65" s="66">
        <v>46064</v>
      </c>
      <c r="B65" s="71" t="s">
        <v>81</v>
      </c>
      <c r="C65" s="67">
        <v>605</v>
      </c>
      <c r="D65" s="67">
        <v>80</v>
      </c>
      <c r="E65" s="72">
        <f>Table5[[#This Row],[Weight KG]]/1000</f>
        <v>8.18</v>
      </c>
      <c r="F65" s="69">
        <v>8180</v>
      </c>
      <c r="G65" s="59" t="s">
        <v>75</v>
      </c>
      <c r="H65" s="57">
        <v>1000000037</v>
      </c>
      <c r="I65" s="57" t="s">
        <v>17</v>
      </c>
      <c r="J65" s="60">
        <v>4500000567</v>
      </c>
    </row>
    <row r="66" spans="1:10" x14ac:dyDescent="0.25">
      <c r="A66" s="66">
        <v>46064</v>
      </c>
      <c r="B66" s="71" t="s">
        <v>81</v>
      </c>
      <c r="C66" s="67">
        <v>2056</v>
      </c>
      <c r="D66" s="67">
        <v>80</v>
      </c>
      <c r="E66" s="72">
        <f>Table5[[#This Row],[Weight KG]]/1000</f>
        <v>8.2200000000000006</v>
      </c>
      <c r="F66" s="69">
        <v>8220</v>
      </c>
      <c r="G66" s="59" t="s">
        <v>75</v>
      </c>
      <c r="H66" s="57">
        <v>1000000037</v>
      </c>
      <c r="I66" s="57" t="s">
        <v>17</v>
      </c>
      <c r="J66" s="60">
        <v>4500000567</v>
      </c>
    </row>
    <row r="67" spans="1:10" x14ac:dyDescent="0.25">
      <c r="A67" s="66">
        <v>46064</v>
      </c>
      <c r="B67" s="71" t="s">
        <v>81</v>
      </c>
      <c r="C67" s="67">
        <v>737</v>
      </c>
      <c r="D67" s="67">
        <v>80</v>
      </c>
      <c r="E67" s="72">
        <f>Table5[[#This Row],[Weight KG]]/1000</f>
        <v>8.14</v>
      </c>
      <c r="F67" s="69">
        <v>8140</v>
      </c>
      <c r="G67" s="59" t="s">
        <v>75</v>
      </c>
      <c r="H67" s="57">
        <v>1000000037</v>
      </c>
      <c r="I67" s="57" t="s">
        <v>17</v>
      </c>
      <c r="J67" s="60">
        <v>4500000567</v>
      </c>
    </row>
    <row r="68" spans="1:10" x14ac:dyDescent="0.25">
      <c r="A68" s="66">
        <v>46064</v>
      </c>
      <c r="B68" s="71" t="s">
        <v>81</v>
      </c>
      <c r="C68" s="67">
        <v>34782</v>
      </c>
      <c r="D68" s="67">
        <v>80</v>
      </c>
      <c r="E68" s="72">
        <f>Table5[[#This Row],[Weight KG]]/1000</f>
        <v>8.16</v>
      </c>
      <c r="F68" s="69">
        <v>8160</v>
      </c>
      <c r="G68" s="59" t="s">
        <v>75</v>
      </c>
      <c r="H68" s="57">
        <v>1000000037</v>
      </c>
      <c r="I68" s="57" t="s">
        <v>17</v>
      </c>
      <c r="J68" s="60">
        <v>4500000567</v>
      </c>
    </row>
    <row r="69" spans="1:10" x14ac:dyDescent="0.25">
      <c r="A69" s="66">
        <v>46064</v>
      </c>
      <c r="B69" s="71" t="s">
        <v>81</v>
      </c>
      <c r="C69" s="67">
        <v>516</v>
      </c>
      <c r="D69" s="67">
        <v>80</v>
      </c>
      <c r="E69" s="72">
        <f>Table5[[#This Row],[Weight KG]]/1000</f>
        <v>8.08</v>
      </c>
      <c r="F69" s="69">
        <v>8080</v>
      </c>
      <c r="G69" s="59" t="s">
        <v>75</v>
      </c>
      <c r="H69" s="57">
        <v>1000000037</v>
      </c>
      <c r="I69" s="57" t="s">
        <v>17</v>
      </c>
      <c r="J69" s="60">
        <v>4500000567</v>
      </c>
    </row>
    <row r="70" spans="1:10" x14ac:dyDescent="0.25">
      <c r="A70" s="70">
        <v>46064</v>
      </c>
      <c r="B70" s="71" t="s">
        <v>81</v>
      </c>
      <c r="C70" s="71">
        <v>411</v>
      </c>
      <c r="D70" s="67">
        <v>80</v>
      </c>
      <c r="E70" s="72">
        <f>Table5[[#This Row],[Weight KG]]/1000</f>
        <v>8.08</v>
      </c>
      <c r="F70" s="73">
        <v>8080</v>
      </c>
      <c r="G70" s="59" t="s">
        <v>75</v>
      </c>
      <c r="H70" s="57">
        <v>1000000037</v>
      </c>
      <c r="I70" s="57" t="s">
        <v>17</v>
      </c>
      <c r="J70" s="60">
        <v>4500000567</v>
      </c>
    </row>
    <row r="71" spans="1:10" x14ac:dyDescent="0.25">
      <c r="A71" s="66">
        <v>46064</v>
      </c>
      <c r="B71" s="71" t="s">
        <v>81</v>
      </c>
      <c r="C71" s="71">
        <v>5511</v>
      </c>
      <c r="D71" s="67">
        <v>80</v>
      </c>
      <c r="E71" s="72">
        <f>Table5[[#This Row],[Weight KG]]/1000</f>
        <v>8.02</v>
      </c>
      <c r="F71" s="69">
        <v>8020</v>
      </c>
      <c r="G71" s="59" t="s">
        <v>75</v>
      </c>
      <c r="H71" s="57">
        <v>1000000037</v>
      </c>
      <c r="I71" s="57" t="s">
        <v>17</v>
      </c>
      <c r="J71" s="60">
        <v>4500000567</v>
      </c>
    </row>
    <row r="72" spans="1:10" x14ac:dyDescent="0.25">
      <c r="A72" s="66">
        <v>46065</v>
      </c>
      <c r="B72" s="71" t="s">
        <v>81</v>
      </c>
      <c r="C72" s="67">
        <v>1802</v>
      </c>
      <c r="D72" s="67">
        <v>80</v>
      </c>
      <c r="E72" s="72">
        <f>Table5[[#This Row],[Weight KG]]/1000</f>
        <v>8.1999999999999993</v>
      </c>
      <c r="F72" s="69">
        <v>8200</v>
      </c>
      <c r="G72" s="59" t="s">
        <v>75</v>
      </c>
      <c r="H72" s="57">
        <v>1000000037</v>
      </c>
      <c r="I72" s="57" t="s">
        <v>17</v>
      </c>
      <c r="J72" s="60">
        <v>4500000567</v>
      </c>
    </row>
    <row r="73" spans="1:10" x14ac:dyDescent="0.25">
      <c r="A73" s="66">
        <v>46065</v>
      </c>
      <c r="B73" s="71" t="s">
        <v>81</v>
      </c>
      <c r="C73" s="67">
        <v>1460</v>
      </c>
      <c r="D73" s="67">
        <v>85</v>
      </c>
      <c r="E73" s="72">
        <f>Table5[[#This Row],[Weight KG]]/1000</f>
        <v>8.64</v>
      </c>
      <c r="F73" s="69">
        <v>8640</v>
      </c>
      <c r="G73" s="59" t="s">
        <v>75</v>
      </c>
      <c r="H73" s="57">
        <v>1000000037</v>
      </c>
      <c r="I73" s="57" t="s">
        <v>17</v>
      </c>
      <c r="J73" s="60">
        <v>4500000567</v>
      </c>
    </row>
    <row r="74" spans="1:10" x14ac:dyDescent="0.25">
      <c r="A74" s="66">
        <v>46065</v>
      </c>
      <c r="B74" s="71" t="s">
        <v>81</v>
      </c>
      <c r="C74" s="67">
        <v>915</v>
      </c>
      <c r="D74" s="67">
        <v>85</v>
      </c>
      <c r="E74" s="72">
        <f>Table5[[#This Row],[Weight KG]]/1000</f>
        <v>8.6199999999999992</v>
      </c>
      <c r="F74" s="69">
        <v>8620</v>
      </c>
      <c r="G74" s="59" t="s">
        <v>75</v>
      </c>
      <c r="H74" s="57">
        <v>1000000037</v>
      </c>
      <c r="I74" s="57" t="s">
        <v>17</v>
      </c>
      <c r="J74" s="60">
        <v>4500000567</v>
      </c>
    </row>
    <row r="75" spans="1:10" x14ac:dyDescent="0.25">
      <c r="A75" s="66">
        <v>46065</v>
      </c>
      <c r="B75" s="71" t="s">
        <v>81</v>
      </c>
      <c r="C75" s="67">
        <v>91</v>
      </c>
      <c r="D75" s="67">
        <v>85</v>
      </c>
      <c r="E75" s="72">
        <f>Table5[[#This Row],[Weight KG]]/1000</f>
        <v>8.6999999999999993</v>
      </c>
      <c r="F75" s="69">
        <v>8700</v>
      </c>
      <c r="G75" s="59" t="s">
        <v>75</v>
      </c>
      <c r="H75" s="57">
        <v>1000000037</v>
      </c>
      <c r="I75" s="57" t="s">
        <v>17</v>
      </c>
      <c r="J75" s="60">
        <v>4500000567</v>
      </c>
    </row>
    <row r="76" spans="1:10" x14ac:dyDescent="0.25">
      <c r="A76" s="66">
        <v>46065</v>
      </c>
      <c r="B76" s="71" t="s">
        <v>81</v>
      </c>
      <c r="C76" s="67">
        <v>19913</v>
      </c>
      <c r="D76" s="67">
        <v>80</v>
      </c>
      <c r="E76" s="72">
        <f>Table5[[#This Row],[Weight KG]]/1000</f>
        <v>8.08</v>
      </c>
      <c r="F76" s="69">
        <v>8080</v>
      </c>
      <c r="G76" s="59" t="s">
        <v>75</v>
      </c>
      <c r="H76" s="57">
        <v>1000000037</v>
      </c>
      <c r="I76" s="57" t="s">
        <v>17</v>
      </c>
      <c r="J76" s="60">
        <v>4500000567</v>
      </c>
    </row>
    <row r="77" spans="1:10" x14ac:dyDescent="0.25">
      <c r="A77" s="66">
        <v>46065</v>
      </c>
      <c r="B77" s="71" t="s">
        <v>81</v>
      </c>
      <c r="C77" s="67">
        <v>742</v>
      </c>
      <c r="D77" s="67">
        <v>85</v>
      </c>
      <c r="E77" s="72">
        <f>Table5[[#This Row],[Weight KG]]/1000</f>
        <v>8.6199999999999992</v>
      </c>
      <c r="F77" s="69">
        <v>8620</v>
      </c>
      <c r="G77" s="59" t="s">
        <v>75</v>
      </c>
      <c r="H77" s="57">
        <v>1000000037</v>
      </c>
      <c r="I77" s="57" t="s">
        <v>17</v>
      </c>
      <c r="J77" s="60">
        <v>4500000567</v>
      </c>
    </row>
    <row r="78" spans="1:10" x14ac:dyDescent="0.25">
      <c r="A78" s="66">
        <v>46065</v>
      </c>
      <c r="B78" s="71" t="s">
        <v>81</v>
      </c>
      <c r="C78" s="67">
        <v>60</v>
      </c>
      <c r="D78" s="67">
        <v>85</v>
      </c>
      <c r="E78" s="72">
        <f>Table5[[#This Row],[Weight KG]]/1000</f>
        <v>8.68</v>
      </c>
      <c r="F78" s="69">
        <v>8680</v>
      </c>
      <c r="G78" s="59" t="s">
        <v>75</v>
      </c>
      <c r="H78" s="57">
        <v>1000000037</v>
      </c>
      <c r="I78" s="57" t="s">
        <v>17</v>
      </c>
      <c r="J78" s="60">
        <v>4500000567</v>
      </c>
    </row>
    <row r="79" spans="1:10" x14ac:dyDescent="0.25">
      <c r="A79" s="66">
        <v>46065</v>
      </c>
      <c r="B79" s="71" t="s">
        <v>81</v>
      </c>
      <c r="C79" s="67">
        <v>1349</v>
      </c>
      <c r="D79" s="67">
        <v>85</v>
      </c>
      <c r="E79" s="72">
        <f>Table5[[#This Row],[Weight KG]]/1000</f>
        <v>8.82</v>
      </c>
      <c r="F79" s="69">
        <v>8820</v>
      </c>
      <c r="G79" s="59" t="s">
        <v>75</v>
      </c>
      <c r="H79" s="57">
        <v>1000000037</v>
      </c>
      <c r="I79" s="57" t="s">
        <v>17</v>
      </c>
      <c r="J79" s="60">
        <v>4500000567</v>
      </c>
    </row>
    <row r="80" spans="1:10" x14ac:dyDescent="0.25">
      <c r="A80" s="66">
        <v>46065</v>
      </c>
      <c r="B80" s="71" t="s">
        <v>81</v>
      </c>
      <c r="C80" s="67">
        <v>5511</v>
      </c>
      <c r="D80" s="67">
        <v>85</v>
      </c>
      <c r="E80" s="72">
        <f>Table5[[#This Row],[Weight KG]]/1000</f>
        <v>8.6</v>
      </c>
      <c r="F80" s="69">
        <v>8600</v>
      </c>
      <c r="G80" s="59" t="s">
        <v>75</v>
      </c>
      <c r="H80" s="57">
        <v>1000000037</v>
      </c>
      <c r="I80" s="57" t="s">
        <v>17</v>
      </c>
      <c r="J80" s="60">
        <v>4500000567</v>
      </c>
    </row>
    <row r="81" spans="1:10" x14ac:dyDescent="0.25">
      <c r="A81" s="66">
        <v>46065</v>
      </c>
      <c r="B81" s="71" t="s">
        <v>81</v>
      </c>
      <c r="C81" s="67">
        <v>1194</v>
      </c>
      <c r="D81" s="67">
        <v>85</v>
      </c>
      <c r="E81" s="72">
        <f>Table5[[#This Row],[Weight KG]]/1000</f>
        <v>8.64</v>
      </c>
      <c r="F81" s="69">
        <v>8640</v>
      </c>
      <c r="G81" s="59" t="s">
        <v>75</v>
      </c>
      <c r="H81" s="57">
        <v>1000000037</v>
      </c>
      <c r="I81" s="57" t="s">
        <v>17</v>
      </c>
      <c r="J81" s="60">
        <v>4500000567</v>
      </c>
    </row>
    <row r="82" spans="1:10" x14ac:dyDescent="0.25">
      <c r="A82" s="66">
        <v>46065</v>
      </c>
      <c r="B82" s="71" t="s">
        <v>81</v>
      </c>
      <c r="C82" s="67">
        <v>772</v>
      </c>
      <c r="D82" s="67">
        <v>80</v>
      </c>
      <c r="E82" s="72">
        <f>Table5[[#This Row],[Weight KG]]/1000</f>
        <v>8.3000000000000007</v>
      </c>
      <c r="F82" s="69">
        <v>8300</v>
      </c>
      <c r="G82" s="59" t="s">
        <v>75</v>
      </c>
      <c r="H82" s="57">
        <v>1000000037</v>
      </c>
      <c r="I82" s="57" t="s">
        <v>17</v>
      </c>
      <c r="J82" s="60">
        <v>4500000567</v>
      </c>
    </row>
    <row r="83" spans="1:10" x14ac:dyDescent="0.25">
      <c r="A83" s="66">
        <v>46065</v>
      </c>
      <c r="B83" s="71" t="s">
        <v>81</v>
      </c>
      <c r="C83" s="67">
        <v>42209</v>
      </c>
      <c r="D83" s="67">
        <v>80</v>
      </c>
      <c r="E83" s="72">
        <f>Table5[[#This Row],[Weight KG]]/1000</f>
        <v>8.0399999999999991</v>
      </c>
      <c r="F83" s="69">
        <v>8040</v>
      </c>
      <c r="G83" s="59" t="s">
        <v>75</v>
      </c>
      <c r="H83" s="57">
        <v>1000000037</v>
      </c>
      <c r="I83" s="57" t="s">
        <v>17</v>
      </c>
      <c r="J83" s="60">
        <v>4500000567</v>
      </c>
    </row>
    <row r="84" spans="1:10" x14ac:dyDescent="0.25">
      <c r="A84" s="66">
        <v>46065</v>
      </c>
      <c r="B84" s="71" t="s">
        <v>81</v>
      </c>
      <c r="C84" s="67">
        <v>90132</v>
      </c>
      <c r="D84" s="67">
        <v>150</v>
      </c>
      <c r="E84" s="72">
        <f>Table5[[#This Row],[Weight KG]]/1000</f>
        <v>15.7</v>
      </c>
      <c r="F84" s="69">
        <v>15700</v>
      </c>
      <c r="G84" s="59" t="s">
        <v>75</v>
      </c>
      <c r="H84" s="57">
        <v>1000000037</v>
      </c>
      <c r="I84" s="57" t="s">
        <v>17</v>
      </c>
      <c r="J84" s="60">
        <v>4500000567</v>
      </c>
    </row>
    <row r="85" spans="1:10" x14ac:dyDescent="0.25">
      <c r="A85" s="66">
        <v>46065</v>
      </c>
      <c r="B85" s="71" t="s">
        <v>81</v>
      </c>
      <c r="C85" s="67">
        <v>676</v>
      </c>
      <c r="D85" s="67">
        <v>69</v>
      </c>
      <c r="E85" s="72">
        <f>Table5[[#This Row],[Weight KG]]/1000</f>
        <v>6.78</v>
      </c>
      <c r="F85" s="69">
        <v>6780</v>
      </c>
      <c r="G85" s="59" t="s">
        <v>75</v>
      </c>
      <c r="H85" s="57">
        <v>1000000037</v>
      </c>
      <c r="I85" s="57" t="s">
        <v>17</v>
      </c>
      <c r="J85" s="60">
        <v>4500000567</v>
      </c>
    </row>
    <row r="86" spans="1:10" x14ac:dyDescent="0.25">
      <c r="A86" s="66">
        <v>46065</v>
      </c>
      <c r="B86" s="71" t="s">
        <v>81</v>
      </c>
      <c r="C86" s="67">
        <v>65146</v>
      </c>
      <c r="D86" s="67">
        <v>150</v>
      </c>
      <c r="E86" s="72">
        <f>Table5[[#This Row],[Weight KG]]/1000</f>
        <v>15.5</v>
      </c>
      <c r="F86" s="69">
        <v>15500</v>
      </c>
      <c r="G86" s="59" t="s">
        <v>75</v>
      </c>
      <c r="H86" s="57">
        <v>1000000037</v>
      </c>
      <c r="I86" s="57" t="s">
        <v>17</v>
      </c>
      <c r="J86" s="60">
        <v>4500000567</v>
      </c>
    </row>
    <row r="87" spans="1:10" x14ac:dyDescent="0.25">
      <c r="A87" s="66">
        <v>46065</v>
      </c>
      <c r="B87" s="71" t="s">
        <v>81</v>
      </c>
      <c r="C87" s="67">
        <v>285</v>
      </c>
      <c r="D87" s="67">
        <v>80</v>
      </c>
      <c r="E87" s="72">
        <f>Table5[[#This Row],[Weight KG]]/1000</f>
        <v>8.0399999999999991</v>
      </c>
      <c r="F87" s="69">
        <v>8040</v>
      </c>
      <c r="G87" s="59" t="s">
        <v>75</v>
      </c>
      <c r="H87" s="57">
        <v>1000000037</v>
      </c>
      <c r="I87" s="57" t="s">
        <v>17</v>
      </c>
      <c r="J87" s="60">
        <v>4500000567</v>
      </c>
    </row>
    <row r="88" spans="1:10" x14ac:dyDescent="0.25">
      <c r="A88" s="66">
        <v>46065</v>
      </c>
      <c r="B88" s="71" t="s">
        <v>81</v>
      </c>
      <c r="C88" s="67">
        <v>2926</v>
      </c>
      <c r="D88" s="67">
        <v>160</v>
      </c>
      <c r="E88" s="72">
        <f>Table5[[#This Row],[Weight KG]]/1000</f>
        <v>15.92</v>
      </c>
      <c r="F88" s="69">
        <v>15920</v>
      </c>
      <c r="G88" s="59" t="s">
        <v>75</v>
      </c>
      <c r="H88" s="57">
        <v>1000000037</v>
      </c>
      <c r="I88" s="57" t="s">
        <v>17</v>
      </c>
      <c r="J88" s="60">
        <v>4500000567</v>
      </c>
    </row>
    <row r="89" spans="1:10" x14ac:dyDescent="0.25">
      <c r="A89" s="66">
        <v>46065</v>
      </c>
      <c r="B89" s="71" t="s">
        <v>81</v>
      </c>
      <c r="C89" s="67">
        <v>61233</v>
      </c>
      <c r="D89" s="67">
        <v>138</v>
      </c>
      <c r="E89" s="72">
        <f>Table5[[#This Row],[Weight KG]]/1000</f>
        <v>13.68</v>
      </c>
      <c r="F89" s="69">
        <v>13680</v>
      </c>
      <c r="G89" s="59" t="s">
        <v>75</v>
      </c>
      <c r="H89" s="57">
        <v>1000000037</v>
      </c>
      <c r="I89" s="57" t="s">
        <v>17</v>
      </c>
      <c r="J89" s="60">
        <v>4500000567</v>
      </c>
    </row>
    <row r="90" spans="1:10" x14ac:dyDescent="0.25">
      <c r="A90" s="66">
        <v>46065</v>
      </c>
      <c r="B90" s="71" t="s">
        <v>81</v>
      </c>
      <c r="C90" s="67">
        <v>1194</v>
      </c>
      <c r="D90" s="67">
        <v>80</v>
      </c>
      <c r="E90" s="72">
        <f>Table5[[#This Row],[Weight KG]]/1000</f>
        <v>8.24</v>
      </c>
      <c r="F90" s="69">
        <v>8240</v>
      </c>
      <c r="G90" s="59" t="s">
        <v>75</v>
      </c>
      <c r="H90" s="57">
        <v>1000000037</v>
      </c>
      <c r="I90" s="57" t="s">
        <v>17</v>
      </c>
      <c r="J90" s="60">
        <v>4500000567</v>
      </c>
    </row>
    <row r="91" spans="1:10" x14ac:dyDescent="0.25">
      <c r="A91" s="66">
        <v>46065</v>
      </c>
      <c r="B91" s="71" t="s">
        <v>81</v>
      </c>
      <c r="C91" s="67">
        <v>467</v>
      </c>
      <c r="D91" s="67">
        <v>80</v>
      </c>
      <c r="E91" s="72">
        <f>Table5[[#This Row],[Weight KG]]/1000</f>
        <v>8</v>
      </c>
      <c r="F91" s="69">
        <v>8000</v>
      </c>
      <c r="G91" s="59" t="s">
        <v>75</v>
      </c>
      <c r="H91" s="57">
        <v>1000000037</v>
      </c>
      <c r="I91" s="57" t="s">
        <v>17</v>
      </c>
      <c r="J91" s="60">
        <v>4500000567</v>
      </c>
    </row>
    <row r="92" spans="1:10" x14ac:dyDescent="0.25">
      <c r="A92" s="66">
        <v>46065</v>
      </c>
      <c r="B92" s="71" t="s">
        <v>81</v>
      </c>
      <c r="C92" s="67">
        <v>1802</v>
      </c>
      <c r="D92" s="67">
        <v>80</v>
      </c>
      <c r="E92" s="72">
        <f>Table5[[#This Row],[Weight KG]]/1000</f>
        <v>8.1</v>
      </c>
      <c r="F92" s="69">
        <v>8100</v>
      </c>
      <c r="G92" s="59" t="s">
        <v>75</v>
      </c>
      <c r="H92" s="57">
        <v>1000000037</v>
      </c>
      <c r="I92" s="57" t="s">
        <v>17</v>
      </c>
      <c r="J92" s="60">
        <v>4500000567</v>
      </c>
    </row>
    <row r="93" spans="1:10" x14ac:dyDescent="0.25">
      <c r="A93" s="66">
        <v>46065</v>
      </c>
      <c r="B93" s="71" t="s">
        <v>81</v>
      </c>
      <c r="C93" s="67">
        <v>945</v>
      </c>
      <c r="D93" s="67">
        <v>80</v>
      </c>
      <c r="E93" s="72">
        <f>Table5[[#This Row],[Weight KG]]/1000</f>
        <v>7.94</v>
      </c>
      <c r="F93" s="69">
        <v>7940</v>
      </c>
      <c r="G93" s="59" t="s">
        <v>75</v>
      </c>
      <c r="H93" s="57">
        <v>1000000037</v>
      </c>
      <c r="I93" s="57" t="s">
        <v>17</v>
      </c>
      <c r="J93" s="60">
        <v>4500000567</v>
      </c>
    </row>
    <row r="94" spans="1:10" x14ac:dyDescent="0.25">
      <c r="A94" s="66">
        <v>46065</v>
      </c>
      <c r="B94" s="71" t="s">
        <v>81</v>
      </c>
      <c r="C94" s="67">
        <v>915</v>
      </c>
      <c r="D94" s="67">
        <v>80</v>
      </c>
      <c r="E94" s="72">
        <f>Table5[[#This Row],[Weight KG]]/1000</f>
        <v>8.16</v>
      </c>
      <c r="F94" s="69">
        <v>8160</v>
      </c>
      <c r="G94" s="59" t="s">
        <v>75</v>
      </c>
      <c r="H94" s="57">
        <v>1000000037</v>
      </c>
      <c r="I94" s="57" t="s">
        <v>17</v>
      </c>
      <c r="J94" s="60">
        <v>4500000567</v>
      </c>
    </row>
    <row r="95" spans="1:10" x14ac:dyDescent="0.25">
      <c r="A95" s="66">
        <v>46065</v>
      </c>
      <c r="B95" s="71" t="s">
        <v>81</v>
      </c>
      <c r="C95" s="67">
        <v>663</v>
      </c>
      <c r="D95" s="67">
        <v>80</v>
      </c>
      <c r="E95" s="72">
        <f>Table5[[#This Row],[Weight KG]]/1000</f>
        <v>8.1</v>
      </c>
      <c r="F95" s="69">
        <v>8100</v>
      </c>
      <c r="G95" s="59" t="s">
        <v>75</v>
      </c>
      <c r="H95" s="57">
        <v>1000000037</v>
      </c>
      <c r="I95" s="57" t="s">
        <v>17</v>
      </c>
      <c r="J95" s="60">
        <v>4500000567</v>
      </c>
    </row>
    <row r="96" spans="1:10" x14ac:dyDescent="0.25">
      <c r="A96" s="66">
        <v>46065</v>
      </c>
      <c r="B96" s="71" t="s">
        <v>81</v>
      </c>
      <c r="C96" s="67">
        <v>5511</v>
      </c>
      <c r="D96" s="67">
        <v>80</v>
      </c>
      <c r="E96" s="72">
        <f>Table5[[#This Row],[Weight KG]]/1000</f>
        <v>8.16</v>
      </c>
      <c r="F96" s="69">
        <v>8160</v>
      </c>
      <c r="G96" s="59" t="s">
        <v>75</v>
      </c>
      <c r="H96" s="57">
        <v>1000000037</v>
      </c>
      <c r="I96" s="57" t="s">
        <v>17</v>
      </c>
      <c r="J96" s="60">
        <v>4500000567</v>
      </c>
    </row>
    <row r="97" spans="1:10" x14ac:dyDescent="0.25">
      <c r="A97" s="66">
        <v>46065</v>
      </c>
      <c r="B97" s="71" t="s">
        <v>81</v>
      </c>
      <c r="C97" s="67">
        <v>1366</v>
      </c>
      <c r="D97" s="67">
        <v>80</v>
      </c>
      <c r="E97" s="72">
        <f>Table5[[#This Row],[Weight KG]]/1000</f>
        <v>8.14</v>
      </c>
      <c r="F97" s="69">
        <v>8140</v>
      </c>
      <c r="G97" s="59" t="s">
        <v>75</v>
      </c>
      <c r="H97" s="57">
        <v>1000000037</v>
      </c>
      <c r="I97" s="57" t="s">
        <v>17</v>
      </c>
      <c r="J97" s="60">
        <v>4500000567</v>
      </c>
    </row>
    <row r="98" spans="1:10" x14ac:dyDescent="0.25">
      <c r="A98" s="66">
        <v>46065</v>
      </c>
      <c r="B98" s="71" t="s">
        <v>81</v>
      </c>
      <c r="C98" s="67">
        <v>853</v>
      </c>
      <c r="D98" s="67">
        <v>80</v>
      </c>
      <c r="E98" s="72">
        <f>Table5[[#This Row],[Weight KG]]/1000</f>
        <v>8.16</v>
      </c>
      <c r="F98" s="69">
        <v>8160</v>
      </c>
      <c r="G98" s="59" t="s">
        <v>75</v>
      </c>
      <c r="H98" s="57">
        <v>1000000037</v>
      </c>
      <c r="I98" s="57" t="s">
        <v>17</v>
      </c>
      <c r="J98" s="60">
        <v>4500000567</v>
      </c>
    </row>
    <row r="99" spans="1:10" x14ac:dyDescent="0.25">
      <c r="A99" s="66">
        <v>46065</v>
      </c>
      <c r="B99" s="71" t="s">
        <v>81</v>
      </c>
      <c r="C99" s="67">
        <v>1080</v>
      </c>
      <c r="D99" s="67">
        <v>80</v>
      </c>
      <c r="E99" s="72">
        <f>Table5[[#This Row],[Weight KG]]/1000</f>
        <v>8</v>
      </c>
      <c r="F99" s="69">
        <v>8000</v>
      </c>
      <c r="G99" s="59" t="s">
        <v>75</v>
      </c>
      <c r="H99" s="57">
        <v>1000000037</v>
      </c>
      <c r="I99" s="57" t="s">
        <v>17</v>
      </c>
      <c r="J99" s="60">
        <v>4500000567</v>
      </c>
    </row>
    <row r="100" spans="1:10" x14ac:dyDescent="0.25">
      <c r="A100" s="66">
        <v>46065</v>
      </c>
      <c r="B100" s="71" t="s">
        <v>81</v>
      </c>
      <c r="C100" s="67">
        <v>516</v>
      </c>
      <c r="D100" s="67">
        <v>80</v>
      </c>
      <c r="E100" s="72">
        <f>Table5[[#This Row],[Weight KG]]/1000</f>
        <v>7.92</v>
      </c>
      <c r="F100" s="69">
        <v>7920</v>
      </c>
      <c r="G100" s="59" t="s">
        <v>75</v>
      </c>
      <c r="H100" s="57">
        <v>1000000037</v>
      </c>
      <c r="I100" s="57" t="s">
        <v>17</v>
      </c>
      <c r="J100" s="60">
        <v>4500000567</v>
      </c>
    </row>
    <row r="101" spans="1:10" x14ac:dyDescent="0.25">
      <c r="A101" s="66">
        <v>46065</v>
      </c>
      <c r="B101" s="71" t="s">
        <v>81</v>
      </c>
      <c r="C101" s="67">
        <v>1009</v>
      </c>
      <c r="D101" s="67">
        <v>85</v>
      </c>
      <c r="E101" s="72">
        <f>Table5[[#This Row],[Weight KG]]/1000</f>
        <v>8.42</v>
      </c>
      <c r="F101" s="69">
        <v>8420</v>
      </c>
      <c r="G101" s="59" t="s">
        <v>75</v>
      </c>
      <c r="H101" s="57">
        <v>1000000037</v>
      </c>
      <c r="I101" s="57" t="s">
        <v>17</v>
      </c>
      <c r="J101" s="60">
        <v>4500000567</v>
      </c>
    </row>
    <row r="102" spans="1:10" x14ac:dyDescent="0.25">
      <c r="A102" s="66">
        <v>46065</v>
      </c>
      <c r="B102" s="71" t="s">
        <v>81</v>
      </c>
      <c r="C102" s="67">
        <v>34782</v>
      </c>
      <c r="D102" s="67">
        <v>83</v>
      </c>
      <c r="E102" s="72">
        <f>Table5[[#This Row],[Weight KG]]/1000</f>
        <v>8.1199999999999992</v>
      </c>
      <c r="F102" s="69">
        <v>8120</v>
      </c>
      <c r="G102" s="59" t="s">
        <v>75</v>
      </c>
      <c r="H102" s="57">
        <v>1000000037</v>
      </c>
      <c r="I102" s="57" t="s">
        <v>17</v>
      </c>
      <c r="J102" s="60">
        <v>4500000567</v>
      </c>
    </row>
    <row r="103" spans="1:10" x14ac:dyDescent="0.25">
      <c r="A103" s="66">
        <v>46065</v>
      </c>
      <c r="B103" s="71" t="s">
        <v>81</v>
      </c>
      <c r="C103" s="67">
        <v>2537</v>
      </c>
      <c r="D103" s="67">
        <v>80</v>
      </c>
      <c r="E103" s="72">
        <f>Table5[[#This Row],[Weight KG]]/1000</f>
        <v>8.24</v>
      </c>
      <c r="F103" s="69">
        <v>8240</v>
      </c>
      <c r="G103" s="59" t="s">
        <v>75</v>
      </c>
      <c r="H103" s="57">
        <v>1000000037</v>
      </c>
      <c r="I103" s="57" t="s">
        <v>17</v>
      </c>
      <c r="J103" s="60">
        <v>4500000567</v>
      </c>
    </row>
    <row r="104" spans="1:10" x14ac:dyDescent="0.25">
      <c r="A104" s="66">
        <v>46065</v>
      </c>
      <c r="B104" s="71" t="s">
        <v>81</v>
      </c>
      <c r="C104" s="67">
        <v>15094</v>
      </c>
      <c r="D104" s="67">
        <v>85</v>
      </c>
      <c r="E104" s="72">
        <f>Table5[[#This Row],[Weight KG]]/1000</f>
        <v>8.4</v>
      </c>
      <c r="F104" s="69">
        <v>8400</v>
      </c>
      <c r="G104" s="59" t="s">
        <v>75</v>
      </c>
      <c r="H104" s="57">
        <v>1000000037</v>
      </c>
      <c r="I104" s="57" t="s">
        <v>17</v>
      </c>
      <c r="J104" s="60">
        <v>4500000567</v>
      </c>
    </row>
    <row r="105" spans="1:10" x14ac:dyDescent="0.25">
      <c r="A105" s="66">
        <v>46065</v>
      </c>
      <c r="B105" s="71" t="s">
        <v>81</v>
      </c>
      <c r="C105" s="67">
        <v>1093</v>
      </c>
      <c r="D105" s="67">
        <v>80</v>
      </c>
      <c r="E105" s="72">
        <f>Table5[[#This Row],[Weight KG]]/1000</f>
        <v>8.34</v>
      </c>
      <c r="F105" s="69">
        <v>8340</v>
      </c>
      <c r="G105" s="59" t="s">
        <v>75</v>
      </c>
      <c r="H105" s="57">
        <v>1000000037</v>
      </c>
      <c r="I105" s="57" t="s">
        <v>17</v>
      </c>
      <c r="J105" s="60">
        <v>4500000567</v>
      </c>
    </row>
    <row r="106" spans="1:10" x14ac:dyDescent="0.25">
      <c r="A106" s="66">
        <v>46065</v>
      </c>
      <c r="B106" s="71" t="s">
        <v>81</v>
      </c>
      <c r="C106" s="67">
        <v>611</v>
      </c>
      <c r="D106" s="67">
        <v>80</v>
      </c>
      <c r="E106" s="72">
        <f>Table5[[#This Row],[Weight KG]]/1000</f>
        <v>8.3800000000000008</v>
      </c>
      <c r="F106" s="69">
        <v>8380</v>
      </c>
      <c r="G106" s="59" t="s">
        <v>75</v>
      </c>
      <c r="H106" s="57">
        <v>1000000037</v>
      </c>
      <c r="I106" s="57" t="s">
        <v>17</v>
      </c>
      <c r="J106" s="60">
        <v>4500000567</v>
      </c>
    </row>
    <row r="107" spans="1:10" x14ac:dyDescent="0.25">
      <c r="A107" s="66">
        <v>46065</v>
      </c>
      <c r="B107" s="71" t="s">
        <v>81</v>
      </c>
      <c r="C107" s="67">
        <v>1012</v>
      </c>
      <c r="D107" s="67">
        <v>80</v>
      </c>
      <c r="E107" s="72">
        <f>Table5[[#This Row],[Weight KG]]/1000</f>
        <v>8.4600000000000009</v>
      </c>
      <c r="F107" s="69">
        <v>8460</v>
      </c>
      <c r="G107" s="59" t="s">
        <v>75</v>
      </c>
      <c r="H107" s="57">
        <v>1000000037</v>
      </c>
      <c r="I107" s="57" t="s">
        <v>17</v>
      </c>
      <c r="J107" s="60">
        <v>4500000567</v>
      </c>
    </row>
    <row r="108" spans="1:10" x14ac:dyDescent="0.25">
      <c r="A108" s="66">
        <v>46065</v>
      </c>
      <c r="B108" s="71" t="s">
        <v>81</v>
      </c>
      <c r="C108" s="67">
        <v>764</v>
      </c>
      <c r="D108" s="67">
        <v>80</v>
      </c>
      <c r="E108" s="72">
        <f>Table5[[#This Row],[Weight KG]]/1000</f>
        <v>7.9</v>
      </c>
      <c r="F108" s="69">
        <v>7900</v>
      </c>
      <c r="G108" s="59" t="s">
        <v>75</v>
      </c>
      <c r="H108" s="57">
        <v>1000000037</v>
      </c>
      <c r="I108" s="57" t="s">
        <v>17</v>
      </c>
      <c r="J108" s="60">
        <v>4500000567</v>
      </c>
    </row>
    <row r="109" spans="1:10" x14ac:dyDescent="0.25">
      <c r="A109" s="66">
        <v>46065</v>
      </c>
      <c r="B109" s="71" t="s">
        <v>81</v>
      </c>
      <c r="C109" s="67">
        <v>717</v>
      </c>
      <c r="D109" s="67">
        <v>80</v>
      </c>
      <c r="E109" s="72">
        <f>Table5[[#This Row],[Weight KG]]/1000</f>
        <v>8.14</v>
      </c>
      <c r="F109" s="69">
        <v>8140</v>
      </c>
      <c r="G109" s="59" t="s">
        <v>75</v>
      </c>
      <c r="H109" s="57">
        <v>1000000037</v>
      </c>
      <c r="I109" s="57" t="s">
        <v>17</v>
      </c>
      <c r="J109" s="60">
        <v>4500000567</v>
      </c>
    </row>
    <row r="110" spans="1:10" x14ac:dyDescent="0.25">
      <c r="A110" s="66">
        <v>46065</v>
      </c>
      <c r="B110" s="71" t="s">
        <v>81</v>
      </c>
      <c r="C110" s="67">
        <v>91</v>
      </c>
      <c r="D110" s="67">
        <v>80</v>
      </c>
      <c r="E110" s="72">
        <f>Table5[[#This Row],[Weight KG]]/1000</f>
        <v>8.08</v>
      </c>
      <c r="F110" s="69">
        <v>8080</v>
      </c>
      <c r="G110" s="59" t="s">
        <v>75</v>
      </c>
      <c r="H110" s="57">
        <v>1000000037</v>
      </c>
      <c r="I110" s="57" t="s">
        <v>17</v>
      </c>
      <c r="J110" s="60">
        <v>4500000567</v>
      </c>
    </row>
    <row r="111" spans="1:10" x14ac:dyDescent="0.25">
      <c r="A111" s="66">
        <v>46065</v>
      </c>
      <c r="B111" s="71" t="s">
        <v>81</v>
      </c>
      <c r="C111" s="67">
        <v>60</v>
      </c>
      <c r="D111" s="67">
        <v>80</v>
      </c>
      <c r="E111" s="72">
        <f>Table5[[#This Row],[Weight KG]]/1000</f>
        <v>8.4</v>
      </c>
      <c r="F111" s="69">
        <v>8400</v>
      </c>
      <c r="G111" s="59" t="s">
        <v>75</v>
      </c>
      <c r="H111" s="57">
        <v>1000000037</v>
      </c>
      <c r="I111" s="57" t="s">
        <v>17</v>
      </c>
      <c r="J111" s="60">
        <v>4500000567</v>
      </c>
    </row>
    <row r="112" spans="1:10" x14ac:dyDescent="0.25">
      <c r="A112" s="66">
        <v>46065</v>
      </c>
      <c r="B112" s="71" t="s">
        <v>81</v>
      </c>
      <c r="C112" s="67">
        <v>742</v>
      </c>
      <c r="D112" s="67">
        <v>80</v>
      </c>
      <c r="E112" s="72">
        <f>Table5[[#This Row],[Weight KG]]/1000</f>
        <v>8.18</v>
      </c>
      <c r="F112" s="69">
        <v>8180</v>
      </c>
      <c r="G112" s="59" t="s">
        <v>75</v>
      </c>
      <c r="H112" s="57">
        <v>1000000037</v>
      </c>
      <c r="I112" s="57" t="s">
        <v>17</v>
      </c>
      <c r="J112" s="60">
        <v>4500000567</v>
      </c>
    </row>
    <row r="113" spans="1:10" x14ac:dyDescent="0.25">
      <c r="A113" s="70">
        <v>46065</v>
      </c>
      <c r="B113" s="71" t="s">
        <v>81</v>
      </c>
      <c r="C113" s="71">
        <v>1535</v>
      </c>
      <c r="D113" s="67">
        <v>80</v>
      </c>
      <c r="E113" s="72">
        <f>Table5[[#This Row],[Weight KG]]/1000</f>
        <v>8</v>
      </c>
      <c r="F113" s="69">
        <v>8000</v>
      </c>
      <c r="G113" s="59" t="s">
        <v>75</v>
      </c>
      <c r="H113" s="57">
        <v>1000000037</v>
      </c>
      <c r="I113" s="57" t="s">
        <v>17</v>
      </c>
      <c r="J113" s="60">
        <v>4500000567</v>
      </c>
    </row>
    <row r="114" spans="1:10" x14ac:dyDescent="0.25">
      <c r="A114" s="66">
        <v>46065</v>
      </c>
      <c r="B114" s="71" t="s">
        <v>81</v>
      </c>
      <c r="C114" s="71">
        <v>772</v>
      </c>
      <c r="D114" s="67">
        <v>80</v>
      </c>
      <c r="E114" s="72">
        <f>Table5[[#This Row],[Weight KG]]/1000</f>
        <v>8.26</v>
      </c>
      <c r="F114" s="69">
        <v>8260</v>
      </c>
      <c r="G114" s="59" t="s">
        <v>75</v>
      </c>
      <c r="H114" s="57">
        <v>1000000037</v>
      </c>
      <c r="I114" s="57" t="s">
        <v>17</v>
      </c>
      <c r="J114" s="60">
        <v>4500000567</v>
      </c>
    </row>
    <row r="115" spans="1:10" x14ac:dyDescent="0.25">
      <c r="A115" s="70">
        <v>46065</v>
      </c>
      <c r="B115" s="71" t="s">
        <v>81</v>
      </c>
      <c r="C115" s="71">
        <v>1194</v>
      </c>
      <c r="D115" s="67">
        <v>80</v>
      </c>
      <c r="E115" s="72">
        <f>Table5[[#This Row],[Weight KG]]/1000</f>
        <v>7.9</v>
      </c>
      <c r="F115" s="69">
        <v>7900</v>
      </c>
      <c r="G115" s="59" t="s">
        <v>75</v>
      </c>
      <c r="H115" s="57">
        <v>1000000037</v>
      </c>
      <c r="I115" s="57" t="s">
        <v>17</v>
      </c>
      <c r="J115" s="60">
        <v>4500000567</v>
      </c>
    </row>
    <row r="116" spans="1:10" x14ac:dyDescent="0.25">
      <c r="A116" s="66">
        <v>46065</v>
      </c>
      <c r="B116" s="71" t="s">
        <v>81</v>
      </c>
      <c r="C116" s="71">
        <v>423</v>
      </c>
      <c r="D116" s="67">
        <v>80</v>
      </c>
      <c r="E116" s="72">
        <f>Table5[[#This Row],[Weight KG]]/1000</f>
        <v>7.9</v>
      </c>
      <c r="F116" s="69">
        <v>7900</v>
      </c>
      <c r="G116" s="59" t="s">
        <v>75</v>
      </c>
      <c r="H116" s="57">
        <v>1000000037</v>
      </c>
      <c r="I116" s="57" t="s">
        <v>17</v>
      </c>
      <c r="J116" s="60">
        <v>4500000567</v>
      </c>
    </row>
    <row r="117" spans="1:10" x14ac:dyDescent="0.25">
      <c r="A117" s="70">
        <v>46065</v>
      </c>
      <c r="B117" s="71" t="s">
        <v>81</v>
      </c>
      <c r="C117" s="71">
        <v>791</v>
      </c>
      <c r="D117" s="67">
        <v>80</v>
      </c>
      <c r="E117" s="72">
        <f>Table5[[#This Row],[Weight KG]]/1000</f>
        <v>7.94</v>
      </c>
      <c r="F117" s="73">
        <v>7940</v>
      </c>
      <c r="G117" s="59" t="s">
        <v>75</v>
      </c>
      <c r="H117" s="57">
        <v>1000000037</v>
      </c>
      <c r="I117" s="57" t="s">
        <v>17</v>
      </c>
      <c r="J117" s="60">
        <v>4500000567</v>
      </c>
    </row>
    <row r="118" spans="1:10" x14ac:dyDescent="0.25">
      <c r="A118" s="70">
        <v>46067</v>
      </c>
      <c r="B118" s="71" t="s">
        <v>81</v>
      </c>
      <c r="C118" s="71">
        <v>717</v>
      </c>
      <c r="D118" s="71">
        <v>80</v>
      </c>
      <c r="E118" s="72">
        <f>Table5[[#This Row],[Weight KG]]/1000</f>
        <v>8.36</v>
      </c>
      <c r="F118" s="73">
        <v>8360</v>
      </c>
      <c r="G118" s="59" t="s">
        <v>75</v>
      </c>
      <c r="H118" s="57">
        <v>1000000037</v>
      </c>
      <c r="I118" s="57" t="s">
        <v>17</v>
      </c>
      <c r="J118" s="60">
        <v>4500000567</v>
      </c>
    </row>
    <row r="119" spans="1:10" x14ac:dyDescent="0.25">
      <c r="A119" s="66">
        <v>46067</v>
      </c>
      <c r="B119" s="71" t="s">
        <v>81</v>
      </c>
      <c r="C119" s="67">
        <v>1811</v>
      </c>
      <c r="D119" s="67">
        <v>150</v>
      </c>
      <c r="E119" s="72">
        <f>Table5[[#This Row],[Weight KG]]/1000</f>
        <v>14.98</v>
      </c>
      <c r="F119" s="69">
        <v>14980</v>
      </c>
      <c r="G119" s="59" t="s">
        <v>75</v>
      </c>
      <c r="H119" s="57">
        <v>1000000037</v>
      </c>
      <c r="I119" s="57" t="s">
        <v>17</v>
      </c>
      <c r="J119" s="60">
        <v>4500000567</v>
      </c>
    </row>
    <row r="120" spans="1:10" x14ac:dyDescent="0.25">
      <c r="A120" s="66">
        <v>46067</v>
      </c>
      <c r="B120" s="71" t="s">
        <v>81</v>
      </c>
      <c r="C120" s="67">
        <v>939</v>
      </c>
      <c r="D120" s="67">
        <v>58</v>
      </c>
      <c r="E120" s="72">
        <f>Table5[[#This Row],[Weight KG]]/1000</f>
        <v>6</v>
      </c>
      <c r="F120" s="69">
        <v>6000</v>
      </c>
      <c r="G120" s="59" t="s">
        <v>75</v>
      </c>
      <c r="H120" s="57">
        <v>1000000037</v>
      </c>
      <c r="I120" s="57" t="s">
        <v>17</v>
      </c>
      <c r="J120" s="60">
        <v>4500000567</v>
      </c>
    </row>
    <row r="121" spans="1:10" x14ac:dyDescent="0.25">
      <c r="A121" s="66">
        <v>46067</v>
      </c>
      <c r="B121" s="71" t="s">
        <v>81</v>
      </c>
      <c r="C121" s="67">
        <v>11899</v>
      </c>
      <c r="D121" s="67">
        <v>55</v>
      </c>
      <c r="E121" s="72">
        <f>Table5[[#This Row],[Weight KG]]/1000</f>
        <v>5.48</v>
      </c>
      <c r="F121" s="69">
        <v>5480</v>
      </c>
      <c r="G121" s="59" t="s">
        <v>75</v>
      </c>
      <c r="H121" s="57">
        <v>1000000037</v>
      </c>
      <c r="I121" s="57" t="s">
        <v>17</v>
      </c>
      <c r="J121" s="60">
        <v>4500000567</v>
      </c>
    </row>
    <row r="122" spans="1:10" x14ac:dyDescent="0.25">
      <c r="A122" s="66">
        <v>46067</v>
      </c>
      <c r="B122" s="71" t="s">
        <v>81</v>
      </c>
      <c r="C122" s="67">
        <v>701</v>
      </c>
      <c r="D122" s="67">
        <v>160</v>
      </c>
      <c r="E122" s="72">
        <f>Table5[[#This Row],[Weight KG]]/1000</f>
        <v>15.86</v>
      </c>
      <c r="F122" s="69">
        <v>15860</v>
      </c>
      <c r="G122" s="59" t="s">
        <v>75</v>
      </c>
      <c r="H122" s="57">
        <v>1000000037</v>
      </c>
      <c r="I122" s="57" t="s">
        <v>17</v>
      </c>
      <c r="J122" s="60">
        <v>4500000567</v>
      </c>
    </row>
    <row r="123" spans="1:10" x14ac:dyDescent="0.25">
      <c r="A123" s="66">
        <v>46067</v>
      </c>
      <c r="B123" s="71" t="s">
        <v>81</v>
      </c>
      <c r="C123" s="67">
        <v>4722</v>
      </c>
      <c r="D123" s="67">
        <v>150</v>
      </c>
      <c r="E123" s="72">
        <f>Table5[[#This Row],[Weight KG]]/1000</f>
        <v>14.62</v>
      </c>
      <c r="F123" s="69">
        <v>14620</v>
      </c>
      <c r="G123" s="59" t="s">
        <v>75</v>
      </c>
      <c r="H123" s="57">
        <v>1000000037</v>
      </c>
      <c r="I123" s="57" t="s">
        <v>17</v>
      </c>
      <c r="J123" s="60">
        <v>4500000567</v>
      </c>
    </row>
    <row r="124" spans="1:10" x14ac:dyDescent="0.25">
      <c r="A124" s="66">
        <v>46067</v>
      </c>
      <c r="B124" s="71" t="s">
        <v>81</v>
      </c>
      <c r="C124" s="67">
        <v>38680</v>
      </c>
      <c r="D124" s="67">
        <v>138</v>
      </c>
      <c r="E124" s="72">
        <f>Table5[[#This Row],[Weight KG]]/1000</f>
        <v>13.58</v>
      </c>
      <c r="F124" s="69">
        <v>13580</v>
      </c>
      <c r="G124" s="59" t="s">
        <v>75</v>
      </c>
      <c r="H124" s="57">
        <v>1000000037</v>
      </c>
      <c r="I124" s="57" t="s">
        <v>17</v>
      </c>
      <c r="J124" s="60">
        <v>4500000567</v>
      </c>
    </row>
    <row r="125" spans="1:10" x14ac:dyDescent="0.25">
      <c r="A125" s="66">
        <v>46067</v>
      </c>
      <c r="B125" s="71" t="s">
        <v>81</v>
      </c>
      <c r="C125" s="67">
        <v>599</v>
      </c>
      <c r="D125" s="67">
        <v>80</v>
      </c>
      <c r="E125" s="72">
        <f>Table5[[#This Row],[Weight KG]]/1000</f>
        <v>7.94</v>
      </c>
      <c r="F125" s="69">
        <v>7940</v>
      </c>
      <c r="G125" s="59" t="s">
        <v>75</v>
      </c>
      <c r="H125" s="57">
        <v>1000000037</v>
      </c>
      <c r="I125" s="57" t="s">
        <v>17</v>
      </c>
      <c r="J125" s="60">
        <v>4500000567</v>
      </c>
    </row>
    <row r="126" spans="1:10" x14ac:dyDescent="0.25">
      <c r="A126" s="66">
        <v>46067</v>
      </c>
      <c r="B126" s="71" t="s">
        <v>81</v>
      </c>
      <c r="C126" s="67">
        <v>351</v>
      </c>
      <c r="D126" s="67">
        <v>80</v>
      </c>
      <c r="E126" s="72">
        <f>Table5[[#This Row],[Weight KG]]/1000</f>
        <v>7.72</v>
      </c>
      <c r="F126" s="69">
        <v>7720</v>
      </c>
      <c r="G126" s="59" t="s">
        <v>75</v>
      </c>
      <c r="H126" s="57">
        <v>1000000037</v>
      </c>
      <c r="I126" s="57" t="s">
        <v>17</v>
      </c>
      <c r="J126" s="60">
        <v>4500000567</v>
      </c>
    </row>
    <row r="127" spans="1:10" x14ac:dyDescent="0.25">
      <c r="A127" s="66">
        <v>46067</v>
      </c>
      <c r="B127" s="71" t="s">
        <v>81</v>
      </c>
      <c r="C127" s="67">
        <v>5523</v>
      </c>
      <c r="D127" s="67">
        <v>150</v>
      </c>
      <c r="E127" s="72">
        <f>Table5[[#This Row],[Weight KG]]/1000</f>
        <v>14.98</v>
      </c>
      <c r="F127" s="69">
        <v>14980</v>
      </c>
      <c r="G127" s="59" t="s">
        <v>75</v>
      </c>
      <c r="H127" s="57">
        <v>1000000037</v>
      </c>
      <c r="I127" s="57" t="s">
        <v>17</v>
      </c>
      <c r="J127" s="60">
        <v>4500000567</v>
      </c>
    </row>
    <row r="128" spans="1:10" x14ac:dyDescent="0.25">
      <c r="A128" s="66">
        <v>46067</v>
      </c>
      <c r="B128" s="71" t="s">
        <v>81</v>
      </c>
      <c r="C128" s="67">
        <v>40</v>
      </c>
      <c r="D128" s="67">
        <v>80</v>
      </c>
      <c r="E128" s="72">
        <f>Table5[[#This Row],[Weight KG]]/1000</f>
        <v>8.34</v>
      </c>
      <c r="F128" s="69">
        <v>8340</v>
      </c>
      <c r="G128" s="59" t="s">
        <v>75</v>
      </c>
      <c r="H128" s="57">
        <v>1000000037</v>
      </c>
      <c r="I128" s="57" t="s">
        <v>17</v>
      </c>
      <c r="J128" s="60">
        <v>4500000567</v>
      </c>
    </row>
    <row r="129" spans="1:10" x14ac:dyDescent="0.25">
      <c r="A129" s="66">
        <v>46067</v>
      </c>
      <c r="B129" s="71" t="s">
        <v>81</v>
      </c>
      <c r="C129" s="67">
        <v>630</v>
      </c>
      <c r="D129" s="78"/>
      <c r="E129" s="72">
        <f>Table5[[#This Row],[Weight KG]]/1000</f>
        <v>6.9</v>
      </c>
      <c r="F129" s="69">
        <v>6900</v>
      </c>
      <c r="G129" s="59" t="s">
        <v>75</v>
      </c>
      <c r="H129" s="57">
        <v>1000000037</v>
      </c>
      <c r="I129" s="57" t="s">
        <v>17</v>
      </c>
      <c r="J129" s="60">
        <v>4500000567</v>
      </c>
    </row>
    <row r="130" spans="1:10" x14ac:dyDescent="0.25">
      <c r="A130" s="66">
        <v>46067</v>
      </c>
      <c r="B130" s="71" t="s">
        <v>81</v>
      </c>
      <c r="C130" s="67">
        <v>14808</v>
      </c>
      <c r="D130" s="67">
        <v>160</v>
      </c>
      <c r="E130" s="72">
        <f>Table5[[#This Row],[Weight KG]]/1000</f>
        <v>16.46</v>
      </c>
      <c r="F130" s="69">
        <v>16460</v>
      </c>
      <c r="G130" s="59" t="s">
        <v>75</v>
      </c>
      <c r="H130" s="57">
        <v>1000000037</v>
      </c>
      <c r="I130" s="57" t="s">
        <v>17</v>
      </c>
      <c r="J130" s="60">
        <v>4500000567</v>
      </c>
    </row>
    <row r="131" spans="1:10" x14ac:dyDescent="0.25">
      <c r="A131" s="66">
        <v>46067</v>
      </c>
      <c r="B131" s="71" t="s">
        <v>81</v>
      </c>
      <c r="C131" s="67">
        <v>9363</v>
      </c>
      <c r="D131" s="67">
        <v>80</v>
      </c>
      <c r="E131" s="72">
        <f>Table5[[#This Row],[Weight KG]]/1000</f>
        <v>7.82</v>
      </c>
      <c r="F131" s="69">
        <v>7820</v>
      </c>
      <c r="G131" s="59" t="s">
        <v>75</v>
      </c>
      <c r="H131" s="57">
        <v>1000000037</v>
      </c>
      <c r="I131" s="57" t="s">
        <v>17</v>
      </c>
      <c r="J131" s="60">
        <v>4500000567</v>
      </c>
    </row>
    <row r="132" spans="1:10" x14ac:dyDescent="0.25">
      <c r="A132" s="66">
        <v>46067</v>
      </c>
      <c r="B132" s="71" t="s">
        <v>81</v>
      </c>
      <c r="C132" s="67">
        <v>4919</v>
      </c>
      <c r="D132" s="67">
        <v>150</v>
      </c>
      <c r="E132" s="72">
        <f>Table5[[#This Row],[Weight KG]]/1000</f>
        <v>15.44</v>
      </c>
      <c r="F132" s="69">
        <v>15440</v>
      </c>
      <c r="G132" s="59" t="s">
        <v>75</v>
      </c>
      <c r="H132" s="57">
        <v>1000000037</v>
      </c>
      <c r="I132" s="57" t="s">
        <v>17</v>
      </c>
      <c r="J132" s="60">
        <v>4500000567</v>
      </c>
    </row>
    <row r="133" spans="1:10" x14ac:dyDescent="0.25">
      <c r="A133" s="66">
        <v>46067</v>
      </c>
      <c r="B133" s="71" t="s">
        <v>81</v>
      </c>
      <c r="C133" s="67">
        <v>90776</v>
      </c>
      <c r="D133" s="67">
        <v>150</v>
      </c>
      <c r="E133" s="72">
        <f>Table5[[#This Row],[Weight KG]]/1000</f>
        <v>15.12</v>
      </c>
      <c r="F133" s="69">
        <v>15120</v>
      </c>
      <c r="G133" s="59" t="s">
        <v>75</v>
      </c>
      <c r="H133" s="57">
        <v>1000000037</v>
      </c>
      <c r="I133" s="57" t="s">
        <v>17</v>
      </c>
      <c r="J133" s="60">
        <v>4500000567</v>
      </c>
    </row>
    <row r="134" spans="1:10" x14ac:dyDescent="0.25">
      <c r="A134" s="66">
        <v>46067</v>
      </c>
      <c r="B134" s="71" t="s">
        <v>81</v>
      </c>
      <c r="C134" s="67">
        <v>1659</v>
      </c>
      <c r="D134" s="67">
        <v>150</v>
      </c>
      <c r="E134" s="72">
        <f>Table5[[#This Row],[Weight KG]]/1000</f>
        <v>15.16</v>
      </c>
      <c r="F134" s="69">
        <v>15160</v>
      </c>
      <c r="G134" s="59" t="s">
        <v>75</v>
      </c>
      <c r="H134" s="57">
        <v>1000000037</v>
      </c>
      <c r="I134" s="57" t="s">
        <v>17</v>
      </c>
      <c r="J134" s="60">
        <v>4500000567</v>
      </c>
    </row>
    <row r="135" spans="1:10" x14ac:dyDescent="0.25">
      <c r="A135" s="66">
        <v>46067</v>
      </c>
      <c r="B135" s="71" t="s">
        <v>81</v>
      </c>
      <c r="C135" s="67">
        <v>7632</v>
      </c>
      <c r="D135" s="67">
        <v>229</v>
      </c>
      <c r="E135" s="72">
        <f>Table5[[#This Row],[Weight KG]]/1000</f>
        <v>22.92</v>
      </c>
      <c r="F135" s="69">
        <v>22920</v>
      </c>
      <c r="G135" s="59" t="s">
        <v>75</v>
      </c>
      <c r="H135" s="57">
        <v>1000000037</v>
      </c>
      <c r="I135" s="57" t="s">
        <v>17</v>
      </c>
      <c r="J135" s="60">
        <v>4500000567</v>
      </c>
    </row>
    <row r="136" spans="1:10" x14ac:dyDescent="0.25">
      <c r="A136" s="66">
        <v>46067</v>
      </c>
      <c r="B136" s="71" t="s">
        <v>81</v>
      </c>
      <c r="C136" s="67">
        <v>23259</v>
      </c>
      <c r="D136" s="67">
        <v>138</v>
      </c>
      <c r="E136" s="72">
        <f>Table5[[#This Row],[Weight KG]]/1000</f>
        <v>13.48</v>
      </c>
      <c r="F136" s="69">
        <v>13480</v>
      </c>
      <c r="G136" s="59" t="s">
        <v>75</v>
      </c>
      <c r="H136" s="57">
        <v>1000000037</v>
      </c>
      <c r="I136" s="57" t="s">
        <v>17</v>
      </c>
      <c r="J136" s="60">
        <v>4500000567</v>
      </c>
    </row>
    <row r="137" spans="1:10" x14ac:dyDescent="0.25">
      <c r="A137" s="66">
        <v>46067</v>
      </c>
      <c r="B137" s="71" t="s">
        <v>81</v>
      </c>
      <c r="C137" s="67">
        <v>1353</v>
      </c>
      <c r="D137" s="67">
        <v>115</v>
      </c>
      <c r="E137" s="72">
        <f>Table5[[#This Row],[Weight KG]]/1000</f>
        <v>12.06</v>
      </c>
      <c r="F137" s="69">
        <v>12060</v>
      </c>
      <c r="G137" s="59" t="s">
        <v>75</v>
      </c>
      <c r="H137" s="57">
        <v>1000000037</v>
      </c>
      <c r="I137" s="57" t="s">
        <v>17</v>
      </c>
      <c r="J137" s="60">
        <v>4500000567</v>
      </c>
    </row>
    <row r="138" spans="1:10" x14ac:dyDescent="0.25">
      <c r="A138" s="66">
        <v>46067</v>
      </c>
      <c r="B138" s="71" t="s">
        <v>81</v>
      </c>
      <c r="C138" s="67">
        <v>9025</v>
      </c>
      <c r="D138" s="67">
        <v>150</v>
      </c>
      <c r="E138" s="72">
        <f>Table5[[#This Row],[Weight KG]]/1000</f>
        <v>14.78</v>
      </c>
      <c r="F138" s="69">
        <v>14780</v>
      </c>
      <c r="G138" s="59" t="s">
        <v>75</v>
      </c>
      <c r="H138" s="57">
        <v>1000000037</v>
      </c>
      <c r="I138" s="57" t="s">
        <v>17</v>
      </c>
      <c r="J138" s="60">
        <v>4500000567</v>
      </c>
    </row>
    <row r="139" spans="1:10" x14ac:dyDescent="0.25">
      <c r="A139" s="66">
        <v>46067</v>
      </c>
      <c r="B139" s="71" t="s">
        <v>81</v>
      </c>
      <c r="C139" s="67">
        <v>65052</v>
      </c>
      <c r="D139" s="67">
        <v>138</v>
      </c>
      <c r="E139" s="72">
        <f>Table5[[#This Row],[Weight KG]]/1000</f>
        <v>13.54</v>
      </c>
      <c r="F139" s="69">
        <v>13540</v>
      </c>
      <c r="G139" s="59" t="s">
        <v>75</v>
      </c>
      <c r="H139" s="57">
        <v>1000000037</v>
      </c>
      <c r="I139" s="57" t="s">
        <v>17</v>
      </c>
      <c r="J139" s="60">
        <v>4500000567</v>
      </c>
    </row>
    <row r="140" spans="1:10" x14ac:dyDescent="0.25">
      <c r="A140" s="66">
        <v>46068</v>
      </c>
      <c r="B140" s="71" t="s">
        <v>81</v>
      </c>
      <c r="C140" s="67">
        <v>62798</v>
      </c>
      <c r="D140" s="67">
        <v>46</v>
      </c>
      <c r="E140" s="72">
        <f>Table5[[#This Row],[Weight KG]]/1000</f>
        <v>4.84</v>
      </c>
      <c r="F140" s="69">
        <v>4840</v>
      </c>
      <c r="G140" s="59" t="s">
        <v>75</v>
      </c>
      <c r="H140" s="57">
        <v>1000000037</v>
      </c>
      <c r="I140" s="57" t="s">
        <v>17</v>
      </c>
      <c r="J140" s="60">
        <v>4500000567</v>
      </c>
    </row>
    <row r="141" spans="1:10" x14ac:dyDescent="0.25">
      <c r="A141" s="66">
        <v>46068</v>
      </c>
      <c r="B141" s="71" t="s">
        <v>81</v>
      </c>
      <c r="C141" s="67">
        <v>1894</v>
      </c>
      <c r="D141" s="67">
        <v>66</v>
      </c>
      <c r="E141" s="72">
        <f>Table5[[#This Row],[Weight KG]]/1000</f>
        <v>6.66</v>
      </c>
      <c r="F141" s="69">
        <v>6660</v>
      </c>
      <c r="G141" s="59" t="s">
        <v>75</v>
      </c>
      <c r="H141" s="57">
        <v>1000000037</v>
      </c>
      <c r="I141" s="57" t="s">
        <v>17</v>
      </c>
      <c r="J141" s="60">
        <v>4500000567</v>
      </c>
    </row>
    <row r="142" spans="1:10" x14ac:dyDescent="0.25">
      <c r="A142" s="66">
        <v>46068</v>
      </c>
      <c r="B142" s="71" t="s">
        <v>81</v>
      </c>
      <c r="C142" s="67">
        <v>6662</v>
      </c>
      <c r="D142" s="67">
        <v>160</v>
      </c>
      <c r="E142" s="72">
        <f>Table5[[#This Row],[Weight KG]]/1000</f>
        <v>16.88</v>
      </c>
      <c r="F142" s="69">
        <v>16880</v>
      </c>
      <c r="G142" s="59" t="s">
        <v>75</v>
      </c>
      <c r="H142" s="57">
        <v>1000000037</v>
      </c>
      <c r="I142" s="57" t="s">
        <v>17</v>
      </c>
      <c r="J142" s="60">
        <v>4500000567</v>
      </c>
    </row>
    <row r="143" spans="1:10" x14ac:dyDescent="0.25">
      <c r="A143" s="66">
        <v>46068</v>
      </c>
      <c r="B143" s="71" t="s">
        <v>81</v>
      </c>
      <c r="C143" s="67">
        <v>33222</v>
      </c>
      <c r="D143" s="67">
        <v>69</v>
      </c>
      <c r="E143" s="72">
        <f>Table5[[#This Row],[Weight KG]]/1000</f>
        <v>7.42</v>
      </c>
      <c r="F143" s="69">
        <v>7420</v>
      </c>
      <c r="G143" s="59" t="s">
        <v>75</v>
      </c>
      <c r="H143" s="57">
        <v>1000000037</v>
      </c>
      <c r="I143" s="57" t="s">
        <v>17</v>
      </c>
      <c r="J143" s="60">
        <v>4500000567</v>
      </c>
    </row>
    <row r="144" spans="1:10" x14ac:dyDescent="0.25">
      <c r="A144" s="66">
        <v>46068</v>
      </c>
      <c r="B144" s="71" t="s">
        <v>81</v>
      </c>
      <c r="C144" s="67">
        <v>622</v>
      </c>
      <c r="D144" s="67">
        <v>80</v>
      </c>
      <c r="E144" s="72">
        <f>Table5[[#This Row],[Weight KG]]/1000</f>
        <v>8.36</v>
      </c>
      <c r="F144" s="69">
        <v>8360</v>
      </c>
      <c r="G144" s="59" t="s">
        <v>75</v>
      </c>
      <c r="H144" s="57">
        <v>1000000037</v>
      </c>
      <c r="I144" s="57" t="s">
        <v>17</v>
      </c>
      <c r="J144" s="60">
        <v>4500000567</v>
      </c>
    </row>
    <row r="145" spans="1:10" x14ac:dyDescent="0.25">
      <c r="A145" s="66">
        <v>46068</v>
      </c>
      <c r="B145" s="71" t="s">
        <v>81</v>
      </c>
      <c r="C145" s="67">
        <v>3084</v>
      </c>
      <c r="D145" s="67">
        <v>136</v>
      </c>
      <c r="E145" s="72">
        <f>Table5[[#This Row],[Weight KG]]/1000</f>
        <v>13.54</v>
      </c>
      <c r="F145" s="69">
        <v>13540</v>
      </c>
      <c r="G145" s="59" t="s">
        <v>75</v>
      </c>
      <c r="H145" s="57">
        <v>1000000037</v>
      </c>
      <c r="I145" s="57" t="s">
        <v>17</v>
      </c>
      <c r="J145" s="60">
        <v>4500000567</v>
      </c>
    </row>
    <row r="146" spans="1:10" x14ac:dyDescent="0.25">
      <c r="A146" s="66">
        <v>46068</v>
      </c>
      <c r="B146" s="71" t="s">
        <v>81</v>
      </c>
      <c r="C146" s="67">
        <v>1967</v>
      </c>
      <c r="D146" s="67">
        <v>80</v>
      </c>
      <c r="E146" s="72">
        <f>Table5[[#This Row],[Weight KG]]/1000</f>
        <v>8.16</v>
      </c>
      <c r="F146" s="69">
        <v>8160</v>
      </c>
      <c r="G146" s="59" t="s">
        <v>75</v>
      </c>
      <c r="H146" s="57">
        <v>1000000037</v>
      </c>
      <c r="I146" s="57" t="s">
        <v>17</v>
      </c>
      <c r="J146" s="60">
        <v>4500000567</v>
      </c>
    </row>
    <row r="147" spans="1:10" x14ac:dyDescent="0.25">
      <c r="A147" s="66">
        <v>46068</v>
      </c>
      <c r="B147" s="71" t="s">
        <v>81</v>
      </c>
      <c r="C147" s="67">
        <v>20289</v>
      </c>
      <c r="D147" s="67">
        <v>149</v>
      </c>
      <c r="E147" s="72">
        <f>Table5[[#This Row],[Weight KG]]/1000</f>
        <v>15.06</v>
      </c>
      <c r="F147" s="69">
        <v>15060</v>
      </c>
      <c r="G147" s="59" t="s">
        <v>75</v>
      </c>
      <c r="H147" s="57">
        <v>1000000037</v>
      </c>
      <c r="I147" s="57" t="s">
        <v>17</v>
      </c>
      <c r="J147" s="60">
        <v>4500000567</v>
      </c>
    </row>
    <row r="148" spans="1:10" x14ac:dyDescent="0.25">
      <c r="A148" s="66">
        <v>46068</v>
      </c>
      <c r="B148" s="71" t="s">
        <v>81</v>
      </c>
      <c r="C148" s="67">
        <v>34917</v>
      </c>
      <c r="D148" s="67">
        <v>150</v>
      </c>
      <c r="E148" s="72">
        <f>Table5[[#This Row],[Weight KG]]/1000</f>
        <v>15.42</v>
      </c>
      <c r="F148" s="69">
        <v>15420</v>
      </c>
      <c r="G148" s="59" t="s">
        <v>75</v>
      </c>
      <c r="H148" s="57">
        <v>1000000037</v>
      </c>
      <c r="I148" s="57" t="s">
        <v>17</v>
      </c>
      <c r="J148" s="60">
        <v>4500000567</v>
      </c>
    </row>
    <row r="149" spans="1:10" x14ac:dyDescent="0.25">
      <c r="A149" s="66">
        <v>46068</v>
      </c>
      <c r="B149" s="71" t="s">
        <v>81</v>
      </c>
      <c r="C149" s="67">
        <v>113</v>
      </c>
      <c r="D149" s="67">
        <v>150</v>
      </c>
      <c r="E149" s="72">
        <f>Table5[[#This Row],[Weight KG]]/1000</f>
        <v>15.74</v>
      </c>
      <c r="F149" s="69">
        <v>15740</v>
      </c>
      <c r="G149" s="59" t="s">
        <v>75</v>
      </c>
      <c r="H149" s="57">
        <v>1000000037</v>
      </c>
      <c r="I149" s="57" t="s">
        <v>17</v>
      </c>
      <c r="J149" s="60">
        <v>4500000567</v>
      </c>
    </row>
    <row r="150" spans="1:10" x14ac:dyDescent="0.25">
      <c r="A150" s="66">
        <v>46068</v>
      </c>
      <c r="B150" s="71" t="s">
        <v>81</v>
      </c>
      <c r="C150" s="67">
        <v>692</v>
      </c>
      <c r="D150" s="67">
        <v>75</v>
      </c>
      <c r="E150" s="72">
        <f>Table5[[#This Row],[Weight KG]]/1000</f>
        <v>7.82</v>
      </c>
      <c r="F150" s="69">
        <v>7820</v>
      </c>
      <c r="G150" s="59" t="s">
        <v>75</v>
      </c>
      <c r="H150" s="57">
        <v>1000000037</v>
      </c>
      <c r="I150" s="57" t="s">
        <v>17</v>
      </c>
      <c r="J150" s="60">
        <v>4500000567</v>
      </c>
    </row>
    <row r="151" spans="1:10" x14ac:dyDescent="0.25">
      <c r="A151" s="66">
        <v>46068</v>
      </c>
      <c r="B151" s="71" t="s">
        <v>81</v>
      </c>
      <c r="C151" s="67">
        <v>1210</v>
      </c>
      <c r="D151" s="67">
        <v>150</v>
      </c>
      <c r="E151" s="72">
        <f>Table5[[#This Row],[Weight KG]]/1000</f>
        <v>14.88</v>
      </c>
      <c r="F151" s="69">
        <v>14880</v>
      </c>
      <c r="G151" s="59" t="s">
        <v>75</v>
      </c>
      <c r="H151" s="57">
        <v>1000000037</v>
      </c>
      <c r="I151" s="57" t="s">
        <v>17</v>
      </c>
      <c r="J151" s="60">
        <v>4500000567</v>
      </c>
    </row>
    <row r="152" spans="1:10" x14ac:dyDescent="0.25">
      <c r="A152" s="66">
        <v>46068</v>
      </c>
      <c r="B152" s="71" t="s">
        <v>81</v>
      </c>
      <c r="C152" s="67">
        <v>4919</v>
      </c>
      <c r="D152" s="67">
        <v>117</v>
      </c>
      <c r="E152" s="72">
        <f>Table5[[#This Row],[Weight KG]]/1000</f>
        <v>12</v>
      </c>
      <c r="F152" s="69">
        <v>12000</v>
      </c>
      <c r="G152" s="59" t="s">
        <v>75</v>
      </c>
      <c r="H152" s="57">
        <v>1000000037</v>
      </c>
      <c r="I152" s="57" t="s">
        <v>17</v>
      </c>
      <c r="J152" s="60">
        <v>4500000567</v>
      </c>
    </row>
    <row r="153" spans="1:10" x14ac:dyDescent="0.25">
      <c r="A153" s="66">
        <v>46068</v>
      </c>
      <c r="B153" s="71" t="s">
        <v>81</v>
      </c>
      <c r="C153" s="67">
        <v>40144</v>
      </c>
      <c r="D153" s="67">
        <v>150</v>
      </c>
      <c r="E153" s="72">
        <f>Table5[[#This Row],[Weight KG]]/1000</f>
        <v>15.36</v>
      </c>
      <c r="F153" s="69">
        <v>15360</v>
      </c>
      <c r="G153" s="59" t="s">
        <v>75</v>
      </c>
      <c r="H153" s="57">
        <v>1000000037</v>
      </c>
      <c r="I153" s="57" t="s">
        <v>17</v>
      </c>
      <c r="J153" s="60">
        <v>4500000567</v>
      </c>
    </row>
    <row r="154" spans="1:10" x14ac:dyDescent="0.25">
      <c r="A154" s="66">
        <v>46068</v>
      </c>
      <c r="B154" s="71" t="s">
        <v>81</v>
      </c>
      <c r="C154" s="67">
        <v>46306</v>
      </c>
      <c r="D154" s="67">
        <v>150</v>
      </c>
      <c r="E154" s="72">
        <f>Table5[[#This Row],[Weight KG]]/1000</f>
        <v>15.26</v>
      </c>
      <c r="F154" s="69">
        <v>15260</v>
      </c>
      <c r="G154" s="59" t="s">
        <v>75</v>
      </c>
      <c r="H154" s="57">
        <v>1000000037</v>
      </c>
      <c r="I154" s="57" t="s">
        <v>17</v>
      </c>
      <c r="J154" s="60">
        <v>4500000567</v>
      </c>
    </row>
    <row r="155" spans="1:10" x14ac:dyDescent="0.25">
      <c r="A155" s="66">
        <v>46068</v>
      </c>
      <c r="B155" s="71" t="s">
        <v>81</v>
      </c>
      <c r="C155" s="67">
        <v>4232</v>
      </c>
      <c r="D155" s="67">
        <v>130</v>
      </c>
      <c r="E155" s="72">
        <f>Table5[[#This Row],[Weight KG]]/1000</f>
        <v>13.14</v>
      </c>
      <c r="F155" s="69">
        <v>13140</v>
      </c>
      <c r="G155" s="59" t="s">
        <v>75</v>
      </c>
      <c r="H155" s="57">
        <v>1000000037</v>
      </c>
      <c r="I155" s="57" t="s">
        <v>17</v>
      </c>
      <c r="J155" s="60">
        <v>4500000567</v>
      </c>
    </row>
    <row r="156" spans="1:10" x14ac:dyDescent="0.25">
      <c r="A156" s="66">
        <v>46068</v>
      </c>
      <c r="B156" s="71" t="s">
        <v>81</v>
      </c>
      <c r="C156" s="67">
        <v>15632</v>
      </c>
      <c r="D156" s="67">
        <v>80</v>
      </c>
      <c r="E156" s="72">
        <f>Table5[[#This Row],[Weight KG]]/1000</f>
        <v>8.1199999999999992</v>
      </c>
      <c r="F156" s="69">
        <v>8120</v>
      </c>
      <c r="G156" s="59" t="s">
        <v>75</v>
      </c>
      <c r="H156" s="57">
        <v>1000000037</v>
      </c>
      <c r="I156" s="57" t="s">
        <v>17</v>
      </c>
      <c r="J156" s="60">
        <v>4500000567</v>
      </c>
    </row>
    <row r="157" spans="1:10" x14ac:dyDescent="0.25">
      <c r="A157" s="66">
        <v>46068</v>
      </c>
      <c r="B157" s="71" t="s">
        <v>81</v>
      </c>
      <c r="C157" s="67">
        <v>751</v>
      </c>
      <c r="D157" s="67">
        <v>80</v>
      </c>
      <c r="E157" s="72">
        <f>Table5[[#This Row],[Weight KG]]/1000</f>
        <v>8.0399999999999991</v>
      </c>
      <c r="F157" s="69">
        <v>8040</v>
      </c>
      <c r="G157" s="59" t="s">
        <v>75</v>
      </c>
      <c r="H157" s="57">
        <v>1000000037</v>
      </c>
      <c r="I157" s="57" t="s">
        <v>17</v>
      </c>
      <c r="J157" s="60">
        <v>4500000567</v>
      </c>
    </row>
    <row r="158" spans="1:10" x14ac:dyDescent="0.25">
      <c r="A158" s="66">
        <v>46068</v>
      </c>
      <c r="B158" s="71" t="s">
        <v>81</v>
      </c>
      <c r="C158" s="67">
        <v>1813</v>
      </c>
      <c r="D158" s="67">
        <v>69</v>
      </c>
      <c r="E158" s="72">
        <f>Table5[[#This Row],[Weight KG]]/1000</f>
        <v>6.96</v>
      </c>
      <c r="F158" s="69">
        <v>6960</v>
      </c>
      <c r="G158" s="59" t="s">
        <v>75</v>
      </c>
      <c r="H158" s="57">
        <v>1000000037</v>
      </c>
      <c r="I158" s="57" t="s">
        <v>17</v>
      </c>
      <c r="J158" s="60">
        <v>4500000567</v>
      </c>
    </row>
    <row r="159" spans="1:10" x14ac:dyDescent="0.25">
      <c r="A159" s="66">
        <v>46068</v>
      </c>
      <c r="B159" s="71" t="s">
        <v>81</v>
      </c>
      <c r="C159" s="67">
        <v>710</v>
      </c>
      <c r="D159" s="67">
        <v>69</v>
      </c>
      <c r="E159" s="72">
        <f>Table5[[#This Row],[Weight KG]]/1000</f>
        <v>7.42</v>
      </c>
      <c r="F159" s="69">
        <v>7420</v>
      </c>
      <c r="G159" s="59" t="s">
        <v>75</v>
      </c>
      <c r="H159" s="57">
        <v>1000000037</v>
      </c>
      <c r="I159" s="57" t="s">
        <v>17</v>
      </c>
      <c r="J159" s="60">
        <v>4500000567</v>
      </c>
    </row>
    <row r="160" spans="1:10" x14ac:dyDescent="0.25">
      <c r="A160" s="66">
        <v>46068</v>
      </c>
      <c r="B160" s="71" t="s">
        <v>81</v>
      </c>
      <c r="C160" s="67">
        <v>351</v>
      </c>
      <c r="D160" s="67">
        <v>74</v>
      </c>
      <c r="E160" s="72">
        <f>Table5[[#This Row],[Weight KG]]/1000</f>
        <v>7.56</v>
      </c>
      <c r="F160" s="69">
        <v>7560</v>
      </c>
      <c r="G160" s="59" t="s">
        <v>75</v>
      </c>
      <c r="H160" s="57">
        <v>1000000037</v>
      </c>
      <c r="I160" s="57" t="s">
        <v>17</v>
      </c>
      <c r="J160" s="60">
        <v>4500000567</v>
      </c>
    </row>
    <row r="161" spans="1:10" x14ac:dyDescent="0.25">
      <c r="A161" s="66">
        <v>46068</v>
      </c>
      <c r="B161" s="71" t="s">
        <v>81</v>
      </c>
      <c r="C161" s="67">
        <v>2069</v>
      </c>
      <c r="D161" s="67">
        <v>80</v>
      </c>
      <c r="E161" s="72">
        <f>Table5[[#This Row],[Weight KG]]/1000</f>
        <v>8.06</v>
      </c>
      <c r="F161" s="69">
        <v>8060</v>
      </c>
      <c r="G161" s="59" t="s">
        <v>75</v>
      </c>
      <c r="H161" s="57">
        <v>1000000037</v>
      </c>
      <c r="I161" s="57" t="s">
        <v>17</v>
      </c>
      <c r="J161" s="60">
        <v>4500000567</v>
      </c>
    </row>
    <row r="162" spans="1:10" x14ac:dyDescent="0.25">
      <c r="A162" s="66">
        <v>46068</v>
      </c>
      <c r="B162" s="71" t="s">
        <v>81</v>
      </c>
      <c r="C162" s="67">
        <v>664</v>
      </c>
      <c r="D162" s="67">
        <v>80</v>
      </c>
      <c r="E162" s="72">
        <f>Table5[[#This Row],[Weight KG]]/1000</f>
        <v>8.1199999999999992</v>
      </c>
      <c r="F162" s="69">
        <v>8120</v>
      </c>
      <c r="G162" s="59" t="s">
        <v>75</v>
      </c>
      <c r="H162" s="57">
        <v>1000000037</v>
      </c>
      <c r="I162" s="57" t="s">
        <v>17</v>
      </c>
      <c r="J162" s="60">
        <v>4500000567</v>
      </c>
    </row>
    <row r="163" spans="1:10" x14ac:dyDescent="0.25">
      <c r="A163" s="66">
        <v>46068</v>
      </c>
      <c r="B163" s="71" t="s">
        <v>81</v>
      </c>
      <c r="C163" s="67">
        <v>1059</v>
      </c>
      <c r="D163" s="67">
        <v>80</v>
      </c>
      <c r="E163" s="72">
        <f>Table5[[#This Row],[Weight KG]]/1000</f>
        <v>8.32</v>
      </c>
      <c r="F163" s="69">
        <v>8320</v>
      </c>
      <c r="G163" s="59" t="s">
        <v>75</v>
      </c>
      <c r="H163" s="57">
        <v>1000000037</v>
      </c>
      <c r="I163" s="57" t="s">
        <v>17</v>
      </c>
      <c r="J163" s="60">
        <v>4500000567</v>
      </c>
    </row>
    <row r="164" spans="1:10" x14ac:dyDescent="0.25">
      <c r="A164" s="66">
        <v>46068</v>
      </c>
      <c r="B164" s="71" t="s">
        <v>81</v>
      </c>
      <c r="C164" s="67">
        <v>90132</v>
      </c>
      <c r="D164" s="67">
        <v>150</v>
      </c>
      <c r="E164" s="72">
        <f>Table5[[#This Row],[Weight KG]]/1000</f>
        <v>15.98</v>
      </c>
      <c r="F164" s="69">
        <v>15980</v>
      </c>
      <c r="G164" s="59" t="s">
        <v>75</v>
      </c>
      <c r="H164" s="57">
        <v>1000000037</v>
      </c>
      <c r="I164" s="57" t="s">
        <v>17</v>
      </c>
      <c r="J164" s="60">
        <v>4500000567</v>
      </c>
    </row>
    <row r="165" spans="1:10" x14ac:dyDescent="0.25">
      <c r="A165" s="66">
        <v>46069</v>
      </c>
      <c r="B165" s="71" t="s">
        <v>81</v>
      </c>
      <c r="C165" s="71">
        <v>91760</v>
      </c>
      <c r="D165" s="71">
        <v>80</v>
      </c>
      <c r="E165" s="72">
        <f>Table5[[#This Row],[Weight KG]]/1000</f>
        <v>8.32</v>
      </c>
      <c r="F165" s="72">
        <v>8320</v>
      </c>
      <c r="G165" s="59" t="s">
        <v>75</v>
      </c>
      <c r="H165" s="57">
        <v>1000000037</v>
      </c>
      <c r="I165" s="57" t="s">
        <v>17</v>
      </c>
      <c r="J165" s="60">
        <v>4500000567</v>
      </c>
    </row>
    <row r="166" spans="1:10" x14ac:dyDescent="0.25">
      <c r="A166" s="66">
        <v>46069</v>
      </c>
      <c r="B166" s="71" t="s">
        <v>81</v>
      </c>
      <c r="C166" s="67">
        <v>1395</v>
      </c>
      <c r="D166" s="67">
        <v>450</v>
      </c>
      <c r="E166" s="72">
        <f>Table5[[#This Row],[Weight KG]]/1000</f>
        <v>45.94</v>
      </c>
      <c r="F166" s="68">
        <v>45940</v>
      </c>
      <c r="G166" s="59" t="s">
        <v>75</v>
      </c>
      <c r="H166" s="57">
        <v>1000000037</v>
      </c>
      <c r="I166" s="57" t="s">
        <v>17</v>
      </c>
      <c r="J166" s="60">
        <v>4500000567</v>
      </c>
    </row>
    <row r="167" spans="1:10" x14ac:dyDescent="0.25">
      <c r="A167" s="70">
        <v>46069</v>
      </c>
      <c r="B167" s="71" t="s">
        <v>81</v>
      </c>
      <c r="C167" s="71">
        <v>15007</v>
      </c>
      <c r="D167" s="71">
        <v>450</v>
      </c>
      <c r="E167" s="72">
        <f>Table5[[#This Row],[Weight KG]]/1000</f>
        <v>46.06</v>
      </c>
      <c r="F167" s="72">
        <v>46060</v>
      </c>
      <c r="G167" s="59" t="s">
        <v>75</v>
      </c>
      <c r="H167" s="57">
        <v>1000000037</v>
      </c>
      <c r="I167" s="57" t="s">
        <v>17</v>
      </c>
      <c r="J167" s="60">
        <v>4500000567</v>
      </c>
    </row>
  </sheetData>
  <pageMargins left="0.7" right="0.7" top="0.75" bottom="0.75" header="0.3" footer="0.3"/>
  <pageSetup orientation="portrait" horizontalDpi="300" verticalDpi="300" r:id="rId2"/>
  <ignoredErrors>
    <ignoredError sqref="F8:F167" calculatedColumn="1"/>
  </ignoredErrors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5"/>
  <sheetViews>
    <sheetView showGridLines="0" zoomScale="70" zoomScaleNormal="70" workbookViewId="0">
      <selection activeCell="B83" sqref="B83:B85"/>
    </sheetView>
  </sheetViews>
  <sheetFormatPr defaultRowHeight="15" x14ac:dyDescent="0.25"/>
  <cols>
    <col min="1" max="1" width="8.42578125" customWidth="1"/>
    <col min="2" max="2" width="18.5703125" bestFit="1" customWidth="1"/>
    <col min="3" max="3" width="9.28515625" customWidth="1"/>
    <col min="4" max="4" width="10.85546875" bestFit="1" customWidth="1"/>
    <col min="5" max="5" width="10.7109375" customWidth="1"/>
    <col min="6" max="6" width="11.28515625" bestFit="1" customWidth="1"/>
    <col min="7" max="7" width="10.5703125" customWidth="1"/>
    <col min="8" max="8" width="8.7109375" customWidth="1"/>
    <col min="9" max="9" width="17.85546875" bestFit="1" customWidth="1"/>
    <col min="10" max="10" width="16.5703125" bestFit="1" customWidth="1"/>
    <col min="11" max="11" width="20.5703125" bestFit="1" customWidth="1"/>
    <col min="12" max="12" width="13.5703125" bestFit="1" customWidth="1"/>
    <col min="13" max="13" width="2.140625" customWidth="1"/>
    <col min="14" max="14" width="27.7109375" customWidth="1"/>
    <col min="15" max="15" width="14" bestFit="1" customWidth="1"/>
    <col min="16" max="16" width="15" customWidth="1"/>
    <col min="17" max="17" width="13.140625" customWidth="1"/>
    <col min="18" max="18" width="23.5703125" bestFit="1" customWidth="1"/>
    <col min="19" max="19" width="11.28515625" bestFit="1" customWidth="1"/>
    <col min="21" max="21" width="12.140625" bestFit="1" customWidth="1"/>
    <col min="22" max="22" width="9.28515625" customWidth="1"/>
  </cols>
  <sheetData>
    <row r="1" spans="1:19" ht="50.25" customHeight="1" thickBot="1" x14ac:dyDescent="0.3">
      <c r="A1" s="90" t="s">
        <v>22</v>
      </c>
      <c r="B1" s="87" t="s">
        <v>7</v>
      </c>
      <c r="C1" s="87" t="s">
        <v>23</v>
      </c>
      <c r="D1" s="87" t="s">
        <v>110</v>
      </c>
      <c r="E1" s="88" t="s">
        <v>126</v>
      </c>
      <c r="F1" s="88" t="s">
        <v>129</v>
      </c>
      <c r="G1" s="88" t="s">
        <v>127</v>
      </c>
      <c r="H1" s="88" t="s">
        <v>128</v>
      </c>
      <c r="I1" s="88" t="s">
        <v>2</v>
      </c>
      <c r="J1" s="87" t="s">
        <v>27</v>
      </c>
      <c r="K1" s="87" t="s">
        <v>28</v>
      </c>
      <c r="L1" s="87" t="s">
        <v>6</v>
      </c>
      <c r="N1" s="92" t="s">
        <v>30</v>
      </c>
    </row>
    <row r="2" spans="1:19" x14ac:dyDescent="0.25">
      <c r="A2" s="135">
        <v>46116</v>
      </c>
      <c r="B2" s="2" t="s">
        <v>109</v>
      </c>
      <c r="C2">
        <v>14663</v>
      </c>
      <c r="D2" s="89">
        <v>1049</v>
      </c>
      <c r="E2">
        <v>51.76</v>
      </c>
      <c r="F2" s="89">
        <f>Table6[[#This Row],[Gross Weight MT]]*1000</f>
        <v>51760</v>
      </c>
      <c r="G2" s="109">
        <f>Table6[[#This Row],[Gross Weight KG]]-(Table6[[#This Row],[ Bags]]*0.1)</f>
        <v>51655.1</v>
      </c>
      <c r="H2" s="110">
        <f>Table6[[#This Row],[Net Weight KG]]/1000</f>
        <v>51.655099999999997</v>
      </c>
      <c r="I2" t="s">
        <v>142</v>
      </c>
      <c r="J2">
        <v>4000000059</v>
      </c>
      <c r="K2" t="s">
        <v>107</v>
      </c>
      <c r="L2">
        <v>4500001484</v>
      </c>
      <c r="N2" s="92" t="s">
        <v>7</v>
      </c>
      <c r="O2" s="92" t="s">
        <v>32</v>
      </c>
      <c r="P2" s="92" t="s">
        <v>114</v>
      </c>
      <c r="Q2" s="92" t="s">
        <v>33</v>
      </c>
    </row>
    <row r="3" spans="1:19" x14ac:dyDescent="0.25">
      <c r="A3" s="135">
        <v>46116</v>
      </c>
      <c r="B3" s="2" t="s">
        <v>109</v>
      </c>
      <c r="C3">
        <v>9158</v>
      </c>
      <c r="D3" s="89">
        <v>1050</v>
      </c>
      <c r="E3">
        <v>52.5</v>
      </c>
      <c r="F3" s="89">
        <f>Table6[[#This Row],[Gross Weight MT]]*1000</f>
        <v>52500</v>
      </c>
      <c r="G3" s="109">
        <f>Table6[[#This Row],[Gross Weight KG]]-(Table6[[#This Row],[ Bags]]*0.1)</f>
        <v>52395</v>
      </c>
      <c r="H3" s="110">
        <f>Table6[[#This Row],[Net Weight KG]]/1000</f>
        <v>52.395000000000003</v>
      </c>
      <c r="I3" t="s">
        <v>142</v>
      </c>
      <c r="J3">
        <v>4000000059</v>
      </c>
      <c r="K3" t="s">
        <v>107</v>
      </c>
      <c r="L3">
        <v>4500001484</v>
      </c>
      <c r="N3" s="106" t="s">
        <v>109</v>
      </c>
      <c r="O3" s="107">
        <v>3913.3200000000015</v>
      </c>
      <c r="P3" s="107">
        <v>78492</v>
      </c>
      <c r="Q3" s="108">
        <v>78</v>
      </c>
    </row>
    <row r="4" spans="1:19" x14ac:dyDescent="0.25">
      <c r="A4" s="135">
        <v>46118</v>
      </c>
      <c r="B4" s="2" t="s">
        <v>109</v>
      </c>
      <c r="C4">
        <v>34379</v>
      </c>
      <c r="D4" s="89">
        <v>1050</v>
      </c>
      <c r="E4">
        <v>52.56</v>
      </c>
      <c r="F4" s="89">
        <f>Table6[[#This Row],[Gross Weight MT]]*1000</f>
        <v>52560</v>
      </c>
      <c r="G4" s="109">
        <f>Table6[[#This Row],[Gross Weight KG]]-(Table6[[#This Row],[ Bags]]*0.1)</f>
        <v>52455</v>
      </c>
      <c r="H4" s="110">
        <f>Table6[[#This Row],[Net Weight KG]]/1000</f>
        <v>52.454999999999998</v>
      </c>
      <c r="I4" t="s">
        <v>142</v>
      </c>
      <c r="J4">
        <v>4000000059</v>
      </c>
      <c r="K4" t="s">
        <v>107</v>
      </c>
      <c r="L4">
        <v>4500001484</v>
      </c>
      <c r="N4" s="23">
        <v>4000000059</v>
      </c>
      <c r="O4" s="55">
        <v>3913.3200000000015</v>
      </c>
      <c r="P4" s="55">
        <v>78492</v>
      </c>
      <c r="Q4" s="29">
        <v>78</v>
      </c>
    </row>
    <row r="5" spans="1:19" x14ac:dyDescent="0.25">
      <c r="A5" s="135">
        <v>46118</v>
      </c>
      <c r="B5" s="2" t="s">
        <v>109</v>
      </c>
      <c r="C5">
        <v>33083</v>
      </c>
      <c r="D5" s="89">
        <v>1050</v>
      </c>
      <c r="E5">
        <v>52.7</v>
      </c>
      <c r="F5" s="89">
        <f>Table6[[#This Row],[Gross Weight MT]]*1000</f>
        <v>52700</v>
      </c>
      <c r="G5" s="109">
        <f>Table6[[#This Row],[Gross Weight KG]]-(Table6[[#This Row],[ Bags]]*0.1)</f>
        <v>52595</v>
      </c>
      <c r="H5" s="110">
        <f>Table6[[#This Row],[Net Weight KG]]/1000</f>
        <v>52.594999999999999</v>
      </c>
      <c r="I5" t="s">
        <v>142</v>
      </c>
      <c r="J5">
        <v>4000000059</v>
      </c>
      <c r="K5" t="s">
        <v>107</v>
      </c>
      <c r="L5">
        <v>4500001484</v>
      </c>
      <c r="N5" s="24" t="s">
        <v>107</v>
      </c>
      <c r="O5" s="55">
        <v>2815.6200000000013</v>
      </c>
      <c r="P5" s="55">
        <v>56492</v>
      </c>
      <c r="Q5" s="29">
        <v>56</v>
      </c>
    </row>
    <row r="6" spans="1:19" x14ac:dyDescent="0.25">
      <c r="A6" s="135">
        <v>46118</v>
      </c>
      <c r="B6" s="2" t="s">
        <v>109</v>
      </c>
      <c r="C6">
        <v>23825</v>
      </c>
      <c r="D6" s="89">
        <v>1050</v>
      </c>
      <c r="E6">
        <v>52.52</v>
      </c>
      <c r="F6" s="89">
        <f>Table6[[#This Row],[Gross Weight MT]]*1000</f>
        <v>52520</v>
      </c>
      <c r="G6" s="109">
        <f>Table6[[#This Row],[Gross Weight KG]]-(Table6[[#This Row],[ Bags]]*0.1)</f>
        <v>52415</v>
      </c>
      <c r="H6" s="110">
        <f>Table6[[#This Row],[Net Weight KG]]/1000</f>
        <v>52.414999999999999</v>
      </c>
      <c r="I6" t="s">
        <v>142</v>
      </c>
      <c r="J6">
        <v>4000000059</v>
      </c>
      <c r="K6" t="s">
        <v>107</v>
      </c>
      <c r="L6">
        <v>4500001484</v>
      </c>
      <c r="N6" s="172" t="s">
        <v>104</v>
      </c>
      <c r="O6" s="55">
        <v>724.45999999999992</v>
      </c>
      <c r="P6" s="55">
        <v>14496</v>
      </c>
      <c r="Q6" s="29">
        <v>14</v>
      </c>
    </row>
    <row r="7" spans="1:19" x14ac:dyDescent="0.25">
      <c r="A7" s="135">
        <v>46121</v>
      </c>
      <c r="B7" s="2" t="s">
        <v>109</v>
      </c>
      <c r="C7">
        <v>23831</v>
      </c>
      <c r="D7" s="89">
        <v>1047</v>
      </c>
      <c r="E7">
        <v>52.1</v>
      </c>
      <c r="F7" s="89">
        <f>Table6[[#This Row],[Gross Weight MT]]*1000</f>
        <v>52100</v>
      </c>
      <c r="G7" s="109">
        <f>Table6[[#This Row],[Gross Weight KG]]-(Table6[[#This Row],[ Bags]]*0.1)</f>
        <v>51995.3</v>
      </c>
      <c r="H7" s="110">
        <f>Table6[[#This Row],[Net Weight KG]]/1000</f>
        <v>51.9953</v>
      </c>
      <c r="I7" t="s">
        <v>142</v>
      </c>
      <c r="J7">
        <v>4000000059</v>
      </c>
      <c r="K7" t="s">
        <v>107</v>
      </c>
      <c r="L7">
        <v>4500001484</v>
      </c>
      <c r="N7" s="172" t="s">
        <v>106</v>
      </c>
      <c r="O7" s="55">
        <v>1540.0800000000002</v>
      </c>
      <c r="P7" s="55">
        <v>31000</v>
      </c>
      <c r="Q7" s="29">
        <v>31</v>
      </c>
      <c r="S7" s="1"/>
    </row>
    <row r="8" spans="1:19" x14ac:dyDescent="0.25">
      <c r="A8" s="135">
        <v>46121</v>
      </c>
      <c r="B8" s="2" t="s">
        <v>109</v>
      </c>
      <c r="C8">
        <v>18118</v>
      </c>
      <c r="D8" s="89">
        <v>1000</v>
      </c>
      <c r="E8" s="140">
        <v>49.68</v>
      </c>
      <c r="F8" s="160">
        <f>Table6[[#This Row],[Gross Weight MT]]*1000</f>
        <v>49680</v>
      </c>
      <c r="G8" s="160">
        <f>Table6[[#This Row],[Gross Weight KG]]-(Table6[[#This Row],[ Bags]]*0.1)</f>
        <v>49580</v>
      </c>
      <c r="H8" s="161">
        <f>Table6[[#This Row],[Net Weight KG]]/1000</f>
        <v>49.58</v>
      </c>
      <c r="I8" t="s">
        <v>142</v>
      </c>
      <c r="J8">
        <v>4000000059</v>
      </c>
      <c r="K8" t="s">
        <v>107</v>
      </c>
      <c r="L8">
        <v>4500001654</v>
      </c>
      <c r="N8" s="172" t="s">
        <v>136</v>
      </c>
      <c r="O8" s="55">
        <v>551.08000000000004</v>
      </c>
      <c r="P8" s="55">
        <v>10996</v>
      </c>
      <c r="Q8" s="29">
        <v>11</v>
      </c>
      <c r="S8" s="1"/>
    </row>
    <row r="9" spans="1:19" x14ac:dyDescent="0.25">
      <c r="A9" s="135">
        <v>46121</v>
      </c>
      <c r="B9" s="2" t="s">
        <v>109</v>
      </c>
      <c r="C9">
        <v>17575</v>
      </c>
      <c r="D9" s="89">
        <v>1000</v>
      </c>
      <c r="E9" s="140">
        <v>49.8</v>
      </c>
      <c r="F9" s="160">
        <f>Table6[[#This Row],[Gross Weight MT]]*1000</f>
        <v>49800</v>
      </c>
      <c r="G9" s="160">
        <f>Table6[[#This Row],[Gross Weight KG]]-(Table6[[#This Row],[ Bags]]*0.1)</f>
        <v>49700</v>
      </c>
      <c r="H9" s="161">
        <f>Table6[[#This Row],[Net Weight KG]]/1000</f>
        <v>49.7</v>
      </c>
      <c r="I9" t="s">
        <v>142</v>
      </c>
      <c r="J9">
        <v>4000000059</v>
      </c>
      <c r="K9" t="s">
        <v>107</v>
      </c>
      <c r="L9">
        <v>4500001654</v>
      </c>
      <c r="N9" s="24" t="s">
        <v>108</v>
      </c>
      <c r="O9" s="55">
        <v>897.99999999999989</v>
      </c>
      <c r="P9" s="55">
        <v>18000</v>
      </c>
      <c r="Q9" s="29">
        <v>18</v>
      </c>
    </row>
    <row r="10" spans="1:19" x14ac:dyDescent="0.25">
      <c r="A10" s="135">
        <v>46122</v>
      </c>
      <c r="B10" s="2" t="s">
        <v>109</v>
      </c>
      <c r="C10">
        <v>14537</v>
      </c>
      <c r="D10" s="89">
        <v>1000</v>
      </c>
      <c r="E10">
        <v>50.02</v>
      </c>
      <c r="F10" s="89">
        <f>Table6[[#This Row],[Gross Weight MT]]*1000</f>
        <v>50020</v>
      </c>
      <c r="G10" s="109">
        <f>Table6[[#This Row],[Gross Weight KG]]-(Table6[[#This Row],[ Bags]]*0.1)</f>
        <v>49920</v>
      </c>
      <c r="H10" s="110">
        <f>Table6[[#This Row],[Net Weight KG]]/1000</f>
        <v>49.92</v>
      </c>
      <c r="I10" t="s">
        <v>142</v>
      </c>
      <c r="J10">
        <v>4000000059</v>
      </c>
      <c r="K10" t="s">
        <v>107</v>
      </c>
      <c r="L10">
        <v>4500001654</v>
      </c>
      <c r="N10" s="172" t="s">
        <v>105</v>
      </c>
      <c r="O10" s="55">
        <v>897.99999999999989</v>
      </c>
      <c r="P10" s="55">
        <v>18000</v>
      </c>
      <c r="Q10" s="29">
        <v>18</v>
      </c>
    </row>
    <row r="11" spans="1:19" x14ac:dyDescent="0.25">
      <c r="A11" s="135">
        <v>46122</v>
      </c>
      <c r="B11" s="2" t="s">
        <v>109</v>
      </c>
      <c r="C11">
        <v>35808</v>
      </c>
      <c r="D11" s="89">
        <v>1000</v>
      </c>
      <c r="E11" s="140">
        <v>49.92</v>
      </c>
      <c r="F11" s="160">
        <f>Table6[[#This Row],[Gross Weight MT]]*1000</f>
        <v>49920</v>
      </c>
      <c r="G11" s="160">
        <f>Table6[[#This Row],[Gross Weight KG]]-(Table6[[#This Row],[ Bags]]*0.1)</f>
        <v>49820</v>
      </c>
      <c r="H11" s="161">
        <f>Table6[[#This Row],[Net Weight KG]]/1000</f>
        <v>49.82</v>
      </c>
      <c r="I11" t="s">
        <v>142</v>
      </c>
      <c r="J11">
        <v>4000000059</v>
      </c>
      <c r="K11" t="s">
        <v>107</v>
      </c>
      <c r="L11">
        <v>4500001654</v>
      </c>
      <c r="N11" s="24" t="s">
        <v>112</v>
      </c>
      <c r="O11" s="55">
        <v>199.7</v>
      </c>
      <c r="P11" s="55">
        <v>4000</v>
      </c>
      <c r="Q11" s="29">
        <v>4</v>
      </c>
    </row>
    <row r="12" spans="1:19" x14ac:dyDescent="0.25">
      <c r="A12" s="135">
        <v>46122</v>
      </c>
      <c r="B12" s="2" t="s">
        <v>109</v>
      </c>
      <c r="C12">
        <v>23317</v>
      </c>
      <c r="D12" s="89">
        <v>1000</v>
      </c>
      <c r="E12">
        <v>49.62</v>
      </c>
      <c r="F12" s="89">
        <f>Table6[[#This Row],[Gross Weight MT]]*1000</f>
        <v>49620</v>
      </c>
      <c r="G12" s="109">
        <f>Table6[[#This Row],[Gross Weight KG]]-(Table6[[#This Row],[ Bags]]*0.1)</f>
        <v>49520</v>
      </c>
      <c r="H12" s="110">
        <f>Table6[[#This Row],[Net Weight KG]]/1000</f>
        <v>49.52</v>
      </c>
      <c r="I12" t="s">
        <v>142</v>
      </c>
      <c r="J12">
        <v>4000000059</v>
      </c>
      <c r="K12" t="s">
        <v>107</v>
      </c>
      <c r="L12">
        <v>4500001654</v>
      </c>
      <c r="N12" s="172" t="s">
        <v>113</v>
      </c>
      <c r="O12" s="55">
        <v>199.7</v>
      </c>
      <c r="P12" s="55">
        <v>4000</v>
      </c>
      <c r="Q12" s="29">
        <v>4</v>
      </c>
    </row>
    <row r="13" spans="1:19" x14ac:dyDescent="0.25">
      <c r="A13" s="135">
        <v>46124</v>
      </c>
      <c r="B13" s="2" t="s">
        <v>109</v>
      </c>
      <c r="C13">
        <v>21385</v>
      </c>
      <c r="D13" s="89">
        <v>1050</v>
      </c>
      <c r="E13">
        <v>52.4</v>
      </c>
      <c r="F13" s="89">
        <f>Table6[[#This Row],[Gross Weight MT]]*1000</f>
        <v>52400</v>
      </c>
      <c r="G13" s="109">
        <f>Table6[[#This Row],[Gross Weight KG]]-(Table6[[#This Row],[ Bags]]*0.1)</f>
        <v>52295</v>
      </c>
      <c r="H13" s="110">
        <f>Table6[[#This Row],[Net Weight KG]]/1000</f>
        <v>52.295000000000002</v>
      </c>
      <c r="I13" t="s">
        <v>142</v>
      </c>
      <c r="J13">
        <v>4000000059</v>
      </c>
      <c r="K13" t="s">
        <v>107</v>
      </c>
      <c r="L13">
        <v>4500001484</v>
      </c>
      <c r="N13" s="106" t="s">
        <v>143</v>
      </c>
      <c r="O13" s="107">
        <v>315</v>
      </c>
      <c r="P13" s="107">
        <v>6300</v>
      </c>
      <c r="Q13" s="108">
        <v>6</v>
      </c>
    </row>
    <row r="14" spans="1:19" x14ac:dyDescent="0.25">
      <c r="A14" s="135">
        <v>46130</v>
      </c>
      <c r="B14" s="2" t="s">
        <v>109</v>
      </c>
      <c r="C14">
        <v>10335</v>
      </c>
      <c r="D14" s="89">
        <v>1000</v>
      </c>
      <c r="E14" s="139">
        <v>49.72</v>
      </c>
      <c r="F14" s="89">
        <f>Table6[[#This Row],[Gross Weight MT]]*1000</f>
        <v>49720</v>
      </c>
      <c r="G14" s="109">
        <f>Table6[[#This Row],[Gross Weight KG]]-(Table6[[#This Row],[ Bags]]*0.1)</f>
        <v>49620</v>
      </c>
      <c r="H14" s="110">
        <f>Table6[[#This Row],[Net Weight KG]]/1000</f>
        <v>49.62</v>
      </c>
      <c r="I14" t="s">
        <v>142</v>
      </c>
      <c r="J14">
        <v>4000000059</v>
      </c>
      <c r="K14" t="s">
        <v>108</v>
      </c>
      <c r="L14">
        <v>4500001652</v>
      </c>
      <c r="N14" s="23">
        <v>1000000035</v>
      </c>
      <c r="O14" s="55">
        <v>315</v>
      </c>
      <c r="P14" s="55">
        <v>6300</v>
      </c>
      <c r="Q14" s="29">
        <v>6</v>
      </c>
    </row>
    <row r="15" spans="1:19" x14ac:dyDescent="0.25">
      <c r="A15" s="135">
        <v>46132</v>
      </c>
      <c r="B15" s="2" t="s">
        <v>109</v>
      </c>
      <c r="C15">
        <v>452</v>
      </c>
      <c r="D15" s="89">
        <v>1050</v>
      </c>
      <c r="E15">
        <v>52.52</v>
      </c>
      <c r="F15" s="89">
        <f>Table6[[#This Row],[Gross Weight MT]]*1000</f>
        <v>52520</v>
      </c>
      <c r="G15" s="109">
        <f>Table6[[#This Row],[Gross Weight KG]]-(Table6[[#This Row],[ Bags]]*0.1)</f>
        <v>52415</v>
      </c>
      <c r="H15" s="110">
        <f>Table6[[#This Row],[Net Weight KG]]/1000</f>
        <v>52.414999999999999</v>
      </c>
      <c r="I15" t="s">
        <v>142</v>
      </c>
      <c r="J15">
        <v>4000000059</v>
      </c>
      <c r="K15" t="s">
        <v>107</v>
      </c>
      <c r="L15">
        <v>4500001484</v>
      </c>
      <c r="N15" s="24" t="s">
        <v>108</v>
      </c>
      <c r="O15" s="55">
        <v>315</v>
      </c>
      <c r="P15" s="55">
        <v>6300</v>
      </c>
      <c r="Q15" s="29">
        <v>6</v>
      </c>
    </row>
    <row r="16" spans="1:19" x14ac:dyDescent="0.25">
      <c r="A16" s="135">
        <v>46132</v>
      </c>
      <c r="B16" s="2" t="s">
        <v>109</v>
      </c>
      <c r="C16">
        <v>13825</v>
      </c>
      <c r="D16" s="89">
        <v>1000</v>
      </c>
      <c r="E16">
        <v>49.16</v>
      </c>
      <c r="F16" s="89">
        <f>Table6[[#This Row],[Gross Weight MT]]*1000</f>
        <v>49160</v>
      </c>
      <c r="G16" s="109">
        <f>Table6[[#This Row],[Gross Weight KG]]-(Table6[[#This Row],[ Bags]]*0.1)</f>
        <v>49060</v>
      </c>
      <c r="H16" s="110">
        <f>Table6[[#This Row],[Net Weight KG]]/1000</f>
        <v>49.06</v>
      </c>
      <c r="I16" t="s">
        <v>142</v>
      </c>
      <c r="J16">
        <v>4000000059</v>
      </c>
      <c r="K16" t="s">
        <v>107</v>
      </c>
      <c r="L16">
        <v>4500001654</v>
      </c>
      <c r="N16" s="172" t="s">
        <v>137</v>
      </c>
      <c r="O16" s="55">
        <v>315</v>
      </c>
      <c r="P16" s="55">
        <v>6300</v>
      </c>
      <c r="Q16" s="29">
        <v>6</v>
      </c>
    </row>
    <row r="17" spans="1:17" x14ac:dyDescent="0.25">
      <c r="A17" s="135">
        <v>46132</v>
      </c>
      <c r="B17" s="2" t="s">
        <v>109</v>
      </c>
      <c r="C17">
        <v>14541</v>
      </c>
      <c r="D17" s="89">
        <v>1000</v>
      </c>
      <c r="E17">
        <v>49.46</v>
      </c>
      <c r="F17" s="89">
        <f>Table6[[#This Row],[Gross Weight MT]]*1000</f>
        <v>49460</v>
      </c>
      <c r="G17" s="109">
        <f>Table6[[#This Row],[Gross Weight KG]]-(Table6[[#This Row],[ Bags]]*0.1)</f>
        <v>49360</v>
      </c>
      <c r="H17" s="110">
        <f>Table6[[#This Row],[Net Weight KG]]/1000</f>
        <v>49.36</v>
      </c>
      <c r="I17" t="s">
        <v>142</v>
      </c>
      <c r="J17">
        <v>4000000059</v>
      </c>
      <c r="K17" t="s">
        <v>107</v>
      </c>
      <c r="L17">
        <v>4500001654</v>
      </c>
      <c r="N17" s="22" t="s">
        <v>34</v>
      </c>
      <c r="O17" s="55">
        <v>4228.3200000000015</v>
      </c>
      <c r="P17" s="55">
        <v>84792</v>
      </c>
      <c r="Q17" s="29">
        <v>84</v>
      </c>
    </row>
    <row r="18" spans="1:17" x14ac:dyDescent="0.25">
      <c r="A18" s="135">
        <v>46132</v>
      </c>
      <c r="B18" s="2" t="s">
        <v>109</v>
      </c>
      <c r="C18">
        <v>14543</v>
      </c>
      <c r="D18" s="89">
        <v>1000</v>
      </c>
      <c r="E18">
        <v>49.48</v>
      </c>
      <c r="F18" s="89">
        <f>Table6[[#This Row],[Gross Weight MT]]*1000</f>
        <v>49480</v>
      </c>
      <c r="G18" s="109">
        <f>Table6[[#This Row],[Gross Weight KG]]-(Table6[[#This Row],[ Bags]]*0.1)</f>
        <v>49380</v>
      </c>
      <c r="H18" s="110">
        <f>Table6[[#This Row],[Net Weight KG]]/1000</f>
        <v>49.38</v>
      </c>
      <c r="I18" t="s">
        <v>142</v>
      </c>
      <c r="J18">
        <v>4000000059</v>
      </c>
      <c r="K18" t="s">
        <v>107</v>
      </c>
      <c r="L18">
        <v>4500001654</v>
      </c>
    </row>
    <row r="19" spans="1:17" x14ac:dyDescent="0.25">
      <c r="A19" s="135">
        <v>46132</v>
      </c>
      <c r="B19" s="2" t="s">
        <v>109</v>
      </c>
      <c r="C19" s="139">
        <v>9511</v>
      </c>
      <c r="D19" s="149">
        <v>1000</v>
      </c>
      <c r="E19" s="140">
        <v>49.88</v>
      </c>
      <c r="F19" s="160">
        <f>Table6[[#This Row],[Gross Weight MT]]*1000</f>
        <v>49880</v>
      </c>
      <c r="G19" s="160">
        <f>Table6[[#This Row],[Gross Weight KG]]-(Table6[[#This Row],[ Bags]]*0.1)</f>
        <v>49780</v>
      </c>
      <c r="H19" s="161">
        <f>Table6[[#This Row],[Net Weight KG]]/1000</f>
        <v>49.78</v>
      </c>
      <c r="I19" t="s">
        <v>142</v>
      </c>
      <c r="J19">
        <v>4000000059</v>
      </c>
      <c r="K19" s="150" t="s">
        <v>112</v>
      </c>
      <c r="L19" s="140">
        <v>4500002146</v>
      </c>
    </row>
    <row r="20" spans="1:17" x14ac:dyDescent="0.25">
      <c r="A20" s="135">
        <v>46132</v>
      </c>
      <c r="B20" s="2" t="s">
        <v>109</v>
      </c>
      <c r="C20" s="139">
        <v>100109</v>
      </c>
      <c r="D20" s="149">
        <v>1000</v>
      </c>
      <c r="E20" s="138">
        <v>50</v>
      </c>
      <c r="F20" s="89">
        <f>Table6[[#This Row],[Gross Weight MT]]*1000</f>
        <v>50000</v>
      </c>
      <c r="G20" s="109">
        <f>Table6[[#This Row],[Gross Weight KG]]-(Table6[[#This Row],[ Bags]]*0.1)</f>
        <v>49900</v>
      </c>
      <c r="H20" s="110">
        <f>Table6[[#This Row],[Net Weight KG]]/1000</f>
        <v>49.9</v>
      </c>
      <c r="I20" t="s">
        <v>142</v>
      </c>
      <c r="J20">
        <v>4000000059</v>
      </c>
      <c r="K20" s="150" t="s">
        <v>112</v>
      </c>
      <c r="L20" s="140">
        <v>4500002146</v>
      </c>
    </row>
    <row r="21" spans="1:17" x14ac:dyDescent="0.25">
      <c r="A21" s="135">
        <v>46133</v>
      </c>
      <c r="B21" s="2" t="s">
        <v>109</v>
      </c>
      <c r="C21">
        <v>17581</v>
      </c>
      <c r="D21" s="89">
        <v>1000</v>
      </c>
      <c r="E21">
        <v>49.48</v>
      </c>
      <c r="F21" s="89">
        <f>Table6[[#This Row],[Gross Weight MT]]*1000</f>
        <v>49480</v>
      </c>
      <c r="G21" s="136">
        <f>Table6[[#This Row],[Gross Weight KG]]-(Table6[[#This Row],[ Bags]]*0.1)</f>
        <v>49380</v>
      </c>
      <c r="H21" s="137">
        <f>Table6[[#This Row],[Net Weight KG]]/1000</f>
        <v>49.38</v>
      </c>
      <c r="I21" t="s">
        <v>142</v>
      </c>
      <c r="J21">
        <v>4000000059</v>
      </c>
      <c r="K21" t="s">
        <v>107</v>
      </c>
      <c r="L21">
        <v>4500001654</v>
      </c>
    </row>
    <row r="22" spans="1:17" x14ac:dyDescent="0.25">
      <c r="A22" s="135">
        <v>46133</v>
      </c>
      <c r="B22" s="2" t="s">
        <v>109</v>
      </c>
      <c r="C22">
        <v>9302</v>
      </c>
      <c r="D22" s="89">
        <v>1000</v>
      </c>
      <c r="E22" s="139">
        <v>50.24</v>
      </c>
      <c r="F22" s="89">
        <f>Table6[[#This Row],[Gross Weight MT]]*1000</f>
        <v>50240</v>
      </c>
      <c r="G22" s="136">
        <f>Table6[[#This Row],[Gross Weight KG]]-(Table6[[#This Row],[ Bags]]*0.1)</f>
        <v>50140</v>
      </c>
      <c r="H22" s="137">
        <f>Table6[[#This Row],[Net Weight KG]]/1000</f>
        <v>50.14</v>
      </c>
      <c r="I22" t="s">
        <v>142</v>
      </c>
      <c r="J22">
        <v>4000000059</v>
      </c>
      <c r="K22" t="s">
        <v>108</v>
      </c>
      <c r="L22">
        <v>4500001652</v>
      </c>
    </row>
    <row r="23" spans="1:17" x14ac:dyDescent="0.25">
      <c r="A23" s="135">
        <v>46133</v>
      </c>
      <c r="B23" s="2" t="s">
        <v>109</v>
      </c>
      <c r="C23">
        <v>17577</v>
      </c>
      <c r="D23" s="89">
        <v>1000</v>
      </c>
      <c r="E23">
        <v>49.74</v>
      </c>
      <c r="F23" s="89">
        <f>Table6[[#This Row],[Gross Weight MT]]*1000</f>
        <v>49740</v>
      </c>
      <c r="G23" s="136">
        <f>Table6[[#This Row],[Gross Weight KG]]-(Table6[[#This Row],[ Bags]]*0.1)</f>
        <v>49640</v>
      </c>
      <c r="H23" s="137">
        <f>Table6[[#This Row],[Net Weight KG]]/1000</f>
        <v>49.64</v>
      </c>
      <c r="I23" t="s">
        <v>142</v>
      </c>
      <c r="J23">
        <v>4000000059</v>
      </c>
      <c r="K23" t="s">
        <v>107</v>
      </c>
      <c r="L23">
        <v>4500001654</v>
      </c>
    </row>
    <row r="24" spans="1:17" x14ac:dyDescent="0.25">
      <c r="A24" s="135">
        <v>46134</v>
      </c>
      <c r="B24" s="2" t="s">
        <v>109</v>
      </c>
      <c r="C24">
        <v>25824</v>
      </c>
      <c r="D24" s="89">
        <v>1053</v>
      </c>
      <c r="E24">
        <v>52.96</v>
      </c>
      <c r="F24" s="89">
        <f>Table6[[#This Row],[Gross Weight MT]]*1000</f>
        <v>52960</v>
      </c>
      <c r="G24" s="136">
        <f>Table6[[#This Row],[Gross Weight KG]]-(Table6[[#This Row],[ Bags]]*0.1)</f>
        <v>52854.7</v>
      </c>
      <c r="H24" s="137">
        <f>Table6[[#This Row],[Net Weight KG]]/1000</f>
        <v>52.854699999999994</v>
      </c>
      <c r="I24" t="s">
        <v>142</v>
      </c>
      <c r="J24">
        <v>4000000059</v>
      </c>
      <c r="K24" t="s">
        <v>107</v>
      </c>
      <c r="L24">
        <v>4500001484</v>
      </c>
    </row>
    <row r="25" spans="1:17" x14ac:dyDescent="0.25">
      <c r="A25" s="135">
        <v>46134</v>
      </c>
      <c r="B25" s="2" t="s">
        <v>109</v>
      </c>
      <c r="C25">
        <v>36280</v>
      </c>
      <c r="D25" s="89">
        <v>1000</v>
      </c>
      <c r="E25" s="140">
        <v>49.82</v>
      </c>
      <c r="F25" s="160">
        <f>Table6[[#This Row],[Gross Weight MT]]*1000</f>
        <v>49820</v>
      </c>
      <c r="G25" s="160">
        <f>Table6[[#This Row],[Gross Weight KG]]-(Table6[[#This Row],[ Bags]]*0.1)</f>
        <v>49720</v>
      </c>
      <c r="H25" s="161">
        <f>Table6[[#This Row],[Net Weight KG]]/1000</f>
        <v>49.72</v>
      </c>
      <c r="I25" t="s">
        <v>142</v>
      </c>
      <c r="J25">
        <v>4000000059</v>
      </c>
      <c r="K25" t="s">
        <v>108</v>
      </c>
      <c r="L25">
        <v>4500001652</v>
      </c>
    </row>
    <row r="26" spans="1:17" x14ac:dyDescent="0.25">
      <c r="A26" s="135">
        <v>46134</v>
      </c>
      <c r="B26" s="2" t="s">
        <v>109</v>
      </c>
      <c r="C26">
        <v>11245</v>
      </c>
      <c r="D26" s="89">
        <v>1000</v>
      </c>
      <c r="E26">
        <v>49.82</v>
      </c>
      <c r="F26" s="89">
        <f>Table6[[#This Row],[Gross Weight MT]]*1000</f>
        <v>49820</v>
      </c>
      <c r="G26" s="109">
        <f>Table6[[#This Row],[Gross Weight KG]]-(Table6[[#This Row],[ Bags]]*0.1)</f>
        <v>49720</v>
      </c>
      <c r="H26" s="110">
        <f>Table6[[#This Row],[Net Weight KG]]/1000</f>
        <v>49.72</v>
      </c>
      <c r="I26" t="s">
        <v>142</v>
      </c>
      <c r="J26">
        <v>4000000059</v>
      </c>
      <c r="K26" t="s">
        <v>112</v>
      </c>
      <c r="L26">
        <v>4500002146</v>
      </c>
    </row>
    <row r="27" spans="1:17" x14ac:dyDescent="0.25">
      <c r="A27" s="135">
        <v>46135</v>
      </c>
      <c r="B27" s="2" t="s">
        <v>109</v>
      </c>
      <c r="C27">
        <v>35804</v>
      </c>
      <c r="D27" s="89">
        <v>1000</v>
      </c>
      <c r="E27" s="138">
        <v>50</v>
      </c>
      <c r="F27" s="89">
        <f>Table6[[#This Row],[Gross Weight MT]]*1000</f>
        <v>50000</v>
      </c>
      <c r="G27" s="136">
        <f>Table6[[#This Row],[Gross Weight KG]]-(Table6[[#This Row],[ Bags]]*0.1)</f>
        <v>49900</v>
      </c>
      <c r="H27" s="137">
        <f>Table6[[#This Row],[Net Weight KG]]/1000</f>
        <v>49.9</v>
      </c>
      <c r="I27" t="s">
        <v>142</v>
      </c>
      <c r="J27">
        <v>4000000059</v>
      </c>
      <c r="K27" t="s">
        <v>112</v>
      </c>
      <c r="L27">
        <v>4500002146</v>
      </c>
      <c r="N27" s="148"/>
    </row>
    <row r="28" spans="1:17" x14ac:dyDescent="0.25">
      <c r="A28" s="135">
        <v>46135</v>
      </c>
      <c r="B28" s="2" t="s">
        <v>109</v>
      </c>
      <c r="C28">
        <v>18216</v>
      </c>
      <c r="D28" s="89">
        <v>1000</v>
      </c>
      <c r="E28">
        <v>48.78</v>
      </c>
      <c r="F28" s="89">
        <f>Table6[[#This Row],[Gross Weight MT]]*1000</f>
        <v>48780</v>
      </c>
      <c r="G28" s="136">
        <f>Table6[[#This Row],[Gross Weight KG]]-(Table6[[#This Row],[ Bags]]*0.1)</f>
        <v>48680</v>
      </c>
      <c r="H28" s="137">
        <f>Table6[[#This Row],[Net Weight KG]]/1000</f>
        <v>48.68</v>
      </c>
      <c r="I28" t="s">
        <v>142</v>
      </c>
      <c r="J28">
        <v>4000000059</v>
      </c>
      <c r="K28" t="s">
        <v>108</v>
      </c>
      <c r="L28">
        <v>4500001652</v>
      </c>
      <c r="N28" s="148"/>
    </row>
    <row r="29" spans="1:17" x14ac:dyDescent="0.25">
      <c r="A29" s="135">
        <v>46135</v>
      </c>
      <c r="B29" s="2" t="s">
        <v>109</v>
      </c>
      <c r="C29">
        <v>14661</v>
      </c>
      <c r="D29" s="89">
        <v>1050</v>
      </c>
      <c r="E29">
        <v>52.4</v>
      </c>
      <c r="F29" s="89">
        <f>Table6[[#This Row],[Gross Weight MT]]*1000</f>
        <v>52400</v>
      </c>
      <c r="G29" s="136">
        <f>Table6[[#This Row],[Gross Weight KG]]-(Table6[[#This Row],[ Bags]]*0.1)</f>
        <v>52295</v>
      </c>
      <c r="H29" s="137">
        <f>Table6[[#This Row],[Net Weight KG]]/1000</f>
        <v>52.295000000000002</v>
      </c>
      <c r="I29" t="s">
        <v>142</v>
      </c>
      <c r="J29">
        <v>4000000059</v>
      </c>
      <c r="K29" t="s">
        <v>107</v>
      </c>
      <c r="L29">
        <v>4500001484</v>
      </c>
      <c r="N29" s="148"/>
    </row>
    <row r="30" spans="1:17" x14ac:dyDescent="0.25">
      <c r="A30" s="135">
        <v>46135</v>
      </c>
      <c r="B30" s="2" t="s">
        <v>109</v>
      </c>
      <c r="C30">
        <v>20751</v>
      </c>
      <c r="D30" s="89">
        <v>1000</v>
      </c>
      <c r="E30">
        <v>49.48</v>
      </c>
      <c r="F30" s="89">
        <f>Table6[[#This Row],[Gross Weight MT]]*1000</f>
        <v>49480</v>
      </c>
      <c r="G30" s="136">
        <f>Table6[[#This Row],[Gross Weight KG]]-(Table6[[#This Row],[ Bags]]*0.1)</f>
        <v>49380</v>
      </c>
      <c r="H30" s="137">
        <f>Table6[[#This Row],[Net Weight KG]]/1000</f>
        <v>49.38</v>
      </c>
      <c r="I30" t="s">
        <v>142</v>
      </c>
      <c r="J30">
        <v>4000000059</v>
      </c>
      <c r="K30" t="s">
        <v>108</v>
      </c>
      <c r="L30">
        <v>4500001652</v>
      </c>
      <c r="N30" s="148"/>
    </row>
    <row r="31" spans="1:17" x14ac:dyDescent="0.25">
      <c r="A31" s="135">
        <v>46135</v>
      </c>
      <c r="B31" s="2" t="s">
        <v>109</v>
      </c>
      <c r="C31">
        <v>9307</v>
      </c>
      <c r="D31" s="89">
        <v>1000</v>
      </c>
      <c r="E31">
        <v>50.42</v>
      </c>
      <c r="F31" s="89">
        <f>Table6[[#This Row],[Gross Weight MT]]*1000</f>
        <v>50420</v>
      </c>
      <c r="G31" s="136">
        <f>Table6[[#This Row],[Gross Weight KG]]-(Table6[[#This Row],[ Bags]]*0.1)</f>
        <v>50320</v>
      </c>
      <c r="H31" s="137">
        <f>Table6[[#This Row],[Net Weight KG]]/1000</f>
        <v>50.32</v>
      </c>
      <c r="I31" t="s">
        <v>142</v>
      </c>
      <c r="J31">
        <v>4000000059</v>
      </c>
      <c r="K31" t="s">
        <v>108</v>
      </c>
      <c r="L31">
        <v>4500001652</v>
      </c>
      <c r="N31" s="148"/>
    </row>
    <row r="32" spans="1:17" x14ac:dyDescent="0.25">
      <c r="A32" s="135">
        <v>46137</v>
      </c>
      <c r="B32" s="2" t="s">
        <v>109</v>
      </c>
      <c r="C32">
        <v>9297</v>
      </c>
      <c r="D32" s="89">
        <v>1000</v>
      </c>
      <c r="E32">
        <v>50.3</v>
      </c>
      <c r="F32" s="89">
        <f>Table6[[#This Row],[Gross Weight MT]]*1000</f>
        <v>50300</v>
      </c>
      <c r="G32" s="136">
        <f>Table6[[#This Row],[Gross Weight KG]]-(Table6[[#This Row],[ Bags]]*0.1)</f>
        <v>50200</v>
      </c>
      <c r="H32" s="137">
        <f>Table6[[#This Row],[Net Weight KG]]/1000</f>
        <v>50.2</v>
      </c>
      <c r="I32" t="s">
        <v>142</v>
      </c>
      <c r="J32">
        <v>4000000059</v>
      </c>
      <c r="K32" t="s">
        <v>108</v>
      </c>
      <c r="L32">
        <v>4500001652</v>
      </c>
      <c r="N32" s="148"/>
    </row>
    <row r="33" spans="1:14" x14ac:dyDescent="0.25">
      <c r="A33" s="135">
        <v>46137</v>
      </c>
      <c r="B33" s="2" t="s">
        <v>109</v>
      </c>
      <c r="C33">
        <v>13830</v>
      </c>
      <c r="D33" s="89">
        <v>1000</v>
      </c>
      <c r="E33">
        <v>49.52</v>
      </c>
      <c r="F33" s="89">
        <f>Table6[[#This Row],[Gross Weight MT]]*1000</f>
        <v>49520</v>
      </c>
      <c r="G33" s="136">
        <f>Table6[[#This Row],[Gross Weight KG]]-(Table6[[#This Row],[ Bags]]*0.1)</f>
        <v>49420</v>
      </c>
      <c r="H33" s="137">
        <f>Table6[[#This Row],[Net Weight KG]]/1000</f>
        <v>49.42</v>
      </c>
      <c r="I33" t="s">
        <v>142</v>
      </c>
      <c r="J33">
        <v>4000000059</v>
      </c>
      <c r="K33" t="s">
        <v>107</v>
      </c>
      <c r="L33">
        <v>4500001654</v>
      </c>
      <c r="N33" s="148"/>
    </row>
    <row r="34" spans="1:14" x14ac:dyDescent="0.25">
      <c r="A34" s="135">
        <v>46137</v>
      </c>
      <c r="B34" s="2" t="s">
        <v>109</v>
      </c>
      <c r="C34">
        <v>11487</v>
      </c>
      <c r="D34" s="89">
        <v>1000</v>
      </c>
      <c r="E34">
        <v>49.46</v>
      </c>
      <c r="F34" s="89">
        <f>Table6[[#This Row],[Gross Weight MT]]*1000</f>
        <v>49460</v>
      </c>
      <c r="G34" s="136">
        <f>Table6[[#This Row],[Gross Weight KG]]-(Table6[[#This Row],[ Bags]]*0.1)</f>
        <v>49360</v>
      </c>
      <c r="H34" s="137">
        <f>Table6[[#This Row],[Net Weight KG]]/1000</f>
        <v>49.36</v>
      </c>
      <c r="I34" t="s">
        <v>142</v>
      </c>
      <c r="J34">
        <v>4000000059</v>
      </c>
      <c r="K34" t="s">
        <v>107</v>
      </c>
      <c r="L34">
        <v>4500001654</v>
      </c>
      <c r="N34" s="148"/>
    </row>
    <row r="35" spans="1:14" x14ac:dyDescent="0.25">
      <c r="A35" s="135">
        <v>46137</v>
      </c>
      <c r="B35" s="2" t="s">
        <v>109</v>
      </c>
      <c r="C35">
        <v>13822</v>
      </c>
      <c r="D35" s="89">
        <v>1000</v>
      </c>
      <c r="E35">
        <v>49.98</v>
      </c>
      <c r="F35" s="89">
        <f>Table6[[#This Row],[Gross Weight MT]]*1000</f>
        <v>49980</v>
      </c>
      <c r="G35" s="136">
        <f>Table6[[#This Row],[Gross Weight KG]]-(Table6[[#This Row],[ Bags]]*0.1)</f>
        <v>49880</v>
      </c>
      <c r="H35" s="137">
        <f>Table6[[#This Row],[Net Weight KG]]/1000</f>
        <v>49.88</v>
      </c>
      <c r="I35" t="s">
        <v>142</v>
      </c>
      <c r="J35">
        <v>4000000059</v>
      </c>
      <c r="K35" t="s">
        <v>107</v>
      </c>
      <c r="L35">
        <v>4500001654</v>
      </c>
      <c r="N35" s="148"/>
    </row>
    <row r="36" spans="1:14" x14ac:dyDescent="0.25">
      <c r="A36" s="135">
        <v>46137</v>
      </c>
      <c r="B36" s="2" t="s">
        <v>109</v>
      </c>
      <c r="C36">
        <v>10598</v>
      </c>
      <c r="D36" s="89">
        <v>1000</v>
      </c>
      <c r="E36">
        <v>49.66</v>
      </c>
      <c r="F36" s="89">
        <f>Table6[[#This Row],[Gross Weight MT]]*1000</f>
        <v>49660</v>
      </c>
      <c r="G36" s="136">
        <f>Table6[[#This Row],[Gross Weight KG]]-(Table6[[#This Row],[ Bags]]*0.1)</f>
        <v>49560</v>
      </c>
      <c r="H36" s="137">
        <f>Table6[[#This Row],[Net Weight KG]]/1000</f>
        <v>49.56</v>
      </c>
      <c r="I36" t="s">
        <v>142</v>
      </c>
      <c r="J36">
        <v>4000000059</v>
      </c>
      <c r="K36" t="s">
        <v>108</v>
      </c>
      <c r="L36">
        <v>4500001652</v>
      </c>
      <c r="N36" s="148"/>
    </row>
    <row r="37" spans="1:14" x14ac:dyDescent="0.25">
      <c r="A37" s="135">
        <v>46137</v>
      </c>
      <c r="B37" s="2" t="s">
        <v>109</v>
      </c>
      <c r="C37">
        <v>10741</v>
      </c>
      <c r="D37" s="89">
        <v>1000</v>
      </c>
      <c r="E37">
        <v>50.18</v>
      </c>
      <c r="F37" s="89">
        <f>Table6[[#This Row],[Gross Weight MT]]*1000</f>
        <v>50180</v>
      </c>
      <c r="G37" s="136">
        <f>Table6[[#This Row],[Gross Weight KG]]-(Table6[[#This Row],[ Bags]]*0.1)</f>
        <v>50080</v>
      </c>
      <c r="H37" s="137">
        <f>Table6[[#This Row],[Net Weight KG]]/1000</f>
        <v>50.08</v>
      </c>
      <c r="I37" t="s">
        <v>142</v>
      </c>
      <c r="J37">
        <v>4000000059</v>
      </c>
      <c r="K37" t="s">
        <v>108</v>
      </c>
      <c r="L37">
        <v>4500001652</v>
      </c>
      <c r="N37" s="148"/>
    </row>
    <row r="38" spans="1:14" x14ac:dyDescent="0.25">
      <c r="A38" s="135">
        <v>46137</v>
      </c>
      <c r="B38" s="2" t="s">
        <v>109</v>
      </c>
      <c r="C38">
        <v>10739</v>
      </c>
      <c r="D38" s="89">
        <v>1000</v>
      </c>
      <c r="E38">
        <v>49.94</v>
      </c>
      <c r="F38" s="89">
        <f>Table6[[#This Row],[Gross Weight MT]]*1000</f>
        <v>49940</v>
      </c>
      <c r="G38" s="136">
        <f>Table6[[#This Row],[Gross Weight KG]]-(Table6[[#This Row],[ Bags]]*0.1)</f>
        <v>49840</v>
      </c>
      <c r="H38" s="137">
        <f>Table6[[#This Row],[Net Weight KG]]/1000</f>
        <v>49.84</v>
      </c>
      <c r="I38" t="s">
        <v>142</v>
      </c>
      <c r="J38">
        <v>4000000059</v>
      </c>
      <c r="K38" t="s">
        <v>108</v>
      </c>
      <c r="L38">
        <v>4500001652</v>
      </c>
      <c r="N38" s="148"/>
    </row>
    <row r="39" spans="1:14" x14ac:dyDescent="0.25">
      <c r="A39" s="135">
        <v>46138</v>
      </c>
      <c r="B39" s="2" t="s">
        <v>109</v>
      </c>
      <c r="C39">
        <v>15475</v>
      </c>
      <c r="D39" s="89">
        <v>1000</v>
      </c>
      <c r="E39">
        <v>49.36</v>
      </c>
      <c r="F39" s="89">
        <f>Table6[[#This Row],[Gross Weight MT]]*1000</f>
        <v>49360</v>
      </c>
      <c r="G39" s="109">
        <f>Table6[[#This Row],[Gross Weight KG]]-(Table6[[#This Row],[ Bags]]*0.1)</f>
        <v>49260</v>
      </c>
      <c r="H39" s="110">
        <f>Table6[[#This Row],[Net Weight KG]]/1000</f>
        <v>49.26</v>
      </c>
      <c r="I39" t="s">
        <v>142</v>
      </c>
      <c r="J39">
        <v>4000000059</v>
      </c>
      <c r="K39" t="s">
        <v>107</v>
      </c>
      <c r="L39">
        <v>4500001654</v>
      </c>
    </row>
    <row r="40" spans="1:14" x14ac:dyDescent="0.25">
      <c r="A40" s="135">
        <v>46138</v>
      </c>
      <c r="B40" s="2" t="s">
        <v>109</v>
      </c>
      <c r="C40">
        <v>12151</v>
      </c>
      <c r="D40" s="89">
        <v>1000</v>
      </c>
      <c r="E40">
        <v>50.04</v>
      </c>
      <c r="F40" s="89">
        <f>Table6[[#This Row],[Gross Weight MT]]*1000</f>
        <v>50040</v>
      </c>
      <c r="G40" s="109">
        <f>Table6[[#This Row],[Gross Weight KG]]-(Table6[[#This Row],[ Bags]]*0.1)</f>
        <v>49940</v>
      </c>
      <c r="H40" s="110">
        <f>Table6[[#This Row],[Net Weight KG]]/1000</f>
        <v>49.94</v>
      </c>
      <c r="I40" t="s">
        <v>142</v>
      </c>
      <c r="J40">
        <v>4000000059</v>
      </c>
      <c r="K40" t="s">
        <v>107</v>
      </c>
      <c r="L40">
        <v>4500001654</v>
      </c>
    </row>
    <row r="41" spans="1:14" x14ac:dyDescent="0.25">
      <c r="A41" s="135">
        <v>46138</v>
      </c>
      <c r="B41" s="2" t="s">
        <v>109</v>
      </c>
      <c r="C41">
        <v>18105</v>
      </c>
      <c r="D41" s="89">
        <v>1000</v>
      </c>
      <c r="E41">
        <v>49.28</v>
      </c>
      <c r="F41" s="89">
        <f>Table6[[#This Row],[Gross Weight MT]]*1000</f>
        <v>49280</v>
      </c>
      <c r="G41" s="109">
        <f>Table6[[#This Row],[Gross Weight KG]]-(Table6[[#This Row],[ Bags]]*0.1)</f>
        <v>49180</v>
      </c>
      <c r="H41" s="110">
        <f>Table6[[#This Row],[Net Weight KG]]/1000</f>
        <v>49.18</v>
      </c>
      <c r="I41" t="s">
        <v>142</v>
      </c>
      <c r="J41">
        <v>4000000059</v>
      </c>
      <c r="K41" t="s">
        <v>107</v>
      </c>
      <c r="L41">
        <v>4500001654</v>
      </c>
    </row>
    <row r="42" spans="1:14" x14ac:dyDescent="0.25">
      <c r="A42" s="135">
        <v>46138</v>
      </c>
      <c r="B42" s="2" t="s">
        <v>109</v>
      </c>
      <c r="C42">
        <v>18114</v>
      </c>
      <c r="D42" s="89">
        <v>1000</v>
      </c>
      <c r="E42">
        <v>49.42</v>
      </c>
      <c r="F42" s="89">
        <f>Table6[[#This Row],[Gross Weight MT]]*1000</f>
        <v>49420</v>
      </c>
      <c r="G42" s="109">
        <f>Table6[[#This Row],[Gross Weight KG]]-(Table6[[#This Row],[ Bags]]*0.1)</f>
        <v>49320</v>
      </c>
      <c r="H42" s="110">
        <f>Table6[[#This Row],[Net Weight KG]]/1000</f>
        <v>49.32</v>
      </c>
      <c r="I42" t="s">
        <v>142</v>
      </c>
      <c r="J42">
        <v>4000000059</v>
      </c>
      <c r="K42" t="s">
        <v>107</v>
      </c>
      <c r="L42">
        <v>4500001654</v>
      </c>
    </row>
    <row r="43" spans="1:14" x14ac:dyDescent="0.25">
      <c r="A43" s="135">
        <v>46139</v>
      </c>
      <c r="B43" s="2" t="s">
        <v>109</v>
      </c>
      <c r="C43">
        <v>17580</v>
      </c>
      <c r="D43" s="89">
        <v>1000</v>
      </c>
      <c r="E43">
        <v>49.54</v>
      </c>
      <c r="F43" s="89">
        <f>Table6[[#This Row],[Gross Weight MT]]*1000</f>
        <v>49540</v>
      </c>
      <c r="G43" s="109">
        <f>Table6[[#This Row],[Gross Weight KG]]-(Table6[[#This Row],[ Bags]]*0.1)</f>
        <v>49440</v>
      </c>
      <c r="H43" s="110">
        <f>Table6[[#This Row],[Net Weight KG]]/1000</f>
        <v>49.44</v>
      </c>
      <c r="I43" t="s">
        <v>142</v>
      </c>
      <c r="J43">
        <v>4000000059</v>
      </c>
      <c r="K43" t="s">
        <v>107</v>
      </c>
      <c r="L43">
        <v>4500001654</v>
      </c>
    </row>
    <row r="44" spans="1:14" x14ac:dyDescent="0.25">
      <c r="A44" s="135">
        <v>46140</v>
      </c>
      <c r="B44" s="2" t="s">
        <v>109</v>
      </c>
      <c r="C44">
        <v>11253</v>
      </c>
      <c r="D44" s="89">
        <v>1000</v>
      </c>
      <c r="E44">
        <v>49.72</v>
      </c>
      <c r="F44" s="89">
        <f>Table6[[#This Row],[Gross Weight MT]]*1000</f>
        <v>49720</v>
      </c>
      <c r="G44" s="109">
        <f>Table6[[#This Row],[Gross Weight KG]]-(Table6[[#This Row],[ Bags]]*0.1)</f>
        <v>49620</v>
      </c>
      <c r="H44" s="110">
        <f>Table6[[#This Row],[Net Weight KG]]/1000</f>
        <v>49.62</v>
      </c>
      <c r="I44" t="s">
        <v>142</v>
      </c>
      <c r="J44">
        <v>4000000059</v>
      </c>
      <c r="K44" t="s">
        <v>107</v>
      </c>
      <c r="L44">
        <v>4500001654</v>
      </c>
    </row>
    <row r="45" spans="1:14" x14ac:dyDescent="0.25">
      <c r="A45" s="135">
        <v>46140</v>
      </c>
      <c r="B45" s="2" t="s">
        <v>109</v>
      </c>
      <c r="C45">
        <v>11252</v>
      </c>
      <c r="D45" s="89">
        <v>1000</v>
      </c>
      <c r="E45">
        <v>49.64</v>
      </c>
      <c r="F45" s="89">
        <f>Table6[[#This Row],[Gross Weight MT]]*1000</f>
        <v>49640</v>
      </c>
      <c r="G45" s="109">
        <f>Table6[[#This Row],[Gross Weight KG]]-(Table6[[#This Row],[ Bags]]*0.1)</f>
        <v>49540</v>
      </c>
      <c r="H45" s="110">
        <f>Table6[[#This Row],[Net Weight KG]]/1000</f>
        <v>49.54</v>
      </c>
      <c r="I45" t="s">
        <v>142</v>
      </c>
      <c r="J45">
        <v>4000000059</v>
      </c>
      <c r="K45" t="s">
        <v>107</v>
      </c>
      <c r="L45">
        <v>4500001654</v>
      </c>
    </row>
    <row r="46" spans="1:14" x14ac:dyDescent="0.25">
      <c r="A46" s="135">
        <v>46140</v>
      </c>
      <c r="B46" s="2" t="s">
        <v>109</v>
      </c>
      <c r="C46">
        <v>10192</v>
      </c>
      <c r="D46" s="89">
        <v>1000</v>
      </c>
      <c r="E46">
        <v>50.04</v>
      </c>
      <c r="F46" s="89">
        <f>Table6[[#This Row],[Gross Weight MT]]*1000</f>
        <v>50040</v>
      </c>
      <c r="G46" s="109">
        <f>Table6[[#This Row],[Gross Weight KG]]-(Table6[[#This Row],[ Bags]]*0.1)</f>
        <v>49940</v>
      </c>
      <c r="H46" s="110">
        <f>Table6[[#This Row],[Net Weight KG]]/1000</f>
        <v>49.94</v>
      </c>
      <c r="I46" t="s">
        <v>142</v>
      </c>
      <c r="J46">
        <v>4000000059</v>
      </c>
      <c r="K46" t="s">
        <v>108</v>
      </c>
      <c r="L46">
        <v>4500001652</v>
      </c>
    </row>
    <row r="47" spans="1:14" x14ac:dyDescent="0.25">
      <c r="A47" s="135">
        <v>46152</v>
      </c>
      <c r="B47" s="2" t="s">
        <v>109</v>
      </c>
      <c r="C47">
        <v>17579</v>
      </c>
      <c r="D47" s="89">
        <v>1000</v>
      </c>
      <c r="E47">
        <v>49.74</v>
      </c>
      <c r="F47" s="89">
        <f>Table6[[#This Row],[Gross Weight MT]]*1000</f>
        <v>49740</v>
      </c>
      <c r="G47" s="136">
        <f>Table6[[#This Row],[Gross Weight KG]]-(Table6[[#This Row],[ Bags]]*0.1)</f>
        <v>49640</v>
      </c>
      <c r="H47" s="137">
        <f>Table6[[#This Row],[Net Weight KG]]/1000</f>
        <v>49.64</v>
      </c>
      <c r="I47" t="s">
        <v>142</v>
      </c>
      <c r="J47">
        <v>4000000059</v>
      </c>
      <c r="K47" t="s">
        <v>107</v>
      </c>
      <c r="L47">
        <v>4500001654</v>
      </c>
    </row>
    <row r="48" spans="1:14" x14ac:dyDescent="0.25">
      <c r="A48" s="135">
        <v>46152</v>
      </c>
      <c r="B48" s="2" t="s">
        <v>109</v>
      </c>
      <c r="C48">
        <v>18115</v>
      </c>
      <c r="D48" s="89">
        <v>1000</v>
      </c>
      <c r="E48">
        <v>49.74</v>
      </c>
      <c r="F48" s="89">
        <f>Table6[[#This Row],[Gross Weight MT]]*1000</f>
        <v>49740</v>
      </c>
      <c r="G48" s="136">
        <f>Table6[[#This Row],[Gross Weight KG]]-(Table6[[#This Row],[ Bags]]*0.1)</f>
        <v>49640</v>
      </c>
      <c r="H48" s="137">
        <f>Table6[[#This Row],[Net Weight KG]]/1000</f>
        <v>49.64</v>
      </c>
      <c r="I48" t="s">
        <v>142</v>
      </c>
      <c r="J48">
        <v>4000000059</v>
      </c>
      <c r="K48" t="s">
        <v>107</v>
      </c>
      <c r="L48">
        <v>4500001654</v>
      </c>
    </row>
    <row r="49" spans="1:12" x14ac:dyDescent="0.25">
      <c r="A49" s="135">
        <v>46152</v>
      </c>
      <c r="B49" s="2" t="s">
        <v>109</v>
      </c>
      <c r="C49">
        <v>18114</v>
      </c>
      <c r="D49" s="89">
        <v>1000</v>
      </c>
      <c r="E49">
        <v>49.74</v>
      </c>
      <c r="F49" s="89">
        <f>Table6[[#This Row],[Gross Weight MT]]*1000</f>
        <v>49740</v>
      </c>
      <c r="G49" s="136">
        <f>Table6[[#This Row],[Gross Weight KG]]-(Table6[[#This Row],[ Bags]]*0.1)</f>
        <v>49640</v>
      </c>
      <c r="H49" s="137">
        <f>Table6[[#This Row],[Net Weight KG]]/1000</f>
        <v>49.64</v>
      </c>
      <c r="I49" t="s">
        <v>142</v>
      </c>
      <c r="J49">
        <v>4000000059</v>
      </c>
      <c r="K49" t="s">
        <v>107</v>
      </c>
      <c r="L49">
        <v>4500001654</v>
      </c>
    </row>
    <row r="50" spans="1:12" x14ac:dyDescent="0.25">
      <c r="A50" s="135">
        <v>46154</v>
      </c>
      <c r="B50" s="2" t="s">
        <v>109</v>
      </c>
      <c r="C50">
        <v>15475</v>
      </c>
      <c r="D50" s="89">
        <v>1000</v>
      </c>
      <c r="E50">
        <v>49.72</v>
      </c>
      <c r="F50" s="89">
        <f>Table6[[#This Row],[Gross Weight MT]]*1000</f>
        <v>49720</v>
      </c>
      <c r="G50" s="136">
        <f>Table6[[#This Row],[Gross Weight KG]]-(Table6[[#This Row],[ Bags]]*0.1)</f>
        <v>49620</v>
      </c>
      <c r="H50" s="137">
        <f>Table6[[#This Row],[Net Weight KG]]/1000</f>
        <v>49.62</v>
      </c>
      <c r="I50" t="s">
        <v>142</v>
      </c>
      <c r="J50">
        <v>4000000059</v>
      </c>
      <c r="K50" t="s">
        <v>107</v>
      </c>
      <c r="L50">
        <v>4500001654</v>
      </c>
    </row>
    <row r="51" spans="1:12" x14ac:dyDescent="0.25">
      <c r="A51" s="135">
        <v>46154</v>
      </c>
      <c r="B51" s="2" t="s">
        <v>109</v>
      </c>
      <c r="C51">
        <v>15468</v>
      </c>
      <c r="D51" s="89">
        <v>1000</v>
      </c>
      <c r="E51">
        <v>49.64</v>
      </c>
      <c r="F51" s="89">
        <f>Table6[[#This Row],[Gross Weight MT]]*1000</f>
        <v>49640</v>
      </c>
      <c r="G51" s="136">
        <f>Table6[[#This Row],[Gross Weight KG]]-(Table6[[#This Row],[ Bags]]*0.1)</f>
        <v>49540</v>
      </c>
      <c r="H51" s="137">
        <f>Table6[[#This Row],[Net Weight KG]]/1000</f>
        <v>49.54</v>
      </c>
      <c r="I51" t="s">
        <v>142</v>
      </c>
      <c r="J51">
        <v>4000000059</v>
      </c>
      <c r="K51" t="s">
        <v>107</v>
      </c>
      <c r="L51">
        <v>4500001654</v>
      </c>
    </row>
    <row r="52" spans="1:12" x14ac:dyDescent="0.25">
      <c r="A52" s="135">
        <v>46165</v>
      </c>
      <c r="B52" s="2" t="s">
        <v>109</v>
      </c>
      <c r="C52">
        <v>12501</v>
      </c>
      <c r="D52" s="89">
        <v>1000</v>
      </c>
      <c r="E52">
        <v>50</v>
      </c>
      <c r="F52" s="89">
        <f>Table6[[#This Row],[Gross Weight MT]]*1000</f>
        <v>50000</v>
      </c>
      <c r="G52" s="136">
        <f>Table6[[#This Row],[Gross Weight KG]]-(Table6[[#This Row],[ Bags]]*0.1)</f>
        <v>49900</v>
      </c>
      <c r="H52" s="137">
        <f>Table6[[#This Row],[Net Weight KG]]/1000</f>
        <v>49.9</v>
      </c>
      <c r="I52" t="s">
        <v>142</v>
      </c>
      <c r="J52">
        <v>4000000059</v>
      </c>
      <c r="K52" t="s">
        <v>108</v>
      </c>
      <c r="L52">
        <v>4500001652</v>
      </c>
    </row>
    <row r="53" spans="1:12" x14ac:dyDescent="0.25">
      <c r="A53" s="135">
        <v>46165</v>
      </c>
      <c r="B53" s="2" t="s">
        <v>109</v>
      </c>
      <c r="C53">
        <v>36465</v>
      </c>
      <c r="D53" s="89">
        <v>1000</v>
      </c>
      <c r="E53">
        <v>49.78</v>
      </c>
      <c r="F53" s="89">
        <f>Table6[[#This Row],[Gross Weight MT]]*1000</f>
        <v>49780</v>
      </c>
      <c r="G53" s="136">
        <f>Table6[[#This Row],[Gross Weight KG]]-(Table6[[#This Row],[ Bags]]*0.1)</f>
        <v>49680</v>
      </c>
      <c r="H53" s="137">
        <f>Table6[[#This Row],[Net Weight KG]]/1000</f>
        <v>49.68</v>
      </c>
      <c r="I53" t="s">
        <v>142</v>
      </c>
      <c r="J53">
        <v>4000000059</v>
      </c>
      <c r="K53" t="s">
        <v>107</v>
      </c>
      <c r="L53">
        <v>4500001654</v>
      </c>
    </row>
    <row r="54" spans="1:12" x14ac:dyDescent="0.25">
      <c r="A54" s="135">
        <v>46165</v>
      </c>
      <c r="B54" s="2" t="s">
        <v>109</v>
      </c>
      <c r="C54">
        <v>36282</v>
      </c>
      <c r="D54" s="89">
        <v>1000</v>
      </c>
      <c r="E54">
        <v>49.8</v>
      </c>
      <c r="F54" s="89">
        <f>Table6[[#This Row],[Gross Weight MT]]*1000</f>
        <v>49800</v>
      </c>
      <c r="G54" s="136">
        <f>Table6[[#This Row],[Gross Weight KG]]-(Table6[[#This Row],[ Bags]]*0.1)</f>
        <v>49700</v>
      </c>
      <c r="H54" s="137">
        <f>Table6[[#This Row],[Net Weight KG]]/1000</f>
        <v>49.7</v>
      </c>
      <c r="I54" t="s">
        <v>142</v>
      </c>
      <c r="J54">
        <v>4000000059</v>
      </c>
      <c r="K54" t="s">
        <v>107</v>
      </c>
      <c r="L54">
        <v>4500001654</v>
      </c>
    </row>
    <row r="55" spans="1:12" x14ac:dyDescent="0.25">
      <c r="A55" s="135">
        <v>46166</v>
      </c>
      <c r="B55" s="2" t="s">
        <v>109</v>
      </c>
      <c r="C55">
        <v>33084</v>
      </c>
      <c r="D55" s="89">
        <v>1000</v>
      </c>
      <c r="E55">
        <v>49.94</v>
      </c>
      <c r="F55" s="89">
        <f>Table6[[#This Row],[Gross Weight MT]]*1000</f>
        <v>49940</v>
      </c>
      <c r="G55" s="136">
        <f>Table6[[#This Row],[Gross Weight KG]]-(Table6[[#This Row],[ Bags]]*0.1)</f>
        <v>49840</v>
      </c>
      <c r="H55" s="137">
        <f>Table6[[#This Row],[Net Weight KG]]/1000</f>
        <v>49.84</v>
      </c>
      <c r="I55" t="s">
        <v>142</v>
      </c>
      <c r="J55">
        <v>4000000059</v>
      </c>
      <c r="K55" t="s">
        <v>107</v>
      </c>
      <c r="L55">
        <v>4500001654</v>
      </c>
    </row>
    <row r="56" spans="1:12" x14ac:dyDescent="0.25">
      <c r="A56" s="135">
        <v>46166</v>
      </c>
      <c r="B56" s="2" t="s">
        <v>109</v>
      </c>
      <c r="C56">
        <v>34962</v>
      </c>
      <c r="D56" s="89">
        <v>1000</v>
      </c>
      <c r="E56">
        <v>49.88</v>
      </c>
      <c r="F56" s="89">
        <f>Table6[[#This Row],[Gross Weight MT]]*1000</f>
        <v>49880</v>
      </c>
      <c r="G56" s="136">
        <f>Table6[[#This Row],[Gross Weight KG]]-(Table6[[#This Row],[ Bags]]*0.1)</f>
        <v>49780</v>
      </c>
      <c r="H56" s="137">
        <f>Table6[[#This Row],[Net Weight KG]]/1000</f>
        <v>49.78</v>
      </c>
      <c r="I56" t="s">
        <v>142</v>
      </c>
      <c r="J56">
        <v>4000000059</v>
      </c>
      <c r="K56" t="s">
        <v>107</v>
      </c>
      <c r="L56">
        <v>4500001654</v>
      </c>
    </row>
    <row r="57" spans="1:12" x14ac:dyDescent="0.25">
      <c r="A57" s="135">
        <v>46177</v>
      </c>
      <c r="B57" s="2" t="s">
        <v>109</v>
      </c>
      <c r="C57">
        <v>17571</v>
      </c>
      <c r="D57" s="89">
        <v>1000</v>
      </c>
      <c r="E57">
        <v>49.82</v>
      </c>
      <c r="F57" s="89">
        <f>Table6[[#This Row],[Gross Weight MT]]*1000</f>
        <v>49820</v>
      </c>
      <c r="G57" s="136">
        <f>Table6[[#This Row],[Gross Weight KG]]-(Table6[[#This Row],[ Bags]]*0.1)</f>
        <v>49720</v>
      </c>
      <c r="H57" s="137">
        <f>Table6[[#This Row],[Net Weight KG]]/1000</f>
        <v>49.72</v>
      </c>
      <c r="I57" t="s">
        <v>142</v>
      </c>
      <c r="J57">
        <v>4000000059</v>
      </c>
      <c r="K57" t="s">
        <v>107</v>
      </c>
      <c r="L57">
        <v>4500001654</v>
      </c>
    </row>
    <row r="58" spans="1:12" x14ac:dyDescent="0.25">
      <c r="A58" s="135">
        <v>46179</v>
      </c>
      <c r="B58" s="2" t="s">
        <v>109</v>
      </c>
      <c r="C58">
        <v>17569</v>
      </c>
      <c r="D58" s="89">
        <v>1000</v>
      </c>
      <c r="E58">
        <v>49.96</v>
      </c>
      <c r="F58" s="89">
        <f>Table6[[#This Row],[Gross Weight MT]]*1000</f>
        <v>49960</v>
      </c>
      <c r="G58" s="136">
        <f>Table6[[#This Row],[Gross Weight KG]]-(Table6[[#This Row],[ Bags]]*0.1)</f>
        <v>49860</v>
      </c>
      <c r="H58" s="137">
        <f>Table6[[#This Row],[Net Weight KG]]/1000</f>
        <v>49.86</v>
      </c>
      <c r="I58" t="s">
        <v>142</v>
      </c>
      <c r="J58">
        <v>4000000059</v>
      </c>
      <c r="K58" t="s">
        <v>107</v>
      </c>
      <c r="L58">
        <v>4500001654</v>
      </c>
    </row>
    <row r="59" spans="1:12" x14ac:dyDescent="0.25">
      <c r="A59" s="135">
        <v>46186</v>
      </c>
      <c r="B59" s="2" t="s">
        <v>109</v>
      </c>
      <c r="C59">
        <v>33084</v>
      </c>
      <c r="D59" s="89">
        <v>1000</v>
      </c>
      <c r="E59">
        <v>50.04</v>
      </c>
      <c r="F59" s="89">
        <f>Table6[[#This Row],[Gross Weight MT]]*1000</f>
        <v>50040</v>
      </c>
      <c r="G59" s="136">
        <f>Table6[[#This Row],[Gross Weight KG]]-(Table6[[#This Row],[ Bags]]*0.1)</f>
        <v>49940</v>
      </c>
      <c r="H59" s="137">
        <f>Table6[[#This Row],[Net Weight KG]]/1000</f>
        <v>49.94</v>
      </c>
      <c r="I59" t="s">
        <v>142</v>
      </c>
      <c r="J59">
        <v>4000000059</v>
      </c>
      <c r="K59" t="s">
        <v>108</v>
      </c>
      <c r="L59">
        <v>4500001652</v>
      </c>
    </row>
    <row r="60" spans="1:12" x14ac:dyDescent="0.25">
      <c r="A60" s="135">
        <v>46187</v>
      </c>
      <c r="B60" s="2" t="s">
        <v>109</v>
      </c>
      <c r="C60">
        <v>20723</v>
      </c>
      <c r="D60" s="89">
        <v>1000</v>
      </c>
      <c r="E60">
        <v>49.8</v>
      </c>
      <c r="F60" s="89">
        <f>Table6[[#This Row],[Gross Weight MT]]*1000</f>
        <v>49800</v>
      </c>
      <c r="G60" s="136">
        <f>Table6[[#This Row],[Gross Weight KG]]-(Table6[[#This Row],[ Bags]]*0.1)</f>
        <v>49700</v>
      </c>
      <c r="H60" s="137">
        <f>Table6[[#This Row],[Net Weight KG]]/1000</f>
        <v>49.7</v>
      </c>
      <c r="I60" t="s">
        <v>142</v>
      </c>
      <c r="J60">
        <v>4000000059</v>
      </c>
      <c r="K60" t="s">
        <v>108</v>
      </c>
      <c r="L60">
        <v>4500001652</v>
      </c>
    </row>
    <row r="61" spans="1:12" x14ac:dyDescent="0.25">
      <c r="A61" s="135">
        <v>46187</v>
      </c>
      <c r="B61" s="2" t="s">
        <v>109</v>
      </c>
      <c r="C61">
        <v>12142</v>
      </c>
      <c r="D61" s="89">
        <v>1000</v>
      </c>
      <c r="E61">
        <v>49.6</v>
      </c>
      <c r="F61" s="89">
        <f>Table6[[#This Row],[Gross Weight MT]]*1000</f>
        <v>49600</v>
      </c>
      <c r="G61" s="136">
        <f>Table6[[#This Row],[Gross Weight KG]]-(Table6[[#This Row],[ Bags]]*0.1)</f>
        <v>49500</v>
      </c>
      <c r="H61" s="137">
        <f>Table6[[#This Row],[Net Weight KG]]/1000</f>
        <v>49.5</v>
      </c>
      <c r="I61" t="s">
        <v>142</v>
      </c>
      <c r="J61">
        <v>4000000059</v>
      </c>
      <c r="K61" t="s">
        <v>108</v>
      </c>
      <c r="L61">
        <v>4500001652</v>
      </c>
    </row>
    <row r="62" spans="1:12" x14ac:dyDescent="0.25">
      <c r="A62" s="135">
        <v>46187</v>
      </c>
      <c r="B62" s="2" t="s">
        <v>109</v>
      </c>
      <c r="C62">
        <v>15500</v>
      </c>
      <c r="D62" s="89">
        <v>1000</v>
      </c>
      <c r="E62">
        <v>49.74</v>
      </c>
      <c r="F62" s="89">
        <f>Table6[[#This Row],[Gross Weight MT]]*1000</f>
        <v>49740</v>
      </c>
      <c r="G62" s="136">
        <f>Table6[[#This Row],[Gross Weight KG]]-(Table6[[#This Row],[ Bags]]*0.1)</f>
        <v>49640</v>
      </c>
      <c r="H62" s="137">
        <f>Table6[[#This Row],[Net Weight KG]]/1000</f>
        <v>49.64</v>
      </c>
      <c r="I62" t="s">
        <v>142</v>
      </c>
      <c r="J62">
        <v>4000000059</v>
      </c>
      <c r="K62" t="s">
        <v>108</v>
      </c>
      <c r="L62">
        <v>4500001652</v>
      </c>
    </row>
    <row r="63" spans="1:12" x14ac:dyDescent="0.25">
      <c r="A63" s="135">
        <v>46187</v>
      </c>
      <c r="B63" s="2" t="s">
        <v>109</v>
      </c>
      <c r="C63">
        <v>12150</v>
      </c>
      <c r="D63" s="89">
        <v>1000</v>
      </c>
      <c r="E63">
        <v>49.9</v>
      </c>
      <c r="F63" s="89">
        <f>Table6[[#This Row],[Gross Weight MT]]*1000</f>
        <v>49900</v>
      </c>
      <c r="G63" s="136">
        <f>Table6[[#This Row],[Gross Weight KG]]-(Table6[[#This Row],[ Bags]]*0.1)</f>
        <v>49800</v>
      </c>
      <c r="H63" s="137">
        <f>Table6[[#This Row],[Net Weight KG]]/1000</f>
        <v>49.8</v>
      </c>
      <c r="I63" t="s">
        <v>142</v>
      </c>
      <c r="J63">
        <v>4000000059</v>
      </c>
      <c r="K63" t="s">
        <v>108</v>
      </c>
      <c r="L63">
        <v>4500001652</v>
      </c>
    </row>
    <row r="64" spans="1:12" x14ac:dyDescent="0.25">
      <c r="A64" s="135">
        <v>46188</v>
      </c>
      <c r="B64" s="2" t="s">
        <v>109</v>
      </c>
      <c r="C64">
        <v>33083</v>
      </c>
      <c r="D64" s="89">
        <v>1000</v>
      </c>
      <c r="E64">
        <v>49.92</v>
      </c>
      <c r="F64" s="89">
        <f>Table6[[#This Row],[Gross Weight MT]]*1000</f>
        <v>49920</v>
      </c>
      <c r="G64" s="136">
        <f>Table6[[#This Row],[Gross Weight KG]]-(Table6[[#This Row],[ Bags]]*0.1)</f>
        <v>49820</v>
      </c>
      <c r="H64" s="137">
        <f>Table6[[#This Row],[Net Weight KG]]/1000</f>
        <v>49.82</v>
      </c>
      <c r="I64" t="s">
        <v>142</v>
      </c>
      <c r="J64">
        <v>4000000059</v>
      </c>
      <c r="K64" t="s">
        <v>107</v>
      </c>
      <c r="L64">
        <v>4500001484</v>
      </c>
    </row>
    <row r="65" spans="1:12" x14ac:dyDescent="0.25">
      <c r="A65" s="135">
        <v>46191</v>
      </c>
      <c r="B65" s="2" t="s">
        <v>109</v>
      </c>
      <c r="C65">
        <v>14650</v>
      </c>
      <c r="D65" s="89">
        <v>1000</v>
      </c>
      <c r="E65">
        <v>49.98</v>
      </c>
      <c r="F65" s="89">
        <f>Table6[[#This Row],[Gross Weight MT]]*1000</f>
        <v>49980</v>
      </c>
      <c r="G65" s="136">
        <f>Table6[[#This Row],[Gross Weight KG]]-(Table6[[#This Row],[ Bags]]*0.1)</f>
        <v>49880</v>
      </c>
      <c r="H65" s="137">
        <f>Table6[[#This Row],[Net Weight KG]]/1000</f>
        <v>49.88</v>
      </c>
      <c r="I65" t="s">
        <v>142</v>
      </c>
      <c r="J65">
        <v>4000000059</v>
      </c>
      <c r="K65" t="s">
        <v>107</v>
      </c>
      <c r="L65">
        <v>4500001484</v>
      </c>
    </row>
    <row r="66" spans="1:12" x14ac:dyDescent="0.25">
      <c r="A66" s="135">
        <v>46191</v>
      </c>
      <c r="B66" s="2" t="s">
        <v>109</v>
      </c>
      <c r="C66">
        <v>35624</v>
      </c>
      <c r="D66" s="89">
        <v>999</v>
      </c>
      <c r="E66">
        <v>50.18</v>
      </c>
      <c r="F66" s="89">
        <f>Table6[[#This Row],[Gross Weight MT]]*1000</f>
        <v>50180</v>
      </c>
      <c r="G66" s="136">
        <f>Table6[[#This Row],[Gross Weight KG]]-(Table6[[#This Row],[ Bags]]*0.1)</f>
        <v>50080.1</v>
      </c>
      <c r="H66" s="137">
        <f>Table6[[#This Row],[Net Weight KG]]/1000</f>
        <v>50.080100000000002</v>
      </c>
      <c r="I66" t="s">
        <v>142</v>
      </c>
      <c r="J66">
        <v>4000000059</v>
      </c>
      <c r="K66" t="s">
        <v>107</v>
      </c>
      <c r="L66">
        <v>4500001484</v>
      </c>
    </row>
    <row r="67" spans="1:12" x14ac:dyDescent="0.25">
      <c r="A67" s="135">
        <v>46194</v>
      </c>
      <c r="B67" s="2" t="s">
        <v>109</v>
      </c>
      <c r="C67">
        <v>49376</v>
      </c>
      <c r="D67" s="89">
        <v>998</v>
      </c>
      <c r="E67">
        <v>49.96</v>
      </c>
      <c r="F67" s="89">
        <f>Table6[[#This Row],[Gross Weight MT]]*1000</f>
        <v>49960</v>
      </c>
      <c r="G67" s="136">
        <f>Table6[[#This Row],[Gross Weight KG]]-(Table6[[#This Row],[ Bags]]*0.1)</f>
        <v>49860.2</v>
      </c>
      <c r="H67" s="137">
        <f>Table6[[#This Row],[Net Weight KG]]/1000</f>
        <v>49.860199999999999</v>
      </c>
      <c r="I67" t="s">
        <v>142</v>
      </c>
      <c r="J67">
        <v>4000000059</v>
      </c>
      <c r="K67" t="s">
        <v>107</v>
      </c>
      <c r="L67">
        <v>4500001484</v>
      </c>
    </row>
    <row r="68" spans="1:12" x14ac:dyDescent="0.25">
      <c r="A68" s="135">
        <v>46194</v>
      </c>
      <c r="B68" s="2" t="s">
        <v>143</v>
      </c>
      <c r="C68">
        <v>1812</v>
      </c>
      <c r="D68" s="89">
        <v>1000</v>
      </c>
      <c r="E68">
        <v>50</v>
      </c>
      <c r="F68" s="89">
        <f>Table6[[#This Row],[Gross Weight MT]]*1000</f>
        <v>50000</v>
      </c>
      <c r="G68" s="136">
        <f>Table6[[#This Row],[Gross Weight KG]]-(Table6[[#This Row],[ Bags]]*0.1)</f>
        <v>49900</v>
      </c>
      <c r="H68" s="137">
        <f>Table6[[#This Row],[Net Weight KG]]/1000</f>
        <v>49.9</v>
      </c>
      <c r="I68" t="s">
        <v>66</v>
      </c>
      <c r="J68">
        <v>1000000035</v>
      </c>
      <c r="K68" t="s">
        <v>108</v>
      </c>
      <c r="L68">
        <v>4500005740</v>
      </c>
    </row>
    <row r="69" spans="1:12" x14ac:dyDescent="0.25">
      <c r="A69" s="135">
        <v>46194</v>
      </c>
      <c r="B69" s="2" t="s">
        <v>143</v>
      </c>
      <c r="C69">
        <v>2889</v>
      </c>
      <c r="D69" s="89">
        <v>1000</v>
      </c>
      <c r="E69">
        <v>50</v>
      </c>
      <c r="F69" s="89">
        <f>Table6[[#This Row],[Gross Weight MT]]*1000</f>
        <v>50000</v>
      </c>
      <c r="G69" s="136">
        <f>Table6[[#This Row],[Gross Weight KG]]-(Table6[[#This Row],[ Bags]]*0.1)</f>
        <v>49900</v>
      </c>
      <c r="H69" s="137">
        <f>Table6[[#This Row],[Net Weight KG]]/1000</f>
        <v>49.9</v>
      </c>
      <c r="I69" t="s">
        <v>66</v>
      </c>
      <c r="J69">
        <v>1000000035</v>
      </c>
      <c r="K69" t="s">
        <v>108</v>
      </c>
      <c r="L69">
        <v>4500005740</v>
      </c>
    </row>
    <row r="70" spans="1:12" x14ac:dyDescent="0.25">
      <c r="A70" s="135">
        <v>46196</v>
      </c>
      <c r="B70" s="2" t="s">
        <v>109</v>
      </c>
      <c r="C70">
        <v>14651</v>
      </c>
      <c r="D70" s="89">
        <v>1000</v>
      </c>
      <c r="E70">
        <v>49.76</v>
      </c>
      <c r="F70" s="89">
        <f>Table6[[#This Row],[Gross Weight MT]]*1000</f>
        <v>49760</v>
      </c>
      <c r="G70" s="136">
        <f>Table6[[#This Row],[Gross Weight KG]]-(Table6[[#This Row],[ Bags]]*0.1)</f>
        <v>49660</v>
      </c>
      <c r="H70" s="137">
        <f>Table6[[#This Row],[Net Weight KG]]/1000</f>
        <v>49.66</v>
      </c>
      <c r="I70" t="s">
        <v>142</v>
      </c>
      <c r="J70">
        <v>4000000059</v>
      </c>
      <c r="K70" t="s">
        <v>107</v>
      </c>
      <c r="L70">
        <v>4500005939</v>
      </c>
    </row>
    <row r="71" spans="1:12" x14ac:dyDescent="0.25">
      <c r="A71" s="135">
        <v>46198</v>
      </c>
      <c r="B71" s="2" t="s">
        <v>143</v>
      </c>
      <c r="C71">
        <v>1804</v>
      </c>
      <c r="D71" s="89">
        <v>1100</v>
      </c>
      <c r="E71">
        <v>55</v>
      </c>
      <c r="F71" s="89">
        <f>Table6[[#This Row],[Gross Weight MT]]*1000</f>
        <v>55000</v>
      </c>
      <c r="G71" s="136">
        <f>Table6[[#This Row],[Gross Weight KG]]-(Table6[[#This Row],[ Bags]]*0.1)</f>
        <v>54890</v>
      </c>
      <c r="H71" s="137">
        <f>Table6[[#This Row],[Net Weight KG]]/1000</f>
        <v>54.89</v>
      </c>
      <c r="I71" t="s">
        <v>66</v>
      </c>
      <c r="J71">
        <v>1000000035</v>
      </c>
      <c r="K71" t="s">
        <v>108</v>
      </c>
      <c r="L71">
        <v>4500005740</v>
      </c>
    </row>
    <row r="72" spans="1:12" x14ac:dyDescent="0.25">
      <c r="A72" s="135">
        <v>46200</v>
      </c>
      <c r="B72" s="2" t="s">
        <v>109</v>
      </c>
      <c r="C72">
        <v>14342</v>
      </c>
      <c r="D72" s="89">
        <v>1000</v>
      </c>
      <c r="E72">
        <v>50.44</v>
      </c>
      <c r="F72" s="89">
        <f>Table6[[#This Row],[Gross Weight MT]]*1000</f>
        <v>50440</v>
      </c>
      <c r="G72" s="136">
        <f>Table6[[#This Row],[Gross Weight KG]]-(Table6[[#This Row],[ Bags]]*0.1)</f>
        <v>50340</v>
      </c>
      <c r="H72" s="137">
        <f>Table6[[#This Row],[Net Weight KG]]/1000</f>
        <v>50.34</v>
      </c>
      <c r="I72" t="s">
        <v>142</v>
      </c>
      <c r="J72">
        <v>4000000059</v>
      </c>
      <c r="K72" t="s">
        <v>107</v>
      </c>
      <c r="L72">
        <v>4500005939</v>
      </c>
    </row>
    <row r="73" spans="1:12" x14ac:dyDescent="0.25">
      <c r="A73" s="135">
        <v>46200</v>
      </c>
      <c r="B73" s="2" t="s">
        <v>143</v>
      </c>
      <c r="C73">
        <v>9353</v>
      </c>
      <c r="D73" s="89">
        <v>1100</v>
      </c>
      <c r="E73">
        <v>55</v>
      </c>
      <c r="F73" s="89">
        <f>Table6[[#This Row],[Gross Weight MT]]*1000</f>
        <v>55000</v>
      </c>
      <c r="G73" s="136">
        <f>Table6[[#This Row],[Gross Weight KG]]-(Table6[[#This Row],[ Bags]]*0.1)</f>
        <v>54890</v>
      </c>
      <c r="H73" s="137">
        <f>Table6[[#This Row],[Net Weight KG]]/1000</f>
        <v>54.89</v>
      </c>
      <c r="I73" t="s">
        <v>66</v>
      </c>
      <c r="J73">
        <v>1000000035</v>
      </c>
      <c r="K73" t="s">
        <v>108</v>
      </c>
      <c r="L73">
        <v>4500005740</v>
      </c>
    </row>
    <row r="74" spans="1:12" x14ac:dyDescent="0.25">
      <c r="A74" s="135">
        <v>46200</v>
      </c>
      <c r="B74" s="2" t="s">
        <v>143</v>
      </c>
      <c r="C74">
        <v>9568</v>
      </c>
      <c r="D74" s="89">
        <v>1000</v>
      </c>
      <c r="E74">
        <v>50</v>
      </c>
      <c r="F74" s="89">
        <f>Table6[[#This Row],[Gross Weight MT]]*1000</f>
        <v>50000</v>
      </c>
      <c r="G74" s="136">
        <f>Table6[[#This Row],[Gross Weight KG]]-(Table6[[#This Row],[ Bags]]*0.1)</f>
        <v>49900</v>
      </c>
      <c r="H74" s="137">
        <f>Table6[[#This Row],[Net Weight KG]]/1000</f>
        <v>49.9</v>
      </c>
      <c r="I74" t="s">
        <v>66</v>
      </c>
      <c r="J74">
        <v>1000000035</v>
      </c>
      <c r="K74" t="s">
        <v>108</v>
      </c>
      <c r="L74">
        <v>4500005740</v>
      </c>
    </row>
    <row r="75" spans="1:12" x14ac:dyDescent="0.25">
      <c r="A75" s="135">
        <v>46201</v>
      </c>
      <c r="B75" s="2" t="s">
        <v>109</v>
      </c>
      <c r="C75">
        <v>886</v>
      </c>
      <c r="D75" s="89">
        <v>1000</v>
      </c>
      <c r="E75">
        <v>50.34</v>
      </c>
      <c r="F75" s="89">
        <f>Table6[[#This Row],[Gross Weight MT]]*1000</f>
        <v>50340</v>
      </c>
      <c r="G75" s="136">
        <f>Table6[[#This Row],[Gross Weight KG]]-(Table6[[#This Row],[ Bags]]*0.1)</f>
        <v>50240</v>
      </c>
      <c r="H75" s="137">
        <f>Table6[[#This Row],[Net Weight KG]]/1000</f>
        <v>50.24</v>
      </c>
      <c r="I75" t="s">
        <v>142</v>
      </c>
      <c r="J75">
        <v>4000000059</v>
      </c>
      <c r="K75" t="s">
        <v>108</v>
      </c>
      <c r="L75">
        <v>4500001652</v>
      </c>
    </row>
    <row r="76" spans="1:12" x14ac:dyDescent="0.25">
      <c r="A76" s="135">
        <v>46201</v>
      </c>
      <c r="B76" s="2" t="s">
        <v>109</v>
      </c>
      <c r="C76">
        <v>32987</v>
      </c>
      <c r="D76" s="89">
        <v>1000</v>
      </c>
      <c r="E76">
        <v>50.3</v>
      </c>
      <c r="F76" s="89">
        <f>Table6[[#This Row],[Gross Weight MT]]*1000</f>
        <v>50300</v>
      </c>
      <c r="G76" s="136">
        <f>Table6[[#This Row],[Gross Weight KG]]-(Table6[[#This Row],[ Bags]]*0.1)</f>
        <v>50200</v>
      </c>
      <c r="H76" s="137">
        <f>Table6[[#This Row],[Net Weight KG]]/1000</f>
        <v>50.2</v>
      </c>
      <c r="I76" t="s">
        <v>142</v>
      </c>
      <c r="J76">
        <v>4000000059</v>
      </c>
      <c r="K76" t="s">
        <v>107</v>
      </c>
      <c r="L76">
        <v>4500005939</v>
      </c>
    </row>
    <row r="77" spans="1:12" x14ac:dyDescent="0.25">
      <c r="A77" s="135">
        <v>46201</v>
      </c>
      <c r="B77" s="2" t="s">
        <v>143</v>
      </c>
      <c r="C77">
        <v>9354</v>
      </c>
      <c r="D77" s="89">
        <v>1100</v>
      </c>
      <c r="E77">
        <v>55</v>
      </c>
      <c r="F77" s="89">
        <f>Table6[[#This Row],[Gross Weight MT]]*1000</f>
        <v>55000</v>
      </c>
      <c r="G77" s="136">
        <f>Table6[[#This Row],[Gross Weight KG]]-(Table6[[#This Row],[ Bags]]*0.1)</f>
        <v>54890</v>
      </c>
      <c r="H77" s="137">
        <f>Table6[[#This Row],[Net Weight KG]]/1000</f>
        <v>54.89</v>
      </c>
      <c r="I77" t="s">
        <v>66</v>
      </c>
      <c r="J77">
        <v>1000000035</v>
      </c>
      <c r="K77" t="s">
        <v>108</v>
      </c>
      <c r="L77">
        <v>4500005740</v>
      </c>
    </row>
    <row r="78" spans="1:12" x14ac:dyDescent="0.25">
      <c r="A78" s="135">
        <v>46202</v>
      </c>
      <c r="B78" s="2" t="s">
        <v>109</v>
      </c>
      <c r="C78">
        <v>34813</v>
      </c>
      <c r="D78" s="89">
        <v>1000</v>
      </c>
      <c r="E78">
        <v>50.52</v>
      </c>
      <c r="F78" s="89">
        <f>Table6[[#This Row],[Gross Weight MT]]*1000</f>
        <v>50520</v>
      </c>
      <c r="G78" s="136">
        <f>Table6[[#This Row],[Gross Weight KG]]-(Table6[[#This Row],[ Bags]]*0.1)</f>
        <v>50420</v>
      </c>
      <c r="H78" s="137">
        <f>Table6[[#This Row],[Net Weight KG]]/1000</f>
        <v>50.42</v>
      </c>
      <c r="I78" t="s">
        <v>142</v>
      </c>
      <c r="J78">
        <v>4000000059</v>
      </c>
      <c r="K78" t="s">
        <v>107</v>
      </c>
      <c r="L78">
        <v>4500005939</v>
      </c>
    </row>
    <row r="79" spans="1:12" x14ac:dyDescent="0.25">
      <c r="A79" s="135">
        <v>46202</v>
      </c>
      <c r="B79" s="2" t="s">
        <v>109</v>
      </c>
      <c r="C79">
        <v>36230</v>
      </c>
      <c r="D79" s="89">
        <v>1000</v>
      </c>
      <c r="E79">
        <v>50</v>
      </c>
      <c r="F79" s="89">
        <f>Table6[[#This Row],[Gross Weight MT]]*1000</f>
        <v>50000</v>
      </c>
      <c r="G79" s="136">
        <f>Table6[[#This Row],[Gross Weight KG]]-(Table6[[#This Row],[ Bags]]*0.1)</f>
        <v>49900</v>
      </c>
      <c r="H79" s="137">
        <f>Table6[[#This Row],[Net Weight KG]]/1000</f>
        <v>49.9</v>
      </c>
      <c r="I79" t="s">
        <v>142</v>
      </c>
      <c r="J79">
        <v>4000000059</v>
      </c>
      <c r="K79" t="s">
        <v>107</v>
      </c>
      <c r="L79">
        <v>4500005939</v>
      </c>
    </row>
    <row r="80" spans="1:12" x14ac:dyDescent="0.25">
      <c r="A80" s="135">
        <v>46208</v>
      </c>
      <c r="B80" s="2" t="s">
        <v>109</v>
      </c>
      <c r="C80">
        <v>15473</v>
      </c>
      <c r="D80" s="89">
        <v>998</v>
      </c>
      <c r="E80">
        <v>49.96</v>
      </c>
      <c r="F80" s="89">
        <f>Table6[[#This Row],[Gross Weight MT]]*1000</f>
        <v>49960</v>
      </c>
      <c r="G80" s="182">
        <f>Table6[[#This Row],[Gross Weight KG]]-(Table6[[#This Row],[ Bags]]*0.1)</f>
        <v>49860.2</v>
      </c>
      <c r="H80" s="137">
        <f>Table6[[#This Row],[Net Weight KG]]/1000</f>
        <v>49.860199999999999</v>
      </c>
      <c r="I80" t="s">
        <v>142</v>
      </c>
      <c r="J80">
        <v>4000000059</v>
      </c>
      <c r="K80" t="s">
        <v>107</v>
      </c>
      <c r="L80">
        <v>4500005939</v>
      </c>
    </row>
    <row r="81" spans="1:12" x14ac:dyDescent="0.25">
      <c r="A81" s="135">
        <v>46211</v>
      </c>
      <c r="B81" s="2" t="s">
        <v>109</v>
      </c>
      <c r="C81">
        <v>15498</v>
      </c>
      <c r="D81" s="89">
        <v>1000</v>
      </c>
      <c r="E81">
        <v>49.88</v>
      </c>
      <c r="F81" s="89">
        <f>Table6[[#This Row],[Gross Weight MT]]*1000</f>
        <v>49880</v>
      </c>
      <c r="G81" s="182">
        <f>Table6[[#This Row],[Gross Weight KG]]-(Table6[[#This Row],[ Bags]]*0.1)</f>
        <v>49780</v>
      </c>
      <c r="H81" s="137">
        <f>Table6[[#This Row],[Net Weight KG]]/1000</f>
        <v>49.78</v>
      </c>
      <c r="I81" t="s">
        <v>142</v>
      </c>
      <c r="J81">
        <v>4000000059</v>
      </c>
      <c r="K81" t="s">
        <v>107</v>
      </c>
      <c r="L81">
        <v>4500005939</v>
      </c>
    </row>
    <row r="82" spans="1:12" x14ac:dyDescent="0.25">
      <c r="A82" s="135">
        <v>46221</v>
      </c>
      <c r="B82" s="2" t="s">
        <v>109</v>
      </c>
      <c r="C82">
        <v>15496</v>
      </c>
      <c r="D82" s="89">
        <v>1000</v>
      </c>
      <c r="E82">
        <v>50.28</v>
      </c>
      <c r="F82" s="89">
        <f>Table6[[#This Row],[Gross Weight MT]]*1000</f>
        <v>50280</v>
      </c>
      <c r="G82" s="109">
        <f>Table6[[#This Row],[Gross Weight KG]]-(Table6[[#This Row],[ Bags]]*0.1)</f>
        <v>50180</v>
      </c>
      <c r="H82" s="137">
        <f>Table6[[#This Row],[Net Weight KG]]/1000</f>
        <v>50.18</v>
      </c>
      <c r="I82" t="s">
        <v>142</v>
      </c>
      <c r="J82">
        <v>4000000059</v>
      </c>
      <c r="K82" t="s">
        <v>107</v>
      </c>
      <c r="L82">
        <v>4500005939</v>
      </c>
    </row>
    <row r="83" spans="1:12" x14ac:dyDescent="0.25">
      <c r="A83" s="135">
        <v>46221</v>
      </c>
      <c r="B83" s="2" t="s">
        <v>109</v>
      </c>
      <c r="C83">
        <v>14188</v>
      </c>
      <c r="D83" s="89">
        <v>998</v>
      </c>
      <c r="E83">
        <v>50.04</v>
      </c>
      <c r="F83" s="89">
        <f>Table6[[#This Row],[Gross Weight MT]]*1000</f>
        <v>50040</v>
      </c>
      <c r="G83" s="109">
        <f>Table6[[#This Row],[Gross Weight KG]]-(Table6[[#This Row],[ Bags]]*0.1)</f>
        <v>49940.2</v>
      </c>
      <c r="H83" s="137">
        <f>Table6[[#This Row],[Net Weight KG]]/1000</f>
        <v>49.940199999999997</v>
      </c>
      <c r="I83" t="s">
        <v>142</v>
      </c>
      <c r="J83">
        <v>4000000059</v>
      </c>
      <c r="K83" t="s">
        <v>107</v>
      </c>
      <c r="L83">
        <v>4500005939</v>
      </c>
    </row>
    <row r="84" spans="1:12" x14ac:dyDescent="0.25">
      <c r="A84" s="135">
        <v>46230</v>
      </c>
      <c r="B84" s="2" t="s">
        <v>109</v>
      </c>
      <c r="C84">
        <v>37182</v>
      </c>
      <c r="D84" s="89">
        <v>1000</v>
      </c>
      <c r="E84">
        <v>50</v>
      </c>
      <c r="F84" s="194">
        <f>Table6[[#This Row],[Gross Weight MT]]*1000</f>
        <v>50000</v>
      </c>
      <c r="G84" s="109">
        <f>Table6[[#This Row],[Gross Weight KG]]-(Table6[[#This Row],[ Bags]]*0.1)</f>
        <v>49900</v>
      </c>
      <c r="H84" s="137">
        <f>Table6[[#This Row],[Net Weight KG]]/1000</f>
        <v>49.9</v>
      </c>
      <c r="I84" t="s">
        <v>142</v>
      </c>
      <c r="J84">
        <v>4000000059</v>
      </c>
      <c r="K84" t="s">
        <v>107</v>
      </c>
      <c r="L84">
        <v>4500005939</v>
      </c>
    </row>
    <row r="85" spans="1:12" x14ac:dyDescent="0.25">
      <c r="A85" s="135">
        <v>46231</v>
      </c>
      <c r="B85" s="2" t="s">
        <v>109</v>
      </c>
      <c r="C85">
        <v>14662</v>
      </c>
      <c r="D85" s="89">
        <v>1000</v>
      </c>
      <c r="E85">
        <v>49.9</v>
      </c>
      <c r="F85" s="194">
        <f>Table6[[#This Row],[Gross Weight MT]]*1000</f>
        <v>49900</v>
      </c>
      <c r="G85" s="208">
        <f>Table6[[#This Row],[Gross Weight KG]]-(Table6[[#This Row],[ Bags]]*0.1)</f>
        <v>49800</v>
      </c>
      <c r="H85" s="137">
        <f>Table6[[#This Row],[Net Weight KG]]/1000</f>
        <v>49.8</v>
      </c>
      <c r="I85" t="s">
        <v>142</v>
      </c>
      <c r="J85">
        <v>4000000059</v>
      </c>
      <c r="K85" t="s">
        <v>107</v>
      </c>
      <c r="L85">
        <v>4500005939</v>
      </c>
    </row>
  </sheetData>
  <pageMargins left="0.7" right="0.7" top="0.75" bottom="0.75" header="0.3" footer="0.3"/>
  <pageSetup orientation="portrait" horizontalDpi="300" verticalDpi="300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showGridLines="0" zoomScale="90" zoomScaleNormal="90" workbookViewId="0">
      <selection activeCell="N1" sqref="N1"/>
    </sheetView>
  </sheetViews>
  <sheetFormatPr defaultRowHeight="15" x14ac:dyDescent="0.25"/>
  <cols>
    <col min="2" max="2" width="12.85546875" bestFit="1" customWidth="1"/>
    <col min="3" max="3" width="7.140625" customWidth="1"/>
    <col min="4" max="4" width="7.42578125" customWidth="1"/>
    <col min="5" max="5" width="4.7109375" customWidth="1"/>
    <col min="6" max="6" width="5.28515625" customWidth="1"/>
    <col min="7" max="7" width="9" customWidth="1"/>
    <col min="8" max="8" width="7.140625" customWidth="1"/>
    <col min="9" max="9" width="12.140625" customWidth="1"/>
    <col min="10" max="10" width="18.140625" bestFit="1" customWidth="1"/>
    <col min="11" max="11" width="12.140625" bestFit="1" customWidth="1"/>
    <col min="12" max="12" width="14.7109375" bestFit="1" customWidth="1"/>
    <col min="13" max="13" width="2.85546875" customWidth="1"/>
    <col min="14" max="14" width="21.85546875" customWidth="1"/>
    <col min="15" max="15" width="11.28515625" customWidth="1"/>
    <col min="16" max="16" width="10" customWidth="1"/>
    <col min="17" max="18" width="10" bestFit="1" customWidth="1"/>
    <col min="19" max="19" width="9.7109375" customWidth="1"/>
  </cols>
  <sheetData>
    <row r="1" spans="1:19" ht="42" customHeight="1" thickBot="1" x14ac:dyDescent="0.3">
      <c r="A1" s="152" t="s">
        <v>22</v>
      </c>
      <c r="B1" s="152" t="s">
        <v>7</v>
      </c>
      <c r="C1" s="152" t="s">
        <v>23</v>
      </c>
      <c r="D1" s="152" t="s">
        <v>24</v>
      </c>
      <c r="E1" s="152" t="s">
        <v>120</v>
      </c>
      <c r="F1" s="152" t="s">
        <v>119</v>
      </c>
      <c r="G1" s="152" t="s">
        <v>26</v>
      </c>
      <c r="H1" s="152" t="s">
        <v>25</v>
      </c>
      <c r="I1" s="152" t="s">
        <v>27</v>
      </c>
      <c r="J1" s="152" t="s">
        <v>28</v>
      </c>
      <c r="K1" s="152" t="s">
        <v>6</v>
      </c>
      <c r="L1" s="152" t="s">
        <v>2</v>
      </c>
      <c r="N1" s="153" t="s">
        <v>30</v>
      </c>
    </row>
    <row r="2" spans="1:19" x14ac:dyDescent="0.25">
      <c r="A2" s="135">
        <v>46138</v>
      </c>
      <c r="B2" t="s">
        <v>116</v>
      </c>
      <c r="C2">
        <v>33088</v>
      </c>
      <c r="D2">
        <v>31</v>
      </c>
      <c r="E2">
        <v>519</v>
      </c>
      <c r="G2" s="89">
        <v>49080</v>
      </c>
      <c r="H2">
        <f>Table7[[#This Row],[Weight KG]]/1000</f>
        <v>49.08</v>
      </c>
      <c r="I2">
        <v>1000000041</v>
      </c>
      <c r="J2" t="s">
        <v>107</v>
      </c>
      <c r="K2">
        <v>4500002362</v>
      </c>
      <c r="L2" t="s">
        <v>122</v>
      </c>
      <c r="N2" s="25" t="s">
        <v>7</v>
      </c>
      <c r="O2" t="s">
        <v>32</v>
      </c>
      <c r="P2" t="s">
        <v>37</v>
      </c>
      <c r="Q2" t="s">
        <v>123</v>
      </c>
      <c r="R2" t="s">
        <v>124</v>
      </c>
      <c r="S2" t="s">
        <v>33</v>
      </c>
    </row>
    <row r="3" spans="1:19" x14ac:dyDescent="0.25">
      <c r="A3" s="135">
        <v>46138</v>
      </c>
      <c r="B3" t="s">
        <v>116</v>
      </c>
      <c r="C3">
        <v>33079</v>
      </c>
      <c r="D3">
        <v>60</v>
      </c>
      <c r="E3">
        <v>490</v>
      </c>
      <c r="G3" s="89">
        <v>48940</v>
      </c>
      <c r="H3">
        <f>Table7[[#This Row],[Weight KG]]/1000</f>
        <v>48.94</v>
      </c>
      <c r="I3">
        <v>1000000041</v>
      </c>
      <c r="J3" t="s">
        <v>107</v>
      </c>
      <c r="K3">
        <v>4500002362</v>
      </c>
      <c r="L3" t="s">
        <v>122</v>
      </c>
      <c r="N3" s="22" t="s">
        <v>116</v>
      </c>
      <c r="O3" s="55">
        <v>333.84</v>
      </c>
      <c r="P3" s="55">
        <v>111</v>
      </c>
      <c r="Q3" s="55">
        <v>1431</v>
      </c>
      <c r="R3" s="55">
        <v>3986</v>
      </c>
      <c r="S3" s="55">
        <v>7</v>
      </c>
    </row>
    <row r="4" spans="1:19" x14ac:dyDescent="0.25">
      <c r="A4" s="135">
        <v>46138</v>
      </c>
      <c r="B4" t="s">
        <v>116</v>
      </c>
      <c r="C4">
        <v>33085</v>
      </c>
      <c r="D4">
        <v>20</v>
      </c>
      <c r="E4">
        <v>420</v>
      </c>
      <c r="F4">
        <v>165</v>
      </c>
      <c r="G4" s="89">
        <v>46920</v>
      </c>
      <c r="H4">
        <f>Table7[[#This Row],[Weight KG]]/1000</f>
        <v>46.92</v>
      </c>
      <c r="I4">
        <v>1000000041</v>
      </c>
      <c r="J4" t="s">
        <v>107</v>
      </c>
      <c r="K4">
        <v>4500002362</v>
      </c>
      <c r="L4" t="s">
        <v>122</v>
      </c>
      <c r="N4" s="23" t="s">
        <v>107</v>
      </c>
      <c r="O4" s="55">
        <v>333.84</v>
      </c>
      <c r="P4" s="55">
        <v>111</v>
      </c>
      <c r="Q4" s="55">
        <v>1431</v>
      </c>
      <c r="R4" s="55">
        <v>3986</v>
      </c>
      <c r="S4" s="55">
        <v>7</v>
      </c>
    </row>
    <row r="5" spans="1:19" x14ac:dyDescent="0.25">
      <c r="A5" s="135">
        <v>46141</v>
      </c>
      <c r="B5" t="s">
        <v>116</v>
      </c>
      <c r="C5">
        <v>34015</v>
      </c>
      <c r="F5">
        <v>1027</v>
      </c>
      <c r="G5" s="89">
        <v>48660</v>
      </c>
      <c r="H5">
        <f>Table7[[#This Row],[Weight KG]]/1000</f>
        <v>48.66</v>
      </c>
      <c r="I5">
        <v>1000000041</v>
      </c>
      <c r="J5" t="s">
        <v>107</v>
      </c>
      <c r="K5">
        <v>4500002362</v>
      </c>
      <c r="L5" t="s">
        <v>122</v>
      </c>
      <c r="N5" s="105" t="s">
        <v>125</v>
      </c>
      <c r="O5" s="55">
        <v>333.84</v>
      </c>
      <c r="P5" s="55">
        <v>111</v>
      </c>
      <c r="Q5" s="55">
        <v>1431</v>
      </c>
      <c r="R5" s="55">
        <v>3986</v>
      </c>
      <c r="S5" s="55">
        <v>7</v>
      </c>
    </row>
    <row r="6" spans="1:19" x14ac:dyDescent="0.25">
      <c r="A6" s="135">
        <v>46145</v>
      </c>
      <c r="B6" t="s">
        <v>116</v>
      </c>
      <c r="C6">
        <v>32441</v>
      </c>
      <c r="F6">
        <v>951</v>
      </c>
      <c r="G6" s="89">
        <v>46900</v>
      </c>
      <c r="H6">
        <f>Table7[[#This Row],[Weight KG]]/1000</f>
        <v>46.9</v>
      </c>
      <c r="I6">
        <v>1000000041</v>
      </c>
      <c r="J6" t="s">
        <v>107</v>
      </c>
      <c r="K6">
        <v>4500002362</v>
      </c>
      <c r="L6" t="s">
        <v>122</v>
      </c>
      <c r="N6" s="22" t="s">
        <v>34</v>
      </c>
      <c r="O6" s="55">
        <v>333.84</v>
      </c>
      <c r="P6" s="55">
        <v>111</v>
      </c>
      <c r="Q6" s="55">
        <v>1431</v>
      </c>
      <c r="R6" s="55">
        <v>3986</v>
      </c>
      <c r="S6" s="55">
        <v>7</v>
      </c>
    </row>
    <row r="7" spans="1:19" x14ac:dyDescent="0.25">
      <c r="A7" s="135">
        <v>46145</v>
      </c>
      <c r="B7" t="s">
        <v>116</v>
      </c>
      <c r="C7">
        <v>29190</v>
      </c>
      <c r="E7">
        <v>2</v>
      </c>
      <c r="F7">
        <v>892</v>
      </c>
      <c r="G7" s="89">
        <v>47960</v>
      </c>
      <c r="H7">
        <f>Table7[[#This Row],[Weight KG]]/1000</f>
        <v>47.96</v>
      </c>
      <c r="I7">
        <v>1000000041</v>
      </c>
      <c r="J7" t="s">
        <v>107</v>
      </c>
      <c r="K7">
        <v>4500002362</v>
      </c>
      <c r="L7" t="s">
        <v>122</v>
      </c>
    </row>
    <row r="8" spans="1:19" x14ac:dyDescent="0.25">
      <c r="A8" s="135">
        <v>46145</v>
      </c>
      <c r="B8" t="s">
        <v>116</v>
      </c>
      <c r="C8">
        <v>274922</v>
      </c>
      <c r="F8">
        <v>951</v>
      </c>
      <c r="G8" s="89">
        <v>45380</v>
      </c>
      <c r="H8">
        <f>Table7[[#This Row],[Weight KG]]/1000</f>
        <v>45.38</v>
      </c>
      <c r="I8">
        <v>1000000041</v>
      </c>
      <c r="J8" t="s">
        <v>107</v>
      </c>
      <c r="K8">
        <v>4500002362</v>
      </c>
      <c r="L8" t="s">
        <v>122</v>
      </c>
    </row>
  </sheetData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showGridLines="0" workbookViewId="0">
      <selection activeCell="L13" sqref="L13"/>
    </sheetView>
  </sheetViews>
  <sheetFormatPr defaultRowHeight="15" x14ac:dyDescent="0.25"/>
  <cols>
    <col min="2" max="2" width="12.28515625" customWidth="1"/>
    <col min="3" max="3" width="7" customWidth="1"/>
    <col min="4" max="4" width="6.42578125" customWidth="1"/>
    <col min="5" max="6" width="8.140625" customWidth="1"/>
    <col min="7" max="7" width="11" customWidth="1"/>
    <col min="8" max="8" width="17.85546875" customWidth="1"/>
    <col min="9" max="9" width="11" bestFit="1" customWidth="1"/>
    <col min="10" max="10" width="20.140625" bestFit="1" customWidth="1"/>
    <col min="11" max="11" width="3.85546875" customWidth="1"/>
    <col min="12" max="12" width="18.42578125" customWidth="1"/>
    <col min="13" max="13" width="11.28515625" bestFit="1" customWidth="1"/>
    <col min="14" max="14" width="9.42578125" bestFit="1" customWidth="1"/>
    <col min="15" max="15" width="9.7109375" bestFit="1" customWidth="1"/>
  </cols>
  <sheetData>
    <row r="1" spans="1:15" ht="46.5" customHeight="1" thickBot="1" x14ac:dyDescent="0.3">
      <c r="A1" s="180" t="s">
        <v>22</v>
      </c>
      <c r="B1" s="180" t="s">
        <v>7</v>
      </c>
      <c r="C1" s="180" t="s">
        <v>23</v>
      </c>
      <c r="D1" s="180" t="s">
        <v>148</v>
      </c>
      <c r="E1" s="180" t="s">
        <v>26</v>
      </c>
      <c r="F1" s="180" t="s">
        <v>25</v>
      </c>
      <c r="G1" s="180" t="s">
        <v>27</v>
      </c>
      <c r="H1" s="180" t="s">
        <v>28</v>
      </c>
      <c r="I1" s="180" t="s">
        <v>6</v>
      </c>
      <c r="J1" s="180" t="s">
        <v>2</v>
      </c>
      <c r="L1" s="181" t="s">
        <v>30</v>
      </c>
    </row>
    <row r="2" spans="1:15" x14ac:dyDescent="0.25">
      <c r="A2" s="135">
        <v>46208</v>
      </c>
      <c r="B2" t="s">
        <v>147</v>
      </c>
      <c r="C2">
        <v>23561</v>
      </c>
      <c r="D2">
        <v>856</v>
      </c>
      <c r="E2" s="89">
        <v>61250</v>
      </c>
      <c r="F2">
        <f>Table8[[#This Row],[Weight KG]]/1000</f>
        <v>61.25</v>
      </c>
      <c r="G2">
        <v>1000000033</v>
      </c>
      <c r="H2" t="s">
        <v>107</v>
      </c>
      <c r="I2">
        <v>4500006403</v>
      </c>
      <c r="J2" t="s">
        <v>149</v>
      </c>
      <c r="L2" s="25" t="s">
        <v>150</v>
      </c>
      <c r="M2" t="s">
        <v>32</v>
      </c>
      <c r="N2" t="s">
        <v>151</v>
      </c>
      <c r="O2" t="s">
        <v>33</v>
      </c>
    </row>
    <row r="3" spans="1:15" x14ac:dyDescent="0.25">
      <c r="A3" s="135">
        <v>46209</v>
      </c>
      <c r="B3" t="s">
        <v>147</v>
      </c>
      <c r="C3">
        <v>80162</v>
      </c>
      <c r="D3">
        <v>875</v>
      </c>
      <c r="E3" s="89">
        <v>63890</v>
      </c>
      <c r="F3">
        <f>Table8[[#This Row],[Weight KG]]/1000</f>
        <v>63.89</v>
      </c>
      <c r="G3">
        <v>1000000033</v>
      </c>
      <c r="H3" t="s">
        <v>107</v>
      </c>
      <c r="I3">
        <v>4500006403</v>
      </c>
      <c r="J3" t="s">
        <v>149</v>
      </c>
      <c r="L3" s="22" t="s">
        <v>147</v>
      </c>
      <c r="M3" s="55">
        <v>245.24700000000001</v>
      </c>
      <c r="N3" s="29">
        <v>3420</v>
      </c>
      <c r="O3" s="29">
        <v>4</v>
      </c>
    </row>
    <row r="4" spans="1:15" x14ac:dyDescent="0.25">
      <c r="A4" s="135">
        <v>46209</v>
      </c>
      <c r="B4" t="s">
        <v>147</v>
      </c>
      <c r="C4">
        <v>8478</v>
      </c>
      <c r="D4">
        <v>823</v>
      </c>
      <c r="E4" s="89">
        <v>56790</v>
      </c>
      <c r="F4">
        <f>Table8[[#This Row],[Weight KG]]/1000</f>
        <v>56.79</v>
      </c>
      <c r="G4">
        <v>1000000033</v>
      </c>
      <c r="H4" t="s">
        <v>107</v>
      </c>
      <c r="I4">
        <v>4500006403</v>
      </c>
      <c r="J4" t="s">
        <v>149</v>
      </c>
      <c r="L4" s="23" t="s">
        <v>152</v>
      </c>
      <c r="M4" s="55">
        <v>245.24700000000001</v>
      </c>
      <c r="N4" s="29">
        <v>3420</v>
      </c>
      <c r="O4" s="29">
        <v>4</v>
      </c>
    </row>
    <row r="5" spans="1:15" x14ac:dyDescent="0.25">
      <c r="A5" s="135">
        <v>46210</v>
      </c>
      <c r="B5" t="s">
        <v>147</v>
      </c>
      <c r="C5">
        <v>7595</v>
      </c>
      <c r="D5">
        <v>866</v>
      </c>
      <c r="E5" s="89">
        <v>63317</v>
      </c>
      <c r="F5">
        <f>Table8[[#This Row],[Weight KG]]/1000</f>
        <v>63.317</v>
      </c>
      <c r="G5">
        <v>1000000033</v>
      </c>
      <c r="H5" t="s">
        <v>107</v>
      </c>
      <c r="I5">
        <v>4500006403</v>
      </c>
      <c r="J5" t="s">
        <v>149</v>
      </c>
      <c r="L5" s="22" t="s">
        <v>34</v>
      </c>
      <c r="M5" s="55">
        <v>245.24700000000001</v>
      </c>
      <c r="N5" s="29">
        <v>3420</v>
      </c>
      <c r="O5" s="29">
        <v>4</v>
      </c>
    </row>
  </sheetData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activeCell="B9" sqref="B9"/>
    </sheetView>
  </sheetViews>
  <sheetFormatPr defaultRowHeight="15" x14ac:dyDescent="0.25"/>
  <cols>
    <col min="1" max="1" width="6.5703125" bestFit="1" customWidth="1"/>
    <col min="2" max="2" width="11" bestFit="1" customWidth="1"/>
    <col min="3" max="3" width="25.140625" bestFit="1" customWidth="1"/>
    <col min="4" max="4" width="31" bestFit="1" customWidth="1"/>
    <col min="5" max="5" width="13.28515625" bestFit="1" customWidth="1"/>
    <col min="6" max="6" width="11" bestFit="1" customWidth="1"/>
    <col min="7" max="7" width="15.7109375" bestFit="1" customWidth="1"/>
    <col min="8" max="8" width="18.28515625" bestFit="1" customWidth="1"/>
    <col min="9" max="9" width="10.85546875" bestFit="1" customWidth="1"/>
    <col min="10" max="10" width="10.140625" bestFit="1" customWidth="1"/>
    <col min="11" max="11" width="9.7109375" bestFit="1" customWidth="1"/>
  </cols>
  <sheetData>
    <row r="1" spans="1:12" ht="15.75" thickBot="1" x14ac:dyDescent="0.3">
      <c r="A1" s="37" t="s">
        <v>40</v>
      </c>
      <c r="B1" s="38" t="s">
        <v>6</v>
      </c>
      <c r="C1" s="38" t="s">
        <v>2</v>
      </c>
      <c r="D1" s="38" t="s">
        <v>28</v>
      </c>
      <c r="E1" s="38" t="s">
        <v>41</v>
      </c>
      <c r="F1" s="38" t="s">
        <v>42</v>
      </c>
      <c r="G1" s="38" t="s">
        <v>43</v>
      </c>
      <c r="H1" s="38" t="s">
        <v>44</v>
      </c>
      <c r="I1" s="38" t="s">
        <v>45</v>
      </c>
      <c r="J1" s="38" t="s">
        <v>46</v>
      </c>
      <c r="K1" s="38" t="s">
        <v>47</v>
      </c>
      <c r="L1" s="165" t="s">
        <v>138</v>
      </c>
    </row>
    <row r="2" spans="1:12" ht="15.75" thickBot="1" x14ac:dyDescent="0.3">
      <c r="A2" s="39">
        <v>1</v>
      </c>
      <c r="B2" s="40">
        <v>1763</v>
      </c>
      <c r="C2" s="40" t="s">
        <v>48</v>
      </c>
      <c r="D2" s="40" t="s">
        <v>49</v>
      </c>
      <c r="E2" s="40" t="s">
        <v>16</v>
      </c>
      <c r="F2" s="40" t="s">
        <v>50</v>
      </c>
      <c r="G2" s="40" t="s">
        <v>51</v>
      </c>
      <c r="H2" s="41" t="s">
        <v>52</v>
      </c>
      <c r="I2" s="40" t="s">
        <v>53</v>
      </c>
      <c r="J2" s="40" t="s">
        <v>54</v>
      </c>
      <c r="K2" s="40" t="s">
        <v>55</v>
      </c>
      <c r="L2" s="40"/>
    </row>
    <row r="3" spans="1:12" ht="15.75" thickBot="1" x14ac:dyDescent="0.3">
      <c r="A3" s="39">
        <v>2</v>
      </c>
      <c r="B3" s="40">
        <v>1765</v>
      </c>
      <c r="C3" s="40" t="s">
        <v>56</v>
      </c>
      <c r="D3" s="40" t="s">
        <v>57</v>
      </c>
      <c r="E3" s="40" t="s">
        <v>58</v>
      </c>
      <c r="F3" s="40" t="s">
        <v>50</v>
      </c>
      <c r="G3" s="40" t="s">
        <v>51</v>
      </c>
      <c r="H3" s="41" t="s">
        <v>59</v>
      </c>
      <c r="I3" s="40"/>
      <c r="J3" s="40" t="s">
        <v>54</v>
      </c>
      <c r="K3" s="40" t="s">
        <v>60</v>
      </c>
      <c r="L3" s="40"/>
    </row>
    <row r="4" spans="1:12" ht="15.75" thickBot="1" x14ac:dyDescent="0.3">
      <c r="A4" s="39">
        <v>3</v>
      </c>
      <c r="B4" s="40">
        <v>4500000001</v>
      </c>
      <c r="C4" s="40" t="s">
        <v>61</v>
      </c>
      <c r="D4" s="40" t="s">
        <v>49</v>
      </c>
      <c r="E4" s="40" t="s">
        <v>16</v>
      </c>
      <c r="F4" s="40">
        <v>5000</v>
      </c>
      <c r="G4" s="40" t="s">
        <v>51</v>
      </c>
      <c r="H4" s="41" t="s">
        <v>62</v>
      </c>
      <c r="I4" s="40" t="s">
        <v>63</v>
      </c>
      <c r="J4" s="40" t="s">
        <v>16</v>
      </c>
      <c r="K4" s="40" t="s">
        <v>55</v>
      </c>
      <c r="L4" s="40"/>
    </row>
    <row r="5" spans="1:12" ht="15.75" thickBot="1" x14ac:dyDescent="0.3">
      <c r="A5" s="39">
        <v>4</v>
      </c>
      <c r="B5" s="40">
        <v>4500000293</v>
      </c>
      <c r="C5" s="40" t="s">
        <v>61</v>
      </c>
      <c r="D5" s="40" t="s">
        <v>49</v>
      </c>
      <c r="E5" s="40" t="s">
        <v>16</v>
      </c>
      <c r="F5" s="40">
        <v>2500</v>
      </c>
      <c r="G5" s="40" t="s">
        <v>51</v>
      </c>
      <c r="H5" s="41" t="s">
        <v>62</v>
      </c>
      <c r="I5" s="40" t="s">
        <v>63</v>
      </c>
      <c r="J5" s="40" t="s">
        <v>16</v>
      </c>
      <c r="K5" s="40" t="s">
        <v>55</v>
      </c>
      <c r="L5" s="40"/>
    </row>
    <row r="6" spans="1:12" ht="15.75" thickBot="1" x14ac:dyDescent="0.3">
      <c r="A6" s="39">
        <v>5</v>
      </c>
      <c r="B6" s="192">
        <v>4500000294</v>
      </c>
      <c r="C6" s="40" t="s">
        <v>65</v>
      </c>
      <c r="D6" s="192" t="s">
        <v>49</v>
      </c>
      <c r="E6" s="192" t="s">
        <v>16</v>
      </c>
      <c r="F6" s="40">
        <v>480</v>
      </c>
      <c r="G6" s="192" t="s">
        <v>51</v>
      </c>
      <c r="H6" s="41" t="s">
        <v>62</v>
      </c>
      <c r="I6" s="40" t="s">
        <v>63</v>
      </c>
      <c r="J6" s="40" t="s">
        <v>16</v>
      </c>
      <c r="K6" s="40" t="s">
        <v>55</v>
      </c>
      <c r="L6" s="40"/>
    </row>
    <row r="7" spans="1:12" ht="15.75" thickBot="1" x14ac:dyDescent="0.3">
      <c r="A7" s="39"/>
      <c r="B7" s="193"/>
      <c r="C7" s="40" t="s">
        <v>61</v>
      </c>
      <c r="D7" s="193"/>
      <c r="E7" s="193"/>
      <c r="F7" s="40">
        <v>2020</v>
      </c>
      <c r="G7" s="193"/>
      <c r="H7" s="41" t="s">
        <v>62</v>
      </c>
      <c r="I7" s="40" t="s">
        <v>63</v>
      </c>
      <c r="J7" s="40" t="s">
        <v>16</v>
      </c>
      <c r="K7" s="40" t="s">
        <v>55</v>
      </c>
      <c r="L7" s="40"/>
    </row>
    <row r="8" spans="1:12" ht="15.75" thickBot="1" x14ac:dyDescent="0.3">
      <c r="A8" s="39">
        <v>6</v>
      </c>
      <c r="B8" s="40">
        <v>4500000319</v>
      </c>
      <c r="C8" s="40" t="s">
        <v>66</v>
      </c>
      <c r="D8" s="40" t="s">
        <v>67</v>
      </c>
      <c r="E8" s="40" t="s">
        <v>68</v>
      </c>
      <c r="F8" s="40">
        <v>170</v>
      </c>
      <c r="G8" s="40" t="s">
        <v>51</v>
      </c>
      <c r="H8" s="41" t="s">
        <v>59</v>
      </c>
      <c r="I8" s="40"/>
      <c r="J8" s="40" t="s">
        <v>68</v>
      </c>
      <c r="K8" s="40" t="s">
        <v>64</v>
      </c>
      <c r="L8" s="40"/>
    </row>
    <row r="9" spans="1:12" ht="15.75" thickBot="1" x14ac:dyDescent="0.3">
      <c r="A9" s="39">
        <v>7</v>
      </c>
      <c r="B9" s="40">
        <v>4500000384</v>
      </c>
      <c r="C9" s="40" t="s">
        <v>69</v>
      </c>
      <c r="D9" s="40" t="s">
        <v>49</v>
      </c>
      <c r="E9" s="40" t="s">
        <v>16</v>
      </c>
      <c r="F9" s="40">
        <v>1000</v>
      </c>
      <c r="G9" s="40" t="s">
        <v>51</v>
      </c>
      <c r="H9" s="41" t="s">
        <v>78</v>
      </c>
      <c r="I9" s="40" t="s">
        <v>79</v>
      </c>
      <c r="J9" s="40" t="s">
        <v>16</v>
      </c>
      <c r="K9" s="40" t="s">
        <v>55</v>
      </c>
      <c r="L9" s="40"/>
    </row>
    <row r="10" spans="1:12" ht="15.75" thickBot="1" x14ac:dyDescent="0.3">
      <c r="A10" s="39">
        <v>8</v>
      </c>
      <c r="B10" s="40">
        <v>4500000567</v>
      </c>
      <c r="C10" s="40" t="s">
        <v>61</v>
      </c>
      <c r="D10" s="40" t="s">
        <v>49</v>
      </c>
      <c r="E10" s="40" t="s">
        <v>16</v>
      </c>
      <c r="F10" s="40">
        <v>2100</v>
      </c>
      <c r="G10" s="40" t="s">
        <v>51</v>
      </c>
      <c r="H10" s="41" t="s">
        <v>93</v>
      </c>
      <c r="I10" s="40" t="s">
        <v>94</v>
      </c>
      <c r="J10" s="40" t="s">
        <v>16</v>
      </c>
      <c r="K10" s="40" t="s">
        <v>55</v>
      </c>
      <c r="L10" s="40"/>
    </row>
    <row r="11" spans="1:12" ht="15.75" thickBot="1" x14ac:dyDescent="0.3">
      <c r="A11" s="39">
        <v>9</v>
      </c>
      <c r="B11" s="40">
        <v>4500001484</v>
      </c>
      <c r="C11" s="40" t="s">
        <v>98</v>
      </c>
      <c r="D11" s="40" t="s">
        <v>95</v>
      </c>
      <c r="E11" s="40" t="s">
        <v>96</v>
      </c>
      <c r="F11" s="40">
        <v>15000</v>
      </c>
      <c r="G11" s="40" t="s">
        <v>121</v>
      </c>
      <c r="H11" s="41" t="s">
        <v>130</v>
      </c>
      <c r="I11" s="40" t="s">
        <v>131</v>
      </c>
      <c r="J11" s="40" t="s">
        <v>54</v>
      </c>
      <c r="K11" s="40" t="s">
        <v>64</v>
      </c>
      <c r="L11" s="40"/>
    </row>
    <row r="12" spans="1:12" ht="15.75" thickBot="1" x14ac:dyDescent="0.3">
      <c r="A12" s="39">
        <v>10</v>
      </c>
      <c r="B12" s="40">
        <v>4500001491</v>
      </c>
      <c r="C12" s="40" t="s">
        <v>69</v>
      </c>
      <c r="D12" s="40" t="s">
        <v>49</v>
      </c>
      <c r="E12" s="40" t="s">
        <v>16</v>
      </c>
      <c r="F12" s="40">
        <v>319</v>
      </c>
      <c r="G12" s="40" t="s">
        <v>51</v>
      </c>
      <c r="H12" s="41" t="s">
        <v>78</v>
      </c>
      <c r="I12" s="40" t="s">
        <v>79</v>
      </c>
      <c r="J12" s="40" t="s">
        <v>16</v>
      </c>
      <c r="K12" s="40" t="s">
        <v>55</v>
      </c>
      <c r="L12" s="40"/>
    </row>
    <row r="13" spans="1:12" ht="15.75" thickBot="1" x14ac:dyDescent="0.3">
      <c r="A13" s="39">
        <v>11</v>
      </c>
      <c r="B13" s="40">
        <v>4500001652</v>
      </c>
      <c r="C13" s="40" t="s">
        <v>98</v>
      </c>
      <c r="D13" s="40" t="s">
        <v>67</v>
      </c>
      <c r="E13" s="40" t="s">
        <v>68</v>
      </c>
      <c r="F13" s="40">
        <v>10400</v>
      </c>
      <c r="G13" s="40" t="s">
        <v>121</v>
      </c>
      <c r="H13" s="41" t="s">
        <v>130</v>
      </c>
      <c r="I13" s="40" t="s">
        <v>131</v>
      </c>
      <c r="J13" s="40" t="s">
        <v>54</v>
      </c>
      <c r="K13" s="40" t="s">
        <v>64</v>
      </c>
      <c r="L13" s="40"/>
    </row>
    <row r="14" spans="1:12" ht="15.75" thickBot="1" x14ac:dyDescent="0.3">
      <c r="A14" s="39">
        <v>12</v>
      </c>
      <c r="B14" s="40">
        <v>4500001654</v>
      </c>
      <c r="C14" s="40" t="s">
        <v>98</v>
      </c>
      <c r="D14" s="40" t="s">
        <v>57</v>
      </c>
      <c r="E14" s="40" t="s">
        <v>68</v>
      </c>
      <c r="F14" s="40">
        <v>12000</v>
      </c>
      <c r="G14" s="40" t="s">
        <v>121</v>
      </c>
      <c r="H14" s="41" t="s">
        <v>130</v>
      </c>
      <c r="I14" s="40" t="s">
        <v>131</v>
      </c>
      <c r="J14" s="40" t="s">
        <v>54</v>
      </c>
      <c r="K14" s="40" t="s">
        <v>64</v>
      </c>
      <c r="L14" s="40"/>
    </row>
    <row r="15" spans="1:12" ht="15.75" thickBot="1" x14ac:dyDescent="0.3">
      <c r="A15" s="39">
        <v>13</v>
      </c>
      <c r="B15" s="40">
        <v>4500001655</v>
      </c>
      <c r="C15" s="40" t="s">
        <v>69</v>
      </c>
      <c r="D15" s="40" t="s">
        <v>49</v>
      </c>
      <c r="E15" s="40" t="s">
        <v>16</v>
      </c>
      <c r="F15" s="40">
        <v>340</v>
      </c>
      <c r="G15" s="40" t="s">
        <v>51</v>
      </c>
      <c r="H15" s="41" t="s">
        <v>132</v>
      </c>
      <c r="I15" s="40" t="s">
        <v>133</v>
      </c>
      <c r="J15" s="40" t="s">
        <v>54</v>
      </c>
      <c r="K15" s="40" t="s">
        <v>55</v>
      </c>
      <c r="L15" s="40"/>
    </row>
    <row r="16" spans="1:12" ht="15.75" thickBot="1" x14ac:dyDescent="0.3">
      <c r="A16" s="39">
        <v>14</v>
      </c>
      <c r="B16" s="40">
        <v>4500002146</v>
      </c>
      <c r="C16" s="40" t="s">
        <v>98</v>
      </c>
      <c r="D16" s="40" t="s">
        <v>49</v>
      </c>
      <c r="E16" s="40" t="s">
        <v>99</v>
      </c>
      <c r="F16" s="40">
        <v>200</v>
      </c>
      <c r="G16" s="40" t="s">
        <v>51</v>
      </c>
      <c r="H16" s="41" t="s">
        <v>130</v>
      </c>
      <c r="I16" s="40" t="s">
        <v>131</v>
      </c>
      <c r="J16" s="40" t="s">
        <v>54</v>
      </c>
      <c r="K16" s="40" t="s">
        <v>55</v>
      </c>
      <c r="L16" s="40"/>
    </row>
    <row r="17" spans="1:12" ht="15.75" thickBot="1" x14ac:dyDescent="0.3">
      <c r="A17" s="39">
        <v>15</v>
      </c>
      <c r="B17" s="40">
        <v>4500002362</v>
      </c>
      <c r="C17" s="40" t="s">
        <v>56</v>
      </c>
      <c r="D17" s="40" t="s">
        <v>57</v>
      </c>
      <c r="E17" s="40" t="s">
        <v>58</v>
      </c>
      <c r="F17" s="40">
        <v>315</v>
      </c>
      <c r="G17" s="40" t="s">
        <v>51</v>
      </c>
      <c r="H17" s="41" t="s">
        <v>132</v>
      </c>
      <c r="I17" s="40" t="s">
        <v>133</v>
      </c>
      <c r="J17" s="40" t="s">
        <v>54</v>
      </c>
      <c r="K17" s="40" t="s">
        <v>64</v>
      </c>
      <c r="L17" s="40"/>
    </row>
    <row r="18" spans="1:12" ht="15.75" thickBot="1" x14ac:dyDescent="0.3">
      <c r="A18" s="39">
        <v>16</v>
      </c>
      <c r="B18" s="40">
        <v>4500005740</v>
      </c>
      <c r="C18" s="40" t="s">
        <v>66</v>
      </c>
      <c r="D18" s="40" t="s">
        <v>67</v>
      </c>
      <c r="E18" s="40" t="s">
        <v>68</v>
      </c>
      <c r="F18" s="40" t="s">
        <v>134</v>
      </c>
      <c r="G18" s="40" t="s">
        <v>51</v>
      </c>
      <c r="H18" s="41"/>
      <c r="I18" s="40"/>
      <c r="J18" s="40" t="s">
        <v>68</v>
      </c>
      <c r="K18" s="40" t="s">
        <v>64</v>
      </c>
      <c r="L18" s="40"/>
    </row>
    <row r="19" spans="1:12" ht="15.75" thickBot="1" x14ac:dyDescent="0.3">
      <c r="A19" s="39">
        <v>17</v>
      </c>
      <c r="B19" s="40">
        <v>4500005939</v>
      </c>
      <c r="C19" s="40" t="s">
        <v>98</v>
      </c>
      <c r="D19" s="40" t="s">
        <v>57</v>
      </c>
      <c r="E19" s="40" t="s">
        <v>96</v>
      </c>
      <c r="F19" s="40" t="s">
        <v>135</v>
      </c>
      <c r="G19" s="40" t="s">
        <v>121</v>
      </c>
      <c r="H19" s="41" t="s">
        <v>130</v>
      </c>
      <c r="I19" s="40" t="s">
        <v>131</v>
      </c>
      <c r="J19" s="40" t="s">
        <v>54</v>
      </c>
      <c r="K19" s="40" t="s">
        <v>64</v>
      </c>
      <c r="L19" s="40"/>
    </row>
    <row r="20" spans="1:12" ht="15.75" thickBot="1" x14ac:dyDescent="0.3">
      <c r="A20" s="39">
        <v>18</v>
      </c>
      <c r="B20" s="40">
        <v>4500006403</v>
      </c>
      <c r="C20" s="40" t="s">
        <v>139</v>
      </c>
      <c r="D20" s="40" t="s">
        <v>57</v>
      </c>
      <c r="E20" s="40" t="s">
        <v>58</v>
      </c>
      <c r="F20" s="40" t="s">
        <v>140</v>
      </c>
      <c r="G20" s="40" t="s">
        <v>51</v>
      </c>
      <c r="H20" s="41"/>
      <c r="I20" s="40"/>
      <c r="J20" s="40" t="s">
        <v>141</v>
      </c>
      <c r="K20" s="40" t="s">
        <v>64</v>
      </c>
      <c r="L20" s="40"/>
    </row>
  </sheetData>
  <autoFilter ref="A1:K20"/>
  <mergeCells count="4">
    <mergeCell ref="B6:B7"/>
    <mergeCell ref="D6:D7"/>
    <mergeCell ref="E6:E7"/>
    <mergeCell ref="G6:G7"/>
  </mergeCells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5"/>
  <sheetViews>
    <sheetView workbookViewId="0">
      <selection activeCell="E18" sqref="E18"/>
    </sheetView>
  </sheetViews>
  <sheetFormatPr defaultRowHeight="15" x14ac:dyDescent="0.25"/>
  <cols>
    <col min="2" max="2" width="11" bestFit="1" customWidth="1"/>
    <col min="3" max="3" width="13.140625" bestFit="1" customWidth="1"/>
  </cols>
  <sheetData>
    <row r="3" spans="2:3" x14ac:dyDescent="0.25">
      <c r="B3">
        <v>1000000037</v>
      </c>
      <c r="C3" t="s">
        <v>61</v>
      </c>
    </row>
    <row r="4" spans="2:3" x14ac:dyDescent="0.25">
      <c r="B4">
        <v>1000000040</v>
      </c>
      <c r="C4" t="s">
        <v>73</v>
      </c>
    </row>
    <row r="5" spans="2:3" x14ac:dyDescent="0.25">
      <c r="B5">
        <v>4000000232</v>
      </c>
      <c r="C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GS</vt:lpstr>
      <vt:lpstr>Sorghum</vt:lpstr>
      <vt:lpstr>Pigeon Peas</vt:lpstr>
      <vt:lpstr>WSNG</vt:lpstr>
      <vt:lpstr>Gum Arabic</vt:lpstr>
      <vt:lpstr>PO#</vt:lpstr>
      <vt:lpstr>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Zeinab Amir Yahia Gamal</dc:creator>
  <cp:lastModifiedBy>Zeinab Amir Yahia Gamal</cp:lastModifiedBy>
  <dcterms:created xsi:type="dcterms:W3CDTF">2025-12-22T14:25:02Z</dcterms:created>
  <dcterms:modified xsi:type="dcterms:W3CDTF">2026-07-29T10:31:01Z</dcterms:modified>
</cp:coreProperties>
</file>