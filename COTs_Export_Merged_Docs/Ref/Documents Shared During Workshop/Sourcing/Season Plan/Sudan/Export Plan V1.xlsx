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8_{01ED1F55-DA2D-4AE8-A802-22ECAF87467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" sheetId="2" r:id="rId1"/>
    <sheet name="Plan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E29" i="1"/>
  <c r="F29" i="1"/>
  <c r="G29" i="1"/>
  <c r="H29" i="1"/>
  <c r="I29" i="1"/>
  <c r="J29" i="1"/>
  <c r="K29" i="1"/>
  <c r="L29" i="1"/>
  <c r="D29" i="1"/>
  <c r="N29" i="1" s="1"/>
  <c r="E28" i="1"/>
  <c r="F28" i="1"/>
  <c r="G28" i="1"/>
  <c r="H28" i="1"/>
  <c r="I28" i="1"/>
  <c r="J28" i="1"/>
  <c r="K28" i="1"/>
  <c r="L28" i="1"/>
  <c r="D28" i="1"/>
  <c r="E27" i="1"/>
  <c r="F27" i="1"/>
  <c r="G27" i="1"/>
  <c r="H27" i="1"/>
  <c r="I27" i="1"/>
  <c r="J27" i="1"/>
  <c r="K27" i="1"/>
  <c r="L27" i="1"/>
  <c r="D27" i="1"/>
  <c r="E25" i="1"/>
  <c r="F25" i="1"/>
  <c r="G25" i="1"/>
  <c r="H25" i="1"/>
  <c r="I25" i="1"/>
  <c r="J25" i="1"/>
  <c r="K25" i="1"/>
  <c r="L25" i="1"/>
  <c r="E26" i="1"/>
  <c r="F26" i="1"/>
  <c r="G26" i="1"/>
  <c r="H26" i="1"/>
  <c r="I26" i="1"/>
  <c r="J26" i="1"/>
  <c r="K26" i="1"/>
  <c r="L26" i="1"/>
  <c r="D26" i="1"/>
  <c r="N26" i="1" s="1"/>
  <c r="D25" i="1"/>
  <c r="E24" i="1"/>
  <c r="F24" i="1"/>
  <c r="G24" i="1"/>
  <c r="H24" i="1"/>
  <c r="I24" i="1"/>
  <c r="J24" i="1"/>
  <c r="K24" i="1"/>
  <c r="L24" i="1"/>
  <c r="D24" i="1"/>
  <c r="D23" i="1"/>
  <c r="E23" i="1"/>
  <c r="F23" i="1"/>
  <c r="G23" i="1"/>
  <c r="H23" i="1"/>
  <c r="I23" i="1"/>
  <c r="J23" i="1"/>
  <c r="K23" i="1"/>
  <c r="L23" i="1"/>
  <c r="E20" i="1"/>
  <c r="F20" i="1"/>
  <c r="G20" i="1"/>
  <c r="H20" i="1"/>
  <c r="I20" i="1"/>
  <c r="J20" i="1"/>
  <c r="K20" i="1"/>
  <c r="L20" i="1"/>
  <c r="D20" i="1"/>
  <c r="N20" i="1" s="1"/>
  <c r="E21" i="1"/>
  <c r="F21" i="1"/>
  <c r="G21" i="1"/>
  <c r="H21" i="1"/>
  <c r="I21" i="1"/>
  <c r="J21" i="1"/>
  <c r="K21" i="1"/>
  <c r="L21" i="1"/>
  <c r="D21" i="1"/>
  <c r="N21" i="1" s="1"/>
  <c r="E22" i="1"/>
  <c r="F22" i="1"/>
  <c r="G22" i="1"/>
  <c r="H22" i="1"/>
  <c r="I22" i="1"/>
  <c r="J22" i="1"/>
  <c r="K22" i="1"/>
  <c r="L22" i="1"/>
  <c r="D22" i="1"/>
  <c r="N22" i="1" s="1"/>
  <c r="N24" i="1" l="1"/>
  <c r="N28" i="1"/>
  <c r="N23" i="1"/>
  <c r="N25" i="1"/>
  <c r="E19" i="1"/>
  <c r="F19" i="1"/>
  <c r="G19" i="1"/>
  <c r="H19" i="1"/>
  <c r="H30" i="1" s="1"/>
  <c r="I19" i="1"/>
  <c r="I30" i="1" s="1"/>
  <c r="J19" i="1"/>
  <c r="J30" i="1" s="1"/>
  <c r="K19" i="1"/>
  <c r="K30" i="1" s="1"/>
  <c r="L19" i="1"/>
  <c r="L30" i="1" s="1"/>
  <c r="D19" i="1"/>
  <c r="F30" i="1"/>
  <c r="G30" i="1"/>
  <c r="M20" i="1"/>
  <c r="M21" i="1"/>
  <c r="M22" i="1"/>
  <c r="M23" i="1"/>
  <c r="M24" i="1"/>
  <c r="M25" i="1"/>
  <c r="M26" i="1"/>
  <c r="M27" i="1"/>
  <c r="M28" i="1"/>
  <c r="M29" i="1"/>
  <c r="C30" i="1"/>
  <c r="M19" i="1" l="1"/>
  <c r="D30" i="1"/>
  <c r="N19" i="1"/>
  <c r="N30" i="1" s="1"/>
  <c r="E30" i="1"/>
  <c r="M30" i="1" s="1"/>
</calcChain>
</file>

<file path=xl/sharedStrings.xml><?xml version="1.0" encoding="utf-8"?>
<sst xmlns="http://schemas.openxmlformats.org/spreadsheetml/2006/main" count="98" uniqueCount="39">
  <si>
    <t>Commodity Group</t>
  </si>
  <si>
    <t>Commodity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</si>
  <si>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</si>
  <si>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</si>
  <si>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</si>
  <si>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</si>
  <si>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</si>
  <si>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</si>
  <si>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</si>
  <si>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</si>
  <si>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</si>
  <si>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Total QTY/MT</t>
  </si>
  <si>
    <t>Peanut Category</t>
  </si>
  <si>
    <t>Shelled-Peanut</t>
  </si>
  <si>
    <t>Sesame Category</t>
  </si>
  <si>
    <t>Gadarif Sesame</t>
  </si>
  <si>
    <t>NG-Sesame/Eastern</t>
  </si>
  <si>
    <t>Red-Sesame</t>
  </si>
  <si>
    <t>Mixed-Sesame</t>
  </si>
  <si>
    <t>Cotton Category</t>
  </si>
  <si>
    <t>Raw-Cotton</t>
  </si>
  <si>
    <t>Others</t>
  </si>
  <si>
    <t>Pigeon-Peas</t>
  </si>
  <si>
    <t>Chick-Peas</t>
  </si>
  <si>
    <t>WM-Seeds</t>
  </si>
  <si>
    <t>Gum Arabic Category</t>
  </si>
  <si>
    <t>Fresh-Talha</t>
  </si>
  <si>
    <t>Sorghum</t>
  </si>
  <si>
    <t>Total</t>
  </si>
  <si>
    <t>Purchase:</t>
  </si>
  <si>
    <t>Processing:</t>
  </si>
  <si>
    <t>July</t>
  </si>
  <si>
    <t>Location</t>
  </si>
  <si>
    <t>PZU</t>
  </si>
  <si>
    <t>Grand Total</t>
  </si>
  <si>
    <t>Column Labels</t>
  </si>
  <si>
    <t>Sum of Capacity needed</t>
  </si>
  <si>
    <t>Category</t>
  </si>
  <si>
    <t>Capacity needed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</si>
</sst>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rgb="FF9CC2E5"/>
      </left>
      <right/>
      <top style="medium">
        <color rgb="FF9CC2E5"/>
      </top>
      <bottom style="medium">
        <color rgb="FF9CC2E5"/>
      </bottom>
      <diagonal/>
    </border>
    <border>
      <left/>
      <right style="medium">
        <color rgb="FF9CC2E5"/>
      </right>
      <top style="medium">
        <color rgb="FF9CC2E5"/>
      </top>
      <bottom style="medium">
        <color rgb="FF9CC2E5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5" fontId="4" fillId="0" borderId="5" xfId="1" applyNumberFormat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 vertical="center" wrapText="1"/>
    </xf>
    <xf numFmtId="3" fontId="3" fillId="4" borderId="5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numFmt numFmtId="165" formatCode="_(* #,##0_);_(* \(#,##0\);_(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iba.migdam\Documents\CIM\This%20Is%20War\2024-2025\Sudan\Export\Plan%20V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556.605632754632" createdVersion="5" refreshedVersion="5" minRefreshableVersion="3" recordCount="11" xr:uid="{00000000-000A-0000-FFFF-FFFF2B000000}">
  <cacheSource type="worksheet">
    <worksheetSource ref="A18:O29" sheet="Plan" r:id="rId2"/>
  </cacheSource>
  <cacheFields count="15">
    <cacheField name="Commodity Group" numFmtId="0">
      <sharedItems count="6">
        <s v="Peanut Category"/>
        <s v="Sesame Category"/>
        <s v="Cotton Category"/>
        <s v="Others"/>
        <s v="Gum Arabic Category"/>
        <s v="Sorghum"/>
      </sharedItems>
    </cacheField>
    <cacheField name="Commodity" numFmtId="0">
      <sharedItems/>
    </cacheField>
    <cacheField name="October" numFmtId="0">
      <sharedItems containsNonDate="0" containsString="0" containsBlank="1"/>
    </cacheField>
    <cacheField name="November" numFmtId="165">
      <sharedItems containsSemiMixedTypes="0" containsString="0" containsNumber="1" minValue="0" maxValue="470"/>
    </cacheField>
    <cacheField name="December" numFmtId="165">
      <sharedItems containsSemiMixedTypes="0" containsString="0" containsNumber="1" minValue="0" maxValue="2820"/>
    </cacheField>
    <cacheField name="January" numFmtId="165">
      <sharedItems containsSemiMixedTypes="0" containsString="0" containsNumber="1" containsInteger="1" minValue="0" maxValue="5000"/>
    </cacheField>
    <cacheField name="February" numFmtId="165">
      <sharedItems containsSemiMixedTypes="0" containsString="0" containsNumber="1" containsInteger="1" minValue="0" maxValue="7500"/>
    </cacheField>
    <cacheField name="March" numFmtId="165">
      <sharedItems containsSemiMixedTypes="0" containsString="0" containsNumber="1" containsInteger="1" minValue="0" maxValue="7500"/>
    </cacheField>
    <cacheField name="April" numFmtId="165">
      <sharedItems containsSemiMixedTypes="0" containsString="0" containsNumber="1" containsInteger="1" minValue="0" maxValue="5000"/>
    </cacheField>
    <cacheField name="May" numFmtId="165">
      <sharedItems containsSemiMixedTypes="0" containsString="0" containsNumber="1" containsInteger="1" minValue="0" maxValue="2000"/>
    </cacheField>
    <cacheField name="June" numFmtId="165">
      <sharedItems containsSemiMixedTypes="0" containsString="0" containsNumber="1" containsInteger="1" minValue="0" maxValue="2000"/>
    </cacheField>
    <cacheField name="July" numFmtId="165">
      <sharedItems containsSemiMixedTypes="0" containsString="0" containsNumber="1" containsInteger="1" minValue="0" maxValue="1000"/>
    </cacheField>
    <cacheField name="Total QTY/MT" numFmtId="3">
      <sharedItems containsSemiMixedTypes="0" containsString="0" containsNumber="1" containsInteger="1" minValue="450" maxValue="30000"/>
    </cacheField>
    <cacheField name="Capacity needed" numFmtId="3">
      <sharedItems containsSemiMixedTypes="0" containsString="0" containsNumber="1" containsInteger="1" minValue="360" maxValue="20000"/>
    </cacheField>
    <cacheField name="Location" numFmtId="0">
      <sharedItems count="2">
        <s v="PZU"/>
        <s v="Gdarif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s v="Shelled-Peanut"/>
    <m/>
    <n v="0"/>
    <n v="425"/>
    <n v="3400"/>
    <n v="4250"/>
    <n v="4250"/>
    <n v="1700"/>
    <n v="1700"/>
    <n v="850"/>
    <n v="425"/>
    <n v="17000"/>
    <n v="11900"/>
    <x v="0"/>
  </r>
  <r>
    <x v="1"/>
    <s v="Gadarif Sesame"/>
    <m/>
    <n v="470"/>
    <n v="2820"/>
    <n v="2350"/>
    <n v="2350"/>
    <n v="1880"/>
    <n v="940"/>
    <n v="940"/>
    <n v="940"/>
    <n v="470"/>
    <n v="13160"/>
    <n v="7520"/>
    <x v="0"/>
  </r>
  <r>
    <x v="1"/>
    <s v="NG-Sesame/Eastern"/>
    <m/>
    <n v="450"/>
    <n v="900"/>
    <n v="450"/>
    <n v="0"/>
    <n v="0"/>
    <n v="0"/>
    <n v="0"/>
    <n v="0"/>
    <n v="0"/>
    <n v="1800"/>
    <n v="1800"/>
    <x v="0"/>
  </r>
  <r>
    <x v="1"/>
    <s v="Red-Sesame"/>
    <m/>
    <n v="232.5"/>
    <n v="232.5"/>
    <n v="0"/>
    <n v="0"/>
    <n v="0"/>
    <n v="0"/>
    <n v="0"/>
    <n v="0"/>
    <n v="0"/>
    <n v="465"/>
    <n v="465"/>
    <x v="0"/>
  </r>
  <r>
    <x v="1"/>
    <s v="Mixed-Sesame"/>
    <m/>
    <n v="232.5"/>
    <n v="232.5"/>
    <n v="0"/>
    <n v="0"/>
    <n v="0"/>
    <n v="0"/>
    <n v="0"/>
    <n v="0"/>
    <n v="0"/>
    <n v="465"/>
    <n v="465"/>
    <x v="0"/>
  </r>
  <r>
    <x v="2"/>
    <s v="Raw-Cotton"/>
    <m/>
    <n v="0"/>
    <n v="0"/>
    <n v="100"/>
    <n v="300"/>
    <n v="400"/>
    <n v="200"/>
    <n v="200"/>
    <n v="0"/>
    <n v="0"/>
    <n v="1200"/>
    <n v="900"/>
    <x v="0"/>
  </r>
  <r>
    <x v="3"/>
    <s v="Pigeon-Peas"/>
    <m/>
    <n v="0"/>
    <n v="0"/>
    <n v="0"/>
    <n v="0"/>
    <n v="500"/>
    <n v="750"/>
    <n v="1000"/>
    <n v="750"/>
    <n v="0"/>
    <n v="3000"/>
    <n v="2500"/>
    <x v="0"/>
  </r>
  <r>
    <x v="3"/>
    <s v="Chick-Peas"/>
    <m/>
    <n v="0"/>
    <n v="0"/>
    <n v="0"/>
    <n v="0"/>
    <n v="0"/>
    <n v="0"/>
    <n v="1000"/>
    <n v="1000"/>
    <n v="0"/>
    <n v="2000"/>
    <n v="2000"/>
    <x v="0"/>
  </r>
  <r>
    <x v="3"/>
    <s v="WM-Seeds"/>
    <m/>
    <n v="0"/>
    <n v="0"/>
    <n v="450"/>
    <n v="1350"/>
    <n v="1800"/>
    <n v="900"/>
    <n v="900"/>
    <n v="0"/>
    <n v="0"/>
    <n v="5400"/>
    <n v="4050"/>
    <x v="0"/>
  </r>
  <r>
    <x v="4"/>
    <s v="Fresh-Talha"/>
    <m/>
    <n v="0"/>
    <n v="0"/>
    <n v="0"/>
    <n v="0"/>
    <n v="90"/>
    <n v="90"/>
    <n v="180"/>
    <n v="90"/>
    <n v="0"/>
    <n v="450"/>
    <n v="360"/>
    <x v="0"/>
  </r>
  <r>
    <x v="5"/>
    <s v="Sorghum"/>
    <m/>
    <n v="0"/>
    <n v="0"/>
    <n v="5000"/>
    <n v="7500"/>
    <n v="7500"/>
    <n v="5000"/>
    <n v="2000"/>
    <n v="2000"/>
    <n v="1000"/>
    <n v="30000"/>
    <n v="20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Category">
  <location ref="A3:C11" firstHeaderRow="1" firstDataRow="2" firstDataCol="1"/>
  <pivotFields count="15">
    <pivotField axis="axisRow" showAll="0">
      <items count="7">
        <item x="2"/>
        <item x="4"/>
        <item x="3"/>
        <item x="0"/>
        <item x="1"/>
        <item x="5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3" showAll="0"/>
    <pivotField dataField="1" numFmtId="3" showAll="0"/>
    <pivotField axis="axisCol" showAll="0">
      <items count="3">
        <item m="1" x="1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2">
    <i>
      <x v="1"/>
    </i>
    <i t="grand">
      <x/>
    </i>
  </colItems>
  <dataFields count="1">
    <dataField name="Sum of Capacity needed" fld="13" baseField="0" baseItem="0" numFmtId="165"/>
  </dataFields>
  <formats count="1">
    <format dxfId="0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1"/>
  <sheetViews>
    <sheetView workbookViewId="0">
      <selection activeCell="J4" sqref="J4"/>
    </sheetView>
  </sheetViews>
  <sheetFormatPr defaultRowHeight="14.5" x14ac:dyDescent="0.35"/>
  <cols>
    <col min="1" max="1" width="22.7265625" bestFit="1" customWidth="1"/>
    <col min="2" max="2" width="16.26953125" customWidth="1"/>
    <col min="3" max="3" width="11.26953125" bestFit="1" customWidth="1"/>
    <col min="4" max="4" width="11.26953125" customWidth="1"/>
    <col min="5" max="9" width="5.54296875" customWidth="1"/>
    <col min="10" max="11" width="6.54296875" customWidth="1"/>
    <col min="12" max="12" width="11.26953125" bestFit="1" customWidth="1"/>
  </cols>
  <sheetData>
    <row r="3" spans="1:3" x14ac:dyDescent="0.35">
      <c r="A3" s="20" t="s">
        <v>36</v>
      </c>
      <c r="B3" s="20" t="s">
        <v>35</v>
      </c>
    </row>
    <row r="4" spans="1:3" x14ac:dyDescent="0.35">
      <c r="A4" s="20" t="s">
        <v>37</v>
      </c>
      <c r="B4" t="s">
        <v>33</v>
      </c>
      <c r="C4" t="s">
        <v>34</v>
      </c>
    </row>
    <row r="5" spans="1:3" x14ac:dyDescent="0.35">
      <c r="A5" s="21" t="s">
        <v>19</v>
      </c>
      <c r="B5" s="19">
        <v>900</v>
      </c>
      <c r="C5" s="19">
        <v>900</v>
      </c>
    </row>
    <row r="6" spans="1:3" x14ac:dyDescent="0.35">
      <c r="A6" s="21" t="s">
        <v>25</v>
      </c>
      <c r="B6" s="19">
        <v>360</v>
      </c>
      <c r="C6" s="19">
        <v>360</v>
      </c>
    </row>
    <row r="7" spans="1:3" x14ac:dyDescent="0.35">
      <c r="A7" s="21" t="s">
        <v>21</v>
      </c>
      <c r="B7" s="19">
        <v>8550</v>
      </c>
      <c r="C7" s="19">
        <v>8550</v>
      </c>
    </row>
    <row r="8" spans="1:3" x14ac:dyDescent="0.35">
      <c r="A8" s="21" t="s">
        <v>12</v>
      </c>
      <c r="B8" s="19">
        <v>11900</v>
      </c>
      <c r="C8" s="19">
        <v>11900</v>
      </c>
    </row>
    <row r="9" spans="1:3" x14ac:dyDescent="0.35">
      <c r="A9" s="21" t="s">
        <v>14</v>
      </c>
      <c r="B9" s="19">
        <v>10250</v>
      </c>
      <c r="C9" s="19">
        <v>10250</v>
      </c>
    </row>
    <row r="10" spans="1:3" x14ac:dyDescent="0.35">
      <c r="A10" s="21" t="s">
        <v>27</v>
      </c>
      <c r="B10" s="19">
        <v>20000</v>
      </c>
      <c r="C10" s="19">
        <v>20000</v>
      </c>
    </row>
    <row r="11" spans="1:3" x14ac:dyDescent="0.35">
      <c r="A11" s="21" t="s">
        <v>34</v>
      </c>
      <c r="B11" s="19">
        <v>51960</v>
      </c>
      <c r="C11" s="19">
        <v>51960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tabSelected="1" topLeftCell="A17" workbookViewId="0">
      <selection activeCell="G21" sqref="G21"/>
    </sheetView>
  </sheetViews>
  <sheetFormatPr defaultRowHeight="14.5" x14ac:dyDescent="0.35"/>
  <cols>
    <col min="1" max="1" width="11" bestFit="1" customWidth="1"/>
    <col min="2" max="2" width="11.1796875" customWidth="1"/>
    <col min="4" max="4" width="13.81640625" customWidth="1"/>
    <col min="5" max="5" width="11.453125" customWidth="1"/>
  </cols>
  <sheetData>
    <row r="1" spans="1:12" ht="15" hidden="1" thickBot="1" x14ac:dyDescent="0.4">
      <c r="A1" t="s">
        <v>29</v>
      </c>
    </row>
    <row r="2" spans="1:12" ht="29.5" hidden="1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</row>
    <row r="3" spans="1:12" ht="29.5" hidden="1" thickBot="1" x14ac:dyDescent="0.4">
      <c r="A3" s="4" t="s">
        <v>12</v>
      </c>
      <c r="B3" s="5" t="s">
        <v>13</v>
      </c>
      <c r="C3" s="6">
        <v>0</v>
      </c>
      <c r="D3" s="6">
        <v>500</v>
      </c>
      <c r="E3" s="7">
        <v>4000</v>
      </c>
      <c r="F3" s="7">
        <v>5000</v>
      </c>
      <c r="G3" s="7">
        <v>5000</v>
      </c>
      <c r="H3" s="7">
        <v>2000</v>
      </c>
      <c r="I3" s="7">
        <v>2000</v>
      </c>
      <c r="J3" s="7">
        <v>1000</v>
      </c>
      <c r="K3" s="6">
        <v>500</v>
      </c>
      <c r="L3" s="8">
        <v>20000</v>
      </c>
    </row>
    <row r="4" spans="1:12" ht="29.5" hidden="1" thickBot="1" x14ac:dyDescent="0.4">
      <c r="A4" s="9" t="s">
        <v>14</v>
      </c>
      <c r="B4" s="10" t="s">
        <v>15</v>
      </c>
      <c r="C4" s="11">
        <v>500</v>
      </c>
      <c r="D4" s="12">
        <v>3000</v>
      </c>
      <c r="E4" s="12">
        <v>2500</v>
      </c>
      <c r="F4" s="12">
        <v>2500</v>
      </c>
      <c r="G4" s="12">
        <v>2000</v>
      </c>
      <c r="H4" s="12">
        <v>1000</v>
      </c>
      <c r="I4" s="12">
        <v>1000</v>
      </c>
      <c r="J4" s="12">
        <v>1000</v>
      </c>
      <c r="K4" s="11">
        <v>500</v>
      </c>
      <c r="L4" s="13">
        <v>14000</v>
      </c>
    </row>
    <row r="5" spans="1:12" ht="44" hidden="1" thickBot="1" x14ac:dyDescent="0.4">
      <c r="A5" s="4" t="s">
        <v>14</v>
      </c>
      <c r="B5" s="5" t="s">
        <v>16</v>
      </c>
      <c r="C5" s="6">
        <v>500</v>
      </c>
      <c r="D5" s="7">
        <v>1000</v>
      </c>
      <c r="E5" s="6">
        <v>500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8">
        <v>2000</v>
      </c>
    </row>
    <row r="6" spans="1:12" ht="29.5" hidden="1" thickBot="1" x14ac:dyDescent="0.4">
      <c r="A6" s="9" t="s">
        <v>14</v>
      </c>
      <c r="B6" s="10" t="s">
        <v>17</v>
      </c>
      <c r="C6" s="11">
        <v>250</v>
      </c>
      <c r="D6" s="11">
        <v>250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4">
        <v>500</v>
      </c>
    </row>
    <row r="7" spans="1:12" ht="29.5" hidden="1" thickBot="1" x14ac:dyDescent="0.4">
      <c r="A7" s="4" t="s">
        <v>14</v>
      </c>
      <c r="B7" s="5" t="s">
        <v>18</v>
      </c>
      <c r="C7" s="6">
        <v>250</v>
      </c>
      <c r="D7" s="6">
        <v>250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5">
        <v>500</v>
      </c>
    </row>
    <row r="8" spans="1:12" ht="29.5" hidden="1" thickBot="1" x14ac:dyDescent="0.4">
      <c r="A8" s="9" t="s">
        <v>19</v>
      </c>
      <c r="B8" s="10" t="s">
        <v>20</v>
      </c>
      <c r="C8" s="11">
        <v>0</v>
      </c>
      <c r="D8" s="11">
        <v>0</v>
      </c>
      <c r="E8" s="11">
        <v>250</v>
      </c>
      <c r="F8" s="11">
        <v>750</v>
      </c>
      <c r="G8" s="12">
        <v>1000</v>
      </c>
      <c r="H8" s="11">
        <v>500</v>
      </c>
      <c r="I8" s="11">
        <v>500</v>
      </c>
      <c r="J8" s="11">
        <v>0</v>
      </c>
      <c r="K8" s="11">
        <v>0</v>
      </c>
      <c r="L8" s="13">
        <v>3000</v>
      </c>
    </row>
    <row r="9" spans="1:12" ht="15" hidden="1" thickBot="1" x14ac:dyDescent="0.4">
      <c r="A9" s="4" t="s">
        <v>21</v>
      </c>
      <c r="B9" s="5" t="s">
        <v>22</v>
      </c>
      <c r="C9" s="6">
        <v>0</v>
      </c>
      <c r="D9" s="6">
        <v>0</v>
      </c>
      <c r="E9" s="6">
        <v>0</v>
      </c>
      <c r="F9" s="6">
        <v>0</v>
      </c>
      <c r="G9" s="6">
        <v>500</v>
      </c>
      <c r="H9" s="6">
        <v>750</v>
      </c>
      <c r="I9" s="7">
        <v>1000</v>
      </c>
      <c r="J9" s="6">
        <v>750</v>
      </c>
      <c r="K9" s="6">
        <v>0</v>
      </c>
      <c r="L9" s="8">
        <v>3000</v>
      </c>
    </row>
    <row r="10" spans="1:12" ht="15" hidden="1" thickBot="1" x14ac:dyDescent="0.4">
      <c r="A10" s="9" t="s">
        <v>21</v>
      </c>
      <c r="B10" s="10" t="s">
        <v>23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2">
        <v>1000</v>
      </c>
      <c r="J10" s="12">
        <v>1000</v>
      </c>
      <c r="K10" s="11">
        <v>0</v>
      </c>
      <c r="L10" s="13">
        <v>2000</v>
      </c>
    </row>
    <row r="11" spans="1:12" ht="15" hidden="1" thickBot="1" x14ac:dyDescent="0.4">
      <c r="A11" s="4" t="s">
        <v>21</v>
      </c>
      <c r="B11" s="5" t="s">
        <v>24</v>
      </c>
      <c r="C11" s="6">
        <v>0</v>
      </c>
      <c r="D11" s="6">
        <v>0</v>
      </c>
      <c r="E11" s="6">
        <v>500</v>
      </c>
      <c r="F11" s="7">
        <v>1500</v>
      </c>
      <c r="G11" s="7">
        <v>2000</v>
      </c>
      <c r="H11" s="7">
        <v>1000</v>
      </c>
      <c r="I11" s="7">
        <v>1000</v>
      </c>
      <c r="J11" s="6">
        <v>0</v>
      </c>
      <c r="K11" s="6">
        <v>0</v>
      </c>
      <c r="L11" s="8">
        <v>6000</v>
      </c>
    </row>
    <row r="12" spans="1:12" ht="29.5" hidden="1" thickBot="1" x14ac:dyDescent="0.4">
      <c r="A12" s="9" t="s">
        <v>25</v>
      </c>
      <c r="B12" s="10" t="s">
        <v>26</v>
      </c>
      <c r="C12" s="11">
        <v>0</v>
      </c>
      <c r="D12" s="11">
        <v>0</v>
      </c>
      <c r="E12" s="11">
        <v>0</v>
      </c>
      <c r="F12" s="11">
        <v>0</v>
      </c>
      <c r="G12" s="11">
        <v>100</v>
      </c>
      <c r="H12" s="11">
        <v>100</v>
      </c>
      <c r="I12" s="11">
        <v>200</v>
      </c>
      <c r="J12" s="11">
        <v>100</v>
      </c>
      <c r="K12" s="11">
        <v>0</v>
      </c>
      <c r="L12" s="14">
        <v>500</v>
      </c>
    </row>
    <row r="13" spans="1:12" ht="15" hidden="1" thickBot="1" x14ac:dyDescent="0.4">
      <c r="A13" s="4" t="s">
        <v>27</v>
      </c>
      <c r="B13" s="5" t="s">
        <v>27</v>
      </c>
      <c r="C13" s="6">
        <v>0</v>
      </c>
      <c r="D13" s="6">
        <v>0</v>
      </c>
      <c r="E13" s="7">
        <v>5000</v>
      </c>
      <c r="F13" s="7">
        <v>7500</v>
      </c>
      <c r="G13" s="7">
        <v>7500</v>
      </c>
      <c r="H13" s="7">
        <v>5000</v>
      </c>
      <c r="I13" s="7">
        <v>2000</v>
      </c>
      <c r="J13" s="7">
        <v>2000</v>
      </c>
      <c r="K13" s="7">
        <v>1000</v>
      </c>
      <c r="L13" s="8">
        <v>30000</v>
      </c>
    </row>
    <row r="14" spans="1:12" ht="15" hidden="1" thickBot="1" x14ac:dyDescent="0.4">
      <c r="A14" s="16"/>
      <c r="B14" s="14" t="s">
        <v>28</v>
      </c>
      <c r="C14" s="13">
        <v>1500</v>
      </c>
      <c r="D14" s="13">
        <v>10000</v>
      </c>
      <c r="E14" s="13">
        <v>15250</v>
      </c>
      <c r="F14" s="13">
        <v>17250</v>
      </c>
      <c r="G14" s="13">
        <v>15600</v>
      </c>
      <c r="H14" s="13">
        <v>7350</v>
      </c>
      <c r="I14" s="13">
        <v>8700</v>
      </c>
      <c r="J14" s="13">
        <v>4850</v>
      </c>
      <c r="K14" s="13">
        <v>1000</v>
      </c>
      <c r="L14" s="13">
        <v>81500</v>
      </c>
    </row>
    <row r="15" spans="1:12" hidden="1" x14ac:dyDescent="0.35"/>
    <row r="16" spans="1:12" hidden="1" x14ac:dyDescent="0.35">
      <c r="A16" t="s">
        <v>30</v>
      </c>
    </row>
    <row r="17" spans="1:15" ht="15" thickBot="1" x14ac:dyDescent="0.4"/>
    <row r="18" spans="1:15" ht="44" thickBot="1" x14ac:dyDescent="0.4">
      <c r="A18" s="1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17" t="s">
        <v>31</v>
      </c>
      <c r="M18" s="3" t="s">
        <v>11</v>
      </c>
      <c r="N18" s="22" t="s">
        <v>38</v>
      </c>
      <c r="O18" s="17" t="s">
        <v>32</v>
      </c>
    </row>
    <row r="19" spans="1:15" ht="29.5" thickBot="1" x14ac:dyDescent="0.4">
      <c r="A19" s="11" t="s">
        <v>12</v>
      </c>
      <c r="B19" s="11" t="s">
        <v>13</v>
      </c>
      <c r="C19" s="11"/>
      <c r="D19" s="18">
        <f>C3*0.85</f>
        <v>0</v>
      </c>
      <c r="E19" s="18">
        <f t="shared" ref="E19:L19" si="0">D3*0.85</f>
        <v>425</v>
      </c>
      <c r="F19" s="18">
        <f t="shared" si="0"/>
        <v>3400</v>
      </c>
      <c r="G19" s="18">
        <f t="shared" si="0"/>
        <v>4250</v>
      </c>
      <c r="H19" s="18">
        <f t="shared" si="0"/>
        <v>4250</v>
      </c>
      <c r="I19" s="18">
        <f t="shared" si="0"/>
        <v>1700</v>
      </c>
      <c r="J19" s="18">
        <f t="shared" si="0"/>
        <v>1700</v>
      </c>
      <c r="K19" s="18">
        <f t="shared" si="0"/>
        <v>850</v>
      </c>
      <c r="L19" s="18">
        <f t="shared" si="0"/>
        <v>425</v>
      </c>
      <c r="M19" s="8">
        <f>SUM(C19:L19)</f>
        <v>17000</v>
      </c>
      <c r="N19" s="23">
        <f>LARGE(C19:L19,1)+LARGE(C19:L19,2)+LARGE(C19:L19,3)</f>
        <v>11900</v>
      </c>
      <c r="O19" s="11" t="s">
        <v>33</v>
      </c>
    </row>
    <row r="20" spans="1:15" ht="29.5" thickBot="1" x14ac:dyDescent="0.4">
      <c r="A20" s="11" t="s">
        <v>14</v>
      </c>
      <c r="B20" s="11" t="s">
        <v>15</v>
      </c>
      <c r="C20" s="11"/>
      <c r="D20" s="18">
        <f>C4*0.94</f>
        <v>470</v>
      </c>
      <c r="E20" s="18">
        <f t="shared" ref="E20:L20" si="1">D4*0.94</f>
        <v>2820</v>
      </c>
      <c r="F20" s="18">
        <f t="shared" si="1"/>
        <v>2350</v>
      </c>
      <c r="G20" s="18">
        <f t="shared" si="1"/>
        <v>2350</v>
      </c>
      <c r="H20" s="18">
        <f t="shared" si="1"/>
        <v>1880</v>
      </c>
      <c r="I20" s="18">
        <f t="shared" si="1"/>
        <v>940</v>
      </c>
      <c r="J20" s="18">
        <f t="shared" si="1"/>
        <v>940</v>
      </c>
      <c r="K20" s="18">
        <f t="shared" si="1"/>
        <v>940</v>
      </c>
      <c r="L20" s="18">
        <f t="shared" si="1"/>
        <v>470</v>
      </c>
      <c r="M20" s="8">
        <f t="shared" ref="M20:M30" si="2">SUM(C20:L20)</f>
        <v>13160</v>
      </c>
      <c r="N20" s="23">
        <f t="shared" ref="N20:N29" si="3">LARGE(C20:L20,1)+LARGE(C20:L20,2)+LARGE(C20:L20,3)</f>
        <v>7520</v>
      </c>
      <c r="O20" s="11" t="s">
        <v>33</v>
      </c>
    </row>
    <row r="21" spans="1:15" ht="44" thickBot="1" x14ac:dyDescent="0.4">
      <c r="A21" s="11" t="s">
        <v>14</v>
      </c>
      <c r="B21" s="11" t="s">
        <v>16</v>
      </c>
      <c r="C21" s="11"/>
      <c r="D21" s="18">
        <f>C5*0.9</f>
        <v>450</v>
      </c>
      <c r="E21" s="18">
        <f t="shared" ref="E21:L21" si="4">D5*0.9</f>
        <v>900</v>
      </c>
      <c r="F21" s="18">
        <f t="shared" si="4"/>
        <v>450</v>
      </c>
      <c r="G21" s="18">
        <f t="shared" si="4"/>
        <v>0</v>
      </c>
      <c r="H21" s="18">
        <f t="shared" si="4"/>
        <v>0</v>
      </c>
      <c r="I21" s="18">
        <f t="shared" si="4"/>
        <v>0</v>
      </c>
      <c r="J21" s="18">
        <f t="shared" si="4"/>
        <v>0</v>
      </c>
      <c r="K21" s="18">
        <f t="shared" si="4"/>
        <v>0</v>
      </c>
      <c r="L21" s="18">
        <f t="shared" si="4"/>
        <v>0</v>
      </c>
      <c r="M21" s="8">
        <f t="shared" si="2"/>
        <v>1800</v>
      </c>
      <c r="N21" s="23">
        <f t="shared" si="3"/>
        <v>1800</v>
      </c>
      <c r="O21" s="11" t="s">
        <v>33</v>
      </c>
    </row>
    <row r="22" spans="1:15" ht="29.5" thickBot="1" x14ac:dyDescent="0.4">
      <c r="A22" s="11" t="s">
        <v>14</v>
      </c>
      <c r="B22" s="11" t="s">
        <v>17</v>
      </c>
      <c r="C22" s="11"/>
      <c r="D22" s="18">
        <f>C6*0.93</f>
        <v>232.5</v>
      </c>
      <c r="E22" s="18">
        <f t="shared" ref="E22:L22" si="5">D6*0.93</f>
        <v>232.5</v>
      </c>
      <c r="F22" s="18">
        <f t="shared" si="5"/>
        <v>0</v>
      </c>
      <c r="G22" s="18">
        <f t="shared" si="5"/>
        <v>0</v>
      </c>
      <c r="H22" s="18">
        <f t="shared" si="5"/>
        <v>0</v>
      </c>
      <c r="I22" s="18">
        <f t="shared" si="5"/>
        <v>0</v>
      </c>
      <c r="J22" s="18">
        <f t="shared" si="5"/>
        <v>0</v>
      </c>
      <c r="K22" s="18">
        <f t="shared" si="5"/>
        <v>0</v>
      </c>
      <c r="L22" s="18">
        <f t="shared" si="5"/>
        <v>0</v>
      </c>
      <c r="M22" s="8">
        <f t="shared" si="2"/>
        <v>465</v>
      </c>
      <c r="N22" s="23">
        <f t="shared" si="3"/>
        <v>465</v>
      </c>
      <c r="O22" s="11" t="s">
        <v>33</v>
      </c>
    </row>
    <row r="23" spans="1:15" ht="29.5" thickBot="1" x14ac:dyDescent="0.4">
      <c r="A23" s="11" t="s">
        <v>14</v>
      </c>
      <c r="B23" s="11" t="s">
        <v>18</v>
      </c>
      <c r="C23" s="11"/>
      <c r="D23" s="18">
        <f>C7*0.93</f>
        <v>232.5</v>
      </c>
      <c r="E23" s="18">
        <f t="shared" ref="E23:L23" si="6">D7*0.93</f>
        <v>232.5</v>
      </c>
      <c r="F23" s="18">
        <f t="shared" si="6"/>
        <v>0</v>
      </c>
      <c r="G23" s="18">
        <f t="shared" si="6"/>
        <v>0</v>
      </c>
      <c r="H23" s="18">
        <f t="shared" si="6"/>
        <v>0</v>
      </c>
      <c r="I23" s="18">
        <f t="shared" si="6"/>
        <v>0</v>
      </c>
      <c r="J23" s="18">
        <f t="shared" si="6"/>
        <v>0</v>
      </c>
      <c r="K23" s="18">
        <f t="shared" si="6"/>
        <v>0</v>
      </c>
      <c r="L23" s="18">
        <f t="shared" si="6"/>
        <v>0</v>
      </c>
      <c r="M23" s="8">
        <f t="shared" si="2"/>
        <v>465</v>
      </c>
      <c r="N23" s="23">
        <f t="shared" si="3"/>
        <v>465</v>
      </c>
      <c r="O23" s="11" t="s">
        <v>33</v>
      </c>
    </row>
    <row r="24" spans="1:15" ht="29.5" thickBot="1" x14ac:dyDescent="0.4">
      <c r="A24" s="11" t="s">
        <v>19</v>
      </c>
      <c r="B24" s="11" t="s">
        <v>20</v>
      </c>
      <c r="C24" s="11"/>
      <c r="D24" s="18">
        <f>C8*0.4</f>
        <v>0</v>
      </c>
      <c r="E24" s="18">
        <f t="shared" ref="E24:L24" si="7">D8*0.4</f>
        <v>0</v>
      </c>
      <c r="F24" s="18">
        <f t="shared" si="7"/>
        <v>100</v>
      </c>
      <c r="G24" s="18">
        <f t="shared" si="7"/>
        <v>300</v>
      </c>
      <c r="H24" s="18">
        <f t="shared" si="7"/>
        <v>400</v>
      </c>
      <c r="I24" s="18">
        <f t="shared" si="7"/>
        <v>200</v>
      </c>
      <c r="J24" s="18">
        <f t="shared" si="7"/>
        <v>200</v>
      </c>
      <c r="K24" s="18">
        <f t="shared" si="7"/>
        <v>0</v>
      </c>
      <c r="L24" s="18">
        <f t="shared" si="7"/>
        <v>0</v>
      </c>
      <c r="M24" s="8">
        <f t="shared" si="2"/>
        <v>1200</v>
      </c>
      <c r="N24" s="23">
        <f t="shared" si="3"/>
        <v>900</v>
      </c>
      <c r="O24" s="11" t="s">
        <v>33</v>
      </c>
    </row>
    <row r="25" spans="1:15" ht="15" thickBot="1" x14ac:dyDescent="0.4">
      <c r="A25" s="11" t="s">
        <v>21</v>
      </c>
      <c r="B25" s="11" t="s">
        <v>22</v>
      </c>
      <c r="C25" s="11"/>
      <c r="D25" s="18">
        <f>C9</f>
        <v>0</v>
      </c>
      <c r="E25" s="18">
        <f t="shared" ref="E25:L25" si="8">D9</f>
        <v>0</v>
      </c>
      <c r="F25" s="18">
        <f t="shared" si="8"/>
        <v>0</v>
      </c>
      <c r="G25" s="18">
        <f t="shared" si="8"/>
        <v>0</v>
      </c>
      <c r="H25" s="18">
        <f t="shared" si="8"/>
        <v>500</v>
      </c>
      <c r="I25" s="18">
        <f t="shared" si="8"/>
        <v>750</v>
      </c>
      <c r="J25" s="18">
        <f t="shared" si="8"/>
        <v>1000</v>
      </c>
      <c r="K25" s="18">
        <f t="shared" si="8"/>
        <v>750</v>
      </c>
      <c r="L25" s="18">
        <f t="shared" si="8"/>
        <v>0</v>
      </c>
      <c r="M25" s="8">
        <f t="shared" si="2"/>
        <v>3000</v>
      </c>
      <c r="N25" s="23">
        <f t="shared" si="3"/>
        <v>2500</v>
      </c>
      <c r="O25" s="11" t="s">
        <v>33</v>
      </c>
    </row>
    <row r="26" spans="1:15" ht="15" thickBot="1" x14ac:dyDescent="0.4">
      <c r="A26" s="11" t="s">
        <v>21</v>
      </c>
      <c r="B26" s="11" t="s">
        <v>23</v>
      </c>
      <c r="C26" s="11"/>
      <c r="D26" s="18">
        <f>C10</f>
        <v>0</v>
      </c>
      <c r="E26" s="18">
        <f t="shared" ref="E26:L26" si="9">D10</f>
        <v>0</v>
      </c>
      <c r="F26" s="18">
        <f t="shared" si="9"/>
        <v>0</v>
      </c>
      <c r="G26" s="18">
        <f t="shared" si="9"/>
        <v>0</v>
      </c>
      <c r="H26" s="18">
        <f t="shared" si="9"/>
        <v>0</v>
      </c>
      <c r="I26" s="18">
        <f t="shared" si="9"/>
        <v>0</v>
      </c>
      <c r="J26" s="18">
        <f t="shared" si="9"/>
        <v>1000</v>
      </c>
      <c r="K26" s="18">
        <f t="shared" si="9"/>
        <v>1000</v>
      </c>
      <c r="L26" s="18">
        <f t="shared" si="9"/>
        <v>0</v>
      </c>
      <c r="M26" s="8">
        <f t="shared" si="2"/>
        <v>2000</v>
      </c>
      <c r="N26" s="23">
        <f t="shared" si="3"/>
        <v>2000</v>
      </c>
      <c r="O26" s="11" t="s">
        <v>33</v>
      </c>
    </row>
    <row r="27" spans="1:15" ht="15" thickBot="1" x14ac:dyDescent="0.4">
      <c r="A27" s="11" t="s">
        <v>21</v>
      </c>
      <c r="B27" s="11" t="s">
        <v>24</v>
      </c>
      <c r="C27" s="11"/>
      <c r="D27" s="18">
        <f>C11*0.9</f>
        <v>0</v>
      </c>
      <c r="E27" s="18">
        <f t="shared" ref="E27:L27" si="10">D11*0.9</f>
        <v>0</v>
      </c>
      <c r="F27" s="18">
        <f t="shared" si="10"/>
        <v>450</v>
      </c>
      <c r="G27" s="18">
        <f t="shared" si="10"/>
        <v>1350</v>
      </c>
      <c r="H27" s="18">
        <f t="shared" si="10"/>
        <v>1800</v>
      </c>
      <c r="I27" s="18">
        <f t="shared" si="10"/>
        <v>900</v>
      </c>
      <c r="J27" s="18">
        <f t="shared" si="10"/>
        <v>900</v>
      </c>
      <c r="K27" s="18">
        <f t="shared" si="10"/>
        <v>0</v>
      </c>
      <c r="L27" s="18">
        <f t="shared" si="10"/>
        <v>0</v>
      </c>
      <c r="M27" s="8">
        <f t="shared" si="2"/>
        <v>5400</v>
      </c>
      <c r="N27" s="23">
        <f t="shared" si="3"/>
        <v>4050</v>
      </c>
      <c r="O27" s="11" t="s">
        <v>33</v>
      </c>
    </row>
    <row r="28" spans="1:15" ht="29.5" thickBot="1" x14ac:dyDescent="0.4">
      <c r="A28" s="11" t="s">
        <v>25</v>
      </c>
      <c r="B28" s="11" t="s">
        <v>26</v>
      </c>
      <c r="C28" s="11"/>
      <c r="D28" s="18">
        <f>C12*0.9</f>
        <v>0</v>
      </c>
      <c r="E28" s="18">
        <f t="shared" ref="E28:L28" si="11">D12*0.9</f>
        <v>0</v>
      </c>
      <c r="F28" s="18">
        <f t="shared" si="11"/>
        <v>0</v>
      </c>
      <c r="G28" s="18">
        <f t="shared" si="11"/>
        <v>0</v>
      </c>
      <c r="H28" s="18">
        <f t="shared" si="11"/>
        <v>90</v>
      </c>
      <c r="I28" s="18">
        <f t="shared" si="11"/>
        <v>90</v>
      </c>
      <c r="J28" s="18">
        <f t="shared" si="11"/>
        <v>180</v>
      </c>
      <c r="K28" s="18">
        <f t="shared" si="11"/>
        <v>90</v>
      </c>
      <c r="L28" s="18">
        <f t="shared" si="11"/>
        <v>0</v>
      </c>
      <c r="M28" s="8">
        <f t="shared" si="2"/>
        <v>450</v>
      </c>
      <c r="N28" s="23">
        <f t="shared" si="3"/>
        <v>360</v>
      </c>
      <c r="O28" s="11" t="s">
        <v>33</v>
      </c>
    </row>
    <row r="29" spans="1:15" ht="15" thickBot="1" x14ac:dyDescent="0.4">
      <c r="A29" s="11" t="s">
        <v>27</v>
      </c>
      <c r="B29" s="11" t="s">
        <v>27</v>
      </c>
      <c r="C29" s="11"/>
      <c r="D29" s="18">
        <f>C13</f>
        <v>0</v>
      </c>
      <c r="E29" s="18">
        <f t="shared" ref="E29:L29" si="12">D13</f>
        <v>0</v>
      </c>
      <c r="F29" s="18">
        <f t="shared" si="12"/>
        <v>5000</v>
      </c>
      <c r="G29" s="18">
        <f t="shared" si="12"/>
        <v>7500</v>
      </c>
      <c r="H29" s="18">
        <f t="shared" si="12"/>
        <v>7500</v>
      </c>
      <c r="I29" s="18">
        <f t="shared" si="12"/>
        <v>5000</v>
      </c>
      <c r="J29" s="18">
        <f t="shared" si="12"/>
        <v>2000</v>
      </c>
      <c r="K29" s="18">
        <f t="shared" si="12"/>
        <v>2000</v>
      </c>
      <c r="L29" s="18">
        <f t="shared" si="12"/>
        <v>1000</v>
      </c>
      <c r="M29" s="8">
        <f t="shared" si="2"/>
        <v>30000</v>
      </c>
      <c r="N29" s="23">
        <f t="shared" si="3"/>
        <v>20000</v>
      </c>
      <c r="O29" s="11" t="s">
        <v>33</v>
      </c>
    </row>
    <row r="30" spans="1:15" ht="15" thickBot="1" x14ac:dyDescent="0.4">
      <c r="A30" s="24" t="s">
        <v>28</v>
      </c>
      <c r="B30" s="25"/>
      <c r="C30" s="13">
        <f>SUM(C19:C29)</f>
        <v>0</v>
      </c>
      <c r="D30" s="13">
        <f t="shared" ref="D30:L30" si="13">SUM(D19:D29)</f>
        <v>1385</v>
      </c>
      <c r="E30" s="13">
        <f t="shared" si="13"/>
        <v>4610</v>
      </c>
      <c r="F30" s="13">
        <f t="shared" si="13"/>
        <v>11750</v>
      </c>
      <c r="G30" s="13">
        <f t="shared" si="13"/>
        <v>15750</v>
      </c>
      <c r="H30" s="13">
        <f t="shared" si="13"/>
        <v>16420</v>
      </c>
      <c r="I30" s="13">
        <f t="shared" si="13"/>
        <v>9580</v>
      </c>
      <c r="J30" s="13">
        <f t="shared" si="13"/>
        <v>7920</v>
      </c>
      <c r="K30" s="13">
        <f t="shared" si="13"/>
        <v>5630</v>
      </c>
      <c r="L30" s="13">
        <f t="shared" si="13"/>
        <v>1895</v>
      </c>
      <c r="M30" s="8">
        <f t="shared" si="2"/>
        <v>74940</v>
      </c>
      <c r="N30" s="8">
        <f>SUM(N19:N29)</f>
        <v>51960</v>
      </c>
    </row>
  </sheetData>
  <mergeCells count="1">
    <mergeCell ref="A30:B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2026-08-04T10:47:53Z</dcterms:modified>
</cp:coreProperties>
</file>