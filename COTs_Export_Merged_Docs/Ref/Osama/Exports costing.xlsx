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victustrading-my.sharepoint.com/personal/osama_burhan_invictustrading_ae/Documents/Desktop/2026/Processes &amp; Systems/COTS/Info-gathering/"/>
    </mc:Choice>
  </mc:AlternateContent>
  <xr:revisionPtr revIDLastSave="0" documentId="8_{0C7408C2-5B35-4FAA-B669-E49FD959701E}" xr6:coauthVersionLast="47" xr6:coauthVersionMax="47" xr10:uidLastSave="{00000000-0000-0000-0000-000000000000}"/>
  <bookViews>
    <workbookView xWindow="-108" yWindow="-108" windowWidth="23256" windowHeight="13896" tabRatio="933" firstSheet="1" activeTab="1" xr2:uid="{00000000-000D-0000-FFFF-FFFF00000000}"/>
  </bookViews>
  <sheets>
    <sheet name="Meeting Summary" sheetId="1" state="hidden" r:id="rId1"/>
    <sheet name="Peanuts – Nacala" sheetId="3" r:id="rId2"/>
    <sheet name="Sesame – Nacala" sheetId="7" r:id="rId3"/>
    <sheet name="Soy Beans – Nacala" sheetId="10" r:id="rId4"/>
    <sheet name="Sudan Pigeon Peas" sheetId="11" r:id="rId5"/>
    <sheet name="Sorghum Sudan" sheetId="12" r:id="rId6"/>
    <sheet name="Gum Arabic Sudan" sheetId="13" r:id="rId7"/>
    <sheet name="Chad Sesame" sheetId="14" r:id="rId8"/>
    <sheet name="Ethiopia Sesame" sheetId="15" r:id="rId9"/>
    <sheet name="Manica quotation" sheetId="8" state="hidden" r:id="rId10"/>
    <sheet name="1. OPEX Inputs" sheetId="9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">"april 2003+Sheet1!$1:$540"</definedName>
    <definedName name="\\100">#REF!</definedName>
    <definedName name="\\117">#REF!</definedName>
    <definedName name="\\122">#REF!</definedName>
    <definedName name="\\159">#REF!</definedName>
    <definedName name="\\164">#REF!</definedName>
    <definedName name="\\165">#REF!</definedName>
    <definedName name="\\166">#REF!</definedName>
    <definedName name="\\167">#REF!</definedName>
    <definedName name="\\168">#REF!</definedName>
    <definedName name="\\169">#REF!</definedName>
    <definedName name="\\170">#REF!</definedName>
    <definedName name="\\295">#REF!</definedName>
    <definedName name="\\297">#REF!</definedName>
    <definedName name="\\426">#REF!</definedName>
    <definedName name="\\427">#REF!</definedName>
    <definedName name="\\428">#REF!</definedName>
    <definedName name="\\499">#REF!</definedName>
    <definedName name="\\500">#REF!</definedName>
    <definedName name="\\501">#REF!</definedName>
    <definedName name="\\502">#REF!</definedName>
    <definedName name="\\505">#REF!</definedName>
    <definedName name="\\507">#REF!</definedName>
    <definedName name="\\510">#REF!</definedName>
    <definedName name="\\512">#REF!</definedName>
    <definedName name="\\514">#REF!</definedName>
    <definedName name="\\533">#REF!</definedName>
    <definedName name="\\542">#REF!</definedName>
    <definedName name="\\544">#REF!</definedName>
    <definedName name="\\546">#REF!</definedName>
    <definedName name="\\549">#REF!</definedName>
    <definedName name="\\550">#REF!</definedName>
    <definedName name="\\551">#REF!</definedName>
    <definedName name="\\552">#REF!</definedName>
    <definedName name="\\554">#REF!</definedName>
    <definedName name="\\560">#REF!</definedName>
    <definedName name="\\575">#REF!</definedName>
    <definedName name="\\576">#REF!</definedName>
    <definedName name="\\579">#REF!</definedName>
    <definedName name="\\580">#REF!</definedName>
    <definedName name="\\582">#REF!</definedName>
    <definedName name="\\590">#REF!</definedName>
    <definedName name="\\oob">#REF!</definedName>
    <definedName name="\0">#REF!</definedName>
    <definedName name="\0.001">#REF!</definedName>
    <definedName name="\000">#REF!</definedName>
    <definedName name="\000538">#REF!</definedName>
    <definedName name="\01?299">#REF!</definedName>
    <definedName name="\0100">#REF!</definedName>
    <definedName name="\0101">#REF!</definedName>
    <definedName name="\0102">#REF!</definedName>
    <definedName name="\0103">#REF!</definedName>
    <definedName name="\0104">#REF!</definedName>
    <definedName name="\0105">#REF!</definedName>
    <definedName name="\0106">#REF!</definedName>
    <definedName name="\0107">#REF!</definedName>
    <definedName name="\0110">#REF!</definedName>
    <definedName name="\0111">#REF!</definedName>
    <definedName name="\0113">#REF!</definedName>
    <definedName name="\0114">#REF!</definedName>
    <definedName name="\0115">#REF!</definedName>
    <definedName name="\0116">#REF!</definedName>
    <definedName name="\0117">#REF!</definedName>
    <definedName name="\0124">#REF!</definedName>
    <definedName name="\0130">#REF!</definedName>
    <definedName name="\0131">#REF!</definedName>
    <definedName name="\0132">#REF!</definedName>
    <definedName name="\0150">#REF!</definedName>
    <definedName name="\0151">#REF!</definedName>
    <definedName name="\0152">#REF!</definedName>
    <definedName name="\0153">#REF!</definedName>
    <definedName name="\0154">#REF!</definedName>
    <definedName name="\0155">#REF!</definedName>
    <definedName name="\0156">#REF!</definedName>
    <definedName name="\0159">#REF!</definedName>
    <definedName name="\0162">#REF!</definedName>
    <definedName name="\0165">#REF!</definedName>
    <definedName name="\0167">#REF!</definedName>
    <definedName name="\0168">#REF!</definedName>
    <definedName name="\0230">#REF!</definedName>
    <definedName name="\0232">#REF!</definedName>
    <definedName name="\0238">#REF!</definedName>
    <definedName name="\0240">#REF!</definedName>
    <definedName name="\0248">#REF!</definedName>
    <definedName name="\0252">#REF!</definedName>
    <definedName name="\0254">#REF!</definedName>
    <definedName name="\0264">#REF!</definedName>
    <definedName name="\0268">#REF!</definedName>
    <definedName name="\0270">#REF!</definedName>
    <definedName name="\0282">#REF!</definedName>
    <definedName name="\0295">#REF!</definedName>
    <definedName name="\0296">#REF!</definedName>
    <definedName name="\0297">#REF!</definedName>
    <definedName name="\0299">#REF!</definedName>
    <definedName name="\0433">#REF!</definedName>
    <definedName name="\0446">#REF!</definedName>
    <definedName name="\0447">#REF!</definedName>
    <definedName name="\0450">#REF!</definedName>
    <definedName name="\0451">#REF!</definedName>
    <definedName name="\0452">#REF!</definedName>
    <definedName name="\0453">#REF!</definedName>
    <definedName name="\0499">#REF!</definedName>
    <definedName name="\05?299">#REF!</definedName>
    <definedName name="\0500">#REF!</definedName>
    <definedName name="\0502">#REF!</definedName>
    <definedName name="\0520">#REF!</definedName>
    <definedName name="\0521">#REF!</definedName>
    <definedName name="\0522">#REF!</definedName>
    <definedName name="\0523">#REF!</definedName>
    <definedName name="\0524">#REF!</definedName>
    <definedName name="\0525">#REF!</definedName>
    <definedName name="\0526">#REF!</definedName>
    <definedName name="\0528">#REF!</definedName>
    <definedName name="\0534">#REF!</definedName>
    <definedName name="\0537">#REF!</definedName>
    <definedName name="\0538">#REF!</definedName>
    <definedName name="\0542">#REF!</definedName>
    <definedName name="\0543">#REF!</definedName>
    <definedName name="\0544">#REF!</definedName>
    <definedName name="\0546">#REF!</definedName>
    <definedName name="\0548">#REF!</definedName>
    <definedName name="\0550">#REF!</definedName>
    <definedName name="\0552">#REF!</definedName>
    <definedName name="\0554">#REF!</definedName>
    <definedName name="\0555">#REF!</definedName>
    <definedName name="\0562">#REF!</definedName>
    <definedName name="\0566">#REF!</definedName>
    <definedName name="\0573">#REF!</definedName>
    <definedName name="\0575">#REF!</definedName>
    <definedName name="\0579">#REF!</definedName>
    <definedName name="\0580">#REF!</definedName>
    <definedName name="\0582">#REF!</definedName>
    <definedName name="\0587">#REF!</definedName>
    <definedName name="\0700">#REF!</definedName>
    <definedName name="\0750">#REF!</definedName>
    <definedName name="\0753">#REF!</definedName>
    <definedName name="\0756">#REF!</definedName>
    <definedName name="\1">#REF!</definedName>
    <definedName name="\100">#REF!</definedName>
    <definedName name="\1000">#REF!</definedName>
    <definedName name="\1001">#REF!</definedName>
    <definedName name="\1002">#REF!</definedName>
    <definedName name="\1006">#REF!</definedName>
    <definedName name="\1008">#REF!</definedName>
    <definedName name="\1009">#REF!</definedName>
    <definedName name="\101">#REF!</definedName>
    <definedName name="\1010">#REF!</definedName>
    <definedName name="\102">#REF!</definedName>
    <definedName name="\1020">#REF!</definedName>
    <definedName name="\1022">#REF!</definedName>
    <definedName name="\1027">#REF!</definedName>
    <definedName name="\1028">#REF!</definedName>
    <definedName name="\102b">#REF!</definedName>
    <definedName name="\103">#REF!</definedName>
    <definedName name="\1030">#REF!</definedName>
    <definedName name="\104">#REF!</definedName>
    <definedName name="\1040">#REF!</definedName>
    <definedName name="\1043">#REF!</definedName>
    <definedName name="\105">#REF!</definedName>
    <definedName name="\1050">#REF!</definedName>
    <definedName name="\1051">#REF!</definedName>
    <definedName name="\1054">#REF!</definedName>
    <definedName name="\1058">#REF!</definedName>
    <definedName name="\106">#REF!</definedName>
    <definedName name="\1060">#REF!</definedName>
    <definedName name="\1068">#REF!</definedName>
    <definedName name="\107">#REF!</definedName>
    <definedName name="\1070">#REF!</definedName>
    <definedName name="\1075">#REF!</definedName>
    <definedName name="\1076">#REF!</definedName>
    <definedName name="\1077">#REF!</definedName>
    <definedName name="\1079">#REF!</definedName>
    <definedName name="\108">#REF!</definedName>
    <definedName name="\1080">#REF!</definedName>
    <definedName name="\109">#REF!</definedName>
    <definedName name="\1090">#REF!</definedName>
    <definedName name="\110">#REF!</definedName>
    <definedName name="\1100">#REF!</definedName>
    <definedName name="\1101">#REF!</definedName>
    <definedName name="\1103">#REF!</definedName>
    <definedName name="\1104">#REF!</definedName>
    <definedName name="\1106">#REF!</definedName>
    <definedName name="\1107">#REF!</definedName>
    <definedName name="\1108">#REF!</definedName>
    <definedName name="\1109">#REF!</definedName>
    <definedName name="\110D">#REF!</definedName>
    <definedName name="\111">#REF!</definedName>
    <definedName name="\1110">#REF!</definedName>
    <definedName name="\1111">#REF!</definedName>
    <definedName name="\1113">#REF!</definedName>
    <definedName name="\11130">#REF!</definedName>
    <definedName name="\1114">#REF!</definedName>
    <definedName name="\1115">#REF!</definedName>
    <definedName name="\1116">#REF!</definedName>
    <definedName name="\1118">#REF!</definedName>
    <definedName name="\1119">#REF!</definedName>
    <definedName name="\112">#REF!</definedName>
    <definedName name="\1120">#REF!</definedName>
    <definedName name="\1121">#REF!</definedName>
    <definedName name="\1122">#REF!</definedName>
    <definedName name="\1124">#REF!</definedName>
    <definedName name="\1125">#REF!</definedName>
    <definedName name="\1127">#REF!</definedName>
    <definedName name="\113">#REF!</definedName>
    <definedName name="\1130">#REF!</definedName>
    <definedName name="\1131">#REF!</definedName>
    <definedName name="\1132">#REF!</definedName>
    <definedName name="\1133">#REF!</definedName>
    <definedName name="\1139">#REF!</definedName>
    <definedName name="\114">#REF!</definedName>
    <definedName name="\1140">#REF!</definedName>
    <definedName name="\1141">#REF!</definedName>
    <definedName name="\1142">#REF!</definedName>
    <definedName name="\11423">#REF!</definedName>
    <definedName name="\1143">#REF!</definedName>
    <definedName name="\1144">#REF!</definedName>
    <definedName name="\11450">#REF!</definedName>
    <definedName name="\1146">#REF!</definedName>
    <definedName name="\1147">#REF!</definedName>
    <definedName name="\1148">#REF!</definedName>
    <definedName name="\1149">#REF!</definedName>
    <definedName name="\115">#REF!</definedName>
    <definedName name="\1150">#REF!</definedName>
    <definedName name="\1151">#REF!</definedName>
    <definedName name="\1152">#REF!</definedName>
    <definedName name="\1156">#REF!</definedName>
    <definedName name="\1157">#REF!</definedName>
    <definedName name="\1158">#REF!</definedName>
    <definedName name="\116">#REF!</definedName>
    <definedName name="\1160">#REF!</definedName>
    <definedName name="\1161">#REF!</definedName>
    <definedName name="\1162">#REF!</definedName>
    <definedName name="\1165">#REF!</definedName>
    <definedName name="\1166">#REF!</definedName>
    <definedName name="\1167">#REF!</definedName>
    <definedName name="\117">#REF!</definedName>
    <definedName name="\1170">#REF!</definedName>
    <definedName name="\1172">#REF!</definedName>
    <definedName name="\117b">#REF!</definedName>
    <definedName name="\118">#REF!</definedName>
    <definedName name="\1180">#REF!</definedName>
    <definedName name="\1181">#REF!</definedName>
    <definedName name="\119">#REF!</definedName>
    <definedName name="\1190">#REF!</definedName>
    <definedName name="\12">#REF!</definedName>
    <definedName name="\121">#REF!</definedName>
    <definedName name="\1210">#REF!</definedName>
    <definedName name="\1214">#REF!</definedName>
    <definedName name="\122">#REF!</definedName>
    <definedName name="\1220">#REF!</definedName>
    <definedName name="\1225">#REF!</definedName>
    <definedName name="\123">#REF!</definedName>
    <definedName name="\1230">#REF!</definedName>
    <definedName name="\1232">#REF!</definedName>
    <definedName name="\1234">#REF!</definedName>
    <definedName name="\1238">#REF!</definedName>
    <definedName name="\124">#REF!</definedName>
    <definedName name="\1240">#REF!</definedName>
    <definedName name="\1243">#REF!</definedName>
    <definedName name="\1248">#REF!</definedName>
    <definedName name="\125">#REF!</definedName>
    <definedName name="\1250">#REF!</definedName>
    <definedName name="\1252">#REF!</definedName>
    <definedName name="\1254">#REF!</definedName>
    <definedName name="\126">#REF!</definedName>
    <definedName name="\1260">#REF!</definedName>
    <definedName name="\1264">#REF!</definedName>
    <definedName name="\1268">#REF!</definedName>
    <definedName name="\127">#REF!</definedName>
    <definedName name="\1270">#REF!</definedName>
    <definedName name="\128">#REF!</definedName>
    <definedName name="\1280">#REF!</definedName>
    <definedName name="\1282">#REF!</definedName>
    <definedName name="\129">#REF!</definedName>
    <definedName name="\1294">#REF!</definedName>
    <definedName name="\1295">#REF!</definedName>
    <definedName name="\1296">#REF!</definedName>
    <definedName name="\1297">#REF!</definedName>
    <definedName name="\1299">#REF!</definedName>
    <definedName name="\130">#REF!</definedName>
    <definedName name="\1300">#REF!</definedName>
    <definedName name="\13000">#REF!</definedName>
    <definedName name="\131">#REF!</definedName>
    <definedName name="\1310">#REF!</definedName>
    <definedName name="\132">#REF!</definedName>
    <definedName name="\1320">#REF!</definedName>
    <definedName name="\136">#REF!</definedName>
    <definedName name="\137">#REF!</definedName>
    <definedName name="\1370">#REF!</definedName>
    <definedName name="\138">#REF!</definedName>
    <definedName name="\140">#REF!</definedName>
    <definedName name="\1400">#REF!</definedName>
    <definedName name="\1431">#REF!</definedName>
    <definedName name="\1433">#REF!</definedName>
    <definedName name="\1439">#REF!</definedName>
    <definedName name="\1446">#REF!</definedName>
    <definedName name="\1447">#REF!</definedName>
    <definedName name="\1451">#REF!</definedName>
    <definedName name="\1452">#REF!</definedName>
    <definedName name="\1453">#REF!</definedName>
    <definedName name="\150">#REF!</definedName>
    <definedName name="\1500">#REF!</definedName>
    <definedName name="\151">#REF!</definedName>
    <definedName name="\1510">#REF!</definedName>
    <definedName name="\151W">#REF!</definedName>
    <definedName name="\152">#REF!</definedName>
    <definedName name="\1520">#REF!</definedName>
    <definedName name="\1526">#REF!</definedName>
    <definedName name="\152B">#REF!</definedName>
    <definedName name="\153">#REF!</definedName>
    <definedName name="\1530">#REF!</definedName>
    <definedName name="\154">#REF!</definedName>
    <definedName name="\155">#REF!</definedName>
    <definedName name="\1550">#REF!</definedName>
    <definedName name="\156">#REF!</definedName>
    <definedName name="\1560">#REF!</definedName>
    <definedName name="\157">#REF!</definedName>
    <definedName name="\1570">#REF!</definedName>
    <definedName name="\158">#REF!</definedName>
    <definedName name="\1580">#REF!</definedName>
    <definedName name="\159">#REF!</definedName>
    <definedName name="\1590">#REF!</definedName>
    <definedName name="\160">#REF!</definedName>
    <definedName name="\161">#REF!</definedName>
    <definedName name="\1610">#REF!</definedName>
    <definedName name="\162">#REF!</definedName>
    <definedName name="\1620">#REF!</definedName>
    <definedName name="\164">#REF!</definedName>
    <definedName name="\165">#REF!</definedName>
    <definedName name="\1650">#REF!</definedName>
    <definedName name="\166">#REF!</definedName>
    <definedName name="\1660">#REF!</definedName>
    <definedName name="\167">#REF!</definedName>
    <definedName name="\1670">#REF!</definedName>
    <definedName name="\168">#REF!</definedName>
    <definedName name="\1680">#REF!</definedName>
    <definedName name="\169">#REF!</definedName>
    <definedName name="\1690">#REF!</definedName>
    <definedName name="\170">#REF!</definedName>
    <definedName name="\1700">#REF!</definedName>
    <definedName name="\179">#REF!</definedName>
    <definedName name="\180">#REF!</definedName>
    <definedName name="\181">#REF!</definedName>
    <definedName name="\182">#REF!</definedName>
    <definedName name="\184725">#REF!</definedName>
    <definedName name="\184725155">#REF!</definedName>
    <definedName name="\184725513">#REF!</definedName>
    <definedName name="\184725518">#REF!</definedName>
    <definedName name="\184725521">#REF!</definedName>
    <definedName name="\184725522">#REF!</definedName>
    <definedName name="\184725523">#REF!</definedName>
    <definedName name="\184725527">#REF!</definedName>
    <definedName name="\184725531">#REF!</definedName>
    <definedName name="\184725532">#REF!</definedName>
    <definedName name="\184725534">#REF!</definedName>
    <definedName name="\184725536">#REF!</definedName>
    <definedName name="\184725545">#REF!</definedName>
    <definedName name="\184725561">#REF!</definedName>
    <definedName name="\1900">#REF!</definedName>
    <definedName name="\1902">#REF!</definedName>
    <definedName name="\1903">#REF!</definedName>
    <definedName name="\1904">#REF!</definedName>
    <definedName name="\1908">#REF!</definedName>
    <definedName name="\1909">#REF!</definedName>
    <definedName name="\1910">#REF!</definedName>
    <definedName name="\1911">#REF!</definedName>
    <definedName name="\1912">#REF!</definedName>
    <definedName name="\1913">#REF!</definedName>
    <definedName name="\1914">#REF!</definedName>
    <definedName name="\1915">#REF!</definedName>
    <definedName name="\1917">#REF!</definedName>
    <definedName name="\1919">#REF!</definedName>
    <definedName name="\1920">#REF!</definedName>
    <definedName name="\1921">#REF!</definedName>
    <definedName name="\1922">#REF!</definedName>
    <definedName name="\1923">#REF!</definedName>
    <definedName name="\1926">#REF!</definedName>
    <definedName name="\1929">#REF!</definedName>
    <definedName name="\1930">#REF!</definedName>
    <definedName name="\1938">#REF!</definedName>
    <definedName name="\1939">#REF!</definedName>
    <definedName name="\1942">#REF!</definedName>
    <definedName name="\1945">#REF!</definedName>
    <definedName name="\1946">#REF!</definedName>
    <definedName name="\1949">#REF!</definedName>
    <definedName name="\1955">#REF!</definedName>
    <definedName name="\196">#REF!</definedName>
    <definedName name="\1961">#REF!</definedName>
    <definedName name="\1968">#REF!</definedName>
    <definedName name="\1970">#REF!</definedName>
    <definedName name="\1971">#REF!</definedName>
    <definedName name="\1972">#REF!</definedName>
    <definedName name="\1973">#REF!</definedName>
    <definedName name="\1974">#REF!</definedName>
    <definedName name="\1975">#REF!</definedName>
    <definedName name="\1977">#REF!</definedName>
    <definedName name="\1980">#REF!</definedName>
    <definedName name="\1983">#REF!</definedName>
    <definedName name="\1987">#REF!</definedName>
    <definedName name="\1988">#REF!</definedName>
    <definedName name="\1992">#REF!</definedName>
    <definedName name="\1993">#REF!</definedName>
    <definedName name="\1994">#REF!</definedName>
    <definedName name="\19xx">#REF!</definedName>
    <definedName name="\2">#REF!</definedName>
    <definedName name="\2001">#REF!</definedName>
    <definedName name="\2060">#REF!</definedName>
    <definedName name="\214">#REF!</definedName>
    <definedName name="\2140">#REF!</definedName>
    <definedName name="\222">#REF!</definedName>
    <definedName name="\225">#REF!</definedName>
    <definedName name="\2250">#REF!</definedName>
    <definedName name="\230">#REF!</definedName>
    <definedName name="\2300">#REF!</definedName>
    <definedName name="\232">#REF!</definedName>
    <definedName name="\2320">#REF!</definedName>
    <definedName name="\233">#REF!</definedName>
    <definedName name="\234">#REF!</definedName>
    <definedName name="\2340">#REF!</definedName>
    <definedName name="\238">#REF!</definedName>
    <definedName name="\2380">#REF!</definedName>
    <definedName name="\240">#REF!</definedName>
    <definedName name="\2400">#REF!</definedName>
    <definedName name="\243">#REF!</definedName>
    <definedName name="\2430">#REF!</definedName>
    <definedName name="\248">#REF!</definedName>
    <definedName name="\2480">#REF!</definedName>
    <definedName name="\252">#REF!</definedName>
    <definedName name="\2520">#REF!</definedName>
    <definedName name="\254">#REF!</definedName>
    <definedName name="\2540">#REF!</definedName>
    <definedName name="\260">#REF!</definedName>
    <definedName name="\2600">#REF!</definedName>
    <definedName name="\264">#REF!</definedName>
    <definedName name="\2640">#REF!</definedName>
    <definedName name="\268">#REF!</definedName>
    <definedName name="\2680">#REF!</definedName>
    <definedName name="\270">#REF!</definedName>
    <definedName name="\2700">#REF!</definedName>
    <definedName name="\27010103">#REF!</definedName>
    <definedName name="\275">#REF!</definedName>
    <definedName name="\280">#REF!</definedName>
    <definedName name="\2800">#REF!</definedName>
    <definedName name="\282">#REF!</definedName>
    <definedName name="\2820">#REF!</definedName>
    <definedName name="\294">#REF!</definedName>
    <definedName name="\2940">#REF!</definedName>
    <definedName name="\295">#REF!</definedName>
    <definedName name="\2950">#REF!</definedName>
    <definedName name="\296">#REF!</definedName>
    <definedName name="\2960">#REF!</definedName>
    <definedName name="\297">#REF!</definedName>
    <definedName name="\2970">#REF!</definedName>
    <definedName name="\299">#REF!</definedName>
    <definedName name="\2990">#REF!</definedName>
    <definedName name="\3020">#REF!</definedName>
    <definedName name="\3094">#REF!</definedName>
    <definedName name="\3100">#REF!</definedName>
    <definedName name="\3101">#REF!</definedName>
    <definedName name="\3102">#REF!</definedName>
    <definedName name="\3103">#REF!</definedName>
    <definedName name="\3104">#REF!</definedName>
    <definedName name="\3156">#REF!</definedName>
    <definedName name="\3157">#REF!</definedName>
    <definedName name="\3173">#REF!</definedName>
    <definedName name="\330">#REF!</definedName>
    <definedName name="\3409">#REF!</definedName>
    <definedName name="\350">#REF!</definedName>
    <definedName name="\40?299">#REF!</definedName>
    <definedName name="\426">#REF!</definedName>
    <definedName name="\4260">#REF!</definedName>
    <definedName name="\427">#REF!</definedName>
    <definedName name="\4270">#REF!</definedName>
    <definedName name="\4279">#REF!</definedName>
    <definedName name="\428">#REF!</definedName>
    <definedName name="\431">#REF!</definedName>
    <definedName name="\4310">#REF!</definedName>
    <definedName name="\432">#REF!</definedName>
    <definedName name="\4320">#REF!</definedName>
    <definedName name="\433">#REF!</definedName>
    <definedName name="\4330">#REF!</definedName>
    <definedName name="\436">#REF!</definedName>
    <definedName name="\4360">#REF!</definedName>
    <definedName name="\439">#REF!</definedName>
    <definedName name="\4390">#REF!</definedName>
    <definedName name="\4410">#REF!</definedName>
    <definedName name="\4412">#REF!</definedName>
    <definedName name="\442">#REF!</definedName>
    <definedName name="\443">#REF!</definedName>
    <definedName name="\4445">#REF!</definedName>
    <definedName name="\446">#REF!</definedName>
    <definedName name="\4460">#REF!</definedName>
    <definedName name="\447">#REF!</definedName>
    <definedName name="\4470">#REF!</definedName>
    <definedName name="\449">#REF!</definedName>
    <definedName name="\4498">#REF!</definedName>
    <definedName name="\450">#REF!</definedName>
    <definedName name="\4500">#REF!</definedName>
    <definedName name="\451">#REF!</definedName>
    <definedName name="\4510">#REF!</definedName>
    <definedName name="\452">#REF!</definedName>
    <definedName name="\4520">#REF!</definedName>
    <definedName name="\453">#REF!</definedName>
    <definedName name="\4530">#REF!</definedName>
    <definedName name="\454">#REF!</definedName>
    <definedName name="\460">#REF!</definedName>
    <definedName name="\462">#REF!</definedName>
    <definedName name="\499">#REF!</definedName>
    <definedName name="\4990">#REF!</definedName>
    <definedName name="\500">#REF!</definedName>
    <definedName name="\5000">#REF!</definedName>
    <definedName name="\501">#REF!</definedName>
    <definedName name="\5010">#REF!</definedName>
    <definedName name="\502">#REF!</definedName>
    <definedName name="\5020">#REF!</definedName>
    <definedName name="\503">#REF!</definedName>
    <definedName name="\504">#REF!</definedName>
    <definedName name="\505">#REF!</definedName>
    <definedName name="\506">#REF!</definedName>
    <definedName name="\507">#REF!</definedName>
    <definedName name="\509">#REF!</definedName>
    <definedName name="\510">#REF!</definedName>
    <definedName name="\511">#REF!</definedName>
    <definedName name="\512">#REF!</definedName>
    <definedName name="\513">#REF!</definedName>
    <definedName name="\514">#REF!</definedName>
    <definedName name="\515">#REF!</definedName>
    <definedName name="\5150">#REF!</definedName>
    <definedName name="\516">#REF!</definedName>
    <definedName name="\517">#REF!</definedName>
    <definedName name="\518">#REF!</definedName>
    <definedName name="\5180">#REF!</definedName>
    <definedName name="\519">#REF!</definedName>
    <definedName name="\5190">#REF!</definedName>
    <definedName name="\520">#REF!</definedName>
    <definedName name="\5200">#REF!</definedName>
    <definedName name="\521">#REF!</definedName>
    <definedName name="\5210">#REF!</definedName>
    <definedName name="\522">#REF!</definedName>
    <definedName name="\5220">#REF!</definedName>
    <definedName name="\523">#REF!</definedName>
    <definedName name="\5230">#REF!</definedName>
    <definedName name="\524">#REF!</definedName>
    <definedName name="\5240">#REF!</definedName>
    <definedName name="\525">#REF!</definedName>
    <definedName name="\5250">#REF!</definedName>
    <definedName name="\526">#REF!</definedName>
    <definedName name="\5260">#REF!</definedName>
    <definedName name="\527">#REF!</definedName>
    <definedName name="\5270">#REF!</definedName>
    <definedName name="\528">#REF!</definedName>
    <definedName name="\5280">#REF!</definedName>
    <definedName name="\529">#REF!</definedName>
    <definedName name="\5290">#REF!</definedName>
    <definedName name="\53">#REF!</definedName>
    <definedName name="\530">#REF!</definedName>
    <definedName name="\5300">#REF!</definedName>
    <definedName name="\531">#REF!</definedName>
    <definedName name="\5310">#REF!</definedName>
    <definedName name="\532">#REF!</definedName>
    <definedName name="\5320">#REF!</definedName>
    <definedName name="\533">#REF!</definedName>
    <definedName name="\5330">#REF!</definedName>
    <definedName name="\534">#REF!</definedName>
    <definedName name="\5340">#REF!</definedName>
    <definedName name="\535">#REF!</definedName>
    <definedName name="\5350">#REF!</definedName>
    <definedName name="\536">#REF!</definedName>
    <definedName name="\5360">#REF!</definedName>
    <definedName name="\537">#REF!</definedName>
    <definedName name="\5370">#REF!</definedName>
    <definedName name="\538">#REF!</definedName>
    <definedName name="\5380">#REF!</definedName>
    <definedName name="\539">#REF!</definedName>
    <definedName name="\5390">#REF!</definedName>
    <definedName name="\540">#REF!</definedName>
    <definedName name="\541">#REF!</definedName>
    <definedName name="\542">#REF!</definedName>
    <definedName name="\5420">#REF!</definedName>
    <definedName name="\543">#REF!</definedName>
    <definedName name="\5430">#REF!</definedName>
    <definedName name="\544">#REF!</definedName>
    <definedName name="\5440">#REF!</definedName>
    <definedName name="\545">#REF!</definedName>
    <definedName name="\546">#REF!</definedName>
    <definedName name="\5460">#REF!</definedName>
    <definedName name="\547">#REF!</definedName>
    <definedName name="\548">#REF!</definedName>
    <definedName name="\5480">#REF!</definedName>
    <definedName name="\549">#REF!</definedName>
    <definedName name="\5490">#REF!</definedName>
    <definedName name="\550">#REF!</definedName>
    <definedName name="\5500">#REF!</definedName>
    <definedName name="\551">#REF!</definedName>
    <definedName name="\5510">#REF!</definedName>
    <definedName name="\552">#REF!</definedName>
    <definedName name="\5520">#REF!</definedName>
    <definedName name="\553">#REF!</definedName>
    <definedName name="\554">#REF!</definedName>
    <definedName name="\5540">#REF!</definedName>
    <definedName name="\555">#REF!</definedName>
    <definedName name="\5550">#REF!</definedName>
    <definedName name="\556">#REF!</definedName>
    <definedName name="\557">#REF!</definedName>
    <definedName name="\558">#REF!</definedName>
    <definedName name="\559">#REF!</definedName>
    <definedName name="\560">#REF!</definedName>
    <definedName name="\561">#REF!</definedName>
    <definedName name="\562">#REF!</definedName>
    <definedName name="\5620">#REF!</definedName>
    <definedName name="\563">#REF!</definedName>
    <definedName name="\5630">#REF!</definedName>
    <definedName name="\564">#REF!</definedName>
    <definedName name="\5640">#REF!</definedName>
    <definedName name="\565">#REF!</definedName>
    <definedName name="\5650">#REF!</definedName>
    <definedName name="\566">#REF!</definedName>
    <definedName name="\5660">#REF!</definedName>
    <definedName name="\567">#REF!</definedName>
    <definedName name="\568">#REF!</definedName>
    <definedName name="\569">#REF!</definedName>
    <definedName name="\570">#REF!</definedName>
    <definedName name="\571">#REF!</definedName>
    <definedName name="\572">#REF!</definedName>
    <definedName name="\573">#REF!</definedName>
    <definedName name="\5730">#REF!</definedName>
    <definedName name="\574">#REF!</definedName>
    <definedName name="\575">#REF!</definedName>
    <definedName name="\5750">#REF!</definedName>
    <definedName name="\576">#REF!</definedName>
    <definedName name="\578">#REF!</definedName>
    <definedName name="\5780">#REF!</definedName>
    <definedName name="\579">#REF!</definedName>
    <definedName name="\5790">#REF!</definedName>
    <definedName name="\580">#REF!</definedName>
    <definedName name="\5800">#REF!</definedName>
    <definedName name="\581">#REF!</definedName>
    <definedName name="\582">#REF!</definedName>
    <definedName name="\5820">#REF!</definedName>
    <definedName name="\583">#REF!</definedName>
    <definedName name="\58319517">#REF!</definedName>
    <definedName name="\584">#REF!</definedName>
    <definedName name="\585">#REF!</definedName>
    <definedName name="\587">#REF!</definedName>
    <definedName name="\5870">#REF!</definedName>
    <definedName name="\590">#REF!</definedName>
    <definedName name="\591">#REF!</definedName>
    <definedName name="\592">#REF!</definedName>
    <definedName name="\59209517">#REF!</definedName>
    <definedName name="\593">#REF!</definedName>
    <definedName name="\59373155">#REF!</definedName>
    <definedName name="\59373517">#REF!</definedName>
    <definedName name="\594">#REF!</definedName>
    <definedName name="\59488155">#REF!</definedName>
    <definedName name="\59488517">#REF!</definedName>
    <definedName name="\59490155">#REF!</definedName>
    <definedName name="\59490517">#REF!</definedName>
    <definedName name="\59497155">#REF!</definedName>
    <definedName name="\59497517">#REF!</definedName>
    <definedName name="\59780155">#REF!</definedName>
    <definedName name="\59780517">#REF!</definedName>
    <definedName name="\59783517">#REF!</definedName>
    <definedName name="\598">#REF!</definedName>
    <definedName name="\59882517">#REF!</definedName>
    <definedName name="\59884517">#REF!</definedName>
    <definedName name="\5988517">#REF!</definedName>
    <definedName name="\59887517">#REF!</definedName>
    <definedName name="\59901517">#REF!</definedName>
    <definedName name="\59929517">#REF!</definedName>
    <definedName name="\610">#REF!</definedName>
    <definedName name="\654">#REF!</definedName>
    <definedName name="\658">#REF!</definedName>
    <definedName name="\661">#REF!</definedName>
    <definedName name="\663">#REF!</definedName>
    <definedName name="\670">#REF!</definedName>
    <definedName name="\671">#REF!</definedName>
    <definedName name="\676">#REF!</definedName>
    <definedName name="\692">#REF!</definedName>
    <definedName name="\705">#REF!</definedName>
    <definedName name="\710">#REF!</definedName>
    <definedName name="\720">#REF!</definedName>
    <definedName name="\721">#REF!</definedName>
    <definedName name="\722">#REF!</definedName>
    <definedName name="\723">#REF!</definedName>
    <definedName name="\725">#REF!</definedName>
    <definedName name="\7250">#REF!</definedName>
    <definedName name="\750">#REF!</definedName>
    <definedName name="\7500">#REF!</definedName>
    <definedName name="\753">#REF!</definedName>
    <definedName name="\7530">#REF!</definedName>
    <definedName name="\754">#REF!</definedName>
    <definedName name="\7540">#REF!</definedName>
    <definedName name="\756">#REF!</definedName>
    <definedName name="\7560">#REF!</definedName>
    <definedName name="\760">#REF!</definedName>
    <definedName name="\8319155">#REF!</definedName>
    <definedName name="\8319518">#REF!</definedName>
    <definedName name="\8319521">#REF!</definedName>
    <definedName name="\8319522">#REF!</definedName>
    <definedName name="\8319523">#REF!</definedName>
    <definedName name="\8319527">#REF!</definedName>
    <definedName name="\8319531">#REF!</definedName>
    <definedName name="\8319532">#REF!</definedName>
    <definedName name="\8319534">#REF!</definedName>
    <definedName name="\8319536">#REF!</definedName>
    <definedName name="\8319545">#REF!</definedName>
    <definedName name="\8319561">#REF!</definedName>
    <definedName name="\900">#REF!</definedName>
    <definedName name="\903">#REF!</definedName>
    <definedName name="\904">#REF!</definedName>
    <definedName name="\906">#REF!</definedName>
    <definedName name="\909">#REF!</definedName>
    <definedName name="\910">#REF!</definedName>
    <definedName name="\911">#REF!</definedName>
    <definedName name="\912">#REF!</definedName>
    <definedName name="\913">#REF!</definedName>
    <definedName name="\914">#REF!</definedName>
    <definedName name="\915">#REF!</definedName>
    <definedName name="\916">#REF!</definedName>
    <definedName name="\917">#REF!</definedName>
    <definedName name="\918">#REF!</definedName>
    <definedName name="\919">#REF!</definedName>
    <definedName name="\920">#REF!</definedName>
    <definedName name="\9209155">#REF!</definedName>
    <definedName name="\9209513">#REF!</definedName>
    <definedName name="\9209518">#REF!</definedName>
    <definedName name="\9209521">#REF!</definedName>
    <definedName name="\9209522">#REF!</definedName>
    <definedName name="\9209523">#REF!</definedName>
    <definedName name="\9209527">#REF!</definedName>
    <definedName name="\9209532">#REF!</definedName>
    <definedName name="\9209534">#REF!</definedName>
    <definedName name="\9209536">#REF!</definedName>
    <definedName name="\9209545">#REF!</definedName>
    <definedName name="\9209561">#REF!</definedName>
    <definedName name="\921">#REF!</definedName>
    <definedName name="\922">#REF!</definedName>
    <definedName name="\923">#REF!</definedName>
    <definedName name="\925">#REF!</definedName>
    <definedName name="\926">#REF!</definedName>
    <definedName name="\929">#REF!</definedName>
    <definedName name="\930">#REF!</definedName>
    <definedName name="\931">#REF!</definedName>
    <definedName name="\932">#REF!</definedName>
    <definedName name="\933">#REF!</definedName>
    <definedName name="\934">#REF!</definedName>
    <definedName name="\935">#REF!</definedName>
    <definedName name="\936">#REF!</definedName>
    <definedName name="\937">#REF!</definedName>
    <definedName name="\93730561">#REF!</definedName>
    <definedName name="\9373513">#REF!</definedName>
    <definedName name="\9373518">#REF!</definedName>
    <definedName name="\9373519">#REF!</definedName>
    <definedName name="\9373521">#REF!</definedName>
    <definedName name="\9373523">#REF!</definedName>
    <definedName name="\9373527">#REF!</definedName>
    <definedName name="\9373531">#REF!</definedName>
    <definedName name="\9373532">#REF!</definedName>
    <definedName name="\9373534">#REF!</definedName>
    <definedName name="\9373536">#REF!</definedName>
    <definedName name="\9373545">#REF!</definedName>
    <definedName name="\9373561">#REF!</definedName>
    <definedName name="\939">#REF!</definedName>
    <definedName name="\940">#REF!</definedName>
    <definedName name="\942">#REF!</definedName>
    <definedName name="\943">#REF!</definedName>
    <definedName name="\944">#REF!</definedName>
    <definedName name="\945">#REF!</definedName>
    <definedName name="\947">#REF!</definedName>
    <definedName name="\948">#REF!</definedName>
    <definedName name="\94880532">#REF!</definedName>
    <definedName name="\9488513">#REF!</definedName>
    <definedName name="\9488518">#REF!</definedName>
    <definedName name="\9488521">#REF!</definedName>
    <definedName name="\9488522">#REF!</definedName>
    <definedName name="\9488527">#REF!</definedName>
    <definedName name="\9488531">#REF!</definedName>
    <definedName name="\9488534">#REF!</definedName>
    <definedName name="\9488536">#REF!</definedName>
    <definedName name="\9488545">#REF!</definedName>
    <definedName name="\9488561">#REF!</definedName>
    <definedName name="\9490513">#REF!</definedName>
    <definedName name="\9490518">#REF!</definedName>
    <definedName name="\9490521">#REF!</definedName>
    <definedName name="\9490522">#REF!</definedName>
    <definedName name="\9490523">#REF!</definedName>
    <definedName name="\9490531">#REF!</definedName>
    <definedName name="\9490532">#REF!</definedName>
    <definedName name="\9490534">#REF!</definedName>
    <definedName name="\9490536">#REF!</definedName>
    <definedName name="\9490545">#REF!</definedName>
    <definedName name="\9490561">#REF!</definedName>
    <definedName name="\9497513">#REF!</definedName>
    <definedName name="\9497518">#REF!</definedName>
    <definedName name="\9497522">#REF!</definedName>
    <definedName name="\9497523">#REF!</definedName>
    <definedName name="\9497527">#REF!</definedName>
    <definedName name="\9497531">#REF!</definedName>
    <definedName name="\9497532">#REF!</definedName>
    <definedName name="\9497534">#REF!</definedName>
    <definedName name="\9497536">#REF!</definedName>
    <definedName name="\9497545">#REF!</definedName>
    <definedName name="\9497561">#REF!</definedName>
    <definedName name="\950">#REF!</definedName>
    <definedName name="\953">#REF!</definedName>
    <definedName name="\954">#REF!</definedName>
    <definedName name="\957">#REF!</definedName>
    <definedName name="\959">#REF!</definedName>
    <definedName name="\961">#REF!</definedName>
    <definedName name="\964">#REF!</definedName>
    <definedName name="\966">#REF!</definedName>
    <definedName name="\967">#REF!</definedName>
    <definedName name="\968">#REF!</definedName>
    <definedName name="\970">#REF!</definedName>
    <definedName name="\971">#REF!</definedName>
    <definedName name="\972">#REF!</definedName>
    <definedName name="\973">#REF!</definedName>
    <definedName name="\974">#REF!</definedName>
    <definedName name="\975">#REF!</definedName>
    <definedName name="\977">#REF!</definedName>
    <definedName name="\9780513">#REF!</definedName>
    <definedName name="\9780518">#REF!</definedName>
    <definedName name="\9780521">#REF!</definedName>
    <definedName name="\9780522">#REF!</definedName>
    <definedName name="\9780523">#REF!</definedName>
    <definedName name="\9780527">#REF!</definedName>
    <definedName name="\9780531">#REF!</definedName>
    <definedName name="\9780532">#REF!</definedName>
    <definedName name="\9780536">#REF!</definedName>
    <definedName name="\9780545">#REF!</definedName>
    <definedName name="\9780561">#REF!</definedName>
    <definedName name="\97830523">#REF!</definedName>
    <definedName name="\9783155">#REF!</definedName>
    <definedName name="\9783513">#REF!</definedName>
    <definedName name="\9783518">#REF!</definedName>
    <definedName name="\9783521">#REF!</definedName>
    <definedName name="\9783522">#REF!</definedName>
    <definedName name="\9783523">#REF!</definedName>
    <definedName name="\9783527">#REF!</definedName>
    <definedName name="\9783531">#REF!</definedName>
    <definedName name="\9783534">#REF!</definedName>
    <definedName name="\9783536">#REF!</definedName>
    <definedName name="\9783545">#REF!</definedName>
    <definedName name="\9783561">#REF!</definedName>
    <definedName name="\980">#REF!</definedName>
    <definedName name="\988">#REF!</definedName>
    <definedName name="\9882155">#REF!</definedName>
    <definedName name="\9882513">#REF!</definedName>
    <definedName name="\9882521">#REF!</definedName>
    <definedName name="\9882522">#REF!</definedName>
    <definedName name="\9882523">#REF!</definedName>
    <definedName name="\9882527">#REF!</definedName>
    <definedName name="\9882531">#REF!</definedName>
    <definedName name="\9882532">#REF!</definedName>
    <definedName name="\9882534">#REF!</definedName>
    <definedName name="\9882536">#REF!</definedName>
    <definedName name="\9882545">#REF!</definedName>
    <definedName name="\9882561">#REF!</definedName>
    <definedName name="\9884155">#REF!</definedName>
    <definedName name="\9884513">#REF!</definedName>
    <definedName name="\9884518">#REF!</definedName>
    <definedName name="\9884520">#REF!</definedName>
    <definedName name="\9884521">#REF!</definedName>
    <definedName name="\9884522">#REF!</definedName>
    <definedName name="\9884523">#REF!</definedName>
    <definedName name="\9884527">#REF!</definedName>
    <definedName name="\9884531">#REF!</definedName>
    <definedName name="\9884532">#REF!</definedName>
    <definedName name="\9884534">#REF!</definedName>
    <definedName name="\9884545">#REF!</definedName>
    <definedName name="\9884561">#REF!</definedName>
    <definedName name="\9887513">#REF!</definedName>
    <definedName name="\9887518">#REF!</definedName>
    <definedName name="\9887521">#REF!</definedName>
    <definedName name="\9887522">#REF!</definedName>
    <definedName name="\9887523">#REF!</definedName>
    <definedName name="\9887527">#REF!</definedName>
    <definedName name="\9887531">#REF!</definedName>
    <definedName name="\9887532">#REF!</definedName>
    <definedName name="\9887534">#REF!</definedName>
    <definedName name="\9887536">#REF!</definedName>
    <definedName name="\9887545">#REF!</definedName>
    <definedName name="\9887561">#REF!</definedName>
    <definedName name="\9888522">#REF!</definedName>
    <definedName name="\9888531">#REF!</definedName>
    <definedName name="\9901155">#REF!</definedName>
    <definedName name="\9901513">#REF!</definedName>
    <definedName name="\9901518">#REF!</definedName>
    <definedName name="\9901521">#REF!</definedName>
    <definedName name="\9901522">#REF!</definedName>
    <definedName name="\9901523">#REF!</definedName>
    <definedName name="\9901527">#REF!</definedName>
    <definedName name="\9901531">#REF!</definedName>
    <definedName name="\9901532">#REF!</definedName>
    <definedName name="\9901534">#REF!</definedName>
    <definedName name="\9901536">#REF!</definedName>
    <definedName name="\9901545">#REF!</definedName>
    <definedName name="\992">#REF!</definedName>
    <definedName name="\9929155">#REF!</definedName>
    <definedName name="\9929513">#REF!</definedName>
    <definedName name="\9929518">#REF!</definedName>
    <definedName name="\9929521">#REF!</definedName>
    <definedName name="\9929522">#REF!</definedName>
    <definedName name="\9929523">#REF!</definedName>
    <definedName name="\9929527">#REF!</definedName>
    <definedName name="\9929531">#REF!</definedName>
    <definedName name="\9929532">#REF!</definedName>
    <definedName name="\9929534">#REF!</definedName>
    <definedName name="\9929536">#REF!</definedName>
    <definedName name="\9929561">#REF!</definedName>
    <definedName name="\993">#REF!</definedName>
    <definedName name="\994">#REF!</definedName>
    <definedName name="\997">#REF!</definedName>
    <definedName name="\998">#REF!</definedName>
    <definedName name="\999">#REF!</definedName>
    <definedName name="\A">#REF!</definedName>
    <definedName name="\A1">#REF!</definedName>
    <definedName name="\A3">#REF!</definedName>
    <definedName name="\b">#REF!</definedName>
    <definedName name="\b3">#REF!</definedName>
    <definedName name="\c">#REF!</definedName>
    <definedName name="\C01">#REF!</definedName>
    <definedName name="\d">#REF!</definedName>
    <definedName name="\dc04">#REF!</definedName>
    <definedName name="\dc07">#REF!</definedName>
    <definedName name="\dc11">#REF!</definedName>
    <definedName name="\dc12">#REF!</definedName>
    <definedName name="\DTA">#REF!</definedName>
    <definedName name="\e">#REF!</definedName>
    <definedName name="\el">#REF!</definedName>
    <definedName name="\f">#REF!</definedName>
    <definedName name="\G">#REF!</definedName>
    <definedName name="\h">#REF!</definedName>
    <definedName name="\i">#REF!</definedName>
    <definedName name="\LHI">#REF!</definedName>
    <definedName name="\LHI_DC">#REF!</definedName>
    <definedName name="\lhi_dc11">#REF!</definedName>
    <definedName name="\lhi04">#REF!</definedName>
    <definedName name="\lhi07">#REF!</definedName>
    <definedName name="\lhi11">#REF!</definedName>
    <definedName name="\lhi12">#REF!</definedName>
    <definedName name="\mwe">#REF!</definedName>
    <definedName name="\n">#REF!</definedName>
    <definedName name="\oob">#REF!</definedName>
    <definedName name="\outstanding">#REF!</definedName>
    <definedName name="\p">#REF!</definedName>
    <definedName name="\P.L">#REF!</definedName>
    <definedName name="\pl">#REF!</definedName>
    <definedName name="\pl0">#REF!</definedName>
    <definedName name="\r">#REF!</definedName>
    <definedName name="\t">#REF!</definedName>
    <definedName name="\u">#REF!</definedName>
    <definedName name="\ytd">#REF!</definedName>
    <definedName name="\z">#REF!</definedName>
    <definedName name="_">#REF!</definedName>
    <definedName name="________________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__________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__________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___dec97" localSheetId="10" hidden="1">{#N/A,#N/A,FALSE,"VARIANCE";#N/A,#N/A,FALSE,"2NDQTR";#N/A,#N/A,FALSE,"1STQTR";#N/A,#N/A,FALSE,"BUDGET"}</definedName>
    <definedName name="_________dec97" localSheetId="3" hidden="1">{#N/A,#N/A,FALSE,"VARIANCE";#N/A,#N/A,FALSE,"2NDQTR";#N/A,#N/A,FALSE,"1STQTR";#N/A,#N/A,FALSE,"BUDGET"}</definedName>
    <definedName name="_________dec97" hidden="1">{#N/A,#N/A,FALSE,"VARIANCE";#N/A,#N/A,FALSE,"2NDQTR";#N/A,#N/A,FALSE,"1STQTR";#N/A,#N/A,FALSE,"BUDGET"}</definedName>
    <definedName name="_________FUP2" localSheetId="10" hidden="1">{"'ALqdUESP'!$B$11"}</definedName>
    <definedName name="_________FUP2" localSheetId="3" hidden="1">{"'ALqdUESP'!$B$11"}</definedName>
    <definedName name="_________FUP2" hidden="1">{"'ALqdUESP'!$B$11"}</definedName>
    <definedName name="________asf3" localSheetId="10" hidden="1">{"USD",#N/A,FALSE,"APLICAR"}</definedName>
    <definedName name="________asf3" localSheetId="3" hidden="1">{"USD",#N/A,FALSE,"APLICAR"}</definedName>
    <definedName name="________asf3" hidden="1">{"USD",#N/A,FALSE,"APLICAR"}</definedName>
    <definedName name="_______asf3" localSheetId="10" hidden="1">{"USD",#N/A,FALSE,"APLICAR"}</definedName>
    <definedName name="_______asf3" localSheetId="3" hidden="1">{"USD",#N/A,FALSE,"APLICAR"}</definedName>
    <definedName name="_______asf3" hidden="1">{"USD",#N/A,FALSE,"APLICAR"}</definedName>
    <definedName name="_______CHK1">#REF!</definedName>
    <definedName name="_______CHK2">#REF!</definedName>
    <definedName name="_______CHK3">#REF!</definedName>
    <definedName name="_______CHK4">#REF!</definedName>
    <definedName name="_______CHK5">#REF!</definedName>
    <definedName name="_______dec97" localSheetId="10" hidden="1">{#N/A,#N/A,FALSE,"VARIANCE";#N/A,#N/A,FALSE,"2NDQTR";#N/A,#N/A,FALSE,"1STQTR";#N/A,#N/A,FALSE,"BUDGET"}</definedName>
    <definedName name="_______dec97" localSheetId="3" hidden="1">{#N/A,#N/A,FALSE,"VARIANCE";#N/A,#N/A,FALSE,"2NDQTR";#N/A,#N/A,FALSE,"1STQTR";#N/A,#N/A,FALSE,"BUDGET"}</definedName>
    <definedName name="_______dec97" hidden="1">{#N/A,#N/A,FALSE,"VARIANCE";#N/A,#N/A,FALSE,"2NDQTR";#N/A,#N/A,FALSE,"1STQTR";#N/A,#N/A,FALSE,"BUDGET"}</definedName>
    <definedName name="_______FUP2" localSheetId="10" hidden="1">{"'ALqdUESP'!$B$11"}</definedName>
    <definedName name="_______FUP2" localSheetId="3" hidden="1">{"'ALqdUESP'!$B$11"}</definedName>
    <definedName name="_______FUP2" hidden="1">{"'ALqdUESP'!$B$11"}</definedName>
    <definedName name="_______ITR3">#REF!</definedName>
    <definedName name="_______KI274">#REF!</definedName>
    <definedName name="_______mov02" localSheetId="10" hidden="1">{"VARIASMOEDAS",#N/A,FALSE,"APLICAR"}</definedName>
    <definedName name="_______mov02" localSheetId="3" hidden="1">{"VARIASMOEDAS",#N/A,FALSE,"APLICAR"}</definedName>
    <definedName name="_______mov02" hidden="1">{"VARIASMOEDAS",#N/A,FALSE,"APLICAR"}</definedName>
    <definedName name="_______PG10">#REF!</definedName>
    <definedName name="_______PG2">#REF!</definedName>
    <definedName name="_______PG3">#REF!</definedName>
    <definedName name="_______PG4">#REF!</definedName>
    <definedName name="_______PG5">#REF!</definedName>
    <definedName name="_______PG6">#REF!</definedName>
    <definedName name="_______PG7">#REF!</definedName>
    <definedName name="_______PG8">#REF!</definedName>
    <definedName name="_______PG9">#REF!</definedName>
    <definedName name="_____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asf3" localSheetId="10" hidden="1">{"USD",#N/A,FALSE,"APLICAR"}</definedName>
    <definedName name="______asf3" localSheetId="3" hidden="1">{"USD",#N/A,FALSE,"APLICAR"}</definedName>
    <definedName name="______asf3" hidden="1">{"USD",#N/A,FALSE,"APLICAR"}</definedName>
    <definedName name="______CHK1">#REF!</definedName>
    <definedName name="______CHK2">#REF!</definedName>
    <definedName name="______CHK3">#REF!</definedName>
    <definedName name="______CHK4">#REF!</definedName>
    <definedName name="______CHK5">#REF!</definedName>
    <definedName name="______dec97" localSheetId="10" hidden="1">{#N/A,#N/A,FALSE,"VARIANCE";#N/A,#N/A,FALSE,"2NDQTR";#N/A,#N/A,FALSE,"1STQTR";#N/A,#N/A,FALSE,"BUDGET"}</definedName>
    <definedName name="______dec97" localSheetId="3" hidden="1">{#N/A,#N/A,FALSE,"VARIANCE";#N/A,#N/A,FALSE,"2NDQTR";#N/A,#N/A,FALSE,"1STQTR";#N/A,#N/A,FALSE,"BUDGET"}</definedName>
    <definedName name="______dec97" hidden="1">{#N/A,#N/A,FALSE,"VARIANCE";#N/A,#N/A,FALSE,"2NDQTR";#N/A,#N/A,FALSE,"1STQTR";#N/A,#N/A,FALSE,"BUDGET"}</definedName>
    <definedName name="______fev07">#REF!</definedName>
    <definedName name="______FUP2" localSheetId="10" hidden="1">{"'ALqdUESP'!$B$11"}</definedName>
    <definedName name="______FUP2" localSheetId="3" hidden="1">{"'ALqdUESP'!$B$11"}</definedName>
    <definedName name="______FUP2" hidden="1">{"'ALqdUESP'!$B$11"}</definedName>
    <definedName name="______IrY5">#REF!</definedName>
    <definedName name="______IrY6">#REF!</definedName>
    <definedName name="______ITR3">#REF!</definedName>
    <definedName name="______jan07">#REF!</definedName>
    <definedName name="______lis05">#REF!</definedName>
    <definedName name="______mar07">#REF!</definedName>
    <definedName name="______mov02" localSheetId="10" hidden="1">{"VARIASMOEDAS",#N/A,FALSE,"APLICAR"}</definedName>
    <definedName name="______mov02" localSheetId="3" hidden="1">{"VARIASMOEDAS",#N/A,FALSE,"APLICAR"}</definedName>
    <definedName name="______mov02" hidden="1">{"VARIASMOEDAS",#N/A,FALSE,"APLICAR"}</definedName>
    <definedName name="______NA06">#REF!</definedName>
    <definedName name="______PG10">#REF!</definedName>
    <definedName name="______PG2">#REF!</definedName>
    <definedName name="______PG3">#REF!</definedName>
    <definedName name="______PG4">#REF!</definedName>
    <definedName name="______PG5">#REF!</definedName>
    <definedName name="______PG6">#REF!</definedName>
    <definedName name="______PG7">#REF!</definedName>
    <definedName name="______PG8">#REF!</definedName>
    <definedName name="______PG9">#REF!</definedName>
    <definedName name="______RD01">#REF!</definedName>
    <definedName name="______SE01">#REF!</definedName>
    <definedName name="______SE02">#REF!</definedName>
    <definedName name="______sm1">#REF!</definedName>
    <definedName name="______TF01">#REF!</definedName>
    <definedName name="____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APP1">#REF!</definedName>
    <definedName name="_____asf3" localSheetId="10" hidden="1">{"USD",#N/A,FALSE,"APLICAR"}</definedName>
    <definedName name="_____asf3" localSheetId="3" hidden="1">{"USD",#N/A,FALSE,"APLICAR"}</definedName>
    <definedName name="_____asf3" hidden="1">{"USD",#N/A,FALSE,"APLICAR"}</definedName>
    <definedName name="_____BSY1">#REF!</definedName>
    <definedName name="_____BSY2">#REF!</definedName>
    <definedName name="_____BSY3">#REF!</definedName>
    <definedName name="_____BSY4">#REF!</definedName>
    <definedName name="_____cc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c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cf3" localSheetId="10" hidden="1">{#N/A,#N/A,FALSE,"BS";#N/A,#N/A,FALSE,"IStat"}</definedName>
    <definedName name="_____cf3" localSheetId="3" hidden="1">{#N/A,#N/A,FALSE,"BS";#N/A,#N/A,FALSE,"IStat"}</definedName>
    <definedName name="_____cf3" hidden="1">{#N/A,#N/A,FALSE,"BS";#N/A,#N/A,FALSE,"IStat"}</definedName>
    <definedName name="_____Cf4" localSheetId="10" hidden="1">{#N/A,#N/A,FALSE,"BS";#N/A,#N/A,FALSE,"IStat"}</definedName>
    <definedName name="_____Cf4" localSheetId="3" hidden="1">{#N/A,#N/A,FALSE,"BS";#N/A,#N/A,FALSE,"IStat"}</definedName>
    <definedName name="_____Cf4" hidden="1">{#N/A,#N/A,FALSE,"BS";#N/A,#N/A,FALSE,"IStat"}</definedName>
    <definedName name="_____CHK1">#REF!</definedName>
    <definedName name="_____CHK2">#REF!</definedName>
    <definedName name="_____CHK3">#REF!</definedName>
    <definedName name="_____CHK4">#REF!</definedName>
    <definedName name="_____CHK5">#REF!</definedName>
    <definedName name="_____dec97" localSheetId="10" hidden="1">{#N/A,#N/A,FALSE,"VARIANCE";#N/A,#N/A,FALSE,"2NDQTR";#N/A,#N/A,FALSE,"1STQTR";#N/A,#N/A,FALSE,"BUDGET"}</definedName>
    <definedName name="_____dec97" localSheetId="3" hidden="1">{#N/A,#N/A,FALSE,"VARIANCE";#N/A,#N/A,FALSE,"2NDQTR";#N/A,#N/A,FALSE,"1STQTR";#N/A,#N/A,FALSE,"BUDGET"}</definedName>
    <definedName name="_____dec97" hidden="1">{#N/A,#N/A,FALSE,"VARIANCE";#N/A,#N/A,FALSE,"2NDQTR";#N/A,#N/A,FALSE,"1STQTR";#N/A,#N/A,FALSE,"BUDGET"}</definedName>
    <definedName name="_____fev07">#REF!</definedName>
    <definedName name="_____FUP2" localSheetId="10" hidden="1">{"'ALqdUESP'!$B$11"}</definedName>
    <definedName name="_____FUP2" localSheetId="3" hidden="1">{"'ALqdUESP'!$B$11"}</definedName>
    <definedName name="_____FUP2" hidden="1">{"'ALqdUESP'!$B$11"}</definedName>
    <definedName name="_____ge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ge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ge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_GrM1">#REF!</definedName>
    <definedName name="_____GrM10">#REF!</definedName>
    <definedName name="_____GrM11">#REF!</definedName>
    <definedName name="_____GrM12">#REF!</definedName>
    <definedName name="_____GrM13">#REF!</definedName>
    <definedName name="_____GrM14">#REF!</definedName>
    <definedName name="_____GrM15">#REF!</definedName>
    <definedName name="_____GrM16">#REF!</definedName>
    <definedName name="_____GrM17">#REF!</definedName>
    <definedName name="_____GrM18">#REF!</definedName>
    <definedName name="_____GrM19">#REF!</definedName>
    <definedName name="_____GrM2">#REF!</definedName>
    <definedName name="_____GrM20">#REF!</definedName>
    <definedName name="_____GrM21">#REF!</definedName>
    <definedName name="_____GrM22">#REF!</definedName>
    <definedName name="_____GrM3">#REF!</definedName>
    <definedName name="_____GrM4">#REF!</definedName>
    <definedName name="_____GrM5">#REF!</definedName>
    <definedName name="_____GrM6">#REF!</definedName>
    <definedName name="_____GrM7">#REF!</definedName>
    <definedName name="_____GrM8">#REF!</definedName>
    <definedName name="_____GrM9">#REF!</definedName>
    <definedName name="_____GrW1">#REF!</definedName>
    <definedName name="_____GrW2">#REF!</definedName>
    <definedName name="_____GrW3">#REF!</definedName>
    <definedName name="_____GrW4">#REF!</definedName>
    <definedName name="_____GrW5">#REF!</definedName>
    <definedName name="_____GrW6">#REF!</definedName>
    <definedName name="_____GrY1">#REF!</definedName>
    <definedName name="_____GrY2">#REF!</definedName>
    <definedName name="_____GrY3">#REF!</definedName>
    <definedName name="_____GrY4">#REF!</definedName>
    <definedName name="_____GrY5">#REF!</definedName>
    <definedName name="_____GrY6">#REF!</definedName>
    <definedName name="_____IrM1">#REF!</definedName>
    <definedName name="_____IrM10">#REF!</definedName>
    <definedName name="_____IrM11">#REF!</definedName>
    <definedName name="_____IrM12">#REF!</definedName>
    <definedName name="_____IrM13">#REF!</definedName>
    <definedName name="_____IrM14">#REF!</definedName>
    <definedName name="_____IrM15">#REF!</definedName>
    <definedName name="_____IrM16">#REF!</definedName>
    <definedName name="_____IrM17">#REF!</definedName>
    <definedName name="_____IrM18">#REF!</definedName>
    <definedName name="_____IrM19">#REF!</definedName>
    <definedName name="_____IrM2">#REF!</definedName>
    <definedName name="_____IrM20">#REF!</definedName>
    <definedName name="_____IrM21">#REF!</definedName>
    <definedName name="_____IRM22">#REF!</definedName>
    <definedName name="_____IRM23">#REF!</definedName>
    <definedName name="_____IRM24">#REF!</definedName>
    <definedName name="_____IrM3">#REF!</definedName>
    <definedName name="_____IrM4">#REF!</definedName>
    <definedName name="_____IrM5">#REF!</definedName>
    <definedName name="_____IrM6">#REF!</definedName>
    <definedName name="_____IrM7">#REF!</definedName>
    <definedName name="_____IrM8">#REF!</definedName>
    <definedName name="_____IrM9">#REF!</definedName>
    <definedName name="_____IrW1">#REF!</definedName>
    <definedName name="_____Irw2">#REF!</definedName>
    <definedName name="_____IrW3">#REF!</definedName>
    <definedName name="_____IrW4">#REF!</definedName>
    <definedName name="_____IrW5">#REF!</definedName>
    <definedName name="_____IrW6">#REF!</definedName>
    <definedName name="_____IrY1">#REF!</definedName>
    <definedName name="_____IrY2">#REF!</definedName>
    <definedName name="_____IrY3">#REF!</definedName>
    <definedName name="_____IrY4">#REF!</definedName>
    <definedName name="_____IrY5">#REF!</definedName>
    <definedName name="_____IrY6">#REF!</definedName>
    <definedName name="_____ItM1">#REF!</definedName>
    <definedName name="_____ItM10">#REF!</definedName>
    <definedName name="_____ItM11">#REF!</definedName>
    <definedName name="_____ItM12">#REF!</definedName>
    <definedName name="_____ItM13">#REF!</definedName>
    <definedName name="_____ItM14">#REF!</definedName>
    <definedName name="_____ItM15">#REF!</definedName>
    <definedName name="_____ItM16">#REF!</definedName>
    <definedName name="_____ItM17">#REF!</definedName>
    <definedName name="_____ItM18">#REF!</definedName>
    <definedName name="_____ItM19">#REF!</definedName>
    <definedName name="_____ItM2">#REF!</definedName>
    <definedName name="_____ItM20">#REF!</definedName>
    <definedName name="_____ItM21">#REF!</definedName>
    <definedName name="_____ItM22">#REF!</definedName>
    <definedName name="_____ItM3">#REF!</definedName>
    <definedName name="_____ItM4">#REF!</definedName>
    <definedName name="_____ItM5">#REF!</definedName>
    <definedName name="_____ItM6">#REF!</definedName>
    <definedName name="_____ItM7">#REF!</definedName>
    <definedName name="_____ItM8">#REF!</definedName>
    <definedName name="_____ItM9">#REF!</definedName>
    <definedName name="_____ITR3">#REF!</definedName>
    <definedName name="_____ItW1">#REF!</definedName>
    <definedName name="_____ItW2">#REF!</definedName>
    <definedName name="_____ItW3">#REF!</definedName>
    <definedName name="_____ItW4">#REF!</definedName>
    <definedName name="_____ItW5">#REF!</definedName>
    <definedName name="_____ItW6">#REF!</definedName>
    <definedName name="_____ItY1">#REF!</definedName>
    <definedName name="_____ItY2">#REF!</definedName>
    <definedName name="_____ItY3">#REF!</definedName>
    <definedName name="_____ItY4">#REF!</definedName>
    <definedName name="_____ItY5">#REF!</definedName>
    <definedName name="_____ItY6">#REF!</definedName>
    <definedName name="_____jan07">#REF!</definedName>
    <definedName name="_____lis05">#REF!</definedName>
    <definedName name="_____mar07">#REF!</definedName>
    <definedName name="_____mov02" localSheetId="10" hidden="1">{"VARIASMOEDAS",#N/A,FALSE,"APLICAR"}</definedName>
    <definedName name="_____mov02" localSheetId="3" hidden="1">{"VARIASMOEDAS",#N/A,FALSE,"APLICAR"}</definedName>
    <definedName name="_____mov02" hidden="1">{"VARIASMOEDAS",#N/A,FALSE,"APLICAR"}</definedName>
    <definedName name="_____NsM1">#REF!</definedName>
    <definedName name="_____NsM2">#REF!</definedName>
    <definedName name="_____NsM3">#REF!</definedName>
    <definedName name="_____NsM4">#REF!</definedName>
    <definedName name="_____NsM5">#REF!</definedName>
    <definedName name="_____NsM6">#REF!</definedName>
    <definedName name="_____NsW1">#REF!</definedName>
    <definedName name="_____NsW2">#REF!</definedName>
    <definedName name="_____NsW3">#REF!</definedName>
    <definedName name="_____NsW4">#REF!</definedName>
    <definedName name="_____NsY1">#REF!</definedName>
    <definedName name="_____NsY2">#REF!</definedName>
    <definedName name="_____NsY3">#REF!</definedName>
    <definedName name="_____NsY4">#REF!</definedName>
    <definedName name="_____PG10">#REF!</definedName>
    <definedName name="_____PG2">#REF!</definedName>
    <definedName name="_____PG3">#REF!</definedName>
    <definedName name="_____PG4">#REF!</definedName>
    <definedName name="_____PG5">#REF!</definedName>
    <definedName name="_____PG6">#REF!</definedName>
    <definedName name="_____PG7">#REF!</definedName>
    <definedName name="_____PG8">#REF!</definedName>
    <definedName name="_____PG9">#REF!</definedName>
    <definedName name="_____sm1">#REF!</definedName>
    <definedName name="_____SpM1">#REF!</definedName>
    <definedName name="_____SpM10">#REF!</definedName>
    <definedName name="_____SpM11">#REF!</definedName>
    <definedName name="_____SpM12">#REF!</definedName>
    <definedName name="_____SpM13">#REF!</definedName>
    <definedName name="_____SpM14">#REF!</definedName>
    <definedName name="_____SpM15">#REF!</definedName>
    <definedName name="_____SpM16">#REF!</definedName>
    <definedName name="_____SpM17">#REF!</definedName>
    <definedName name="_____SpM18">#REF!</definedName>
    <definedName name="_____SpM19">#REF!</definedName>
    <definedName name="_____SpM2">#REF!</definedName>
    <definedName name="_____SpM20">#REF!</definedName>
    <definedName name="_____SpM21">#REF!</definedName>
    <definedName name="_____SpM22">#REF!</definedName>
    <definedName name="_____SpM3">#REF!</definedName>
    <definedName name="_____SpM4">#REF!</definedName>
    <definedName name="_____SpM5">#REF!</definedName>
    <definedName name="_____SpM6">#REF!</definedName>
    <definedName name="_____SpM7">#REF!</definedName>
    <definedName name="_____SpM8">#REF!</definedName>
    <definedName name="_____SpM9">#REF!</definedName>
    <definedName name="_____SpW1">#REF!</definedName>
    <definedName name="_____SpW2">#REF!</definedName>
    <definedName name="_____SpW3">#REF!</definedName>
    <definedName name="_____SpW4">#REF!</definedName>
    <definedName name="_____SpW5">#REF!</definedName>
    <definedName name="_____SpW6">#REF!</definedName>
    <definedName name="_____SpY1">#REF!</definedName>
    <definedName name="_____SpY2">#REF!</definedName>
    <definedName name="_____SpY3">#REF!</definedName>
    <definedName name="_____SpY4">#REF!</definedName>
    <definedName name="_____SpY5">#REF!</definedName>
    <definedName name="_____SpY6">#REF!</definedName>
    <definedName name="_____SWM1">#REF!</definedName>
    <definedName name="_____SWM10">#REF!</definedName>
    <definedName name="_____SWM11">#REF!</definedName>
    <definedName name="_____SWM12">#REF!</definedName>
    <definedName name="_____SWM13">#REF!</definedName>
    <definedName name="_____SWM14">#REF!</definedName>
    <definedName name="_____SWM15">#REF!</definedName>
    <definedName name="_____SWM16">#REF!</definedName>
    <definedName name="_____SWM17">#REF!</definedName>
    <definedName name="_____SWM18">#REF!</definedName>
    <definedName name="_____SWM19">#REF!</definedName>
    <definedName name="_____SWM2">#REF!</definedName>
    <definedName name="_____SWM20">#REF!</definedName>
    <definedName name="_____SWM21">#REF!</definedName>
    <definedName name="_____SWM22">#REF!</definedName>
    <definedName name="_____Swm23">#REF!</definedName>
    <definedName name="_____SWM24">#REF!</definedName>
    <definedName name="_____SWM3">#REF!</definedName>
    <definedName name="_____SWM4">#REF!</definedName>
    <definedName name="_____SWM5">#REF!</definedName>
    <definedName name="_____SWM6">#REF!</definedName>
    <definedName name="_____SWM7">#REF!</definedName>
    <definedName name="_____SWM8">#REF!</definedName>
    <definedName name="_____SWM9">#REF!</definedName>
    <definedName name="_____SwW1">#REF!</definedName>
    <definedName name="_____SwW2">#REF!</definedName>
    <definedName name="_____SwW3">#REF!</definedName>
    <definedName name="_____SwW4">#REF!</definedName>
    <definedName name="_____SwW5">#REF!</definedName>
    <definedName name="_____SwY1">#REF!</definedName>
    <definedName name="_____SwY2">#REF!</definedName>
    <definedName name="_____SwY3">#REF!</definedName>
    <definedName name="_____SwY4">#REF!</definedName>
    <definedName name="_____UKM1">#REF!</definedName>
    <definedName name="_____UKM10">#REF!</definedName>
    <definedName name="_____UKM11">#REF!</definedName>
    <definedName name="_____UKM12">#REF!</definedName>
    <definedName name="_____UKM13">#REF!</definedName>
    <definedName name="_____UKM14">#REF!</definedName>
    <definedName name="_____UKM15">#REF!</definedName>
    <definedName name="_____UKM16">#REF!</definedName>
    <definedName name="_____UKM17">#REF!</definedName>
    <definedName name="_____UKM18">#REF!</definedName>
    <definedName name="_____UKM19">#REF!</definedName>
    <definedName name="_____UKM2">#REF!</definedName>
    <definedName name="_____UKM20">#REF!</definedName>
    <definedName name="_____UKM21">#REF!</definedName>
    <definedName name="_____UKM22">#REF!</definedName>
    <definedName name="_____UKM3">#REF!</definedName>
    <definedName name="_____UKM4">#REF!</definedName>
    <definedName name="_____UKM5">#REF!</definedName>
    <definedName name="_____UKM6">#REF!</definedName>
    <definedName name="_____UKM7">#REF!</definedName>
    <definedName name="_____UKM8">#REF!</definedName>
    <definedName name="_____UKM9">#REF!</definedName>
    <definedName name="_____UKW1">#REF!</definedName>
    <definedName name="_____UKW2">#REF!</definedName>
    <definedName name="_____UKW3">#REF!</definedName>
    <definedName name="_____UKW4">#REF!</definedName>
    <definedName name="_____UKW5">#REF!</definedName>
    <definedName name="_____UKW6">#REF!</definedName>
    <definedName name="_____UKY1">#REF!</definedName>
    <definedName name="_____UKY2">#REF!</definedName>
    <definedName name="_____UKY3">#REF!</definedName>
    <definedName name="_____UKY4">#REF!</definedName>
    <definedName name="_____UKY5">#REF!</definedName>
    <definedName name="_____UKY6">#REF!</definedName>
    <definedName name="___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A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0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0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7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7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7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9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9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A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BSY1">#REF!</definedName>
    <definedName name="____BSY2">#REF!</definedName>
    <definedName name="____BSY3">#REF!</definedName>
    <definedName name="____BSY4">#REF!</definedName>
    <definedName name="____cc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c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CHK1">#REF!</definedName>
    <definedName name="____CHK2">#REF!</definedName>
    <definedName name="____CHK3">#REF!</definedName>
    <definedName name="____CHK4">#REF!</definedName>
    <definedName name="____CHK5">#REF!</definedName>
    <definedName name="____dec97" localSheetId="10" hidden="1">{#N/A,#N/A,FALSE,"VARIANCE";#N/A,#N/A,FALSE,"2NDQTR";#N/A,#N/A,FALSE,"1STQTR";#N/A,#N/A,FALSE,"BUDGET"}</definedName>
    <definedName name="____dec97" localSheetId="3" hidden="1">{#N/A,#N/A,FALSE,"VARIANCE";#N/A,#N/A,FALSE,"2NDQTR";#N/A,#N/A,FALSE,"1STQTR";#N/A,#N/A,FALSE,"BUDGET"}</definedName>
    <definedName name="____dec97" hidden="1">{#N/A,#N/A,FALSE,"VARIANCE";#N/A,#N/A,FALSE,"2NDQTR";#N/A,#N/A,FALSE,"1STQTR";#N/A,#N/A,FALSE,"BUDGET"}</definedName>
    <definedName name="____DEV94">#REF!</definedName>
    <definedName name="____DWG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DWG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fev07">#REF!</definedName>
    <definedName name="____FUP2" localSheetId="10" hidden="1">{"'ALqdUESP'!$B$11"}</definedName>
    <definedName name="____FUP2" localSheetId="3" hidden="1">{"'ALqdUESP'!$B$11"}</definedName>
    <definedName name="____FUP2" hidden="1">{"'ALqdUESP'!$B$11"}</definedName>
    <definedName name="____ge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ge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ge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gen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gen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gen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_GrM1">#REF!</definedName>
    <definedName name="____GrM10">#REF!</definedName>
    <definedName name="____GrM11">#REF!</definedName>
    <definedName name="____GrM12">#REF!</definedName>
    <definedName name="____GrM13">#REF!</definedName>
    <definedName name="____GrM14">#REF!</definedName>
    <definedName name="____GrM15">#REF!</definedName>
    <definedName name="____GrM16">#REF!</definedName>
    <definedName name="____GrM17">#REF!</definedName>
    <definedName name="____GrM18">#REF!</definedName>
    <definedName name="____GrM19">#REF!</definedName>
    <definedName name="____GrM2">#REF!</definedName>
    <definedName name="____GrM20">#REF!</definedName>
    <definedName name="____GrM21">#REF!</definedName>
    <definedName name="____GrM22">#REF!</definedName>
    <definedName name="____GrM3">#REF!</definedName>
    <definedName name="____GrM4">#REF!</definedName>
    <definedName name="____GrM5">#REF!</definedName>
    <definedName name="____GrM6">#REF!</definedName>
    <definedName name="____GrM7">#REF!</definedName>
    <definedName name="____GrM8">#REF!</definedName>
    <definedName name="____GrM9">#REF!</definedName>
    <definedName name="____GrW1">#REF!</definedName>
    <definedName name="____GrW2">#REF!</definedName>
    <definedName name="____GrW3">#REF!</definedName>
    <definedName name="____GrW4">#REF!</definedName>
    <definedName name="____GrW5">#REF!</definedName>
    <definedName name="____GrW6">#REF!</definedName>
    <definedName name="____GrY1">#REF!</definedName>
    <definedName name="____GrY2">#REF!</definedName>
    <definedName name="____GrY3">#REF!</definedName>
    <definedName name="____GrY4">#REF!</definedName>
    <definedName name="____GrY5">#REF!</definedName>
    <definedName name="____GrY6">#REF!</definedName>
    <definedName name="____IMP1">#REF!</definedName>
    <definedName name="____IMP2">#REF!</definedName>
    <definedName name="____IrM1">#REF!</definedName>
    <definedName name="____IrM10">#REF!</definedName>
    <definedName name="____IrM11">#REF!</definedName>
    <definedName name="____IrM12">#REF!</definedName>
    <definedName name="____IrM13">#REF!</definedName>
    <definedName name="____IrM14">#REF!</definedName>
    <definedName name="____IrM15">#REF!</definedName>
    <definedName name="____IrM16">#REF!</definedName>
    <definedName name="____IrM17">#REF!</definedName>
    <definedName name="____IrM18">#REF!</definedName>
    <definedName name="____IrM19">#REF!</definedName>
    <definedName name="____IrM2">#REF!</definedName>
    <definedName name="____IrM20">#REF!</definedName>
    <definedName name="____IrM21">#REF!</definedName>
    <definedName name="____IRM22">#REF!</definedName>
    <definedName name="____IRM23">#REF!</definedName>
    <definedName name="____IRM24">#REF!</definedName>
    <definedName name="____IrM3">#REF!</definedName>
    <definedName name="____IrM4">#REF!</definedName>
    <definedName name="____IrM5">#REF!</definedName>
    <definedName name="____IrM6">#REF!</definedName>
    <definedName name="____IrM7">#REF!</definedName>
    <definedName name="____IrM8">#REF!</definedName>
    <definedName name="____IrM9">#REF!</definedName>
    <definedName name="____IrW1">#REF!</definedName>
    <definedName name="____Irw2">#REF!</definedName>
    <definedName name="____IrW3">#REF!</definedName>
    <definedName name="____IrW4">#REF!</definedName>
    <definedName name="____IrW5">#REF!</definedName>
    <definedName name="____IrW6">#REF!</definedName>
    <definedName name="____IrY1">#REF!</definedName>
    <definedName name="____IrY2">#REF!</definedName>
    <definedName name="____IrY3">#REF!</definedName>
    <definedName name="____IrY4">#REF!</definedName>
    <definedName name="____ItM1">#REF!</definedName>
    <definedName name="____ItM10">#REF!</definedName>
    <definedName name="____ItM11">#REF!</definedName>
    <definedName name="____ItM12">#REF!</definedName>
    <definedName name="____ItM13">#REF!</definedName>
    <definedName name="____ItM14">#REF!</definedName>
    <definedName name="____ItM15">#REF!</definedName>
    <definedName name="____ItM16">#REF!</definedName>
    <definedName name="____ItM17">#REF!</definedName>
    <definedName name="____ItM18">#REF!</definedName>
    <definedName name="____ItM19">#REF!</definedName>
    <definedName name="____ItM2">#REF!</definedName>
    <definedName name="____ItM20">#REF!</definedName>
    <definedName name="____ItM21">#REF!</definedName>
    <definedName name="____ItM22">#REF!</definedName>
    <definedName name="____ItM3">#REF!</definedName>
    <definedName name="____ItM4">#REF!</definedName>
    <definedName name="____ItM5">#REF!</definedName>
    <definedName name="____ItM6">#REF!</definedName>
    <definedName name="____ItM7">#REF!</definedName>
    <definedName name="____ItM8">#REF!</definedName>
    <definedName name="____ItM9">#REF!</definedName>
    <definedName name="____ITR3">#REF!</definedName>
    <definedName name="____ItW1">#REF!</definedName>
    <definedName name="____ItW2">#REF!</definedName>
    <definedName name="____ItW3">#REF!</definedName>
    <definedName name="____ItW4">#REF!</definedName>
    <definedName name="____ItW5">#REF!</definedName>
    <definedName name="____ItW6">#REF!</definedName>
    <definedName name="____ItY1">#REF!</definedName>
    <definedName name="____ItY2">#REF!</definedName>
    <definedName name="____ItY3">#REF!</definedName>
    <definedName name="____ItY4">#REF!</definedName>
    <definedName name="____ItY5">#REF!</definedName>
    <definedName name="____ItY6">#REF!</definedName>
    <definedName name="____jan07">#REF!</definedName>
    <definedName name="____lis05">#REF!</definedName>
    <definedName name="____mar07">#REF!</definedName>
    <definedName name="____mov02" localSheetId="10" hidden="1">{"VARIASMOEDAS",#N/A,FALSE,"APLICAR"}</definedName>
    <definedName name="____mov02" localSheetId="3" hidden="1">{"VARIASMOEDAS",#N/A,FALSE,"APLICAR"}</definedName>
    <definedName name="____mov02" hidden="1">{"VARIASMOEDAS",#N/A,FALSE,"APLICAR"}</definedName>
    <definedName name="____NsM1">#REF!</definedName>
    <definedName name="____NsM2">#REF!</definedName>
    <definedName name="____NsM3">#REF!</definedName>
    <definedName name="____NsM4">#REF!</definedName>
    <definedName name="____NsM5">#REF!</definedName>
    <definedName name="____NsM6">#REF!</definedName>
    <definedName name="____NsW1">#REF!</definedName>
    <definedName name="____NsW2">#REF!</definedName>
    <definedName name="____NsW3">#REF!</definedName>
    <definedName name="____NsW4">#REF!</definedName>
    <definedName name="____NsY1">#REF!</definedName>
    <definedName name="____NsY2">#REF!</definedName>
    <definedName name="____NsY3">#REF!</definedName>
    <definedName name="____NsY4">#REF!</definedName>
    <definedName name="____PG10">#REF!</definedName>
    <definedName name="____PG2">#REF!</definedName>
    <definedName name="____PG3">#REF!</definedName>
    <definedName name="____PG4">#REF!</definedName>
    <definedName name="____PG5">#REF!</definedName>
    <definedName name="____PG6">#REF!</definedName>
    <definedName name="____PG7">#REF!</definedName>
    <definedName name="____PG8">#REF!</definedName>
    <definedName name="____PG9">#REF!</definedName>
    <definedName name="____Sh7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h7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SpM1">#REF!</definedName>
    <definedName name="____SpM10">#REF!</definedName>
    <definedName name="____SpM11">#REF!</definedName>
    <definedName name="____SpM12">#REF!</definedName>
    <definedName name="____SpM13">#REF!</definedName>
    <definedName name="____SpM14">#REF!</definedName>
    <definedName name="____SpM15">#REF!</definedName>
    <definedName name="____SpM16">#REF!</definedName>
    <definedName name="____SpM17">#REF!</definedName>
    <definedName name="____SpM18">#REF!</definedName>
    <definedName name="____SpM19">#REF!</definedName>
    <definedName name="____SpM2">#REF!</definedName>
    <definedName name="____SpM20">#REF!</definedName>
    <definedName name="____SpM21">#REF!</definedName>
    <definedName name="____SpM22">#REF!</definedName>
    <definedName name="____SpM3">#REF!</definedName>
    <definedName name="____SpM4">#REF!</definedName>
    <definedName name="____SpM5">#REF!</definedName>
    <definedName name="____SpM6">#REF!</definedName>
    <definedName name="____SpM7">#REF!</definedName>
    <definedName name="____SpM8">#REF!</definedName>
    <definedName name="____SpM9">#REF!</definedName>
    <definedName name="____SpW1">#REF!</definedName>
    <definedName name="____SpW2">#REF!</definedName>
    <definedName name="____SpW3">#REF!</definedName>
    <definedName name="____SpW4">#REF!</definedName>
    <definedName name="____SpW5">#REF!</definedName>
    <definedName name="____SpW6">#REF!</definedName>
    <definedName name="____SpY1">#REF!</definedName>
    <definedName name="____SpY2">#REF!</definedName>
    <definedName name="____SpY3">#REF!</definedName>
    <definedName name="____SpY4">#REF!</definedName>
    <definedName name="____SpY5">#REF!</definedName>
    <definedName name="____SpY6">#REF!</definedName>
    <definedName name="____SWM1">#REF!</definedName>
    <definedName name="____SWM10">#REF!</definedName>
    <definedName name="____SWM11">#REF!</definedName>
    <definedName name="____SWM12">#REF!</definedName>
    <definedName name="____SWM13">#REF!</definedName>
    <definedName name="____SWM14">#REF!</definedName>
    <definedName name="____SWM15">#REF!</definedName>
    <definedName name="____SWM16">#REF!</definedName>
    <definedName name="____SWM17">#REF!</definedName>
    <definedName name="____SWM18">#REF!</definedName>
    <definedName name="____SWM19">#REF!</definedName>
    <definedName name="____SWM2">#REF!</definedName>
    <definedName name="____SWM20">#REF!</definedName>
    <definedName name="____SWM21">#REF!</definedName>
    <definedName name="____SWM22">#REF!</definedName>
    <definedName name="____Swm23">#REF!</definedName>
    <definedName name="____SWM24">#REF!</definedName>
    <definedName name="____SWM3">#REF!</definedName>
    <definedName name="____SWM4">#REF!</definedName>
    <definedName name="____SWM5">#REF!</definedName>
    <definedName name="____SWM6">#REF!</definedName>
    <definedName name="____SWM7">#REF!</definedName>
    <definedName name="____SWM8">#REF!</definedName>
    <definedName name="____SWM9">#REF!</definedName>
    <definedName name="____SwW1">#REF!</definedName>
    <definedName name="____SwW2">#REF!</definedName>
    <definedName name="____SwW3">#REF!</definedName>
    <definedName name="____SwW4">#REF!</definedName>
    <definedName name="____SwW5">#REF!</definedName>
    <definedName name="____SwY1">#REF!</definedName>
    <definedName name="____SwY2">#REF!</definedName>
    <definedName name="____SwY3">#REF!</definedName>
    <definedName name="____SwY4">#REF!</definedName>
    <definedName name="____UKM1">#REF!</definedName>
    <definedName name="____UKM10">#REF!</definedName>
    <definedName name="____UKM11">#REF!</definedName>
    <definedName name="____UKM12">#REF!</definedName>
    <definedName name="____UKM13">#REF!</definedName>
    <definedName name="____UKM14">#REF!</definedName>
    <definedName name="____UKM15">#REF!</definedName>
    <definedName name="____UKM16">#REF!</definedName>
    <definedName name="____UKM17">#REF!</definedName>
    <definedName name="____UKM18">#REF!</definedName>
    <definedName name="____UKM19">#REF!</definedName>
    <definedName name="____UKM2">#REF!</definedName>
    <definedName name="____UKM20">#REF!</definedName>
    <definedName name="____UKM21">#REF!</definedName>
    <definedName name="____UKM22">#REF!</definedName>
    <definedName name="____UKM3">#REF!</definedName>
    <definedName name="____UKM4">#REF!</definedName>
    <definedName name="____UKM5">#REF!</definedName>
    <definedName name="____UKM6">#REF!</definedName>
    <definedName name="____UKM7">#REF!</definedName>
    <definedName name="____UKM8">#REF!</definedName>
    <definedName name="____UKM9">#REF!</definedName>
    <definedName name="____UKW1">#REF!</definedName>
    <definedName name="____UKW2">#REF!</definedName>
    <definedName name="____UKW3">#REF!</definedName>
    <definedName name="____UKW4">#REF!</definedName>
    <definedName name="____UKW5">#REF!</definedName>
    <definedName name="____UKW6">#REF!</definedName>
    <definedName name="____UKY1">#REF!</definedName>
    <definedName name="____UKY2">#REF!</definedName>
    <definedName name="____UKY3">#REF!</definedName>
    <definedName name="____UKY4">#REF!</definedName>
    <definedName name="____UKY5">#REF!</definedName>
    <definedName name="____UKY6">#REF!</definedName>
    <definedName name="__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A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0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0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7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7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7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9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9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APP1">#REF!</definedName>
    <definedName name="___asf3" localSheetId="10" hidden="1">{"USD",#N/A,FALSE,"APLICAR"}</definedName>
    <definedName name="___asf3" localSheetId="3" hidden="1">{"USD",#N/A,FALSE,"APLICAR"}</definedName>
    <definedName name="___asf3" hidden="1">{"USD",#N/A,FALSE,"APLICAR"}</definedName>
    <definedName name="___BSY1">#REF!</definedName>
    <definedName name="___BSY2">#REF!</definedName>
    <definedName name="___BSY3">#REF!</definedName>
    <definedName name="___BSY4">#REF!</definedName>
    <definedName name="___CHK1">#REF!</definedName>
    <definedName name="___CHK2">#REF!</definedName>
    <definedName name="___CHK3">#REF!</definedName>
    <definedName name="___CHK4">#REF!</definedName>
    <definedName name="___CHK5">#REF!</definedName>
    <definedName name="___DD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DD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DD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dec97" localSheetId="10" hidden="1">{#N/A,#N/A,FALSE,"VARIANCE";#N/A,#N/A,FALSE,"2NDQTR";#N/A,#N/A,FALSE,"1STQTR";#N/A,#N/A,FALSE,"BUDGET"}</definedName>
    <definedName name="___dec97" localSheetId="3" hidden="1">{#N/A,#N/A,FALSE,"VARIANCE";#N/A,#N/A,FALSE,"2NDQTR";#N/A,#N/A,FALSE,"1STQTR";#N/A,#N/A,FALSE,"BUDGET"}</definedName>
    <definedName name="___dec97" hidden="1">{#N/A,#N/A,FALSE,"VARIANCE";#N/A,#N/A,FALSE,"2NDQTR";#N/A,#N/A,FALSE,"1STQTR";#N/A,#N/A,FALSE,"BUDGET"}</definedName>
    <definedName name="___Dep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Dep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Dep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dev93">#REF!</definedName>
    <definedName name="___DEV94">#REF!</definedName>
    <definedName name="___DWG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DWG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fev07">#REF!</definedName>
    <definedName name="___FUP2" localSheetId="10" hidden="1">{"'ALqdUESP'!$B$11"}</definedName>
    <definedName name="___FUP2" localSheetId="3" hidden="1">{"'ALqdUESP'!$B$11"}</definedName>
    <definedName name="___FUP2" hidden="1">{"'ALqdUESP'!$B$11"}</definedName>
    <definedName name="___Gen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Gen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Gen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GrM1">#REF!</definedName>
    <definedName name="___GrM10">#REF!</definedName>
    <definedName name="___GrM11">#REF!</definedName>
    <definedName name="___GrM12">#REF!</definedName>
    <definedName name="___GrM13">#REF!</definedName>
    <definedName name="___GrM14">#REF!</definedName>
    <definedName name="___GrM15">#REF!</definedName>
    <definedName name="___GrM16">#REF!</definedName>
    <definedName name="___GrM17">#REF!</definedName>
    <definedName name="___GrM18">#REF!</definedName>
    <definedName name="___GrM19">#REF!</definedName>
    <definedName name="___GrM2">#REF!</definedName>
    <definedName name="___GrM20">#REF!</definedName>
    <definedName name="___GrM21">#REF!</definedName>
    <definedName name="___GrM22">#REF!</definedName>
    <definedName name="___GrM3">#REF!</definedName>
    <definedName name="___GrM4">#REF!</definedName>
    <definedName name="___GrM5">#REF!</definedName>
    <definedName name="___GrM6">#REF!</definedName>
    <definedName name="___GrM7">#REF!</definedName>
    <definedName name="___GrM8">#REF!</definedName>
    <definedName name="___GrM9">#REF!</definedName>
    <definedName name="___GrW1">#REF!</definedName>
    <definedName name="___GrW2">#REF!</definedName>
    <definedName name="___GrW3">#REF!</definedName>
    <definedName name="___GrW4">#REF!</definedName>
    <definedName name="___GrW5">#REF!</definedName>
    <definedName name="___GrW6">#REF!</definedName>
    <definedName name="___GrY1">#REF!</definedName>
    <definedName name="___GrY2">#REF!</definedName>
    <definedName name="___GrY3">#REF!</definedName>
    <definedName name="___GrY4">#REF!</definedName>
    <definedName name="___GrY5">#REF!</definedName>
    <definedName name="___GrY6">#REF!</definedName>
    <definedName name="___IMP1">#REF!</definedName>
    <definedName name="___IMP2">#REF!</definedName>
    <definedName name="___IrM1">#REF!</definedName>
    <definedName name="___IrM10">#REF!</definedName>
    <definedName name="___IrM11">#REF!</definedName>
    <definedName name="___IrM12">#REF!</definedName>
    <definedName name="___IrM13">#REF!</definedName>
    <definedName name="___IrM14">#REF!</definedName>
    <definedName name="___IrM15">#REF!</definedName>
    <definedName name="___IrM16">#REF!</definedName>
    <definedName name="___IrM17">#REF!</definedName>
    <definedName name="___IrM18">#REF!</definedName>
    <definedName name="___IrM19">#REF!</definedName>
    <definedName name="___IrM2">#REF!</definedName>
    <definedName name="___IrM20">#REF!</definedName>
    <definedName name="___IrM21">#REF!</definedName>
    <definedName name="___IRM22">#REF!</definedName>
    <definedName name="___IRM23">#REF!</definedName>
    <definedName name="___IRM24">#REF!</definedName>
    <definedName name="___IrM3">#REF!</definedName>
    <definedName name="___IrM4">#REF!</definedName>
    <definedName name="___IrM5">#REF!</definedName>
    <definedName name="___IrM6">#REF!</definedName>
    <definedName name="___IrM7">#REF!</definedName>
    <definedName name="___IrM8">#REF!</definedName>
    <definedName name="___IrM9">#REF!</definedName>
    <definedName name="___IrW1">#REF!</definedName>
    <definedName name="___Irw2">#REF!</definedName>
    <definedName name="___IrW3">#REF!</definedName>
    <definedName name="___IrW4">#REF!</definedName>
    <definedName name="___IrW5">#REF!</definedName>
    <definedName name="___IrW6">#REF!</definedName>
    <definedName name="___IrY1">#REF!</definedName>
    <definedName name="___IrY2">#REF!</definedName>
    <definedName name="___IrY3">#REF!</definedName>
    <definedName name="___IrY4">#REF!</definedName>
    <definedName name="___IrY5">#REF!</definedName>
    <definedName name="___IrY6">#REF!</definedName>
    <definedName name="___ItM1">#REF!</definedName>
    <definedName name="___ItM10">#REF!</definedName>
    <definedName name="___ItM11">#REF!</definedName>
    <definedName name="___ItM12">#REF!</definedName>
    <definedName name="___ItM13">#REF!</definedName>
    <definedName name="___ItM14">#REF!</definedName>
    <definedName name="___ItM15">#REF!</definedName>
    <definedName name="___ItM16">#REF!</definedName>
    <definedName name="___ItM17">#REF!</definedName>
    <definedName name="___ItM18">#REF!</definedName>
    <definedName name="___ItM19">#REF!</definedName>
    <definedName name="___ItM2">#REF!</definedName>
    <definedName name="___ItM20">#REF!</definedName>
    <definedName name="___ItM21">#REF!</definedName>
    <definedName name="___ItM22">#REF!</definedName>
    <definedName name="___ItM3">#REF!</definedName>
    <definedName name="___ItM4">#REF!</definedName>
    <definedName name="___ItM5">#REF!</definedName>
    <definedName name="___ItM6">#REF!</definedName>
    <definedName name="___ItM7">#REF!</definedName>
    <definedName name="___ItM8">#REF!</definedName>
    <definedName name="___ItM9">#REF!</definedName>
    <definedName name="___ITR3">#REF!</definedName>
    <definedName name="___ItW1">#REF!</definedName>
    <definedName name="___ItW2">#REF!</definedName>
    <definedName name="___ItW3">#REF!</definedName>
    <definedName name="___ItW4">#REF!</definedName>
    <definedName name="___ItW5">#REF!</definedName>
    <definedName name="___ItW6">#REF!</definedName>
    <definedName name="___ItY1">#REF!</definedName>
    <definedName name="___ItY2">#REF!</definedName>
    <definedName name="___ItY3">#REF!</definedName>
    <definedName name="___ItY4">#REF!</definedName>
    <definedName name="___ItY5">#REF!</definedName>
    <definedName name="___ItY6">#REF!</definedName>
    <definedName name="___jan07">#REF!</definedName>
    <definedName name="___KI274">#REF!</definedName>
    <definedName name="___lis05">#REF!</definedName>
    <definedName name="___mar07">#REF!</definedName>
    <definedName name="___NO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NO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NO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NsM1">#REF!</definedName>
    <definedName name="___NsM2">#REF!</definedName>
    <definedName name="___NsM3">#REF!</definedName>
    <definedName name="___NsM4">#REF!</definedName>
    <definedName name="___NsM5">#REF!</definedName>
    <definedName name="___NsM6">#REF!</definedName>
    <definedName name="___NsW1">#REF!</definedName>
    <definedName name="___NsW2">#REF!</definedName>
    <definedName name="___NsW3">#REF!</definedName>
    <definedName name="___NsW4">#REF!</definedName>
    <definedName name="___NsY1">#REF!</definedName>
    <definedName name="___NsY2">#REF!</definedName>
    <definedName name="___NsY3">#REF!</definedName>
    <definedName name="___NsY4">#REF!</definedName>
    <definedName name="___nu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nu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nu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PG10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ri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ri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ri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RI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RI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RI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Sh7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m1">#REF!</definedName>
    <definedName name="___SpM1">#REF!</definedName>
    <definedName name="___SpM10">#REF!</definedName>
    <definedName name="___SpM11">#REF!</definedName>
    <definedName name="___SpM12">#REF!</definedName>
    <definedName name="___SpM13">#REF!</definedName>
    <definedName name="___SpM14">#REF!</definedName>
    <definedName name="___SpM15">#REF!</definedName>
    <definedName name="___SpM16">#REF!</definedName>
    <definedName name="___SpM17">#REF!</definedName>
    <definedName name="___SpM18">#REF!</definedName>
    <definedName name="___SpM19">#REF!</definedName>
    <definedName name="___SpM2">#REF!</definedName>
    <definedName name="___SpM20">#REF!</definedName>
    <definedName name="___SpM21">#REF!</definedName>
    <definedName name="___SpM22">#REF!</definedName>
    <definedName name="___SpM3">#REF!</definedName>
    <definedName name="___SpM4">#REF!</definedName>
    <definedName name="___SpM5">#REF!</definedName>
    <definedName name="___SpM6">#REF!</definedName>
    <definedName name="___SpM7">#REF!</definedName>
    <definedName name="___SpM8">#REF!</definedName>
    <definedName name="___SpM9">#REF!</definedName>
    <definedName name="___SpW1">#REF!</definedName>
    <definedName name="___SpW2">#REF!</definedName>
    <definedName name="___SpW3">#REF!</definedName>
    <definedName name="___SpW4">#REF!</definedName>
    <definedName name="___SpW5">#REF!</definedName>
    <definedName name="___SpW6">#REF!</definedName>
    <definedName name="___SpY1">#REF!</definedName>
    <definedName name="___SpY2">#REF!</definedName>
    <definedName name="___SpY3">#REF!</definedName>
    <definedName name="___SpY4">#REF!</definedName>
    <definedName name="___SpY5">#REF!</definedName>
    <definedName name="___SpY6">#REF!</definedName>
    <definedName name="___SWM1">#REF!</definedName>
    <definedName name="___SWM10">#REF!</definedName>
    <definedName name="___SWM11">#REF!</definedName>
    <definedName name="___SWM12">#REF!</definedName>
    <definedName name="___SWM13">#REF!</definedName>
    <definedName name="___SWM14">#REF!</definedName>
    <definedName name="___SWM15">#REF!</definedName>
    <definedName name="___SWM16">#REF!</definedName>
    <definedName name="___SWM17">#REF!</definedName>
    <definedName name="___SWM18">#REF!</definedName>
    <definedName name="___SWM19">#REF!</definedName>
    <definedName name="___SWM2">#REF!</definedName>
    <definedName name="___SWM20">#REF!</definedName>
    <definedName name="___SWM21">#REF!</definedName>
    <definedName name="___SWM22">#REF!</definedName>
    <definedName name="___Swm23">#REF!</definedName>
    <definedName name="___SWM24">#REF!</definedName>
    <definedName name="___SWM3">#REF!</definedName>
    <definedName name="___SWM4">#REF!</definedName>
    <definedName name="___SWM5">#REF!</definedName>
    <definedName name="___SWM6">#REF!</definedName>
    <definedName name="___SWM7">#REF!</definedName>
    <definedName name="___SWM8">#REF!</definedName>
    <definedName name="___SWM9">#REF!</definedName>
    <definedName name="___SwW1">#REF!</definedName>
    <definedName name="___SwW2">#REF!</definedName>
    <definedName name="___SwW3">#REF!</definedName>
    <definedName name="___SwW4">#REF!</definedName>
    <definedName name="___SwW5">#REF!</definedName>
    <definedName name="___SwY1">#REF!</definedName>
    <definedName name="___SwY2">#REF!</definedName>
    <definedName name="___SwY3">#REF!</definedName>
    <definedName name="___SwY4">#REF!</definedName>
    <definedName name="___UKM1">#REF!</definedName>
    <definedName name="___UKM10">#REF!</definedName>
    <definedName name="___UKM11">#REF!</definedName>
    <definedName name="___UKM12">#REF!</definedName>
    <definedName name="___UKM13">#REF!</definedName>
    <definedName name="___UKM14">#REF!</definedName>
    <definedName name="___UKM15">#REF!</definedName>
    <definedName name="___UKM16">#REF!</definedName>
    <definedName name="___UKM17">#REF!</definedName>
    <definedName name="___UKM18">#REF!</definedName>
    <definedName name="___UKM19">#REF!</definedName>
    <definedName name="___UKM2">#REF!</definedName>
    <definedName name="___UKM20">#REF!</definedName>
    <definedName name="___UKM21">#REF!</definedName>
    <definedName name="___UKM22">#REF!</definedName>
    <definedName name="___UKM3">#REF!</definedName>
    <definedName name="___UKM4">#REF!</definedName>
    <definedName name="___UKM5">#REF!</definedName>
    <definedName name="___UKM6">#REF!</definedName>
    <definedName name="___UKM7">#REF!</definedName>
    <definedName name="___UKM8">#REF!</definedName>
    <definedName name="___UKM9">#REF!</definedName>
    <definedName name="___UKW1">#REF!</definedName>
    <definedName name="___UKW2">#REF!</definedName>
    <definedName name="___UKW3">#REF!</definedName>
    <definedName name="___UKW4">#REF!</definedName>
    <definedName name="___UKW5">#REF!</definedName>
    <definedName name="___UKW6">#REF!</definedName>
    <definedName name="___UKY1">#REF!</definedName>
    <definedName name="___UKY2">#REF!</definedName>
    <definedName name="___UKY3">#REF!</definedName>
    <definedName name="___UKY4">#REF!</definedName>
    <definedName name="___UKY5">#REF!</definedName>
    <definedName name="___UKY6">#REF!</definedName>
    <definedName name="___WR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WR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WR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1__123Graph_ACHART_1" hidden="1">#REF!</definedName>
    <definedName name="__123Graph_A" hidden="1">#REF!</definedName>
    <definedName name="__123Graph_AAGIPGR" hidden="1">#REF!</definedName>
    <definedName name="__123Graph_ACOSTDISTPIE" hidden="1">#REF!</definedName>
    <definedName name="__123Graph_ADAILYOPEXBAR" hidden="1">#REF!</definedName>
    <definedName name="__123Graph_ANCF" hidden="1">#REF!</definedName>
    <definedName name="__123Graph_AOPEXCUM" hidden="1">#REF!</definedName>
    <definedName name="__123Graph_ASENS" hidden="1">#REF!</definedName>
    <definedName name="__123Graph_ATOTALOPEXBAR" hidden="1">#REF!</definedName>
    <definedName name="__123Graph_AYRLYCOSTSAREA" hidden="1">#REF!</definedName>
    <definedName name="__123Graph_B" hidden="1">#REF!</definedName>
    <definedName name="__123Graph_BNCF" hidden="1">#REF!</definedName>
    <definedName name="__123Graph_BSENS" hidden="1">#REF!</definedName>
    <definedName name="__123Graph_BYRLYCOSTSAREA" hidden="1">#REF!</definedName>
    <definedName name="__123Graph_C" hidden="1">#REF!</definedName>
    <definedName name="__123Graph_CSENS" hidden="1">#REF!</definedName>
    <definedName name="__123Graph_CYRLYCOSTSAREA" hidden="1">#REF!</definedName>
    <definedName name="__123Graph_D" hidden="1">#REF!</definedName>
    <definedName name="__123Graph_E" hidden="1">#REF!</definedName>
    <definedName name="__123Graph_EYRLYCOSTSAREA" hidden="1">#REF!</definedName>
    <definedName name="__123Graph_F" hidden="1">#REF!</definedName>
    <definedName name="__123Graph_LBL_AAGIPGR" hidden="1">#REF!</definedName>
    <definedName name="__123Graph_LBL_ADAILYOPEXBAR" hidden="1">#REF!</definedName>
    <definedName name="__123Graph_LBL_ASENS" hidden="1">#REF!</definedName>
    <definedName name="__123Graph_LBL_ATOTALOPEXBAR" hidden="1">#REF!</definedName>
    <definedName name="__123Graph_LBL_AYRLYCOSTSAREA" hidden="1">#REF!</definedName>
    <definedName name="__123Graph_LBL_BSENS" hidden="1">#REF!</definedName>
    <definedName name="__123Graph_LBL_CSENS" hidden="1">#REF!</definedName>
    <definedName name="__123Graph_X" hidden="1">#REF!</definedName>
    <definedName name="__123Graph_XAGIPGR" hidden="1">#REF!</definedName>
    <definedName name="__123Graph_XDAILYOPEXBAR" hidden="1">#REF!</definedName>
    <definedName name="__123Graph_XNCF" hidden="1">#REF!</definedName>
    <definedName name="__123Graph_XSENS" hidden="1">#REF!</definedName>
    <definedName name="__123Graph_XTOTALOPEXBAR" hidden="1">#REF!</definedName>
    <definedName name="__A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0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0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7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7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7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9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9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APP1">#REF!</definedName>
    <definedName name="__asf3" localSheetId="10" hidden="1">{"USD",#N/A,FALSE,"APLICAR"}</definedName>
    <definedName name="__asf3" localSheetId="3" hidden="1">{"USD",#N/A,FALSE,"APLICAR"}</definedName>
    <definedName name="__asf3" hidden="1">{"USD",#N/A,FALSE,"APLICAR"}</definedName>
    <definedName name="__ATH1">#REF!</definedName>
    <definedName name="__ATH2">#REF!</definedName>
    <definedName name="__ATH3">#REF!</definedName>
    <definedName name="__ATH4">#REF!</definedName>
    <definedName name="__ATH5">#REF!</definedName>
    <definedName name="__ATH6">#REF!</definedName>
    <definedName name="__ATH7">#REF!</definedName>
    <definedName name="__ATI1">#REF!</definedName>
    <definedName name="__ATI2">#REF!</definedName>
    <definedName name="__ATI3">#REF!</definedName>
    <definedName name="__ATI4">#REF!</definedName>
    <definedName name="__ATI5">#REF!</definedName>
    <definedName name="__ATL1">#REF!</definedName>
    <definedName name="__ATL2">#REF!</definedName>
    <definedName name="__ATP1">#REF!</definedName>
    <definedName name="__ATP2">#REF!</definedName>
    <definedName name="__ATP3">#REF!</definedName>
    <definedName name="__ATP4">#REF!</definedName>
    <definedName name="__ATS1">#REF!</definedName>
    <definedName name="__Att0">#REF!</definedName>
    <definedName name="__Att1">#REF!</definedName>
    <definedName name="__Att10">#REF!</definedName>
    <definedName name="__Att2">#REF!</definedName>
    <definedName name="__Att3">#REF!</definedName>
    <definedName name="__Att4">#REF!</definedName>
    <definedName name="__Att5">#REF!</definedName>
    <definedName name="__Att6">#REF!</definedName>
    <definedName name="__Att7">#REF!</definedName>
    <definedName name="__Att8">#REF!</definedName>
    <definedName name="__Att9">#REF!</definedName>
    <definedName name="__BSY1">#REF!</definedName>
    <definedName name="__BSY2">#REF!</definedName>
    <definedName name="__BSY3">#REF!</definedName>
    <definedName name="__BSY4">#REF!</definedName>
    <definedName name="__cc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c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CHK1">#REF!</definedName>
    <definedName name="__CHK2">#REF!</definedName>
    <definedName name="__CHK3">#REF!</definedName>
    <definedName name="__CHK4">#REF!</definedName>
    <definedName name="__CHK5">#REF!</definedName>
    <definedName name="__DAT1">#REF!</definedName>
    <definedName name="__DAT10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D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DD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DD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dec97" localSheetId="10" hidden="1">{#N/A,#N/A,FALSE,"VARIANCE";#N/A,#N/A,FALSE,"2NDQTR";#N/A,#N/A,FALSE,"1STQTR";#N/A,#N/A,FALSE,"BUDGET"}</definedName>
    <definedName name="__dec97" localSheetId="3" hidden="1">{#N/A,#N/A,FALSE,"VARIANCE";#N/A,#N/A,FALSE,"2NDQTR";#N/A,#N/A,FALSE,"1STQTR";#N/A,#N/A,FALSE,"BUDGET"}</definedName>
    <definedName name="__dec97" hidden="1">{#N/A,#N/A,FALSE,"VARIANCE";#N/A,#N/A,FALSE,"2NDQTR";#N/A,#N/A,FALSE,"1STQTR";#N/A,#N/A,FALSE,"BUDGET"}</definedName>
    <definedName name="__Dep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Dep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Dep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dev93">#REF!</definedName>
    <definedName name="__DEV94">#REF!</definedName>
    <definedName name="__DWG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DWG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DX2" localSheetId="10" hidden="1">{"'WEB azoc prov'!$B$85:$L$123"}</definedName>
    <definedName name="__DX2" localSheetId="3" hidden="1">{"'WEB azoc prov'!$B$85:$L$123"}</definedName>
    <definedName name="__DX2" hidden="1">{"'WEB azoc prov'!$B$85:$L$123"}</definedName>
    <definedName name="__fev07">#REF!</definedName>
    <definedName name="__FFH1">#REF!</definedName>
    <definedName name="__FFH2">#REF!</definedName>
    <definedName name="__FFH3">#REF!</definedName>
    <definedName name="__FFH4">#REF!</definedName>
    <definedName name="__FFH5">#REF!</definedName>
    <definedName name="__FFH6">#REF!</definedName>
    <definedName name="__FFH7">#REF!</definedName>
    <definedName name="__FFI1">#REF!</definedName>
    <definedName name="__FFI2">#REF!</definedName>
    <definedName name="__FFI3">#REF!</definedName>
    <definedName name="__FFI4">#REF!</definedName>
    <definedName name="__FFI5">#REF!</definedName>
    <definedName name="__FFL1">#REF!</definedName>
    <definedName name="__FFL2">#REF!</definedName>
    <definedName name="__FFP1">#REF!</definedName>
    <definedName name="__FFP2">#REF!</definedName>
    <definedName name="__FFP3">#REF!</definedName>
    <definedName name="__FFP4">#REF!</definedName>
    <definedName name="__FFS1">#REF!</definedName>
    <definedName name="__FUP2" localSheetId="10" hidden="1">{"'ALqdUESP'!$B$11"}</definedName>
    <definedName name="__FUP2" localSheetId="3" hidden="1">{"'ALqdUESP'!$B$11"}</definedName>
    <definedName name="__FUP2" hidden="1">{"'ALqdUESP'!$B$11"}</definedName>
    <definedName name="__Gen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en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GrM1">#REF!</definedName>
    <definedName name="__GrM10">#REF!</definedName>
    <definedName name="__GrM11">#REF!</definedName>
    <definedName name="__GrM12">#REF!</definedName>
    <definedName name="__GrM13">#REF!</definedName>
    <definedName name="__GrM14">#REF!</definedName>
    <definedName name="__GrM15">#REF!</definedName>
    <definedName name="__GrM16">#REF!</definedName>
    <definedName name="__GrM17">#REF!</definedName>
    <definedName name="__GrM18">#REF!</definedName>
    <definedName name="__GrM19">#REF!</definedName>
    <definedName name="__GrM2">#REF!</definedName>
    <definedName name="__GrM20">#REF!</definedName>
    <definedName name="__GrM21">#REF!</definedName>
    <definedName name="__GrM22">#REF!</definedName>
    <definedName name="__GrM3">#REF!</definedName>
    <definedName name="__GrM4">#REF!</definedName>
    <definedName name="__GrM5">#REF!</definedName>
    <definedName name="__GrM6">#REF!</definedName>
    <definedName name="__GrM7">#REF!</definedName>
    <definedName name="__GrM8">#REF!</definedName>
    <definedName name="__GrM9">#REF!</definedName>
    <definedName name="__GrW1">#REF!</definedName>
    <definedName name="__GrW2">#REF!</definedName>
    <definedName name="__GrW3">#REF!</definedName>
    <definedName name="__GrW4">#REF!</definedName>
    <definedName name="__GrW5">#REF!</definedName>
    <definedName name="__GrW6">#REF!</definedName>
    <definedName name="__GrY1">#REF!</definedName>
    <definedName name="__GrY2">#REF!</definedName>
    <definedName name="__GrY3">#REF!</definedName>
    <definedName name="__GrY4">#REF!</definedName>
    <definedName name="__GrY5">#REF!</definedName>
    <definedName name="__GrY6">#REF!</definedName>
    <definedName name="__IMP1">#REF!</definedName>
    <definedName name="__IMP2">#REF!</definedName>
    <definedName name="__IntlFixup" hidden="1">TRUE</definedName>
    <definedName name="__IrM1">#REF!</definedName>
    <definedName name="__IrM10">#REF!</definedName>
    <definedName name="__IrM11">#REF!</definedName>
    <definedName name="__IrM12">#REF!</definedName>
    <definedName name="__IrM13">#REF!</definedName>
    <definedName name="__IrM14">#REF!</definedName>
    <definedName name="__IrM15">#REF!</definedName>
    <definedName name="__IrM16">#REF!</definedName>
    <definedName name="__IrM17">#REF!</definedName>
    <definedName name="__IrM18">#REF!</definedName>
    <definedName name="__IrM19">#REF!</definedName>
    <definedName name="__IrM2">#REF!</definedName>
    <definedName name="__IrM20">#REF!</definedName>
    <definedName name="__IrM21">#REF!</definedName>
    <definedName name="__IRM22">#REF!</definedName>
    <definedName name="__IRM23">#REF!</definedName>
    <definedName name="__IRM24">#REF!</definedName>
    <definedName name="__IrM3">#REF!</definedName>
    <definedName name="__IrM4">#REF!</definedName>
    <definedName name="__IrM5">#REF!</definedName>
    <definedName name="__IrM6">#REF!</definedName>
    <definedName name="__IrM7">#REF!</definedName>
    <definedName name="__IrM8">#REF!</definedName>
    <definedName name="__IrM9">#REF!</definedName>
    <definedName name="__IrW1">#REF!</definedName>
    <definedName name="__Irw2">#REF!</definedName>
    <definedName name="__IrW3">#REF!</definedName>
    <definedName name="__IrW4">#REF!</definedName>
    <definedName name="__IrW5">#REF!</definedName>
    <definedName name="__IrW6">#REF!</definedName>
    <definedName name="__IrY1">#REF!</definedName>
    <definedName name="__IrY2">#REF!</definedName>
    <definedName name="__IrY3">#REF!</definedName>
    <definedName name="__IrY4">#REF!</definedName>
    <definedName name="__IrY5">#REF!</definedName>
    <definedName name="__IrY6">#REF!</definedName>
    <definedName name="__ItM1">#REF!</definedName>
    <definedName name="__ItM10">#REF!</definedName>
    <definedName name="__ItM11">#REF!</definedName>
    <definedName name="__ItM12">#REF!</definedName>
    <definedName name="__ItM13">#REF!</definedName>
    <definedName name="__ItM14">#REF!</definedName>
    <definedName name="__ItM15">#REF!</definedName>
    <definedName name="__ItM16">#REF!</definedName>
    <definedName name="__ItM17">#REF!</definedName>
    <definedName name="__ItM18">#REF!</definedName>
    <definedName name="__ItM19">#REF!</definedName>
    <definedName name="__ItM2">#REF!</definedName>
    <definedName name="__ItM20">#REF!</definedName>
    <definedName name="__ItM21">#REF!</definedName>
    <definedName name="__ItM22">#REF!</definedName>
    <definedName name="__ItM3">#REF!</definedName>
    <definedName name="__ItM4">#REF!</definedName>
    <definedName name="__ItM5">#REF!</definedName>
    <definedName name="__ItM6">#REF!</definedName>
    <definedName name="__ItM7">#REF!</definedName>
    <definedName name="__ItM8">#REF!</definedName>
    <definedName name="__ItM9">#REF!</definedName>
    <definedName name="__ITR3">#REF!</definedName>
    <definedName name="__ItW1">#REF!</definedName>
    <definedName name="__ItW2">#REF!</definedName>
    <definedName name="__ItW3">#REF!</definedName>
    <definedName name="__ItW4">#REF!</definedName>
    <definedName name="__ItW5">#REF!</definedName>
    <definedName name="__ItW6">#REF!</definedName>
    <definedName name="__ItY1">#REF!</definedName>
    <definedName name="__ItY2">#REF!</definedName>
    <definedName name="__ItY3">#REF!</definedName>
    <definedName name="__ItY4">#REF!</definedName>
    <definedName name="__ItY5">#REF!</definedName>
    <definedName name="__ItY6">#REF!</definedName>
    <definedName name="__jan07">#REF!</definedName>
    <definedName name="__key1" hidden="1">#REF!</definedName>
    <definedName name="__KI274">#REF!</definedName>
    <definedName name="__lis05">#REF!</definedName>
    <definedName name="__ljg5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__ljg5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__ljg5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__mar07">#REF!</definedName>
    <definedName name="__MAT2">#REF!</definedName>
    <definedName name="__mov02" localSheetId="10" hidden="1">{"VARIASMOEDAS",#N/A,FALSE,"APLICAR"}</definedName>
    <definedName name="__mov02" localSheetId="3" hidden="1">{"VARIASMOEDAS",#N/A,FALSE,"APLICAR"}</definedName>
    <definedName name="__mov02" hidden="1">{"VARIASMOEDAS",#N/A,FALSE,"APLICAR"}</definedName>
    <definedName name="__n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n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n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n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n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n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NA06">#REF!</definedName>
    <definedName name="__NO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NO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NO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NsM1">#REF!</definedName>
    <definedName name="__NsM2">#REF!</definedName>
    <definedName name="__NsM3">#REF!</definedName>
    <definedName name="__NsM4">#REF!</definedName>
    <definedName name="__NsM5">#REF!</definedName>
    <definedName name="__NsM6">#REF!</definedName>
    <definedName name="__NsW1">#REF!</definedName>
    <definedName name="__NsW2">#REF!</definedName>
    <definedName name="__NsW3">#REF!</definedName>
    <definedName name="__NsW4">#REF!</definedName>
    <definedName name="__NsY1">#REF!</definedName>
    <definedName name="__NsY2">#REF!</definedName>
    <definedName name="__NsY3">#REF!</definedName>
    <definedName name="__NsY4">#REF!</definedName>
    <definedName name="__nu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nu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nu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PG10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PG9">#REF!</definedName>
    <definedName name="__prn50">#REF!</definedName>
    <definedName name="__RD01">#REF!</definedName>
    <definedName name="__RH1">#REF!</definedName>
    <definedName name="__RH2">#REF!</definedName>
    <definedName name="__RH3">#REF!</definedName>
    <definedName name="__RH4">#REF!</definedName>
    <definedName name="__RH5">#REF!</definedName>
    <definedName name="__RH6">#REF!</definedName>
    <definedName name="__RH7">#REF!</definedName>
    <definedName name="__RI1">#REF!</definedName>
    <definedName name="__RI2">#REF!</definedName>
    <definedName name="__RI3">#REF!</definedName>
    <definedName name="__RI4">#REF!</definedName>
    <definedName name="__RI5">#REF!</definedName>
    <definedName name="__ri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ri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ri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RI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RI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RI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RL1">#REF!</definedName>
    <definedName name="__RL2">#REF!</definedName>
    <definedName name="__RP1">#REF!</definedName>
    <definedName name="__RP2">#REF!</definedName>
    <definedName name="__RP3">#REF!</definedName>
    <definedName name="__RP4">#REF!</definedName>
    <definedName name="__RS1">#REF!</definedName>
    <definedName name="__s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E01">#REF!</definedName>
    <definedName name="__SE02">#REF!</definedName>
    <definedName name="__Sh7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h7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sm1">#REF!</definedName>
    <definedName name="__SpM1">#REF!</definedName>
    <definedName name="__SpM10">#REF!</definedName>
    <definedName name="__SpM11">#REF!</definedName>
    <definedName name="__SpM12">#REF!</definedName>
    <definedName name="__SpM13">#REF!</definedName>
    <definedName name="__SpM14">#REF!</definedName>
    <definedName name="__SpM15">#REF!</definedName>
    <definedName name="__SpM16">#REF!</definedName>
    <definedName name="__SpM17">#REF!</definedName>
    <definedName name="__SpM18">#REF!</definedName>
    <definedName name="__SpM19">#REF!</definedName>
    <definedName name="__SpM2">#REF!</definedName>
    <definedName name="__SpM20">#REF!</definedName>
    <definedName name="__SpM21">#REF!</definedName>
    <definedName name="__SpM22">#REF!</definedName>
    <definedName name="__SpM3">#REF!</definedName>
    <definedName name="__SpM4">#REF!</definedName>
    <definedName name="__SpM5">#REF!</definedName>
    <definedName name="__SpM6">#REF!</definedName>
    <definedName name="__SpM7">#REF!</definedName>
    <definedName name="__SpM8">#REF!</definedName>
    <definedName name="__SpM9">#REF!</definedName>
    <definedName name="__SpW1">#REF!</definedName>
    <definedName name="__SpW2">#REF!</definedName>
    <definedName name="__SpW3">#REF!</definedName>
    <definedName name="__SpW4">#REF!</definedName>
    <definedName name="__SpW5">#REF!</definedName>
    <definedName name="__SpW6">#REF!</definedName>
    <definedName name="__SpY1">#REF!</definedName>
    <definedName name="__SpY2">#REF!</definedName>
    <definedName name="__SpY3">#REF!</definedName>
    <definedName name="__SpY4">#REF!</definedName>
    <definedName name="__SpY5">#REF!</definedName>
    <definedName name="__SpY6">#REF!</definedName>
    <definedName name="__SWM1">#REF!</definedName>
    <definedName name="__SWM10">#REF!</definedName>
    <definedName name="__SWM11">#REF!</definedName>
    <definedName name="__SWM12">#REF!</definedName>
    <definedName name="__SWM13">#REF!</definedName>
    <definedName name="__SWM14">#REF!</definedName>
    <definedName name="__SWM15">#REF!</definedName>
    <definedName name="__SWM16">#REF!</definedName>
    <definedName name="__SWM17">#REF!</definedName>
    <definedName name="__SWM18">#REF!</definedName>
    <definedName name="__SWM19">#REF!</definedName>
    <definedName name="__SWM2">#REF!</definedName>
    <definedName name="__SWM20">#REF!</definedName>
    <definedName name="__SWM21">#REF!</definedName>
    <definedName name="__SWM22">#REF!</definedName>
    <definedName name="__Swm23">#REF!</definedName>
    <definedName name="__SWM24">#REF!</definedName>
    <definedName name="__SWM3">#REF!</definedName>
    <definedName name="__SWM4">#REF!</definedName>
    <definedName name="__SWM5">#REF!</definedName>
    <definedName name="__SWM6">#REF!</definedName>
    <definedName name="__SWM7">#REF!</definedName>
    <definedName name="__SWM8">#REF!</definedName>
    <definedName name="__SWM9">#REF!</definedName>
    <definedName name="__SwW1">#REF!</definedName>
    <definedName name="__SwW2">#REF!</definedName>
    <definedName name="__SwW3">#REF!</definedName>
    <definedName name="__SwW4">#REF!</definedName>
    <definedName name="__SwW5">#REF!</definedName>
    <definedName name="__SwY1">#REF!</definedName>
    <definedName name="__SwY2">#REF!</definedName>
    <definedName name="__SwY3">#REF!</definedName>
    <definedName name="__SwY4">#REF!</definedName>
    <definedName name="__TF01">#REF!</definedName>
    <definedName name="__TH1">#REF!</definedName>
    <definedName name="__TH2">#REF!</definedName>
    <definedName name="__TH3">#REF!</definedName>
    <definedName name="__TH4">#REF!</definedName>
    <definedName name="__TH5">#REF!</definedName>
    <definedName name="__TH6">#REF!</definedName>
    <definedName name="__TH7">#REF!</definedName>
    <definedName name="__TI1">#REF!</definedName>
    <definedName name="__TI2">#REF!</definedName>
    <definedName name="__TI26">#REF!</definedName>
    <definedName name="__TI3">#REF!</definedName>
    <definedName name="__TI4">#REF!</definedName>
    <definedName name="__TI5">#REF!</definedName>
    <definedName name="__TL1">#REF!</definedName>
    <definedName name="__TL2">#REF!</definedName>
    <definedName name="__TP1">#REF!</definedName>
    <definedName name="__TP2">#REF!</definedName>
    <definedName name="__TP3">#REF!</definedName>
    <definedName name="__TP4">#REF!</definedName>
    <definedName name="__TS1">#REF!</definedName>
    <definedName name="__UKM1">#REF!</definedName>
    <definedName name="__UKM10">#REF!</definedName>
    <definedName name="__UKM11">#REF!</definedName>
    <definedName name="__UKM12">#REF!</definedName>
    <definedName name="__UKM13">#REF!</definedName>
    <definedName name="__UKM14">#REF!</definedName>
    <definedName name="__UKM15">#REF!</definedName>
    <definedName name="__UKM16">#REF!</definedName>
    <definedName name="__UKM17">#REF!</definedName>
    <definedName name="__UKM18">#REF!</definedName>
    <definedName name="__UKM19">#REF!</definedName>
    <definedName name="__UKM2">#REF!</definedName>
    <definedName name="__UKM20">#REF!</definedName>
    <definedName name="__UKM21">#REF!</definedName>
    <definedName name="__UKM22">#REF!</definedName>
    <definedName name="__UKM3">#REF!</definedName>
    <definedName name="__UKM4">#REF!</definedName>
    <definedName name="__UKM5">#REF!</definedName>
    <definedName name="__UKM6">#REF!</definedName>
    <definedName name="__UKM7">#REF!</definedName>
    <definedName name="__UKM8">#REF!</definedName>
    <definedName name="__UKM9">#REF!</definedName>
    <definedName name="__UKW1">#REF!</definedName>
    <definedName name="__UKW2">#REF!</definedName>
    <definedName name="__UKW3">#REF!</definedName>
    <definedName name="__UKW4">#REF!</definedName>
    <definedName name="__UKW5">#REF!</definedName>
    <definedName name="__UKW6">#REF!</definedName>
    <definedName name="__UKY1">#REF!</definedName>
    <definedName name="__UKY2">#REF!</definedName>
    <definedName name="__UKY3">#REF!</definedName>
    <definedName name="__UKY4">#REF!</definedName>
    <definedName name="__UKY5">#REF!</definedName>
    <definedName name="__UKY6">#REF!</definedName>
    <definedName name="__USD03">#REF!</definedName>
    <definedName name="__wei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wei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wei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WR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WR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WR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_xlfn.BAHTTEXT" hidden="1">#NAME?</definedName>
    <definedName name="_0.1.BS">#REF!</definedName>
    <definedName name="_0.1.LR">#REF!</definedName>
    <definedName name="_0.1.NWP">#REF!</definedName>
    <definedName name="_0.2.BS">#REF!</definedName>
    <definedName name="_0.2.LR">#REF!</definedName>
    <definedName name="_0.2.NWP">#REF!</definedName>
    <definedName name="_0.3.BS">#REF!</definedName>
    <definedName name="_0.3.LR">#REF!</definedName>
    <definedName name="_0.3.NWP">#REF!</definedName>
    <definedName name="_01_07_1995">#REF!</definedName>
    <definedName name="_05_9209_0151W">#REF!</definedName>
    <definedName name="_1.5_PET_s_CaLender">#REF!</definedName>
    <definedName name="_1__123Graph_ACHART_1" hidden="1">#REF!</definedName>
    <definedName name="_1__123Graph_ACONTRAC._OIL" hidden="1">#REF!</definedName>
    <definedName name="_10__123Graph_ACONTRAC._OIL" hidden="1">#REF!</definedName>
    <definedName name="_10__123Graph_BGRAFICO_1" hidden="1">#REF!</definedName>
    <definedName name="_10__123Graph_BGRAFICO_8" hidden="1">#REF!</definedName>
    <definedName name="_10__123Graph_LBL_ACHART_1" hidden="1">#REF!</definedName>
    <definedName name="_10__123Graph_LBL_CCHART_1" hidden="1">#REF!</definedName>
    <definedName name="_11__123Graph_BGRAFICO_1" hidden="1">#REF!</definedName>
    <definedName name="_11__123Graph_CCHART_1" hidden="1">#REF!</definedName>
    <definedName name="_11__123Graph_LBL_ACHART_1" hidden="1">#REF!</definedName>
    <definedName name="_12__123Graph_CCHART_1" hidden="1">#REF!</definedName>
    <definedName name="_12__123Graph_CGRAFICO_20" hidden="1">#REF!</definedName>
    <definedName name="_12__123Graph_DCONTRAC._OIL" hidden="1">#REF!</definedName>
    <definedName name="_12__123Graph_LBL_ACHART_1" hidden="1">#REF!</definedName>
    <definedName name="_12__123Graph_LBL_BCHART_1" hidden="1">#REF!</definedName>
    <definedName name="_13__123Graph_AGRAFICO_1" hidden="1">#REF!</definedName>
    <definedName name="_13__123Graph_DGRAFICO_20" hidden="1">#REF!</definedName>
    <definedName name="_13__123Graph_LBL_ACHART_1" hidden="1">#REF!</definedName>
    <definedName name="_13__123Graph_LBL_AGRAFICO_1" hidden="1">#REF!</definedName>
    <definedName name="_13__123Graph_XCONTRAC._OIL" hidden="1">#REF!</definedName>
    <definedName name="_14__123Graph_BCHART_1" hidden="1">#REF!</definedName>
    <definedName name="_14__123Graph_BCONTRAC._OIL" hidden="1">#REF!</definedName>
    <definedName name="_14__123Graph_BGRAFICO_1" hidden="1">#REF!</definedName>
    <definedName name="_14__123Graph_EGRAFICO_20" hidden="1">#REF!</definedName>
    <definedName name="_14__123Graph_LBL_AGRAFICO_1" hidden="1">#REF!</definedName>
    <definedName name="_14__123Graph_LBL_BCHART_1" hidden="1">#REF!</definedName>
    <definedName name="_15__123Graph_ACHART_1" hidden="1">#REF!</definedName>
    <definedName name="_15__123Graph_CCHART_1" hidden="1">#REF!</definedName>
    <definedName name="_15__123Graph_FGRAFICO_20" hidden="1">#REF!</definedName>
    <definedName name="_15__123Graph_LBL_BCHART_1" hidden="1">#REF!</definedName>
    <definedName name="_15__123Graph_LBL_CCHART_1" hidden="1">#REF!</definedName>
    <definedName name="_16__123Graph_BGRAFICO_1" hidden="1">#REF!</definedName>
    <definedName name="_16__123Graph_LBL_ACHART_1" hidden="1">#REF!</definedName>
    <definedName name="_16__123Graph_LBL_AGRAFICO_1" hidden="1">#REF!</definedName>
    <definedName name="_17__123Graph_ACHART_1" hidden="1">#REF!</definedName>
    <definedName name="_17__123Graph_CCHART_1" hidden="1">#REF!</definedName>
    <definedName name="_17__123Graph_LBL_AGRAFICO_1" hidden="1">#REF!</definedName>
    <definedName name="_17__123Graph_LBL_BCHART_1" hidden="1">#REF!</definedName>
    <definedName name="_17__123Graph_LBL_BGRAFICO_1" hidden="1">#REF!</definedName>
    <definedName name="_17__123Graph_LBL_CCHART_1" hidden="1">#REF!</definedName>
    <definedName name="_18__123Graph_LBL_ACHART_1" hidden="1">#REF!</definedName>
    <definedName name="_18__123Graph_LBL_AGRAFICO_20" hidden="1">#REF!</definedName>
    <definedName name="_18__123Graph_LBL_CCHART_1" hidden="1">#REF!</definedName>
    <definedName name="_19__123Graph_LBL_BCHART_1" hidden="1">#REF!</definedName>
    <definedName name="_1ltr_Rb_s_CaLender">#REF!</definedName>
    <definedName name="_1USD">#REF!</definedName>
    <definedName name="_2__123Graph_ACHART_1" hidden="1">#REF!</definedName>
    <definedName name="_2__123Graph_ACONTRAC._OIL" hidden="1">#REF!</definedName>
    <definedName name="_2__123Graph_AGRAFICO_1" hidden="1">#REF!</definedName>
    <definedName name="_2__123Graph_BCONTRAC._OIL" hidden="1">#REF!</definedName>
    <definedName name="_20__123Graph_BCONTRAC._OIL" hidden="1">#REF!</definedName>
    <definedName name="_20__123Graph_BGRAFICO_1" hidden="1">#REF!</definedName>
    <definedName name="_20__123Graph_LBL_BGRAFICO_1" hidden="1">#REF!</definedName>
    <definedName name="_2003_Sales_CSD_s_and_Water_sales_plan">#REF!</definedName>
    <definedName name="_21__123Graph_CCHART_1" hidden="1">#REF!</definedName>
    <definedName name="_21__123Graph_CCONTRAC._OIL" hidden="1">#REF!</definedName>
    <definedName name="_21__123Graph_LBL_BGRAFICO_20" hidden="1">#REF!</definedName>
    <definedName name="_21__123Graph_LBL_CCHART_1" hidden="1">#REF!</definedName>
    <definedName name="_22__123Graph_AGRAFICO_1" hidden="1">#REF!</definedName>
    <definedName name="_22__123Graph_LBL_ACHART_1" hidden="1">#REF!</definedName>
    <definedName name="_22__123Graph_LBL_AGRAFICO_1" hidden="1">#REF!</definedName>
    <definedName name="_22__123Graph_LBL_CCHART_1" hidden="1">#REF!</definedName>
    <definedName name="_23__123Graph_BCHART_1" hidden="1">#REF!</definedName>
    <definedName name="_23__123Graph_LBL_BCHART_1" hidden="1">#REF!</definedName>
    <definedName name="_23__123Graph_LBL_CGRAFICO_20" hidden="1">#REF!</definedName>
    <definedName name="_24__123Graph_LBL_DGRAFICO_20" hidden="1">#REF!</definedName>
    <definedName name="_25__123Graph_LBL_AGRAFICO_1" hidden="1">#REF!</definedName>
    <definedName name="_25__123Graph_LBL_EGRAFICO_20" hidden="1">#REF!</definedName>
    <definedName name="_250_Rb_s_CaLender">#REF!</definedName>
    <definedName name="_26__123Graph_LBL_BCHART_1" hidden="1">#REF!</definedName>
    <definedName name="_26__123Graph_LBL_FGRAFICO_20" hidden="1">#REF!</definedName>
    <definedName name="_27__123Graph_XGRAFICO_8" hidden="1">#REF!</definedName>
    <definedName name="_28__123Graph_DCONTRAC._OIL" hidden="1">#REF!</definedName>
    <definedName name="_28__123Graph_LBL_AGRAFICO_1" hidden="1">#REF!</definedName>
    <definedName name="_29__123Graph_LBL_BCHART_1" hidden="1">#REF!</definedName>
    <definedName name="_29__123Graph_LBL_BGRAFICO_1" hidden="1">#REF!</definedName>
    <definedName name="_29__123Graph_XCONTRAC._OIL" hidden="1">#REF!</definedName>
    <definedName name="_2USD">#REF!</definedName>
    <definedName name="_3.13_Outros_Activos">#REF!</definedName>
    <definedName name="_3__123Graph_ACHART_1" hidden="1">#REF!</definedName>
    <definedName name="_3__123Graph_ACONTRAC._OIL" hidden="1">#REF!</definedName>
    <definedName name="_3__123Graph_AGRAFICO_20" hidden="1">#REF!</definedName>
    <definedName name="_3__123Graph_BCHART_1" hidden="1">#REF!</definedName>
    <definedName name="_3__123Graph_CCONTRAC._OIL" hidden="1">#REF!</definedName>
    <definedName name="_30__123Graph_BGRAFICO_1" hidden="1">#REF!</definedName>
    <definedName name="_30__123Graph_CCONTRAC._OIL" hidden="1">#REF!</definedName>
    <definedName name="_30__123Graph_LBL_CCHART_1" hidden="1">#REF!</definedName>
    <definedName name="_31__123Graph_CCHART_1" hidden="1">#REF!</definedName>
    <definedName name="_32__123Graph_LBL_ACHART_1" hidden="1">#REF!</definedName>
    <definedName name="_33__123Graph_AGRAFICO_1" hidden="1">#REF!</definedName>
    <definedName name="_33__123Graph_LBL_BGRAFICO_1" hidden="1">#REF!</definedName>
    <definedName name="_34__123Graph_BCHART_1" hidden="1">#REF!</definedName>
    <definedName name="_34__123Graph_LBL_CCHART_1" hidden="1">#REF!</definedName>
    <definedName name="_35__123Graph_LBL_BGRAFICO_1" hidden="1">#REF!</definedName>
    <definedName name="_36__123Graph_LBL_CCHART_1" hidden="1">#REF!</definedName>
    <definedName name="_39__123Graph_LBL_AGRAFICO_1" hidden="1">#REF!</definedName>
    <definedName name="_4__123Graph_ACHART_1" hidden="1">#REF!</definedName>
    <definedName name="_4__123Graph_AGRAFICO_1" hidden="1">#REF!</definedName>
    <definedName name="_4__123Graph_AGRAFICO_7" hidden="1">#REF!</definedName>
    <definedName name="_4__123Graph_BCONTRAC._OIL" hidden="1">#REF!</definedName>
    <definedName name="_4__123Graph_BGRAFICO_1" hidden="1">#REF!</definedName>
    <definedName name="_4__123Graph_DCONTRAC._OIL" hidden="1">#REF!</definedName>
    <definedName name="_40__123Graph_DCONTRAC._OIL" hidden="1">#REF!</definedName>
    <definedName name="_40__123Graph_LBL_BCHART_1" hidden="1">#REF!</definedName>
    <definedName name="_41__123Graph_XCONTRAC._OIL" hidden="1">#REF!</definedName>
    <definedName name="_47__123Graph_LBL_BGRAFICO_1" hidden="1">#REF!</definedName>
    <definedName name="_48__123Graph_LBL_CCHART_1" hidden="1">#REF!</definedName>
    <definedName name="_5__123Graph_ACHART_1" hidden="1">#REF!</definedName>
    <definedName name="_5__123Graph_AGRAFICO_8" hidden="1">#REF!</definedName>
    <definedName name="_5__123Graph_BCHART_1" hidden="1">#REF!</definedName>
    <definedName name="_5__123Graph_CCHART_1" hidden="1">#REF!</definedName>
    <definedName name="_5__123Graph_XCONTRAC._OIL" hidden="1">#REF!</definedName>
    <definedName name="_5_0\lhi_d">#REF!</definedName>
    <definedName name="_50__123Graph_BGRAFICO_1" hidden="1">#REF!</definedName>
    <definedName name="_51__123Graph_CCHART_1" hidden="1">#REF!</definedName>
    <definedName name="_52__123Graph_LBL_ACHART_1" hidden="1">#REF!</definedName>
    <definedName name="_6__123Graph_BCHART_1" hidden="1">#REF!</definedName>
    <definedName name="_6__123Graph_BCONTRAC._OIL" hidden="1">#REF!</definedName>
    <definedName name="_6__123Graph_CCONTRAC._OIL" hidden="1">#REF!</definedName>
    <definedName name="_6__123Graph_LBL_ACHART_1" hidden="1">#REF!</definedName>
    <definedName name="_68__123Graph_LBL_AGRAFICO_1" hidden="1">#REF!</definedName>
    <definedName name="_69__123Graph_LBL_BCHART_1" hidden="1">#REF!</definedName>
    <definedName name="_7__123Graph_ACHART_1" hidden="1">#REF!</definedName>
    <definedName name="_7__123Graph_ACONTRAC._OIL" hidden="1">#REF!</definedName>
    <definedName name="_7__123Graph_AGRAFICO_1" hidden="1">#REF!</definedName>
    <definedName name="_7__123Graph_BGRAFICO_1" hidden="1">#REF!</definedName>
    <definedName name="_7__123Graph_LBL_AGRAFICO_1" hidden="1">#REF!</definedName>
    <definedName name="_8__123Graph_AGRAFICO_1" hidden="1">#REF!</definedName>
    <definedName name="_8__123Graph_BCHART_1" hidden="1">#REF!</definedName>
    <definedName name="_8__123Graph_BGRAFICO_1" hidden="1">#REF!</definedName>
    <definedName name="_8__123Graph_BGRAFICO_20" hidden="1">#REF!</definedName>
    <definedName name="_8__123Graph_CCHART_1" hidden="1">#REF!</definedName>
    <definedName name="_8__123Graph_DCONTRAC._OIL" hidden="1">#REF!</definedName>
    <definedName name="_8__123Graph_LBL_BCHART_1" hidden="1">#REF!</definedName>
    <definedName name="_85__123Graph_LBL_BGRAFICO_1" hidden="1">#REF!</definedName>
    <definedName name="_86__123Graph_LBL_CCHART_1" hidden="1">#REF!</definedName>
    <definedName name="_9__123Graph_BCHART_1" hidden="1">#REF!</definedName>
    <definedName name="_9__123Graph_BGRAFICO_7" hidden="1">#REF!</definedName>
    <definedName name="_9__123Graph_CCHART_1" hidden="1">#REF!</definedName>
    <definedName name="_9__123Graph_CCONTRAC._OIL" hidden="1">#REF!</definedName>
    <definedName name="_9__123Graph_LBL_ACHART_1" hidden="1">#REF!</definedName>
    <definedName name="_9__123Graph_LBL_BGRAFICO_1" hidden="1">#REF!</definedName>
    <definedName name="_9__123Graph_XCONTRAC._OIL" hidden="1">#REF!</definedName>
    <definedName name="_a" hidden="1">#REF!</definedName>
    <definedName name="_A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0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0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1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7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7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7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9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9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9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ALC1">#REF!</definedName>
    <definedName name="_ALC2">#REF!,#REF!</definedName>
    <definedName name="_APP1">#REF!</definedName>
    <definedName name="_asf3" localSheetId="10" hidden="1">{"USD",#N/A,FALSE,"APLICAR"}</definedName>
    <definedName name="_asf3" localSheetId="3" hidden="1">{"USD",#N/A,FALSE,"APLICAR"}</definedName>
    <definedName name="_asf3" hidden="1">{"USD",#N/A,FALSE,"APLICAR"}</definedName>
    <definedName name="_ATH1">#REF!</definedName>
    <definedName name="_ATH2">#REF!</definedName>
    <definedName name="_ATH3">#REF!</definedName>
    <definedName name="_ATH4">#REF!</definedName>
    <definedName name="_ATH5">#REF!</definedName>
    <definedName name="_ATH6">#REF!</definedName>
    <definedName name="_ATH7">#REF!</definedName>
    <definedName name="_ATI1">#REF!</definedName>
    <definedName name="_ATI2">#REF!</definedName>
    <definedName name="_ATI3">#REF!</definedName>
    <definedName name="_ATI4">#REF!</definedName>
    <definedName name="_ATI5">#REF!</definedName>
    <definedName name="_ATL1">#REF!</definedName>
    <definedName name="_ATL2">#REF!</definedName>
    <definedName name="_ATP1">#REF!</definedName>
    <definedName name="_ATP2">#REF!</definedName>
    <definedName name="_ATP3">#REF!</definedName>
    <definedName name="_ATP4">#REF!</definedName>
    <definedName name="_ATP42">#REF!</definedName>
    <definedName name="_ATPAnova1_Dlg_Results" localSheetId="10" hidden="1">{2;#N/A;"R11C5";#N/A;"";#N/A;1;#N/A;#N/A;FALSE;#N/A;0.05;#N/A;#N/A;#N/A}</definedName>
    <definedName name="_ATPAnova1_Dlg_Results" localSheetId="3" hidden="1">{2;#N/A;"R11C5";#N/A;"";#N/A;1;#N/A;#N/A;FALSE;#N/A;0.05;#N/A;#N/A;#N/A}</definedName>
    <definedName name="_ATPAnova1_Dlg_Results" hidden="1">{2;#N/A;"R11C5";#N/A;"";#N/A;1;#N/A;#N/A;FALSE;#N/A;0.05;#N/A;#N/A;#N/A}</definedName>
    <definedName name="_ATPAnova1_Dlg_Types" localSheetId="10" hidden="1">{"EXCELHLP.HLP!1781";5;10;5;10;5;11;112;112;13;5;8;1;2;24}</definedName>
    <definedName name="_ATPAnova1_Dlg_Types" localSheetId="3" hidden="1">{"EXCELHLP.HLP!1781";5;10;5;10;5;11;112;112;13;5;8;1;2;24}</definedName>
    <definedName name="_ATPAnova1_Dlg_Types" hidden="1">{"EXCELHLP.HLP!1781";5;10;5;10;5;11;112;112;13;5;8;1;2;24}</definedName>
    <definedName name="_ATPAnova1_Range2" hidden="1">"="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12</definedName>
    <definedName name="_AtRisk_SimSetting_ReportOptionReportsFileType" hidden="1">1</definedName>
    <definedName name="_AtRisk_SimSetting_ReportOptionSelectiveQR" hidden="1">FALSE</definedName>
    <definedName name="_AtRisk_SimSetting_ReportsList" hidden="1">12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TS1">#REF!</definedName>
    <definedName name="_Att1">#REF!</definedName>
    <definedName name="_Att10">#REF!</definedName>
    <definedName name="_Att2">#REF!</definedName>
    <definedName name="_att24">#REF!</definedName>
    <definedName name="_Att3">#REF!</definedName>
    <definedName name="_Att4">#REF!</definedName>
    <definedName name="_Att5">#REF!</definedName>
    <definedName name="_Att6">#REF!</definedName>
    <definedName name="_Att7">#REF!</definedName>
    <definedName name="_Att8">#REF!</definedName>
    <definedName name="_Att9">#REF!</definedName>
    <definedName name="_axc1" localSheetId="10" hidden="1">{#N/A,#N/A,FALSE,"JACKETS (1100 t) (1)"}</definedName>
    <definedName name="_axc1" localSheetId="3" hidden="1">{#N/A,#N/A,FALSE,"JACKETS (1100 t) (1)"}</definedName>
    <definedName name="_axc1" hidden="1">{#N/A,#N/A,FALSE,"JACKETS (1100 t) (1)"}</definedName>
    <definedName name="_axc1_1" localSheetId="10" hidden="1">{#N/A,#N/A,FALSE,"JACKETS (1100 t) (1)"}</definedName>
    <definedName name="_axc1_1" localSheetId="3" hidden="1">{#N/A,#N/A,FALSE,"JACKETS (1100 t) (1)"}</definedName>
    <definedName name="_axc1_1" hidden="1">{#N/A,#N/A,FALSE,"JACKETS (1100 t) (1)"}</definedName>
    <definedName name="_axc1_2" localSheetId="10" hidden="1">{#N/A,#N/A,FALSE,"JACKETS (1100 t) (1)"}</definedName>
    <definedName name="_axc1_2" localSheetId="3" hidden="1">{#N/A,#N/A,FALSE,"JACKETS (1100 t) (1)"}</definedName>
    <definedName name="_axc1_2" hidden="1">{#N/A,#N/A,FALSE,"JACKETS (1100 t) (1)"}</definedName>
    <definedName name="_axc1_3" localSheetId="10" hidden="1">{#N/A,#N/A,FALSE,"JACKETS (1100 t) (1)"}</definedName>
    <definedName name="_axc1_3" localSheetId="3" hidden="1">{#N/A,#N/A,FALSE,"JACKETS (1100 t) (1)"}</definedName>
    <definedName name="_axc1_3" hidden="1">{#N/A,#N/A,FALSE,"JACKETS (1100 t) (1)"}</definedName>
    <definedName name="_axc1_4" localSheetId="10" hidden="1">{#N/A,#N/A,FALSE,"JACKETS (1100 t) (1)"}</definedName>
    <definedName name="_axc1_4" localSheetId="3" hidden="1">{#N/A,#N/A,FALSE,"JACKETS (1100 t) (1)"}</definedName>
    <definedName name="_axc1_4" hidden="1">{#N/A,#N/A,FALSE,"JACKETS (1100 t) (1)"}</definedName>
    <definedName name="_axc1_5" localSheetId="10" hidden="1">{#N/A,#N/A,FALSE,"JACKETS (1100 t) (1)"}</definedName>
    <definedName name="_axc1_5" localSheetId="3" hidden="1">{#N/A,#N/A,FALSE,"JACKETS (1100 t) (1)"}</definedName>
    <definedName name="_axc1_5" hidden="1">{#N/A,#N/A,FALSE,"JACKETS (1100 t) (1)"}</definedName>
    <definedName name="_B99">#REF!</definedName>
    <definedName name="_BQ4.1" hidden="1">#REF!</definedName>
    <definedName name="_BQ4.13" hidden="1">#REF!</definedName>
    <definedName name="_BQ4.14" hidden="1">#REF!</definedName>
    <definedName name="_BQ4.18" hidden="1">#REF!</definedName>
    <definedName name="_BQ4.2" hidden="1">#REF!</definedName>
    <definedName name="_BQ4.21" hidden="1">#REF!</definedName>
    <definedName name="_BQ4.23" hidden="1">#REF!</definedName>
    <definedName name="_BQ4.24" hidden="1">#REF!</definedName>
    <definedName name="_BQ4.27" hidden="1">#REF!</definedName>
    <definedName name="_BQ4.4" hidden="1">#REF!</definedName>
    <definedName name="_BQ4.5" hidden="1">#REF!</definedName>
    <definedName name="_BQ4.8" hidden="1">#REF!</definedName>
    <definedName name="_BQ4.9" hidden="1">#REF!</definedName>
    <definedName name="_BSY1">#REF!</definedName>
    <definedName name="_BSY2">#REF!</definedName>
    <definedName name="_BSY3">#REF!</definedName>
    <definedName name="_BSY4">#REF!</definedName>
    <definedName name="_cc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c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cf3" localSheetId="10" hidden="1">{#N/A,#N/A,FALSE,"BS";#N/A,#N/A,FALSE,"IStat"}</definedName>
    <definedName name="_cf3" localSheetId="3" hidden="1">{#N/A,#N/A,FALSE,"BS";#N/A,#N/A,FALSE,"IStat"}</definedName>
    <definedName name="_cf3" hidden="1">{#N/A,#N/A,FALSE,"BS";#N/A,#N/A,FALSE,"IStat"}</definedName>
    <definedName name="_Cf4" localSheetId="10" hidden="1">{#N/A,#N/A,FALSE,"BS";#N/A,#N/A,FALSE,"IStat"}</definedName>
    <definedName name="_Cf4" localSheetId="3" hidden="1">{#N/A,#N/A,FALSE,"BS";#N/A,#N/A,FALSE,"IStat"}</definedName>
    <definedName name="_Cf4" hidden="1">{#N/A,#N/A,FALSE,"BS";#N/A,#N/A,FALSE,"IStat"}</definedName>
    <definedName name="_CFM1">#REF!</definedName>
    <definedName name="_CHK1">#REF!</definedName>
    <definedName name="_CHK2">#REF!</definedName>
    <definedName name="_CHK3">#REF!</definedName>
    <definedName name="_CHK4">#REF!</definedName>
    <definedName name="_CHK5">#REF!</definedName>
    <definedName name="_CRA">#REF!</definedName>
    <definedName name="_D5" localSheetId="10" hidden="1">{"'RR'!$A$2:$E$81"}</definedName>
    <definedName name="_D5" localSheetId="3" hidden="1">{"'RR'!$A$2:$E$81"}</definedName>
    <definedName name="_D5" hidden="1">{"'RR'!$A$2:$E$81"}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D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c97" localSheetId="10" hidden="1">{#N/A,#N/A,FALSE,"VARIANCE";#N/A,#N/A,FALSE,"2NDQTR";#N/A,#N/A,FALSE,"1STQTR";#N/A,#N/A,FALSE,"BUDGET"}</definedName>
    <definedName name="_dec97" localSheetId="3" hidden="1">{#N/A,#N/A,FALSE,"VARIANCE";#N/A,#N/A,FALSE,"2NDQTR";#N/A,#N/A,FALSE,"1STQTR";#N/A,#N/A,FALSE,"BUDGET"}</definedName>
    <definedName name="_dec97" hidden="1">{#N/A,#N/A,FALSE,"VARIANCE";#N/A,#N/A,FALSE,"2NDQTR";#N/A,#N/A,FALSE,"1STQTR";#N/A,#N/A,FALSE,"BUDGET"}</definedName>
    <definedName name="_dec97_1" localSheetId="10" hidden="1">{#N/A,#N/A,FALSE,"VARIANCE";#N/A,#N/A,FALSE,"2NDQTR";#N/A,#N/A,FALSE,"1STQTR";#N/A,#N/A,FALSE,"BUDGET"}</definedName>
    <definedName name="_dec97_1" localSheetId="3" hidden="1">{#N/A,#N/A,FALSE,"VARIANCE";#N/A,#N/A,FALSE,"2NDQTR";#N/A,#N/A,FALSE,"1STQTR";#N/A,#N/A,FALSE,"BUDGET"}</definedName>
    <definedName name="_dec97_1" hidden="1">{#N/A,#N/A,FALSE,"VARIANCE";#N/A,#N/A,FALSE,"2NDQTR";#N/A,#N/A,FALSE,"1STQTR";#N/A,#N/A,FALSE,"BUDGET"}</definedName>
    <definedName name="_dec97_2" localSheetId="10" hidden="1">{#N/A,#N/A,FALSE,"VARIANCE";#N/A,#N/A,FALSE,"2NDQTR";#N/A,#N/A,FALSE,"1STQTR";#N/A,#N/A,FALSE,"BUDGET"}</definedName>
    <definedName name="_dec97_2" localSheetId="3" hidden="1">{#N/A,#N/A,FALSE,"VARIANCE";#N/A,#N/A,FALSE,"2NDQTR";#N/A,#N/A,FALSE,"1STQTR";#N/A,#N/A,FALSE,"BUDGET"}</definedName>
    <definedName name="_dec97_2" hidden="1">{#N/A,#N/A,FALSE,"VARIANCE";#N/A,#N/A,FALSE,"2NDQTR";#N/A,#N/A,FALSE,"1STQTR";#N/A,#N/A,FALSE,"BUDGET"}</definedName>
    <definedName name="_dec97_3" localSheetId="10" hidden="1">{#N/A,#N/A,FALSE,"VARIANCE";#N/A,#N/A,FALSE,"2NDQTR";#N/A,#N/A,FALSE,"1STQTR";#N/A,#N/A,FALSE,"BUDGET"}</definedName>
    <definedName name="_dec97_3" localSheetId="3" hidden="1">{#N/A,#N/A,FALSE,"VARIANCE";#N/A,#N/A,FALSE,"2NDQTR";#N/A,#N/A,FALSE,"1STQTR";#N/A,#N/A,FALSE,"BUDGET"}</definedName>
    <definedName name="_dec97_3" hidden="1">{#N/A,#N/A,FALSE,"VARIANCE";#N/A,#N/A,FALSE,"2NDQTR";#N/A,#N/A,FALSE,"1STQTR";#N/A,#N/A,FALSE,"BUDGET"}</definedName>
    <definedName name="_dec97_4" localSheetId="10" hidden="1">{#N/A,#N/A,FALSE,"VARIANCE";#N/A,#N/A,FALSE,"2NDQTR";#N/A,#N/A,FALSE,"1STQTR";#N/A,#N/A,FALSE,"BUDGET"}</definedName>
    <definedName name="_dec97_4" localSheetId="3" hidden="1">{#N/A,#N/A,FALSE,"VARIANCE";#N/A,#N/A,FALSE,"2NDQTR";#N/A,#N/A,FALSE,"1STQTR";#N/A,#N/A,FALSE,"BUDGET"}</definedName>
    <definedName name="_dec97_4" hidden="1">{#N/A,#N/A,FALSE,"VARIANCE";#N/A,#N/A,FALSE,"2NDQTR";#N/A,#N/A,FALSE,"1STQTR";#N/A,#N/A,FALSE,"BUDGET"}</definedName>
    <definedName name="_dec97_5" localSheetId="10" hidden="1">{#N/A,#N/A,FALSE,"VARIANCE";#N/A,#N/A,FALSE,"2NDQTR";#N/A,#N/A,FALSE,"1STQTR";#N/A,#N/A,FALSE,"BUDGET"}</definedName>
    <definedName name="_dec97_5" localSheetId="3" hidden="1">{#N/A,#N/A,FALSE,"VARIANCE";#N/A,#N/A,FALSE,"2NDQTR";#N/A,#N/A,FALSE,"1STQTR";#N/A,#N/A,FALSE,"BUDGET"}</definedName>
    <definedName name="_dec97_5" hidden="1">{#N/A,#N/A,FALSE,"VARIANCE";#N/A,#N/A,FALSE,"2NDQTR";#N/A,#N/A,FALSE,"1STQTR";#N/A,#N/A,FALSE,"BUDGET"}</definedName>
    <definedName name="_Dep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p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dev93">#REF!</definedName>
    <definedName name="_DEV94">#REF!</definedName>
    <definedName name="_DOG1">#REF!</definedName>
    <definedName name="_DOG10">#REF!</definedName>
    <definedName name="_DOG11">#REF!</definedName>
    <definedName name="_DOG12">#REF!</definedName>
    <definedName name="_DOG13">#REF!</definedName>
    <definedName name="_DOG14">#REF!</definedName>
    <definedName name="_DOG15">#REF!</definedName>
    <definedName name="_DOG16">#REF!</definedName>
    <definedName name="_DOG17">#REF!</definedName>
    <definedName name="_DOG18">#REF!</definedName>
    <definedName name="_DOG2">#REF!</definedName>
    <definedName name="_DOG3">#REF!</definedName>
    <definedName name="_DOG4">#REF!</definedName>
    <definedName name="_DOG5">#REF!</definedName>
    <definedName name="_DOG6">#REF!</definedName>
    <definedName name="_DOG7">#REF!</definedName>
    <definedName name="_DOG8">#REF!</definedName>
    <definedName name="_DOG9">#REF!</definedName>
    <definedName name="_du">#REF!</definedName>
    <definedName name="_DWG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WG2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DX2" localSheetId="10" hidden="1">{"'WEB azoc prov'!$B$85:$L$123"}</definedName>
    <definedName name="_DX2" localSheetId="3" hidden="1">{"'WEB azoc prov'!$B$85:$L$123"}</definedName>
    <definedName name="_DX2" hidden="1">{"'WEB azoc prov'!$B$85:$L$123"}</definedName>
    <definedName name="_Entrada1">#REF!</definedName>
    <definedName name="_F1" localSheetId="10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_F1" localSheetId="3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_F1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_fev07">#REF!</definedName>
    <definedName name="_FFH1">#REF!</definedName>
    <definedName name="_FFH2">#REF!</definedName>
    <definedName name="_FFH3">#REF!</definedName>
    <definedName name="_FFH4">#REF!</definedName>
    <definedName name="_FFH5">#REF!</definedName>
    <definedName name="_FFH6">#REF!</definedName>
    <definedName name="_FFH7">#REF!</definedName>
    <definedName name="_FFI1">#REF!</definedName>
    <definedName name="_FFI2">#REF!</definedName>
    <definedName name="_FFI3">#REF!</definedName>
    <definedName name="_FFI4">#REF!</definedName>
    <definedName name="_FFI5">#REF!</definedName>
    <definedName name="_FFL1">#REF!</definedName>
    <definedName name="_FFL2">#REF!</definedName>
    <definedName name="_FFP1">#REF!</definedName>
    <definedName name="_FFP2">#REF!</definedName>
    <definedName name="_FFP3">#REF!</definedName>
    <definedName name="_FFP4">#REF!</definedName>
    <definedName name="_FFS1">#REF!</definedName>
    <definedName name="_Fill" hidden="1">#REF!</definedName>
    <definedName name="_xlnm._FilterDatabase" hidden="1">#REF!</definedName>
    <definedName name="_FUP2" localSheetId="10" hidden="1">{"'ALqdUESP'!$B$11"}</definedName>
    <definedName name="_FUP2" localSheetId="3" hidden="1">{"'ALqdUESP'!$B$11"}</definedName>
    <definedName name="_FUP2" hidden="1">{"'ALqdUESP'!$B$11"}</definedName>
    <definedName name="_FYR2">#REF!</definedName>
    <definedName name="_FYR4">#REF!</definedName>
    <definedName name="_Gen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1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en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GrM1">#REF!</definedName>
    <definedName name="_GrM10">#REF!</definedName>
    <definedName name="_GrM11">#REF!</definedName>
    <definedName name="_GrM12">#REF!</definedName>
    <definedName name="_GrM13">#REF!</definedName>
    <definedName name="_GrM14">#REF!</definedName>
    <definedName name="_GrM15">#REF!</definedName>
    <definedName name="_GrM16">#REF!</definedName>
    <definedName name="_GrM17">#REF!</definedName>
    <definedName name="_GrM18">#REF!</definedName>
    <definedName name="_GrM19">#REF!</definedName>
    <definedName name="_GrM2">#REF!</definedName>
    <definedName name="_GrM20">#REF!</definedName>
    <definedName name="_GrM21">#REF!</definedName>
    <definedName name="_GrM22">#REF!</definedName>
    <definedName name="_GrM3">#REF!</definedName>
    <definedName name="_GrM4">#REF!</definedName>
    <definedName name="_GrM5">#REF!</definedName>
    <definedName name="_GrM6">#REF!</definedName>
    <definedName name="_GrM7">#REF!</definedName>
    <definedName name="_GrM8">#REF!</definedName>
    <definedName name="_GrM9">#REF!</definedName>
    <definedName name="_GrW1">#REF!</definedName>
    <definedName name="_GrW2">#REF!</definedName>
    <definedName name="_GrW3">#REF!</definedName>
    <definedName name="_GrW4">#REF!</definedName>
    <definedName name="_GrW5">#REF!</definedName>
    <definedName name="_GrW6">#REF!</definedName>
    <definedName name="_GrY1">#REF!</definedName>
    <definedName name="_GrY2">#REF!</definedName>
    <definedName name="_GrY3">#REF!</definedName>
    <definedName name="_GrY4">#REF!</definedName>
    <definedName name="_GrY5">#REF!</definedName>
    <definedName name="_GrY6">#REF!</definedName>
    <definedName name="_IMP1">#REF!</definedName>
    <definedName name="_IMP2">#REF!</definedName>
    <definedName name="_IrM1">#REF!</definedName>
    <definedName name="_IrM10">#REF!</definedName>
    <definedName name="_IrM11">#REF!</definedName>
    <definedName name="_IrM12">#REF!</definedName>
    <definedName name="_IrM13">#REF!</definedName>
    <definedName name="_IrM14">#REF!</definedName>
    <definedName name="_IrM15">#REF!</definedName>
    <definedName name="_IrM16">#REF!</definedName>
    <definedName name="_IrM17">#REF!</definedName>
    <definedName name="_IrM18">#REF!</definedName>
    <definedName name="_IrM19">#REF!</definedName>
    <definedName name="_IrM2">#REF!</definedName>
    <definedName name="_IrM20">#REF!</definedName>
    <definedName name="_IrM21">#REF!</definedName>
    <definedName name="_IRM22">#REF!</definedName>
    <definedName name="_IRM23">#REF!</definedName>
    <definedName name="_IRM24">#REF!</definedName>
    <definedName name="_IrM3">#REF!</definedName>
    <definedName name="_IrM4">#REF!</definedName>
    <definedName name="_IrM5">#REF!</definedName>
    <definedName name="_IrM6">#REF!</definedName>
    <definedName name="_IrM7">#REF!</definedName>
    <definedName name="_IrM8">#REF!</definedName>
    <definedName name="_IrM9">#REF!</definedName>
    <definedName name="_IrW1">#REF!</definedName>
    <definedName name="_Irw2">#REF!</definedName>
    <definedName name="_IrW3">#REF!</definedName>
    <definedName name="_IrW4">#REF!</definedName>
    <definedName name="_IrW5">#REF!</definedName>
    <definedName name="_IrW6">#REF!</definedName>
    <definedName name="_IrY1">#REF!</definedName>
    <definedName name="_IrY2">#REF!</definedName>
    <definedName name="_IrY3">#REF!</definedName>
    <definedName name="_IrY4">#REF!</definedName>
    <definedName name="_IrY5">#REF!</definedName>
    <definedName name="_IrY6">#REF!</definedName>
    <definedName name="_ItM1">#REF!</definedName>
    <definedName name="_ItM10">#REF!</definedName>
    <definedName name="_ItM11">#REF!</definedName>
    <definedName name="_ItM12">#REF!</definedName>
    <definedName name="_ItM13">#REF!</definedName>
    <definedName name="_ItM14">#REF!</definedName>
    <definedName name="_ItM15">#REF!</definedName>
    <definedName name="_ItM16">#REF!</definedName>
    <definedName name="_ItM17">#REF!</definedName>
    <definedName name="_ItM18">#REF!</definedName>
    <definedName name="_ItM19">#REF!</definedName>
    <definedName name="_ItM2">#REF!</definedName>
    <definedName name="_ItM20">#REF!</definedName>
    <definedName name="_ItM21">#REF!</definedName>
    <definedName name="_ItM22">#REF!</definedName>
    <definedName name="_ItM3">#REF!</definedName>
    <definedName name="_ItM4">#REF!</definedName>
    <definedName name="_ItM5">#REF!</definedName>
    <definedName name="_ItM6">#REF!</definedName>
    <definedName name="_ItM7">#REF!</definedName>
    <definedName name="_ItM8">#REF!</definedName>
    <definedName name="_ItM9">#REF!</definedName>
    <definedName name="_ITR3">#REF!</definedName>
    <definedName name="_ItW1">#REF!</definedName>
    <definedName name="_ItW2">#REF!</definedName>
    <definedName name="_ItW3">#REF!</definedName>
    <definedName name="_ItW4">#REF!</definedName>
    <definedName name="_ItW5">#REF!</definedName>
    <definedName name="_ItW6">#REF!</definedName>
    <definedName name="_ItY1">#REF!</definedName>
    <definedName name="_ItY2">#REF!</definedName>
    <definedName name="_ItY3">#REF!</definedName>
    <definedName name="_ItY4">#REF!</definedName>
    <definedName name="_ItY5">#REF!</definedName>
    <definedName name="_ItY6">#REF!</definedName>
    <definedName name="_jan07">#REF!</definedName>
    <definedName name="_Key1" hidden="1">#REF!</definedName>
    <definedName name="_Key2" hidden="1">#REF!</definedName>
    <definedName name="_KI274">#REF!</definedName>
    <definedName name="_kq1">#REF!</definedName>
    <definedName name="_L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lis05">#REF!</definedName>
    <definedName name="_ljg5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_ljg5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_ljg5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_LV2">#REF!</definedName>
    <definedName name="_mar07">#REF!</definedName>
    <definedName name="_MAT2">#REF!</definedName>
    <definedName name="_mn12">#REF!</definedName>
    <definedName name="_mov02" localSheetId="10" hidden="1">{"VARIASMOEDAS",#N/A,FALSE,"APLICAR"}</definedName>
    <definedName name="_mov02" localSheetId="3" hidden="1">{"VARIASMOEDAS",#N/A,FALSE,"APLICAR"}</definedName>
    <definedName name="_mov02" hidden="1">{"VARIASMOEDAS",#N/A,FALSE,"APLICAR"}</definedName>
    <definedName name="_n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1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2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NA06">#REF!</definedName>
    <definedName name="_NO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O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sM1">#REF!</definedName>
    <definedName name="_NsM2">#REF!</definedName>
    <definedName name="_NsM3">#REF!</definedName>
    <definedName name="_NsM4">#REF!</definedName>
    <definedName name="_NsM5">#REF!</definedName>
    <definedName name="_NsM6">#REF!</definedName>
    <definedName name="_NsW1">#REF!</definedName>
    <definedName name="_NsW2">#REF!</definedName>
    <definedName name="_NsW3">#REF!</definedName>
    <definedName name="_NsW4">#REF!</definedName>
    <definedName name="_NsY1">#REF!</definedName>
    <definedName name="_NsY2">#REF!</definedName>
    <definedName name="_NsY3">#REF!</definedName>
    <definedName name="_NsY4">#REF!</definedName>
    <definedName name="_nu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nu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orc2011">#REF!</definedName>
    <definedName name="_Order1" hidden="1">255</definedName>
    <definedName name="_Order2" hidden="1">0</definedName>
    <definedName name="_OUT1">#REF!</definedName>
    <definedName name="_Parse_Out" hidden="1">#REF!</definedName>
    <definedName name="_PES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PES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PES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PF">#REF!</definedName>
    <definedName name="_PG1">#REF!</definedName>
    <definedName name="_PG10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>#REF!,#REF!,#REF!,#REF!,#REF!,#REF!,#REF!,#REF!,#REF!,#REF!</definedName>
    <definedName name="_PL2">#REF!,#REF!,#REF!,#REF!,#REF!,#REF!,#REF!,#REF!,#REF!,#REF!</definedName>
    <definedName name="_PL3">#REF!,#REF!,#REF!,#REF!,#REF!,#REF!,#REF!,#REF!,#REF!,#REF!</definedName>
    <definedName name="_PL4">#REF!,#REF!,#REF!,#REF!,#REF!,#REF!,#REF!,#REF!,#REF!,#REF!</definedName>
    <definedName name="_prn50">#REF!</definedName>
    <definedName name="_RD01">#REF!</definedName>
    <definedName name="_Regression_Int" hidden="1">1</definedName>
    <definedName name="_RH1">#REF!</definedName>
    <definedName name="_RH2">#REF!</definedName>
    <definedName name="_RH3">#REF!</definedName>
    <definedName name="_RH4">#REF!</definedName>
    <definedName name="_RH5">#REF!</definedName>
    <definedName name="_RH6">#REF!</definedName>
    <definedName name="_RH7">#REF!</definedName>
    <definedName name="_RI1">#REF!</definedName>
    <definedName name="_RI2">#REF!</definedName>
    <definedName name="_RI3">#REF!</definedName>
    <definedName name="_RI4">#REF!</definedName>
    <definedName name="_RI5">#REF!</definedName>
    <definedName name="_ria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IA3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RL1">#REF!</definedName>
    <definedName name="_RL2">#REF!</definedName>
    <definedName name="_RP1">#REF!</definedName>
    <definedName name="_RP2">#REF!</definedName>
    <definedName name="_RP3">#REF!</definedName>
    <definedName name="_RP4">#REF!</definedName>
    <definedName name="_RS1">#REF!</definedName>
    <definedName name="_RT1">#REF!</definedName>
    <definedName name="_s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2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E01">#REF!</definedName>
    <definedName name="_SE02">#REF!</definedName>
    <definedName name="_Sh010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010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8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m1">#REF!</definedName>
    <definedName name="_Sort" hidden="1">#REF!</definedName>
    <definedName name="_SpM1">#REF!</definedName>
    <definedName name="_SpM10">#REF!</definedName>
    <definedName name="_SpM11">#REF!</definedName>
    <definedName name="_SpM12">#REF!</definedName>
    <definedName name="_SpM13">#REF!</definedName>
    <definedName name="_SpM14">#REF!</definedName>
    <definedName name="_SpM15">#REF!</definedName>
    <definedName name="_SpM16">#REF!</definedName>
    <definedName name="_SpM17">#REF!</definedName>
    <definedName name="_SpM18">#REF!</definedName>
    <definedName name="_SpM19">#REF!</definedName>
    <definedName name="_SpM2">#REF!</definedName>
    <definedName name="_SpM20">#REF!</definedName>
    <definedName name="_SpM21">#REF!</definedName>
    <definedName name="_SpM22">#REF!</definedName>
    <definedName name="_SpM3">#REF!</definedName>
    <definedName name="_SpM4">#REF!</definedName>
    <definedName name="_SpM5">#REF!</definedName>
    <definedName name="_SpM6">#REF!</definedName>
    <definedName name="_SpM7">#REF!</definedName>
    <definedName name="_SpM8">#REF!</definedName>
    <definedName name="_SpM9">#REF!</definedName>
    <definedName name="_SpW1">#REF!</definedName>
    <definedName name="_SpW2">#REF!</definedName>
    <definedName name="_SpW3">#REF!</definedName>
    <definedName name="_SpW4">#REF!</definedName>
    <definedName name="_SpW5">#REF!</definedName>
    <definedName name="_SpW6">#REF!</definedName>
    <definedName name="_SpY1">#REF!</definedName>
    <definedName name="_SpY2">#REF!</definedName>
    <definedName name="_SpY3">#REF!</definedName>
    <definedName name="_SpY4">#REF!</definedName>
    <definedName name="_SpY5">#REF!</definedName>
    <definedName name="_SpY6">#REF!</definedName>
    <definedName name="_SWM1">#REF!</definedName>
    <definedName name="_SWM10">#REF!</definedName>
    <definedName name="_SWM11">#REF!</definedName>
    <definedName name="_SWM12">#REF!</definedName>
    <definedName name="_SWM13">#REF!</definedName>
    <definedName name="_SWM14">#REF!</definedName>
    <definedName name="_SWM15">#REF!</definedName>
    <definedName name="_SWM16">#REF!</definedName>
    <definedName name="_SWM17">#REF!</definedName>
    <definedName name="_SWM18">#REF!</definedName>
    <definedName name="_SWM19">#REF!</definedName>
    <definedName name="_SWM2">#REF!</definedName>
    <definedName name="_SWM20">#REF!</definedName>
    <definedName name="_SWM21">#REF!</definedName>
    <definedName name="_SWM22">#REF!</definedName>
    <definedName name="_Swm23">#REF!</definedName>
    <definedName name="_SWM24">#REF!</definedName>
    <definedName name="_SWM3">#REF!</definedName>
    <definedName name="_SWM4">#REF!</definedName>
    <definedName name="_SWM5">#REF!</definedName>
    <definedName name="_SWM6">#REF!</definedName>
    <definedName name="_SWM7">#REF!</definedName>
    <definedName name="_SWM8">#REF!</definedName>
    <definedName name="_SWM9">#REF!</definedName>
    <definedName name="_SwW1">#REF!</definedName>
    <definedName name="_SwW2">#REF!</definedName>
    <definedName name="_SwW3">#REF!</definedName>
    <definedName name="_SwW4">#REF!</definedName>
    <definedName name="_SwW5">#REF!</definedName>
    <definedName name="_SwY1">#REF!</definedName>
    <definedName name="_SwY2">#REF!</definedName>
    <definedName name="_SwY3">#REF!</definedName>
    <definedName name="_SwY4">#REF!</definedName>
    <definedName name="_Table1_In1" hidden="1">#REF!</definedName>
    <definedName name="_Table1_Out" hidden="1">#REF!</definedName>
    <definedName name="_TB07">#REF!</definedName>
    <definedName name="_TB2">#REF!,#REF!</definedName>
    <definedName name="_TF01">#REF!</definedName>
    <definedName name="_TH1">#REF!</definedName>
    <definedName name="_TH2">#REF!</definedName>
    <definedName name="_TH3">#REF!</definedName>
    <definedName name="_TH4">#REF!</definedName>
    <definedName name="_TH5">#REF!</definedName>
    <definedName name="_TH6">#REF!</definedName>
    <definedName name="_TH7">#REF!</definedName>
    <definedName name="_TI1">#REF!</definedName>
    <definedName name="_TI2">#REF!</definedName>
    <definedName name="_TI26">#REF!</definedName>
    <definedName name="_TI3">#REF!</definedName>
    <definedName name="_TI4">#REF!</definedName>
    <definedName name="_TI5">#REF!</definedName>
    <definedName name="_TL1">#REF!</definedName>
    <definedName name="_TL2">#REF!</definedName>
    <definedName name="_TP1">#REF!</definedName>
    <definedName name="_TP2">#REF!</definedName>
    <definedName name="_TP3">#REF!</definedName>
    <definedName name="_TP4">#REF!</definedName>
    <definedName name="_TS1">#REF!</definedName>
    <definedName name="_UKM1">#REF!</definedName>
    <definedName name="_UKM10">#REF!</definedName>
    <definedName name="_UKM11">#REF!</definedName>
    <definedName name="_UKM12">#REF!</definedName>
    <definedName name="_UKM13">#REF!</definedName>
    <definedName name="_UKM14">#REF!</definedName>
    <definedName name="_UKM15">#REF!</definedName>
    <definedName name="_UKM16">#REF!</definedName>
    <definedName name="_UKM17">#REF!</definedName>
    <definedName name="_UKM18">#REF!</definedName>
    <definedName name="_UKM19">#REF!</definedName>
    <definedName name="_UKM2">#REF!</definedName>
    <definedName name="_UKM20">#REF!</definedName>
    <definedName name="_UKM21">#REF!</definedName>
    <definedName name="_UKM22">#REF!</definedName>
    <definedName name="_UKM3">#REF!</definedName>
    <definedName name="_UKM4">#REF!</definedName>
    <definedName name="_UKM5">#REF!</definedName>
    <definedName name="_UKM6">#REF!</definedName>
    <definedName name="_UKM7">#REF!</definedName>
    <definedName name="_UKM8">#REF!</definedName>
    <definedName name="_UKM9">#REF!</definedName>
    <definedName name="_UKW1">#REF!</definedName>
    <definedName name="_UKW2">#REF!</definedName>
    <definedName name="_UKW3">#REF!</definedName>
    <definedName name="_UKW4">#REF!</definedName>
    <definedName name="_UKW5">#REF!</definedName>
    <definedName name="_UKW6">#REF!</definedName>
    <definedName name="_UKY1">#REF!</definedName>
    <definedName name="_UKY2">#REF!</definedName>
    <definedName name="_UKY3">#REF!</definedName>
    <definedName name="_UKY4">#REF!</definedName>
    <definedName name="_UKY5">#REF!</definedName>
    <definedName name="_UKY6">#REF!</definedName>
    <definedName name="_USD03">#REF!</definedName>
    <definedName name="_wei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ei2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WRN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RN2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ww1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ww1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ww1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_xlcn.WorksheetConnection_2016ICTBudgetForecast_MASTERV2.xlsxMaster2016G3AK491" hidden="1">#REF!</definedName>
    <definedName name="_Z1Code">#REF!</definedName>
    <definedName name="_Z1Name">#REF!</definedName>
    <definedName name="_Z2Code">#REF!</definedName>
    <definedName name="_Z2Name">#REF!</definedName>
    <definedName name="_Z2Z1Link">#REF!</definedName>
    <definedName name="_Z3Period">#REF!</definedName>
    <definedName name="_Z3Shift">#REF!</definedName>
    <definedName name="_Z4Losses">#REF!</definedName>
    <definedName name="_Z4Name">#REF!</definedName>
    <definedName name="_Z4Time">#REF!</definedName>
    <definedName name="_zz10" localSheetId="10" hidden="1">{"'Sheet1'!$M$363:$M$364"}</definedName>
    <definedName name="_zz10" localSheetId="3" hidden="1">{"'Sheet1'!$M$363:$M$364"}</definedName>
    <definedName name="_zz10" hidden="1">{"'Sheet1'!$M$363:$M$364"}</definedName>
    <definedName name="_zz10_1" localSheetId="10" hidden="1">{"'Sheet1'!$M$363:$M$364"}</definedName>
    <definedName name="_zz10_1" localSheetId="3" hidden="1">{"'Sheet1'!$M$363:$M$364"}</definedName>
    <definedName name="_zz10_1" hidden="1">{"'Sheet1'!$M$363:$M$364"}</definedName>
    <definedName name="_zz10_2" localSheetId="10" hidden="1">{"'Sheet1'!$M$363:$M$364"}</definedName>
    <definedName name="_zz10_2" localSheetId="3" hidden="1">{"'Sheet1'!$M$363:$M$364"}</definedName>
    <definedName name="_zz10_2" hidden="1">{"'Sheet1'!$M$363:$M$364"}</definedName>
    <definedName name="_zz10_3" localSheetId="10" hidden="1">{"'Sheet1'!$M$363:$M$364"}</definedName>
    <definedName name="_zz10_3" localSheetId="3" hidden="1">{"'Sheet1'!$M$363:$M$364"}</definedName>
    <definedName name="_zz10_3" hidden="1">{"'Sheet1'!$M$363:$M$364"}</definedName>
    <definedName name="_zz10_4" localSheetId="10" hidden="1">{"'Sheet1'!$M$363:$M$364"}</definedName>
    <definedName name="_zz10_4" localSheetId="3" hidden="1">{"'Sheet1'!$M$363:$M$364"}</definedName>
    <definedName name="_zz10_4" hidden="1">{"'Sheet1'!$M$363:$M$364"}</definedName>
    <definedName name="_zz10_5" localSheetId="10" hidden="1">{"'Sheet1'!$M$363:$M$364"}</definedName>
    <definedName name="_zz10_5" localSheetId="3" hidden="1">{"'Sheet1'!$M$363:$M$364"}</definedName>
    <definedName name="_zz10_5" hidden="1">{"'Sheet1'!$M$363:$M$364"}</definedName>
    <definedName name="_zz11" localSheetId="10" hidden="1">{"'Sheet1'!$M$363:$M$364"}</definedName>
    <definedName name="_zz11" localSheetId="3" hidden="1">{"'Sheet1'!$M$363:$M$364"}</definedName>
    <definedName name="_zz11" hidden="1">{"'Sheet1'!$M$363:$M$364"}</definedName>
    <definedName name="_zz11_1" localSheetId="10" hidden="1">{"'Sheet1'!$M$363:$M$364"}</definedName>
    <definedName name="_zz11_1" localSheetId="3" hidden="1">{"'Sheet1'!$M$363:$M$364"}</definedName>
    <definedName name="_zz11_1" hidden="1">{"'Sheet1'!$M$363:$M$364"}</definedName>
    <definedName name="_zz11_2" localSheetId="10" hidden="1">{"'Sheet1'!$M$363:$M$364"}</definedName>
    <definedName name="_zz11_2" localSheetId="3" hidden="1">{"'Sheet1'!$M$363:$M$364"}</definedName>
    <definedName name="_zz11_2" hidden="1">{"'Sheet1'!$M$363:$M$364"}</definedName>
    <definedName name="_zz11_3" localSheetId="10" hidden="1">{"'Sheet1'!$M$363:$M$364"}</definedName>
    <definedName name="_zz11_3" localSheetId="3" hidden="1">{"'Sheet1'!$M$363:$M$364"}</definedName>
    <definedName name="_zz11_3" hidden="1">{"'Sheet1'!$M$363:$M$364"}</definedName>
    <definedName name="_zz11_4" localSheetId="10" hidden="1">{"'Sheet1'!$M$363:$M$364"}</definedName>
    <definedName name="_zz11_4" localSheetId="3" hidden="1">{"'Sheet1'!$M$363:$M$364"}</definedName>
    <definedName name="_zz11_4" hidden="1">{"'Sheet1'!$M$363:$M$364"}</definedName>
    <definedName name="_zz11_5" localSheetId="10" hidden="1">{"'Sheet1'!$M$363:$M$364"}</definedName>
    <definedName name="_zz11_5" localSheetId="3" hidden="1">{"'Sheet1'!$M$363:$M$364"}</definedName>
    <definedName name="_zz11_5" hidden="1">{"'Sheet1'!$M$363:$M$364"}</definedName>
    <definedName name="_zz13" localSheetId="10" hidden="1">{"'Sheet1'!$M$363:$M$364"}</definedName>
    <definedName name="_zz13" localSheetId="3" hidden="1">{"'Sheet1'!$M$363:$M$364"}</definedName>
    <definedName name="_zz13" hidden="1">{"'Sheet1'!$M$363:$M$364"}</definedName>
    <definedName name="_zz13_1" localSheetId="10" hidden="1">{"'Sheet1'!$M$363:$M$364"}</definedName>
    <definedName name="_zz13_1" localSheetId="3" hidden="1">{"'Sheet1'!$M$363:$M$364"}</definedName>
    <definedName name="_zz13_1" hidden="1">{"'Sheet1'!$M$363:$M$364"}</definedName>
    <definedName name="_zz13_2" localSheetId="10" hidden="1">{"'Sheet1'!$M$363:$M$364"}</definedName>
    <definedName name="_zz13_2" localSheetId="3" hidden="1">{"'Sheet1'!$M$363:$M$364"}</definedName>
    <definedName name="_zz13_2" hidden="1">{"'Sheet1'!$M$363:$M$364"}</definedName>
    <definedName name="_zz13_3" localSheetId="10" hidden="1">{"'Sheet1'!$M$363:$M$364"}</definedName>
    <definedName name="_zz13_3" localSheetId="3" hidden="1">{"'Sheet1'!$M$363:$M$364"}</definedName>
    <definedName name="_zz13_3" hidden="1">{"'Sheet1'!$M$363:$M$364"}</definedName>
    <definedName name="_zz13_4" localSheetId="10" hidden="1">{"'Sheet1'!$M$363:$M$364"}</definedName>
    <definedName name="_zz13_4" localSheetId="3" hidden="1">{"'Sheet1'!$M$363:$M$364"}</definedName>
    <definedName name="_zz13_4" hidden="1">{"'Sheet1'!$M$363:$M$364"}</definedName>
    <definedName name="_zz13_5" localSheetId="10" hidden="1">{"'Sheet1'!$M$363:$M$364"}</definedName>
    <definedName name="_zz13_5" localSheetId="3" hidden="1">{"'Sheet1'!$M$363:$M$364"}</definedName>
    <definedName name="_zz13_5" hidden="1">{"'Sheet1'!$M$363:$M$364"}</definedName>
    <definedName name="_zz14" localSheetId="10" hidden="1">{"'Sheet1'!$M$363:$M$364"}</definedName>
    <definedName name="_zz14" localSheetId="3" hidden="1">{"'Sheet1'!$M$363:$M$364"}</definedName>
    <definedName name="_zz14" hidden="1">{"'Sheet1'!$M$363:$M$364"}</definedName>
    <definedName name="_zz14_1" localSheetId="10" hidden="1">{"'Sheet1'!$M$363:$M$364"}</definedName>
    <definedName name="_zz14_1" localSheetId="3" hidden="1">{"'Sheet1'!$M$363:$M$364"}</definedName>
    <definedName name="_zz14_1" hidden="1">{"'Sheet1'!$M$363:$M$364"}</definedName>
    <definedName name="_zz14_2" localSheetId="10" hidden="1">{"'Sheet1'!$M$363:$M$364"}</definedName>
    <definedName name="_zz14_2" localSheetId="3" hidden="1">{"'Sheet1'!$M$363:$M$364"}</definedName>
    <definedName name="_zz14_2" hidden="1">{"'Sheet1'!$M$363:$M$364"}</definedName>
    <definedName name="_zz14_3" localSheetId="10" hidden="1">{"'Sheet1'!$M$363:$M$364"}</definedName>
    <definedName name="_zz14_3" localSheetId="3" hidden="1">{"'Sheet1'!$M$363:$M$364"}</definedName>
    <definedName name="_zz14_3" hidden="1">{"'Sheet1'!$M$363:$M$364"}</definedName>
    <definedName name="_zz14_4" localSheetId="10" hidden="1">{"'Sheet1'!$M$363:$M$364"}</definedName>
    <definedName name="_zz14_4" localSheetId="3" hidden="1">{"'Sheet1'!$M$363:$M$364"}</definedName>
    <definedName name="_zz14_4" hidden="1">{"'Sheet1'!$M$363:$M$364"}</definedName>
    <definedName name="_zz14_5" localSheetId="10" hidden="1">{"'Sheet1'!$M$363:$M$364"}</definedName>
    <definedName name="_zz14_5" localSheetId="3" hidden="1">{"'Sheet1'!$M$363:$M$364"}</definedName>
    <definedName name="_zz14_5" hidden="1">{"'Sheet1'!$M$363:$M$364"}</definedName>
    <definedName name="_zz15" localSheetId="10" hidden="1">{"'Sheet1'!$M$363:$M$364"}</definedName>
    <definedName name="_zz15" localSheetId="3" hidden="1">{"'Sheet1'!$M$363:$M$364"}</definedName>
    <definedName name="_zz15" hidden="1">{"'Sheet1'!$M$363:$M$364"}</definedName>
    <definedName name="_zz15_1" localSheetId="10" hidden="1">{"'Sheet1'!$M$363:$M$364"}</definedName>
    <definedName name="_zz15_1" localSheetId="3" hidden="1">{"'Sheet1'!$M$363:$M$364"}</definedName>
    <definedName name="_zz15_1" hidden="1">{"'Sheet1'!$M$363:$M$364"}</definedName>
    <definedName name="_zz15_2" localSheetId="10" hidden="1">{"'Sheet1'!$M$363:$M$364"}</definedName>
    <definedName name="_zz15_2" localSheetId="3" hidden="1">{"'Sheet1'!$M$363:$M$364"}</definedName>
    <definedName name="_zz15_2" hidden="1">{"'Sheet1'!$M$363:$M$364"}</definedName>
    <definedName name="_zz15_3" localSheetId="10" hidden="1">{"'Sheet1'!$M$363:$M$364"}</definedName>
    <definedName name="_zz15_3" localSheetId="3" hidden="1">{"'Sheet1'!$M$363:$M$364"}</definedName>
    <definedName name="_zz15_3" hidden="1">{"'Sheet1'!$M$363:$M$364"}</definedName>
    <definedName name="_zz15_4" localSheetId="10" hidden="1">{"'Sheet1'!$M$363:$M$364"}</definedName>
    <definedName name="_zz15_4" localSheetId="3" hidden="1">{"'Sheet1'!$M$363:$M$364"}</definedName>
    <definedName name="_zz15_4" hidden="1">{"'Sheet1'!$M$363:$M$364"}</definedName>
    <definedName name="_zz15_5" localSheetId="10" hidden="1">{"'Sheet1'!$M$363:$M$364"}</definedName>
    <definedName name="_zz15_5" localSheetId="3" hidden="1">{"'Sheet1'!$M$363:$M$364"}</definedName>
    <definedName name="_zz15_5" hidden="1">{"'Sheet1'!$M$363:$M$364"}</definedName>
    <definedName name="_zz16" localSheetId="10" hidden="1">{"'Sheet1'!$M$363:$M$364"}</definedName>
    <definedName name="_zz16" localSheetId="3" hidden="1">{"'Sheet1'!$M$363:$M$364"}</definedName>
    <definedName name="_zz16" hidden="1">{"'Sheet1'!$M$363:$M$364"}</definedName>
    <definedName name="_zz16_1" localSheetId="10" hidden="1">{"'Sheet1'!$M$363:$M$364"}</definedName>
    <definedName name="_zz16_1" localSheetId="3" hidden="1">{"'Sheet1'!$M$363:$M$364"}</definedName>
    <definedName name="_zz16_1" hidden="1">{"'Sheet1'!$M$363:$M$364"}</definedName>
    <definedName name="_zz16_2" localSheetId="10" hidden="1">{"'Sheet1'!$M$363:$M$364"}</definedName>
    <definedName name="_zz16_2" localSheetId="3" hidden="1">{"'Sheet1'!$M$363:$M$364"}</definedName>
    <definedName name="_zz16_2" hidden="1">{"'Sheet1'!$M$363:$M$364"}</definedName>
    <definedName name="_zz16_3" localSheetId="10" hidden="1">{"'Sheet1'!$M$363:$M$364"}</definedName>
    <definedName name="_zz16_3" localSheetId="3" hidden="1">{"'Sheet1'!$M$363:$M$364"}</definedName>
    <definedName name="_zz16_3" hidden="1">{"'Sheet1'!$M$363:$M$364"}</definedName>
    <definedName name="_zz16_4" localSheetId="10" hidden="1">{"'Sheet1'!$M$363:$M$364"}</definedName>
    <definedName name="_zz16_4" localSheetId="3" hidden="1">{"'Sheet1'!$M$363:$M$364"}</definedName>
    <definedName name="_zz16_4" hidden="1">{"'Sheet1'!$M$363:$M$364"}</definedName>
    <definedName name="_zz16_5" localSheetId="10" hidden="1">{"'Sheet1'!$M$363:$M$364"}</definedName>
    <definedName name="_zz16_5" localSheetId="3" hidden="1">{"'Sheet1'!$M$363:$M$364"}</definedName>
    <definedName name="_zz16_5" hidden="1">{"'Sheet1'!$M$363:$M$364"}</definedName>
    <definedName name="_zz17" localSheetId="10" hidden="1">{"'Sheet1'!$M$363:$M$364"}</definedName>
    <definedName name="_zz17" localSheetId="3" hidden="1">{"'Sheet1'!$M$363:$M$364"}</definedName>
    <definedName name="_zz17" hidden="1">{"'Sheet1'!$M$363:$M$364"}</definedName>
    <definedName name="_zz17_1" localSheetId="10" hidden="1">{"'Sheet1'!$M$363:$M$364"}</definedName>
    <definedName name="_zz17_1" localSheetId="3" hidden="1">{"'Sheet1'!$M$363:$M$364"}</definedName>
    <definedName name="_zz17_1" hidden="1">{"'Sheet1'!$M$363:$M$364"}</definedName>
    <definedName name="_zz17_2" localSheetId="10" hidden="1">{"'Sheet1'!$M$363:$M$364"}</definedName>
    <definedName name="_zz17_2" localSheetId="3" hidden="1">{"'Sheet1'!$M$363:$M$364"}</definedName>
    <definedName name="_zz17_2" hidden="1">{"'Sheet1'!$M$363:$M$364"}</definedName>
    <definedName name="_zz17_3" localSheetId="10" hidden="1">{"'Sheet1'!$M$363:$M$364"}</definedName>
    <definedName name="_zz17_3" localSheetId="3" hidden="1">{"'Sheet1'!$M$363:$M$364"}</definedName>
    <definedName name="_zz17_3" hidden="1">{"'Sheet1'!$M$363:$M$364"}</definedName>
    <definedName name="_zz17_4" localSheetId="10" hidden="1">{"'Sheet1'!$M$363:$M$364"}</definedName>
    <definedName name="_zz17_4" localSheetId="3" hidden="1">{"'Sheet1'!$M$363:$M$364"}</definedName>
    <definedName name="_zz17_4" hidden="1">{"'Sheet1'!$M$363:$M$364"}</definedName>
    <definedName name="_zz17_5" localSheetId="10" hidden="1">{"'Sheet1'!$M$363:$M$364"}</definedName>
    <definedName name="_zz17_5" localSheetId="3" hidden="1">{"'Sheet1'!$M$363:$M$364"}</definedName>
    <definedName name="_zz17_5" hidden="1">{"'Sheet1'!$M$363:$M$364"}</definedName>
    <definedName name="_zz18" localSheetId="10" hidden="1">{"'Sheet1'!$M$363:$M$364"}</definedName>
    <definedName name="_zz18" localSheetId="3" hidden="1">{"'Sheet1'!$M$363:$M$364"}</definedName>
    <definedName name="_zz18" hidden="1">{"'Sheet1'!$M$363:$M$364"}</definedName>
    <definedName name="_zz18_1" localSheetId="10" hidden="1">{"'Sheet1'!$M$363:$M$364"}</definedName>
    <definedName name="_zz18_1" localSheetId="3" hidden="1">{"'Sheet1'!$M$363:$M$364"}</definedName>
    <definedName name="_zz18_1" hidden="1">{"'Sheet1'!$M$363:$M$364"}</definedName>
    <definedName name="_zz18_2" localSheetId="10" hidden="1">{"'Sheet1'!$M$363:$M$364"}</definedName>
    <definedName name="_zz18_2" localSheetId="3" hidden="1">{"'Sheet1'!$M$363:$M$364"}</definedName>
    <definedName name="_zz18_2" hidden="1">{"'Sheet1'!$M$363:$M$364"}</definedName>
    <definedName name="_zz18_3" localSheetId="10" hidden="1">{"'Sheet1'!$M$363:$M$364"}</definedName>
    <definedName name="_zz18_3" localSheetId="3" hidden="1">{"'Sheet1'!$M$363:$M$364"}</definedName>
    <definedName name="_zz18_3" hidden="1">{"'Sheet1'!$M$363:$M$364"}</definedName>
    <definedName name="_zz18_4" localSheetId="10" hidden="1">{"'Sheet1'!$M$363:$M$364"}</definedName>
    <definedName name="_zz18_4" localSheetId="3" hidden="1">{"'Sheet1'!$M$363:$M$364"}</definedName>
    <definedName name="_zz18_4" hidden="1">{"'Sheet1'!$M$363:$M$364"}</definedName>
    <definedName name="_zz18_5" localSheetId="10" hidden="1">{"'Sheet1'!$M$363:$M$364"}</definedName>
    <definedName name="_zz18_5" localSheetId="3" hidden="1">{"'Sheet1'!$M$363:$M$364"}</definedName>
    <definedName name="_zz18_5" hidden="1">{"'Sheet1'!$M$363:$M$364"}</definedName>
    <definedName name="_zz19" localSheetId="10" hidden="1">{"'Sheet1'!$M$363:$M$364"}</definedName>
    <definedName name="_zz19" localSheetId="3" hidden="1">{"'Sheet1'!$M$363:$M$364"}</definedName>
    <definedName name="_zz19" hidden="1">{"'Sheet1'!$M$363:$M$364"}</definedName>
    <definedName name="_zz19_1" localSheetId="10" hidden="1">{"'Sheet1'!$M$363:$M$364"}</definedName>
    <definedName name="_zz19_1" localSheetId="3" hidden="1">{"'Sheet1'!$M$363:$M$364"}</definedName>
    <definedName name="_zz19_1" hidden="1">{"'Sheet1'!$M$363:$M$364"}</definedName>
    <definedName name="_zz19_2" localSheetId="10" hidden="1">{"'Sheet1'!$M$363:$M$364"}</definedName>
    <definedName name="_zz19_2" localSheetId="3" hidden="1">{"'Sheet1'!$M$363:$M$364"}</definedName>
    <definedName name="_zz19_2" hidden="1">{"'Sheet1'!$M$363:$M$364"}</definedName>
    <definedName name="_zz19_3" localSheetId="10" hidden="1">{"'Sheet1'!$M$363:$M$364"}</definedName>
    <definedName name="_zz19_3" localSheetId="3" hidden="1">{"'Sheet1'!$M$363:$M$364"}</definedName>
    <definedName name="_zz19_3" hidden="1">{"'Sheet1'!$M$363:$M$364"}</definedName>
    <definedName name="_zz19_4" localSheetId="10" hidden="1">{"'Sheet1'!$M$363:$M$364"}</definedName>
    <definedName name="_zz19_4" localSheetId="3" hidden="1">{"'Sheet1'!$M$363:$M$364"}</definedName>
    <definedName name="_zz19_4" hidden="1">{"'Sheet1'!$M$363:$M$364"}</definedName>
    <definedName name="_zz19_5" localSheetId="10" hidden="1">{"'Sheet1'!$M$363:$M$364"}</definedName>
    <definedName name="_zz19_5" localSheetId="3" hidden="1">{"'Sheet1'!$M$363:$M$364"}</definedName>
    <definedName name="_zz19_5" hidden="1">{"'Sheet1'!$M$363:$M$364"}</definedName>
    <definedName name="_ZZ20" localSheetId="10" hidden="1">{"'Sheet1'!$M$363:$M$364"}</definedName>
    <definedName name="_ZZ20" localSheetId="3" hidden="1">{"'Sheet1'!$M$363:$M$364"}</definedName>
    <definedName name="_ZZ20" hidden="1">{"'Sheet1'!$M$363:$M$364"}</definedName>
    <definedName name="_ZZ20_1" localSheetId="10" hidden="1">{"'Sheet1'!$M$363:$M$364"}</definedName>
    <definedName name="_ZZ20_1" localSheetId="3" hidden="1">{"'Sheet1'!$M$363:$M$364"}</definedName>
    <definedName name="_ZZ20_1" hidden="1">{"'Sheet1'!$M$363:$M$364"}</definedName>
    <definedName name="_ZZ20_2" localSheetId="10" hidden="1">{"'Sheet1'!$M$363:$M$364"}</definedName>
    <definedName name="_ZZ20_2" localSheetId="3" hidden="1">{"'Sheet1'!$M$363:$M$364"}</definedName>
    <definedName name="_ZZ20_2" hidden="1">{"'Sheet1'!$M$363:$M$364"}</definedName>
    <definedName name="_ZZ20_3" localSheetId="10" hidden="1">{"'Sheet1'!$M$363:$M$364"}</definedName>
    <definedName name="_ZZ20_3" localSheetId="3" hidden="1">{"'Sheet1'!$M$363:$M$364"}</definedName>
    <definedName name="_ZZ20_3" hidden="1">{"'Sheet1'!$M$363:$M$364"}</definedName>
    <definedName name="_ZZ20_4" localSheetId="10" hidden="1">{"'Sheet1'!$M$363:$M$364"}</definedName>
    <definedName name="_ZZ20_4" localSheetId="3" hidden="1">{"'Sheet1'!$M$363:$M$364"}</definedName>
    <definedName name="_ZZ20_4" hidden="1">{"'Sheet1'!$M$363:$M$364"}</definedName>
    <definedName name="_ZZ20_5" localSheetId="10" hidden="1">{"'Sheet1'!$M$363:$M$364"}</definedName>
    <definedName name="_ZZ20_5" localSheetId="3" hidden="1">{"'Sheet1'!$M$363:$M$364"}</definedName>
    <definedName name="_ZZ20_5" hidden="1">{"'Sheet1'!$M$363:$M$364"}</definedName>
    <definedName name="_zz21" localSheetId="10" hidden="1">{"'Sheet1'!$M$363:$M$364"}</definedName>
    <definedName name="_zz21" localSheetId="3" hidden="1">{"'Sheet1'!$M$363:$M$364"}</definedName>
    <definedName name="_zz21" hidden="1">{"'Sheet1'!$M$363:$M$364"}</definedName>
    <definedName name="_zz21_1" localSheetId="10" hidden="1">{"'Sheet1'!$M$363:$M$364"}</definedName>
    <definedName name="_zz21_1" localSheetId="3" hidden="1">{"'Sheet1'!$M$363:$M$364"}</definedName>
    <definedName name="_zz21_1" hidden="1">{"'Sheet1'!$M$363:$M$364"}</definedName>
    <definedName name="_zz21_2" localSheetId="10" hidden="1">{"'Sheet1'!$M$363:$M$364"}</definedName>
    <definedName name="_zz21_2" localSheetId="3" hidden="1">{"'Sheet1'!$M$363:$M$364"}</definedName>
    <definedName name="_zz21_2" hidden="1">{"'Sheet1'!$M$363:$M$364"}</definedName>
    <definedName name="_zz21_3" localSheetId="10" hidden="1">{"'Sheet1'!$M$363:$M$364"}</definedName>
    <definedName name="_zz21_3" localSheetId="3" hidden="1">{"'Sheet1'!$M$363:$M$364"}</definedName>
    <definedName name="_zz21_3" hidden="1">{"'Sheet1'!$M$363:$M$364"}</definedName>
    <definedName name="_zz21_4" localSheetId="10" hidden="1">{"'Sheet1'!$M$363:$M$364"}</definedName>
    <definedName name="_zz21_4" localSheetId="3" hidden="1">{"'Sheet1'!$M$363:$M$364"}</definedName>
    <definedName name="_zz21_4" hidden="1">{"'Sheet1'!$M$363:$M$364"}</definedName>
    <definedName name="_zz21_5" localSheetId="10" hidden="1">{"'Sheet1'!$M$363:$M$364"}</definedName>
    <definedName name="_zz21_5" localSheetId="3" hidden="1">{"'Sheet1'!$M$363:$M$364"}</definedName>
    <definedName name="_zz21_5" hidden="1">{"'Sheet1'!$M$363:$M$364"}</definedName>
    <definedName name="_zz22" localSheetId="10" hidden="1">{"'Sheet1'!$M$363:$M$364"}</definedName>
    <definedName name="_zz22" localSheetId="3" hidden="1">{"'Sheet1'!$M$363:$M$364"}</definedName>
    <definedName name="_zz22" hidden="1">{"'Sheet1'!$M$363:$M$364"}</definedName>
    <definedName name="_zz22_1" localSheetId="10" hidden="1">{"'Sheet1'!$M$363:$M$364"}</definedName>
    <definedName name="_zz22_1" localSheetId="3" hidden="1">{"'Sheet1'!$M$363:$M$364"}</definedName>
    <definedName name="_zz22_1" hidden="1">{"'Sheet1'!$M$363:$M$364"}</definedName>
    <definedName name="_zz22_2" localSheetId="10" hidden="1">{"'Sheet1'!$M$363:$M$364"}</definedName>
    <definedName name="_zz22_2" localSheetId="3" hidden="1">{"'Sheet1'!$M$363:$M$364"}</definedName>
    <definedName name="_zz22_2" hidden="1">{"'Sheet1'!$M$363:$M$364"}</definedName>
    <definedName name="_zz22_3" localSheetId="10" hidden="1">{"'Sheet1'!$M$363:$M$364"}</definedName>
    <definedName name="_zz22_3" localSheetId="3" hidden="1">{"'Sheet1'!$M$363:$M$364"}</definedName>
    <definedName name="_zz22_3" hidden="1">{"'Sheet1'!$M$363:$M$364"}</definedName>
    <definedName name="_zz22_4" localSheetId="10" hidden="1">{"'Sheet1'!$M$363:$M$364"}</definedName>
    <definedName name="_zz22_4" localSheetId="3" hidden="1">{"'Sheet1'!$M$363:$M$364"}</definedName>
    <definedName name="_zz22_4" hidden="1">{"'Sheet1'!$M$363:$M$364"}</definedName>
    <definedName name="_zz22_5" localSheetId="10" hidden="1">{"'Sheet1'!$M$363:$M$364"}</definedName>
    <definedName name="_zz22_5" localSheetId="3" hidden="1">{"'Sheet1'!$M$363:$M$364"}</definedName>
    <definedName name="_zz22_5" hidden="1">{"'Sheet1'!$M$363:$M$364"}</definedName>
    <definedName name="_zz24" localSheetId="10" hidden="1">{"'Sheet1'!$M$363:$M$364"}</definedName>
    <definedName name="_zz24" localSheetId="3" hidden="1">{"'Sheet1'!$M$363:$M$364"}</definedName>
    <definedName name="_zz24" hidden="1">{"'Sheet1'!$M$363:$M$364"}</definedName>
    <definedName name="_zz24_1" localSheetId="10" hidden="1">{"'Sheet1'!$M$363:$M$364"}</definedName>
    <definedName name="_zz24_1" localSheetId="3" hidden="1">{"'Sheet1'!$M$363:$M$364"}</definedName>
    <definedName name="_zz24_1" hidden="1">{"'Sheet1'!$M$363:$M$364"}</definedName>
    <definedName name="_zz24_2" localSheetId="10" hidden="1">{"'Sheet1'!$M$363:$M$364"}</definedName>
    <definedName name="_zz24_2" localSheetId="3" hidden="1">{"'Sheet1'!$M$363:$M$364"}</definedName>
    <definedName name="_zz24_2" hidden="1">{"'Sheet1'!$M$363:$M$364"}</definedName>
    <definedName name="_zz24_3" localSheetId="10" hidden="1">{"'Sheet1'!$M$363:$M$364"}</definedName>
    <definedName name="_zz24_3" localSheetId="3" hidden="1">{"'Sheet1'!$M$363:$M$364"}</definedName>
    <definedName name="_zz24_3" hidden="1">{"'Sheet1'!$M$363:$M$364"}</definedName>
    <definedName name="_zz24_4" localSheetId="10" hidden="1">{"'Sheet1'!$M$363:$M$364"}</definedName>
    <definedName name="_zz24_4" localSheetId="3" hidden="1">{"'Sheet1'!$M$363:$M$364"}</definedName>
    <definedName name="_zz24_4" hidden="1">{"'Sheet1'!$M$363:$M$364"}</definedName>
    <definedName name="_zz24_5" localSheetId="10" hidden="1">{"'Sheet1'!$M$363:$M$364"}</definedName>
    <definedName name="_zz24_5" localSheetId="3" hidden="1">{"'Sheet1'!$M$363:$M$364"}</definedName>
    <definedName name="_zz24_5" hidden="1">{"'Sheet1'!$M$363:$M$364"}</definedName>
    <definedName name="_zz3" localSheetId="10" hidden="1">{"'Sheet1'!$M$363:$M$364"}</definedName>
    <definedName name="_zz3" localSheetId="3" hidden="1">{"'Sheet1'!$M$363:$M$364"}</definedName>
    <definedName name="_zz3" hidden="1">{"'Sheet1'!$M$363:$M$364"}</definedName>
    <definedName name="_zz3_1" localSheetId="10" hidden="1">{"'Sheet1'!$M$363:$M$364"}</definedName>
    <definedName name="_zz3_1" localSheetId="3" hidden="1">{"'Sheet1'!$M$363:$M$364"}</definedName>
    <definedName name="_zz3_1" hidden="1">{"'Sheet1'!$M$363:$M$364"}</definedName>
    <definedName name="_zz3_2" localSheetId="10" hidden="1">{"'Sheet1'!$M$363:$M$364"}</definedName>
    <definedName name="_zz3_2" localSheetId="3" hidden="1">{"'Sheet1'!$M$363:$M$364"}</definedName>
    <definedName name="_zz3_2" hidden="1">{"'Sheet1'!$M$363:$M$364"}</definedName>
    <definedName name="_zz3_3" localSheetId="10" hidden="1">{"'Sheet1'!$M$363:$M$364"}</definedName>
    <definedName name="_zz3_3" localSheetId="3" hidden="1">{"'Sheet1'!$M$363:$M$364"}</definedName>
    <definedName name="_zz3_3" hidden="1">{"'Sheet1'!$M$363:$M$364"}</definedName>
    <definedName name="_zz3_4" localSheetId="10" hidden="1">{"'Sheet1'!$M$363:$M$364"}</definedName>
    <definedName name="_zz3_4" localSheetId="3" hidden="1">{"'Sheet1'!$M$363:$M$364"}</definedName>
    <definedName name="_zz3_4" hidden="1">{"'Sheet1'!$M$363:$M$364"}</definedName>
    <definedName name="_zz3_5" localSheetId="10" hidden="1">{"'Sheet1'!$M$363:$M$364"}</definedName>
    <definedName name="_zz3_5" localSheetId="3" hidden="1">{"'Sheet1'!$M$363:$M$364"}</definedName>
    <definedName name="_zz3_5" hidden="1">{"'Sheet1'!$M$363:$M$364"}</definedName>
    <definedName name="_zz4" localSheetId="10" hidden="1">{"'Sheet1'!$M$363:$M$364"}</definedName>
    <definedName name="_zz4" localSheetId="3" hidden="1">{"'Sheet1'!$M$363:$M$364"}</definedName>
    <definedName name="_zz4" hidden="1">{"'Sheet1'!$M$363:$M$364"}</definedName>
    <definedName name="_zz4_1" localSheetId="10" hidden="1">{"'Sheet1'!$M$363:$M$364"}</definedName>
    <definedName name="_zz4_1" localSheetId="3" hidden="1">{"'Sheet1'!$M$363:$M$364"}</definedName>
    <definedName name="_zz4_1" hidden="1">{"'Sheet1'!$M$363:$M$364"}</definedName>
    <definedName name="_zz4_2" localSheetId="10" hidden="1">{"'Sheet1'!$M$363:$M$364"}</definedName>
    <definedName name="_zz4_2" localSheetId="3" hidden="1">{"'Sheet1'!$M$363:$M$364"}</definedName>
    <definedName name="_zz4_2" hidden="1">{"'Sheet1'!$M$363:$M$364"}</definedName>
    <definedName name="_zz4_3" localSheetId="10" hidden="1">{"'Sheet1'!$M$363:$M$364"}</definedName>
    <definedName name="_zz4_3" localSheetId="3" hidden="1">{"'Sheet1'!$M$363:$M$364"}</definedName>
    <definedName name="_zz4_3" hidden="1">{"'Sheet1'!$M$363:$M$364"}</definedName>
    <definedName name="_zz4_4" localSheetId="10" hidden="1">{"'Sheet1'!$M$363:$M$364"}</definedName>
    <definedName name="_zz4_4" localSheetId="3" hidden="1">{"'Sheet1'!$M$363:$M$364"}</definedName>
    <definedName name="_zz4_4" hidden="1">{"'Sheet1'!$M$363:$M$364"}</definedName>
    <definedName name="_zz4_5" localSheetId="10" hidden="1">{"'Sheet1'!$M$363:$M$364"}</definedName>
    <definedName name="_zz4_5" localSheetId="3" hidden="1">{"'Sheet1'!$M$363:$M$364"}</definedName>
    <definedName name="_zz4_5" hidden="1">{"'Sheet1'!$M$363:$M$364"}</definedName>
    <definedName name="_zz45" localSheetId="10" hidden="1">{"'Sheet1'!$M$363:$M$364"}</definedName>
    <definedName name="_zz45" localSheetId="3" hidden="1">{"'Sheet1'!$M$363:$M$364"}</definedName>
    <definedName name="_zz45" hidden="1">{"'Sheet1'!$M$363:$M$364"}</definedName>
    <definedName name="_zz45_1" localSheetId="10" hidden="1">{"'Sheet1'!$M$363:$M$364"}</definedName>
    <definedName name="_zz45_1" localSheetId="3" hidden="1">{"'Sheet1'!$M$363:$M$364"}</definedName>
    <definedName name="_zz45_1" hidden="1">{"'Sheet1'!$M$363:$M$364"}</definedName>
    <definedName name="_zz45_2" localSheetId="10" hidden="1">{"'Sheet1'!$M$363:$M$364"}</definedName>
    <definedName name="_zz45_2" localSheetId="3" hidden="1">{"'Sheet1'!$M$363:$M$364"}</definedName>
    <definedName name="_zz45_2" hidden="1">{"'Sheet1'!$M$363:$M$364"}</definedName>
    <definedName name="_zz45_3" localSheetId="10" hidden="1">{"'Sheet1'!$M$363:$M$364"}</definedName>
    <definedName name="_zz45_3" localSheetId="3" hidden="1">{"'Sheet1'!$M$363:$M$364"}</definedName>
    <definedName name="_zz45_3" hidden="1">{"'Sheet1'!$M$363:$M$364"}</definedName>
    <definedName name="_zz45_4" localSheetId="10" hidden="1">{"'Sheet1'!$M$363:$M$364"}</definedName>
    <definedName name="_zz45_4" localSheetId="3" hidden="1">{"'Sheet1'!$M$363:$M$364"}</definedName>
    <definedName name="_zz45_4" hidden="1">{"'Sheet1'!$M$363:$M$364"}</definedName>
    <definedName name="_zz45_5" localSheetId="10" hidden="1">{"'Sheet1'!$M$363:$M$364"}</definedName>
    <definedName name="_zz45_5" localSheetId="3" hidden="1">{"'Sheet1'!$M$363:$M$364"}</definedName>
    <definedName name="_zz45_5" hidden="1">{"'Sheet1'!$M$363:$M$364"}</definedName>
    <definedName name="_zz5" localSheetId="10" hidden="1">{"'Sheet1'!$M$363:$M$364"}</definedName>
    <definedName name="_zz5" localSheetId="3" hidden="1">{"'Sheet1'!$M$363:$M$364"}</definedName>
    <definedName name="_zz5" hidden="1">{"'Sheet1'!$M$363:$M$364"}</definedName>
    <definedName name="_zz5_1" localSheetId="10" hidden="1">{"'Sheet1'!$M$363:$M$364"}</definedName>
    <definedName name="_zz5_1" localSheetId="3" hidden="1">{"'Sheet1'!$M$363:$M$364"}</definedName>
    <definedName name="_zz5_1" hidden="1">{"'Sheet1'!$M$363:$M$364"}</definedName>
    <definedName name="_zz5_2" localSheetId="10" hidden="1">{"'Sheet1'!$M$363:$M$364"}</definedName>
    <definedName name="_zz5_2" localSheetId="3" hidden="1">{"'Sheet1'!$M$363:$M$364"}</definedName>
    <definedName name="_zz5_2" hidden="1">{"'Sheet1'!$M$363:$M$364"}</definedName>
    <definedName name="_zz5_3" localSheetId="10" hidden="1">{"'Sheet1'!$M$363:$M$364"}</definedName>
    <definedName name="_zz5_3" localSheetId="3" hidden="1">{"'Sheet1'!$M$363:$M$364"}</definedName>
    <definedName name="_zz5_3" hidden="1">{"'Sheet1'!$M$363:$M$364"}</definedName>
    <definedName name="_zz5_4" localSheetId="10" hidden="1">{"'Sheet1'!$M$363:$M$364"}</definedName>
    <definedName name="_zz5_4" localSheetId="3" hidden="1">{"'Sheet1'!$M$363:$M$364"}</definedName>
    <definedName name="_zz5_4" hidden="1">{"'Sheet1'!$M$363:$M$364"}</definedName>
    <definedName name="_zz5_5" localSheetId="10" hidden="1">{"'Sheet1'!$M$363:$M$364"}</definedName>
    <definedName name="_zz5_5" localSheetId="3" hidden="1">{"'Sheet1'!$M$363:$M$364"}</definedName>
    <definedName name="_zz5_5" hidden="1">{"'Sheet1'!$M$363:$M$364"}</definedName>
    <definedName name="_zz55" localSheetId="10" hidden="1">{"'Sheet1'!$M$363:$M$364"}</definedName>
    <definedName name="_zz55" localSheetId="3" hidden="1">{"'Sheet1'!$M$363:$M$364"}</definedName>
    <definedName name="_zz55" hidden="1">{"'Sheet1'!$M$363:$M$364"}</definedName>
    <definedName name="_zz55_1" localSheetId="10" hidden="1">{"'Sheet1'!$M$363:$M$364"}</definedName>
    <definedName name="_zz55_1" localSheetId="3" hidden="1">{"'Sheet1'!$M$363:$M$364"}</definedName>
    <definedName name="_zz55_1" hidden="1">{"'Sheet1'!$M$363:$M$364"}</definedName>
    <definedName name="_zz55_2" localSheetId="10" hidden="1">{"'Sheet1'!$M$363:$M$364"}</definedName>
    <definedName name="_zz55_2" localSheetId="3" hidden="1">{"'Sheet1'!$M$363:$M$364"}</definedName>
    <definedName name="_zz55_2" hidden="1">{"'Sheet1'!$M$363:$M$364"}</definedName>
    <definedName name="_zz55_3" localSheetId="10" hidden="1">{"'Sheet1'!$M$363:$M$364"}</definedName>
    <definedName name="_zz55_3" localSheetId="3" hidden="1">{"'Sheet1'!$M$363:$M$364"}</definedName>
    <definedName name="_zz55_3" hidden="1">{"'Sheet1'!$M$363:$M$364"}</definedName>
    <definedName name="_zz55_4" localSheetId="10" hidden="1">{"'Sheet1'!$M$363:$M$364"}</definedName>
    <definedName name="_zz55_4" localSheetId="3" hidden="1">{"'Sheet1'!$M$363:$M$364"}</definedName>
    <definedName name="_zz55_4" hidden="1">{"'Sheet1'!$M$363:$M$364"}</definedName>
    <definedName name="_zz55_5" localSheetId="10" hidden="1">{"'Sheet1'!$M$363:$M$364"}</definedName>
    <definedName name="_zz55_5" localSheetId="3" hidden="1">{"'Sheet1'!$M$363:$M$364"}</definedName>
    <definedName name="_zz55_5" hidden="1">{"'Sheet1'!$M$363:$M$364"}</definedName>
    <definedName name="_zz6" localSheetId="10" hidden="1">{"'Sheet1'!$M$363:$M$364"}</definedName>
    <definedName name="_zz6" localSheetId="3" hidden="1">{"'Sheet1'!$M$363:$M$364"}</definedName>
    <definedName name="_zz6" hidden="1">{"'Sheet1'!$M$363:$M$364"}</definedName>
    <definedName name="_zz6_1" localSheetId="10" hidden="1">{"'Sheet1'!$M$363:$M$364"}</definedName>
    <definedName name="_zz6_1" localSheetId="3" hidden="1">{"'Sheet1'!$M$363:$M$364"}</definedName>
    <definedName name="_zz6_1" hidden="1">{"'Sheet1'!$M$363:$M$364"}</definedName>
    <definedName name="_zz6_2" localSheetId="10" hidden="1">{"'Sheet1'!$M$363:$M$364"}</definedName>
    <definedName name="_zz6_2" localSheetId="3" hidden="1">{"'Sheet1'!$M$363:$M$364"}</definedName>
    <definedName name="_zz6_2" hidden="1">{"'Sheet1'!$M$363:$M$364"}</definedName>
    <definedName name="_zz6_3" localSheetId="10" hidden="1">{"'Sheet1'!$M$363:$M$364"}</definedName>
    <definedName name="_zz6_3" localSheetId="3" hidden="1">{"'Sheet1'!$M$363:$M$364"}</definedName>
    <definedName name="_zz6_3" hidden="1">{"'Sheet1'!$M$363:$M$364"}</definedName>
    <definedName name="_zz6_4" localSheetId="10" hidden="1">{"'Sheet1'!$M$363:$M$364"}</definedName>
    <definedName name="_zz6_4" localSheetId="3" hidden="1">{"'Sheet1'!$M$363:$M$364"}</definedName>
    <definedName name="_zz6_4" hidden="1">{"'Sheet1'!$M$363:$M$364"}</definedName>
    <definedName name="_zz6_5" localSheetId="10" hidden="1">{"'Sheet1'!$M$363:$M$364"}</definedName>
    <definedName name="_zz6_5" localSheetId="3" hidden="1">{"'Sheet1'!$M$363:$M$364"}</definedName>
    <definedName name="_zz6_5" hidden="1">{"'Sheet1'!$M$363:$M$364"}</definedName>
    <definedName name="_zz66" localSheetId="10" hidden="1">{"'Sheet1'!$M$363:$M$364"}</definedName>
    <definedName name="_zz66" localSheetId="3" hidden="1">{"'Sheet1'!$M$363:$M$364"}</definedName>
    <definedName name="_zz66" hidden="1">{"'Sheet1'!$M$363:$M$364"}</definedName>
    <definedName name="_zz66_1" localSheetId="10" hidden="1">{"'Sheet1'!$M$363:$M$364"}</definedName>
    <definedName name="_zz66_1" localSheetId="3" hidden="1">{"'Sheet1'!$M$363:$M$364"}</definedName>
    <definedName name="_zz66_1" hidden="1">{"'Sheet1'!$M$363:$M$364"}</definedName>
    <definedName name="_zz66_2" localSheetId="10" hidden="1">{"'Sheet1'!$M$363:$M$364"}</definedName>
    <definedName name="_zz66_2" localSheetId="3" hidden="1">{"'Sheet1'!$M$363:$M$364"}</definedName>
    <definedName name="_zz66_2" hidden="1">{"'Sheet1'!$M$363:$M$364"}</definedName>
    <definedName name="_zz66_3" localSheetId="10" hidden="1">{"'Sheet1'!$M$363:$M$364"}</definedName>
    <definedName name="_zz66_3" localSheetId="3" hidden="1">{"'Sheet1'!$M$363:$M$364"}</definedName>
    <definedName name="_zz66_3" hidden="1">{"'Sheet1'!$M$363:$M$364"}</definedName>
    <definedName name="_zz66_4" localSheetId="10" hidden="1">{"'Sheet1'!$M$363:$M$364"}</definedName>
    <definedName name="_zz66_4" localSheetId="3" hidden="1">{"'Sheet1'!$M$363:$M$364"}</definedName>
    <definedName name="_zz66_4" hidden="1">{"'Sheet1'!$M$363:$M$364"}</definedName>
    <definedName name="_zz66_5" localSheetId="10" hidden="1">{"'Sheet1'!$M$363:$M$364"}</definedName>
    <definedName name="_zz66_5" localSheetId="3" hidden="1">{"'Sheet1'!$M$363:$M$364"}</definedName>
    <definedName name="_zz66_5" hidden="1">{"'Sheet1'!$M$363:$M$364"}</definedName>
    <definedName name="_zz7" localSheetId="10" hidden="1">{"'Sheet1'!$M$363:$M$364"}</definedName>
    <definedName name="_zz7" localSheetId="3" hidden="1">{"'Sheet1'!$M$363:$M$364"}</definedName>
    <definedName name="_zz7" hidden="1">{"'Sheet1'!$M$363:$M$364"}</definedName>
    <definedName name="_zz7_1" localSheetId="10" hidden="1">{"'Sheet1'!$M$363:$M$364"}</definedName>
    <definedName name="_zz7_1" localSheetId="3" hidden="1">{"'Sheet1'!$M$363:$M$364"}</definedName>
    <definedName name="_zz7_1" hidden="1">{"'Sheet1'!$M$363:$M$364"}</definedName>
    <definedName name="_zz7_2" localSheetId="10" hidden="1">{"'Sheet1'!$M$363:$M$364"}</definedName>
    <definedName name="_zz7_2" localSheetId="3" hidden="1">{"'Sheet1'!$M$363:$M$364"}</definedName>
    <definedName name="_zz7_2" hidden="1">{"'Sheet1'!$M$363:$M$364"}</definedName>
    <definedName name="_zz7_3" localSheetId="10" hidden="1">{"'Sheet1'!$M$363:$M$364"}</definedName>
    <definedName name="_zz7_3" localSheetId="3" hidden="1">{"'Sheet1'!$M$363:$M$364"}</definedName>
    <definedName name="_zz7_3" hidden="1">{"'Sheet1'!$M$363:$M$364"}</definedName>
    <definedName name="_zz7_4" localSheetId="10" hidden="1">{"'Sheet1'!$M$363:$M$364"}</definedName>
    <definedName name="_zz7_4" localSheetId="3" hidden="1">{"'Sheet1'!$M$363:$M$364"}</definedName>
    <definedName name="_zz7_4" hidden="1">{"'Sheet1'!$M$363:$M$364"}</definedName>
    <definedName name="_zz7_5" localSheetId="10" hidden="1">{"'Sheet1'!$M$363:$M$364"}</definedName>
    <definedName name="_zz7_5" localSheetId="3" hidden="1">{"'Sheet1'!$M$363:$M$364"}</definedName>
    <definedName name="_zz7_5" hidden="1">{"'Sheet1'!$M$363:$M$364"}</definedName>
    <definedName name="_zz77" localSheetId="10" hidden="1">{"'Sheet1'!$M$363:$M$364"}</definedName>
    <definedName name="_zz77" localSheetId="3" hidden="1">{"'Sheet1'!$M$363:$M$364"}</definedName>
    <definedName name="_zz77" hidden="1">{"'Sheet1'!$M$363:$M$364"}</definedName>
    <definedName name="_zz77_1" localSheetId="10" hidden="1">{"'Sheet1'!$M$363:$M$364"}</definedName>
    <definedName name="_zz77_1" localSheetId="3" hidden="1">{"'Sheet1'!$M$363:$M$364"}</definedName>
    <definedName name="_zz77_1" hidden="1">{"'Sheet1'!$M$363:$M$364"}</definedName>
    <definedName name="_zz77_2" localSheetId="10" hidden="1">{"'Sheet1'!$M$363:$M$364"}</definedName>
    <definedName name="_zz77_2" localSheetId="3" hidden="1">{"'Sheet1'!$M$363:$M$364"}</definedName>
    <definedName name="_zz77_2" hidden="1">{"'Sheet1'!$M$363:$M$364"}</definedName>
    <definedName name="_zz77_3" localSheetId="10" hidden="1">{"'Sheet1'!$M$363:$M$364"}</definedName>
    <definedName name="_zz77_3" localSheetId="3" hidden="1">{"'Sheet1'!$M$363:$M$364"}</definedName>
    <definedName name="_zz77_3" hidden="1">{"'Sheet1'!$M$363:$M$364"}</definedName>
    <definedName name="_zz77_4" localSheetId="10" hidden="1">{"'Sheet1'!$M$363:$M$364"}</definedName>
    <definedName name="_zz77_4" localSheetId="3" hidden="1">{"'Sheet1'!$M$363:$M$364"}</definedName>
    <definedName name="_zz77_4" hidden="1">{"'Sheet1'!$M$363:$M$364"}</definedName>
    <definedName name="_zz77_5" localSheetId="10" hidden="1">{"'Sheet1'!$M$363:$M$364"}</definedName>
    <definedName name="_zz77_5" localSheetId="3" hidden="1">{"'Sheet1'!$M$363:$M$364"}</definedName>
    <definedName name="_zz77_5" hidden="1">{"'Sheet1'!$M$363:$M$364"}</definedName>
    <definedName name="_zz8" localSheetId="10" hidden="1">{"'Sheet1'!$M$363:$M$364"}</definedName>
    <definedName name="_zz8" localSheetId="3" hidden="1">{"'Sheet1'!$M$363:$M$364"}</definedName>
    <definedName name="_zz8" hidden="1">{"'Sheet1'!$M$363:$M$364"}</definedName>
    <definedName name="_zz8_1" localSheetId="10" hidden="1">{"'Sheet1'!$M$363:$M$364"}</definedName>
    <definedName name="_zz8_1" localSheetId="3" hidden="1">{"'Sheet1'!$M$363:$M$364"}</definedName>
    <definedName name="_zz8_1" hidden="1">{"'Sheet1'!$M$363:$M$364"}</definedName>
    <definedName name="_zz8_2" localSheetId="10" hidden="1">{"'Sheet1'!$M$363:$M$364"}</definedName>
    <definedName name="_zz8_2" localSheetId="3" hidden="1">{"'Sheet1'!$M$363:$M$364"}</definedName>
    <definedName name="_zz8_2" hidden="1">{"'Sheet1'!$M$363:$M$364"}</definedName>
    <definedName name="_zz8_3" localSheetId="10" hidden="1">{"'Sheet1'!$M$363:$M$364"}</definedName>
    <definedName name="_zz8_3" localSheetId="3" hidden="1">{"'Sheet1'!$M$363:$M$364"}</definedName>
    <definedName name="_zz8_3" hidden="1">{"'Sheet1'!$M$363:$M$364"}</definedName>
    <definedName name="_zz8_4" localSheetId="10" hidden="1">{"'Sheet1'!$M$363:$M$364"}</definedName>
    <definedName name="_zz8_4" localSheetId="3" hidden="1">{"'Sheet1'!$M$363:$M$364"}</definedName>
    <definedName name="_zz8_4" hidden="1">{"'Sheet1'!$M$363:$M$364"}</definedName>
    <definedName name="_zz8_5" localSheetId="10" hidden="1">{"'Sheet1'!$M$363:$M$364"}</definedName>
    <definedName name="_zz8_5" localSheetId="3" hidden="1">{"'Sheet1'!$M$363:$M$364"}</definedName>
    <definedName name="_zz8_5" hidden="1">{"'Sheet1'!$M$363:$M$364"}</definedName>
    <definedName name="_zz88" localSheetId="10" hidden="1">{"'Sheet1'!$M$363:$M$364"}</definedName>
    <definedName name="_zz88" localSheetId="3" hidden="1">{"'Sheet1'!$M$363:$M$364"}</definedName>
    <definedName name="_zz88" hidden="1">{"'Sheet1'!$M$363:$M$364"}</definedName>
    <definedName name="_zz88_1" localSheetId="10" hidden="1">{"'Sheet1'!$M$363:$M$364"}</definedName>
    <definedName name="_zz88_1" localSheetId="3" hidden="1">{"'Sheet1'!$M$363:$M$364"}</definedName>
    <definedName name="_zz88_1" hidden="1">{"'Sheet1'!$M$363:$M$364"}</definedName>
    <definedName name="_zz88_2" localSheetId="10" hidden="1">{"'Sheet1'!$M$363:$M$364"}</definedName>
    <definedName name="_zz88_2" localSheetId="3" hidden="1">{"'Sheet1'!$M$363:$M$364"}</definedName>
    <definedName name="_zz88_2" hidden="1">{"'Sheet1'!$M$363:$M$364"}</definedName>
    <definedName name="_zz88_3" localSheetId="10" hidden="1">{"'Sheet1'!$M$363:$M$364"}</definedName>
    <definedName name="_zz88_3" localSheetId="3" hidden="1">{"'Sheet1'!$M$363:$M$364"}</definedName>
    <definedName name="_zz88_3" hidden="1">{"'Sheet1'!$M$363:$M$364"}</definedName>
    <definedName name="_zz88_4" localSheetId="10" hidden="1">{"'Sheet1'!$M$363:$M$364"}</definedName>
    <definedName name="_zz88_4" localSheetId="3" hidden="1">{"'Sheet1'!$M$363:$M$364"}</definedName>
    <definedName name="_zz88_4" hidden="1">{"'Sheet1'!$M$363:$M$364"}</definedName>
    <definedName name="_zz88_5" localSheetId="10" hidden="1">{"'Sheet1'!$M$363:$M$364"}</definedName>
    <definedName name="_zz88_5" localSheetId="3" hidden="1">{"'Sheet1'!$M$363:$M$364"}</definedName>
    <definedName name="_zz88_5" hidden="1">{"'Sheet1'!$M$363:$M$364"}</definedName>
    <definedName name="_zz9" localSheetId="10" hidden="1">{"'Sheet1'!$M$363:$M$364"}</definedName>
    <definedName name="_zz9" localSheetId="3" hidden="1">{"'Sheet1'!$M$363:$M$364"}</definedName>
    <definedName name="_zz9" hidden="1">{"'Sheet1'!$M$363:$M$364"}</definedName>
    <definedName name="_zz9_1" localSheetId="10" hidden="1">{"'Sheet1'!$M$363:$M$364"}</definedName>
    <definedName name="_zz9_1" localSheetId="3" hidden="1">{"'Sheet1'!$M$363:$M$364"}</definedName>
    <definedName name="_zz9_1" hidden="1">{"'Sheet1'!$M$363:$M$364"}</definedName>
    <definedName name="_zz9_2" localSheetId="10" hidden="1">{"'Sheet1'!$M$363:$M$364"}</definedName>
    <definedName name="_zz9_2" localSheetId="3" hidden="1">{"'Sheet1'!$M$363:$M$364"}</definedName>
    <definedName name="_zz9_2" hidden="1">{"'Sheet1'!$M$363:$M$364"}</definedName>
    <definedName name="_zz9_3" localSheetId="10" hidden="1">{"'Sheet1'!$M$363:$M$364"}</definedName>
    <definedName name="_zz9_3" localSheetId="3" hidden="1">{"'Sheet1'!$M$363:$M$364"}</definedName>
    <definedName name="_zz9_3" hidden="1">{"'Sheet1'!$M$363:$M$364"}</definedName>
    <definedName name="_zz9_4" localSheetId="10" hidden="1">{"'Sheet1'!$M$363:$M$364"}</definedName>
    <definedName name="_zz9_4" localSheetId="3" hidden="1">{"'Sheet1'!$M$363:$M$364"}</definedName>
    <definedName name="_zz9_4" hidden="1">{"'Sheet1'!$M$363:$M$364"}</definedName>
    <definedName name="_zz9_5" localSheetId="10" hidden="1">{"'Sheet1'!$M$363:$M$364"}</definedName>
    <definedName name="_zz9_5" localSheetId="3" hidden="1">{"'Sheet1'!$M$363:$M$364"}</definedName>
    <definedName name="_zz9_5" hidden="1">{"'Sheet1'!$M$363:$M$364"}</definedName>
    <definedName name="′?1?a÷rD">#REF!,#REF!</definedName>
    <definedName name="￥¨??a">#REF!</definedName>
    <definedName name="a">#REF!</definedName>
    <definedName name="a__Semisoma_Prov.Mat.CD">#REF!</definedName>
    <definedName name="A_1">#REF!</definedName>
    <definedName name="a_2" localSheetId="10" hidden="1">{#N/A,#N/A,FALSE,"JACKETS (1100 t) (1)"}</definedName>
    <definedName name="a_2" localSheetId="3" hidden="1">{#N/A,#N/A,FALSE,"JACKETS (1100 t) (1)"}</definedName>
    <definedName name="a_2" hidden="1">{#N/A,#N/A,FALSE,"JACKETS (1100 t) (1)"}</definedName>
    <definedName name="a_3" localSheetId="10" hidden="1">{#N/A,#N/A,FALSE,"JACKETS (1100 t) (1)"}</definedName>
    <definedName name="a_3" localSheetId="3" hidden="1">{#N/A,#N/A,FALSE,"JACKETS (1100 t) (1)"}</definedName>
    <definedName name="a_3" hidden="1">{#N/A,#N/A,FALSE,"JACKETS (1100 t) (1)"}</definedName>
    <definedName name="A_3_1_LINE_1">#REF!</definedName>
    <definedName name="A_3_2_LINE_2">#REF!</definedName>
    <definedName name="A_3_3_LINE_3">#REF!</definedName>
    <definedName name="A_3_4_LINE_4">#REF!</definedName>
    <definedName name="A_3_5_BREW_HOUSE">#REF!</definedName>
    <definedName name="A_3_6_UTILITIES">#REF!</definedName>
    <definedName name="a_4" localSheetId="10" hidden="1">{#N/A,#N/A,FALSE,"JACKETS (1100 t) (1)"}</definedName>
    <definedName name="a_4" localSheetId="3" hidden="1">{#N/A,#N/A,FALSE,"JACKETS (1100 t) (1)"}</definedName>
    <definedName name="a_4" hidden="1">{#N/A,#N/A,FALSE,"JACKETS (1100 t) (1)"}</definedName>
    <definedName name="a_5" localSheetId="10" hidden="1">{#N/A,#N/A,FALSE,"JACKETS (1100 t) (1)"}</definedName>
    <definedName name="a_5" localSheetId="3" hidden="1">{#N/A,#N/A,FALSE,"JACKETS (1100 t) (1)"}</definedName>
    <definedName name="a_5" hidden="1">{#N/A,#N/A,FALSE,"JACKETS (1100 t) (1)"}</definedName>
    <definedName name="a1a" localSheetId="10" hidden="1">{#N/A,#N/A,FALSE,"min";#N/A,#N/A,FALSE,"mean";#N/A,#N/A,FALSE,"max"}</definedName>
    <definedName name="a1a" localSheetId="3" hidden="1">{#N/A,#N/A,FALSE,"min";#N/A,#N/A,FALSE,"mean";#N/A,#N/A,FALSE,"max"}</definedName>
    <definedName name="a1a" hidden="1">{#N/A,#N/A,FALSE,"min";#N/A,#N/A,FALSE,"mean";#N/A,#N/A,FALSE,"max"}</definedName>
    <definedName name="a1a_1" localSheetId="10" hidden="1">{#N/A,#N/A,FALSE,"min";#N/A,#N/A,FALSE,"mean";#N/A,#N/A,FALSE,"max"}</definedName>
    <definedName name="a1a_1" localSheetId="3" hidden="1">{#N/A,#N/A,FALSE,"min";#N/A,#N/A,FALSE,"mean";#N/A,#N/A,FALSE,"max"}</definedName>
    <definedName name="a1a_1" hidden="1">{#N/A,#N/A,FALSE,"min";#N/A,#N/A,FALSE,"mean";#N/A,#N/A,FALSE,"max"}</definedName>
    <definedName name="a1a_2" localSheetId="10" hidden="1">{#N/A,#N/A,FALSE,"min";#N/A,#N/A,FALSE,"mean";#N/A,#N/A,FALSE,"max"}</definedName>
    <definedName name="a1a_2" localSheetId="3" hidden="1">{#N/A,#N/A,FALSE,"min";#N/A,#N/A,FALSE,"mean";#N/A,#N/A,FALSE,"max"}</definedName>
    <definedName name="a1a_2" hidden="1">{#N/A,#N/A,FALSE,"min";#N/A,#N/A,FALSE,"mean";#N/A,#N/A,FALSE,"max"}</definedName>
    <definedName name="a1a_3" localSheetId="10" hidden="1">{#N/A,#N/A,FALSE,"min";#N/A,#N/A,FALSE,"mean";#N/A,#N/A,FALSE,"max"}</definedName>
    <definedName name="a1a_3" localSheetId="3" hidden="1">{#N/A,#N/A,FALSE,"min";#N/A,#N/A,FALSE,"mean";#N/A,#N/A,FALSE,"max"}</definedName>
    <definedName name="a1a_3" hidden="1">{#N/A,#N/A,FALSE,"min";#N/A,#N/A,FALSE,"mean";#N/A,#N/A,FALSE,"max"}</definedName>
    <definedName name="a1a_4" localSheetId="10" hidden="1">{#N/A,#N/A,FALSE,"min";#N/A,#N/A,FALSE,"mean";#N/A,#N/A,FALSE,"max"}</definedName>
    <definedName name="a1a_4" localSheetId="3" hidden="1">{#N/A,#N/A,FALSE,"min";#N/A,#N/A,FALSE,"mean";#N/A,#N/A,FALSE,"max"}</definedName>
    <definedName name="a1a_4" hidden="1">{#N/A,#N/A,FALSE,"min";#N/A,#N/A,FALSE,"mean";#N/A,#N/A,FALSE,"max"}</definedName>
    <definedName name="a1a_5" localSheetId="10" hidden="1">{#N/A,#N/A,FALSE,"min";#N/A,#N/A,FALSE,"mean";#N/A,#N/A,FALSE,"max"}</definedName>
    <definedName name="a1a_5" localSheetId="3" hidden="1">{#N/A,#N/A,FALSE,"min";#N/A,#N/A,FALSE,"mean";#N/A,#N/A,FALSE,"max"}</definedName>
    <definedName name="a1a_5" hidden="1">{#N/A,#N/A,FALSE,"min";#N/A,#N/A,FALSE,"mean";#N/A,#N/A,FALSE,"max"}</definedName>
    <definedName name="A1N88">#REF!</definedName>
    <definedName name="aa">#REF!</definedName>
    <definedName name="aaa">#REF!</definedName>
    <definedName name="aaa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aa.REP" localSheetId="10" hidden="1">{#N/A,#N/A,FALSE,"min";#N/A,#N/A,FALSE,"mean";#N/A,#N/A,FALSE,"max"}</definedName>
    <definedName name="aaa.REP" localSheetId="3" hidden="1">{#N/A,#N/A,FALSE,"min";#N/A,#N/A,FALSE,"mean";#N/A,#N/A,FALSE,"max"}</definedName>
    <definedName name="aaa.REP" hidden="1">{#N/A,#N/A,FALSE,"min";#N/A,#N/A,FALSE,"mean";#N/A,#N/A,FALSE,"max"}</definedName>
    <definedName name="aaa.REP_1" localSheetId="10" hidden="1">{#N/A,#N/A,FALSE,"min";#N/A,#N/A,FALSE,"mean";#N/A,#N/A,FALSE,"max"}</definedName>
    <definedName name="aaa.REP_1" localSheetId="3" hidden="1">{#N/A,#N/A,FALSE,"min";#N/A,#N/A,FALSE,"mean";#N/A,#N/A,FALSE,"max"}</definedName>
    <definedName name="aaa.REP_1" hidden="1">{#N/A,#N/A,FALSE,"min";#N/A,#N/A,FALSE,"mean";#N/A,#N/A,FALSE,"max"}</definedName>
    <definedName name="aaa.REP_2" localSheetId="10" hidden="1">{#N/A,#N/A,FALSE,"min";#N/A,#N/A,FALSE,"mean";#N/A,#N/A,FALSE,"max"}</definedName>
    <definedName name="aaa.REP_2" localSheetId="3" hidden="1">{#N/A,#N/A,FALSE,"min";#N/A,#N/A,FALSE,"mean";#N/A,#N/A,FALSE,"max"}</definedName>
    <definedName name="aaa.REP_2" hidden="1">{#N/A,#N/A,FALSE,"min";#N/A,#N/A,FALSE,"mean";#N/A,#N/A,FALSE,"max"}</definedName>
    <definedName name="aaa.REP_3" localSheetId="10" hidden="1">{#N/A,#N/A,FALSE,"min";#N/A,#N/A,FALSE,"mean";#N/A,#N/A,FALSE,"max"}</definedName>
    <definedName name="aaa.REP_3" localSheetId="3" hidden="1">{#N/A,#N/A,FALSE,"min";#N/A,#N/A,FALSE,"mean";#N/A,#N/A,FALSE,"max"}</definedName>
    <definedName name="aaa.REP_3" hidden="1">{#N/A,#N/A,FALSE,"min";#N/A,#N/A,FALSE,"mean";#N/A,#N/A,FALSE,"max"}</definedName>
    <definedName name="aaa.REP_4" localSheetId="10" hidden="1">{#N/A,#N/A,FALSE,"min";#N/A,#N/A,FALSE,"mean";#N/A,#N/A,FALSE,"max"}</definedName>
    <definedName name="aaa.REP_4" localSheetId="3" hidden="1">{#N/A,#N/A,FALSE,"min";#N/A,#N/A,FALSE,"mean";#N/A,#N/A,FALSE,"max"}</definedName>
    <definedName name="aaa.REP_4" hidden="1">{#N/A,#N/A,FALSE,"min";#N/A,#N/A,FALSE,"mean";#N/A,#N/A,FALSE,"max"}</definedName>
    <definedName name="aaa.REP_5" localSheetId="10" hidden="1">{#N/A,#N/A,FALSE,"min";#N/A,#N/A,FALSE,"mean";#N/A,#N/A,FALSE,"max"}</definedName>
    <definedName name="aaa.REP_5" localSheetId="3" hidden="1">{#N/A,#N/A,FALSE,"min";#N/A,#N/A,FALSE,"mean";#N/A,#N/A,FALSE,"max"}</definedName>
    <definedName name="aaa.REP_5" hidden="1">{#N/A,#N/A,FALSE,"min";#N/A,#N/A,FALSE,"mean";#N/A,#N/A,FALSE,"max"}</definedName>
    <definedName name="AAA_1" localSheetId="10" hidden="1">{#N/A,#N/A,FALSE,"JACKETS (1100 t) (1)"}</definedName>
    <definedName name="AAA_1" localSheetId="3" hidden="1">{#N/A,#N/A,FALSE,"JACKETS (1100 t) (1)"}</definedName>
    <definedName name="AAA_1" hidden="1">{#N/A,#N/A,FALSE,"JACKETS (1100 t) (1)"}</definedName>
    <definedName name="AAA_2" localSheetId="10" hidden="1">{#N/A,#N/A,FALSE,"JACKETS (1100 t) (1)"}</definedName>
    <definedName name="AAA_2" localSheetId="3" hidden="1">{#N/A,#N/A,FALSE,"JACKETS (1100 t) (1)"}</definedName>
    <definedName name="AAA_2" hidden="1">{#N/A,#N/A,FALSE,"JACKETS (1100 t) (1)"}</definedName>
    <definedName name="AAA_3" localSheetId="10" hidden="1">{#N/A,#N/A,FALSE,"JACKETS (1100 t) (1)"}</definedName>
    <definedName name="AAA_3" localSheetId="3" hidden="1">{#N/A,#N/A,FALSE,"JACKETS (1100 t) (1)"}</definedName>
    <definedName name="AAA_3" hidden="1">{#N/A,#N/A,FALSE,"JACKETS (1100 t) (1)"}</definedName>
    <definedName name="AAA_4" localSheetId="10" hidden="1">{#N/A,#N/A,FALSE,"JACKETS (1100 t) (1)"}</definedName>
    <definedName name="AAA_4" localSheetId="3" hidden="1">{#N/A,#N/A,FALSE,"JACKETS (1100 t) (1)"}</definedName>
    <definedName name="AAA_4" hidden="1">{#N/A,#N/A,FALSE,"JACKETS (1100 t) (1)"}</definedName>
    <definedName name="AAA_5" localSheetId="10" hidden="1">{#N/A,#N/A,FALSE,"JACKETS (1100 t) (1)"}</definedName>
    <definedName name="AAA_5" localSheetId="3" hidden="1">{#N/A,#N/A,FALSE,"JACKETS (1100 t) (1)"}</definedName>
    <definedName name="AAA_5" hidden="1">{#N/A,#N/A,FALSE,"JACKETS (1100 t) (1)"}</definedName>
    <definedName name="AAA_DOCTOPS" hidden="1">"AAA_SET"</definedName>
    <definedName name="AAA_duser" hidden="1">"OFF"</definedName>
    <definedName name="aaaa">#REF!</definedName>
    <definedName name="AAAA_1" localSheetId="10" hidden="1">{#N/A,#N/A,TRUE,"Sheet1";#N/A,#N/A,TRUE,"Sheet2";#N/A,#N/A,TRUE,"Sheet3"}</definedName>
    <definedName name="AAAA_1" localSheetId="3" hidden="1">{#N/A,#N/A,TRUE,"Sheet1";#N/A,#N/A,TRUE,"Sheet2";#N/A,#N/A,TRUE,"Sheet3"}</definedName>
    <definedName name="AAAA_1" hidden="1">{#N/A,#N/A,TRUE,"Sheet1";#N/A,#N/A,TRUE,"Sheet2";#N/A,#N/A,TRUE,"Sheet3"}</definedName>
    <definedName name="AAAA_2" localSheetId="10" hidden="1">{#N/A,#N/A,TRUE,"Sheet1";#N/A,#N/A,TRUE,"Sheet2";#N/A,#N/A,TRUE,"Sheet3"}</definedName>
    <definedName name="AAAA_2" localSheetId="3" hidden="1">{#N/A,#N/A,TRUE,"Sheet1";#N/A,#N/A,TRUE,"Sheet2";#N/A,#N/A,TRUE,"Sheet3"}</definedName>
    <definedName name="AAAA_2" hidden="1">{#N/A,#N/A,TRUE,"Sheet1";#N/A,#N/A,TRUE,"Sheet2";#N/A,#N/A,TRUE,"Sheet3"}</definedName>
    <definedName name="AAAA_3" localSheetId="10" hidden="1">{#N/A,#N/A,TRUE,"Sheet1";#N/A,#N/A,TRUE,"Sheet2";#N/A,#N/A,TRUE,"Sheet3"}</definedName>
    <definedName name="AAAA_3" localSheetId="3" hidden="1">{#N/A,#N/A,TRUE,"Sheet1";#N/A,#N/A,TRUE,"Sheet2";#N/A,#N/A,TRUE,"Sheet3"}</definedName>
    <definedName name="AAAA_3" hidden="1">{#N/A,#N/A,TRUE,"Sheet1";#N/A,#N/A,TRUE,"Sheet2";#N/A,#N/A,TRUE,"Sheet3"}</definedName>
    <definedName name="AAAA_4" localSheetId="10" hidden="1">{#N/A,#N/A,TRUE,"Sheet1";#N/A,#N/A,TRUE,"Sheet2";#N/A,#N/A,TRUE,"Sheet3"}</definedName>
    <definedName name="AAAA_4" localSheetId="3" hidden="1">{#N/A,#N/A,TRUE,"Sheet1";#N/A,#N/A,TRUE,"Sheet2";#N/A,#N/A,TRUE,"Sheet3"}</definedName>
    <definedName name="AAAA_4" hidden="1">{#N/A,#N/A,TRUE,"Sheet1";#N/A,#N/A,TRUE,"Sheet2";#N/A,#N/A,TRUE,"Sheet3"}</definedName>
    <definedName name="AAAA_5" localSheetId="10" hidden="1">{#N/A,#N/A,TRUE,"Sheet1";#N/A,#N/A,TRUE,"Sheet2";#N/A,#N/A,TRUE,"Sheet3"}</definedName>
    <definedName name="AAAA_5" localSheetId="3" hidden="1">{#N/A,#N/A,TRUE,"Sheet1";#N/A,#N/A,TRUE,"Sheet2";#N/A,#N/A,TRUE,"Sheet3"}</definedName>
    <definedName name="AAAA_5" hidden="1">{#N/A,#N/A,TRUE,"Sheet1";#N/A,#N/A,TRUE,"Sheet2";#N/A,#N/A,TRUE,"Sheet3"}</definedName>
    <definedName name="aaaaa">#REF!</definedName>
    <definedName name="AAAAA_1" localSheetId="10" hidden="1">{#N/A,#N/A,FALSE,"Ejector 1";#N/A,#N/A,FALSE,"Ejector 2"}</definedName>
    <definedName name="AAAAA_1" localSheetId="3" hidden="1">{#N/A,#N/A,FALSE,"Ejector 1";#N/A,#N/A,FALSE,"Ejector 2"}</definedName>
    <definedName name="AAAAA_1" hidden="1">{#N/A,#N/A,FALSE,"Ejector 1";#N/A,#N/A,FALSE,"Ejector 2"}</definedName>
    <definedName name="AAAAA_2" localSheetId="10" hidden="1">{#N/A,#N/A,FALSE,"Ejector 1";#N/A,#N/A,FALSE,"Ejector 2"}</definedName>
    <definedName name="AAAAA_2" localSheetId="3" hidden="1">{#N/A,#N/A,FALSE,"Ejector 1";#N/A,#N/A,FALSE,"Ejector 2"}</definedName>
    <definedName name="AAAAA_2" hidden="1">{#N/A,#N/A,FALSE,"Ejector 1";#N/A,#N/A,FALSE,"Ejector 2"}</definedName>
    <definedName name="AAAAA_3" localSheetId="10" hidden="1">{#N/A,#N/A,FALSE,"Ejector 1";#N/A,#N/A,FALSE,"Ejector 2"}</definedName>
    <definedName name="AAAAA_3" localSheetId="3" hidden="1">{#N/A,#N/A,FALSE,"Ejector 1";#N/A,#N/A,FALSE,"Ejector 2"}</definedName>
    <definedName name="AAAAA_3" hidden="1">{#N/A,#N/A,FALSE,"Ejector 1";#N/A,#N/A,FALSE,"Ejector 2"}</definedName>
    <definedName name="AAAAA_4" localSheetId="10" hidden="1">{#N/A,#N/A,FALSE,"Ejector 1";#N/A,#N/A,FALSE,"Ejector 2"}</definedName>
    <definedName name="AAAAA_4" localSheetId="3" hidden="1">{#N/A,#N/A,FALSE,"Ejector 1";#N/A,#N/A,FALSE,"Ejector 2"}</definedName>
    <definedName name="AAAAA_4" hidden="1">{#N/A,#N/A,FALSE,"Ejector 1";#N/A,#N/A,FALSE,"Ejector 2"}</definedName>
    <definedName name="AAAAA_5" localSheetId="10" hidden="1">{#N/A,#N/A,FALSE,"Ejector 1";#N/A,#N/A,FALSE,"Ejector 2"}</definedName>
    <definedName name="AAAAA_5" localSheetId="3" hidden="1">{#N/A,#N/A,FALSE,"Ejector 1";#N/A,#N/A,FALSE,"Ejector 2"}</definedName>
    <definedName name="AAAAA_5" hidden="1">{#N/A,#N/A,FALSE,"Ejector 1";#N/A,#N/A,FALSE,"Ejector 2"}</definedName>
    <definedName name="aaaaaa">#REF!</definedName>
    <definedName name="aaaaaa_1" localSheetId="10" hidden="1">{#N/A,#N/A,FALSE,"Ejector 1";#N/A,#N/A,FALSE,"Ejector 2"}</definedName>
    <definedName name="aaaaaa_1" localSheetId="3" hidden="1">{#N/A,#N/A,FALSE,"Ejector 1";#N/A,#N/A,FALSE,"Ejector 2"}</definedName>
    <definedName name="aaaaaa_1" hidden="1">{#N/A,#N/A,FALSE,"Ejector 1";#N/A,#N/A,FALSE,"Ejector 2"}</definedName>
    <definedName name="aaaaaa_2" localSheetId="10" hidden="1">{#N/A,#N/A,FALSE,"Ejector 1";#N/A,#N/A,FALSE,"Ejector 2"}</definedName>
    <definedName name="aaaaaa_2" localSheetId="3" hidden="1">{#N/A,#N/A,FALSE,"Ejector 1";#N/A,#N/A,FALSE,"Ejector 2"}</definedName>
    <definedName name="aaaaaa_2" hidden="1">{#N/A,#N/A,FALSE,"Ejector 1";#N/A,#N/A,FALSE,"Ejector 2"}</definedName>
    <definedName name="aaaaaa_3" localSheetId="10" hidden="1">{#N/A,#N/A,FALSE,"Ejector 1";#N/A,#N/A,FALSE,"Ejector 2"}</definedName>
    <definedName name="aaaaaa_3" localSheetId="3" hidden="1">{#N/A,#N/A,FALSE,"Ejector 1";#N/A,#N/A,FALSE,"Ejector 2"}</definedName>
    <definedName name="aaaaaa_3" hidden="1">{#N/A,#N/A,FALSE,"Ejector 1";#N/A,#N/A,FALSE,"Ejector 2"}</definedName>
    <definedName name="aaaaaa_4" localSheetId="10" hidden="1">{#N/A,#N/A,FALSE,"Ejector 1";#N/A,#N/A,FALSE,"Ejector 2"}</definedName>
    <definedName name="aaaaaa_4" localSheetId="3" hidden="1">{#N/A,#N/A,FALSE,"Ejector 1";#N/A,#N/A,FALSE,"Ejector 2"}</definedName>
    <definedName name="aaaaaa_4" hidden="1">{#N/A,#N/A,FALSE,"Ejector 1";#N/A,#N/A,FALSE,"Ejector 2"}</definedName>
    <definedName name="aaaaaa_5" localSheetId="10" hidden="1">{#N/A,#N/A,FALSE,"Ejector 1";#N/A,#N/A,FALSE,"Ejector 2"}</definedName>
    <definedName name="aaaaaa_5" localSheetId="3" hidden="1">{#N/A,#N/A,FALSE,"Ejector 1";#N/A,#N/A,FALSE,"Ejector 2"}</definedName>
    <definedName name="aaaaaa_5" hidden="1">{#N/A,#N/A,FALSE,"Ejector 1";#N/A,#N/A,FALSE,"Ejector 2"}</definedName>
    <definedName name="AAAAAAA" localSheetId="10" hidden="1">{#N/A,#N/A,TRUE,"Sheet1";#N/A,#N/A,TRUE,"Sheet2";#N/A,#N/A,TRUE,"Sheet3"}</definedName>
    <definedName name="AAAAAAA" localSheetId="3" hidden="1">{#N/A,#N/A,TRUE,"Sheet1";#N/A,#N/A,TRUE,"Sheet2";#N/A,#N/A,TRUE,"Sheet3"}</definedName>
    <definedName name="AAAAAAA" hidden="1">{#N/A,#N/A,TRUE,"Sheet1";#N/A,#N/A,TRUE,"Sheet2";#N/A,#N/A,TRUE,"Sheet3"}</definedName>
    <definedName name="AAAAAAA_1" localSheetId="10" hidden="1">{#N/A,#N/A,TRUE,"Sheet1";#N/A,#N/A,TRUE,"Sheet2";#N/A,#N/A,TRUE,"Sheet3"}</definedName>
    <definedName name="AAAAAAA_1" localSheetId="3" hidden="1">{#N/A,#N/A,TRUE,"Sheet1";#N/A,#N/A,TRUE,"Sheet2";#N/A,#N/A,TRUE,"Sheet3"}</definedName>
    <definedName name="AAAAAAA_1" hidden="1">{#N/A,#N/A,TRUE,"Sheet1";#N/A,#N/A,TRUE,"Sheet2";#N/A,#N/A,TRUE,"Sheet3"}</definedName>
    <definedName name="AAAAAAA_2" localSheetId="10" hidden="1">{#N/A,#N/A,TRUE,"Sheet1";#N/A,#N/A,TRUE,"Sheet2";#N/A,#N/A,TRUE,"Sheet3"}</definedName>
    <definedName name="AAAAAAA_2" localSheetId="3" hidden="1">{#N/A,#N/A,TRUE,"Sheet1";#N/A,#N/A,TRUE,"Sheet2";#N/A,#N/A,TRUE,"Sheet3"}</definedName>
    <definedName name="AAAAAAA_2" hidden="1">{#N/A,#N/A,TRUE,"Sheet1";#N/A,#N/A,TRUE,"Sheet2";#N/A,#N/A,TRUE,"Sheet3"}</definedName>
    <definedName name="AAAAAAA_3" localSheetId="10" hidden="1">{#N/A,#N/A,TRUE,"Sheet1";#N/A,#N/A,TRUE,"Sheet2";#N/A,#N/A,TRUE,"Sheet3"}</definedName>
    <definedName name="AAAAAAA_3" localSheetId="3" hidden="1">{#N/A,#N/A,TRUE,"Sheet1";#N/A,#N/A,TRUE,"Sheet2";#N/A,#N/A,TRUE,"Sheet3"}</definedName>
    <definedName name="AAAAAAA_3" hidden="1">{#N/A,#N/A,TRUE,"Sheet1";#N/A,#N/A,TRUE,"Sheet2";#N/A,#N/A,TRUE,"Sheet3"}</definedName>
    <definedName name="AAAAAAA_4" localSheetId="10" hidden="1">{#N/A,#N/A,TRUE,"Sheet1";#N/A,#N/A,TRUE,"Sheet2";#N/A,#N/A,TRUE,"Sheet3"}</definedName>
    <definedName name="AAAAAAA_4" localSheetId="3" hidden="1">{#N/A,#N/A,TRUE,"Sheet1";#N/A,#N/A,TRUE,"Sheet2";#N/A,#N/A,TRUE,"Sheet3"}</definedName>
    <definedName name="AAAAAAA_4" hidden="1">{#N/A,#N/A,TRUE,"Sheet1";#N/A,#N/A,TRUE,"Sheet2";#N/A,#N/A,TRUE,"Sheet3"}</definedName>
    <definedName name="AAAAAAA_5" localSheetId="10" hidden="1">{#N/A,#N/A,TRUE,"Sheet1";#N/A,#N/A,TRUE,"Sheet2";#N/A,#N/A,TRUE,"Sheet3"}</definedName>
    <definedName name="AAAAAAA_5" localSheetId="3" hidden="1">{#N/A,#N/A,TRUE,"Sheet1";#N/A,#N/A,TRUE,"Sheet2";#N/A,#N/A,TRUE,"Sheet3"}</definedName>
    <definedName name="AAAAAAA_5" hidden="1">{#N/A,#N/A,TRUE,"Sheet1";#N/A,#N/A,TRUE,"Sheet2";#N/A,#N/A,TRUE,"Sheet3"}</definedName>
    <definedName name="aaaaaaaaaaa">#REF!</definedName>
    <definedName name="aaaaaaaaaaaaa">#REF!</definedName>
    <definedName name="aaaaaaaaaaaaa_1" localSheetId="10" hidden="1">{#N/A,#N/A,TRUE,"Sheet1";#N/A,#N/A,TRUE,"Sheet2";#N/A,#N/A,TRUE,"Sheet3"}</definedName>
    <definedName name="aaaaaaaaaaaaa_1" localSheetId="3" hidden="1">{#N/A,#N/A,TRUE,"Sheet1";#N/A,#N/A,TRUE,"Sheet2";#N/A,#N/A,TRUE,"Sheet3"}</definedName>
    <definedName name="aaaaaaaaaaaaa_1" hidden="1">{#N/A,#N/A,TRUE,"Sheet1";#N/A,#N/A,TRUE,"Sheet2";#N/A,#N/A,TRUE,"Sheet3"}</definedName>
    <definedName name="aaaaaaaaaaaaa_2" localSheetId="10" hidden="1">{#N/A,#N/A,TRUE,"Sheet1";#N/A,#N/A,TRUE,"Sheet2";#N/A,#N/A,TRUE,"Sheet3"}</definedName>
    <definedName name="aaaaaaaaaaaaa_2" localSheetId="3" hidden="1">{#N/A,#N/A,TRUE,"Sheet1";#N/A,#N/A,TRUE,"Sheet2";#N/A,#N/A,TRUE,"Sheet3"}</definedName>
    <definedName name="aaaaaaaaaaaaa_2" hidden="1">{#N/A,#N/A,TRUE,"Sheet1";#N/A,#N/A,TRUE,"Sheet2";#N/A,#N/A,TRUE,"Sheet3"}</definedName>
    <definedName name="aaaaaaaaaaaaa_3" localSheetId="10" hidden="1">{#N/A,#N/A,TRUE,"Sheet1";#N/A,#N/A,TRUE,"Sheet2";#N/A,#N/A,TRUE,"Sheet3"}</definedName>
    <definedName name="aaaaaaaaaaaaa_3" localSheetId="3" hidden="1">{#N/A,#N/A,TRUE,"Sheet1";#N/A,#N/A,TRUE,"Sheet2";#N/A,#N/A,TRUE,"Sheet3"}</definedName>
    <definedName name="aaaaaaaaaaaaa_3" hidden="1">{#N/A,#N/A,TRUE,"Sheet1";#N/A,#N/A,TRUE,"Sheet2";#N/A,#N/A,TRUE,"Sheet3"}</definedName>
    <definedName name="aaaaaaaaaaaaa_4" localSheetId="10" hidden="1">{#N/A,#N/A,TRUE,"Sheet1";#N/A,#N/A,TRUE,"Sheet2";#N/A,#N/A,TRUE,"Sheet3"}</definedName>
    <definedName name="aaaaaaaaaaaaa_4" localSheetId="3" hidden="1">{#N/A,#N/A,TRUE,"Sheet1";#N/A,#N/A,TRUE,"Sheet2";#N/A,#N/A,TRUE,"Sheet3"}</definedName>
    <definedName name="aaaaaaaaaaaaa_4" hidden="1">{#N/A,#N/A,TRUE,"Sheet1";#N/A,#N/A,TRUE,"Sheet2";#N/A,#N/A,TRUE,"Sheet3"}</definedName>
    <definedName name="aaaaaaaaaaaaa_5" localSheetId="10" hidden="1">{#N/A,#N/A,TRUE,"Sheet1";#N/A,#N/A,TRUE,"Sheet2";#N/A,#N/A,TRUE,"Sheet3"}</definedName>
    <definedName name="aaaaaaaaaaaaa_5" localSheetId="3" hidden="1">{#N/A,#N/A,TRUE,"Sheet1";#N/A,#N/A,TRUE,"Sheet2";#N/A,#N/A,TRUE,"Sheet3"}</definedName>
    <definedName name="aaaaaaaaaaaaa_5" hidden="1">{#N/A,#N/A,TRUE,"Sheet1";#N/A,#N/A,TRUE,"Sheet2";#N/A,#N/A,TRUE,"Sheet3"}</definedName>
    <definedName name="aaaaaaaaaaaaas" localSheetId="10" hidden="1">{#N/A,#N/A,FALSE,"Ejector 1";#N/A,#N/A,FALSE,"Ejector 2"}</definedName>
    <definedName name="aaaaaaaaaaaaas" localSheetId="3" hidden="1">{#N/A,#N/A,FALSE,"Ejector 1";#N/A,#N/A,FALSE,"Ejector 2"}</definedName>
    <definedName name="aaaaaaaaaaaaas" hidden="1">{#N/A,#N/A,FALSE,"Ejector 1";#N/A,#N/A,FALSE,"Ejector 2"}</definedName>
    <definedName name="aaaaaaaaaaaaas_1" localSheetId="10" hidden="1">{#N/A,#N/A,FALSE,"Ejector 1";#N/A,#N/A,FALSE,"Ejector 2"}</definedName>
    <definedName name="aaaaaaaaaaaaas_1" localSheetId="3" hidden="1">{#N/A,#N/A,FALSE,"Ejector 1";#N/A,#N/A,FALSE,"Ejector 2"}</definedName>
    <definedName name="aaaaaaaaaaaaas_1" hidden="1">{#N/A,#N/A,FALSE,"Ejector 1";#N/A,#N/A,FALSE,"Ejector 2"}</definedName>
    <definedName name="aaaaaaaaaaaaas_2" localSheetId="10" hidden="1">{#N/A,#N/A,FALSE,"Ejector 1";#N/A,#N/A,FALSE,"Ejector 2"}</definedName>
    <definedName name="aaaaaaaaaaaaas_2" localSheetId="3" hidden="1">{#N/A,#N/A,FALSE,"Ejector 1";#N/A,#N/A,FALSE,"Ejector 2"}</definedName>
    <definedName name="aaaaaaaaaaaaas_2" hidden="1">{#N/A,#N/A,FALSE,"Ejector 1";#N/A,#N/A,FALSE,"Ejector 2"}</definedName>
    <definedName name="aaaaaaaaaaaaas_3" localSheetId="10" hidden="1">{#N/A,#N/A,FALSE,"Ejector 1";#N/A,#N/A,FALSE,"Ejector 2"}</definedName>
    <definedName name="aaaaaaaaaaaaas_3" localSheetId="3" hidden="1">{#N/A,#N/A,FALSE,"Ejector 1";#N/A,#N/A,FALSE,"Ejector 2"}</definedName>
    <definedName name="aaaaaaaaaaaaas_3" hidden="1">{#N/A,#N/A,FALSE,"Ejector 1";#N/A,#N/A,FALSE,"Ejector 2"}</definedName>
    <definedName name="aaaaaaaaaaaaas_4" localSheetId="10" hidden="1">{#N/A,#N/A,FALSE,"Ejector 1";#N/A,#N/A,FALSE,"Ejector 2"}</definedName>
    <definedName name="aaaaaaaaaaaaas_4" localSheetId="3" hidden="1">{#N/A,#N/A,FALSE,"Ejector 1";#N/A,#N/A,FALSE,"Ejector 2"}</definedName>
    <definedName name="aaaaaaaaaaaaas_4" hidden="1">{#N/A,#N/A,FALSE,"Ejector 1";#N/A,#N/A,FALSE,"Ejector 2"}</definedName>
    <definedName name="aaaaaaaaaaaaas_5" localSheetId="10" hidden="1">{#N/A,#N/A,FALSE,"Ejector 1";#N/A,#N/A,FALSE,"Ejector 2"}</definedName>
    <definedName name="aaaaaaaaaaaaas_5" localSheetId="3" hidden="1">{#N/A,#N/A,FALSE,"Ejector 1";#N/A,#N/A,FALSE,"Ejector 2"}</definedName>
    <definedName name="aaaaaaaaaaaaas_5" hidden="1">{#N/A,#N/A,FALSE,"Ejector 1";#N/A,#N/A,FALSE,"Ejector 2"}</definedName>
    <definedName name="aaaaaaaaaass">#REF!</definedName>
    <definedName name="AAAABBB" hidden="1">#REF!</definedName>
    <definedName name="AAB_Addin5" hidden="1">"AAB_Description for addin 5,Description for addin 5,Description for addin 5,Description for addin 5,Description for addin 5,Description for addin 5"</definedName>
    <definedName name="AAC">#REF!</definedName>
    <definedName name="aadd" localSheetId="10" hidden="1">{"RPT1",#N/A,FALSE,"OIC650A"}</definedName>
    <definedName name="aadd" localSheetId="3" hidden="1">{"RPT1",#N/A,FALSE,"OIC650A"}</definedName>
    <definedName name="aadd" hidden="1">{"RPT1",#N/A,FALSE,"OIC650A"}</definedName>
    <definedName name="AAZA" hidden="1">#N/A</definedName>
    <definedName name="AB">#REF!</definedName>
    <definedName name="Ab_5">#REF!</definedName>
    <definedName name="ABA00">#REF!</definedName>
    <definedName name="abb" localSheetId="10" hidden="1">{"'WEB azoc prov'!$B$85:$L$123"}</definedName>
    <definedName name="abb" localSheetId="3" hidden="1">{"'WEB azoc prov'!$B$85:$L$123"}</definedName>
    <definedName name="abb" hidden="1">{"'WEB azoc prov'!$B$85:$L$123"}</definedName>
    <definedName name="Abbril">#REF!</definedName>
    <definedName name="abc">#REF!</definedName>
    <definedName name="abcd">#REF!</definedName>
    <definedName name="abcdef" hidden="1">#REF!</definedName>
    <definedName name="abcdejdkpssaa" localSheetId="10" hidden="1">{"ZAR",#N/A,FALSE,"APLICAR"}</definedName>
    <definedName name="abcdejdkpssaa" localSheetId="3" hidden="1">{"ZAR",#N/A,FALSE,"APLICAR"}</definedName>
    <definedName name="abcdejdkpssaa" hidden="1">{"ZAR",#N/A,FALSE,"APLICAR"}</definedName>
    <definedName name="ABRIL">#REF!</definedName>
    <definedName name="Abril_09">#REF!</definedName>
    <definedName name="ABRIL_2009">#REF!</definedName>
    <definedName name="ac">#REF!</definedName>
    <definedName name="AC_133">#REF!</definedName>
    <definedName name="AC_HK">#REF!</definedName>
    <definedName name="aca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a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acc">#REF!</definedName>
    <definedName name="accccccc" localSheetId="10" hidden="1">{"USD",#N/A,FALSE,"APLICAR"}</definedName>
    <definedName name="accccccc" localSheetId="3" hidden="1">{"USD",#N/A,FALSE,"APLICAR"}</definedName>
    <definedName name="accccccc" hidden="1">{"USD",#N/A,FALSE,"APLICAR"}</definedName>
    <definedName name="accd">#REF!</definedName>
    <definedName name="AccessDatabase" hidden="1">"C:\Documents and Settings\sloantb\My Documents\Cost Challenge\New Budget.mdb"</definedName>
    <definedName name="Accidents">#REF!</definedName>
    <definedName name="Account">#REF!</definedName>
    <definedName name="Account_Number">#REF!</definedName>
    <definedName name="Account_Receivable___Miscellaneous_Schedule">#REF!</definedName>
    <definedName name="Accounting_Fee">#REF!</definedName>
    <definedName name="accs">#REF!,#REF!,#REF!,#REF!,#REF!</definedName>
    <definedName name="accs1">#REF!,#REF!,#REF!,#REF!,#REF!</definedName>
    <definedName name="accsum07">#REF!</definedName>
    <definedName name="AcctRecv_5">#REF!</definedName>
    <definedName name="AcctRecv_5L">#REF!</definedName>
    <definedName name="ACO00">#REF!</definedName>
    <definedName name="ACRESCIMO.CUSTOS">#REF!</definedName>
    <definedName name="ACRESCIMO.PROVEITOS">#REF!</definedName>
    <definedName name="Act">#REF!</definedName>
    <definedName name="ACTBNK">#REF!</definedName>
    <definedName name="Actiehouder">#REF!</definedName>
    <definedName name="ACTIOND">#REF!</definedName>
    <definedName name="ACTIONS">#REF!</definedName>
    <definedName name="Active">#REF!</definedName>
    <definedName name="ACTIVO">#REF!</definedName>
    <definedName name="ACTIVO_A">#REF!</definedName>
    <definedName name="Activo_Corrente">#REF!</definedName>
    <definedName name="Actmed_orc">#REF!</definedName>
    <definedName name="Actual">#REF!</definedName>
    <definedName name="acumulado_MZM">#REF!</definedName>
    <definedName name="acumulado_USD">#REF!</definedName>
    <definedName name="ACwvu.DETT.._.COSTI." hidden="1">#REF!</definedName>
    <definedName name="ACwvu.RIEPIL.." hidden="1">#REF!</definedName>
    <definedName name="aczd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czd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czd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d" hidden="1">#REF!</definedName>
    <definedName name="ADAD" hidden="1">#REF!</definedName>
    <definedName name="adf" localSheetId="10" hidden="1">{#N/A,#N/A,FALSE,"CHANGES";#N/A,#N/A,FALSE,"PROD SUMMARY";#N/A,#N/A,FALSE,"1995 PO SUM";#N/A,#N/A,FALSE,"1995 GEOG SUM";#N/A,#N/A,FALSE,"1996 PO SUM";#N/A,#N/A,FALSE,"1996 GEOG SUM"}</definedName>
    <definedName name="adf" localSheetId="3" hidden="1">{#N/A,#N/A,FALSE,"CHANGES";#N/A,#N/A,FALSE,"PROD SUMMARY";#N/A,#N/A,FALSE,"1995 PO SUM";#N/A,#N/A,FALSE,"1995 GEOG SUM";#N/A,#N/A,FALSE,"1996 PO SUM";#N/A,#N/A,FALSE,"1996 GEOG SUM"}</definedName>
    <definedName name="adf" hidden="1">{#N/A,#N/A,FALSE,"CHANGES";#N/A,#N/A,FALSE,"PROD SUMMARY";#N/A,#N/A,FALSE,"1995 PO SUM";#N/A,#N/A,FALSE,"1995 GEOG SUM";#N/A,#N/A,FALSE,"1996 PO SUM";#N/A,#N/A,FALSE,"1996 GEOG SUM"}</definedName>
    <definedName name="Adj_D_Release">#REF!</definedName>
    <definedName name="Adj_D_Release_DateRange">#REF!</definedName>
    <definedName name="Adm">#REF!</definedName>
    <definedName name="ADMIN">#REF!</definedName>
    <definedName name="administrativa">#REF!</definedName>
    <definedName name="ADP00">#REF!</definedName>
    <definedName name="adr3wf3" localSheetId="10" hidden="1">{"VARIASMOEDAS",#N/A,FALSE,"APLICAR"}</definedName>
    <definedName name="adr3wf3" localSheetId="3" hidden="1">{"VARIASMOEDAS",#N/A,FALSE,"APLICAR"}</definedName>
    <definedName name="adr3wf3" hidden="1">{"VARIASMOEDAS",#N/A,FALSE,"APLICAR"}</definedName>
    <definedName name="ads" localSheetId="10" hidden="1">{"'Parte I (BPA)'!$A$1:$A$3"}</definedName>
    <definedName name="ads" localSheetId="3" hidden="1">{"'Parte I (BPA)'!$A$1:$A$3"}</definedName>
    <definedName name="ads" hidden="1">{"'Parte I (BPA)'!$A$1:$A$3"}</definedName>
    <definedName name="ADT00">#REF!</definedName>
    <definedName name="ADVERT">#REF!</definedName>
    <definedName name="aeronave">#REF!</definedName>
    <definedName name="aeroporto">#REF!</definedName>
    <definedName name="aes">#REF!</definedName>
    <definedName name="AF">#REF!</definedName>
    <definedName name="AFIVCO">#REF!</definedName>
    <definedName name="AFP00">#REF!</definedName>
    <definedName name="AFS">#REF!</definedName>
    <definedName name="AFUNDOS">#REF!</definedName>
    <definedName name="ag" hidden="1">#REF!</definedName>
    <definedName name="AG01a">#REF!</definedName>
    <definedName name="AG01i">#REF!</definedName>
    <definedName name="AG02a">#REF!</definedName>
    <definedName name="AG02i">#REF!</definedName>
    <definedName name="AG03a">#REF!</definedName>
    <definedName name="AG03i">#REF!</definedName>
    <definedName name="agdump">#REF!</definedName>
    <definedName name="agedump">#REF!</definedName>
    <definedName name="Agencia">#REF!</definedName>
    <definedName name="agencydump">#REF!</definedName>
    <definedName name="AGENCYLY">#REF!</definedName>
    <definedName name="AGENCYPLAN">#REF!</definedName>
    <definedName name="Agin_LY">#REF!</definedName>
    <definedName name="Agin_TY">#REF!</definedName>
    <definedName name="Agin_YE">#REF!</definedName>
    <definedName name="AGING_AFS">#REF!</definedName>
    <definedName name="agnallo">#REF!</definedName>
    <definedName name="AGOSTO">#REF!</definedName>
    <definedName name="ah" hidden="1">#REF!</definedName>
    <definedName name="AIC00">#REF!</definedName>
    <definedName name="aj" hidden="1">#REF!</definedName>
    <definedName name="ajbvag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jbvag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jbvag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k" hidden="1">#REF!</definedName>
    <definedName name="aksjldfkajs">#REF!</definedName>
    <definedName name="AL">#REF!</definedName>
    <definedName name="ALC_10">#REF!</definedName>
    <definedName name="ALC_7">#REF!</definedName>
    <definedName name="ALC_9">#REF!</definedName>
    <definedName name="ALC_9L">#REF!</definedName>
    <definedName name="ALC00">#REF!</definedName>
    <definedName name="all_FX_Previous_Conversion">#REF!</definedName>
    <definedName name="all_FX_Previous_Spot">#REF!</definedName>
    <definedName name="all_Is_Life">#REF!</definedName>
    <definedName name="all_Month">#REF!</definedName>
    <definedName name="all_Period">#REF!</definedName>
    <definedName name="all_Translation_Allowance">#REF!</definedName>
    <definedName name="ALNC_11">#REF!</definedName>
    <definedName name="ALNC_11a">#REF!</definedName>
    <definedName name="alpha" localSheetId="10" hidden="1">{#N/A,#N/A,FALSE,"CHANGES";#N/A,#N/A,FALSE,"PROD SUMMARY";#N/A,#N/A,FALSE,"1995 PO SUM";#N/A,#N/A,FALSE,"1995 GEOG SUM";#N/A,#N/A,FALSE,"1996 PO SUM";#N/A,#N/A,FALSE,"1996 GEOG SUM"}</definedName>
    <definedName name="alpha" localSheetId="3" hidden="1">{#N/A,#N/A,FALSE,"CHANGES";#N/A,#N/A,FALSE,"PROD SUMMARY";#N/A,#N/A,FALSE,"1995 PO SUM";#N/A,#N/A,FALSE,"1995 GEOG SUM";#N/A,#N/A,FALSE,"1996 PO SUM";#N/A,#N/A,FALSE,"1996 GEOG SUM"}</definedName>
    <definedName name="alpha" hidden="1">{#N/A,#N/A,FALSE,"CHANGES";#N/A,#N/A,FALSE,"PROD SUMMARY";#N/A,#N/A,FALSE,"1995 PO SUM";#N/A,#N/A,FALSE,"1995 GEOG SUM";#N/A,#N/A,FALSE,"1996 PO SUM";#N/A,#N/A,FALSE,"1996 GEOG SUM"}</definedName>
    <definedName name="ALU">#REF!</definedName>
    <definedName name="AMC00">#REF!</definedName>
    <definedName name="Amort" localSheetId="10">MACRH</definedName>
    <definedName name="Amort" localSheetId="2">MACRH</definedName>
    <definedName name="Amort" localSheetId="3">MACRH</definedName>
    <definedName name="Amort">MACRH</definedName>
    <definedName name="Amortiz_2701">#REF!</definedName>
    <definedName name="Amortiz_3400">#REF!</definedName>
    <definedName name="Amortiz_3402">#REF!</definedName>
    <definedName name="Amortiz_EL">#REF!</definedName>
    <definedName name="Amortiz_KM">#REF!</definedName>
    <definedName name="Amortiz_LV">#REF!</definedName>
    <definedName name="AMORTIZAÇOES">#REF!</definedName>
    <definedName name="Amortizações">#REF!</definedName>
    <definedName name="Amortizações_do_exercício">#REF!</definedName>
    <definedName name="Amortize_2701">#REF!</definedName>
    <definedName name="Amortize_3400">#REF!</definedName>
    <definedName name="Amortize_3402">#REF!</definedName>
    <definedName name="Amortize_EL">#REF!</definedName>
    <definedName name="Amortize_KM">#REF!</definedName>
    <definedName name="Amortize_LV">#REF!</definedName>
    <definedName name="Amount">#REF!</definedName>
    <definedName name="Amount_USD">#REF!</definedName>
    <definedName name="Amount_ZWD">#REF!</definedName>
    <definedName name="AnalysisYear">#REF!</definedName>
    <definedName name="andre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drea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exo" localSheetId="10" hidden="1">{"'RR'!$A$2:$E$81"}</definedName>
    <definedName name="anexo" localSheetId="3" hidden="1">{"'RR'!$A$2:$E$81"}</definedName>
    <definedName name="anexo" hidden="1">{"'RR'!$A$2:$E$81"}</definedName>
    <definedName name="anexoA" localSheetId="10" hidden="1">{"'RR'!$A$2:$E$81"}</definedName>
    <definedName name="anexoA" localSheetId="3" hidden="1">{"'RR'!$A$2:$E$81"}</definedName>
    <definedName name="anexoA" hidden="1">{"'RR'!$A$2:$E$81"}</definedName>
    <definedName name="anexoB" localSheetId="10" hidden="1">{"'RR'!$A$2:$E$81"}</definedName>
    <definedName name="anexoB" localSheetId="3" hidden="1">{"'RR'!$A$2:$E$81"}</definedName>
    <definedName name="anexoB" hidden="1">{"'RR'!$A$2:$E$81"}</definedName>
    <definedName name="anhkd" localSheetId="10" hidden="1">{"VARIASMOEDAS",#N/A,FALSE,"APLICAR"}</definedName>
    <definedName name="anhkd" localSheetId="3" hidden="1">{"VARIASMOEDAS",#N/A,FALSE,"APLICAR"}</definedName>
    <definedName name="anhkd" hidden="1">{"VARIASMOEDAS",#N/A,FALSE,"APLICAR"}</definedName>
    <definedName name="Annual_interest_rate">#REF!</definedName>
    <definedName name="Ano">#REF!</definedName>
    <definedName name="ano_ant">#REF!</definedName>
    <definedName name="AnoExercicioConf">#REF!</definedName>
    <definedName name="ANOS.ANTERIORES">#REF!</definedName>
    <definedName name="AnoSel">#REF!</definedName>
    <definedName name="anscount" hidden="1">1</definedName>
    <definedName name="ANT">#REF!</definedName>
    <definedName name="ANT.ACTIVAS">#REF!</definedName>
    <definedName name="ANT.PASSIVAS">#REF!</definedName>
    <definedName name="Antecipações_Activas">#REF!</definedName>
    <definedName name="Antecipações_passivas">#REF!</definedName>
    <definedName name="ant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t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t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NTONIO">#REF!</definedName>
    <definedName name="ANTONIO1">#REF!</definedName>
    <definedName name="AP_Version">#REF!</definedName>
    <definedName name="APA">#REF!</definedName>
    <definedName name="APASSIVO">#REF!</definedName>
    <definedName name="APCD">#REF!</definedName>
    <definedName name="APDD">#REF!</definedName>
    <definedName name="APDE">#REF!</definedName>
    <definedName name="Aplicações">#REF!</definedName>
    <definedName name="APNRClientes">#REF!</definedName>
    <definedName name="APNRFornecedores">#REF!</definedName>
    <definedName name="APNROutCred">#REF!</definedName>
    <definedName name="APNROutDev">#REF!</definedName>
    <definedName name="APNSClientes">#REF!</definedName>
    <definedName name="APNSFornecedores">#REF!</definedName>
    <definedName name="APNSOutCred">#REF!</definedName>
    <definedName name="APNSOutDev">#REF!</definedName>
    <definedName name="App1Desc_Eng">#REF!</definedName>
    <definedName name="App1Desc_FR">#REF!</definedName>
    <definedName name="App2Desc_Eng">#REF!</definedName>
    <definedName name="App2Desc_FR">#REF!</definedName>
    <definedName name="App3Desc_Eng">#REF!</definedName>
    <definedName name="App3Desc_FR">#REF!</definedName>
    <definedName name="App4Desc_Eng">#REF!</definedName>
    <definedName name="App4Desc_FR">#REF!</definedName>
    <definedName name="Application">#REF!</definedName>
    <definedName name="AppTitle">#REF!</definedName>
    <definedName name="AppVersion">#REF!</definedName>
    <definedName name="AppWebSiteStorage_Eng">#REF!</definedName>
    <definedName name="AppWebSiteStorage_Fra">#REF!</definedName>
    <definedName name="APS00">#REF!</definedName>
    <definedName name="APSClientes">#REF!</definedName>
    <definedName name="APSFornecedores">#REF!</definedName>
    <definedName name="APSOutCred">#REF!</definedName>
    <definedName name="APSOutDev">#REF!</definedName>
    <definedName name="AQ">#REF!</definedName>
    <definedName name="AR">#REF!</definedName>
    <definedName name="AR_BS">#REF!</definedName>
    <definedName name="AR_PandL">#REF!</definedName>
    <definedName name="archiviob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archiviob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archiviob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archivioc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rchivioc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rchivioc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rchiviod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rchiviod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rchiviod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rea">#REF!</definedName>
    <definedName name="ÁreaDesejada">#REF!</definedName>
    <definedName name="ARLE">#REF!</definedName>
    <definedName name="artigo">#REF!</definedName>
    <definedName name="AS">#REF!</definedName>
    <definedName name="AS_1" localSheetId="10" hidden="1">{#N/A,#N/A,FALSE,"Ejector 1";#N/A,#N/A,FALSE,"Ejector 2"}</definedName>
    <definedName name="AS_1" localSheetId="3" hidden="1">{#N/A,#N/A,FALSE,"Ejector 1";#N/A,#N/A,FALSE,"Ejector 2"}</definedName>
    <definedName name="AS_1" hidden="1">{#N/A,#N/A,FALSE,"Ejector 1";#N/A,#N/A,FALSE,"Ejector 2"}</definedName>
    <definedName name="AS_2" localSheetId="10" hidden="1">{#N/A,#N/A,FALSE,"Ejector 1";#N/A,#N/A,FALSE,"Ejector 2"}</definedName>
    <definedName name="AS_2" localSheetId="3" hidden="1">{#N/A,#N/A,FALSE,"Ejector 1";#N/A,#N/A,FALSE,"Ejector 2"}</definedName>
    <definedName name="AS_2" hidden="1">{#N/A,#N/A,FALSE,"Ejector 1";#N/A,#N/A,FALSE,"Ejector 2"}</definedName>
    <definedName name="AS_3" localSheetId="10" hidden="1">{#N/A,#N/A,FALSE,"Ejector 1";#N/A,#N/A,FALSE,"Ejector 2"}</definedName>
    <definedName name="AS_3" localSheetId="3" hidden="1">{#N/A,#N/A,FALSE,"Ejector 1";#N/A,#N/A,FALSE,"Ejector 2"}</definedName>
    <definedName name="AS_3" hidden="1">{#N/A,#N/A,FALSE,"Ejector 1";#N/A,#N/A,FALSE,"Ejector 2"}</definedName>
    <definedName name="AS_4" localSheetId="10" hidden="1">{#N/A,#N/A,FALSE,"Ejector 1";#N/A,#N/A,FALSE,"Ejector 2"}</definedName>
    <definedName name="AS_4" localSheetId="3" hidden="1">{#N/A,#N/A,FALSE,"Ejector 1";#N/A,#N/A,FALSE,"Ejector 2"}</definedName>
    <definedName name="AS_4" hidden="1">{#N/A,#N/A,FALSE,"Ejector 1";#N/A,#N/A,FALSE,"Ejector 2"}</definedName>
    <definedName name="AS_5" localSheetId="10" hidden="1">{#N/A,#N/A,FALSE,"Ejector 1";#N/A,#N/A,FALSE,"Ejector 2"}</definedName>
    <definedName name="AS_5" localSheetId="3" hidden="1">{#N/A,#N/A,FALSE,"Ejector 1";#N/A,#N/A,FALSE,"Ejector 2"}</definedName>
    <definedName name="AS_5" hidden="1">{#N/A,#N/A,FALSE,"Ejector 1";#N/A,#N/A,FALSE,"Ejector 2"}</definedName>
    <definedName name="AS2DocOpenMode" hidden="1">"AS2DocumentEdit"</definedName>
    <definedName name="AS2NamedRange" hidden="1">9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>#REF!</definedName>
    <definedName name="ASD">#REF!</definedName>
    <definedName name="asda">#REF!</definedName>
    <definedName name="asdasdas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asdasdas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asdasdas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asdcv">#REF!</definedName>
    <definedName name="asdf" localSheetId="10" hidden="1">{#N/A,#N/A,FALSE,"JACKETS (1100 t) (1)"}</definedName>
    <definedName name="asdf" localSheetId="3" hidden="1">{#N/A,#N/A,FALSE,"JACKETS (1100 t) (1)"}</definedName>
    <definedName name="asdf" hidden="1">{#N/A,#N/A,FALSE,"JACKETS (1100 t) (1)"}</definedName>
    <definedName name="asdf_1" localSheetId="10" hidden="1">{#N/A,#N/A,FALSE,"JACKETS (1100 t) (1)"}</definedName>
    <definedName name="asdf_1" localSheetId="3" hidden="1">{#N/A,#N/A,FALSE,"JACKETS (1100 t) (1)"}</definedName>
    <definedName name="asdf_1" hidden="1">{#N/A,#N/A,FALSE,"JACKETS (1100 t) (1)"}</definedName>
    <definedName name="asdf_2" localSheetId="10" hidden="1">{#N/A,#N/A,FALSE,"JACKETS (1100 t) (1)"}</definedName>
    <definedName name="asdf_2" localSheetId="3" hidden="1">{#N/A,#N/A,FALSE,"JACKETS (1100 t) (1)"}</definedName>
    <definedName name="asdf_2" hidden="1">{#N/A,#N/A,FALSE,"JACKETS (1100 t) (1)"}</definedName>
    <definedName name="asdf_3" localSheetId="10" hidden="1">{#N/A,#N/A,FALSE,"JACKETS (1100 t) (1)"}</definedName>
    <definedName name="asdf_3" localSheetId="3" hidden="1">{#N/A,#N/A,FALSE,"JACKETS (1100 t) (1)"}</definedName>
    <definedName name="asdf_3" hidden="1">{#N/A,#N/A,FALSE,"JACKETS (1100 t) (1)"}</definedName>
    <definedName name="asdf_4" localSheetId="10" hidden="1">{#N/A,#N/A,FALSE,"JACKETS (1100 t) (1)"}</definedName>
    <definedName name="asdf_4" localSheetId="3" hidden="1">{#N/A,#N/A,FALSE,"JACKETS (1100 t) (1)"}</definedName>
    <definedName name="asdf_4" hidden="1">{#N/A,#N/A,FALSE,"JACKETS (1100 t) (1)"}</definedName>
    <definedName name="asdf_5" localSheetId="10" hidden="1">{#N/A,#N/A,FALSE,"JACKETS (1100 t) (1)"}</definedName>
    <definedName name="asdf_5" localSheetId="3" hidden="1">{#N/A,#N/A,FALSE,"JACKETS (1100 t) (1)"}</definedName>
    <definedName name="asdf_5" hidden="1">{#N/A,#N/A,FALSE,"JACKETS (1100 t) (1)"}</definedName>
    <definedName name="asdff" localSheetId="10" hidden="1">{#N/A,#N/A,FALSE,"CHANGES";#N/A,#N/A,FALSE,"PROD SUMMARY";#N/A,#N/A,FALSE,"1995 PO SUM";#N/A,#N/A,FALSE,"1995 GEOG SUM";#N/A,#N/A,FALSE,"1996 PO SUM";#N/A,#N/A,FALSE,"1996 GEOG SUM"}</definedName>
    <definedName name="asdff" localSheetId="3" hidden="1">{#N/A,#N/A,FALSE,"CHANGES";#N/A,#N/A,FALSE,"PROD SUMMARY";#N/A,#N/A,FALSE,"1995 PO SUM";#N/A,#N/A,FALSE,"1995 GEOG SUM";#N/A,#N/A,FALSE,"1996 PO SUM";#N/A,#N/A,FALSE,"1996 GEOG SUM"}</definedName>
    <definedName name="asdff" hidden="1">{#N/A,#N/A,FALSE,"CHANGES";#N/A,#N/A,FALSE,"PROD SUMMARY";#N/A,#N/A,FALSE,"1995 PO SUM";#N/A,#N/A,FALSE,"1995 GEOG SUM";#N/A,#N/A,FALSE,"1996 PO SUM";#N/A,#N/A,FALSE,"1996 GEOG SUM"}</definedName>
    <definedName name="ASDFGADFG" localSheetId="10" hidden="1">{#N/A,#N/A,FALSE,"Ejector 1";#N/A,#N/A,FALSE,"Ejector 2"}</definedName>
    <definedName name="ASDFGADFG" localSheetId="3" hidden="1">{#N/A,#N/A,FALSE,"Ejector 1";#N/A,#N/A,FALSE,"Ejector 2"}</definedName>
    <definedName name="ASDFGADFG" hidden="1">{#N/A,#N/A,FALSE,"Ejector 1";#N/A,#N/A,FALSE,"Ejector 2"}</definedName>
    <definedName name="ASDFGADFG_1" localSheetId="10" hidden="1">{#N/A,#N/A,FALSE,"Ejector 1";#N/A,#N/A,FALSE,"Ejector 2"}</definedName>
    <definedName name="ASDFGADFG_1" localSheetId="3" hidden="1">{#N/A,#N/A,FALSE,"Ejector 1";#N/A,#N/A,FALSE,"Ejector 2"}</definedName>
    <definedName name="ASDFGADFG_1" hidden="1">{#N/A,#N/A,FALSE,"Ejector 1";#N/A,#N/A,FALSE,"Ejector 2"}</definedName>
    <definedName name="ASDFGADFG_2" localSheetId="10" hidden="1">{#N/A,#N/A,FALSE,"Ejector 1";#N/A,#N/A,FALSE,"Ejector 2"}</definedName>
    <definedName name="ASDFGADFG_2" localSheetId="3" hidden="1">{#N/A,#N/A,FALSE,"Ejector 1";#N/A,#N/A,FALSE,"Ejector 2"}</definedName>
    <definedName name="ASDFGADFG_2" hidden="1">{#N/A,#N/A,FALSE,"Ejector 1";#N/A,#N/A,FALSE,"Ejector 2"}</definedName>
    <definedName name="ASDFGADFG_3" localSheetId="10" hidden="1">{#N/A,#N/A,FALSE,"Ejector 1";#N/A,#N/A,FALSE,"Ejector 2"}</definedName>
    <definedName name="ASDFGADFG_3" localSheetId="3" hidden="1">{#N/A,#N/A,FALSE,"Ejector 1";#N/A,#N/A,FALSE,"Ejector 2"}</definedName>
    <definedName name="ASDFGADFG_3" hidden="1">{#N/A,#N/A,FALSE,"Ejector 1";#N/A,#N/A,FALSE,"Ejector 2"}</definedName>
    <definedName name="ASDFGADFG_4" localSheetId="10" hidden="1">{#N/A,#N/A,FALSE,"Ejector 1";#N/A,#N/A,FALSE,"Ejector 2"}</definedName>
    <definedName name="ASDFGADFG_4" localSheetId="3" hidden="1">{#N/A,#N/A,FALSE,"Ejector 1";#N/A,#N/A,FALSE,"Ejector 2"}</definedName>
    <definedName name="ASDFGADFG_4" hidden="1">{#N/A,#N/A,FALSE,"Ejector 1";#N/A,#N/A,FALSE,"Ejector 2"}</definedName>
    <definedName name="ASDFGADFG_5" localSheetId="10" hidden="1">{#N/A,#N/A,FALSE,"Ejector 1";#N/A,#N/A,FALSE,"Ejector 2"}</definedName>
    <definedName name="ASDFGADFG_5" localSheetId="3" hidden="1">{#N/A,#N/A,FALSE,"Ejector 1";#N/A,#N/A,FALSE,"Ejector 2"}</definedName>
    <definedName name="ASDFGADFG_5" hidden="1">{#N/A,#N/A,FALSE,"Ejector 1";#N/A,#N/A,FALSE,"Ejector 2"}</definedName>
    <definedName name="asffgd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sffgd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sffgd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ASP">#REF!</definedName>
    <definedName name="ASRT">#REF!</definedName>
    <definedName name="ass">#REF!</definedName>
    <definedName name="ASSET">#REF!</definedName>
    <definedName name="Asset_Optional_Fields">#REF!</definedName>
    <definedName name="Asset_Register">#REF!</definedName>
    <definedName name="Asset_Serial_No__and_Barcoding">#REF!</definedName>
    <definedName name="AST00">#REF!</definedName>
    <definedName name="astjul07" localSheetId="10" hidden="1">{#N/A,#N/A,TRUE,"Total CAF Charts";#N/A,#N/A,TRUE,"Total CAF Charts (3)";#N/A,#N/A,TRUE,"CAF Technical Charts";#N/A,#N/A,TRUE,"CAF Support Charts";#N/A,#N/A,TRUE,"Opns Tech Charts";#N/A,#N/A,TRUE,"Other CAF KPI Charts"}</definedName>
    <definedName name="astjul07" localSheetId="3" hidden="1">{#N/A,#N/A,TRUE,"Total CAF Charts";#N/A,#N/A,TRUE,"Total CAF Charts (3)";#N/A,#N/A,TRUE,"CAF Technical Charts";#N/A,#N/A,TRUE,"CAF Support Charts";#N/A,#N/A,TRUE,"Opns Tech Charts";#N/A,#N/A,TRUE,"Other CAF KPI Charts"}</definedName>
    <definedName name="astjul07" hidden="1">{#N/A,#N/A,TRUE,"Total CAF Charts";#N/A,#N/A,TRUE,"Total CAF Charts (3)";#N/A,#N/A,TRUE,"CAF Technical Charts";#N/A,#N/A,TRUE,"CAF Support Charts";#N/A,#N/A,TRUE,"Opns Tech Charts";#N/A,#N/A,TRUE,"Other CAF KPI Charts"}</definedName>
    <definedName name="AT">#REF!</definedName>
    <definedName name="ATA00">#REF!</definedName>
    <definedName name="ATACTIVO">#REF!</definedName>
    <definedName name="ATC">#REF!</definedName>
    <definedName name="ATCI">#REF!</definedName>
    <definedName name="ATD">#REF!</definedName>
    <definedName name="ATE">#REF!</definedName>
    <definedName name="aterragem">#REF!</definedName>
    <definedName name="aterragem1">#REF!</definedName>
    <definedName name="ATF">#REF!</definedName>
    <definedName name="ATFUNDOS.PASSIVO">#REF!</definedName>
    <definedName name="ATG">#REF!</definedName>
    <definedName name="ATIVO">#REF!</definedName>
    <definedName name="ATJ">#REF!</definedName>
    <definedName name="ATLOVE">#REF!</definedName>
    <definedName name="ATM">#REF!</definedName>
    <definedName name="ATMCF">#REF!</definedName>
    <definedName name="ATMCM">#REF!</definedName>
    <definedName name="ATMIL">#REF!</definedName>
    <definedName name="ATN">#REF!</definedName>
    <definedName name="ATO">#REF!</definedName>
    <definedName name="ATR">#REF!</definedName>
    <definedName name="Att">#REF!</definedName>
    <definedName name="AuditDate">#REF!</definedName>
    <definedName name="auditor">#REF!</definedName>
    <definedName name="Author">#REF!</definedName>
    <definedName name="Auto_Expense">#REF!</definedName>
    <definedName name="autoconfig">#REF!</definedName>
    <definedName name="Aux">#REF!</definedName>
    <definedName name="aux_mes">#REF!</definedName>
    <definedName name="average05">#REF!</definedName>
    <definedName name="average06">#REF!</definedName>
    <definedName name="average07">#REF!</definedName>
    <definedName name="average08">#REF!</definedName>
    <definedName name="Aviation" localSheetId="10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Aviation" localSheetId="3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Aviation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awtwqt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wtwqt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wtwqt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xc" localSheetId="10" hidden="1">{#N/A,#N/A,FALSE,"JACKETS (1100 t) (1)"}</definedName>
    <definedName name="axc" localSheetId="3" hidden="1">{#N/A,#N/A,FALSE,"JACKETS (1100 t) (1)"}</definedName>
    <definedName name="axc" hidden="1">{#N/A,#N/A,FALSE,"JACKETS (1100 t) (1)"}</definedName>
    <definedName name="axc_1" localSheetId="10" hidden="1">{#N/A,#N/A,FALSE,"JACKETS (1100 t) (1)"}</definedName>
    <definedName name="axc_1" localSheetId="3" hidden="1">{#N/A,#N/A,FALSE,"JACKETS (1100 t) (1)"}</definedName>
    <definedName name="axc_1" hidden="1">{#N/A,#N/A,FALSE,"JACKETS (1100 t) (1)"}</definedName>
    <definedName name="axc_2" localSheetId="10" hidden="1">{#N/A,#N/A,FALSE,"JACKETS (1100 t) (1)"}</definedName>
    <definedName name="axc_2" localSheetId="3" hidden="1">{#N/A,#N/A,FALSE,"JACKETS (1100 t) (1)"}</definedName>
    <definedName name="axc_2" hidden="1">{#N/A,#N/A,FALSE,"JACKETS (1100 t) (1)"}</definedName>
    <definedName name="axc_3" localSheetId="10" hidden="1">{#N/A,#N/A,FALSE,"JACKETS (1100 t) (1)"}</definedName>
    <definedName name="axc_3" localSheetId="3" hidden="1">{#N/A,#N/A,FALSE,"JACKETS (1100 t) (1)"}</definedName>
    <definedName name="axc_3" hidden="1">{#N/A,#N/A,FALSE,"JACKETS (1100 t) (1)"}</definedName>
    <definedName name="axc_4" localSheetId="10" hidden="1">{#N/A,#N/A,FALSE,"JACKETS (1100 t) (1)"}</definedName>
    <definedName name="axc_4" localSheetId="3" hidden="1">{#N/A,#N/A,FALSE,"JACKETS (1100 t) (1)"}</definedName>
    <definedName name="axc_4" hidden="1">{#N/A,#N/A,FALSE,"JACKETS (1100 t) (1)"}</definedName>
    <definedName name="axc_5" localSheetId="10" hidden="1">{#N/A,#N/A,FALSE,"JACKETS (1100 t) (1)"}</definedName>
    <definedName name="axc_5" localSheetId="3" hidden="1">{#N/A,#N/A,FALSE,"JACKETS (1100 t) (1)"}</definedName>
    <definedName name="axc_5" hidden="1">{#N/A,#N/A,FALSE,"JACKETS (1100 t) (1)"}</definedName>
    <definedName name="axx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xx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xx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azer">#REF!</definedName>
    <definedName name="b">#REF!,#REF!,#REF!,#REF!,#REF!</definedName>
    <definedName name="b__Semisoma">#REF!</definedName>
    <definedName name="b_1" localSheetId="10" hidden="1">{#N/A,#N/A,FALSE,"JACKETS (1100 t) (1)"}</definedName>
    <definedName name="b_1" localSheetId="3" hidden="1">{#N/A,#N/A,FALSE,"JACKETS (1100 t) (1)"}</definedName>
    <definedName name="b_1" hidden="1">{#N/A,#N/A,FALSE,"JACKETS (1100 t) (1)"}</definedName>
    <definedName name="B_1_3_LINE_3">#REF!</definedName>
    <definedName name="B_15">#REF!</definedName>
    <definedName name="b_2" localSheetId="10" hidden="1">{#N/A,#N/A,FALSE,"JACKETS (1100 t) (1)"}</definedName>
    <definedName name="b_2" localSheetId="3" hidden="1">{#N/A,#N/A,FALSE,"JACKETS (1100 t) (1)"}</definedName>
    <definedName name="b_2" hidden="1">{#N/A,#N/A,FALSE,"JACKETS (1100 t) (1)"}</definedName>
    <definedName name="b_3" localSheetId="10" hidden="1">{#N/A,#N/A,FALSE,"JACKETS (1100 t) (1)"}</definedName>
    <definedName name="b_3" localSheetId="3" hidden="1">{#N/A,#N/A,FALSE,"JACKETS (1100 t) (1)"}</definedName>
    <definedName name="b_3" hidden="1">{#N/A,#N/A,FALSE,"JACKETS (1100 t) (1)"}</definedName>
    <definedName name="b_4" localSheetId="10" hidden="1">{#N/A,#N/A,FALSE,"JACKETS (1100 t) (1)"}</definedName>
    <definedName name="b_4" localSheetId="3" hidden="1">{#N/A,#N/A,FALSE,"JACKETS (1100 t) (1)"}</definedName>
    <definedName name="b_4" hidden="1">{#N/A,#N/A,FALSE,"JACKETS (1100 t) (1)"}</definedName>
    <definedName name="b_5" localSheetId="10" hidden="1">{#N/A,#N/A,FALSE,"JACKETS (1100 t) (1)"}</definedName>
    <definedName name="b_5" localSheetId="3" hidden="1">{#N/A,#N/A,FALSE,"JACKETS (1100 t) (1)"}</definedName>
    <definedName name="b_5" hidden="1">{#N/A,#N/A,FALSE,"JACKETS (1100 t) (1)"}</definedName>
    <definedName name="bai">#REF!</definedName>
    <definedName name="bal">#REF!</definedName>
    <definedName name="Bal_IN">#REF!</definedName>
    <definedName name="Bal_Total">#REF!</definedName>
    <definedName name="Balance_B_F_12_31_96">#REF!</definedName>
    <definedName name="BalanceSheetDates">#REF!</definedName>
    <definedName name="balanco">#REF!</definedName>
    <definedName name="BALANÇO">#REF!</definedName>
    <definedName name="Balorc">#REF!</definedName>
    <definedName name="balpc1">#REF!</definedName>
    <definedName name="balpc10">#REF!</definedName>
    <definedName name="balpc11">#REF!</definedName>
    <definedName name="balpc2">#REF!</definedName>
    <definedName name="balpc3">#REF!</definedName>
    <definedName name="balpc4">#REF!</definedName>
    <definedName name="balpc5">#REF!</definedName>
    <definedName name="balpc6">#REF!</definedName>
    <definedName name="balpc7">#REF!</definedName>
    <definedName name="balpc8">#REF!</definedName>
    <definedName name="balpc9">#REF!</definedName>
    <definedName name="balpf1">#REF!</definedName>
    <definedName name="balpf10">#REF!</definedName>
    <definedName name="balpf11">#REF!</definedName>
    <definedName name="balpf2">#REF!</definedName>
    <definedName name="balpf3">#REF!</definedName>
    <definedName name="balpf4">#REF!</definedName>
    <definedName name="balpf5">#REF!</definedName>
    <definedName name="balpf6">#REF!</definedName>
    <definedName name="balpf7">#REF!</definedName>
    <definedName name="balpf8">#REF!</definedName>
    <definedName name="balpf9">#REF!</definedName>
    <definedName name="BALSIMP1">#REF!</definedName>
    <definedName name="BALSIMP2">#REF!</definedName>
    <definedName name="Banco_Português_do_Atlântico">#REF!</definedName>
    <definedName name="Bancos">#REF!</definedName>
    <definedName name="BANICO">#REF!</definedName>
    <definedName name="Bank">#REF!,#REF!,#REF!,#REF!,#REF!</definedName>
    <definedName name="Bank1">#REF!,#REF!,#REF!,#REF!,#REF!</definedName>
    <definedName name="Base">#REF!</definedName>
    <definedName name="Base_Dados">#REF!</definedName>
    <definedName name="Base_dados_IM">#REF!</definedName>
    <definedName name="base1">#REF!</definedName>
    <definedName name="BasedOn">#REF!</definedName>
    <definedName name="BasedOnOther">#REF!</definedName>
    <definedName name="BasedOnRationale">#REF!</definedName>
    <definedName name="BasisAmount2">#REF!</definedName>
    <definedName name="BasisRationale">#REF!</definedName>
    <definedName name="bb">#REF!</definedName>
    <definedName name="bb_1" localSheetId="10" hidden="1">{#N/A,#N/A,FALSE,"JACKETS (1100 t) (1)"}</definedName>
    <definedName name="bb_1" localSheetId="3" hidden="1">{#N/A,#N/A,FALSE,"JACKETS (1100 t) (1)"}</definedName>
    <definedName name="bb_1" hidden="1">{#N/A,#N/A,FALSE,"JACKETS (1100 t) (1)"}</definedName>
    <definedName name="bb_2" localSheetId="10" hidden="1">{#N/A,#N/A,FALSE,"JACKETS (1100 t) (1)"}</definedName>
    <definedName name="bb_2" localSheetId="3" hidden="1">{#N/A,#N/A,FALSE,"JACKETS (1100 t) (1)"}</definedName>
    <definedName name="bb_2" hidden="1">{#N/A,#N/A,FALSE,"JACKETS (1100 t) (1)"}</definedName>
    <definedName name="bb_3" localSheetId="10" hidden="1">{#N/A,#N/A,FALSE,"JACKETS (1100 t) (1)"}</definedName>
    <definedName name="bb_3" localSheetId="3" hidden="1">{#N/A,#N/A,FALSE,"JACKETS (1100 t) (1)"}</definedName>
    <definedName name="bb_3" hidden="1">{#N/A,#N/A,FALSE,"JACKETS (1100 t) (1)"}</definedName>
    <definedName name="bb_4" localSheetId="10" hidden="1">{#N/A,#N/A,FALSE,"JACKETS (1100 t) (1)"}</definedName>
    <definedName name="bb_4" localSheetId="3" hidden="1">{#N/A,#N/A,FALSE,"JACKETS (1100 t) (1)"}</definedName>
    <definedName name="bb_4" hidden="1">{#N/A,#N/A,FALSE,"JACKETS (1100 t) (1)"}</definedName>
    <definedName name="bb_5" localSheetId="10" hidden="1">{#N/A,#N/A,FALSE,"JACKETS (1100 t) (1)"}</definedName>
    <definedName name="bb_5" localSheetId="3" hidden="1">{#N/A,#N/A,FALSE,"JACKETS (1100 t) (1)"}</definedName>
    <definedName name="bb_5" hidden="1">{#N/A,#N/A,FALSE,"JACKETS (1100 t) (1)"}</definedName>
    <definedName name="bbb">#REF!</definedName>
    <definedName name="BBB_1" localSheetId="10" hidden="1">{#N/A,#N/A,FALSE,"JACKETS (1100 t) (1)"}</definedName>
    <definedName name="BBB_1" localSheetId="3" hidden="1">{#N/A,#N/A,FALSE,"JACKETS (1100 t) (1)"}</definedName>
    <definedName name="BBB_1" hidden="1">{#N/A,#N/A,FALSE,"JACKETS (1100 t) (1)"}</definedName>
    <definedName name="BBB_2" localSheetId="10" hidden="1">{#N/A,#N/A,FALSE,"JACKETS (1100 t) (1)"}</definedName>
    <definedName name="BBB_2" localSheetId="3" hidden="1">{#N/A,#N/A,FALSE,"JACKETS (1100 t) (1)"}</definedName>
    <definedName name="BBB_2" hidden="1">{#N/A,#N/A,FALSE,"JACKETS (1100 t) (1)"}</definedName>
    <definedName name="BBB_3" localSheetId="10" hidden="1">{#N/A,#N/A,FALSE,"JACKETS (1100 t) (1)"}</definedName>
    <definedName name="BBB_3" localSheetId="3" hidden="1">{#N/A,#N/A,FALSE,"JACKETS (1100 t) (1)"}</definedName>
    <definedName name="BBB_3" hidden="1">{#N/A,#N/A,FALSE,"JACKETS (1100 t) (1)"}</definedName>
    <definedName name="BBB_4" localSheetId="10" hidden="1">{#N/A,#N/A,FALSE,"JACKETS (1100 t) (1)"}</definedName>
    <definedName name="BBB_4" localSheetId="3" hidden="1">{#N/A,#N/A,FALSE,"JACKETS (1100 t) (1)"}</definedName>
    <definedName name="BBB_4" hidden="1">{#N/A,#N/A,FALSE,"JACKETS (1100 t) (1)"}</definedName>
    <definedName name="BBB_5" localSheetId="10" hidden="1">{#N/A,#N/A,FALSE,"JACKETS (1100 t) (1)"}</definedName>
    <definedName name="BBB_5" localSheetId="3" hidden="1">{#N/A,#N/A,FALSE,"JACKETS (1100 t) (1)"}</definedName>
    <definedName name="BBB_5" hidden="1">{#N/A,#N/A,FALSE,"JACKETS (1100 t) (1)"}</definedName>
    <definedName name="bbbb">#REF!</definedName>
    <definedName name="bbbbb">#REF!</definedName>
    <definedName name="BBBBB_1" localSheetId="10" hidden="1">{#N/A,#N/A,FALSE,"Ejector 1";#N/A,#N/A,FALSE,"Ejector 2"}</definedName>
    <definedName name="BBBBB_1" localSheetId="3" hidden="1">{#N/A,#N/A,FALSE,"Ejector 1";#N/A,#N/A,FALSE,"Ejector 2"}</definedName>
    <definedName name="BBBBB_1" hidden="1">{#N/A,#N/A,FALSE,"Ejector 1";#N/A,#N/A,FALSE,"Ejector 2"}</definedName>
    <definedName name="BBBBB_2" localSheetId="10" hidden="1">{#N/A,#N/A,FALSE,"Ejector 1";#N/A,#N/A,FALSE,"Ejector 2"}</definedName>
    <definedName name="BBBBB_2" localSheetId="3" hidden="1">{#N/A,#N/A,FALSE,"Ejector 1";#N/A,#N/A,FALSE,"Ejector 2"}</definedName>
    <definedName name="BBBBB_2" hidden="1">{#N/A,#N/A,FALSE,"Ejector 1";#N/A,#N/A,FALSE,"Ejector 2"}</definedName>
    <definedName name="BBBBB_3" localSheetId="10" hidden="1">{#N/A,#N/A,FALSE,"Ejector 1";#N/A,#N/A,FALSE,"Ejector 2"}</definedName>
    <definedName name="BBBBB_3" localSheetId="3" hidden="1">{#N/A,#N/A,FALSE,"Ejector 1";#N/A,#N/A,FALSE,"Ejector 2"}</definedName>
    <definedName name="BBBBB_3" hidden="1">{#N/A,#N/A,FALSE,"Ejector 1";#N/A,#N/A,FALSE,"Ejector 2"}</definedName>
    <definedName name="BBBBB_4" localSheetId="10" hidden="1">{#N/A,#N/A,FALSE,"Ejector 1";#N/A,#N/A,FALSE,"Ejector 2"}</definedName>
    <definedName name="BBBBB_4" localSheetId="3" hidden="1">{#N/A,#N/A,FALSE,"Ejector 1";#N/A,#N/A,FALSE,"Ejector 2"}</definedName>
    <definedName name="BBBBB_4" hidden="1">{#N/A,#N/A,FALSE,"Ejector 1";#N/A,#N/A,FALSE,"Ejector 2"}</definedName>
    <definedName name="BBBBB_5" localSheetId="10" hidden="1">{#N/A,#N/A,FALSE,"Ejector 1";#N/A,#N/A,FALSE,"Ejector 2"}</definedName>
    <definedName name="BBBBB_5" localSheetId="3" hidden="1">{#N/A,#N/A,FALSE,"Ejector 1";#N/A,#N/A,FALSE,"Ejector 2"}</definedName>
    <definedName name="BBBBB_5" hidden="1">{#N/A,#N/A,FALSE,"Ejector 1";#N/A,#N/A,FALSE,"Ejector 2"}</definedName>
    <definedName name="bbbbbbbbbbb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bbbbbbbbbb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bbbbbbbbbb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bbdbdbda">#REF!</definedName>
    <definedName name="BBZ">#REF!,#REF!,#REF!,#REF!,#REF!</definedName>
    <definedName name="bcidct">#REF!</definedName>
    <definedName name="BCMMZM">#REF!</definedName>
    <definedName name="BCPAS2">#REF!</definedName>
    <definedName name="BCPASA">#REF!</definedName>
    <definedName name="BCPCAY">#REF!</definedName>
    <definedName name="BCPCO2">#REF!</definedName>
    <definedName name="BCPCOF">#REF!</definedName>
    <definedName name="BCPCOI">#REF!</definedName>
    <definedName name="BCPEST">#REF!</definedName>
    <definedName name="BCPRO2">#REF!</definedName>
    <definedName name="BCPROF">#REF!</definedName>
    <definedName name="BCPSPG">#REF!</definedName>
    <definedName name="Bdgrate">#REF!</definedName>
    <definedName name="Before">#REF!</definedName>
    <definedName name="Beg.Bal">IF(#REF!&lt;&gt;"",#REF!,"")</definedName>
    <definedName name="Beg_Bal">#REF!</definedName>
    <definedName name="Begin_Date">#REF!</definedName>
    <definedName name="bejo">#REF!</definedName>
    <definedName name="benefit">#REF!</definedName>
    <definedName name="bere">#REF!</definedName>
    <definedName name="BETA" localSheetId="10" hidden="1">{#N/A,#N/A,FALSE,"CHANGES";#N/A,#N/A,FALSE,"PROD SUMMARY";#N/A,#N/A,FALSE,"1995 PO SUM";#N/A,#N/A,FALSE,"1995 GEOG SUM";#N/A,#N/A,FALSE,"1996 PO SUM";#N/A,#N/A,FALSE,"1996 GEOG SUM"}</definedName>
    <definedName name="BETA" localSheetId="3" hidden="1">{#N/A,#N/A,FALSE,"CHANGES";#N/A,#N/A,FALSE,"PROD SUMMARY";#N/A,#N/A,FALSE,"1995 PO SUM";#N/A,#N/A,FALSE,"1995 GEOG SUM";#N/A,#N/A,FALSE,"1996 PO SUM";#N/A,#N/A,FALSE,"1996 GEOG SUM"}</definedName>
    <definedName name="BETA" hidden="1">{#N/A,#N/A,FALSE,"CHANGES";#N/A,#N/A,FALSE,"PROD SUMMARY";#N/A,#N/A,FALSE,"1995 PO SUM";#N/A,#N/A,FALSE,"1995 GEOG SUM";#N/A,#N/A,FALSE,"1996 PO SUM";#N/A,#N/A,FALSE,"1996 GEOG SUM"}</definedName>
    <definedName name="BFDNBB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FDNBB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FDNBB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fs" localSheetId="10" hidden="1">{"USD",#N/A,FALSE,"APLICAR"}</definedName>
    <definedName name="bfs" localSheetId="3" hidden="1">{"USD",#N/A,FALSE,"APLICAR"}</definedName>
    <definedName name="bfs" hidden="1">{"USD",#N/A,FALSE,"APLICAR"}</definedName>
    <definedName name="bg">#REF!</definedName>
    <definedName name="BG_Del" hidden="1">15</definedName>
    <definedName name="BG_Ins" hidden="1">4</definedName>
    <definedName name="BG_Mod" hidden="1">6</definedName>
    <definedName name="BHR">#REF!</definedName>
    <definedName name="bibi">#REF!</definedName>
    <definedName name="bibinha">#REF!</definedName>
    <definedName name="Big_Bal">#REF!</definedName>
    <definedName name="BIIMCO">#REF!</definedName>
    <definedName name="BIMCO3">#REF!</definedName>
    <definedName name="BIMCOF">#REF!</definedName>
    <definedName name="BIMCOI">#REF!</definedName>
    <definedName name="bjas">#REF!</definedName>
    <definedName name="bjcas">#REF!</definedName>
    <definedName name="bjcaschf">#REF!</definedName>
    <definedName name="bjcascmi">#REF!</definedName>
    <definedName name="bjcascui">#REF!</definedName>
    <definedName name="bjcascwi">#REF!</definedName>
    <definedName name="bjcashf">#REF!</definedName>
    <definedName name="bjcasl">#REF!</definedName>
    <definedName name="bjcasphf">#REF!</definedName>
    <definedName name="bjcaspmi">#REF!</definedName>
    <definedName name="bjch">#REF!</definedName>
    <definedName name="bjchf">#REF!</definedName>
    <definedName name="bjcm">#REF!</definedName>
    <definedName name="bjcmaternity">#REF!</definedName>
    <definedName name="bjcmi">#REF!</definedName>
    <definedName name="bjcr">#REF!</definedName>
    <definedName name="bjcri">#REF!</definedName>
    <definedName name="bjcu">#REF!</definedName>
    <definedName name="bjcui">#REF!</definedName>
    <definedName name="bjcw">#REF!</definedName>
    <definedName name="bjcwi">#REF!</definedName>
    <definedName name="bjhfb">#REF!</definedName>
    <definedName name="bjmb">#REF!</definedName>
    <definedName name="bjnotax">#REF!</definedName>
    <definedName name="bjph">#REF!</definedName>
    <definedName name="bjphf">#REF!</definedName>
    <definedName name="bjpm">#REF!</definedName>
    <definedName name="bjpmi">#REF!</definedName>
    <definedName name="bjpr">#REF!</definedName>
    <definedName name="bjpri">#REF!</definedName>
    <definedName name="bjpu">#REF!</definedName>
    <definedName name="bjpui">#REF!</definedName>
    <definedName name="bjub">#REF!</definedName>
    <definedName name="bjwb">#REF!</definedName>
    <definedName name="blct_2005">#REF!</definedName>
    <definedName name="blct_2006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Maz">#REF!</definedName>
    <definedName name="bnnn">#REF!</definedName>
    <definedName name="BO">#REF!</definedName>
    <definedName name="BONACO">#REF!</definedName>
    <definedName name="BP">#REF!</definedName>
    <definedName name="BPACOF">#REF!</definedName>
    <definedName name="BPACOI">#REF!</definedName>
    <definedName name="BPAPR2">#REF!</definedName>
    <definedName name="BPAPRO">#REF!</definedName>
    <definedName name="BPASCO">#REF!</definedName>
    <definedName name="BPC_TOTALS">#REF!</definedName>
    <definedName name="bpdate">#REF!</definedName>
    <definedName name="bpregdt">#REF!</definedName>
    <definedName name="BPSMCO">#REF!</definedName>
    <definedName name="BPSMSA">#REF!</definedName>
    <definedName name="BR" localSheetId="10" hidden="1">{#N/A,#N/A,FALSE,"GFPLEC96"}</definedName>
    <definedName name="BR" localSheetId="3" hidden="1">{#N/A,#N/A,FALSE,"GFPLEC96"}</definedName>
    <definedName name="BR" hidden="1">{#N/A,#N/A,FALSE,"GFPLEC96"}</definedName>
    <definedName name="BR_BS">#REF!</definedName>
    <definedName name="BR_PandL">#REF!</definedName>
    <definedName name="brand">#REF!</definedName>
    <definedName name="BrandSegments">#REF!</definedName>
    <definedName name="Brassagem">#REF!</definedName>
    <definedName name="breakeven">#REF!</definedName>
    <definedName name="breakeven_with_loan_repayment">#REF!</definedName>
    <definedName name="BS">#REF!:#REF!</definedName>
    <definedName name="BS_ADJ">#REF!</definedName>
    <definedName name="BS_B4_ADJ">#REF!</definedName>
    <definedName name="BS_CN">#REF!</definedName>
    <definedName name="BS_Home">#REF!</definedName>
    <definedName name="bs_Other_Statutory_Reserves_Override">#REF!,#REF!</definedName>
    <definedName name="BS_US">#REF!</definedName>
    <definedName name="BSsign">#REF!,#REF!,#REF!,#REF!,#REF!,#REF!,#REF!,#REF!,#REF!,#REF!</definedName>
    <definedName name="BSYr2">#REF!</definedName>
    <definedName name="BSYr3">#REF!</definedName>
    <definedName name="BSYr4">#REF!</definedName>
    <definedName name="btbtbtbbbttttttttttt" localSheetId="10" hidden="1">{"'Sheet1'!$M$363:$M$364"}</definedName>
    <definedName name="btbtbtbbbttttttttttt" localSheetId="3" hidden="1">{"'Sheet1'!$M$363:$M$364"}</definedName>
    <definedName name="btbtbtbbbttttttttttt" hidden="1">{"'Sheet1'!$M$363:$M$364"}</definedName>
    <definedName name="btbtbtbbbttttttttttt_1" localSheetId="10" hidden="1">{"'Sheet1'!$M$363:$M$364"}</definedName>
    <definedName name="btbtbtbbbttttttttttt_1" localSheetId="3" hidden="1">{"'Sheet1'!$M$363:$M$364"}</definedName>
    <definedName name="btbtbtbbbttttttttttt_1" hidden="1">{"'Sheet1'!$M$363:$M$364"}</definedName>
    <definedName name="btbtbtbbbttttttttttt_2" localSheetId="10" hidden="1">{"'Sheet1'!$M$363:$M$364"}</definedName>
    <definedName name="btbtbtbbbttttttttttt_2" localSheetId="3" hidden="1">{"'Sheet1'!$M$363:$M$364"}</definedName>
    <definedName name="btbtbtbbbttttttttttt_2" hidden="1">{"'Sheet1'!$M$363:$M$364"}</definedName>
    <definedName name="btbtbtbbbttttttttttt_3" localSheetId="10" hidden="1">{"'Sheet1'!$M$363:$M$364"}</definedName>
    <definedName name="btbtbtbbbttttttttttt_3" localSheetId="3" hidden="1">{"'Sheet1'!$M$363:$M$364"}</definedName>
    <definedName name="btbtbtbbbttttttttttt_3" hidden="1">{"'Sheet1'!$M$363:$M$364"}</definedName>
    <definedName name="btbtbtbbbttttttttttt_4" localSheetId="10" hidden="1">{"'Sheet1'!$M$363:$M$364"}</definedName>
    <definedName name="btbtbtbbbttttttttttt_4" localSheetId="3" hidden="1">{"'Sheet1'!$M$363:$M$364"}</definedName>
    <definedName name="btbtbtbbbttttttttttt_4" hidden="1">{"'Sheet1'!$M$363:$M$364"}</definedName>
    <definedName name="btbtbtbbbttttttttttt_5" localSheetId="10" hidden="1">{"'Sheet1'!$M$363:$M$364"}</definedName>
    <definedName name="btbtbtbbbttttttttttt_5" localSheetId="3" hidden="1">{"'Sheet1'!$M$363:$M$364"}</definedName>
    <definedName name="btbtbtbbbttttttttttt_5" hidden="1">{"'Sheet1'!$M$363:$M$364"}</definedName>
    <definedName name="BUD">#REF!</definedName>
    <definedName name="BudgetRateP5">#REF!</definedName>
    <definedName name="BudgetRateP6">#REF!</definedName>
    <definedName name="BudgetRateP7">#REF!</definedName>
    <definedName name="BudgetRateP8">#REF!</definedName>
    <definedName name="BudgetRateP9">#REF!</definedName>
    <definedName name="BUN">#REF!</definedName>
    <definedName name="Busing___Fuel">#REF!</definedName>
    <definedName name="button_area_1">#REF!</definedName>
    <definedName name="BUV">#REF!</definedName>
    <definedName name="bvb" hidden="1">#REF!</definedName>
    <definedName name="BVO">#REF!</definedName>
    <definedName name="BVR">#REF!</definedName>
    <definedName name="bvzbz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vzbz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bvzbz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.G.C.CONGL">#REF!</definedName>
    <definedName name="C_">#REF!</definedName>
    <definedName name="C_Orçamento">#REF!</definedName>
    <definedName name="C12312312">#REF!</definedName>
    <definedName name="CA_5">#REF!</definedName>
    <definedName name="CA_BS">#REF!</definedName>
    <definedName name="CA_PandL">#REF!</definedName>
    <definedName name="Cabeçalho">#REF!</definedName>
    <definedName name="Caixa">#REF!</definedName>
    <definedName name="CAIXAEBANCOS">#REF!</definedName>
    <definedName name="caj" localSheetId="10" hidden="1">{#N/A,#N/A,FALSE,"JACKETS (1100 t) (1)"}</definedName>
    <definedName name="caj" localSheetId="3" hidden="1">{#N/A,#N/A,FALSE,"JACKETS (1100 t) (1)"}</definedName>
    <definedName name="caj" hidden="1">{#N/A,#N/A,FALSE,"JACKETS (1100 t) (1)"}</definedName>
    <definedName name="caj_1" localSheetId="10" hidden="1">{#N/A,#N/A,FALSE,"JACKETS (1100 t) (1)"}</definedName>
    <definedName name="caj_1" localSheetId="3" hidden="1">{#N/A,#N/A,FALSE,"JACKETS (1100 t) (1)"}</definedName>
    <definedName name="caj_1" hidden="1">{#N/A,#N/A,FALSE,"JACKETS (1100 t) (1)"}</definedName>
    <definedName name="caj_2" localSheetId="10" hidden="1">{#N/A,#N/A,FALSE,"JACKETS (1100 t) (1)"}</definedName>
    <definedName name="caj_2" localSheetId="3" hidden="1">{#N/A,#N/A,FALSE,"JACKETS (1100 t) (1)"}</definedName>
    <definedName name="caj_2" hidden="1">{#N/A,#N/A,FALSE,"JACKETS (1100 t) (1)"}</definedName>
    <definedName name="caj_3" localSheetId="10" hidden="1">{#N/A,#N/A,FALSE,"JACKETS (1100 t) (1)"}</definedName>
    <definedName name="caj_3" localSheetId="3" hidden="1">{#N/A,#N/A,FALSE,"JACKETS (1100 t) (1)"}</definedName>
    <definedName name="caj_3" hidden="1">{#N/A,#N/A,FALSE,"JACKETS (1100 t) (1)"}</definedName>
    <definedName name="caj_4" localSheetId="10" hidden="1">{#N/A,#N/A,FALSE,"JACKETS (1100 t) (1)"}</definedName>
    <definedName name="caj_4" localSheetId="3" hidden="1">{#N/A,#N/A,FALSE,"JACKETS (1100 t) (1)"}</definedName>
    <definedName name="caj_4" hidden="1">{#N/A,#N/A,FALSE,"JACKETS (1100 t) (1)"}</definedName>
    <definedName name="caj_5" localSheetId="10" hidden="1">{#N/A,#N/A,FALSE,"JACKETS (1100 t) (1)"}</definedName>
    <definedName name="caj_5" localSheetId="3" hidden="1">{#N/A,#N/A,FALSE,"JACKETS (1100 t) (1)"}</definedName>
    <definedName name="caj_5" hidden="1">{#N/A,#N/A,FALSE,"JACKETS (1100 t) (1)"}</definedName>
    <definedName name="CalcAgencyPrice">#REF!</definedName>
    <definedName name="Calculated_payment">#REF!</definedName>
    <definedName name="cambio">#REF!</definedName>
    <definedName name="Cambio_USD_2001">#REF!</definedName>
    <definedName name="Cambio_USD_2004">#REF!</definedName>
    <definedName name="Cambio_USD_2006">#REF!</definedName>
    <definedName name="Cambio_USD_2007">#REF!</definedName>
    <definedName name="Cambio_USD_2008">#REF!</definedName>
    <definedName name="Cambio_USD_2009">#REF!</definedName>
    <definedName name="Cambio_USD_2010">#REF!</definedName>
    <definedName name="Cambio_USD_2011">#REF!</definedName>
    <definedName name="can">#REF!</definedName>
    <definedName name="cap_Actual_Paid_In_Capital">#REF!</definedName>
    <definedName name="cap_Allocated_Paid_In_Capital">#REF!</definedName>
    <definedName name="cap_Local">#REF!</definedName>
    <definedName name="CAPA">#REF!</definedName>
    <definedName name="capa1">#REF!</definedName>
    <definedName name="CapEx_YTD">#REF!</definedName>
    <definedName name="CapEx_YTG_Bud">#REF!</definedName>
    <definedName name="CapEx_YTG_LE">#REF!</definedName>
    <definedName name="Capital">#REF!</definedName>
    <definedName name="Capital_Proprio">#REF!</definedName>
    <definedName name="captain">#REF!</definedName>
    <definedName name="CAR">#REF!</definedName>
    <definedName name="CAREMO5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EMO5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EMO5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ga">#REF!</definedName>
    <definedName name="CargaDom">#REF!</definedName>
    <definedName name="CargaReg">#REF!</definedName>
    <definedName name="CARGPRE">#REF!</definedName>
    <definedName name="CARLOTA" localSheetId="10" hidden="1">{#N/A,#N/A,FALSE,"TAB1";#N/A,#N/A,FALSE,"TAB2";#N/A,#N/A,FALSE,"TAB2b";#N/A,#N/A,FALSE,"TAB3";#N/A,#N/A,FALSE,"TAB3b";#N/A,#N/A,FALSE,"TAB4";#N/A,#N/A,FALSE,"TAB5"}</definedName>
    <definedName name="CARLOTA" localSheetId="3" hidden="1">{#N/A,#N/A,FALSE,"TAB1";#N/A,#N/A,FALSE,"TAB2";#N/A,#N/A,FALSE,"TAB2b";#N/A,#N/A,FALSE,"TAB3";#N/A,#N/A,FALSE,"TAB3b";#N/A,#N/A,FALSE,"TAB4";#N/A,#N/A,FALSE,"TAB5"}</definedName>
    <definedName name="CARLOTA" hidden="1">{#N/A,#N/A,FALSE,"TAB1";#N/A,#N/A,FALSE,"TAB2";#N/A,#N/A,FALSE,"TAB2b";#N/A,#N/A,FALSE,"TAB3";#N/A,#N/A,FALSE,"TAB3b";#N/A,#N/A,FALSE,"TAB4";#N/A,#N/A,FALSE,"TAB5"}</definedName>
    <definedName name="carmo" localSheetId="10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carmo" localSheetId="3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carmo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CARMO0" localSheetId="10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CARMO0" localSheetId="3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CARMO0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carmo08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08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08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1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1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1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2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2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2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6" localSheetId="10" hidden="1">{#N/A,#N/A,FALSE,"TAB1";#N/A,#N/A,FALSE,"TAB2";#N/A,#N/A,FALSE,"TAB2b";#N/A,#N/A,FALSE,"TAB3";#N/A,#N/A,FALSE,"TAB3b";#N/A,#N/A,FALSE,"TAB4";#N/A,#N/A,FALSE,"TAB5"}</definedName>
    <definedName name="CARMO6" localSheetId="3" hidden="1">{#N/A,#N/A,FALSE,"TAB1";#N/A,#N/A,FALSE,"TAB2";#N/A,#N/A,FALSE,"TAB2b";#N/A,#N/A,FALSE,"TAB3";#N/A,#N/A,FALSE,"TAB3b";#N/A,#N/A,FALSE,"TAB4";#N/A,#N/A,FALSE,"TAB5"}</definedName>
    <definedName name="CARMO6" hidden="1">{#N/A,#N/A,FALSE,"TAB1";#N/A,#N/A,FALSE,"TAB2";#N/A,#N/A,FALSE,"TAB2b";#N/A,#N/A,FALSE,"TAB3";#N/A,#N/A,FALSE,"TAB3b";#N/A,#N/A,FALSE,"TAB4";#N/A,#N/A,FALSE,"TAB5"}</definedName>
    <definedName name="CARMO8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8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8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CARMOG" localSheetId="10" hidden="1">{#N/A,#N/A,FALSE,"TAB1";#N/A,#N/A,FALSE,"TAB2";#N/A,#N/A,FALSE,"TAB2b";#N/A,#N/A,FALSE,"TAB3";#N/A,#N/A,FALSE,"TAB3b";#N/A,#N/A,FALSE,"TAB4";#N/A,#N/A,FALSE,"TAB5"}</definedName>
    <definedName name="CARMOG" localSheetId="3" hidden="1">{#N/A,#N/A,FALSE,"TAB1";#N/A,#N/A,FALSE,"TAB2";#N/A,#N/A,FALSE,"TAB2b";#N/A,#N/A,FALSE,"TAB3";#N/A,#N/A,FALSE,"TAB3b";#N/A,#N/A,FALSE,"TAB4";#N/A,#N/A,FALSE,"TAB5"}</definedName>
    <definedName name="CARMOG" hidden="1">{#N/A,#N/A,FALSE,"TAB1";#N/A,#N/A,FALSE,"TAB2";#N/A,#N/A,FALSE,"TAB2b";#N/A,#N/A,FALSE,"TAB3";#N/A,#N/A,FALSE,"TAB3b";#N/A,#N/A,FALSE,"TAB4";#N/A,#N/A,FALSE,"TAB5"}</definedName>
    <definedName name="Carteira_Antiga">#REF!</definedName>
    <definedName name="Carteira_CRD_31_12_2021">#REF!</definedName>
    <definedName name="cas" localSheetId="10" hidden="1">{"ProspettoImposte",#N/A,FALSE,"Prospetto imposte"}</definedName>
    <definedName name="cas" localSheetId="3" hidden="1">{"ProspettoImposte",#N/A,FALSE,"Prospetto imposte"}</definedName>
    <definedName name="cas" hidden="1">{"ProspettoImposte",#N/A,FALSE,"Prospetto imposte"}</definedName>
    <definedName name="CASH" localSheetId="10" hidden="1">{"ProspettoImposte",#N/A,FALSE,"Prospetto imposte"}</definedName>
    <definedName name="CASH" localSheetId="3" hidden="1">{"ProspettoImposte",#N/A,FALSE,"Prospetto imposte"}</definedName>
    <definedName name="CASH" hidden="1">{"ProspettoImposte",#N/A,FALSE,"Prospetto imposte"}</definedName>
    <definedName name="Cash_USD">#REF!</definedName>
    <definedName name="CashPaidOutDataValues">#N/A</definedName>
    <definedName name="CashPaidOutStart">#REF!</definedName>
    <definedName name="CashPositionDataValues">#N/A</definedName>
    <definedName name="CashPositionStart">#REF!</definedName>
    <definedName name="CashReceiptsDataValues">#N/A</definedName>
    <definedName name="CashReceiptsStart">#REF!</definedName>
    <definedName name="caso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1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1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2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2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2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3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3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4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4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4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5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5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o_5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ASS" hidden="1">#REF!</definedName>
    <definedName name="Casset">#REF!</definedName>
    <definedName name="CAT">#REF!</definedName>
    <definedName name="Categories" hidden="1">#REF!</definedName>
    <definedName name="Category" hidden="1">#REF!</definedName>
    <definedName name="catering">#REF!</definedName>
    <definedName name="catia" hidden="1">#REF!</definedName>
    <definedName name="Cause">#REF!</definedName>
    <definedName name="Cbal">#REF!</definedName>
    <definedName name="Cbal_Intercalar">#REF!</definedName>
    <definedName name="cbal3">#REF!</definedName>
    <definedName name="CBWorkbookPriority" hidden="1">-1289300559</definedName>
    <definedName name="CC">#REF!</definedName>
    <definedName name="CC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1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cas">#REF!</definedName>
    <definedName name="CCB">#REF!</definedName>
    <definedName name="CCC">#REF!</definedName>
    <definedName name="ccc_1" localSheetId="10" hidden="1">{#N/A,#N/A,FALSE,"JACKETS (1100 t) (1)"}</definedName>
    <definedName name="ccc_1" localSheetId="3" hidden="1">{#N/A,#N/A,FALSE,"JACKETS (1100 t) (1)"}</definedName>
    <definedName name="ccc_1" hidden="1">{#N/A,#N/A,FALSE,"JACKETS (1100 t) (1)"}</definedName>
    <definedName name="ccc_2" localSheetId="10" hidden="1">{#N/A,#N/A,FALSE,"JACKETS (1100 t) (1)"}</definedName>
    <definedName name="ccc_2" localSheetId="3" hidden="1">{#N/A,#N/A,FALSE,"JACKETS (1100 t) (1)"}</definedName>
    <definedName name="ccc_2" hidden="1">{#N/A,#N/A,FALSE,"JACKETS (1100 t) (1)"}</definedName>
    <definedName name="ccc_3" localSheetId="10" hidden="1">{#N/A,#N/A,FALSE,"JACKETS (1100 t) (1)"}</definedName>
    <definedName name="ccc_3" localSheetId="3" hidden="1">{#N/A,#N/A,FALSE,"JACKETS (1100 t) (1)"}</definedName>
    <definedName name="ccc_3" hidden="1">{#N/A,#N/A,FALSE,"JACKETS (1100 t) (1)"}</definedName>
    <definedName name="ccc_4" localSheetId="10" hidden="1">{#N/A,#N/A,FALSE,"JACKETS (1100 t) (1)"}</definedName>
    <definedName name="ccc_4" localSheetId="3" hidden="1">{#N/A,#N/A,FALSE,"JACKETS (1100 t) (1)"}</definedName>
    <definedName name="ccc_4" hidden="1">{#N/A,#N/A,FALSE,"JACKETS (1100 t) (1)"}</definedName>
    <definedName name="ccc_5" localSheetId="10" hidden="1">{#N/A,#N/A,FALSE,"JACKETS (1100 t) (1)"}</definedName>
    <definedName name="ccc_5" localSheetId="3" hidden="1">{#N/A,#N/A,FALSE,"JACKETS (1100 t) (1)"}</definedName>
    <definedName name="ccc_5" hidden="1">{#N/A,#N/A,FALSE,"JACKETS (1100 t) (1)"}</definedName>
    <definedName name="cccc">#REF!</definedName>
    <definedName name="ccccc">#REF!</definedName>
    <definedName name="ccccccccc" localSheetId="10" hidden="1">{#N/A,#N/A,FALSE,"JACKETS (1100 t) (1)"}</definedName>
    <definedName name="ccccccccc" localSheetId="3" hidden="1">{#N/A,#N/A,FALSE,"JACKETS (1100 t) (1)"}</definedName>
    <definedName name="ccccccccc" hidden="1">{#N/A,#N/A,FALSE,"JACKETS (1100 t) (1)"}</definedName>
    <definedName name="ccccccccc_1" localSheetId="10" hidden="1">{#N/A,#N/A,FALSE,"JACKETS (1100 t) (1)"}</definedName>
    <definedName name="ccccccccc_1" localSheetId="3" hidden="1">{#N/A,#N/A,FALSE,"JACKETS (1100 t) (1)"}</definedName>
    <definedName name="ccccccccc_1" hidden="1">{#N/A,#N/A,FALSE,"JACKETS (1100 t) (1)"}</definedName>
    <definedName name="ccccccccc_2" localSheetId="10" hidden="1">{#N/A,#N/A,FALSE,"JACKETS (1100 t) (1)"}</definedName>
    <definedName name="ccccccccc_2" localSheetId="3" hidden="1">{#N/A,#N/A,FALSE,"JACKETS (1100 t) (1)"}</definedName>
    <definedName name="ccccccccc_2" hidden="1">{#N/A,#N/A,FALSE,"JACKETS (1100 t) (1)"}</definedName>
    <definedName name="ccccccccc_3" localSheetId="10" hidden="1">{#N/A,#N/A,FALSE,"JACKETS (1100 t) (1)"}</definedName>
    <definedName name="ccccccccc_3" localSheetId="3" hidden="1">{#N/A,#N/A,FALSE,"JACKETS (1100 t) (1)"}</definedName>
    <definedName name="ccccccccc_3" hidden="1">{#N/A,#N/A,FALSE,"JACKETS (1100 t) (1)"}</definedName>
    <definedName name="ccccccccc_4" localSheetId="10" hidden="1">{#N/A,#N/A,FALSE,"JACKETS (1100 t) (1)"}</definedName>
    <definedName name="ccccccccc_4" localSheetId="3" hidden="1">{#N/A,#N/A,FALSE,"JACKETS (1100 t) (1)"}</definedName>
    <definedName name="ccccccccc_4" hidden="1">{#N/A,#N/A,FALSE,"JACKETS (1100 t) (1)"}</definedName>
    <definedName name="ccccccccc_5" localSheetId="10" hidden="1">{#N/A,#N/A,FALSE,"JACKETS (1100 t) (1)"}</definedName>
    <definedName name="ccccccccc_5" localSheetId="3" hidden="1">{#N/A,#N/A,FALSE,"JACKETS (1100 t) (1)"}</definedName>
    <definedName name="ccccccccc_5" hidden="1">{#N/A,#N/A,FALSE,"JACKETS (1100 t) (1)"}</definedName>
    <definedName name="ccch">#REF!</definedName>
    <definedName name="cccr">#REF!</definedName>
    <definedName name="cccu">#REF!</definedName>
    <definedName name="cccw">#REF!</definedName>
    <definedName name="ccd">#REF!</definedName>
    <definedName name="cch">#REF!</definedName>
    <definedName name="cchm">#REF!</definedName>
    <definedName name="cchuncas">#REF!</definedName>
    <definedName name="cchunchf">#REF!</definedName>
    <definedName name="cchuncmaternity">#REF!</definedName>
    <definedName name="cchuncri">#REF!</definedName>
    <definedName name="cchuncui">#REF!</definedName>
    <definedName name="cchuncwi">#REF!</definedName>
    <definedName name="cchunnotax">#REF!</definedName>
    <definedName name="cchunphf">#REF!</definedName>
    <definedName name="cchunpri">#REF!</definedName>
    <definedName name="cchunpui">#REF!</definedName>
    <definedName name="ccm">#REF!</definedName>
    <definedName name="CCO00">#REF!</definedName>
    <definedName name="ccode">#REF!</definedName>
    <definedName name="ccode_lup">#REF!</definedName>
    <definedName name="ccph">#REF!</definedName>
    <definedName name="ccpr">#REF!</definedName>
    <definedName name="ccpu">#REF!</definedName>
    <definedName name="Ccusto">#REF!</definedName>
    <definedName name="CCY">#REF!</definedName>
    <definedName name="Cd">#REF!</definedName>
    <definedName name="cdcccccc">#REF!</definedName>
    <definedName name="CDDFD" hidden="1">#REF!</definedName>
    <definedName name="cdi_vowd" localSheetId="10" hidden="1">{#N/A,#N/A,FALSE,"cover";#N/A,#N/A,FALSE,"page_1";#N/A,#N/A,FALSE,"page_2";#N/A,#N/A,FALSE,"page_3";#N/A,#N/A,FALSE,"page_4"}</definedName>
    <definedName name="cdi_vowd" localSheetId="3" hidden="1">{#N/A,#N/A,FALSE,"cover";#N/A,#N/A,FALSE,"page_1";#N/A,#N/A,FALSE,"page_2";#N/A,#N/A,FALSE,"page_3";#N/A,#N/A,FALSE,"page_4"}</definedName>
    <definedName name="cdi_vowd" hidden="1">{#N/A,#N/A,FALSE,"cover";#N/A,#N/A,FALSE,"page_1";#N/A,#N/A,FALSE,"page_2";#N/A,#N/A,FALSE,"page_3";#N/A,#N/A,FALSE,"page_4"}</definedName>
    <definedName name="cdi_vowd_1" localSheetId="10" hidden="1">{#N/A,#N/A,FALSE,"cover";#N/A,#N/A,FALSE,"page_1";#N/A,#N/A,FALSE,"page_2";#N/A,#N/A,FALSE,"page_3";#N/A,#N/A,FALSE,"page_4"}</definedName>
    <definedName name="cdi_vowd_1" localSheetId="3" hidden="1">{#N/A,#N/A,FALSE,"cover";#N/A,#N/A,FALSE,"page_1";#N/A,#N/A,FALSE,"page_2";#N/A,#N/A,FALSE,"page_3";#N/A,#N/A,FALSE,"page_4"}</definedName>
    <definedName name="cdi_vowd_1" hidden="1">{#N/A,#N/A,FALSE,"cover";#N/A,#N/A,FALSE,"page_1";#N/A,#N/A,FALSE,"page_2";#N/A,#N/A,FALSE,"page_3";#N/A,#N/A,FALSE,"page_4"}</definedName>
    <definedName name="cdi_vowd_2" localSheetId="10" hidden="1">{#N/A,#N/A,FALSE,"cover";#N/A,#N/A,FALSE,"page_1";#N/A,#N/A,FALSE,"page_2";#N/A,#N/A,FALSE,"page_3";#N/A,#N/A,FALSE,"page_4"}</definedName>
    <definedName name="cdi_vowd_2" localSheetId="3" hidden="1">{#N/A,#N/A,FALSE,"cover";#N/A,#N/A,FALSE,"page_1";#N/A,#N/A,FALSE,"page_2";#N/A,#N/A,FALSE,"page_3";#N/A,#N/A,FALSE,"page_4"}</definedName>
    <definedName name="cdi_vowd_2" hidden="1">{#N/A,#N/A,FALSE,"cover";#N/A,#N/A,FALSE,"page_1";#N/A,#N/A,FALSE,"page_2";#N/A,#N/A,FALSE,"page_3";#N/A,#N/A,FALSE,"page_4"}</definedName>
    <definedName name="cdi_vowd_3" localSheetId="10" hidden="1">{#N/A,#N/A,FALSE,"cover";#N/A,#N/A,FALSE,"page_1";#N/A,#N/A,FALSE,"page_2";#N/A,#N/A,FALSE,"page_3";#N/A,#N/A,FALSE,"page_4"}</definedName>
    <definedName name="cdi_vowd_3" localSheetId="3" hidden="1">{#N/A,#N/A,FALSE,"cover";#N/A,#N/A,FALSE,"page_1";#N/A,#N/A,FALSE,"page_2";#N/A,#N/A,FALSE,"page_3";#N/A,#N/A,FALSE,"page_4"}</definedName>
    <definedName name="cdi_vowd_3" hidden="1">{#N/A,#N/A,FALSE,"cover";#N/A,#N/A,FALSE,"page_1";#N/A,#N/A,FALSE,"page_2";#N/A,#N/A,FALSE,"page_3";#N/A,#N/A,FALSE,"page_4"}</definedName>
    <definedName name="cdi_vowd_4" localSheetId="10" hidden="1">{#N/A,#N/A,FALSE,"cover";#N/A,#N/A,FALSE,"page_1";#N/A,#N/A,FALSE,"page_2";#N/A,#N/A,FALSE,"page_3";#N/A,#N/A,FALSE,"page_4"}</definedName>
    <definedName name="cdi_vowd_4" localSheetId="3" hidden="1">{#N/A,#N/A,FALSE,"cover";#N/A,#N/A,FALSE,"page_1";#N/A,#N/A,FALSE,"page_2";#N/A,#N/A,FALSE,"page_3";#N/A,#N/A,FALSE,"page_4"}</definedName>
    <definedName name="cdi_vowd_4" hidden="1">{#N/A,#N/A,FALSE,"cover";#N/A,#N/A,FALSE,"page_1";#N/A,#N/A,FALSE,"page_2";#N/A,#N/A,FALSE,"page_3";#N/A,#N/A,FALSE,"page_4"}</definedName>
    <definedName name="cdi_vowd_5" localSheetId="10" hidden="1">{#N/A,#N/A,FALSE,"cover";#N/A,#N/A,FALSE,"page_1";#N/A,#N/A,FALSE,"page_2";#N/A,#N/A,FALSE,"page_3";#N/A,#N/A,FALSE,"page_4"}</definedName>
    <definedName name="cdi_vowd_5" localSheetId="3" hidden="1">{#N/A,#N/A,FALSE,"cover";#N/A,#N/A,FALSE,"page_1";#N/A,#N/A,FALSE,"page_2";#N/A,#N/A,FALSE,"page_3";#N/A,#N/A,FALSE,"page_4"}</definedName>
    <definedName name="cdi_vowd_5" hidden="1">{#N/A,#N/A,FALSE,"cover";#N/A,#N/A,FALSE,"page_1";#N/A,#N/A,FALSE,"page_2";#N/A,#N/A,FALSE,"page_3";#N/A,#N/A,FALSE,"page_4"}</definedName>
    <definedName name="CDI_VOWD_Late" localSheetId="10" hidden="1">{#N/A,#N/A,FALSE,"JACKETS (1100 t) (1)"}</definedName>
    <definedName name="CDI_VOWD_Late" localSheetId="3" hidden="1">{#N/A,#N/A,FALSE,"JACKETS (1100 t) (1)"}</definedName>
    <definedName name="CDI_VOWD_Late" hidden="1">{#N/A,#N/A,FALSE,"JACKETS (1100 t) (1)"}</definedName>
    <definedName name="CDI_VOWD_Late_1" localSheetId="10" hidden="1">{#N/A,#N/A,FALSE,"JACKETS (1100 t) (1)"}</definedName>
    <definedName name="CDI_VOWD_Late_1" localSheetId="3" hidden="1">{#N/A,#N/A,FALSE,"JACKETS (1100 t) (1)"}</definedName>
    <definedName name="CDI_VOWD_Late_1" hidden="1">{#N/A,#N/A,FALSE,"JACKETS (1100 t) (1)"}</definedName>
    <definedName name="CDI_VOWD_Late_2" localSheetId="10" hidden="1">{#N/A,#N/A,FALSE,"JACKETS (1100 t) (1)"}</definedName>
    <definedName name="CDI_VOWD_Late_2" localSheetId="3" hidden="1">{#N/A,#N/A,FALSE,"JACKETS (1100 t) (1)"}</definedName>
    <definedName name="CDI_VOWD_Late_2" hidden="1">{#N/A,#N/A,FALSE,"JACKETS (1100 t) (1)"}</definedName>
    <definedName name="CDI_VOWD_Late_3" localSheetId="10" hidden="1">{#N/A,#N/A,FALSE,"JACKETS (1100 t) (1)"}</definedName>
    <definedName name="CDI_VOWD_Late_3" localSheetId="3" hidden="1">{#N/A,#N/A,FALSE,"JACKETS (1100 t) (1)"}</definedName>
    <definedName name="CDI_VOWD_Late_3" hidden="1">{#N/A,#N/A,FALSE,"JACKETS (1100 t) (1)"}</definedName>
    <definedName name="CDI_VOWD_Late_4" localSheetId="10" hidden="1">{#N/A,#N/A,FALSE,"JACKETS (1100 t) (1)"}</definedName>
    <definedName name="CDI_VOWD_Late_4" localSheetId="3" hidden="1">{#N/A,#N/A,FALSE,"JACKETS (1100 t) (1)"}</definedName>
    <definedName name="CDI_VOWD_Late_4" hidden="1">{#N/A,#N/A,FALSE,"JACKETS (1100 t) (1)"}</definedName>
    <definedName name="CDI_VOWD_Late_5" localSheetId="10" hidden="1">{#N/A,#N/A,FALSE,"JACKETS (1100 t) (1)"}</definedName>
    <definedName name="CDI_VOWD_Late_5" localSheetId="3" hidden="1">{#N/A,#N/A,FALSE,"JACKETS (1100 t) (1)"}</definedName>
    <definedName name="CDI_VOWD_Late_5" hidden="1">{#N/A,#N/A,FALSE,"JACKETS (1100 t) (1)"}</definedName>
    <definedName name="CDP00">#REF!</definedName>
    <definedName name="CEA">#REF!</definedName>
    <definedName name="cececec" localSheetId="10" hidden="1">{"'Sheet1'!$M$363:$M$364"}</definedName>
    <definedName name="cececec" localSheetId="3" hidden="1">{"'Sheet1'!$M$363:$M$364"}</definedName>
    <definedName name="cececec" hidden="1">{"'Sheet1'!$M$363:$M$364"}</definedName>
    <definedName name="cececec_1" localSheetId="10" hidden="1">{"'Sheet1'!$M$363:$M$364"}</definedName>
    <definedName name="cececec_1" localSheetId="3" hidden="1">{"'Sheet1'!$M$363:$M$364"}</definedName>
    <definedName name="cececec_1" hidden="1">{"'Sheet1'!$M$363:$M$364"}</definedName>
    <definedName name="cececec_2" localSheetId="10" hidden="1">{"'Sheet1'!$M$363:$M$364"}</definedName>
    <definedName name="cececec_2" localSheetId="3" hidden="1">{"'Sheet1'!$M$363:$M$364"}</definedName>
    <definedName name="cececec_2" hidden="1">{"'Sheet1'!$M$363:$M$364"}</definedName>
    <definedName name="cececec_3" localSheetId="10" hidden="1">{"'Sheet1'!$M$363:$M$364"}</definedName>
    <definedName name="cececec_3" localSheetId="3" hidden="1">{"'Sheet1'!$M$363:$M$364"}</definedName>
    <definedName name="cececec_3" hidden="1">{"'Sheet1'!$M$363:$M$364"}</definedName>
    <definedName name="cececec_4" localSheetId="10" hidden="1">{"'Sheet1'!$M$363:$M$364"}</definedName>
    <definedName name="cececec_4" localSheetId="3" hidden="1">{"'Sheet1'!$M$363:$M$364"}</definedName>
    <definedName name="cececec_4" hidden="1">{"'Sheet1'!$M$363:$M$364"}</definedName>
    <definedName name="cececec_5" localSheetId="10" hidden="1">{"'Sheet1'!$M$363:$M$364"}</definedName>
    <definedName name="cececec_5" localSheetId="3" hidden="1">{"'Sheet1'!$M$363:$M$364"}</definedName>
    <definedName name="cececec_5" hidden="1">{"'Sheet1'!$M$363:$M$364"}</definedName>
    <definedName name="celltips_area">#REF!</definedName>
    <definedName name="centro">#REF!</definedName>
    <definedName name="CEXTR">#REF!</definedName>
    <definedName name="CFA00">#REF!</definedName>
    <definedName name="cfin">#REF!</definedName>
    <definedName name="CFM">#REF!</definedName>
    <definedName name="CFM00">#REF!</definedName>
    <definedName name="CFP00">#REF!</definedName>
    <definedName name="cfplaninv">#REF!</definedName>
    <definedName name="CFT00">#REF!</definedName>
    <definedName name="CGC_BFB">#REF!</definedName>
    <definedName name="CGC_EMPRESAS">#REF!</definedName>
    <definedName name="cgt">#REF!</definedName>
    <definedName name="cha">#REF!</definedName>
    <definedName name="Chad" localSheetId="10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Chad" localSheetId="3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Chad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change93">#REF!</definedName>
    <definedName name="Change94">#REF!</definedName>
    <definedName name="char">#REF!</definedName>
    <definedName name="CHART">#REF!</definedName>
    <definedName name="chdhdhfgf4iofhweqfhlweifhwerqfhq" localSheetId="10" hidden="1">{"'Sheet1'!$M$363:$M$364"}</definedName>
    <definedName name="chdhdhfgf4iofhweqfhlweifhwerqfhq" localSheetId="3" hidden="1">{"'Sheet1'!$M$363:$M$364"}</definedName>
    <definedName name="chdhdhfgf4iofhweqfhlweifhwerqfhq" hidden="1">{"'Sheet1'!$M$363:$M$364"}</definedName>
    <definedName name="chdhdhfgf4iofhweqfhlweifhwerqfhq_1" localSheetId="10" hidden="1">{"'Sheet1'!$M$363:$M$364"}</definedName>
    <definedName name="chdhdhfgf4iofhweqfhlweifhwerqfhq_1" localSheetId="3" hidden="1">{"'Sheet1'!$M$363:$M$364"}</definedName>
    <definedName name="chdhdhfgf4iofhweqfhlweifhwerqfhq_1" hidden="1">{"'Sheet1'!$M$363:$M$364"}</definedName>
    <definedName name="chdhdhfgf4iofhweqfhlweifhwerqfhq_2" localSheetId="10" hidden="1">{"'Sheet1'!$M$363:$M$364"}</definedName>
    <definedName name="chdhdhfgf4iofhweqfhlweifhwerqfhq_2" localSheetId="3" hidden="1">{"'Sheet1'!$M$363:$M$364"}</definedName>
    <definedName name="chdhdhfgf4iofhweqfhlweifhwerqfhq_2" hidden="1">{"'Sheet1'!$M$363:$M$364"}</definedName>
    <definedName name="chdhdhfgf4iofhweqfhlweifhwerqfhq_3" localSheetId="10" hidden="1">{"'Sheet1'!$M$363:$M$364"}</definedName>
    <definedName name="chdhdhfgf4iofhweqfhlweifhwerqfhq_3" localSheetId="3" hidden="1">{"'Sheet1'!$M$363:$M$364"}</definedName>
    <definedName name="chdhdhfgf4iofhweqfhlweifhwerqfhq_3" hidden="1">{"'Sheet1'!$M$363:$M$364"}</definedName>
    <definedName name="chdhdhfgf4iofhweqfhlweifhwerqfhq_4" localSheetId="10" hidden="1">{"'Sheet1'!$M$363:$M$364"}</definedName>
    <definedName name="chdhdhfgf4iofhweqfhlweifhwerqfhq_4" localSheetId="3" hidden="1">{"'Sheet1'!$M$363:$M$364"}</definedName>
    <definedName name="chdhdhfgf4iofhweqfhlweifhwerqfhq_4" hidden="1">{"'Sheet1'!$M$363:$M$364"}</definedName>
    <definedName name="chdhdhfgf4iofhweqfhlweifhwerqfhq_5" localSheetId="10" hidden="1">{"'Sheet1'!$M$363:$M$364"}</definedName>
    <definedName name="chdhdhfgf4iofhweqfhlweifhwerqfhq_5" localSheetId="3" hidden="1">{"'Sheet1'!$M$363:$M$364"}</definedName>
    <definedName name="chdhdhfgf4iofhweqfhlweifhwerqfhq_5" hidden="1">{"'Sheet1'!$M$363:$M$364"}</definedName>
    <definedName name="CHECK1">#REF!</definedName>
    <definedName name="CHECK2">#REF!</definedName>
    <definedName name="CHF">#REF!</definedName>
    <definedName name="chi">#REF!</definedName>
    <definedName name="CHIBANZA">#REF!</definedName>
    <definedName name="chiffres_detalhe">#REF!</definedName>
    <definedName name="Chiure">#REF!</definedName>
    <definedName name="chshcas">#REF!</definedName>
    <definedName name="chshcmaternity">#REF!</definedName>
    <definedName name="chshcmi">#REF!</definedName>
    <definedName name="chshcri">#REF!</definedName>
    <definedName name="chshcui">#REF!</definedName>
    <definedName name="chshcwi">#REF!</definedName>
    <definedName name="chshpmi">#REF!</definedName>
    <definedName name="chshpri">#REF!</definedName>
    <definedName name="chshpui">#REF!</definedName>
    <definedName name="CIN00">#REF!</definedName>
    <definedName name="CIRCULANTES.PROD.">#REF!</definedName>
    <definedName name="CISCOF">#REF!</definedName>
    <definedName name="CISCOI">#REF!</definedName>
    <definedName name="CISFBI">#REF!</definedName>
    <definedName name="CIT_rate">#REF!</definedName>
    <definedName name="Civil1" localSheetId="10" hidden="1">{"EM civilistico",#N/A,FALSE,"EM civilistico";"Civilistico greggi",#N/A,FALSE,"Civilistico";"Civilistico semilavorati",#N/A,FALSE,"Civilistico";"Civilistico prodotti",#N/A,FALSE,"Civilistico"}</definedName>
    <definedName name="Civil1" localSheetId="3" hidden="1">{"EM civilistico",#N/A,FALSE,"EM civilistico";"Civilistico greggi",#N/A,FALSE,"Civilistico";"Civilistico semilavorati",#N/A,FALSE,"Civilistico";"Civilistico prodotti",#N/A,FALSE,"Civilistico"}</definedName>
    <definedName name="Civil1" hidden="1">{"EM civilistico",#N/A,FALSE,"EM civilistico";"Civilistico greggi",#N/A,FALSE,"Civilistico";"Civilistico semilavorati",#N/A,FALSE,"Civilistico";"Civilistico prodotti",#N/A,FALSE,"Civilistico"}</definedName>
    <definedName name="CJA">#REF!</definedName>
    <definedName name="CJB">#REF!</definedName>
    <definedName name="CJC">#REF!</definedName>
    <definedName name="çkkkkkkkk">#REF!</definedName>
    <definedName name="CL">#REF!</definedName>
    <definedName name="clAutoConfigure">#REF!</definedName>
    <definedName name="CLC00">#REF!</definedName>
    <definedName name="clear_cells">#REF!</definedName>
    <definedName name="clear_cells_pship">#REF!</definedName>
    <definedName name="CLIENT">#REF!</definedName>
    <definedName name="Client_Name">#REF!</definedName>
    <definedName name="CLIENTES">#REF!</definedName>
    <definedName name="ClientName">#REF!</definedName>
    <definedName name="ClinicTab">#REF!</definedName>
    <definedName name="closing06">#REF!</definedName>
    <definedName name="closing07">#REF!</definedName>
    <definedName name="closing08">#REF!</definedName>
    <definedName name="Club_Aurrera__SA_de_CV__Total">#REF!</definedName>
    <definedName name="Cntrl_Test">#REF!</definedName>
    <definedName name="co">#REF!</definedName>
    <definedName name="Coca_Cola">#REF!</definedName>
    <definedName name="CodAFSel">#REF!</definedName>
    <definedName name="code">#REF!</definedName>
    <definedName name="Codigo">#REF!</definedName>
    <definedName name="CoefEnergy">#REF!</definedName>
    <definedName name="CoefLabor">#REF!</definedName>
    <definedName name="CoefQty">#REF!</definedName>
    <definedName name="CoefScrap">#REF!</definedName>
    <definedName name="Coefscrap2">#REF!</definedName>
    <definedName name="cogmap">#REF!</definedName>
    <definedName name="Coke_PLan">#REF!</definedName>
    <definedName name="ColorNames">#REF!</definedName>
    <definedName name="Com_base_na_Lista_dos_CFM">#REF!</definedName>
    <definedName name="Com_PR_nao_PPR">#REF!</definedName>
    <definedName name="COMMENT">#REF!</definedName>
    <definedName name="COMMENT1">#REF!</definedName>
    <definedName name="Comments_Eng">#REF!</definedName>
    <definedName name="Comments_FR">#REF!</definedName>
    <definedName name="Commission">#REF!</definedName>
    <definedName name="Comp">#REF!</definedName>
    <definedName name="Companies">#REF!</definedName>
    <definedName name="CompaniesList">#REF!</definedName>
    <definedName name="Company">#REF!</definedName>
    <definedName name="CompanyDescription">#REF!</definedName>
    <definedName name="COMPENSAÇÃO">#REF!</definedName>
    <definedName name="Compl1">#REF!,#REF!,#REF!,#REF!,#REF!,#REF!,#REF!,#REF!,#REF!,#REF!,#REF!,#REF!,#REF!</definedName>
    <definedName name="Compliance">#REF!</definedName>
    <definedName name="Comportamental">#REF!</definedName>
    <definedName name="COMPOXR">#REF!</definedName>
    <definedName name="Compras_de_Imobilizados">#REF!</definedName>
    <definedName name="CONCILIAÇÕES">#REF!</definedName>
    <definedName name="confornt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fornt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fornt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front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front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front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ongo_Produzioni" localSheetId="10" hidden="1">{#N/A,#N/A,FALSE,"VARIANCE";#N/A,#N/A,FALSE,"2NDQTR";#N/A,#N/A,FALSE,"1STQTR";#N/A,#N/A,FALSE,"BUDGET"}</definedName>
    <definedName name="Congo_Produzioni" localSheetId="3" hidden="1">{#N/A,#N/A,FALSE,"VARIANCE";#N/A,#N/A,FALSE,"2NDQTR";#N/A,#N/A,FALSE,"1STQTR";#N/A,#N/A,FALSE,"BUDGET"}</definedName>
    <definedName name="Congo_Produzioni" hidden="1">{#N/A,#N/A,FALSE,"VARIANCE";#N/A,#N/A,FALSE,"2NDQTR";#N/A,#N/A,FALSE,"1STQTR";#N/A,#N/A,FALSE,"BUDGET"}</definedName>
    <definedName name="cons04" localSheetId="10" hidden="1">{#N/A,#N/A,FALSE,"VARIANCE";#N/A,#N/A,FALSE,"2NDQTR";#N/A,#N/A,FALSE,"1STQTR";#N/A,#N/A,FALSE,"BUDGET"}</definedName>
    <definedName name="cons04" localSheetId="3" hidden="1">{#N/A,#N/A,FALSE,"VARIANCE";#N/A,#N/A,FALSE,"2NDQTR";#N/A,#N/A,FALSE,"1STQTR";#N/A,#N/A,FALSE,"BUDGET"}</definedName>
    <definedName name="cons04" hidden="1">{#N/A,#N/A,FALSE,"VARIANCE";#N/A,#N/A,FALSE,"2NDQTR";#N/A,#N/A,FALSE,"1STQTR";#N/A,#N/A,FALSE,"BUDGET"}</definedName>
    <definedName name="CONSOLIDATION">#REF!</definedName>
    <definedName name="Construções">#REF!</definedName>
    <definedName name="CONT">#REF!</definedName>
    <definedName name="conta">#REF!</definedName>
    <definedName name="CONTAB">#REF!</definedName>
    <definedName name="Contact">#REF!</definedName>
    <definedName name="contames">#REF!</definedName>
    <definedName name="contr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1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1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2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2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2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3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3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4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4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4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5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5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_5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IBUIÇAO.INDUSTRIAL">#REF!</definedName>
    <definedName name="CONTROLLERFDOPTION.VIEWABLE_RANGE_LRC.">"BS!$A$1"</definedName>
    <definedName name="CONTROLLERFDOPTION.VIEWABLE_RANGE_ULC.">"BS!$A$1"</definedName>
    <definedName name="controlo">#REF!</definedName>
    <definedName name="Conventions">#REF!</definedName>
    <definedName name="coo">#REF!</definedName>
    <definedName name="coo\">#REF!</definedName>
    <definedName name="COOO">#REF!</definedName>
    <definedName name="copia">#REF!</definedName>
    <definedName name="Copyright" hidden="1">"© 1995 Worley Limited"</definedName>
    <definedName name="CORPOREO">#REF!</definedName>
    <definedName name="CORPOREO.RESUMO">#REF!</definedName>
    <definedName name="CORRCO">#REF!</definedName>
    <definedName name="correl">#REF!</definedName>
    <definedName name="COS">#REF!</definedName>
    <definedName name="COS00">#REF!</definedName>
    <definedName name="cost" localSheetId="10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cost" localSheetId="3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cost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CostLabor">#REF!</definedName>
    <definedName name="CostTobacco">#REF!</definedName>
    <definedName name="countries">#REF!</definedName>
    <definedName name="countries2">#REF!</definedName>
    <definedName name="Country">#REF!</definedName>
    <definedName name="Country_or_Regional_Office">#REF!</definedName>
    <definedName name="Country_or_Regional_Office_10">#REF!</definedName>
    <definedName name="Country_or_Regional_Office_11">#REF!</definedName>
    <definedName name="Country_or_Regional_Office_12">#REF!</definedName>
    <definedName name="Country_or_Regional_Office_13">#REF!</definedName>
    <definedName name="Country_or_Regional_Office_14">#REF!</definedName>
    <definedName name="Country_or_Regional_Office_15">#REF!</definedName>
    <definedName name="Country_or_Regional_Office_16">#REF!</definedName>
    <definedName name="Country_or_Regional_Office_17">#REF!</definedName>
    <definedName name="Country_or_Regional_Office_18">#REF!</definedName>
    <definedName name="Country_or_Regional_Office_2">#REF!</definedName>
    <definedName name="Country_or_Regional_Office_3">#REF!</definedName>
    <definedName name="Country_or_Regional_Office_4">#REF!</definedName>
    <definedName name="Country_or_Regional_Office_5">#REF!</definedName>
    <definedName name="Country_or_Regional_Office_6">#REF!</definedName>
    <definedName name="Country_or_Regional_Office_7">#REF!</definedName>
    <definedName name="Country_or_Regional_Office_8">#REF!</definedName>
    <definedName name="Country_or_Regional_Office_9">#REF!</definedName>
    <definedName name="Country1">#REF!</definedName>
    <definedName name="countryregion">#REF!</definedName>
    <definedName name="COVER1" localSheetId="10" hidden="1">{#N/A,#N/A,FALSE,"Ejector 1";#N/A,#N/A,FALSE,"Ejector 2"}</definedName>
    <definedName name="COVER1" localSheetId="3" hidden="1">{#N/A,#N/A,FALSE,"Ejector 1";#N/A,#N/A,FALSE,"Ejector 2"}</definedName>
    <definedName name="COVER1" hidden="1">{#N/A,#N/A,FALSE,"Ejector 1";#N/A,#N/A,FALSE,"Ejector 2"}</definedName>
    <definedName name="COVER1_1" localSheetId="10" hidden="1">{#N/A,#N/A,FALSE,"Ejector 1";#N/A,#N/A,FALSE,"Ejector 2"}</definedName>
    <definedName name="COVER1_1" localSheetId="3" hidden="1">{#N/A,#N/A,FALSE,"Ejector 1";#N/A,#N/A,FALSE,"Ejector 2"}</definedName>
    <definedName name="COVER1_1" hidden="1">{#N/A,#N/A,FALSE,"Ejector 1";#N/A,#N/A,FALSE,"Ejector 2"}</definedName>
    <definedName name="COVER1_2" localSheetId="10" hidden="1">{#N/A,#N/A,FALSE,"Ejector 1";#N/A,#N/A,FALSE,"Ejector 2"}</definedName>
    <definedName name="COVER1_2" localSheetId="3" hidden="1">{#N/A,#N/A,FALSE,"Ejector 1";#N/A,#N/A,FALSE,"Ejector 2"}</definedName>
    <definedName name="COVER1_2" hidden="1">{#N/A,#N/A,FALSE,"Ejector 1";#N/A,#N/A,FALSE,"Ejector 2"}</definedName>
    <definedName name="COVER1_3" localSheetId="10" hidden="1">{#N/A,#N/A,FALSE,"Ejector 1";#N/A,#N/A,FALSE,"Ejector 2"}</definedName>
    <definedName name="COVER1_3" localSheetId="3" hidden="1">{#N/A,#N/A,FALSE,"Ejector 1";#N/A,#N/A,FALSE,"Ejector 2"}</definedName>
    <definedName name="COVER1_3" hidden="1">{#N/A,#N/A,FALSE,"Ejector 1";#N/A,#N/A,FALSE,"Ejector 2"}</definedName>
    <definedName name="COVER1_4" localSheetId="10" hidden="1">{#N/A,#N/A,FALSE,"Ejector 1";#N/A,#N/A,FALSE,"Ejector 2"}</definedName>
    <definedName name="COVER1_4" localSheetId="3" hidden="1">{#N/A,#N/A,FALSE,"Ejector 1";#N/A,#N/A,FALSE,"Ejector 2"}</definedName>
    <definedName name="COVER1_4" hidden="1">{#N/A,#N/A,FALSE,"Ejector 1";#N/A,#N/A,FALSE,"Ejector 2"}</definedName>
    <definedName name="COVER1_5" localSheetId="10" hidden="1">{#N/A,#N/A,FALSE,"Ejector 1";#N/A,#N/A,FALSE,"Ejector 2"}</definedName>
    <definedName name="COVER1_5" localSheetId="3" hidden="1">{#N/A,#N/A,FALSE,"Ejector 1";#N/A,#N/A,FALSE,"Ejector 2"}</definedName>
    <definedName name="COVER1_5" hidden="1">{#N/A,#N/A,FALSE,"Ejector 1";#N/A,#N/A,FALSE,"Ejector 2"}</definedName>
    <definedName name="COVER2" localSheetId="10" hidden="1">{#N/A,#N/A,FALSE,"Ejector 1";#N/A,#N/A,FALSE,"Ejector 2"}</definedName>
    <definedName name="COVER2" localSheetId="3" hidden="1">{#N/A,#N/A,FALSE,"Ejector 1";#N/A,#N/A,FALSE,"Ejector 2"}</definedName>
    <definedName name="COVER2" hidden="1">{#N/A,#N/A,FALSE,"Ejector 1";#N/A,#N/A,FALSE,"Ejector 2"}</definedName>
    <definedName name="COVER2_1" localSheetId="10" hidden="1">{#N/A,#N/A,FALSE,"Ejector 1";#N/A,#N/A,FALSE,"Ejector 2"}</definedName>
    <definedName name="COVER2_1" localSheetId="3" hidden="1">{#N/A,#N/A,FALSE,"Ejector 1";#N/A,#N/A,FALSE,"Ejector 2"}</definedName>
    <definedName name="COVER2_1" hidden="1">{#N/A,#N/A,FALSE,"Ejector 1";#N/A,#N/A,FALSE,"Ejector 2"}</definedName>
    <definedName name="COVER2_2" localSheetId="10" hidden="1">{#N/A,#N/A,FALSE,"Ejector 1";#N/A,#N/A,FALSE,"Ejector 2"}</definedName>
    <definedName name="COVER2_2" localSheetId="3" hidden="1">{#N/A,#N/A,FALSE,"Ejector 1";#N/A,#N/A,FALSE,"Ejector 2"}</definedName>
    <definedName name="COVER2_2" hidden="1">{#N/A,#N/A,FALSE,"Ejector 1";#N/A,#N/A,FALSE,"Ejector 2"}</definedName>
    <definedName name="COVER2_3" localSheetId="10" hidden="1">{#N/A,#N/A,FALSE,"Ejector 1";#N/A,#N/A,FALSE,"Ejector 2"}</definedName>
    <definedName name="COVER2_3" localSheetId="3" hidden="1">{#N/A,#N/A,FALSE,"Ejector 1";#N/A,#N/A,FALSE,"Ejector 2"}</definedName>
    <definedName name="COVER2_3" hidden="1">{#N/A,#N/A,FALSE,"Ejector 1";#N/A,#N/A,FALSE,"Ejector 2"}</definedName>
    <definedName name="COVER2_4" localSheetId="10" hidden="1">{#N/A,#N/A,FALSE,"Ejector 1";#N/A,#N/A,FALSE,"Ejector 2"}</definedName>
    <definedName name="COVER2_4" localSheetId="3" hidden="1">{#N/A,#N/A,FALSE,"Ejector 1";#N/A,#N/A,FALSE,"Ejector 2"}</definedName>
    <definedName name="COVER2_4" hidden="1">{#N/A,#N/A,FALSE,"Ejector 1";#N/A,#N/A,FALSE,"Ejector 2"}</definedName>
    <definedName name="COVER2_5" localSheetId="10" hidden="1">{#N/A,#N/A,FALSE,"Ejector 1";#N/A,#N/A,FALSE,"Ejector 2"}</definedName>
    <definedName name="COVER2_5" localSheetId="3" hidden="1">{#N/A,#N/A,FALSE,"Ejector 1";#N/A,#N/A,FALSE,"Ejector 2"}</definedName>
    <definedName name="COVER2_5" hidden="1">{#N/A,#N/A,FALSE,"Ejector 1";#N/A,#N/A,FALSE,"Ejector 2"}</definedName>
    <definedName name="cp">#REF!</definedName>
    <definedName name="CPM00">#REF!</definedName>
    <definedName name="CPrint">#N/A</definedName>
    <definedName name="CPs">#REF!</definedName>
    <definedName name="CRA00">#REF!</definedName>
    <definedName name="CRE00">#REF!</definedName>
    <definedName name="CRECOF">#REF!</definedName>
    <definedName name="CRECOI">#REF!</definedName>
    <definedName name="cred">#REF!</definedName>
    <definedName name="cred93">#REF!</definedName>
    <definedName name="CRED94">#REF!</definedName>
    <definedName name="Credit_Notes_Master">#REF!</definedName>
    <definedName name="Credito">#REF!</definedName>
    <definedName name="CREDITOS.M.CIRCUL.">#REF!</definedName>
    <definedName name="CREDITOS.M.INVEST.">#REF!</definedName>
    <definedName name="Créditos_bancários_p_investimentos">#REF!</definedName>
    <definedName name="Créditos_bancários_p_meios_circul.">#REF!</definedName>
    <definedName name="Credor_Estado">#REF!</definedName>
    <definedName name="Credor_Trabalhadores">#REF!</definedName>
    <definedName name="CREDORES">#REF!</definedName>
    <definedName name="cresult">#REF!</definedName>
    <definedName name="cric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ric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ric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_xlnm.Criteria">#REF!</definedName>
    <definedName name="Criteria_MI">#REF!</definedName>
    <definedName name="CRM00">#REF!</definedName>
    <definedName name="Crystal_1_1_WEBI_HHeading" hidden="1">#REF!</definedName>
    <definedName name="Crystal_1_1_WEBI_Table" hidden="1">#REF!</definedName>
    <definedName name="Crystal_12_1_WEBI_DataGrid" hidden="1">#REF!</definedName>
    <definedName name="Crystal_12_1_WEBI_HHeading" hidden="1">#REF!</definedName>
    <definedName name="Crystal_12_1_WEBI_Table" hidden="1">#REF!</definedName>
    <definedName name="Crystal_15_1_WEBI_DataGrid" hidden="1">#REF!</definedName>
    <definedName name="Crystal_15_1_WEBI_HHeading" hidden="1">#REF!</definedName>
    <definedName name="Crystal_15_1_WEBI_Table" hidden="1">#REF!</definedName>
    <definedName name="Crystal_18_1_WEBI_DataGrid" hidden="1">#REF!</definedName>
    <definedName name="Crystal_18_1_WEBI_HHeading" hidden="1">#REF!</definedName>
    <definedName name="Crystal_18_1_WEBI_Table" hidden="1">#REF!</definedName>
    <definedName name="Crystal_19_1_WEBI_DataGrid" hidden="1">#REF!</definedName>
    <definedName name="Crystal_19_1_WEBI_HHeading" hidden="1">#REF!</definedName>
    <definedName name="Crystal_19_1_WEBI_Table" hidden="1">#REF!</definedName>
    <definedName name="Crystal_2_1_WEBI_DataGrid" hidden="1">#REF!</definedName>
    <definedName name="Crystal_2_1_WEBI_HHeading" hidden="1">#REF!</definedName>
    <definedName name="Crystal_2_1_WEBI_Table" hidden="1">#REF!</definedName>
    <definedName name="Crystal_20_1_WEBI_DataGrid" hidden="1">#REF!</definedName>
    <definedName name="Crystal_20_1_WEBI_HHeading" hidden="1">#REF!</definedName>
    <definedName name="Crystal_20_1_WEBI_Table" hidden="1">#REF!</definedName>
    <definedName name="Crystal_21_1_WEBI_HHeading" hidden="1">#REF!</definedName>
    <definedName name="Crystal_21_1_WEBI_Table" hidden="1">#REF!</definedName>
    <definedName name="Crystal_22_1_WEBI_DataGrid" hidden="1">#REF!</definedName>
    <definedName name="Crystal_22_1_WEBI_HHeading" hidden="1">#REF!</definedName>
    <definedName name="Crystal_22_1_WEBI_Table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HHeading" hidden="1">#REF!</definedName>
    <definedName name="Crystal_5_1_WEBI_Table" hidden="1">#REF!</definedName>
    <definedName name="Crystal_7_1_WEBI_DataGrid" hidden="1">#REF!</definedName>
    <definedName name="Crystal_7_1_WEBI_HHeading" hidden="1">#REF!</definedName>
    <definedName name="Crystal_7_1_WEBI_Table" hidden="1">#REF!</definedName>
    <definedName name="Crystal_8_1_WEBI_DataGrid" hidden="1">#REF!</definedName>
    <definedName name="Crystal_8_1_WEBI_HHeading" hidden="1">#REF!</definedName>
    <definedName name="Crystal_8_1_WEBI_Table" hidden="1">#REF!</definedName>
    <definedName name="CS5_POR_RATING">#REF!</definedName>
    <definedName name="CSD_Total">#REF!</definedName>
    <definedName name="CSF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SF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SF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SO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CSO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CSO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CST00">#REF!</definedName>
    <definedName name="CT_HK">#REF!</definedName>
    <definedName name="ctecnica">#REF!</definedName>
    <definedName name="CULO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LO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m.Interest">IF(#REF!&lt;&gt;"",#REF!+#REF!,"")</definedName>
    <definedName name="Cum_Int">#REF!</definedName>
    <definedName name="cur">#REF!</definedName>
    <definedName name="curly">#REF!</definedName>
    <definedName name="curr">#REF!</definedName>
    <definedName name="Currenc">#REF!</definedName>
    <definedName name="currency">#REF!</definedName>
    <definedName name="Current">#REF!</definedName>
    <definedName name="CurrentDate">NOW()</definedName>
    <definedName name="curva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rva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rv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urvas">#REF!</definedName>
    <definedName name="curvas1">#REF!</definedName>
    <definedName name="curvas2">#REF!</definedName>
    <definedName name="CurYear">#REF!</definedName>
    <definedName name="CUSTINFO">#REF!</definedName>
    <definedName name="CUSTO.MEIOS">#REF!</definedName>
    <definedName name="Custo_meios_circul._vend._ou_Cons.">#REF!</definedName>
    <definedName name="CUSTOOP1SEM">#REF!</definedName>
    <definedName name="CUSTOS.DIFERIDOS">#REF!</definedName>
    <definedName name="CUSTOS.FINANCEIROS">#REF!</definedName>
    <definedName name="CUSTOS_E_PERDAS">#REF!</definedName>
    <definedName name="Custos_e_Perdas_Extraordinários">#REF!</definedName>
    <definedName name="Custos_e_Perdas_Financeiros">#REF!</definedName>
    <definedName name="Custos_e_Perdas_Imputáveis_a_Exerc.Anteriores">#REF!</definedName>
    <definedName name="CV" hidden="1">#REF!</definedName>
    <definedName name="CV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cxv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vcxv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vcxv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X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X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X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cxds">#REF!</definedName>
    <definedName name="CY">#REF!</definedName>
    <definedName name="CY_Year">#REF!</definedName>
    <definedName name="D">#REF!</definedName>
    <definedName name="D.C.__155_480.20">#REF!</definedName>
    <definedName name="D.C.Salary___Payroll_Increase">#REF!</definedName>
    <definedName name="d_1" localSheetId="10" hidden="1">{#N/A,#N/A,FALSE,"JACKETS (1100 t) (1)"}</definedName>
    <definedName name="d_1" localSheetId="3" hidden="1">{#N/A,#N/A,FALSE,"JACKETS (1100 t) (1)"}</definedName>
    <definedName name="d_1" hidden="1">{#N/A,#N/A,FALSE,"JACKETS (1100 t) (1)"}</definedName>
    <definedName name="d_2" localSheetId="10" hidden="1">{#N/A,#N/A,FALSE,"JACKETS (1100 t) (1)"}</definedName>
    <definedName name="d_2" localSheetId="3" hidden="1">{#N/A,#N/A,FALSE,"JACKETS (1100 t) (1)"}</definedName>
    <definedName name="d_2" hidden="1">{#N/A,#N/A,FALSE,"JACKETS (1100 t) (1)"}</definedName>
    <definedName name="d_3" localSheetId="10" hidden="1">{#N/A,#N/A,FALSE,"JACKETS (1100 t) (1)"}</definedName>
    <definedName name="d_3" localSheetId="3" hidden="1">{#N/A,#N/A,FALSE,"JACKETS (1100 t) (1)"}</definedName>
    <definedName name="d_3" hidden="1">{#N/A,#N/A,FALSE,"JACKETS (1100 t) (1)"}</definedName>
    <definedName name="d_4" localSheetId="10" hidden="1">{#N/A,#N/A,FALSE,"JACKETS (1100 t) (1)"}</definedName>
    <definedName name="d_4" localSheetId="3" hidden="1">{#N/A,#N/A,FALSE,"JACKETS (1100 t) (1)"}</definedName>
    <definedName name="d_4" hidden="1">{#N/A,#N/A,FALSE,"JACKETS (1100 t) (1)"}</definedName>
    <definedName name="d_5" localSheetId="10" hidden="1">{#N/A,#N/A,FALSE,"JACKETS (1100 t) (1)"}</definedName>
    <definedName name="d_5" localSheetId="3" hidden="1">{#N/A,#N/A,FALSE,"JACKETS (1100 t) (1)"}</definedName>
    <definedName name="d_5" hidden="1">{#N/A,#N/A,FALSE,"JACKETS (1100 t) (1)"}</definedName>
    <definedName name="da">#REF!</definedName>
    <definedName name="da_paste_start">#REF!</definedName>
    <definedName name="da_paste_start2">#REF!</definedName>
    <definedName name="da_paste_start3">#REF!</definedName>
    <definedName name="da_paste_start4">#REF!</definedName>
    <definedName name="dadk" localSheetId="10" hidden="1">{"VARIASMOEDAS",#N/A,FALSE,"APLICAR"}</definedName>
    <definedName name="dadk" localSheetId="3" hidden="1">{"VARIASMOEDAS",#N/A,FALSE,"APLICAR"}</definedName>
    <definedName name="dadk" hidden="1">{"VARIASMOEDAS",#N/A,FALSE,"APLICAR"}</definedName>
    <definedName name="dai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aily_data_BPC_bill">#REF!</definedName>
    <definedName name="dairy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DD">#REF!</definedName>
    <definedName name="data0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64">#REF!</definedName>
    <definedName name="DATA7">#REF!</definedName>
    <definedName name="data8">#REF!</definedName>
    <definedName name="DATA9">#REF!</definedName>
    <definedName name="_xlnm.Database">#REF!</definedName>
    <definedName name="Database_1">#REF!</definedName>
    <definedName name="Database_MI">#REF!</definedName>
    <definedName name="DATAFILE">#REF!</definedName>
    <definedName name="DataLabels">#N/A</definedName>
    <definedName name="DataLabelsStart">#REF!</definedName>
    <definedName name="DATAPATH">#REF!</definedName>
    <definedName name="DataSeries">#REF!</definedName>
    <definedName name="date">#REF!</definedName>
    <definedName name="DATE1">#REF!</definedName>
    <definedName name="DateId_CY">#REF!</definedName>
    <definedName name="DateId_CYA">#REF!</definedName>
    <definedName name="DateId_INT">#REF!</definedName>
    <definedName name="DateId_PY">#REF!</definedName>
    <definedName name="DATES">#REF!</definedName>
    <definedName name="DaWk7">#REF!</definedName>
    <definedName name="days">#REF!</definedName>
    <definedName name="Daytrades">#REF!</definedName>
    <definedName name="Db">#REF!</definedName>
    <definedName name="DBAS">#REF!</definedName>
    <definedName name="DBASE">#REF!</definedName>
    <definedName name="DBNAME">#REF!</definedName>
    <definedName name="DBNAME1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_SZ">#REF!</definedName>
    <definedName name="DCommission">#REF!</definedName>
    <definedName name="DCostTobacco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D">#REF!</definedName>
    <definedName name="ddd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dd.REP" localSheetId="10" hidden="1">{#N/A,#N/A,FALSE,"min";#N/A,#N/A,FALSE,"mean";#N/A,#N/A,FALSE,"max"}</definedName>
    <definedName name="ddd.REP" localSheetId="3" hidden="1">{#N/A,#N/A,FALSE,"min";#N/A,#N/A,FALSE,"mean";#N/A,#N/A,FALSE,"max"}</definedName>
    <definedName name="ddd.REP" hidden="1">{#N/A,#N/A,FALSE,"min";#N/A,#N/A,FALSE,"mean";#N/A,#N/A,FALSE,"max"}</definedName>
    <definedName name="ddd.REP_1" localSheetId="10" hidden="1">{#N/A,#N/A,FALSE,"min";#N/A,#N/A,FALSE,"mean";#N/A,#N/A,FALSE,"max"}</definedName>
    <definedName name="ddd.REP_1" localSheetId="3" hidden="1">{#N/A,#N/A,FALSE,"min";#N/A,#N/A,FALSE,"mean";#N/A,#N/A,FALSE,"max"}</definedName>
    <definedName name="ddd.REP_1" hidden="1">{#N/A,#N/A,FALSE,"min";#N/A,#N/A,FALSE,"mean";#N/A,#N/A,FALSE,"max"}</definedName>
    <definedName name="ddd.REP_2" localSheetId="10" hidden="1">{#N/A,#N/A,FALSE,"min";#N/A,#N/A,FALSE,"mean";#N/A,#N/A,FALSE,"max"}</definedName>
    <definedName name="ddd.REP_2" localSheetId="3" hidden="1">{#N/A,#N/A,FALSE,"min";#N/A,#N/A,FALSE,"mean";#N/A,#N/A,FALSE,"max"}</definedName>
    <definedName name="ddd.REP_2" hidden="1">{#N/A,#N/A,FALSE,"min";#N/A,#N/A,FALSE,"mean";#N/A,#N/A,FALSE,"max"}</definedName>
    <definedName name="ddd.REP_3" localSheetId="10" hidden="1">{#N/A,#N/A,FALSE,"min";#N/A,#N/A,FALSE,"mean";#N/A,#N/A,FALSE,"max"}</definedName>
    <definedName name="ddd.REP_3" localSheetId="3" hidden="1">{#N/A,#N/A,FALSE,"min";#N/A,#N/A,FALSE,"mean";#N/A,#N/A,FALSE,"max"}</definedName>
    <definedName name="ddd.REP_3" hidden="1">{#N/A,#N/A,FALSE,"min";#N/A,#N/A,FALSE,"mean";#N/A,#N/A,FALSE,"max"}</definedName>
    <definedName name="ddd.REP_4" localSheetId="10" hidden="1">{#N/A,#N/A,FALSE,"min";#N/A,#N/A,FALSE,"mean";#N/A,#N/A,FALSE,"max"}</definedName>
    <definedName name="ddd.REP_4" localSheetId="3" hidden="1">{#N/A,#N/A,FALSE,"min";#N/A,#N/A,FALSE,"mean";#N/A,#N/A,FALSE,"max"}</definedName>
    <definedName name="ddd.REP_4" hidden="1">{#N/A,#N/A,FALSE,"min";#N/A,#N/A,FALSE,"mean";#N/A,#N/A,FALSE,"max"}</definedName>
    <definedName name="ddd.REP_5" localSheetId="10" hidden="1">{#N/A,#N/A,FALSE,"min";#N/A,#N/A,FALSE,"mean";#N/A,#N/A,FALSE,"max"}</definedName>
    <definedName name="ddd.REP_5" localSheetId="3" hidden="1">{#N/A,#N/A,FALSE,"min";#N/A,#N/A,FALSE,"mean";#N/A,#N/A,FALSE,"max"}</definedName>
    <definedName name="ddd.REP_5" hidden="1">{#N/A,#N/A,FALSE,"min";#N/A,#N/A,FALSE,"mean";#N/A,#N/A,FALSE,"max"}</definedName>
    <definedName name="ddd_1" localSheetId="10" hidden="1">{#N/A,#N/A,FALSE,"JACKETS (1100 t) (1)"}</definedName>
    <definedName name="ddd_1" localSheetId="3" hidden="1">{#N/A,#N/A,FALSE,"JACKETS (1100 t) (1)"}</definedName>
    <definedName name="ddd_1" hidden="1">{#N/A,#N/A,FALSE,"JACKETS (1100 t) (1)"}</definedName>
    <definedName name="ddd_2" localSheetId="10" hidden="1">{#N/A,#N/A,FALSE,"JACKETS (1100 t) (1)"}</definedName>
    <definedName name="ddd_2" localSheetId="3" hidden="1">{#N/A,#N/A,FALSE,"JACKETS (1100 t) (1)"}</definedName>
    <definedName name="ddd_2" hidden="1">{#N/A,#N/A,FALSE,"JACKETS (1100 t) (1)"}</definedName>
    <definedName name="ddd_3" localSheetId="10" hidden="1">{#N/A,#N/A,FALSE,"JACKETS (1100 t) (1)"}</definedName>
    <definedName name="ddd_3" localSheetId="3" hidden="1">{#N/A,#N/A,FALSE,"JACKETS (1100 t) (1)"}</definedName>
    <definedName name="ddd_3" hidden="1">{#N/A,#N/A,FALSE,"JACKETS (1100 t) (1)"}</definedName>
    <definedName name="ddd_4" localSheetId="10" hidden="1">{#N/A,#N/A,FALSE,"JACKETS (1100 t) (1)"}</definedName>
    <definedName name="ddd_4" localSheetId="3" hidden="1">{#N/A,#N/A,FALSE,"JACKETS (1100 t) (1)"}</definedName>
    <definedName name="ddd_4" hidden="1">{#N/A,#N/A,FALSE,"JACKETS (1100 t) (1)"}</definedName>
    <definedName name="ddd_5" localSheetId="10" hidden="1">{#N/A,#N/A,FALSE,"JACKETS (1100 t) (1)"}</definedName>
    <definedName name="ddd_5" localSheetId="3" hidden="1">{#N/A,#N/A,FALSE,"JACKETS (1100 t) (1)"}</definedName>
    <definedName name="ddd_5" hidden="1">{#N/A,#N/A,FALSE,"JACKETS (1100 t) (1)"}</definedName>
    <definedName name="dddd" localSheetId="10" hidden="1">{"USD",#N/A,FALSE,"APLICAR"}</definedName>
    <definedName name="dddd" localSheetId="3" hidden="1">{"USD",#N/A,FALSE,"APLICAR"}</definedName>
    <definedName name="dddd" hidden="1">{"USD",#N/A,FALSE,"APLICAR"}</definedName>
    <definedName name="DDDD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dd">#REF!</definedName>
    <definedName name="DDepr">#REF!</definedName>
    <definedName name="dderrft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errft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errft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df" localSheetId="10" hidden="1">{"ZAR",#N/A,FALSE,"APLICAR"}</definedName>
    <definedName name="ddf" localSheetId="3" hidden="1">{"ZAR",#N/A,FALSE,"APLICAR"}</definedName>
    <definedName name="ddf" hidden="1">{"ZAR",#N/A,FALSE,"APLICAR"}</definedName>
    <definedName name="ddffefew" hidden="1">#REF!</definedName>
    <definedName name="ddsfdf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dsfdf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dsfdf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e">#REF!</definedName>
    <definedName name="DE_BS">#REF!</definedName>
    <definedName name="DE_PandL">#REF!</definedName>
    <definedName name="DEALER">#REF!</definedName>
    <definedName name="Debito">#REF!</definedName>
    <definedName name="dec">#REF!</definedName>
    <definedName name="decbh">#REF!</definedName>
    <definedName name="Decline1" hidden="1">#REF!</definedName>
    <definedName name="ded">#REF!</definedName>
    <definedName name="dede" hidden="1">#REF!</definedName>
    <definedName name="def_Green">#REF!</definedName>
    <definedName name="def_Indicators">#REF!</definedName>
    <definedName name="def_NA">#REF!</definedName>
    <definedName name="def_Red">#REF!</definedName>
    <definedName name="def_rounding_base">#REF!</definedName>
    <definedName name="def_rounding_local">#REF!</definedName>
    <definedName name="def_title">#REF!</definedName>
    <definedName name="def_Yellow">#REF!</definedName>
    <definedName name="DEFERRED_TAX_BS">#REF!</definedName>
    <definedName name="defpareto">#REF!</definedName>
    <definedName name="DelDC">#REF!</definedName>
    <definedName name="DelDm">#REF!</definedName>
    <definedName name="Delivery">#REF!</definedName>
    <definedName name="DelType">#REF!</definedName>
    <definedName name="DEMONSTRAÇAO.RESULTADOS">#REF!</definedName>
    <definedName name="DEP">#REF!</definedName>
    <definedName name="department">#REF!</definedName>
    <definedName name="DepCred_NRes">#REF!</definedName>
    <definedName name="DepCred_Res">#REF!</definedName>
    <definedName name="DepnMethod" hidden="1">#REF!</definedName>
    <definedName name="DEPREC">#REF!</definedName>
    <definedName name="deptLookup">#REF!</definedName>
    <definedName name="DESC">#REF!</definedName>
    <definedName name="descrição">#REF!</definedName>
    <definedName name="Descriminações_Tandje_2003">#REF!</definedName>
    <definedName name="Desp_Date">#REF!</definedName>
    <definedName name="Despo">#REF!</definedName>
    <definedName name="DETALLE">#REF!</definedName>
    <definedName name="DeudaBV">#REF!</definedName>
    <definedName name="DEUVTA">#REF!</definedName>
    <definedName name="dev">#REF!</definedName>
    <definedName name="Devedor_Estado">#REF!</definedName>
    <definedName name="DEVEDORES">#REF!</definedName>
    <definedName name="Devedores_Sócios__accionist._propr.">#REF!</definedName>
    <definedName name="Devedores_Treabalhadores">#REF!</definedName>
    <definedName name="devers2">#REF!</definedName>
    <definedName name="deviation">#REF!</definedName>
    <definedName name="deviation2">#REF!</definedName>
    <definedName name="Dezembro">#REF!</definedName>
    <definedName name="df">#REF!</definedName>
    <definedName name="DF_1" localSheetId="10" hidden="1">{#N/A,#N/A,FALSE,"JACKETS (1100 t) (1)"}</definedName>
    <definedName name="DF_1" localSheetId="3" hidden="1">{#N/A,#N/A,FALSE,"JACKETS (1100 t) (1)"}</definedName>
    <definedName name="DF_1" hidden="1">{#N/A,#N/A,FALSE,"JACKETS (1100 t) (1)"}</definedName>
    <definedName name="DF_2" localSheetId="10" hidden="1">{#N/A,#N/A,FALSE,"JACKETS (1100 t) (1)"}</definedName>
    <definedName name="DF_2" localSheetId="3" hidden="1">{#N/A,#N/A,FALSE,"JACKETS (1100 t) (1)"}</definedName>
    <definedName name="DF_2" hidden="1">{#N/A,#N/A,FALSE,"JACKETS (1100 t) (1)"}</definedName>
    <definedName name="DF_3" localSheetId="10" hidden="1">{#N/A,#N/A,FALSE,"JACKETS (1100 t) (1)"}</definedName>
    <definedName name="DF_3" localSheetId="3" hidden="1">{#N/A,#N/A,FALSE,"JACKETS (1100 t) (1)"}</definedName>
    <definedName name="DF_3" hidden="1">{#N/A,#N/A,FALSE,"JACKETS (1100 t) (1)"}</definedName>
    <definedName name="DF_4" localSheetId="10" hidden="1">{#N/A,#N/A,FALSE,"JACKETS (1100 t) (1)"}</definedName>
    <definedName name="DF_4" localSheetId="3" hidden="1">{#N/A,#N/A,FALSE,"JACKETS (1100 t) (1)"}</definedName>
    <definedName name="DF_4" hidden="1">{#N/A,#N/A,FALSE,"JACKETS (1100 t) (1)"}</definedName>
    <definedName name="DF_5" localSheetId="10" hidden="1">{#N/A,#N/A,FALSE,"JACKETS (1100 t) (1)"}</definedName>
    <definedName name="DF_5" localSheetId="3" hidden="1">{#N/A,#N/A,FALSE,"JACKETS (1100 t) (1)"}</definedName>
    <definedName name="DF_5" hidden="1">{#N/A,#N/A,FALSE,"JACKETS (1100 t) (1)"}</definedName>
    <definedName name="DF_NAVPANEL_13">#REF!</definedName>
    <definedName name="DF_NAVPANEL_18">#REF!</definedName>
    <definedName name="dfdafdafda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afdafda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dfdgr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fdgr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fdgr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flt4">#REF!</definedName>
    <definedName name="dflt5">#REF!</definedName>
    <definedName name="dflt6">#REF!</definedName>
    <definedName name="DFreight">#REF!</definedName>
    <definedName name="dfrgt">#REF!</definedName>
    <definedName name="dfsa" localSheetId="10" hidden="1">{"'WEB azoc prov'!$B$85:$L$123"}</definedName>
    <definedName name="dfsa" localSheetId="3" hidden="1">{"'WEB azoc prov'!$B$85:$L$123"}</definedName>
    <definedName name="dfsa" hidden="1">{"'WEB azoc prov'!$B$85:$L$123"}</definedName>
    <definedName name="dfsg" localSheetId="10" hidden="1">{#N/A,#N/A,FALSE,"cover";#N/A,#N/A,FALSE,"page_1";#N/A,#N/A,FALSE,"page_2";#N/A,#N/A,FALSE,"page_3";#N/A,#N/A,FALSE,"page_4"}</definedName>
    <definedName name="dfsg" localSheetId="3" hidden="1">{#N/A,#N/A,FALSE,"cover";#N/A,#N/A,FALSE,"page_1";#N/A,#N/A,FALSE,"page_2";#N/A,#N/A,FALSE,"page_3";#N/A,#N/A,FALSE,"page_4"}</definedName>
    <definedName name="dfsg" hidden="1">{#N/A,#N/A,FALSE,"cover";#N/A,#N/A,FALSE,"page_1";#N/A,#N/A,FALSE,"page_2";#N/A,#N/A,FALSE,"page_3";#N/A,#N/A,FALSE,"page_4"}</definedName>
    <definedName name="dfsg_1" localSheetId="10" hidden="1">{#N/A,#N/A,FALSE,"cover";#N/A,#N/A,FALSE,"page_1";#N/A,#N/A,FALSE,"page_2";#N/A,#N/A,FALSE,"page_3";#N/A,#N/A,FALSE,"page_4"}</definedName>
    <definedName name="dfsg_1" localSheetId="3" hidden="1">{#N/A,#N/A,FALSE,"cover";#N/A,#N/A,FALSE,"page_1";#N/A,#N/A,FALSE,"page_2";#N/A,#N/A,FALSE,"page_3";#N/A,#N/A,FALSE,"page_4"}</definedName>
    <definedName name="dfsg_1" hidden="1">{#N/A,#N/A,FALSE,"cover";#N/A,#N/A,FALSE,"page_1";#N/A,#N/A,FALSE,"page_2";#N/A,#N/A,FALSE,"page_3";#N/A,#N/A,FALSE,"page_4"}</definedName>
    <definedName name="dfsg_2" localSheetId="10" hidden="1">{#N/A,#N/A,FALSE,"cover";#N/A,#N/A,FALSE,"page_1";#N/A,#N/A,FALSE,"page_2";#N/A,#N/A,FALSE,"page_3";#N/A,#N/A,FALSE,"page_4"}</definedName>
    <definedName name="dfsg_2" localSheetId="3" hidden="1">{#N/A,#N/A,FALSE,"cover";#N/A,#N/A,FALSE,"page_1";#N/A,#N/A,FALSE,"page_2";#N/A,#N/A,FALSE,"page_3";#N/A,#N/A,FALSE,"page_4"}</definedName>
    <definedName name="dfsg_2" hidden="1">{#N/A,#N/A,FALSE,"cover";#N/A,#N/A,FALSE,"page_1";#N/A,#N/A,FALSE,"page_2";#N/A,#N/A,FALSE,"page_3";#N/A,#N/A,FALSE,"page_4"}</definedName>
    <definedName name="dfsg_3" localSheetId="10" hidden="1">{#N/A,#N/A,FALSE,"cover";#N/A,#N/A,FALSE,"page_1";#N/A,#N/A,FALSE,"page_2";#N/A,#N/A,FALSE,"page_3";#N/A,#N/A,FALSE,"page_4"}</definedName>
    <definedName name="dfsg_3" localSheetId="3" hidden="1">{#N/A,#N/A,FALSE,"cover";#N/A,#N/A,FALSE,"page_1";#N/A,#N/A,FALSE,"page_2";#N/A,#N/A,FALSE,"page_3";#N/A,#N/A,FALSE,"page_4"}</definedName>
    <definedName name="dfsg_3" hidden="1">{#N/A,#N/A,FALSE,"cover";#N/A,#N/A,FALSE,"page_1";#N/A,#N/A,FALSE,"page_2";#N/A,#N/A,FALSE,"page_3";#N/A,#N/A,FALSE,"page_4"}</definedName>
    <definedName name="dfsg_4" localSheetId="10" hidden="1">{#N/A,#N/A,FALSE,"cover";#N/A,#N/A,FALSE,"page_1";#N/A,#N/A,FALSE,"page_2";#N/A,#N/A,FALSE,"page_3";#N/A,#N/A,FALSE,"page_4"}</definedName>
    <definedName name="dfsg_4" localSheetId="3" hidden="1">{#N/A,#N/A,FALSE,"cover";#N/A,#N/A,FALSE,"page_1";#N/A,#N/A,FALSE,"page_2";#N/A,#N/A,FALSE,"page_3";#N/A,#N/A,FALSE,"page_4"}</definedName>
    <definedName name="dfsg_4" hidden="1">{#N/A,#N/A,FALSE,"cover";#N/A,#N/A,FALSE,"page_1";#N/A,#N/A,FALSE,"page_2";#N/A,#N/A,FALSE,"page_3";#N/A,#N/A,FALSE,"page_4"}</definedName>
    <definedName name="dfsg_5" localSheetId="10" hidden="1">{#N/A,#N/A,FALSE,"cover";#N/A,#N/A,FALSE,"page_1";#N/A,#N/A,FALSE,"page_2";#N/A,#N/A,FALSE,"page_3";#N/A,#N/A,FALSE,"page_4"}</definedName>
    <definedName name="dfsg_5" localSheetId="3" hidden="1">{#N/A,#N/A,FALSE,"cover";#N/A,#N/A,FALSE,"page_1";#N/A,#N/A,FALSE,"page_2";#N/A,#N/A,FALSE,"page_3";#N/A,#N/A,FALSE,"page_4"}</definedName>
    <definedName name="dfsg_5" hidden="1">{#N/A,#N/A,FALSE,"cover";#N/A,#N/A,FALSE,"page_1";#N/A,#N/A,FALSE,"page_2";#N/A,#N/A,FALSE,"page_3";#N/A,#N/A,FALSE,"page_4"}</definedName>
    <definedName name="DFuel">#REF!</definedName>
    <definedName name="DFumigation">#REF!</definedName>
    <definedName name="dfxtrgvxe" hidden="1">#N/A</definedName>
    <definedName name="dgas">#REF!</definedName>
    <definedName name="dgcas">#REF!</definedName>
    <definedName name="dgchf">#REF!</definedName>
    <definedName name="dgcm">#REF!</definedName>
    <definedName name="dgcmaternity">#REF!</definedName>
    <definedName name="dgcmi">#REF!</definedName>
    <definedName name="dgcnei">#REF!</definedName>
    <definedName name="dgcr">#REF!</definedName>
    <definedName name="dgcri">#REF!</definedName>
    <definedName name="dgcw">#REF!</definedName>
    <definedName name="dgcwi">#REF!</definedName>
    <definedName name="dgm">#REF!</definedName>
    <definedName name="dgnotax">#REF!</definedName>
    <definedName name="dgphf">#REF!</definedName>
    <definedName name="dgpm">#REF!</definedName>
    <definedName name="dgpmi">#REF!</definedName>
    <definedName name="dgpnei">#REF!</definedName>
    <definedName name="dgpr">#REF!</definedName>
    <definedName name="dgpri">#REF!</definedName>
    <definedName name="dhhfh" localSheetId="10" hidden="1">{#N/A,#N/A,FALSE,"JACKETS (1100 t) (1)"}</definedName>
    <definedName name="dhhfh" localSheetId="3" hidden="1">{#N/A,#N/A,FALSE,"JACKETS (1100 t) (1)"}</definedName>
    <definedName name="dhhfh" hidden="1">{#N/A,#N/A,FALSE,"JACKETS (1100 t) (1)"}</definedName>
    <definedName name="dhhfh_1" localSheetId="10" hidden="1">{#N/A,#N/A,FALSE,"JACKETS (1100 t) (1)"}</definedName>
    <definedName name="dhhfh_1" localSheetId="3" hidden="1">{#N/A,#N/A,FALSE,"JACKETS (1100 t) (1)"}</definedName>
    <definedName name="dhhfh_1" hidden="1">{#N/A,#N/A,FALSE,"JACKETS (1100 t) (1)"}</definedName>
    <definedName name="dhhfh_2" localSheetId="10" hidden="1">{#N/A,#N/A,FALSE,"JACKETS (1100 t) (1)"}</definedName>
    <definedName name="dhhfh_2" localSheetId="3" hidden="1">{#N/A,#N/A,FALSE,"JACKETS (1100 t) (1)"}</definedName>
    <definedName name="dhhfh_2" hidden="1">{#N/A,#N/A,FALSE,"JACKETS (1100 t) (1)"}</definedName>
    <definedName name="dhhfh_3" localSheetId="10" hidden="1">{#N/A,#N/A,FALSE,"JACKETS (1100 t) (1)"}</definedName>
    <definedName name="dhhfh_3" localSheetId="3" hidden="1">{#N/A,#N/A,FALSE,"JACKETS (1100 t) (1)"}</definedName>
    <definedName name="dhhfh_3" hidden="1">{#N/A,#N/A,FALSE,"JACKETS (1100 t) (1)"}</definedName>
    <definedName name="dhhfh_4" localSheetId="10" hidden="1">{#N/A,#N/A,FALSE,"JACKETS (1100 t) (1)"}</definedName>
    <definedName name="dhhfh_4" localSheetId="3" hidden="1">{#N/A,#N/A,FALSE,"JACKETS (1100 t) (1)"}</definedName>
    <definedName name="dhhfh_4" hidden="1">{#N/A,#N/A,FALSE,"JACKETS (1100 t) (1)"}</definedName>
    <definedName name="dhhfh_5" localSheetId="10" hidden="1">{#N/A,#N/A,FALSE,"JACKETS (1100 t) (1)"}</definedName>
    <definedName name="dhhfh_5" localSheetId="3" hidden="1">{#N/A,#N/A,FALSE,"JACKETS (1100 t) (1)"}</definedName>
    <definedName name="dhhfh_5" hidden="1">{#N/A,#N/A,FALSE,"JACKETS (1100 t) (1)"}</definedName>
    <definedName name="Dias_uteis1">#REF!</definedName>
    <definedName name="Diebold" localSheetId="10" hidden="1">{"Headcount",#N/A,FALSE,"Input"}</definedName>
    <definedName name="Diebold" localSheetId="3" hidden="1">{"Headcount",#N/A,FALSE,"Input"}</definedName>
    <definedName name="Diebold" hidden="1">{"Headcount",#N/A,FALSE,"Input"}</definedName>
    <definedName name="Diff.">#REF!</definedName>
    <definedName name="DInsurance">#REF!</definedName>
    <definedName name="DIntRev">#REF!</definedName>
    <definedName name="DIntRev2">#REF!</definedName>
    <definedName name="DIntRev3">#REF!</definedName>
    <definedName name="DIRECTMILLING">#REF!</definedName>
    <definedName name="Direitos">#REF!</definedName>
    <definedName name="Disp_Pay_Date">#REF!</definedName>
    <definedName name="Display_Week">#REF!</definedName>
    <definedName name="DIV00">#REF!</definedName>
    <definedName name="Divers">#REF!</definedName>
    <definedName name="DIVISÃO_PLEC">#REF!</definedName>
    <definedName name="DLabour">#REF!</definedName>
    <definedName name="dlas">#REF!</definedName>
    <definedName name="dlas2">#REF!</definedName>
    <definedName name="dlcas">#REF!</definedName>
    <definedName name="dlccas">#REF!</definedName>
    <definedName name="dlch">#REF!</definedName>
    <definedName name="dlchf">#REF!</definedName>
    <definedName name="dlcm">#REF!</definedName>
    <definedName name="dlcmaternity">#REF!</definedName>
    <definedName name="dlcmi">#REF!</definedName>
    <definedName name="dlcnei">#REF!</definedName>
    <definedName name="dlcr">#REF!</definedName>
    <definedName name="dlcri">#REF!</definedName>
    <definedName name="dlcu">#REF!</definedName>
    <definedName name="dlcw">#REF!</definedName>
    <definedName name="dlcwi">#REF!</definedName>
    <definedName name="dlcwihub">#REF!</definedName>
    <definedName name="dlm">#REF!</definedName>
    <definedName name="dlnotax">#REF!</definedName>
    <definedName name="dlph">#REF!</definedName>
    <definedName name="dlphf">#REF!</definedName>
    <definedName name="dlpm">#REF!</definedName>
    <definedName name="dlpmi">#REF!</definedName>
    <definedName name="dlpnei">#REF!</definedName>
    <definedName name="dlpr">#REF!</definedName>
    <definedName name="dlpri">#REF!</definedName>
    <definedName name="dlpu">#REF!</definedName>
    <definedName name="Dmaint">#REF!</definedName>
    <definedName name="do">#REF!</definedName>
    <definedName name="Do_Exercicio">#REF!</definedName>
    <definedName name="DOC">#REF!</definedName>
    <definedName name="dog">#REF!</definedName>
    <definedName name="DOLAR">#REF!</definedName>
    <definedName name="domestic_cr">#REF!</definedName>
    <definedName name="domestic_fd">#REF!</definedName>
    <definedName name="domestic_finance">#REF!</definedName>
    <definedName name="domestic_fp">#REF!</definedName>
    <definedName name="domestic_IWC">#REF!</definedName>
    <definedName name="domestic_mr">#REF!</definedName>
    <definedName name="domestic_overheads">#REF!</definedName>
    <definedName name="domestic_s_supply">#REF!</definedName>
    <definedName name="domestic_scheme">#REF!</definedName>
    <definedName name="Domestic_Scheme_Coops">#REF!</definedName>
    <definedName name="domestic_thememedia">#REF!</definedName>
    <definedName name="domestic_themeother">#REF!</definedName>
    <definedName name="domestico">#REF!</definedName>
    <definedName name="domestico1">#REF!</definedName>
    <definedName name="Donguan_J.V.">#REF!</definedName>
    <definedName name="Donguan_J.V.狥拆SA">#REF!</definedName>
    <definedName name="DOther">#REF!</definedName>
    <definedName name="DPackMaterial">#REF!</definedName>
    <definedName name="DPD">#REF!</definedName>
    <definedName name="Dprc_aparelhos_lab">#REF!</definedName>
    <definedName name="Dprc_britagem">#REF!</definedName>
    <definedName name="Dprc_Fsc_aparelhos_lab">#REF!</definedName>
    <definedName name="Dprc_Fsc_britagem">#REF!</definedName>
    <definedName name="Dprc_Fsc_equip_menor">#REF!</definedName>
    <definedName name="Dprc_Fsc_gerador_medio">#REF!</definedName>
    <definedName name="Dprc_Fsc_inst_industr">#REF!</definedName>
    <definedName name="Dprc_Fsc_maq_lig">#REF!</definedName>
    <definedName name="Dprc_Fsc_PT">#REF!</definedName>
    <definedName name="Dprc_Fsc_utensil">#REF!</definedName>
    <definedName name="Dprc_Fsc_veic_construcao">#REF!</definedName>
    <definedName name="Dprc_gerador_medio">#REF!</definedName>
    <definedName name="Dprc_inst_industr">#REF!</definedName>
    <definedName name="Dprc_maq_lig">#REF!</definedName>
    <definedName name="Dprc_PT">#REF!</definedName>
    <definedName name="Dprc_utensil">#REF!</definedName>
    <definedName name="Dprc_veic_construcao">#REF!</definedName>
    <definedName name="DPV">#REF!</definedName>
    <definedName name="dqdaqd" localSheetId="10" hidden="1">{"VARIASMOEDAS",#N/A,FALSE,"APLICAR"}</definedName>
    <definedName name="dqdaqd" localSheetId="3" hidden="1">{"VARIASMOEDAS",#N/A,FALSE,"APLICAR"}</definedName>
    <definedName name="dqdaqd" hidden="1">{"VARIASMOEDAS",#N/A,FALSE,"APLICAR"}</definedName>
    <definedName name="dqdaqdqdqd" localSheetId="10" hidden="1">{"VARIASMOEDAS",#N/A,FALSE,"APLICAR"}</definedName>
    <definedName name="dqdaqdqdqd" localSheetId="3" hidden="1">{"VARIASMOEDAS",#N/A,FALSE,"APLICAR"}</definedName>
    <definedName name="dqdaqdqdqd" hidden="1">{"VARIASMOEDAS",#N/A,FALSE,"APLICAR"}</definedName>
    <definedName name="dqdqdqd" localSheetId="10" hidden="1">{"VARIASMOEDAS",#N/A,FALSE,"APLICAR"}</definedName>
    <definedName name="dqdqdqd" localSheetId="3" hidden="1">{"VARIASMOEDAS",#N/A,FALSE,"APLICAR"}</definedName>
    <definedName name="dqdqdqd" hidden="1">{"VARIASMOEDAS",#N/A,FALSE,"APLICAR"}</definedName>
    <definedName name="dqdwqdqfd" localSheetId="10" hidden="1">{"VARIASMOEDAS",#N/A,FALSE,"APLICAR"}</definedName>
    <definedName name="dqdwqdqfd" localSheetId="3" hidden="1">{"VARIASMOEDAS",#N/A,FALSE,"APLICAR"}</definedName>
    <definedName name="dqdwqdqfd" hidden="1">{"VARIASMOEDAS",#N/A,FALSE,"APLICAR"}</definedName>
    <definedName name="DR">#REF!</definedName>
    <definedName name="draft" localSheetId="10" hidden="1">{#N/A,#N/A,FALSE,"cover";#N/A,#N/A,FALSE,"page_1";#N/A,#N/A,FALSE,"page_2";#N/A,#N/A,FALSE,"page_3";#N/A,#N/A,FALSE,"page_4"}</definedName>
    <definedName name="draft" localSheetId="3" hidden="1">{#N/A,#N/A,FALSE,"cover";#N/A,#N/A,FALSE,"page_1";#N/A,#N/A,FALSE,"page_2";#N/A,#N/A,FALSE,"page_3";#N/A,#N/A,FALSE,"page_4"}</definedName>
    <definedName name="draft" hidden="1">{#N/A,#N/A,FALSE,"cover";#N/A,#N/A,FALSE,"page_1";#N/A,#N/A,FALSE,"page_2";#N/A,#N/A,FALSE,"page_3";#N/A,#N/A,FALSE,"page_4"}</definedName>
    <definedName name="draft_1" localSheetId="10" hidden="1">{#N/A,#N/A,FALSE,"cover";#N/A,#N/A,FALSE,"page_1";#N/A,#N/A,FALSE,"page_2";#N/A,#N/A,FALSE,"page_3";#N/A,#N/A,FALSE,"page_4"}</definedName>
    <definedName name="draft_1" localSheetId="3" hidden="1">{#N/A,#N/A,FALSE,"cover";#N/A,#N/A,FALSE,"page_1";#N/A,#N/A,FALSE,"page_2";#N/A,#N/A,FALSE,"page_3";#N/A,#N/A,FALSE,"page_4"}</definedName>
    <definedName name="draft_1" hidden="1">{#N/A,#N/A,FALSE,"cover";#N/A,#N/A,FALSE,"page_1";#N/A,#N/A,FALSE,"page_2";#N/A,#N/A,FALSE,"page_3";#N/A,#N/A,FALSE,"page_4"}</definedName>
    <definedName name="draft_2" localSheetId="10" hidden="1">{#N/A,#N/A,FALSE,"cover";#N/A,#N/A,FALSE,"page_1";#N/A,#N/A,FALSE,"page_2";#N/A,#N/A,FALSE,"page_3";#N/A,#N/A,FALSE,"page_4"}</definedName>
    <definedName name="draft_2" localSheetId="3" hidden="1">{#N/A,#N/A,FALSE,"cover";#N/A,#N/A,FALSE,"page_1";#N/A,#N/A,FALSE,"page_2";#N/A,#N/A,FALSE,"page_3";#N/A,#N/A,FALSE,"page_4"}</definedName>
    <definedName name="draft_2" hidden="1">{#N/A,#N/A,FALSE,"cover";#N/A,#N/A,FALSE,"page_1";#N/A,#N/A,FALSE,"page_2";#N/A,#N/A,FALSE,"page_3";#N/A,#N/A,FALSE,"page_4"}</definedName>
    <definedName name="draft_3" localSheetId="10" hidden="1">{#N/A,#N/A,FALSE,"cover";#N/A,#N/A,FALSE,"page_1";#N/A,#N/A,FALSE,"page_2";#N/A,#N/A,FALSE,"page_3";#N/A,#N/A,FALSE,"page_4"}</definedName>
    <definedName name="draft_3" localSheetId="3" hidden="1">{#N/A,#N/A,FALSE,"cover";#N/A,#N/A,FALSE,"page_1";#N/A,#N/A,FALSE,"page_2";#N/A,#N/A,FALSE,"page_3";#N/A,#N/A,FALSE,"page_4"}</definedName>
    <definedName name="draft_3" hidden="1">{#N/A,#N/A,FALSE,"cover";#N/A,#N/A,FALSE,"page_1";#N/A,#N/A,FALSE,"page_2";#N/A,#N/A,FALSE,"page_3";#N/A,#N/A,FALSE,"page_4"}</definedName>
    <definedName name="draft_4" localSheetId="10" hidden="1">{#N/A,#N/A,FALSE,"cover";#N/A,#N/A,FALSE,"page_1";#N/A,#N/A,FALSE,"page_2";#N/A,#N/A,FALSE,"page_3";#N/A,#N/A,FALSE,"page_4"}</definedName>
    <definedName name="draft_4" localSheetId="3" hidden="1">{#N/A,#N/A,FALSE,"cover";#N/A,#N/A,FALSE,"page_1";#N/A,#N/A,FALSE,"page_2";#N/A,#N/A,FALSE,"page_3";#N/A,#N/A,FALSE,"page_4"}</definedName>
    <definedName name="draft_4" hidden="1">{#N/A,#N/A,FALSE,"cover";#N/A,#N/A,FALSE,"page_1";#N/A,#N/A,FALSE,"page_2";#N/A,#N/A,FALSE,"page_3";#N/A,#N/A,FALSE,"page_4"}</definedName>
    <definedName name="draft_5" localSheetId="10" hidden="1">{#N/A,#N/A,FALSE,"cover";#N/A,#N/A,FALSE,"page_1";#N/A,#N/A,FALSE,"page_2";#N/A,#N/A,FALSE,"page_3";#N/A,#N/A,FALSE,"page_4"}</definedName>
    <definedName name="draft_5" localSheetId="3" hidden="1">{#N/A,#N/A,FALSE,"cover";#N/A,#N/A,FALSE,"page_1";#N/A,#N/A,FALSE,"page_2";#N/A,#N/A,FALSE,"page_3";#N/A,#N/A,FALSE,"page_4"}</definedName>
    <definedName name="draft_5" hidden="1">{#N/A,#N/A,FALSE,"cover";#N/A,#N/A,FALSE,"page_1";#N/A,#N/A,FALSE,"page_2";#N/A,#N/A,FALSE,"page_3";#N/A,#N/A,FALSE,"page_4"}</definedName>
    <definedName name="DRates">#REF!</definedName>
    <definedName name="DRES">#REF!</definedName>
    <definedName name="drmês">#REF!</definedName>
    <definedName name="Drs">#REF!,#REF!,#REF!,#REF!</definedName>
    <definedName name="ds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ds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ds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dsaafg" localSheetId="10" hidden="1">{"'ALqdUESP'!$B$11"}</definedName>
    <definedName name="dsaafg" localSheetId="3" hidden="1">{"'ALqdUESP'!$B$11"}</definedName>
    <definedName name="dsaafg" hidden="1">{"'ALqdUESP'!$B$11"}</definedName>
    <definedName name="dsad">#REF!</definedName>
    <definedName name="dsadasDas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sadasDas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sadasDas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scsd">#REF!</definedName>
    <definedName name="ds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s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s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sdsa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dsdsa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dsdsa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dsdsad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sdsad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sdsad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DSplit1">#REF!</definedName>
    <definedName name="DSplit2">#REF!</definedName>
    <definedName name="DSplit22">#REF!</definedName>
    <definedName name="DStorage">#REF!</definedName>
    <definedName name="DTA00">#REF!</definedName>
    <definedName name="DTAB">#REF!</definedName>
    <definedName name="dumppr">#REF!</definedName>
    <definedName name="DURE_01_IG">#REF!</definedName>
    <definedName name="dv">#REF!</definedName>
    <definedName name="dzb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zb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dzb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E">#REF!</definedName>
    <definedName name="è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è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è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EBANK">#REF!</definedName>
    <definedName name="ECOM">#REF!</definedName>
    <definedName name="edd">#REF!</definedName>
    <definedName name="eddede" localSheetId="10" hidden="1">{"'Sheet1'!$M$363:$M$364"}</definedName>
    <definedName name="eddede" localSheetId="3" hidden="1">{"'Sheet1'!$M$363:$M$364"}</definedName>
    <definedName name="eddede" hidden="1">{"'Sheet1'!$M$363:$M$364"}</definedName>
    <definedName name="eddede_1" localSheetId="10" hidden="1">{"'Sheet1'!$M$363:$M$364"}</definedName>
    <definedName name="eddede_1" localSheetId="3" hidden="1">{"'Sheet1'!$M$363:$M$364"}</definedName>
    <definedName name="eddede_1" hidden="1">{"'Sheet1'!$M$363:$M$364"}</definedName>
    <definedName name="eddede_2" localSheetId="10" hidden="1">{"'Sheet1'!$M$363:$M$364"}</definedName>
    <definedName name="eddede_2" localSheetId="3" hidden="1">{"'Sheet1'!$M$363:$M$364"}</definedName>
    <definedName name="eddede_2" hidden="1">{"'Sheet1'!$M$363:$M$364"}</definedName>
    <definedName name="eddede_3" localSheetId="10" hidden="1">{"'Sheet1'!$M$363:$M$364"}</definedName>
    <definedName name="eddede_3" localSheetId="3" hidden="1">{"'Sheet1'!$M$363:$M$364"}</definedName>
    <definedName name="eddede_3" hidden="1">{"'Sheet1'!$M$363:$M$364"}</definedName>
    <definedName name="eddede_4" localSheetId="10" hidden="1">{"'Sheet1'!$M$363:$M$364"}</definedName>
    <definedName name="eddede_4" localSheetId="3" hidden="1">{"'Sheet1'!$M$363:$M$364"}</definedName>
    <definedName name="eddede_4" hidden="1">{"'Sheet1'!$M$363:$M$364"}</definedName>
    <definedName name="eddede_5" localSheetId="10" hidden="1">{"'Sheet1'!$M$363:$M$364"}</definedName>
    <definedName name="eddede_5" localSheetId="3" hidden="1">{"'Sheet1'!$M$363:$M$364"}</definedName>
    <definedName name="eddede_5" hidden="1">{"'Sheet1'!$M$363:$M$364"}</definedName>
    <definedName name="ededeee" hidden="1">#REF!</definedName>
    <definedName name="EDRE">#REF!</definedName>
    <definedName name="eee" localSheetId="10" hidden="1">{"VARIASMOEDAS",#N/A,FALSE,"APLICAR"}</definedName>
    <definedName name="eee" localSheetId="3" hidden="1">{"VARIASMOEDAS",#N/A,FALSE,"APLICAR"}</definedName>
    <definedName name="eee" hidden="1">{"VARIASMOEDAS",#N/A,FALSE,"APLICAR"}</definedName>
    <definedName name="eee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eee.REP" localSheetId="10" hidden="1">{#N/A,#N/A,FALSE,"min";#N/A,#N/A,FALSE,"mean";#N/A,#N/A,FALSE,"max"}</definedName>
    <definedName name="eee.REP" localSheetId="3" hidden="1">{#N/A,#N/A,FALSE,"min";#N/A,#N/A,FALSE,"mean";#N/A,#N/A,FALSE,"max"}</definedName>
    <definedName name="eee.REP" hidden="1">{#N/A,#N/A,FALSE,"min";#N/A,#N/A,FALSE,"mean";#N/A,#N/A,FALSE,"max"}</definedName>
    <definedName name="eee.REP_1" localSheetId="10" hidden="1">{#N/A,#N/A,FALSE,"min";#N/A,#N/A,FALSE,"mean";#N/A,#N/A,FALSE,"max"}</definedName>
    <definedName name="eee.REP_1" localSheetId="3" hidden="1">{#N/A,#N/A,FALSE,"min";#N/A,#N/A,FALSE,"mean";#N/A,#N/A,FALSE,"max"}</definedName>
    <definedName name="eee.REP_1" hidden="1">{#N/A,#N/A,FALSE,"min";#N/A,#N/A,FALSE,"mean";#N/A,#N/A,FALSE,"max"}</definedName>
    <definedName name="eee.REP_2" localSheetId="10" hidden="1">{#N/A,#N/A,FALSE,"min";#N/A,#N/A,FALSE,"mean";#N/A,#N/A,FALSE,"max"}</definedName>
    <definedName name="eee.REP_2" localSheetId="3" hidden="1">{#N/A,#N/A,FALSE,"min";#N/A,#N/A,FALSE,"mean";#N/A,#N/A,FALSE,"max"}</definedName>
    <definedName name="eee.REP_2" hidden="1">{#N/A,#N/A,FALSE,"min";#N/A,#N/A,FALSE,"mean";#N/A,#N/A,FALSE,"max"}</definedName>
    <definedName name="eee.REP_3" localSheetId="10" hidden="1">{#N/A,#N/A,FALSE,"min";#N/A,#N/A,FALSE,"mean";#N/A,#N/A,FALSE,"max"}</definedName>
    <definedName name="eee.REP_3" localSheetId="3" hidden="1">{#N/A,#N/A,FALSE,"min";#N/A,#N/A,FALSE,"mean";#N/A,#N/A,FALSE,"max"}</definedName>
    <definedName name="eee.REP_3" hidden="1">{#N/A,#N/A,FALSE,"min";#N/A,#N/A,FALSE,"mean";#N/A,#N/A,FALSE,"max"}</definedName>
    <definedName name="eee.REP_4" localSheetId="10" hidden="1">{#N/A,#N/A,FALSE,"min";#N/A,#N/A,FALSE,"mean";#N/A,#N/A,FALSE,"max"}</definedName>
    <definedName name="eee.REP_4" localSheetId="3" hidden="1">{#N/A,#N/A,FALSE,"min";#N/A,#N/A,FALSE,"mean";#N/A,#N/A,FALSE,"max"}</definedName>
    <definedName name="eee.REP_4" hidden="1">{#N/A,#N/A,FALSE,"min";#N/A,#N/A,FALSE,"mean";#N/A,#N/A,FALSE,"max"}</definedName>
    <definedName name="eee.REP_5" localSheetId="10" hidden="1">{#N/A,#N/A,FALSE,"min";#N/A,#N/A,FALSE,"mean";#N/A,#N/A,FALSE,"max"}</definedName>
    <definedName name="eee.REP_5" localSheetId="3" hidden="1">{#N/A,#N/A,FALSE,"min";#N/A,#N/A,FALSE,"mean";#N/A,#N/A,FALSE,"max"}</definedName>
    <definedName name="eee.REP_5" hidden="1">{#N/A,#N/A,FALSE,"min";#N/A,#N/A,FALSE,"mean";#N/A,#N/A,FALSE,"max"}</definedName>
    <definedName name="eeee" localSheetId="10" hidden="1">{"VARIASMOEDAS",#N/A,FALSE,"APLICAR"}</definedName>
    <definedName name="eeee" localSheetId="3" hidden="1">{"VARIASMOEDAS",#N/A,FALSE,"APLICAR"}</definedName>
    <definedName name="eeee" hidden="1">{"VARIASMOEDAS",#N/A,FALSE,"APLICAR"}</definedName>
    <definedName name="eeeeee">#REF!</definedName>
    <definedName name="EFC">#REF!</definedName>
    <definedName name="eger" localSheetId="10" hidden="1">{#N/A,#N/A,FALSE,"cover";#N/A,#N/A,FALSE,"page_1";#N/A,#N/A,FALSE,"page_2";#N/A,#N/A,FALSE,"page_3";#N/A,#N/A,FALSE,"page_4"}</definedName>
    <definedName name="eger" localSheetId="3" hidden="1">{#N/A,#N/A,FALSE,"cover";#N/A,#N/A,FALSE,"page_1";#N/A,#N/A,FALSE,"page_2";#N/A,#N/A,FALSE,"page_3";#N/A,#N/A,FALSE,"page_4"}</definedName>
    <definedName name="eger" hidden="1">{#N/A,#N/A,FALSE,"cover";#N/A,#N/A,FALSE,"page_1";#N/A,#N/A,FALSE,"page_2";#N/A,#N/A,FALSE,"page_3";#N/A,#N/A,FALSE,"page_4"}</definedName>
    <definedName name="eger_1" localSheetId="10" hidden="1">{#N/A,#N/A,FALSE,"cover";#N/A,#N/A,FALSE,"page_1";#N/A,#N/A,FALSE,"page_2";#N/A,#N/A,FALSE,"page_3";#N/A,#N/A,FALSE,"page_4"}</definedName>
    <definedName name="eger_1" localSheetId="3" hidden="1">{#N/A,#N/A,FALSE,"cover";#N/A,#N/A,FALSE,"page_1";#N/A,#N/A,FALSE,"page_2";#N/A,#N/A,FALSE,"page_3";#N/A,#N/A,FALSE,"page_4"}</definedName>
    <definedName name="eger_1" hidden="1">{#N/A,#N/A,FALSE,"cover";#N/A,#N/A,FALSE,"page_1";#N/A,#N/A,FALSE,"page_2";#N/A,#N/A,FALSE,"page_3";#N/A,#N/A,FALSE,"page_4"}</definedName>
    <definedName name="eger_2" localSheetId="10" hidden="1">{#N/A,#N/A,FALSE,"cover";#N/A,#N/A,FALSE,"page_1";#N/A,#N/A,FALSE,"page_2";#N/A,#N/A,FALSE,"page_3";#N/A,#N/A,FALSE,"page_4"}</definedName>
    <definedName name="eger_2" localSheetId="3" hidden="1">{#N/A,#N/A,FALSE,"cover";#N/A,#N/A,FALSE,"page_1";#N/A,#N/A,FALSE,"page_2";#N/A,#N/A,FALSE,"page_3";#N/A,#N/A,FALSE,"page_4"}</definedName>
    <definedName name="eger_2" hidden="1">{#N/A,#N/A,FALSE,"cover";#N/A,#N/A,FALSE,"page_1";#N/A,#N/A,FALSE,"page_2";#N/A,#N/A,FALSE,"page_3";#N/A,#N/A,FALSE,"page_4"}</definedName>
    <definedName name="eger_3" localSheetId="10" hidden="1">{#N/A,#N/A,FALSE,"cover";#N/A,#N/A,FALSE,"page_1";#N/A,#N/A,FALSE,"page_2";#N/A,#N/A,FALSE,"page_3";#N/A,#N/A,FALSE,"page_4"}</definedName>
    <definedName name="eger_3" localSheetId="3" hidden="1">{#N/A,#N/A,FALSE,"cover";#N/A,#N/A,FALSE,"page_1";#N/A,#N/A,FALSE,"page_2";#N/A,#N/A,FALSE,"page_3";#N/A,#N/A,FALSE,"page_4"}</definedName>
    <definedName name="eger_3" hidden="1">{#N/A,#N/A,FALSE,"cover";#N/A,#N/A,FALSE,"page_1";#N/A,#N/A,FALSE,"page_2";#N/A,#N/A,FALSE,"page_3";#N/A,#N/A,FALSE,"page_4"}</definedName>
    <definedName name="eger_4" localSheetId="10" hidden="1">{#N/A,#N/A,FALSE,"cover";#N/A,#N/A,FALSE,"page_1";#N/A,#N/A,FALSE,"page_2";#N/A,#N/A,FALSE,"page_3";#N/A,#N/A,FALSE,"page_4"}</definedName>
    <definedName name="eger_4" localSheetId="3" hidden="1">{#N/A,#N/A,FALSE,"cover";#N/A,#N/A,FALSE,"page_1";#N/A,#N/A,FALSE,"page_2";#N/A,#N/A,FALSE,"page_3";#N/A,#N/A,FALSE,"page_4"}</definedName>
    <definedName name="eger_4" hidden="1">{#N/A,#N/A,FALSE,"cover";#N/A,#N/A,FALSE,"page_1";#N/A,#N/A,FALSE,"page_2";#N/A,#N/A,FALSE,"page_3";#N/A,#N/A,FALSE,"page_4"}</definedName>
    <definedName name="eger_5" localSheetId="10" hidden="1">{#N/A,#N/A,FALSE,"cover";#N/A,#N/A,FALSE,"page_1";#N/A,#N/A,FALSE,"page_2";#N/A,#N/A,FALSE,"page_3";#N/A,#N/A,FALSE,"page_4"}</definedName>
    <definedName name="eger_5" localSheetId="3" hidden="1">{#N/A,#N/A,FALSE,"cover";#N/A,#N/A,FALSE,"page_1";#N/A,#N/A,FALSE,"page_2";#N/A,#N/A,FALSE,"page_3";#N/A,#N/A,FALSE,"page_4"}</definedName>
    <definedName name="eger_5" hidden="1">{#N/A,#N/A,FALSE,"cover";#N/A,#N/A,FALSE,"page_1";#N/A,#N/A,FALSE,"page_2";#N/A,#N/A,FALSE,"page_3";#N/A,#N/A,FALSE,"page_4"}</definedName>
    <definedName name="Eilália3">#REF!</definedName>
    <definedName name="EIOG">#REF!</definedName>
    <definedName name="EL_Total">#REF!</definedName>
    <definedName name="ELIM">#REF!</definedName>
    <definedName name="Email">#REF!</definedName>
    <definedName name="eml_NO">#REF!</definedName>
    <definedName name="EMPRESA">#REF!</definedName>
    <definedName name="emprestimo_anexo">#REF!</definedName>
    <definedName name="End_Bal">#REF!</definedName>
    <definedName name="enddate">#REF!</definedName>
    <definedName name="Ending.Balance">IF(#REF!&lt;&gt;"",#REF!-#REF!,"")</definedName>
    <definedName name="endmenu">#REF!</definedName>
    <definedName name="EndOfComments">#REF!</definedName>
    <definedName name="EndOfData">#REF!</definedName>
    <definedName name="Entered_payment">#REF!</definedName>
    <definedName name="Entertainment___Promotion">#REF!</definedName>
    <definedName name="ENTITE1">#REF!</definedName>
    <definedName name="Environmental">#REF!</definedName>
    <definedName name="ép0IUàò9YPòY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ép0IUàò9YPòY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ép0IUàò9YPòY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PROCU">#REF!</definedName>
    <definedName name="eqrgt" hidden="1">#N/A</definedName>
    <definedName name="Equipamentos">#REF!</definedName>
    <definedName name="eqweqw">#REF!</definedName>
    <definedName name="ER">#REF!</definedName>
    <definedName name="erasdasdasd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rasdasdasd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rasdasdasd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rdsfsdf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rdsfsdf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rdsfsdf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eree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eree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ere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erqfg" hidden="1">#N/A</definedName>
    <definedName name="errado">#REF!</definedName>
    <definedName name="erro">#REF!</definedName>
    <definedName name="ert" localSheetId="10" hidden="1">{#N/A,#N/A,FALSE,"Ipotesi comuni"}</definedName>
    <definedName name="ert" localSheetId="3" hidden="1">{#N/A,#N/A,FALSE,"Ipotesi comuni"}</definedName>
    <definedName name="ert" hidden="1">{#N/A,#N/A,FALSE,"Ipotesi comuni"}</definedName>
    <definedName name="es">#REF!,#REF!,#REF!,#REF!</definedName>
    <definedName name="EsbFrzRange">#REF!</definedName>
    <definedName name="EsbPeriod">#REF!</definedName>
    <definedName name="EssLatest">"Per00"</definedName>
    <definedName name="EssOptions">"A2100000000111000011001101000_01000"</definedName>
    <definedName name="eth_scheme">#REF!</definedName>
    <definedName name="eth_theme_media">#REF!</definedName>
    <definedName name="eth_theme_other">#REF!</definedName>
    <definedName name="eu">#REF!</definedName>
    <definedName name="eulalia">#REF!</definedName>
    <definedName name="eulália_2">#REF!</definedName>
    <definedName name="EUR">#REF!</definedName>
    <definedName name="EUR_1041">#REF!</definedName>
    <definedName name="EUR_11010">#REF!</definedName>
    <definedName name="euro">#REF!</definedName>
    <definedName name="EURO03">#REF!</definedName>
    <definedName name="eusd" localSheetId="10">'[1]Assumptions F2025'!$E$3</definedName>
    <definedName name="eusd">#REF!</definedName>
    <definedName name="EV__LASTREFTIME__" hidden="1">40554.0668287037</definedName>
    <definedName name="EV__MAXEXPCOLS__" hidden="1">100</definedName>
    <definedName name="EV__MAXEXPROWS__" hidden="1">2000</definedName>
    <definedName name="EV__WBEVMODE__" hidden="1">0</definedName>
    <definedName name="EV__WBREFOPTIONS__" hidden="1">134217735</definedName>
    <definedName name="EV__WBVERSION__" hidden="1">0</definedName>
    <definedName name="EVOL" localSheetId="10" hidden="1">{#N/A,#N/A,FALSE,"GFPLEC96"}</definedName>
    <definedName name="EVOL" localSheetId="3" hidden="1">{#N/A,#N/A,FALSE,"GFPLEC96"}</definedName>
    <definedName name="EVOL" hidden="1">{#N/A,#N/A,FALSE,"GFPLEC96"}</definedName>
    <definedName name="eweqwew">#REF!</definedName>
    <definedName name="EWW">#REF!,#REF!</definedName>
    <definedName name="exch">#REF!</definedName>
    <definedName name="Exercicios_Anteriores">#REF!</definedName>
    <definedName name="EXISTENCIAS">#REF!</definedName>
    <definedName name="expcode">#REF!</definedName>
    <definedName name="expense">#REF!</definedName>
    <definedName name="export">#REF!</definedName>
    <definedName name="exportação" localSheetId="10" hidden="1">{#N/A,#N/A,FALSE,"GFPLEC96"}</definedName>
    <definedName name="exportação" localSheetId="3" hidden="1">{#N/A,#N/A,FALSE,"GFPLEC96"}</definedName>
    <definedName name="exportação" hidden="1">{#N/A,#N/A,FALSE,"GFPLEC96"}</definedName>
    <definedName name="Expressed_in_RMB">#REF!</definedName>
    <definedName name="exr">#REF!</definedName>
    <definedName name="Extra_Pay">#REF!</definedName>
    <definedName name="EXTRAAM">#REF!</definedName>
    <definedName name="_xlnm.Extract">#REF!</definedName>
    <definedName name="Extract_MI">#REF!</definedName>
    <definedName name="Extrap">#REF!</definedName>
    <definedName name="EXTRAPM">#REF!</definedName>
    <definedName name="ey">#REF!</definedName>
    <definedName name="eyyy">#REF!</definedName>
    <definedName name="f">#REF!</definedName>
    <definedName name="F2.1">#REF!</definedName>
    <definedName name="FA_list">#REF!</definedName>
    <definedName name="faber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er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er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bion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ACTOR">#REF!</definedName>
    <definedName name="FactPL">#REF!</definedName>
    <definedName name="faffsfd" hidden="1">#REF!</definedName>
    <definedName name="Failuremodes">#REF!</definedName>
    <definedName name="FAIXAS">#REF!</definedName>
    <definedName name="Fax">#REF!</definedName>
    <definedName name="FC">#REF!</definedName>
    <definedName name="Fcode">#REF!</definedName>
    <definedName name="FD">#REF!</definedName>
    <definedName name="FDAFDSAFDSA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AFDSAFDSA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ess" hidden="1">#REF!</definedName>
    <definedName name="FDFA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A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d" hidden="1">#REF!</definedName>
    <definedName name="fdfdfd" hidden="1">#REF!</definedName>
    <definedName name="fdffdsafdsa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ffdsafdsa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ADSFDSA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asfdas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a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afdsafdsafdasf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fdsfsdasad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fdsfsdasad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fdsfsdasad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FE">#REF!</definedName>
    <definedName name="FEB">"FEB"</definedName>
    <definedName name="february" localSheetId="10" hidden="1">{#N/A,#N/A,FALSE,"JACKETS (1100 t) (1)"}</definedName>
    <definedName name="february" localSheetId="3" hidden="1">{#N/A,#N/A,FALSE,"JACKETS (1100 t) (1)"}</definedName>
    <definedName name="february" hidden="1">{#N/A,#N/A,FALSE,"JACKETS (1100 t) (1)"}</definedName>
    <definedName name="february_1" localSheetId="10" hidden="1">{#N/A,#N/A,FALSE,"JACKETS (1100 t) (1)"}</definedName>
    <definedName name="february_1" localSheetId="3" hidden="1">{#N/A,#N/A,FALSE,"JACKETS (1100 t) (1)"}</definedName>
    <definedName name="february_1" hidden="1">{#N/A,#N/A,FALSE,"JACKETS (1100 t) (1)"}</definedName>
    <definedName name="february_2" localSheetId="10" hidden="1">{#N/A,#N/A,FALSE,"JACKETS (1100 t) (1)"}</definedName>
    <definedName name="february_2" localSheetId="3" hidden="1">{#N/A,#N/A,FALSE,"JACKETS (1100 t) (1)"}</definedName>
    <definedName name="february_2" hidden="1">{#N/A,#N/A,FALSE,"JACKETS (1100 t) (1)"}</definedName>
    <definedName name="february_3" localSheetId="10" hidden="1">{#N/A,#N/A,FALSE,"JACKETS (1100 t) (1)"}</definedName>
    <definedName name="february_3" localSheetId="3" hidden="1">{#N/A,#N/A,FALSE,"JACKETS (1100 t) (1)"}</definedName>
    <definedName name="february_3" hidden="1">{#N/A,#N/A,FALSE,"JACKETS (1100 t) (1)"}</definedName>
    <definedName name="february_4" localSheetId="10" hidden="1">{#N/A,#N/A,FALSE,"JACKETS (1100 t) (1)"}</definedName>
    <definedName name="february_4" localSheetId="3" hidden="1">{#N/A,#N/A,FALSE,"JACKETS (1100 t) (1)"}</definedName>
    <definedName name="february_4" hidden="1">{#N/A,#N/A,FALSE,"JACKETS (1100 t) (1)"}</definedName>
    <definedName name="february_5" localSheetId="10" hidden="1">{#N/A,#N/A,FALSE,"JACKETS (1100 t) (1)"}</definedName>
    <definedName name="february_5" localSheetId="3" hidden="1">{#N/A,#N/A,FALSE,"JACKETS (1100 t) (1)"}</definedName>
    <definedName name="february_5" hidden="1">{#N/A,#N/A,FALSE,"JACKETS (1100 t) (1)"}</definedName>
    <definedName name="Fees">#REF!</definedName>
    <definedName name="FERIADOS">#REF!</definedName>
    <definedName name="ferraz" localSheetId="10" hidden="1">{"VARIASMOEDAS",#N/A,FALSE,"APLICAR"}</definedName>
    <definedName name="ferraz" localSheetId="3" hidden="1">{"VARIASMOEDAS",#N/A,FALSE,"APLICAR"}</definedName>
    <definedName name="ferraz" hidden="1">{"VARIASMOEDAS",#N/A,FALSE,"APLICAR"}</definedName>
    <definedName name="FEVEREIRO">#REF!</definedName>
    <definedName name="FEVEREIRO_2009">#REF!</definedName>
    <definedName name="FF">#REF!</definedName>
    <definedName name="ff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FF">#REF!</definedName>
    <definedName name="fff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fff.REP" localSheetId="10" hidden="1">{#N/A,#N/A,FALSE,"min";#N/A,#N/A,FALSE,"mean";#N/A,#N/A,FALSE,"max"}</definedName>
    <definedName name="fff.REP" localSheetId="3" hidden="1">{#N/A,#N/A,FALSE,"min";#N/A,#N/A,FALSE,"mean";#N/A,#N/A,FALSE,"max"}</definedName>
    <definedName name="fff.REP" hidden="1">{#N/A,#N/A,FALSE,"min";#N/A,#N/A,FALSE,"mean";#N/A,#N/A,FALSE,"max"}</definedName>
    <definedName name="fff.REP_1" localSheetId="10" hidden="1">{#N/A,#N/A,FALSE,"min";#N/A,#N/A,FALSE,"mean";#N/A,#N/A,FALSE,"max"}</definedName>
    <definedName name="fff.REP_1" localSheetId="3" hidden="1">{#N/A,#N/A,FALSE,"min";#N/A,#N/A,FALSE,"mean";#N/A,#N/A,FALSE,"max"}</definedName>
    <definedName name="fff.REP_1" hidden="1">{#N/A,#N/A,FALSE,"min";#N/A,#N/A,FALSE,"mean";#N/A,#N/A,FALSE,"max"}</definedName>
    <definedName name="fff.REP_2" localSheetId="10" hidden="1">{#N/A,#N/A,FALSE,"min";#N/A,#N/A,FALSE,"mean";#N/A,#N/A,FALSE,"max"}</definedName>
    <definedName name="fff.REP_2" localSheetId="3" hidden="1">{#N/A,#N/A,FALSE,"min";#N/A,#N/A,FALSE,"mean";#N/A,#N/A,FALSE,"max"}</definedName>
    <definedName name="fff.REP_2" hidden="1">{#N/A,#N/A,FALSE,"min";#N/A,#N/A,FALSE,"mean";#N/A,#N/A,FALSE,"max"}</definedName>
    <definedName name="fff.REP_3" localSheetId="10" hidden="1">{#N/A,#N/A,FALSE,"min";#N/A,#N/A,FALSE,"mean";#N/A,#N/A,FALSE,"max"}</definedName>
    <definedName name="fff.REP_3" localSheetId="3" hidden="1">{#N/A,#N/A,FALSE,"min";#N/A,#N/A,FALSE,"mean";#N/A,#N/A,FALSE,"max"}</definedName>
    <definedName name="fff.REP_3" hidden="1">{#N/A,#N/A,FALSE,"min";#N/A,#N/A,FALSE,"mean";#N/A,#N/A,FALSE,"max"}</definedName>
    <definedName name="fff.REP_4" localSheetId="10" hidden="1">{#N/A,#N/A,FALSE,"min";#N/A,#N/A,FALSE,"mean";#N/A,#N/A,FALSE,"max"}</definedName>
    <definedName name="fff.REP_4" localSheetId="3" hidden="1">{#N/A,#N/A,FALSE,"min";#N/A,#N/A,FALSE,"mean";#N/A,#N/A,FALSE,"max"}</definedName>
    <definedName name="fff.REP_4" hidden="1">{#N/A,#N/A,FALSE,"min";#N/A,#N/A,FALSE,"mean";#N/A,#N/A,FALSE,"max"}</definedName>
    <definedName name="fff.REP_5" localSheetId="10" hidden="1">{#N/A,#N/A,FALSE,"min";#N/A,#N/A,FALSE,"mean";#N/A,#N/A,FALSE,"max"}</definedName>
    <definedName name="fff.REP_5" localSheetId="3" hidden="1">{#N/A,#N/A,FALSE,"min";#N/A,#N/A,FALSE,"mean";#N/A,#N/A,FALSE,"max"}</definedName>
    <definedName name="fff.REP_5" hidden="1">{#N/A,#N/A,FALSE,"min";#N/A,#N/A,FALSE,"mean";#N/A,#N/A,FALSE,"max"}</definedName>
    <definedName name="fff_1" localSheetId="10" hidden="1">{#N/A,#N/A,FALSE,"cover";#N/A,#N/A,FALSE,"page_1";#N/A,#N/A,FALSE,"page_2";#N/A,#N/A,FALSE,"page_3";#N/A,#N/A,FALSE,"page_4"}</definedName>
    <definedName name="fff_1" localSheetId="3" hidden="1">{#N/A,#N/A,FALSE,"cover";#N/A,#N/A,FALSE,"page_1";#N/A,#N/A,FALSE,"page_2";#N/A,#N/A,FALSE,"page_3";#N/A,#N/A,FALSE,"page_4"}</definedName>
    <definedName name="fff_1" hidden="1">{#N/A,#N/A,FALSE,"cover";#N/A,#N/A,FALSE,"page_1";#N/A,#N/A,FALSE,"page_2";#N/A,#N/A,FALSE,"page_3";#N/A,#N/A,FALSE,"page_4"}</definedName>
    <definedName name="fff_2" localSheetId="10" hidden="1">{#N/A,#N/A,FALSE,"cover";#N/A,#N/A,FALSE,"page_1";#N/A,#N/A,FALSE,"page_2";#N/A,#N/A,FALSE,"page_3";#N/A,#N/A,FALSE,"page_4"}</definedName>
    <definedName name="fff_2" localSheetId="3" hidden="1">{#N/A,#N/A,FALSE,"cover";#N/A,#N/A,FALSE,"page_1";#N/A,#N/A,FALSE,"page_2";#N/A,#N/A,FALSE,"page_3";#N/A,#N/A,FALSE,"page_4"}</definedName>
    <definedName name="fff_2" hidden="1">{#N/A,#N/A,FALSE,"cover";#N/A,#N/A,FALSE,"page_1";#N/A,#N/A,FALSE,"page_2";#N/A,#N/A,FALSE,"page_3";#N/A,#N/A,FALSE,"page_4"}</definedName>
    <definedName name="fff_3" localSheetId="10" hidden="1">{#N/A,#N/A,FALSE,"cover";#N/A,#N/A,FALSE,"page_1";#N/A,#N/A,FALSE,"page_2";#N/A,#N/A,FALSE,"page_3";#N/A,#N/A,FALSE,"page_4"}</definedName>
    <definedName name="fff_3" localSheetId="3" hidden="1">{#N/A,#N/A,FALSE,"cover";#N/A,#N/A,FALSE,"page_1";#N/A,#N/A,FALSE,"page_2";#N/A,#N/A,FALSE,"page_3";#N/A,#N/A,FALSE,"page_4"}</definedName>
    <definedName name="fff_3" hidden="1">{#N/A,#N/A,FALSE,"cover";#N/A,#N/A,FALSE,"page_1";#N/A,#N/A,FALSE,"page_2";#N/A,#N/A,FALSE,"page_3";#N/A,#N/A,FALSE,"page_4"}</definedName>
    <definedName name="fff_4" localSheetId="10" hidden="1">{#N/A,#N/A,FALSE,"cover";#N/A,#N/A,FALSE,"page_1";#N/A,#N/A,FALSE,"page_2";#N/A,#N/A,FALSE,"page_3";#N/A,#N/A,FALSE,"page_4"}</definedName>
    <definedName name="fff_4" localSheetId="3" hidden="1">{#N/A,#N/A,FALSE,"cover";#N/A,#N/A,FALSE,"page_1";#N/A,#N/A,FALSE,"page_2";#N/A,#N/A,FALSE,"page_3";#N/A,#N/A,FALSE,"page_4"}</definedName>
    <definedName name="fff_4" hidden="1">{#N/A,#N/A,FALSE,"cover";#N/A,#N/A,FALSE,"page_1";#N/A,#N/A,FALSE,"page_2";#N/A,#N/A,FALSE,"page_3";#N/A,#N/A,FALSE,"page_4"}</definedName>
    <definedName name="fff_5" localSheetId="10" hidden="1">{#N/A,#N/A,FALSE,"cover";#N/A,#N/A,FALSE,"page_1";#N/A,#N/A,FALSE,"page_2";#N/A,#N/A,FALSE,"page_3";#N/A,#N/A,FALSE,"page_4"}</definedName>
    <definedName name="fff_5" localSheetId="3" hidden="1">{#N/A,#N/A,FALSE,"cover";#N/A,#N/A,FALSE,"page_1";#N/A,#N/A,FALSE,"page_2";#N/A,#N/A,FALSE,"page_3";#N/A,#N/A,FALSE,"page_4"}</definedName>
    <definedName name="fff_5" hidden="1">{#N/A,#N/A,FALSE,"cover";#N/A,#N/A,FALSE,"page_1";#N/A,#N/A,FALSE,"page_2";#N/A,#N/A,FALSE,"page_3";#N/A,#N/A,FALSE,"page_4"}</definedName>
    <definedName name="ffff" localSheetId="10" hidden="1">{"ZAR",#N/A,FALSE,"APLICAR"}</definedName>
    <definedName name="ffff" localSheetId="3" hidden="1">{"ZAR",#N/A,FALSE,"APLICAR"}</definedName>
    <definedName name="ffff" hidden="1">{"ZAR",#N/A,FALSE,"APLICAR"}</definedName>
    <definedName name="ffff_1" localSheetId="10" hidden="1">{#N/A,#N/A,FALSE,"JACKETS (1100 t) (1)"}</definedName>
    <definedName name="ffff_1" localSheetId="3" hidden="1">{#N/A,#N/A,FALSE,"JACKETS (1100 t) (1)"}</definedName>
    <definedName name="ffff_1" hidden="1">{#N/A,#N/A,FALSE,"JACKETS (1100 t) (1)"}</definedName>
    <definedName name="ffff_2" localSheetId="10" hidden="1">{#N/A,#N/A,FALSE,"JACKETS (1100 t) (1)"}</definedName>
    <definedName name="ffff_2" localSheetId="3" hidden="1">{#N/A,#N/A,FALSE,"JACKETS (1100 t) (1)"}</definedName>
    <definedName name="ffff_2" hidden="1">{#N/A,#N/A,FALSE,"JACKETS (1100 t) (1)"}</definedName>
    <definedName name="ffff_3" localSheetId="10" hidden="1">{#N/A,#N/A,FALSE,"JACKETS (1100 t) (1)"}</definedName>
    <definedName name="ffff_3" localSheetId="3" hidden="1">{#N/A,#N/A,FALSE,"JACKETS (1100 t) (1)"}</definedName>
    <definedName name="ffff_3" hidden="1">{#N/A,#N/A,FALSE,"JACKETS (1100 t) (1)"}</definedName>
    <definedName name="ffff_4" localSheetId="10" hidden="1">{#N/A,#N/A,FALSE,"JACKETS (1100 t) (1)"}</definedName>
    <definedName name="ffff_4" localSheetId="3" hidden="1">{#N/A,#N/A,FALSE,"JACKETS (1100 t) (1)"}</definedName>
    <definedName name="ffff_4" hidden="1">{#N/A,#N/A,FALSE,"JACKETS (1100 t) (1)"}</definedName>
    <definedName name="ffff_5" localSheetId="10" hidden="1">{#N/A,#N/A,FALSE,"JACKETS (1100 t) (1)"}</definedName>
    <definedName name="ffff_5" localSheetId="3" hidden="1">{#N/A,#N/A,FALSE,"JACKETS (1100 t) (1)"}</definedName>
    <definedName name="ffff_5" hidden="1">{#N/A,#N/A,FALSE,"JACKETS (1100 t) (1)"}</definedName>
    <definedName name="fffff">#REF!</definedName>
    <definedName name="fffffc" hidden="1">#REF!</definedName>
    <definedName name="ffffff" hidden="1">#REF!</definedName>
    <definedName name="FFI">#REF!</definedName>
    <definedName name="FG">#REF!</definedName>
    <definedName name="fg_1" localSheetId="10" hidden="1">{#N/A,#N/A,FALSE,"JACKETS (1100 t) (1)"}</definedName>
    <definedName name="fg_1" localSheetId="3" hidden="1">{#N/A,#N/A,FALSE,"JACKETS (1100 t) (1)"}</definedName>
    <definedName name="fg_1" hidden="1">{#N/A,#N/A,FALSE,"JACKETS (1100 t) (1)"}</definedName>
    <definedName name="fg_2" localSheetId="10" hidden="1">{#N/A,#N/A,FALSE,"JACKETS (1100 t) (1)"}</definedName>
    <definedName name="fg_2" localSheetId="3" hidden="1">{#N/A,#N/A,FALSE,"JACKETS (1100 t) (1)"}</definedName>
    <definedName name="fg_2" hidden="1">{#N/A,#N/A,FALSE,"JACKETS (1100 t) (1)"}</definedName>
    <definedName name="fg_3" localSheetId="10" hidden="1">{#N/A,#N/A,FALSE,"JACKETS (1100 t) (1)"}</definedName>
    <definedName name="fg_3" localSheetId="3" hidden="1">{#N/A,#N/A,FALSE,"JACKETS (1100 t) (1)"}</definedName>
    <definedName name="fg_3" hidden="1">{#N/A,#N/A,FALSE,"JACKETS (1100 t) (1)"}</definedName>
    <definedName name="fg_4" localSheetId="10" hidden="1">{#N/A,#N/A,FALSE,"JACKETS (1100 t) (1)"}</definedName>
    <definedName name="fg_4" localSheetId="3" hidden="1">{#N/A,#N/A,FALSE,"JACKETS (1100 t) (1)"}</definedName>
    <definedName name="fg_4" hidden="1">{#N/A,#N/A,FALSE,"JACKETS (1100 t) (1)"}</definedName>
    <definedName name="fg_5" localSheetId="10" hidden="1">{#N/A,#N/A,FALSE,"JACKETS (1100 t) (1)"}</definedName>
    <definedName name="fg_5" localSheetId="3" hidden="1">{#N/A,#N/A,FALSE,"JACKETS (1100 t) (1)"}</definedName>
    <definedName name="fg_5" hidden="1">{#N/A,#N/A,FALSE,"JACKETS (1100 t) (1)"}</definedName>
    <definedName name="FG_CS_CEA">#REF!</definedName>
    <definedName name="FG_CS_GERENCIAL">#REF!</definedName>
    <definedName name="FG_CS_RATING">#REF!</definedName>
    <definedName name="FG_CS1_CONTABILÍSTICO_BL50">#REF!</definedName>
    <definedName name="FG_CS1_CONTABILÍSTICO_RATING">#REF!</definedName>
    <definedName name="FG_CS10_MAIORESCONTAB">#REF!</definedName>
    <definedName name="FG_CS11_GARANTIASBIHF">#REF!</definedName>
    <definedName name="FG_CS11_VENCIMENTOS_DO_MÊS">#REF!</definedName>
    <definedName name="FG_CS12_CEA_GRUPO">#REF!</definedName>
    <definedName name="FG_CS13_GERENCIAL_RATING_II_GRUPO">#REF!</definedName>
    <definedName name="FG_CS2_GARITAU_BL50">#REF!</definedName>
    <definedName name="FG_CS3_OUTGARBANC_BL50">#REF!</definedName>
    <definedName name="FG_CS4_GERENCIAL_BL50">#REF!</definedName>
    <definedName name="FG_CS4_POR_SECTOR">#REF!</definedName>
    <definedName name="FG_CS6_CEA">#REF!</definedName>
    <definedName name="FG_CS6_GERENCIAL_RATING">#REF!</definedName>
    <definedName name="FG_CS6_GERENCIAL_RATING_I_BL50">#REF!</definedName>
    <definedName name="FG_CS6_RATING_BL50">#REF!</definedName>
    <definedName name="FG_CS7_10MAIORESRISCOSCAE_BL50">#REF!</definedName>
    <definedName name="FG_CS7_GERENCIAL_RATING_II">#REF!</definedName>
    <definedName name="FG_CS7_GERENCIAL_RATING_II_BL50">#REF!</definedName>
    <definedName name="FG_CS8_10MAIORESGRUPOS_BL50">#REF!</definedName>
    <definedName name="FG_CS8_10MAIORESRISCOS">#REF!</definedName>
    <definedName name="FG_CS8_10MAIORESRISCOS_BL50">#REF!</definedName>
    <definedName name="FG_CS9_10MAIORESGRUPOS">#REF!</definedName>
    <definedName name="FG_CS9_MAIORESCONTAB_BL50">#REF!</definedName>
    <definedName name="FG_OUTRAS_GAR_BANC">#REF!</definedName>
    <definedName name="FGFGG">#REF!</definedName>
    <definedName name="FHFDH">#REF!</definedName>
    <definedName name="FIBER1">#REF!</definedName>
    <definedName name="File">#REF!</definedName>
    <definedName name="FILEPATH">#REF!</definedName>
    <definedName name="Filtraçao">#REF!</definedName>
    <definedName name="FIN">#REF!</definedName>
    <definedName name="Fin_Type">#REF!</definedName>
    <definedName name="FIN1a">#REF!</definedName>
    <definedName name="Final">#REF!,#REF!,#REF!,#REF!,#REF!</definedName>
    <definedName name="final54">#REF!</definedName>
    <definedName name="financ">#REF!</definedName>
    <definedName name="Financial">#REF!</definedName>
    <definedName name="FIND">#REF!</definedName>
    <definedName name="FINFIN">#REF!</definedName>
    <definedName name="firma">#REF!</definedName>
    <definedName name="First_payment_due">#REF!</definedName>
    <definedName name="First_payment_no">#REF!</definedName>
    <definedName name="FirstBalCell">#REF!</definedName>
    <definedName name="FiscalYear">#REF!</definedName>
    <definedName name="Fisicos">#REF!</definedName>
    <definedName name="flav">#REF!</definedName>
    <definedName name="FLUXO">#REF!</definedName>
    <definedName name="FM">#REF!</definedName>
    <definedName name="FMonth">#REF!</definedName>
    <definedName name="FN">#REF!</definedName>
    <definedName name="FN_SZ">#REF!</definedName>
    <definedName name="FO">#REF!</definedName>
    <definedName name="FOCF_Data">OFFSET(#REF!,0,0,COUNTA(#REF!),1)</definedName>
    <definedName name="FOCF_Version">#REF!</definedName>
    <definedName name="food">#REF!</definedName>
    <definedName name="Forecast1">#REF!</definedName>
    <definedName name="Forecast2">#REF!</definedName>
    <definedName name="form1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orm1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orm1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orm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orm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orm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ormat">#REF!</definedName>
    <definedName name="fornec.">#REF!</definedName>
    <definedName name="FORNECEDORES">#REF!</definedName>
    <definedName name="FORNECIMENTOS">#REF!</definedName>
    <definedName name="Fornecimentos_de_terceiros">#REF!</definedName>
    <definedName name="FR">#REF!</definedName>
    <definedName name="Franchise">#REF!</definedName>
    <definedName name="FREECON">#REF!</definedName>
    <definedName name="FREEEDU">#REF!</definedName>
    <definedName name="FREESME">#REF!</definedName>
    <definedName name="FREESOHO">#REF!</definedName>
    <definedName name="Frequency">#REF!</definedName>
    <definedName name="Frete_Seguro">#REF!</definedName>
    <definedName name="FRLE">#REF!</definedName>
    <definedName name="FS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feewt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feewt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feewt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ff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ff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ff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fsi" hidden="1">#REF!</definedName>
    <definedName name="FtKg">#REF!</definedName>
    <definedName name="FtLbs">#REF!</definedName>
    <definedName name="fucmi">#REF!</definedName>
    <definedName name="FUEL">#REF!</definedName>
    <definedName name="FULL" hidden="1">#REF!</definedName>
    <definedName name="Full_Print">#REF!</definedName>
    <definedName name="FUNDOS">#REF!</definedName>
    <definedName name="FUNDOS.PROPRIOS">#REF!</definedName>
    <definedName name="FWF" localSheetId="10" hidden="1">{#N/A,#N/A,FALSE,"JACKETS (1100 t) (1)"}</definedName>
    <definedName name="FWF" localSheetId="3" hidden="1">{#N/A,#N/A,FALSE,"JACKETS (1100 t) (1)"}</definedName>
    <definedName name="FWF" hidden="1">{#N/A,#N/A,FALSE,"JACKETS (1100 t) (1)"}</definedName>
    <definedName name="FWF_1" localSheetId="10" hidden="1">{#N/A,#N/A,FALSE,"JACKETS (1100 t) (1)"}</definedName>
    <definedName name="FWF_1" localSheetId="3" hidden="1">{#N/A,#N/A,FALSE,"JACKETS (1100 t) (1)"}</definedName>
    <definedName name="FWF_1" hidden="1">{#N/A,#N/A,FALSE,"JACKETS (1100 t) (1)"}</definedName>
    <definedName name="FWF_2" localSheetId="10" hidden="1">{#N/A,#N/A,FALSE,"JACKETS (1100 t) (1)"}</definedName>
    <definedName name="FWF_2" localSheetId="3" hidden="1">{#N/A,#N/A,FALSE,"JACKETS (1100 t) (1)"}</definedName>
    <definedName name="FWF_2" hidden="1">{#N/A,#N/A,FALSE,"JACKETS (1100 t) (1)"}</definedName>
    <definedName name="FWF_3" localSheetId="10" hidden="1">{#N/A,#N/A,FALSE,"JACKETS (1100 t) (1)"}</definedName>
    <definedName name="FWF_3" localSheetId="3" hidden="1">{#N/A,#N/A,FALSE,"JACKETS (1100 t) (1)"}</definedName>
    <definedName name="FWF_3" hidden="1">{#N/A,#N/A,FALSE,"JACKETS (1100 t) (1)"}</definedName>
    <definedName name="FWF_4" localSheetId="10" hidden="1">{#N/A,#N/A,FALSE,"JACKETS (1100 t) (1)"}</definedName>
    <definedName name="FWF_4" localSheetId="3" hidden="1">{#N/A,#N/A,FALSE,"JACKETS (1100 t) (1)"}</definedName>
    <definedName name="FWF_4" hidden="1">{#N/A,#N/A,FALSE,"JACKETS (1100 t) (1)"}</definedName>
    <definedName name="FWF_5" localSheetId="10" hidden="1">{#N/A,#N/A,FALSE,"JACKETS (1100 t) (1)"}</definedName>
    <definedName name="FWF_5" localSheetId="3" hidden="1">{#N/A,#N/A,FALSE,"JACKETS (1100 t) (1)"}</definedName>
    <definedName name="FWF_5" hidden="1">{#N/A,#N/A,FALSE,"JACKETS (1100 t) (1)"}</definedName>
    <definedName name="fwqdwwqfd" localSheetId="10" hidden="1">{"USD",#N/A,FALSE,"APLICAR"}</definedName>
    <definedName name="fwqdwwqfd" localSheetId="3" hidden="1">{"USD",#N/A,FALSE,"APLICAR"}</definedName>
    <definedName name="fwqdwwqfd" hidden="1">{"USD",#N/A,FALSE,"APLICAR"}</definedName>
    <definedName name="FX">#REF!</definedName>
    <definedName name="FX_1_17">#REF!</definedName>
    <definedName name="FX_2_17">#REF!</definedName>
    <definedName name="FX_3_17">#REF!</definedName>
    <definedName name="FX_4_17">#REF!</definedName>
    <definedName name="FX_5_17">#REF!</definedName>
    <definedName name="FX_Rate">#REF!</definedName>
    <definedName name="fzas">#REF!</definedName>
    <definedName name="fzcas">#REF!</definedName>
    <definedName name="fzch">#REF!</definedName>
    <definedName name="fzchf">#REF!</definedName>
    <definedName name="fzcmaternity">#REF!</definedName>
    <definedName name="fzcnei">#REF!</definedName>
    <definedName name="fzcr">#REF!</definedName>
    <definedName name="fzcri">#REF!</definedName>
    <definedName name="fzcu">#REF!</definedName>
    <definedName name="fzcw">#REF!</definedName>
    <definedName name="fzcwi">#REF!</definedName>
    <definedName name="fzm">#REF!</definedName>
    <definedName name="fznotax">#REF!</definedName>
    <definedName name="fzph">#REF!</definedName>
    <definedName name="fzphf">#REF!</definedName>
    <definedName name="fzpmi">#REF!</definedName>
    <definedName name="fzpnei">#REF!</definedName>
    <definedName name="fzpr">#REF!</definedName>
    <definedName name="fzpri">#REF!</definedName>
    <definedName name="fzpu">#REF!</definedName>
    <definedName name="G">#REF!</definedName>
    <definedName name="gabon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abon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áficos">#REF!</definedName>
    <definedName name="Gauge" hidden="1">#REF!</definedName>
    <definedName name="GaugeBase" hidden="1">#REF!</definedName>
    <definedName name="Generale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erale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ENSER">#REF!</definedName>
    <definedName name="geral">#REF!</definedName>
    <definedName name="gereed">#REF!</definedName>
    <definedName name="Gest">#REF!</definedName>
    <definedName name="Gestao">#REF!</definedName>
    <definedName name="gestão">#REF!</definedName>
    <definedName name="gestores">#REF!+#REF!</definedName>
    <definedName name="Get">#REF!</definedName>
    <definedName name="gf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fbtrh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fbtr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fbtr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" localSheetId="10" hidden="1">{#N/A,#N/A,FALSE,"GFPLEC96"}</definedName>
    <definedName name="gg" localSheetId="3" hidden="1">{#N/A,#N/A,FALSE,"GFPLEC96"}</definedName>
    <definedName name="gg" hidden="1">{#N/A,#N/A,FALSE,"GFPLEC96"}</definedName>
    <definedName name="gg_1" localSheetId="10" hidden="1">{#N/A,#N/A,FALSE,"JACKETS (1100 t) (1)"}</definedName>
    <definedName name="gg_1" localSheetId="3" hidden="1">{#N/A,#N/A,FALSE,"JACKETS (1100 t) (1)"}</definedName>
    <definedName name="gg_1" hidden="1">{#N/A,#N/A,FALSE,"JACKETS (1100 t) (1)"}</definedName>
    <definedName name="gg_2" localSheetId="10" hidden="1">{#N/A,#N/A,FALSE,"JACKETS (1100 t) (1)"}</definedName>
    <definedName name="gg_2" localSheetId="3" hidden="1">{#N/A,#N/A,FALSE,"JACKETS (1100 t) (1)"}</definedName>
    <definedName name="gg_2" hidden="1">{#N/A,#N/A,FALSE,"JACKETS (1100 t) (1)"}</definedName>
    <definedName name="gg_3" localSheetId="10" hidden="1">{#N/A,#N/A,FALSE,"JACKETS (1100 t) (1)"}</definedName>
    <definedName name="gg_3" localSheetId="3" hidden="1">{#N/A,#N/A,FALSE,"JACKETS (1100 t) (1)"}</definedName>
    <definedName name="gg_3" hidden="1">{#N/A,#N/A,FALSE,"JACKETS (1100 t) (1)"}</definedName>
    <definedName name="gg_4" localSheetId="10" hidden="1">{#N/A,#N/A,FALSE,"JACKETS (1100 t) (1)"}</definedName>
    <definedName name="gg_4" localSheetId="3" hidden="1">{#N/A,#N/A,FALSE,"JACKETS (1100 t) (1)"}</definedName>
    <definedName name="gg_4" hidden="1">{#N/A,#N/A,FALSE,"JACKETS (1100 t) (1)"}</definedName>
    <definedName name="gg_5" localSheetId="10" hidden="1">{#N/A,#N/A,FALSE,"JACKETS (1100 t) (1)"}</definedName>
    <definedName name="gg_5" localSheetId="3" hidden="1">{#N/A,#N/A,FALSE,"JACKETS (1100 t) (1)"}</definedName>
    <definedName name="gg_5" hidden="1">{#N/A,#N/A,FALSE,"JACKETS (1100 t) (1)"}</definedName>
    <definedName name="GGAGA">#REF!</definedName>
    <definedName name="GGG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ggg.REP" localSheetId="10" hidden="1">{#N/A,#N/A,FALSE,"min";#N/A,#N/A,FALSE,"mean";#N/A,#N/A,FALSE,"max"}</definedName>
    <definedName name="ggg.REP" localSheetId="3" hidden="1">{#N/A,#N/A,FALSE,"min";#N/A,#N/A,FALSE,"mean";#N/A,#N/A,FALSE,"max"}</definedName>
    <definedName name="ggg.REP" hidden="1">{#N/A,#N/A,FALSE,"min";#N/A,#N/A,FALSE,"mean";#N/A,#N/A,FALSE,"max"}</definedName>
    <definedName name="ggg.REP_1" localSheetId="10" hidden="1">{#N/A,#N/A,FALSE,"min";#N/A,#N/A,FALSE,"mean";#N/A,#N/A,FALSE,"max"}</definedName>
    <definedName name="ggg.REP_1" localSheetId="3" hidden="1">{#N/A,#N/A,FALSE,"min";#N/A,#N/A,FALSE,"mean";#N/A,#N/A,FALSE,"max"}</definedName>
    <definedName name="ggg.REP_1" hidden="1">{#N/A,#N/A,FALSE,"min";#N/A,#N/A,FALSE,"mean";#N/A,#N/A,FALSE,"max"}</definedName>
    <definedName name="ggg.REP_2" localSheetId="10" hidden="1">{#N/A,#N/A,FALSE,"min";#N/A,#N/A,FALSE,"mean";#N/A,#N/A,FALSE,"max"}</definedName>
    <definedName name="ggg.REP_2" localSheetId="3" hidden="1">{#N/A,#N/A,FALSE,"min";#N/A,#N/A,FALSE,"mean";#N/A,#N/A,FALSE,"max"}</definedName>
    <definedName name="ggg.REP_2" hidden="1">{#N/A,#N/A,FALSE,"min";#N/A,#N/A,FALSE,"mean";#N/A,#N/A,FALSE,"max"}</definedName>
    <definedName name="ggg.REP_3" localSheetId="10" hidden="1">{#N/A,#N/A,FALSE,"min";#N/A,#N/A,FALSE,"mean";#N/A,#N/A,FALSE,"max"}</definedName>
    <definedName name="ggg.REP_3" localSheetId="3" hidden="1">{#N/A,#N/A,FALSE,"min";#N/A,#N/A,FALSE,"mean";#N/A,#N/A,FALSE,"max"}</definedName>
    <definedName name="ggg.REP_3" hidden="1">{#N/A,#N/A,FALSE,"min";#N/A,#N/A,FALSE,"mean";#N/A,#N/A,FALSE,"max"}</definedName>
    <definedName name="ggg.REP_4" localSheetId="10" hidden="1">{#N/A,#N/A,FALSE,"min";#N/A,#N/A,FALSE,"mean";#N/A,#N/A,FALSE,"max"}</definedName>
    <definedName name="ggg.REP_4" localSheetId="3" hidden="1">{#N/A,#N/A,FALSE,"min";#N/A,#N/A,FALSE,"mean";#N/A,#N/A,FALSE,"max"}</definedName>
    <definedName name="ggg.REP_4" hidden="1">{#N/A,#N/A,FALSE,"min";#N/A,#N/A,FALSE,"mean";#N/A,#N/A,FALSE,"max"}</definedName>
    <definedName name="ggg.REP_5" localSheetId="10" hidden="1">{#N/A,#N/A,FALSE,"min";#N/A,#N/A,FALSE,"mean";#N/A,#N/A,FALSE,"max"}</definedName>
    <definedName name="ggg.REP_5" localSheetId="3" hidden="1">{#N/A,#N/A,FALSE,"min";#N/A,#N/A,FALSE,"mean";#N/A,#N/A,FALSE,"max"}</definedName>
    <definedName name="ggg.REP_5" hidden="1">{#N/A,#N/A,FALSE,"min";#N/A,#N/A,FALSE,"mean";#N/A,#N/A,FALSE,"max"}</definedName>
    <definedName name="GGG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g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g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gggg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ggg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ggg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gggggggggggggggggg" localSheetId="10" hidden="1">{"'Sheet1'!$M$363:$M$364"}</definedName>
    <definedName name="gggggggggggggggggggg" localSheetId="3" hidden="1">{"'Sheet1'!$M$363:$M$364"}</definedName>
    <definedName name="gggggggggggggggggggg" hidden="1">{"'Sheet1'!$M$363:$M$364"}</definedName>
    <definedName name="gggggggggggggggggggg_1" localSheetId="10" hidden="1">{"'Sheet1'!$M$363:$M$364"}</definedName>
    <definedName name="gggggggggggggggggggg_1" localSheetId="3" hidden="1">{"'Sheet1'!$M$363:$M$364"}</definedName>
    <definedName name="gggggggggggggggggggg_1" hidden="1">{"'Sheet1'!$M$363:$M$364"}</definedName>
    <definedName name="gggggggggggggggggggg_2" localSheetId="10" hidden="1">{"'Sheet1'!$M$363:$M$364"}</definedName>
    <definedName name="gggggggggggggggggggg_2" localSheetId="3" hidden="1">{"'Sheet1'!$M$363:$M$364"}</definedName>
    <definedName name="gggggggggggggggggggg_2" hidden="1">{"'Sheet1'!$M$363:$M$364"}</definedName>
    <definedName name="gggggggggggggggggggg_3" localSheetId="10" hidden="1">{"'Sheet1'!$M$363:$M$364"}</definedName>
    <definedName name="gggggggggggggggggggg_3" localSheetId="3" hidden="1">{"'Sheet1'!$M$363:$M$364"}</definedName>
    <definedName name="gggggggggggggggggggg_3" hidden="1">{"'Sheet1'!$M$363:$M$364"}</definedName>
    <definedName name="gggggggggggggggggggg_4" localSheetId="10" hidden="1">{"'Sheet1'!$M$363:$M$364"}</definedName>
    <definedName name="gggggggggggggggggggg_4" localSheetId="3" hidden="1">{"'Sheet1'!$M$363:$M$364"}</definedName>
    <definedName name="gggggggggggggggggggg_4" hidden="1">{"'Sheet1'!$M$363:$M$364"}</definedName>
    <definedName name="gggggggggggggggggggg_5" localSheetId="10" hidden="1">{"'Sheet1'!$M$363:$M$364"}</definedName>
    <definedName name="gggggggggggggggggggg_5" localSheetId="3" hidden="1">{"'Sheet1'!$M$363:$M$364"}</definedName>
    <definedName name="gggggggggggggggggggg_5" hidden="1">{"'Sheet1'!$M$363:$M$364"}</definedName>
    <definedName name="gghh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h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h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GQSA">#REF!</definedName>
    <definedName name="gh">#REF!</definedName>
    <definedName name="ghbxxxx">#REF!</definedName>
    <definedName name="ghgjy">#REF!</definedName>
    <definedName name="GHHHN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HHHN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HHHN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hin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hin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hin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hj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ghj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ghj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ghtrhth" hidden="1">#N/A</definedName>
    <definedName name="GI">#REF!</definedName>
    <definedName name="GIDEAL">#REF!</definedName>
    <definedName name="glauc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lauc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lauc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lpaste">#REF!</definedName>
    <definedName name="glpaste2">#REF!</definedName>
    <definedName name="GO">#REF!</definedName>
    <definedName name="Good_will">#REF!</definedName>
    <definedName name="GQA">#REF!</definedName>
    <definedName name="GQB">#REF!</definedName>
    <definedName name="GQC">#REF!</definedName>
    <definedName name="Gr_D" localSheetId="10" hidden="1">{"'WEB azoc prov'!$B$85:$L$123"}</definedName>
    <definedName name="Gr_D" localSheetId="3" hidden="1">{"'WEB azoc prov'!$B$85:$L$123"}</definedName>
    <definedName name="Gr_D" hidden="1">{"'WEB azoc prov'!$B$85:$L$123"}</definedName>
    <definedName name="grab" hidden="1">#REF!</definedName>
    <definedName name="GRAFICO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RAFICO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RAFICO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graficos">#REF!</definedName>
    <definedName name="Grandes_Reparações">#REF!</definedName>
    <definedName name="graphb" hidden="1">#REF!</definedName>
    <definedName name="GRE00">#REF!</definedName>
    <definedName name="gregrege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gregrege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gregrege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GrFFY1">#REF!</definedName>
    <definedName name="GrFFY2">#REF!</definedName>
    <definedName name="GrFFY3">#REF!</definedName>
    <definedName name="GrFFY4">#REF!</definedName>
    <definedName name="GrFFY5">#REF!</definedName>
    <definedName name="GrFFY6">#REF!</definedName>
    <definedName name="GrGFY1">#REF!</definedName>
    <definedName name="GrGFY2">#REF!</definedName>
    <definedName name="GrGFY3">#REF!</definedName>
    <definedName name="GrGFY4">#REF!</definedName>
    <definedName name="GrGFY5">#REF!</definedName>
    <definedName name="GrGFY6">#REF!</definedName>
    <definedName name="GrM0">#REF!</definedName>
    <definedName name="GrOM0">#REF!</definedName>
    <definedName name="GrOM1">#REF!</definedName>
    <definedName name="GrOM10">#REF!</definedName>
    <definedName name="GrOM11">#REF!</definedName>
    <definedName name="GrOM12">#REF!</definedName>
    <definedName name="GrOM13">#REF!</definedName>
    <definedName name="GrOM14">#REF!</definedName>
    <definedName name="GrOM15">#REF!</definedName>
    <definedName name="GrOM16">#REF!</definedName>
    <definedName name="GrOM17">#REF!</definedName>
    <definedName name="GrOM18">#REF!</definedName>
    <definedName name="GrOM2">#REF!</definedName>
    <definedName name="GrOM3">#REF!</definedName>
    <definedName name="GrOM4">#REF!</definedName>
    <definedName name="GrOM5">#REF!</definedName>
    <definedName name="GrOM6">#REF!</definedName>
    <definedName name="GrOM7">#REF!</definedName>
    <definedName name="GrOM8">#REF!</definedName>
    <definedName name="GrOM9">#REF!</definedName>
    <definedName name="gross_profit">#REF!</definedName>
    <definedName name="gross1">#REF!</definedName>
    <definedName name="gross2">#REF!</definedName>
    <definedName name="Group" localSheetId="10" hidden="1">{"LUSITANIA"}</definedName>
    <definedName name="Group" localSheetId="3" hidden="1">{"LUSITANIA"}</definedName>
    <definedName name="Group" hidden="1">{"LUSITANIA"}</definedName>
    <definedName name="Group2" localSheetId="10" hidden="1">{"LUSITANIA"}</definedName>
    <definedName name="Group2" localSheetId="3" hidden="1">{"LUSITANIA"}</definedName>
    <definedName name="Group2" hidden="1">{"LUSITANIA"}</definedName>
    <definedName name="GrphActSales">#REF!</definedName>
    <definedName name="GrphActStk">#REF!</definedName>
    <definedName name="GrphPlanSales">#REF!</definedName>
    <definedName name="GrphTgtStk">#REF!</definedName>
    <definedName name="GrSM0">#REF!</definedName>
    <definedName name="GrSM1">#REF!</definedName>
    <definedName name="GrSM10">#REF!</definedName>
    <definedName name="GrSM11">#REF!</definedName>
    <definedName name="GrSM12">#REF!</definedName>
    <definedName name="GrSM13">#REF!</definedName>
    <definedName name="GrSM14">#REF!</definedName>
    <definedName name="GrSM15">#REF!</definedName>
    <definedName name="GrSM16">#REF!</definedName>
    <definedName name="GrSM17">#REF!</definedName>
    <definedName name="GrSM18">#REF!</definedName>
    <definedName name="GrSM2">#REF!</definedName>
    <definedName name="GrSM3">#REF!</definedName>
    <definedName name="GrSM4">#REF!</definedName>
    <definedName name="GrSM5">#REF!</definedName>
    <definedName name="GrSM6">#REF!</definedName>
    <definedName name="GrSM7">#REF!</definedName>
    <definedName name="GrSM8">#REF!</definedName>
    <definedName name="GrSM9">#REF!</definedName>
    <definedName name="grupa" localSheetId="10" hidden="1">{"LUSITANIA"}</definedName>
    <definedName name="grupa" localSheetId="3" hidden="1">{"LUSITANIA"}</definedName>
    <definedName name="grupa" hidden="1">{"LUSITANIA"}</definedName>
    <definedName name="GrupoMELLO">#REF!</definedName>
    <definedName name="GrupoMelloI">#REF!</definedName>
    <definedName name="GSV">#REF!</definedName>
    <definedName name="gtgtgtgtg" localSheetId="10" hidden="1">{"'Sheet1'!$M$363:$M$364"}</definedName>
    <definedName name="gtgtgtgtg" localSheetId="3" hidden="1">{"'Sheet1'!$M$363:$M$364"}</definedName>
    <definedName name="gtgtgtgtg" hidden="1">{"'Sheet1'!$M$363:$M$364"}</definedName>
    <definedName name="gtgtgtgtg_1" localSheetId="10" hidden="1">{"'Sheet1'!$M$363:$M$364"}</definedName>
    <definedName name="gtgtgtgtg_1" localSheetId="3" hidden="1">{"'Sheet1'!$M$363:$M$364"}</definedName>
    <definedName name="gtgtgtgtg_1" hidden="1">{"'Sheet1'!$M$363:$M$364"}</definedName>
    <definedName name="gtgtgtgtg_2" localSheetId="10" hidden="1">{"'Sheet1'!$M$363:$M$364"}</definedName>
    <definedName name="gtgtgtgtg_2" localSheetId="3" hidden="1">{"'Sheet1'!$M$363:$M$364"}</definedName>
    <definedName name="gtgtgtgtg_2" hidden="1">{"'Sheet1'!$M$363:$M$364"}</definedName>
    <definedName name="gtgtgtgtg_3" localSheetId="10" hidden="1">{"'Sheet1'!$M$363:$M$364"}</definedName>
    <definedName name="gtgtgtgtg_3" localSheetId="3" hidden="1">{"'Sheet1'!$M$363:$M$364"}</definedName>
    <definedName name="gtgtgtgtg_3" hidden="1">{"'Sheet1'!$M$363:$M$364"}</definedName>
    <definedName name="gtgtgtgtg_4" localSheetId="10" hidden="1">{"'Sheet1'!$M$363:$M$364"}</definedName>
    <definedName name="gtgtgtgtg_4" localSheetId="3" hidden="1">{"'Sheet1'!$M$363:$M$364"}</definedName>
    <definedName name="gtgtgtgtg_4" hidden="1">{"'Sheet1'!$M$363:$M$364"}</definedName>
    <definedName name="gtgtgtgtg_5" localSheetId="10" hidden="1">{"'Sheet1'!$M$363:$M$364"}</definedName>
    <definedName name="gtgtgtgtg_5" localSheetId="3" hidden="1">{"'Sheet1'!$M$363:$M$364"}</definedName>
    <definedName name="gtgtgtgtg_5" hidden="1">{"'Sheet1'!$M$363:$M$364"}</definedName>
    <definedName name="gy">#REF!</definedName>
    <definedName name="h">#REF!</definedName>
    <definedName name="H87SWM20">#REF!</definedName>
    <definedName name="handl">#REF!</definedName>
    <definedName name="hb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b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b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dfjkqgsjkdfhdf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dfjkqgsjkdfhdf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dfjkqgsjkdf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eadcount">#REF!</definedName>
    <definedName name="headcount1">#REF!</definedName>
    <definedName name="HEADER">#REF!</definedName>
    <definedName name="Header_Row">ROW(#REF!)</definedName>
    <definedName name="HELP">#REF!</definedName>
    <definedName name="HELP1">#REF!</definedName>
    <definedName name="helpRow">#REF!</definedName>
    <definedName name="helpRow1">#REF!</definedName>
    <definedName name="HG" localSheetId="10" hidden="1">{#N/A,#N/A,FALSE,"JACKETS (1100 t) (1)"}</definedName>
    <definedName name="HG" localSheetId="3" hidden="1">{#N/A,#N/A,FALSE,"JACKETS (1100 t) (1)"}</definedName>
    <definedName name="HG" hidden="1">{#N/A,#N/A,FALSE,"JACKETS (1100 t) (1)"}</definedName>
    <definedName name="HG_1" localSheetId="10" hidden="1">{#N/A,#N/A,FALSE,"JACKETS (1100 t) (1)"}</definedName>
    <definedName name="HG_1" localSheetId="3" hidden="1">{#N/A,#N/A,FALSE,"JACKETS (1100 t) (1)"}</definedName>
    <definedName name="HG_1" hidden="1">{#N/A,#N/A,FALSE,"JACKETS (1100 t) (1)"}</definedName>
    <definedName name="HG_2" localSheetId="10" hidden="1">{#N/A,#N/A,FALSE,"JACKETS (1100 t) (1)"}</definedName>
    <definedName name="HG_2" localSheetId="3" hidden="1">{#N/A,#N/A,FALSE,"JACKETS (1100 t) (1)"}</definedName>
    <definedName name="HG_2" hidden="1">{#N/A,#N/A,FALSE,"JACKETS (1100 t) (1)"}</definedName>
    <definedName name="HG_3" localSheetId="10" hidden="1">{#N/A,#N/A,FALSE,"JACKETS (1100 t) (1)"}</definedName>
    <definedName name="HG_3" localSheetId="3" hidden="1">{#N/A,#N/A,FALSE,"JACKETS (1100 t) (1)"}</definedName>
    <definedName name="HG_3" hidden="1">{#N/A,#N/A,FALSE,"JACKETS (1100 t) (1)"}</definedName>
    <definedName name="HG_4" localSheetId="10" hidden="1">{#N/A,#N/A,FALSE,"JACKETS (1100 t) (1)"}</definedName>
    <definedName name="HG_4" localSheetId="3" hidden="1">{#N/A,#N/A,FALSE,"JACKETS (1100 t) (1)"}</definedName>
    <definedName name="HG_4" hidden="1">{#N/A,#N/A,FALSE,"JACKETS (1100 t) (1)"}</definedName>
    <definedName name="HG_5" localSheetId="10" hidden="1">{#N/A,#N/A,FALSE,"JACKETS (1100 t) (1)"}</definedName>
    <definedName name="HG_5" localSheetId="3" hidden="1">{#N/A,#N/A,FALSE,"JACKETS (1100 t) (1)"}</definedName>
    <definedName name="HG_5" hidden="1">{#N/A,#N/A,FALSE,"JACKETS (1100 t) (1)"}</definedName>
    <definedName name="hghgghjh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ghgghj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ghgghj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gsfdgaf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hgsfdgaf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hgsfdgaf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HH">#REF!</definedName>
    <definedName name="hhh">#REF!</definedName>
    <definedName name="hhh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hhh.REP" localSheetId="10" hidden="1">{#N/A,#N/A,FALSE,"min";#N/A,#N/A,FALSE,"mean";#N/A,#N/A,FALSE,"max"}</definedName>
    <definedName name="hhh.REP" localSheetId="3" hidden="1">{#N/A,#N/A,FALSE,"min";#N/A,#N/A,FALSE,"mean";#N/A,#N/A,FALSE,"max"}</definedName>
    <definedName name="hhh.REP" hidden="1">{#N/A,#N/A,FALSE,"min";#N/A,#N/A,FALSE,"mean";#N/A,#N/A,FALSE,"max"}</definedName>
    <definedName name="hhh.REP_1" localSheetId="10" hidden="1">{#N/A,#N/A,FALSE,"min";#N/A,#N/A,FALSE,"mean";#N/A,#N/A,FALSE,"max"}</definedName>
    <definedName name="hhh.REP_1" localSheetId="3" hidden="1">{#N/A,#N/A,FALSE,"min";#N/A,#N/A,FALSE,"mean";#N/A,#N/A,FALSE,"max"}</definedName>
    <definedName name="hhh.REP_1" hidden="1">{#N/A,#N/A,FALSE,"min";#N/A,#N/A,FALSE,"mean";#N/A,#N/A,FALSE,"max"}</definedName>
    <definedName name="hhh.REP_2" localSheetId="10" hidden="1">{#N/A,#N/A,FALSE,"min";#N/A,#N/A,FALSE,"mean";#N/A,#N/A,FALSE,"max"}</definedName>
    <definedName name="hhh.REP_2" localSheetId="3" hidden="1">{#N/A,#N/A,FALSE,"min";#N/A,#N/A,FALSE,"mean";#N/A,#N/A,FALSE,"max"}</definedName>
    <definedName name="hhh.REP_2" hidden="1">{#N/A,#N/A,FALSE,"min";#N/A,#N/A,FALSE,"mean";#N/A,#N/A,FALSE,"max"}</definedName>
    <definedName name="hhh.REP_3" localSheetId="10" hidden="1">{#N/A,#N/A,FALSE,"min";#N/A,#N/A,FALSE,"mean";#N/A,#N/A,FALSE,"max"}</definedName>
    <definedName name="hhh.REP_3" localSheetId="3" hidden="1">{#N/A,#N/A,FALSE,"min";#N/A,#N/A,FALSE,"mean";#N/A,#N/A,FALSE,"max"}</definedName>
    <definedName name="hhh.REP_3" hidden="1">{#N/A,#N/A,FALSE,"min";#N/A,#N/A,FALSE,"mean";#N/A,#N/A,FALSE,"max"}</definedName>
    <definedName name="hhh.REP_4" localSheetId="10" hidden="1">{#N/A,#N/A,FALSE,"min";#N/A,#N/A,FALSE,"mean";#N/A,#N/A,FALSE,"max"}</definedName>
    <definedName name="hhh.REP_4" localSheetId="3" hidden="1">{#N/A,#N/A,FALSE,"min";#N/A,#N/A,FALSE,"mean";#N/A,#N/A,FALSE,"max"}</definedName>
    <definedName name="hhh.REP_4" hidden="1">{#N/A,#N/A,FALSE,"min";#N/A,#N/A,FALSE,"mean";#N/A,#N/A,FALSE,"max"}</definedName>
    <definedName name="hhh.REP_5" localSheetId="10" hidden="1">{#N/A,#N/A,FALSE,"min";#N/A,#N/A,FALSE,"mean";#N/A,#N/A,FALSE,"max"}</definedName>
    <definedName name="hhh.REP_5" localSheetId="3" hidden="1">{#N/A,#N/A,FALSE,"min";#N/A,#N/A,FALSE,"mean";#N/A,#N/A,FALSE,"max"}</definedName>
    <definedName name="hhh.REP_5" hidden="1">{#N/A,#N/A,FALSE,"min";#N/A,#N/A,FALSE,"mean";#N/A,#N/A,FALSE,"max"}</definedName>
    <definedName name="HHH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h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hh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hh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hhhhh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hhhh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hhhh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hhhhhhh" localSheetId="10" hidden="1">{"'Sheet1'!$M$363:$M$364"}</definedName>
    <definedName name="hhhhhhhh" localSheetId="3" hidden="1">{"'Sheet1'!$M$363:$M$364"}</definedName>
    <definedName name="hhhhhhhh" hidden="1">{"'Sheet1'!$M$363:$M$364"}</definedName>
    <definedName name="hhhhhhhh_1" localSheetId="10" hidden="1">{"'Sheet1'!$M$363:$M$364"}</definedName>
    <definedName name="hhhhhhhh_1" localSheetId="3" hidden="1">{"'Sheet1'!$M$363:$M$364"}</definedName>
    <definedName name="hhhhhhhh_1" hidden="1">{"'Sheet1'!$M$363:$M$364"}</definedName>
    <definedName name="hhhhhhhh_2" localSheetId="10" hidden="1">{"'Sheet1'!$M$363:$M$364"}</definedName>
    <definedName name="hhhhhhhh_2" localSheetId="3" hidden="1">{"'Sheet1'!$M$363:$M$364"}</definedName>
    <definedName name="hhhhhhhh_2" hidden="1">{"'Sheet1'!$M$363:$M$364"}</definedName>
    <definedName name="hhhhhhhh_3" localSheetId="10" hidden="1">{"'Sheet1'!$M$363:$M$364"}</definedName>
    <definedName name="hhhhhhhh_3" localSheetId="3" hidden="1">{"'Sheet1'!$M$363:$M$364"}</definedName>
    <definedName name="hhhhhhhh_3" hidden="1">{"'Sheet1'!$M$363:$M$364"}</definedName>
    <definedName name="hhhhhhhh_4" localSheetId="10" hidden="1">{"'Sheet1'!$M$363:$M$364"}</definedName>
    <definedName name="hhhhhhhh_4" localSheetId="3" hidden="1">{"'Sheet1'!$M$363:$M$364"}</definedName>
    <definedName name="hhhhhhhh_4" hidden="1">{"'Sheet1'!$M$363:$M$364"}</definedName>
    <definedName name="hhhhhhhh_5" localSheetId="10" hidden="1">{"'Sheet1'!$M$363:$M$364"}</definedName>
    <definedName name="hhhhhhhh_5" localSheetId="3" hidden="1">{"'Sheet1'!$M$363:$M$364"}</definedName>
    <definedName name="hhhhhhhh_5" hidden="1">{"'Sheet1'!$M$363:$M$364"}</definedName>
    <definedName name="HigherAmount">#REF!</definedName>
    <definedName name="hips">#REF!</definedName>
    <definedName name="HIV">#REF!</definedName>
    <definedName name="hj" localSheetId="10" hidden="1">{"'Parte I (BPA)'!$A$1:$A$3"}</definedName>
    <definedName name="hj" localSheetId="3" hidden="1">{"'Parte I (BPA)'!$A$1:$A$3"}</definedName>
    <definedName name="hj" hidden="1">{"'Parte I (BPA)'!$A$1:$A$3"}</definedName>
    <definedName name="HK_6">#REF!</definedName>
    <definedName name="HL">#REF!</definedName>
    <definedName name="holiday">#REF!</definedName>
    <definedName name="HOM">#REF!</definedName>
    <definedName name="Home">#REF!</definedName>
    <definedName name="HOMEOFFICE">#REF!</definedName>
    <definedName name="Homoine">#REF!</definedName>
    <definedName name="HORARIO1">#REF!</definedName>
    <definedName name="HRB">#REF!</definedName>
    <definedName name="hrbas">#REF!</definedName>
    <definedName name="hrbcas">#REF!</definedName>
    <definedName name="hrbcasl">#REF!</definedName>
    <definedName name="hrbch">#REF!</definedName>
    <definedName name="hrbchf">#REF!</definedName>
    <definedName name="hrbcmaternity">#REF!</definedName>
    <definedName name="hrbcmi">#REF!</definedName>
    <definedName name="hrbcr">#REF!</definedName>
    <definedName name="hrbcri">#REF!</definedName>
    <definedName name="hrbcu">#REF!</definedName>
    <definedName name="hrbcui">#REF!</definedName>
    <definedName name="hrbcw">#REF!</definedName>
    <definedName name="hrbcwi">#REF!</definedName>
    <definedName name="hrbph">#REF!</definedName>
    <definedName name="hrbphf">#REF!</definedName>
    <definedName name="hrbpmi">#REF!</definedName>
    <definedName name="hrbpr">#REF!</definedName>
    <definedName name="hrbpri">#REF!</definedName>
    <definedName name="hrbpu">#REF!</definedName>
    <definedName name="hrbpui">#REF!</definedName>
    <definedName name="hsrh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srh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srh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HTM_DERIV">#REF!</definedName>
    <definedName name="HTML_CodePage" hidden="1">1252</definedName>
    <definedName name="HTML_Control" localSheetId="10" hidden="1">{"'Parte I (BPA)'!$A$1:$A$3"}</definedName>
    <definedName name="HTML_Control" localSheetId="3" hidden="1">{"'Parte I (BPA)'!$A$1:$A$3"}</definedName>
    <definedName name="HTML_Control" hidden="1">{"'Parte I (BPA)'!$A$1:$A$3"}</definedName>
    <definedName name="HTML_Control_1" localSheetId="10" hidden="1">{"'ALqdUESP'!$B$11"}</definedName>
    <definedName name="HTML_Control_1" localSheetId="3" hidden="1">{"'ALqdUESP'!$B$11"}</definedName>
    <definedName name="HTML_Control_1" hidden="1">{"'ALqdUESP'!$B$11"}</definedName>
    <definedName name="HTML_Control_2" localSheetId="10" hidden="1">{"'ALqdUESP'!$B$11"}</definedName>
    <definedName name="HTML_Control_2" localSheetId="3" hidden="1">{"'ALqdUESP'!$B$11"}</definedName>
    <definedName name="HTML_Control_2" hidden="1">{"'ALqdUESP'!$B$11"}</definedName>
    <definedName name="HTML_Control_3" localSheetId="10" hidden="1">{"'ALqdUESP'!$B$11"}</definedName>
    <definedName name="HTML_Control_3" localSheetId="3" hidden="1">{"'ALqdUESP'!$B$11"}</definedName>
    <definedName name="HTML_Control_3" hidden="1">{"'ALqdUESP'!$B$11"}</definedName>
    <definedName name="HTML_Control_4" localSheetId="10" hidden="1">{"'ALqdUESP'!$B$11"}</definedName>
    <definedName name="HTML_Control_4" localSheetId="3" hidden="1">{"'ALqdUESP'!$B$11"}</definedName>
    <definedName name="HTML_Control_4" hidden="1">{"'ALqdUESP'!$B$11"}</definedName>
    <definedName name="HTML_Control_5" localSheetId="10" hidden="1">{"'ALqdUESP'!$B$11"}</definedName>
    <definedName name="HTML_Control_5" localSheetId="3" hidden="1">{"'ALqdUESP'!$B$11"}</definedName>
    <definedName name="HTML_Control_5" hidden="1">{"'ALqdUESP'!$B$11"}</definedName>
    <definedName name="HTML_Control1" localSheetId="10" hidden="1">{"'ALqdUESP'!$B$11"}</definedName>
    <definedName name="HTML_Control1" localSheetId="3" hidden="1">{"'ALqdUESP'!$B$11"}</definedName>
    <definedName name="HTML_Control1" hidden="1">{"'ALqdUESP'!$B$11"}</definedName>
    <definedName name="HTML_Control1_1" localSheetId="10" hidden="1">{"'ALqdUESP'!$B$11"}</definedName>
    <definedName name="HTML_Control1_1" localSheetId="3" hidden="1">{"'ALqdUESP'!$B$11"}</definedName>
    <definedName name="HTML_Control1_1" hidden="1">{"'ALqdUESP'!$B$11"}</definedName>
    <definedName name="HTML_Control1_2" localSheetId="10" hidden="1">{"'ALqdUESP'!$B$11"}</definedName>
    <definedName name="HTML_Control1_2" localSheetId="3" hidden="1">{"'ALqdUESP'!$B$11"}</definedName>
    <definedName name="HTML_Control1_2" hidden="1">{"'ALqdUESP'!$B$11"}</definedName>
    <definedName name="HTML_Control1_3" localSheetId="10" hidden="1">{"'ALqdUESP'!$B$11"}</definedName>
    <definedName name="HTML_Control1_3" localSheetId="3" hidden="1">{"'ALqdUESP'!$B$11"}</definedName>
    <definedName name="HTML_Control1_3" hidden="1">{"'ALqdUESP'!$B$11"}</definedName>
    <definedName name="HTML_Control1_4" localSheetId="10" hidden="1">{"'ALqdUESP'!$B$11"}</definedName>
    <definedName name="HTML_Control1_4" localSheetId="3" hidden="1">{"'ALqdUESP'!$B$11"}</definedName>
    <definedName name="HTML_Control1_4" hidden="1">{"'ALqdUESP'!$B$11"}</definedName>
    <definedName name="HTML_Control1_5" localSheetId="10" hidden="1">{"'ALqdUESP'!$B$11"}</definedName>
    <definedName name="HTML_Control1_5" localSheetId="3" hidden="1">{"'ALqdUESP'!$B$11"}</definedName>
    <definedName name="HTML_Control1_5" hidden="1">{"'ALqdUESP'!$B$11"}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htrhw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htrhw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htrhw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hx">#REF!</definedName>
    <definedName name="i">#REF!</definedName>
    <definedName name="i2pship_range">#REF!</definedName>
    <definedName name="i2pship_range1">#REF!</definedName>
    <definedName name="i2pship_range2">#REF!</definedName>
    <definedName name="i2pship_range3">#REF!</definedName>
    <definedName name="ia">#REF!</definedName>
    <definedName name="IAdvertPrint">#REF!</definedName>
    <definedName name="IAviation">#REF!</definedName>
    <definedName name="IB">#REF!</definedName>
    <definedName name="ICommunication">#REF!</definedName>
    <definedName name="ICT">#REF!</definedName>
    <definedName name="IDepr">#REF!</definedName>
    <definedName name="IELWSALES">#REF!</definedName>
    <definedName name="IELYSALES">#REF!</definedName>
    <definedName name="IEPLANSALES">#REF!</definedName>
    <definedName name="IER00">#REF!</definedName>
    <definedName name="IESP">#REF!</definedName>
    <definedName name="ii">#REF!</definedName>
    <definedName name="iii" localSheetId="10" hidden="1">{"'Parte I (BPA)'!$A$1:$A$3"}</definedName>
    <definedName name="iii" localSheetId="3" hidden="1">{"'Parte I (BPA)'!$A$1:$A$3"}</definedName>
    <definedName name="iii" hidden="1">{"'Parte I (BPA)'!$A$1:$A$3"}</definedName>
    <definedName name="iiiiii">#REF!</definedName>
    <definedName name="ILE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LE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Imob00">#REF!,#REF!</definedName>
    <definedName name="Imobilizações_financeiras">#REF!</definedName>
    <definedName name="Imobilizado">#REF!</definedName>
    <definedName name="IMotor">#REF!</definedName>
    <definedName name="Imp">#REF!</definedName>
    <definedName name="IMPM">#REF!</definedName>
    <definedName name="ImpMdb">#N/A</definedName>
    <definedName name="import">#REF!</definedName>
    <definedName name="Imposto_sobre_o_Rendimento_do_Exercício">#REF!</definedName>
    <definedName name="IMPOSTOS">#REF!</definedName>
    <definedName name="Impostos_e_taxas">#REF!</definedName>
    <definedName name="in">#REF!</definedName>
    <definedName name="inclusão_de_novos_campos">#REF!</definedName>
    <definedName name="Income_Statement_217">#REF!</definedName>
    <definedName name="IncomeStatementDates">#REF!</definedName>
    <definedName name="INCST">#REF!</definedName>
    <definedName name="Indicadores">#REF!</definedName>
    <definedName name="INDICE">#REF!</definedName>
    <definedName name="Índice_Gestor">#REF!</definedName>
    <definedName name="indice2">#REF!</definedName>
    <definedName name="INF">#REF!</definedName>
    <definedName name="inflac">#REF!</definedName>
    <definedName name="info">#REF!</definedName>
    <definedName name="INFO_GERAL">#REF!</definedName>
    <definedName name="inicial">#REF!</definedName>
    <definedName name="innv">#REF!</definedName>
    <definedName name="input">#REF!</definedName>
    <definedName name="INPUT_a">#REF!</definedName>
    <definedName name="Input_mensal">#REF!</definedName>
    <definedName name="INPUT1">#REF!</definedName>
    <definedName name="INPUT2">#REF!</definedName>
    <definedName name="InputBasis">#REF!</definedName>
    <definedName name="InputCC">#REF!</definedName>
    <definedName name="inputsheet">#REF!</definedName>
    <definedName name="inputsheet2">#REF!</definedName>
    <definedName name="InstConsol">#REF!</definedName>
    <definedName name="INSTIT">#REF!</definedName>
    <definedName name="int">#REF!</definedName>
    <definedName name="Intercomp">#REF!</definedName>
    <definedName name="Interest" localSheetId="10">IF(#REF!&lt;&gt;"",#REF!*'1. OPEX Inputs'!Periodic_rate,"")</definedName>
    <definedName name="Interest" localSheetId="3">IF(#REF!&lt;&gt;"",#REF!*'Soy Beans – Nacala'!Periodic_rate,"")</definedName>
    <definedName name="Interest">IF(#REF!&lt;&gt;"",#REF!*Periodic_rate,"")</definedName>
    <definedName name="Interest_Rate">#REF!</definedName>
    <definedName name="intern">#REF!</definedName>
    <definedName name="Internet_spot_euro_List">#REF!</definedName>
    <definedName name="IntFreeCred">#REF!</definedName>
    <definedName name="intprice">#REF!</definedName>
    <definedName name="IntRepRF01">#REF!</definedName>
    <definedName name="IntRepRF02">#REF!</definedName>
    <definedName name="inv">#REF!</definedName>
    <definedName name="inv_Der">#REF!</definedName>
    <definedName name="INV00">#REF!</definedName>
    <definedName name="INVEST">#REF!</definedName>
    <definedName name="Invest._realiz.pela_própria_empresa">#REF!</definedName>
    <definedName name="INVESTIMENTOS">#REF!</definedName>
    <definedName name="INVESTIMENTOS.PROPRIOS">#REF!</definedName>
    <definedName name="Investimentos_em_Curso">#REF!</definedName>
    <definedName name="invet">#REF!</definedName>
    <definedName name="IO856O586I" localSheetId="10" hidden="1">{"'ALqdUESP'!$B$11"}</definedName>
    <definedName name="IO856O586I" localSheetId="3" hidden="1">{"'ALqdUESP'!$B$11"}</definedName>
    <definedName name="IO856O586I" hidden="1">{"'ALqdUESP'!$B$11"}</definedName>
    <definedName name="IOL" localSheetId="10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IOL" localSheetId="3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IOL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IOther">#REF!</definedName>
    <definedName name="ip_c">#REF!</definedName>
    <definedName name="ip_c2">#REF!</definedName>
    <definedName name="ip_co">#REF!</definedName>
    <definedName name="ip_cur">#REF!</definedName>
    <definedName name="ip_LC">#REF!</definedName>
    <definedName name="ip_le">#REF!</definedName>
    <definedName name="ip_mon">#REF!</definedName>
    <definedName name="ip_pn">#REF!</definedName>
    <definedName name="ip_th">#REF!</definedName>
    <definedName name="ip_ytd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40627.4642592593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FFY1">#REF!</definedName>
    <definedName name="IrFFY2">#REF!</definedName>
    <definedName name="IrFFY3">#REF!</definedName>
    <definedName name="IrFFY4">#REF!</definedName>
    <definedName name="IrFFY5">#REF!</definedName>
    <definedName name="IrFFY6">#REF!</definedName>
    <definedName name="IrGFY1">#REF!</definedName>
    <definedName name="IrGFY2">#REF!</definedName>
    <definedName name="IrGFY3">#REF!</definedName>
    <definedName name="IrGFY4">#REF!</definedName>
    <definedName name="IrGFY5">#REF!</definedName>
    <definedName name="IrGFY6">#REF!</definedName>
    <definedName name="IrM0">#REF!</definedName>
    <definedName name="IrOM0">#REF!</definedName>
    <definedName name="IrOM1">#REF!</definedName>
    <definedName name="IrOM10">#REF!</definedName>
    <definedName name="IrOM11">#REF!</definedName>
    <definedName name="IrOM12">#REF!</definedName>
    <definedName name="IrOM13">#REF!</definedName>
    <definedName name="IrOM14">#REF!</definedName>
    <definedName name="IrOM15">#REF!</definedName>
    <definedName name="IrOM16">#REF!</definedName>
    <definedName name="IrOM17">#REF!</definedName>
    <definedName name="IrOM18">#REF!</definedName>
    <definedName name="IrOM2">#REF!</definedName>
    <definedName name="IrOM3">#REF!</definedName>
    <definedName name="IrOM4">#REF!</definedName>
    <definedName name="IrOM5">#REF!</definedName>
    <definedName name="IrOM6">#REF!</definedName>
    <definedName name="IrOM7">#REF!</definedName>
    <definedName name="IrOM8">#REF!</definedName>
    <definedName name="IrOM9">#REF!</definedName>
    <definedName name="IrSM0">#REF!</definedName>
    <definedName name="IrSM1">#REF!</definedName>
    <definedName name="IrSM10">#REF!</definedName>
    <definedName name="IrSM11">#REF!</definedName>
    <definedName name="IrSM12">#REF!</definedName>
    <definedName name="IrSM13">#REF!</definedName>
    <definedName name="IrSM14">#REF!</definedName>
    <definedName name="IrSM15">#REF!</definedName>
    <definedName name="IrSM16">#REF!</definedName>
    <definedName name="IrSM17">#REF!</definedName>
    <definedName name="IrSM18">#REF!</definedName>
    <definedName name="IrSM2">#REF!</definedName>
    <definedName name="IrSM3">#REF!</definedName>
    <definedName name="IrSM4">#REF!</definedName>
    <definedName name="IrSM5">#REF!</definedName>
    <definedName name="IrSM6">#REF!</definedName>
    <definedName name="IrSM7">#REF!</definedName>
    <definedName name="IrSM8">#REF!</definedName>
    <definedName name="IrSM9">#REF!</definedName>
    <definedName name="IS">#REF!</definedName>
    <definedName name="is_Net_Income">#REF!</definedName>
    <definedName name="IsAmericas">#REF!</definedName>
    <definedName name="IsClosedMon">#REF!</definedName>
    <definedName name="ISD_Charges">#REF!</definedName>
    <definedName name="IsForeign">#REF!</definedName>
    <definedName name="IsListed">#REF!</definedName>
    <definedName name="ISRMONTH">#REF!</definedName>
    <definedName name="IStaff">#REF!</definedName>
    <definedName name="IT">#REF!</definedName>
    <definedName name="ITBNCO">#REF!</definedName>
    <definedName name="ItBSW1">#REF!</definedName>
    <definedName name="ItBSW2">#REF!</definedName>
    <definedName name="ItBSW3">#REF!</definedName>
    <definedName name="ItBSW4">#REF!</definedName>
    <definedName name="ITEMS">#REF!</definedName>
    <definedName name="ItFFY1">#REF!</definedName>
    <definedName name="ItFFY2">#REF!</definedName>
    <definedName name="ItFFY3">#REF!</definedName>
    <definedName name="ItFFY4">#REF!</definedName>
    <definedName name="ItFFY5">#REF!</definedName>
    <definedName name="ItFFY6">#REF!</definedName>
    <definedName name="ItGFY1">#REF!</definedName>
    <definedName name="ItGFY2">#REF!</definedName>
    <definedName name="ItGFY3">#REF!</definedName>
    <definedName name="ItGFY4">#REF!</definedName>
    <definedName name="ItGFY5">#REF!</definedName>
    <definedName name="ItGFY6">#REF!</definedName>
    <definedName name="ItM0">#REF!</definedName>
    <definedName name="ItOM0">#REF!</definedName>
    <definedName name="ItOM1">#REF!</definedName>
    <definedName name="ItOM10">#REF!</definedName>
    <definedName name="ItOM11">#REF!</definedName>
    <definedName name="ItOM12">#REF!</definedName>
    <definedName name="ItOM13">#REF!</definedName>
    <definedName name="ItOM14">#REF!</definedName>
    <definedName name="ItOM15">#REF!</definedName>
    <definedName name="ItOM16">#REF!</definedName>
    <definedName name="ItOM17">#REF!</definedName>
    <definedName name="ItOM18">#REF!</definedName>
    <definedName name="ItOM2">#REF!</definedName>
    <definedName name="ItOM3">#REF!</definedName>
    <definedName name="ItOM4">#REF!</definedName>
    <definedName name="ItOM5">#REF!</definedName>
    <definedName name="ItOM6">#REF!</definedName>
    <definedName name="ItOM7">#REF!</definedName>
    <definedName name="ItOM8">#REF!</definedName>
    <definedName name="ItOM9">#REF!</definedName>
    <definedName name="ITravel">#REF!</definedName>
    <definedName name="ITRBFB">#REF!</definedName>
    <definedName name="ITS00">#REF!</definedName>
    <definedName name="ITS00b">#REF!</definedName>
    <definedName name="ItSM0">#REF!</definedName>
    <definedName name="ItSM1">#REF!</definedName>
    <definedName name="ItSM10">#REF!</definedName>
    <definedName name="ItSM11">#REF!</definedName>
    <definedName name="ItSM12">#REF!</definedName>
    <definedName name="ItSM13">#REF!</definedName>
    <definedName name="ItSM14">#REF!</definedName>
    <definedName name="ItSM15">#REF!</definedName>
    <definedName name="ItSM16">#REF!</definedName>
    <definedName name="ItSM17">#REF!</definedName>
    <definedName name="ItSM18">#REF!</definedName>
    <definedName name="ItSM2">#REF!</definedName>
    <definedName name="ItSM3">#REF!</definedName>
    <definedName name="ItSM4">#REF!</definedName>
    <definedName name="ItSM5">#REF!</definedName>
    <definedName name="ItSM6">#REF!</definedName>
    <definedName name="ItSM7">#REF!</definedName>
    <definedName name="ItSM8">#REF!</definedName>
    <definedName name="ItSM9">#REF!</definedName>
    <definedName name="ITYYTRDSKAJDH">#REF!</definedName>
    <definedName name="j">#REF!</definedName>
    <definedName name="J.">#REF!</definedName>
    <definedName name="ja">#REF!</definedName>
    <definedName name="JAN">#REF!</definedName>
    <definedName name="Jan_03">#REF!</definedName>
    <definedName name="JANEIRO">#REF!</definedName>
    <definedName name="jat">#REF!</definedName>
    <definedName name="jb">#REF!</definedName>
    <definedName name="jfffh" hidden="1">#REF!</definedName>
    <definedName name="JHKkihzeuiofhmuize">#REF!</definedName>
    <definedName name="ji">#REF!</definedName>
    <definedName name="jj">#REF!</definedName>
    <definedName name="jjj">#REF!</definedName>
    <definedName name="jjj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jjj.REP" localSheetId="10" hidden="1">{#N/A,#N/A,FALSE,"min";#N/A,#N/A,FALSE,"mean";#N/A,#N/A,FALSE,"max"}</definedName>
    <definedName name="jjj.REP" localSheetId="3" hidden="1">{#N/A,#N/A,FALSE,"min";#N/A,#N/A,FALSE,"mean";#N/A,#N/A,FALSE,"max"}</definedName>
    <definedName name="jjj.REP" hidden="1">{#N/A,#N/A,FALSE,"min";#N/A,#N/A,FALSE,"mean";#N/A,#N/A,FALSE,"max"}</definedName>
    <definedName name="jjj.REP_1" localSheetId="10" hidden="1">{#N/A,#N/A,FALSE,"min";#N/A,#N/A,FALSE,"mean";#N/A,#N/A,FALSE,"max"}</definedName>
    <definedName name="jjj.REP_1" localSheetId="3" hidden="1">{#N/A,#N/A,FALSE,"min";#N/A,#N/A,FALSE,"mean";#N/A,#N/A,FALSE,"max"}</definedName>
    <definedName name="jjj.REP_1" hidden="1">{#N/A,#N/A,FALSE,"min";#N/A,#N/A,FALSE,"mean";#N/A,#N/A,FALSE,"max"}</definedName>
    <definedName name="jjj.REP_2" localSheetId="10" hidden="1">{#N/A,#N/A,FALSE,"min";#N/A,#N/A,FALSE,"mean";#N/A,#N/A,FALSE,"max"}</definedName>
    <definedName name="jjj.REP_2" localSheetId="3" hidden="1">{#N/A,#N/A,FALSE,"min";#N/A,#N/A,FALSE,"mean";#N/A,#N/A,FALSE,"max"}</definedName>
    <definedName name="jjj.REP_2" hidden="1">{#N/A,#N/A,FALSE,"min";#N/A,#N/A,FALSE,"mean";#N/A,#N/A,FALSE,"max"}</definedName>
    <definedName name="jjj.REP_3" localSheetId="10" hidden="1">{#N/A,#N/A,FALSE,"min";#N/A,#N/A,FALSE,"mean";#N/A,#N/A,FALSE,"max"}</definedName>
    <definedName name="jjj.REP_3" localSheetId="3" hidden="1">{#N/A,#N/A,FALSE,"min";#N/A,#N/A,FALSE,"mean";#N/A,#N/A,FALSE,"max"}</definedName>
    <definedName name="jjj.REP_3" hidden="1">{#N/A,#N/A,FALSE,"min";#N/A,#N/A,FALSE,"mean";#N/A,#N/A,FALSE,"max"}</definedName>
    <definedName name="jjj.REP_4" localSheetId="10" hidden="1">{#N/A,#N/A,FALSE,"min";#N/A,#N/A,FALSE,"mean";#N/A,#N/A,FALSE,"max"}</definedName>
    <definedName name="jjj.REP_4" localSheetId="3" hidden="1">{#N/A,#N/A,FALSE,"min";#N/A,#N/A,FALSE,"mean";#N/A,#N/A,FALSE,"max"}</definedName>
    <definedName name="jjj.REP_4" hidden="1">{#N/A,#N/A,FALSE,"min";#N/A,#N/A,FALSE,"mean";#N/A,#N/A,FALSE,"max"}</definedName>
    <definedName name="jjj.REP_5" localSheetId="10" hidden="1">{#N/A,#N/A,FALSE,"min";#N/A,#N/A,FALSE,"mean";#N/A,#N/A,FALSE,"max"}</definedName>
    <definedName name="jjj.REP_5" localSheetId="3" hidden="1">{#N/A,#N/A,FALSE,"min";#N/A,#N/A,FALSE,"mean";#N/A,#N/A,FALSE,"max"}</definedName>
    <definedName name="jjj.REP_5" hidden="1">{#N/A,#N/A,FALSE,"min";#N/A,#N/A,FALSE,"mean";#N/A,#N/A,FALSE,"max"}</definedName>
    <definedName name="jjjj" localSheetId="10" hidden="1">{"VARIASMOEDAS",#N/A,FALSE,"APLICAR"}</definedName>
    <definedName name="jjjj" localSheetId="3" hidden="1">{"VARIASMOEDAS",#N/A,FALSE,"APLICAR"}</definedName>
    <definedName name="jjjj" hidden="1">{"VARIASMOEDAS",#N/A,FALSE,"APLICAR"}</definedName>
    <definedName name="jjkh">#REF!</definedName>
    <definedName name="jkl">#REF!</definedName>
    <definedName name="jnas">#REF!</definedName>
    <definedName name="jncm">#REF!</definedName>
    <definedName name="jncr">#REF!</definedName>
    <definedName name="jncu">#REF!</definedName>
    <definedName name="jncw">#REF!</definedName>
    <definedName name="JNLTOP">#REF!</definedName>
    <definedName name="jnpr">#REF!</definedName>
    <definedName name="jnpu">#REF!</definedName>
    <definedName name="job">#REF!</definedName>
    <definedName name="Joe">#REF!</definedName>
    <definedName name="ju" localSheetId="10" hidden="1">{#N/A,#N/A,FALSE,"CHANGES";#N/A,#N/A,FALSE,"PROD SUMMARY";#N/A,#N/A,FALSE,"1995 PO SUM";#N/A,#N/A,FALSE,"1995 GEOG SUM";#N/A,#N/A,FALSE,"1996 PO SUM";#N/A,#N/A,FALSE,"1996 GEOG SUM"}</definedName>
    <definedName name="ju" localSheetId="3" hidden="1">{#N/A,#N/A,FALSE,"CHANGES";#N/A,#N/A,FALSE,"PROD SUMMARY";#N/A,#N/A,FALSE,"1995 PO SUM";#N/A,#N/A,FALSE,"1995 GEOG SUM";#N/A,#N/A,FALSE,"1996 PO SUM";#N/A,#N/A,FALSE,"1996 GEOG SUM"}</definedName>
    <definedName name="ju" hidden="1">{#N/A,#N/A,FALSE,"CHANGES";#N/A,#N/A,FALSE,"PROD SUMMARY";#N/A,#N/A,FALSE,"1995 PO SUM";#N/A,#N/A,FALSE,"1995 GEOG SUM";#N/A,#N/A,FALSE,"1996 PO SUM";#N/A,#N/A,FALSE,"1996 GEOG SUM"}</definedName>
    <definedName name="JULHO">#REF!</definedName>
    <definedName name="JUNE" localSheetId="10" hidden="1">{"AR and Backlog",#N/A,FALSE,"Input"}</definedName>
    <definedName name="JUNE" localSheetId="3" hidden="1">{"AR and Backlog",#N/A,FALSE,"Input"}</definedName>
    <definedName name="JUNE" hidden="1">{"AR and Backlog",#N/A,FALSE,"Input"}</definedName>
    <definedName name="JUNHO">#REF!</definedName>
    <definedName name="Junho1">#REF!</definedName>
    <definedName name="JUNK" localSheetId="10" hidden="1">{#N/A,#N/A,TRUE,"Sheet1";#N/A,#N/A,TRUE,"Sheet2";#N/A,#N/A,TRUE,"Sheet3"}</definedName>
    <definedName name="JUNK" localSheetId="3" hidden="1">{#N/A,#N/A,TRUE,"Sheet1";#N/A,#N/A,TRUE,"Sheet2";#N/A,#N/A,TRUE,"Sheet3"}</definedName>
    <definedName name="JUNK" hidden="1">{#N/A,#N/A,TRUE,"Sheet1";#N/A,#N/A,TRUE,"Sheet2";#N/A,#N/A,TRUE,"Sheet3"}</definedName>
    <definedName name="JUNK_1" localSheetId="10" hidden="1">{#N/A,#N/A,TRUE,"Sheet1";#N/A,#N/A,TRUE,"Sheet2";#N/A,#N/A,TRUE,"Sheet3"}</definedName>
    <definedName name="JUNK_1" localSheetId="3" hidden="1">{#N/A,#N/A,TRUE,"Sheet1";#N/A,#N/A,TRUE,"Sheet2";#N/A,#N/A,TRUE,"Sheet3"}</definedName>
    <definedName name="JUNK_1" hidden="1">{#N/A,#N/A,TRUE,"Sheet1";#N/A,#N/A,TRUE,"Sheet2";#N/A,#N/A,TRUE,"Sheet3"}</definedName>
    <definedName name="JUNK_2" localSheetId="10" hidden="1">{#N/A,#N/A,TRUE,"Sheet1";#N/A,#N/A,TRUE,"Sheet2";#N/A,#N/A,TRUE,"Sheet3"}</definedName>
    <definedName name="JUNK_2" localSheetId="3" hidden="1">{#N/A,#N/A,TRUE,"Sheet1";#N/A,#N/A,TRUE,"Sheet2";#N/A,#N/A,TRUE,"Sheet3"}</definedName>
    <definedName name="JUNK_2" hidden="1">{#N/A,#N/A,TRUE,"Sheet1";#N/A,#N/A,TRUE,"Sheet2";#N/A,#N/A,TRUE,"Sheet3"}</definedName>
    <definedName name="JUNK_3" localSheetId="10" hidden="1">{#N/A,#N/A,TRUE,"Sheet1";#N/A,#N/A,TRUE,"Sheet2";#N/A,#N/A,TRUE,"Sheet3"}</definedName>
    <definedName name="JUNK_3" localSheetId="3" hidden="1">{#N/A,#N/A,TRUE,"Sheet1";#N/A,#N/A,TRUE,"Sheet2";#N/A,#N/A,TRUE,"Sheet3"}</definedName>
    <definedName name="JUNK_3" hidden="1">{#N/A,#N/A,TRUE,"Sheet1";#N/A,#N/A,TRUE,"Sheet2";#N/A,#N/A,TRUE,"Sheet3"}</definedName>
    <definedName name="JUNK_4" localSheetId="10" hidden="1">{#N/A,#N/A,TRUE,"Sheet1";#N/A,#N/A,TRUE,"Sheet2";#N/A,#N/A,TRUE,"Sheet3"}</definedName>
    <definedName name="JUNK_4" localSheetId="3" hidden="1">{#N/A,#N/A,TRUE,"Sheet1";#N/A,#N/A,TRUE,"Sheet2";#N/A,#N/A,TRUE,"Sheet3"}</definedName>
    <definedName name="JUNK_4" hidden="1">{#N/A,#N/A,TRUE,"Sheet1";#N/A,#N/A,TRUE,"Sheet2";#N/A,#N/A,TRUE,"Sheet3"}</definedName>
    <definedName name="JUNK_5" localSheetId="10" hidden="1">{#N/A,#N/A,TRUE,"Sheet1";#N/A,#N/A,TRUE,"Sheet2";#N/A,#N/A,TRUE,"Sheet3"}</definedName>
    <definedName name="JUNK_5" localSheetId="3" hidden="1">{#N/A,#N/A,TRUE,"Sheet1";#N/A,#N/A,TRUE,"Sheet2";#N/A,#N/A,TRUE,"Sheet3"}</definedName>
    <definedName name="JUNK_5" hidden="1">{#N/A,#N/A,TRUE,"Sheet1";#N/A,#N/A,TRUE,"Sheet2";#N/A,#N/A,TRUE,"Sheet3"}</definedName>
    <definedName name="JV_Headcount_Budget_for_1997__By_Department">#REF!</definedName>
    <definedName name="k">#REF!</definedName>
    <definedName name="k_1" localSheetId="10" hidden="1">{#N/A,#N/A,FALSE,"JACKETS (1100 t) (1)"}</definedName>
    <definedName name="k_1" localSheetId="3" hidden="1">{#N/A,#N/A,FALSE,"JACKETS (1100 t) (1)"}</definedName>
    <definedName name="k_1" hidden="1">{#N/A,#N/A,FALSE,"JACKETS (1100 t) (1)"}</definedName>
    <definedName name="k_2" localSheetId="10" hidden="1">{#N/A,#N/A,FALSE,"JACKETS (1100 t) (1)"}</definedName>
    <definedName name="k_2" localSheetId="3" hidden="1">{#N/A,#N/A,FALSE,"JACKETS (1100 t) (1)"}</definedName>
    <definedName name="k_2" hidden="1">{#N/A,#N/A,FALSE,"JACKETS (1100 t) (1)"}</definedName>
    <definedName name="k_3" localSheetId="10" hidden="1">{#N/A,#N/A,FALSE,"JACKETS (1100 t) (1)"}</definedName>
    <definedName name="k_3" localSheetId="3" hidden="1">{#N/A,#N/A,FALSE,"JACKETS (1100 t) (1)"}</definedName>
    <definedName name="k_3" hidden="1">{#N/A,#N/A,FALSE,"JACKETS (1100 t) (1)"}</definedName>
    <definedName name="k_4" localSheetId="10" hidden="1">{#N/A,#N/A,FALSE,"JACKETS (1100 t) (1)"}</definedName>
    <definedName name="k_4" localSheetId="3" hidden="1">{#N/A,#N/A,FALSE,"JACKETS (1100 t) (1)"}</definedName>
    <definedName name="k_4" hidden="1">{#N/A,#N/A,FALSE,"JACKETS (1100 t) (1)"}</definedName>
    <definedName name="k_5" localSheetId="10" hidden="1">{#N/A,#N/A,FALSE,"JACKETS (1100 t) (1)"}</definedName>
    <definedName name="k_5" localSheetId="3" hidden="1">{#N/A,#N/A,FALSE,"JACKETS (1100 t) (1)"}</definedName>
    <definedName name="k_5" hidden="1">{#N/A,#N/A,FALSE,"JACKETS (1100 t) (1)"}</definedName>
    <definedName name="K2_WBEVMODE" hidden="1">0</definedName>
    <definedName name="kamal">#REF!</definedName>
    <definedName name="keg">#REF!</definedName>
    <definedName name="kfjkgnk">#REF!</definedName>
    <definedName name="kGHSTD">#REF!</definedName>
    <definedName name="KhartNorth">#REF!</definedName>
    <definedName name="Khartoum">#REF!</definedName>
    <definedName name="ki">#REF!</definedName>
    <definedName name="kim">#REF!</definedName>
    <definedName name="kj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kj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kj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kk">#REF!,#REF!,#REF!,#REF!,#REF!</definedName>
    <definedName name="KKK">#REF!</definedName>
    <definedName name="kkkkk" localSheetId="10" hidden="1">{"PREMIO",#N/A,FALSE,"P&amp;CMENS";"COMISSOES",#N/A,FALSE,"P&amp;CMENS"}</definedName>
    <definedName name="kkkkk" localSheetId="3" hidden="1">{"PREMIO",#N/A,FALSE,"P&amp;CMENS";"COMISSOES",#N/A,FALSE,"P&amp;CMENS"}</definedName>
    <definedName name="kkkkk" hidden="1">{"PREMIO",#N/A,FALSE,"P&amp;CMENS";"COMISSOES",#N/A,FALSE,"P&amp;CMENS"}</definedName>
    <definedName name="kkkko">#REF!</definedName>
    <definedName name="kkkl">#REF!</definedName>
    <definedName name="kl">#REF!</definedName>
    <definedName name="klaar">#REF!</definedName>
    <definedName name="kli">#REF!</definedName>
    <definedName name="klk">#REF!</definedName>
    <definedName name="kmas">#REF!</definedName>
    <definedName name="kmcas">#REF!</definedName>
    <definedName name="kmchf">#REF!</definedName>
    <definedName name="kmcmaternity">#REF!</definedName>
    <definedName name="kmcmi">#REF!</definedName>
    <definedName name="kmcnei">#REF!</definedName>
    <definedName name="kmcr">#REF!</definedName>
    <definedName name="kmcri">#REF!</definedName>
    <definedName name="kmcu">#REF!</definedName>
    <definedName name="kmcw">#REF!</definedName>
    <definedName name="kmcwi">#REF!</definedName>
    <definedName name="kmm">#REF!</definedName>
    <definedName name="kmnotax">#REF!</definedName>
    <definedName name="kmphf">#REF!</definedName>
    <definedName name="kmpmi">#REF!</definedName>
    <definedName name="kmpnei">#REF!</definedName>
    <definedName name="kmpr">#REF!</definedName>
    <definedName name="kmpri">#REF!</definedName>
    <definedName name="kmpu">#REF!</definedName>
    <definedName name="kms">#REF!</definedName>
    <definedName name="ko">#REF!</definedName>
    <definedName name="KOLOM">#REF!</definedName>
    <definedName name="kooko">#REF!</definedName>
    <definedName name="KPI">#REF!</definedName>
    <definedName name="KPIdata0">#REF!</definedName>
    <definedName name="KPIdata1">#REF!</definedName>
    <definedName name="KPIformulas">#REF!</definedName>
    <definedName name="KPIum">#REF!</definedName>
    <definedName name="KR_BS">#REF!</definedName>
    <definedName name="KR_PandL">#REF!</definedName>
    <definedName name="krones">#REF!</definedName>
    <definedName name="kswxivaicv" localSheetId="10" hidden="1">{#N/A,#N/A,FALSE,"Holding"}</definedName>
    <definedName name="kswxivaicv" localSheetId="3" hidden="1">{#N/A,#N/A,FALSE,"Holding"}</definedName>
    <definedName name="kswxivaicv" hidden="1">{#N/A,#N/A,FALSE,"Holding"}</definedName>
    <definedName name="KU">#REF!</definedName>
    <definedName name="l">#REF!</definedName>
    <definedName name="L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BEL">#REF!</definedName>
    <definedName name="Language">#REF!</definedName>
    <definedName name="Last_Row">#N/A</definedName>
    <definedName name="lastyear">#REF!</definedName>
    <definedName name="Lbs_Kg">#REF!</definedName>
    <definedName name="LC">#REF!</definedName>
    <definedName name="LC_E">#REF!</definedName>
    <definedName name="LC_F">#REF!</definedName>
    <definedName name="LC_FPM">#REF!</definedName>
    <definedName name="LCEDU">#REF!</definedName>
    <definedName name="LCGOC">#REF!</definedName>
    <definedName name="LCISP">#REF!</definedName>
    <definedName name="LCLB">#REF!</definedName>
    <definedName name="LComp">#REF!</definedName>
    <definedName name="LCostCenter">#REF!</definedName>
    <definedName name="LCountry">#REF!</definedName>
    <definedName name="LCSME">#REF!</definedName>
    <definedName name="LCT00">#REF!</definedName>
    <definedName name="LDA">#REF!</definedName>
    <definedName name="LDB">#REF!</definedName>
    <definedName name="LDC">#REF!</definedName>
    <definedName name="LDI00">#REF!</definedName>
    <definedName name="lds" localSheetId="10" hidden="1">{#N/A,#N/A,FALSE,"CHANGES";#N/A,#N/A,FALSE,"PROD SUMMARY";#N/A,#N/A,FALSE,"1995 PO SUM";#N/A,#N/A,FALSE,"1995 GEOG SUM";#N/A,#N/A,FALSE,"1996 PO SUM";#N/A,#N/A,FALSE,"1996 GEOG SUM"}</definedName>
    <definedName name="lds" localSheetId="3" hidden="1">{#N/A,#N/A,FALSE,"CHANGES";#N/A,#N/A,FALSE,"PROD SUMMARY";#N/A,#N/A,FALSE,"1995 PO SUM";#N/A,#N/A,FALSE,"1995 GEOG SUM";#N/A,#N/A,FALSE,"1996 PO SUM";#N/A,#N/A,FALSE,"1996 GEOG SUM"}</definedName>
    <definedName name="lds" hidden="1">{#N/A,#N/A,FALSE,"CHANGES";#N/A,#N/A,FALSE,"PROD SUMMARY";#N/A,#N/A,FALSE,"1995 PO SUM";#N/A,#N/A,FALSE,"1995 GEOG SUM";#N/A,#N/A,FALSE,"1996 PO SUM";#N/A,#N/A,FALSE,"1996 GEOG SUM"}</definedName>
    <definedName name="le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le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le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lead">#REF!</definedName>
    <definedName name="lee">#REF!</definedName>
    <definedName name="Legal_Fee">#REF!</definedName>
    <definedName name="LégendeCollecte">#REF!</definedName>
    <definedName name="leo">#REF!</definedName>
    <definedName name="Letras_a_pagar">#REF!</definedName>
    <definedName name="LFACCO">#REF!</definedName>
    <definedName name="lfhlhfws" localSheetId="10" hidden="1">{"'WEB azoc prov'!$B$85:$L$123"}</definedName>
    <definedName name="lfhlhfws" localSheetId="3" hidden="1">{"'WEB azoc prov'!$B$85:$L$123"}</definedName>
    <definedName name="lfhlhfws" hidden="1">{"'WEB azoc prov'!$B$85:$L$123"}</definedName>
    <definedName name="LFP00">#REF!</definedName>
    <definedName name="LG_HK">#REF!</definedName>
    <definedName name="lhlhl" localSheetId="10" hidden="1">{"'WEB azoc prov'!$B$85:$L$123"}</definedName>
    <definedName name="lhlhl" localSheetId="3" hidden="1">{"'WEB azoc prov'!$B$85:$L$123"}</definedName>
    <definedName name="lhlhl" hidden="1">{"'WEB azoc prov'!$B$85:$L$123"}</definedName>
    <definedName name="LI">#REF!</definedName>
    <definedName name="liablities">#REF!,#REF!,#REF!,#REF!,#REF!</definedName>
    <definedName name="LIC00">#REF!</definedName>
    <definedName name="LIM" localSheetId="10" hidden="1">{#N/A,#N/A,FALSE,"GFPLEC96"}</definedName>
    <definedName name="LIM" localSheetId="3" hidden="1">{#N/A,#N/A,FALSE,"GFPLEC96"}</definedName>
    <definedName name="LIM" hidden="1">{#N/A,#N/A,FALSE,"GFPLEC96"}</definedName>
    <definedName name="LIN" localSheetId="10" hidden="1">{#N/A,#N/A,FALSE,"GFPLEC96"}</definedName>
    <definedName name="LIN" localSheetId="3" hidden="1">{#N/A,#N/A,FALSE,"GFPLEC96"}</definedName>
    <definedName name="LIN" hidden="1">{#N/A,#N/A,FALSE,"GFPLEC96"}</definedName>
    <definedName name="LIS">#REF!</definedName>
    <definedName name="LIST">#REF!</definedName>
    <definedName name="List_LevelAssurance">#REF!</definedName>
    <definedName name="List_TypeProcedure">#REF!</definedName>
    <definedName name="LISTA">#REF!</definedName>
    <definedName name="lista1">#REF!</definedName>
    <definedName name="listameses">#REF!</definedName>
    <definedName name="ListaPais">#REF!</definedName>
    <definedName name="ListaSELID02">#REF!</definedName>
    <definedName name="ListaSELTCMP01">#REF!</definedName>
    <definedName name="ListValidation">#REF!</definedName>
    <definedName name="LIT">#REF!</definedName>
    <definedName name="lk">#REF!</definedName>
    <definedName name="lkjliiytuit" hidden="1">#REF!</definedName>
    <definedName name="LL">#REF!</definedName>
    <definedName name="lll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lll.REP" localSheetId="10" hidden="1">{#N/A,#N/A,FALSE,"min";#N/A,#N/A,FALSE,"mean";#N/A,#N/A,FALSE,"max"}</definedName>
    <definedName name="lll.REP" localSheetId="3" hidden="1">{#N/A,#N/A,FALSE,"min";#N/A,#N/A,FALSE,"mean";#N/A,#N/A,FALSE,"max"}</definedName>
    <definedName name="lll.REP" hidden="1">{#N/A,#N/A,FALSE,"min";#N/A,#N/A,FALSE,"mean";#N/A,#N/A,FALSE,"max"}</definedName>
    <definedName name="lll.REP_1" localSheetId="10" hidden="1">{#N/A,#N/A,FALSE,"min";#N/A,#N/A,FALSE,"mean";#N/A,#N/A,FALSE,"max"}</definedName>
    <definedName name="lll.REP_1" localSheetId="3" hidden="1">{#N/A,#N/A,FALSE,"min";#N/A,#N/A,FALSE,"mean";#N/A,#N/A,FALSE,"max"}</definedName>
    <definedName name="lll.REP_1" hidden="1">{#N/A,#N/A,FALSE,"min";#N/A,#N/A,FALSE,"mean";#N/A,#N/A,FALSE,"max"}</definedName>
    <definedName name="lll.REP_2" localSheetId="10" hidden="1">{#N/A,#N/A,FALSE,"min";#N/A,#N/A,FALSE,"mean";#N/A,#N/A,FALSE,"max"}</definedName>
    <definedName name="lll.REP_2" localSheetId="3" hidden="1">{#N/A,#N/A,FALSE,"min";#N/A,#N/A,FALSE,"mean";#N/A,#N/A,FALSE,"max"}</definedName>
    <definedName name="lll.REP_2" hidden="1">{#N/A,#N/A,FALSE,"min";#N/A,#N/A,FALSE,"mean";#N/A,#N/A,FALSE,"max"}</definedName>
    <definedName name="lll.REP_3" localSheetId="10" hidden="1">{#N/A,#N/A,FALSE,"min";#N/A,#N/A,FALSE,"mean";#N/A,#N/A,FALSE,"max"}</definedName>
    <definedName name="lll.REP_3" localSheetId="3" hidden="1">{#N/A,#N/A,FALSE,"min";#N/A,#N/A,FALSE,"mean";#N/A,#N/A,FALSE,"max"}</definedName>
    <definedName name="lll.REP_3" hidden="1">{#N/A,#N/A,FALSE,"min";#N/A,#N/A,FALSE,"mean";#N/A,#N/A,FALSE,"max"}</definedName>
    <definedName name="lll.REP_4" localSheetId="10" hidden="1">{#N/A,#N/A,FALSE,"min";#N/A,#N/A,FALSE,"mean";#N/A,#N/A,FALSE,"max"}</definedName>
    <definedName name="lll.REP_4" localSheetId="3" hidden="1">{#N/A,#N/A,FALSE,"min";#N/A,#N/A,FALSE,"mean";#N/A,#N/A,FALSE,"max"}</definedName>
    <definedName name="lll.REP_4" hidden="1">{#N/A,#N/A,FALSE,"min";#N/A,#N/A,FALSE,"mean";#N/A,#N/A,FALSE,"max"}</definedName>
    <definedName name="lll.REP_5" localSheetId="10" hidden="1">{#N/A,#N/A,FALSE,"min";#N/A,#N/A,FALSE,"mean";#N/A,#N/A,FALSE,"max"}</definedName>
    <definedName name="lll.REP_5" localSheetId="3" hidden="1">{#N/A,#N/A,FALSE,"min";#N/A,#N/A,FALSE,"mean";#N/A,#N/A,FALSE,"max"}</definedName>
    <definedName name="lll.REP_5" hidden="1">{#N/A,#N/A,FALSE,"min";#N/A,#N/A,FALSE,"mean";#N/A,#N/A,FALSE,"max"}</definedName>
    <definedName name="LLLL">#REF!</definedName>
    <definedName name="LLLLLLLLLLLLLL" localSheetId="10" hidden="1">{#N/A,#N/A,FALSE,"Ejector 1";#N/A,#N/A,FALSE,"Ejector 2"}</definedName>
    <definedName name="LLLLLLLLLLLLLL" localSheetId="3" hidden="1">{#N/A,#N/A,FALSE,"Ejector 1";#N/A,#N/A,FALSE,"Ejector 2"}</definedName>
    <definedName name="LLLLLLLLLLLLLL" hidden="1">{#N/A,#N/A,FALSE,"Ejector 1";#N/A,#N/A,FALSE,"Ejector 2"}</definedName>
    <definedName name="LLLLLLLLLLLLLL_1" localSheetId="10" hidden="1">{#N/A,#N/A,FALSE,"Ejector 1";#N/A,#N/A,FALSE,"Ejector 2"}</definedName>
    <definedName name="LLLLLLLLLLLLLL_1" localSheetId="3" hidden="1">{#N/A,#N/A,FALSE,"Ejector 1";#N/A,#N/A,FALSE,"Ejector 2"}</definedName>
    <definedName name="LLLLLLLLLLLLLL_1" hidden="1">{#N/A,#N/A,FALSE,"Ejector 1";#N/A,#N/A,FALSE,"Ejector 2"}</definedName>
    <definedName name="LLLLLLLLLLLLLL_2" localSheetId="10" hidden="1">{#N/A,#N/A,FALSE,"Ejector 1";#N/A,#N/A,FALSE,"Ejector 2"}</definedName>
    <definedName name="LLLLLLLLLLLLLL_2" localSheetId="3" hidden="1">{#N/A,#N/A,FALSE,"Ejector 1";#N/A,#N/A,FALSE,"Ejector 2"}</definedName>
    <definedName name="LLLLLLLLLLLLLL_2" hidden="1">{#N/A,#N/A,FALSE,"Ejector 1";#N/A,#N/A,FALSE,"Ejector 2"}</definedName>
    <definedName name="LLLLLLLLLLLLLL_3" localSheetId="10" hidden="1">{#N/A,#N/A,FALSE,"Ejector 1";#N/A,#N/A,FALSE,"Ejector 2"}</definedName>
    <definedName name="LLLLLLLLLLLLLL_3" localSheetId="3" hidden="1">{#N/A,#N/A,FALSE,"Ejector 1";#N/A,#N/A,FALSE,"Ejector 2"}</definedName>
    <definedName name="LLLLLLLLLLLLLL_3" hidden="1">{#N/A,#N/A,FALSE,"Ejector 1";#N/A,#N/A,FALSE,"Ejector 2"}</definedName>
    <definedName name="LLLLLLLLLLLLLL_4" localSheetId="10" hidden="1">{#N/A,#N/A,FALSE,"Ejector 1";#N/A,#N/A,FALSE,"Ejector 2"}</definedName>
    <definedName name="LLLLLLLLLLLLLL_4" localSheetId="3" hidden="1">{#N/A,#N/A,FALSE,"Ejector 1";#N/A,#N/A,FALSE,"Ejector 2"}</definedName>
    <definedName name="LLLLLLLLLLLLLL_4" hidden="1">{#N/A,#N/A,FALSE,"Ejector 1";#N/A,#N/A,FALSE,"Ejector 2"}</definedName>
    <definedName name="LLLLLLLLLLLLLL_5" localSheetId="10" hidden="1">{#N/A,#N/A,FALSE,"Ejector 1";#N/A,#N/A,FALSE,"Ejector 2"}</definedName>
    <definedName name="LLLLLLLLLLLLLL_5" localSheetId="3" hidden="1">{#N/A,#N/A,FALSE,"Ejector 1";#N/A,#N/A,FALSE,"Ejector 2"}</definedName>
    <definedName name="LLLLLLLLLLLLLL_5" hidden="1">{#N/A,#N/A,FALSE,"Ejector 1";#N/A,#N/A,FALSE,"Ejector 2"}</definedName>
    <definedName name="LMDSGOV">#REF!</definedName>
    <definedName name="LMDSLB">#REF!</definedName>
    <definedName name="LMDSSME">#REF!</definedName>
    <definedName name="Loan_Amount">#REF!</definedName>
    <definedName name="Loan_Start">#REF!</definedName>
    <definedName name="Loan_Years">#REF!</definedName>
    <definedName name="loc">#N/A</definedName>
    <definedName name="loca">#REF!</definedName>
    <definedName name="local">#REF!</definedName>
    <definedName name="Local_Code">#REF!</definedName>
    <definedName name="Local_Curr">#REF!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idades">#N/A</definedName>
    <definedName name="Location" hidden="1">#REF!</definedName>
    <definedName name="LOG_DB">#REF!</definedName>
    <definedName name="LookRange">#REF!</definedName>
    <definedName name="Loss_Reserves_Rollforward_217">#REF!</definedName>
    <definedName name="LowerAmount">#REF!</definedName>
    <definedName name="LP_SZ">#REF!</definedName>
    <definedName name="lr_Deviation_from_Income_Statement_Total_Incurred">#REF!</definedName>
    <definedName name="LSF00">#REF!</definedName>
    <definedName name="LTA00">#REF!</definedName>
    <definedName name="LTF00">#REF!</definedName>
    <definedName name="Lucro_Prejuizo_Acumulado">#REF!</definedName>
    <definedName name="luisa" localSheetId="10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luisa" localSheetId="3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luisa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LV">#REF!</definedName>
    <definedName name="LWSALES">#REF!</definedName>
    <definedName name="LY">#REF!</definedName>
    <definedName name="LYBin">#REF!</definedName>
    <definedName name="LYHolds">#REF!</definedName>
    <definedName name="LYN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>#REF!</definedName>
    <definedName name="m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m10GPI">#REF!</definedName>
    <definedName name="m10PG">#REF!</definedName>
    <definedName name="m10Pguá">#REF!</definedName>
    <definedName name="m10SP">#REF!</definedName>
    <definedName name="m11GPI">#REF!</definedName>
    <definedName name="m11PG">#REF!</definedName>
    <definedName name="m11Pguá">#REF!</definedName>
    <definedName name="m11SP">#REF!</definedName>
    <definedName name="m12GPI">#REF!</definedName>
    <definedName name="m12PG">#REF!</definedName>
    <definedName name="m12Pguá">#REF!</definedName>
    <definedName name="m12SP">#REF!</definedName>
    <definedName name="m13GPI">#REF!</definedName>
    <definedName name="m13PG">#REF!</definedName>
    <definedName name="m13Pguá">#REF!</definedName>
    <definedName name="m13SP">#REF!</definedName>
    <definedName name="m14GPI">#REF!</definedName>
    <definedName name="m14PG">#REF!</definedName>
    <definedName name="m14Pguá">#REF!</definedName>
    <definedName name="m14SP">#REF!</definedName>
    <definedName name="m15GPI">#REF!</definedName>
    <definedName name="m15PG">#REF!</definedName>
    <definedName name="m15Pguá">#REF!</definedName>
    <definedName name="m15SP">#REF!</definedName>
    <definedName name="m16GPI">#REF!</definedName>
    <definedName name="m16PG">#REF!</definedName>
    <definedName name="m16Pguá">#REF!</definedName>
    <definedName name="m16SP">#REF!</definedName>
    <definedName name="m1GPI">#REF!</definedName>
    <definedName name="m1PG">#REF!</definedName>
    <definedName name="m1Pguá">#REF!</definedName>
    <definedName name="m1SP">#REF!</definedName>
    <definedName name="m2GPI">#REF!</definedName>
    <definedName name="m2PG">#REF!</definedName>
    <definedName name="m2SP">#REF!</definedName>
    <definedName name="m3GPI">#REF!</definedName>
    <definedName name="m3PG">#REF!</definedName>
    <definedName name="m3SP">#REF!</definedName>
    <definedName name="m4GPI">#REF!</definedName>
    <definedName name="m4PG">#REF!</definedName>
    <definedName name="m4Pguá">#REF!</definedName>
    <definedName name="m4SP">#REF!</definedName>
    <definedName name="m5GPI">#REF!</definedName>
    <definedName name="m5PG">#REF!</definedName>
    <definedName name="m5Pguá">#REF!</definedName>
    <definedName name="m5SP">#REF!</definedName>
    <definedName name="m6GPI">#REF!</definedName>
    <definedName name="m6PG">#REF!</definedName>
    <definedName name="m6Pguá">#REF!</definedName>
    <definedName name="m6SP">#REF!</definedName>
    <definedName name="m7_2GPI">#REF!</definedName>
    <definedName name="m7_2PG">#REF!</definedName>
    <definedName name="m7_2Pguá">#REF!</definedName>
    <definedName name="m7_2SP">#REF!</definedName>
    <definedName name="m7GPI">#REF!</definedName>
    <definedName name="m7PG">#REF!</definedName>
    <definedName name="m7Pguá">#REF!</definedName>
    <definedName name="m7SP">#REF!</definedName>
    <definedName name="m8PG">#REF!</definedName>
    <definedName name="m8Pguá">#REF!</definedName>
    <definedName name="m8SPDC">#REF!</definedName>
    <definedName name="m8SPPP">#REF!</definedName>
    <definedName name="m9PGMF">#REF!</definedName>
    <definedName name="m9PGML">#REF!</definedName>
    <definedName name="m9PGPZ">#REF!</definedName>
    <definedName name="m9PGTT">#REF!</definedName>
    <definedName name="m9Pguá">#REF!</definedName>
    <definedName name="m9SPDC">#REF!</definedName>
    <definedName name="m9SPPP">#REF!</definedName>
    <definedName name="machine">#REF!</definedName>
    <definedName name="machine2">#REF!</definedName>
    <definedName name="Macro1">#REF!</definedName>
    <definedName name="Macro2">#REF!</definedName>
    <definedName name="MacroAliança">#N/A</definedName>
    <definedName name="MacroApólices">#N/A</definedName>
    <definedName name="MacroCapitaisPM">#N/A</definedName>
    <definedName name="MacroComparcao">#N/A</definedName>
    <definedName name="MacroFinac">#N/A</definedName>
    <definedName name="MacroGarantia">#N/A</definedName>
    <definedName name="MacroImprimir">#N/A</definedName>
    <definedName name="MacroMF_PAG_N_COB">#N/A</definedName>
    <definedName name="MacroPMImp">#N/A</definedName>
    <definedName name="MacroPMpCOMImp">#N/A</definedName>
    <definedName name="MACROS">#REF!</definedName>
    <definedName name="MacroUAP">#N/A</definedName>
    <definedName name="mact">#REF!</definedName>
    <definedName name="mail">#REF!</definedName>
    <definedName name="MAIO">#REF!</definedName>
    <definedName name="Mais_valias">#REF!</definedName>
    <definedName name="Manier">#REF!</definedName>
    <definedName name="Manutencao">#REF!</definedName>
    <definedName name="mapa">#REF!</definedName>
    <definedName name="Marc" localSheetId="10">MACRH</definedName>
    <definedName name="Marc" localSheetId="2">MACRH</definedName>
    <definedName name="Marc" localSheetId="3">MACRH</definedName>
    <definedName name="Marc">MACRH</definedName>
    <definedName name="MARCH" localSheetId="10">MACRH</definedName>
    <definedName name="MARCH" localSheetId="2">MACRH</definedName>
    <definedName name="MARCH" localSheetId="3">MACRH</definedName>
    <definedName name="MARCH">MACRH</definedName>
    <definedName name="MARÇO">#REF!</definedName>
    <definedName name="MARÇO_2009">#REF!</definedName>
    <definedName name="margin1">#REF!</definedName>
    <definedName name="margin2">#REF!</definedName>
    <definedName name="MARGINPLAN">#REF!</definedName>
    <definedName name="MARGINPROJ">#REF!</definedName>
    <definedName name="mario" localSheetId="10" hidden="1">{"'WEB azoc prov'!$B$85:$L$123"}</definedName>
    <definedName name="mario" localSheetId="3" hidden="1">{"'WEB azoc prov'!$B$85:$L$123"}</definedName>
    <definedName name="mario" hidden="1">{"'WEB azoc prov'!$B$85:$L$123"}</definedName>
    <definedName name="markdowns">#REF!</definedName>
    <definedName name="marra">#REF!</definedName>
    <definedName name="mat">#REF!</definedName>
    <definedName name="MATERIALIDADE">#REF!</definedName>
    <definedName name="mateus">#REF!</definedName>
    <definedName name="matt">#REF!</definedName>
    <definedName name="Max">#REF!</definedName>
    <definedName name="mb" localSheetId="10" hidden="1">{#N/A,#N/A,FALSE,"CHANGES";#N/A,#N/A,FALSE,"PROD SUMMARY";#N/A,#N/A,FALSE,"1995 PO SUM";#N/A,#N/A,FALSE,"1995 GEOG SUM";#N/A,#N/A,FALSE,"1996 PO SUM";#N/A,#N/A,FALSE,"1996 GEOG SUM"}</definedName>
    <definedName name="mb" localSheetId="3" hidden="1">{#N/A,#N/A,FALSE,"CHANGES";#N/A,#N/A,FALSE,"PROD SUMMARY";#N/A,#N/A,FALSE,"1995 PO SUM";#N/A,#N/A,FALSE,"1995 GEOG SUM";#N/A,#N/A,FALSE,"1996 PO SUM";#N/A,#N/A,FALSE,"1996 GEOG SUM"}</definedName>
    <definedName name="mb" hidden="1">{#N/A,#N/A,FALSE,"CHANGES";#N/A,#N/A,FALSE,"PROD SUMMARY";#N/A,#N/A,FALSE,"1995 PO SUM";#N/A,#N/A,FALSE,"1995 GEOG SUM";#N/A,#N/A,FALSE,"1996 PO SUM";#N/A,#N/A,FALSE,"1996 GEOG SUM"}</definedName>
    <definedName name="MC">#REF!</definedName>
    <definedName name="MC_SZ">#REF!</definedName>
    <definedName name="ME_Date">#REF!</definedName>
    <definedName name="Measures">#REF!</definedName>
    <definedName name="MediaAprendizagem">#REF!</definedName>
    <definedName name="MediaConteudo">#REF!</definedName>
    <definedName name="MediaInstrutor">#REF!</definedName>
    <definedName name="MediaLocal">#REF!</definedName>
    <definedName name="MediaRecursos">#REF!</definedName>
    <definedName name="Medias">#REF!</definedName>
    <definedName name="Médias">#REF!</definedName>
    <definedName name="MediaTempo">#REF!</definedName>
    <definedName name="medidadamage">#REF!</definedName>
    <definedName name="medidaexchange">#REF!</definedName>
    <definedName name="medidagood">#REF!</definedName>
    <definedName name="medidamarketreturn">#REF!</definedName>
    <definedName name="medidaproduction">#REF!</definedName>
    <definedName name="medidapromo">#REF!</definedName>
    <definedName name="medidareturn">#REF!</definedName>
    <definedName name="medidasold">#REF!</definedName>
    <definedName name="medpercdamage">#REF!</definedName>
    <definedName name="medpercexc">#REF!</definedName>
    <definedName name="medpercgood">#REF!</definedName>
    <definedName name="medpercmarkreturn">#REF!</definedName>
    <definedName name="medpercpromo">#REF!</definedName>
    <definedName name="medpercreturn">#REF!</definedName>
    <definedName name="medpersold">#REF!</definedName>
    <definedName name="memberof">#REF!</definedName>
    <definedName name="Menos_valias">#REF!</definedName>
    <definedName name="MENSAGEM">#REF!</definedName>
    <definedName name="MENSAL">#REF!</definedName>
    <definedName name="MENU">#REF!</definedName>
    <definedName name="MenuPrincipal">#REF!</definedName>
    <definedName name="MEPAMBE">#REF!</definedName>
    <definedName name="MES">#REF!</definedName>
    <definedName name="mês">#REF!</definedName>
    <definedName name="mês_fecho">#REF!</definedName>
    <definedName name="Mese">#REF!</definedName>
    <definedName name="Meses">#REF!</definedName>
    <definedName name="MêsReal">#REF!</definedName>
    <definedName name="MétodoID">#REF!</definedName>
    <definedName name="mf" localSheetId="10" hidden="1">{"ZAR",#N/A,FALSE,"APLICAR"}</definedName>
    <definedName name="mf" localSheetId="3" hidden="1">{"ZAR",#N/A,FALSE,"APLICAR"}</definedName>
    <definedName name="mf" hidden="1">{"ZAR",#N/A,FALSE,"APLICAR"}</definedName>
    <definedName name="MGHCMGCGHM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MGHCMGCGHM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MGHCMGCGHM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mgmtcost3" localSheetId="10" hidden="1">{#N/A,#N/A,FALSE,"Titles";#N/A,#N/A,FALSE,"Ts&amp;Cs";#N/A,#N/A,FALSE,"Variables";#N/A,#N/A,FALSE,"Labour"}</definedName>
    <definedName name="mgmtcost3" localSheetId="3" hidden="1">{#N/A,#N/A,FALSE,"Titles";#N/A,#N/A,FALSE,"Ts&amp;Cs";#N/A,#N/A,FALSE,"Variables";#N/A,#N/A,FALSE,"Labour"}</definedName>
    <definedName name="mgmtcost3" hidden="1">{#N/A,#N/A,FALSE,"Titles";#N/A,#N/A,FALSE,"Ts&amp;Cs";#N/A,#N/A,FALSE,"Variables";#N/A,#N/A,FALSE,"Labour"}</definedName>
    <definedName name="Mgmtcosts" localSheetId="10" hidden="1">{#N/A,#N/A,TRUE,"Cover";#N/A,#N/A,TRUE,"SUM";#N/A,#N/A,TRUE,"MAN";#N/A,#N/A,TRUE,"RESRC";#N/A,#N/A,TRUE,"SUBS";#N/A,#N/A,TRUE,"HIRE";#N/A,#N/A,TRUE,"SITE ESTAB";#N/A,#N/A,TRUE,"MAT"}</definedName>
    <definedName name="Mgmtcosts" localSheetId="3" hidden="1">{#N/A,#N/A,TRUE,"Cover";#N/A,#N/A,TRUE,"SUM";#N/A,#N/A,TRUE,"MAN";#N/A,#N/A,TRUE,"RESRC";#N/A,#N/A,TRUE,"SUBS";#N/A,#N/A,TRUE,"HIRE";#N/A,#N/A,TRUE,"SITE ESTAB";#N/A,#N/A,TRUE,"MAT"}</definedName>
    <definedName name="Mgmtcosts" hidden="1">{#N/A,#N/A,TRUE,"Cover";#N/A,#N/A,TRUE,"SUM";#N/A,#N/A,TRUE,"MAN";#N/A,#N/A,TRUE,"RESRC";#N/A,#N/A,TRUE,"SUBS";#N/A,#N/A,TRUE,"HIRE";#N/A,#N/A,TRUE,"SITE ESTAB";#N/A,#N/A,TRUE,"MAT"}</definedName>
    <definedName name="mgmtcosts1" localSheetId="10" hidden="1">{#N/A,#N/A,FALSE,"Titles";#N/A,#N/A,FALSE,"Ts&amp;Cs";#N/A,#N/A,FALSE,"Variables";#N/A,#N/A,FALSE,"Labour"}</definedName>
    <definedName name="mgmtcosts1" localSheetId="3" hidden="1">{#N/A,#N/A,FALSE,"Titles";#N/A,#N/A,FALSE,"Ts&amp;Cs";#N/A,#N/A,FALSE,"Variables";#N/A,#N/A,FALSE,"Labour"}</definedName>
    <definedName name="mgmtcosts1" hidden="1">{#N/A,#N/A,FALSE,"Titles";#N/A,#N/A,FALSE,"Ts&amp;Cs";#N/A,#N/A,FALSE,"Variables";#N/A,#N/A,FALSE,"Labour"}</definedName>
    <definedName name="mgmtcosts2" localSheetId="10" hidden="1">{#N/A,#N/A,FALSE,"Titles";#N/A,#N/A,FALSE,"Ts&amp;Cs";#N/A,#N/A,FALSE,"Variables";#N/A,#N/A,FALSE,"Labour"}</definedName>
    <definedName name="mgmtcosts2" localSheetId="3" hidden="1">{#N/A,#N/A,FALSE,"Titles";#N/A,#N/A,FALSE,"Ts&amp;Cs";#N/A,#N/A,FALSE,"Variables";#N/A,#N/A,FALSE,"Labour"}</definedName>
    <definedName name="mgmtcosts2" hidden="1">{#N/A,#N/A,FALSE,"Titles";#N/A,#N/A,FALSE,"Ts&amp;Cs";#N/A,#N/A,FALSE,"Variables";#N/A,#N/A,FALSE,"Labour"}</definedName>
    <definedName name="mgtop">#REF!</definedName>
    <definedName name="mhom">#REF!</definedName>
    <definedName name="Min_Financas">#REF!</definedName>
    <definedName name="MINC">#REF!,#REF!,#REF!,#REF!</definedName>
    <definedName name="Minor">#REF!</definedName>
    <definedName name="minxm">#REF!</definedName>
    <definedName name="MiscIncome_14">#REF!</definedName>
    <definedName name="MiscIncome_LM">#REF!</definedName>
    <definedName name="mjusdr">#REF!</definedName>
    <definedName name="MktPL">#REF!</definedName>
    <definedName name="MLOBCO">#REF!</definedName>
    <definedName name="MLOBNK">#REF!</definedName>
    <definedName name="mm">#REF!</definedName>
    <definedName name="MMaz">#REF!</definedName>
    <definedName name="mmm">#REF!</definedName>
    <definedName name="mmm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mmm.REP" localSheetId="10" hidden="1">{#N/A,#N/A,FALSE,"min";#N/A,#N/A,FALSE,"mean";#N/A,#N/A,FALSE,"max"}</definedName>
    <definedName name="mmm.REP" localSheetId="3" hidden="1">{#N/A,#N/A,FALSE,"min";#N/A,#N/A,FALSE,"mean";#N/A,#N/A,FALSE,"max"}</definedName>
    <definedName name="mmm.REP" hidden="1">{#N/A,#N/A,FALSE,"min";#N/A,#N/A,FALSE,"mean";#N/A,#N/A,FALSE,"max"}</definedName>
    <definedName name="mmm.REP_1" localSheetId="10" hidden="1">{#N/A,#N/A,FALSE,"min";#N/A,#N/A,FALSE,"mean";#N/A,#N/A,FALSE,"max"}</definedName>
    <definedName name="mmm.REP_1" localSheetId="3" hidden="1">{#N/A,#N/A,FALSE,"min";#N/A,#N/A,FALSE,"mean";#N/A,#N/A,FALSE,"max"}</definedName>
    <definedName name="mmm.REP_1" hidden="1">{#N/A,#N/A,FALSE,"min";#N/A,#N/A,FALSE,"mean";#N/A,#N/A,FALSE,"max"}</definedName>
    <definedName name="mmm.REP_2" localSheetId="10" hidden="1">{#N/A,#N/A,FALSE,"min";#N/A,#N/A,FALSE,"mean";#N/A,#N/A,FALSE,"max"}</definedName>
    <definedName name="mmm.REP_2" localSheetId="3" hidden="1">{#N/A,#N/A,FALSE,"min";#N/A,#N/A,FALSE,"mean";#N/A,#N/A,FALSE,"max"}</definedName>
    <definedName name="mmm.REP_2" hidden="1">{#N/A,#N/A,FALSE,"min";#N/A,#N/A,FALSE,"mean";#N/A,#N/A,FALSE,"max"}</definedName>
    <definedName name="mmm.REP_3" localSheetId="10" hidden="1">{#N/A,#N/A,FALSE,"min";#N/A,#N/A,FALSE,"mean";#N/A,#N/A,FALSE,"max"}</definedName>
    <definedName name="mmm.REP_3" localSheetId="3" hidden="1">{#N/A,#N/A,FALSE,"min";#N/A,#N/A,FALSE,"mean";#N/A,#N/A,FALSE,"max"}</definedName>
    <definedName name="mmm.REP_3" hidden="1">{#N/A,#N/A,FALSE,"min";#N/A,#N/A,FALSE,"mean";#N/A,#N/A,FALSE,"max"}</definedName>
    <definedName name="mmm.REP_4" localSheetId="10" hidden="1">{#N/A,#N/A,FALSE,"min";#N/A,#N/A,FALSE,"mean";#N/A,#N/A,FALSE,"max"}</definedName>
    <definedName name="mmm.REP_4" localSheetId="3" hidden="1">{#N/A,#N/A,FALSE,"min";#N/A,#N/A,FALSE,"mean";#N/A,#N/A,FALSE,"max"}</definedName>
    <definedName name="mmm.REP_4" hidden="1">{#N/A,#N/A,FALSE,"min";#N/A,#N/A,FALSE,"mean";#N/A,#N/A,FALSE,"max"}</definedName>
    <definedName name="mmm.REP_5" localSheetId="10" hidden="1">{#N/A,#N/A,FALSE,"min";#N/A,#N/A,FALSE,"mean";#N/A,#N/A,FALSE,"max"}</definedName>
    <definedName name="mmm.REP_5" localSheetId="3" hidden="1">{#N/A,#N/A,FALSE,"min";#N/A,#N/A,FALSE,"mean";#N/A,#N/A,FALSE,"max"}</definedName>
    <definedName name="mmm.REP_5" hidden="1">{#N/A,#N/A,FALSE,"min";#N/A,#N/A,FALSE,"mean";#N/A,#N/A,FALSE,"max"}</definedName>
    <definedName name="MMMMMMMM8">#REF!</definedName>
    <definedName name="MNJHYTJ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MNJHYTJ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MNJHYTJ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mo">#REF!</definedName>
    <definedName name="Mod__DURE_01_IG">#REF!</definedName>
    <definedName name="Modalidade">#REF!</definedName>
    <definedName name="modelo">#REF!</definedName>
    <definedName name="MODU">#REF!</definedName>
    <definedName name="momom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momom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momom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momomom" localSheetId="10" hidden="1">{"'Sheet1'!$M$363:$M$364"}</definedName>
    <definedName name="momomom" localSheetId="3" hidden="1">{"'Sheet1'!$M$363:$M$364"}</definedName>
    <definedName name="momomom" hidden="1">{"'Sheet1'!$M$363:$M$364"}</definedName>
    <definedName name="momomom_1" localSheetId="10" hidden="1">{"'Sheet1'!$M$363:$M$364"}</definedName>
    <definedName name="momomom_1" localSheetId="3" hidden="1">{"'Sheet1'!$M$363:$M$364"}</definedName>
    <definedName name="momomom_1" hidden="1">{"'Sheet1'!$M$363:$M$364"}</definedName>
    <definedName name="momomom_2" localSheetId="10" hidden="1">{"'Sheet1'!$M$363:$M$364"}</definedName>
    <definedName name="momomom_2" localSheetId="3" hidden="1">{"'Sheet1'!$M$363:$M$364"}</definedName>
    <definedName name="momomom_2" hidden="1">{"'Sheet1'!$M$363:$M$364"}</definedName>
    <definedName name="momomom_3" localSheetId="10" hidden="1">{"'Sheet1'!$M$363:$M$364"}</definedName>
    <definedName name="momomom_3" localSheetId="3" hidden="1">{"'Sheet1'!$M$363:$M$364"}</definedName>
    <definedName name="momomom_3" hidden="1">{"'Sheet1'!$M$363:$M$364"}</definedName>
    <definedName name="momomom_4" localSheetId="10" hidden="1">{"'Sheet1'!$M$363:$M$364"}</definedName>
    <definedName name="momomom_4" localSheetId="3" hidden="1">{"'Sheet1'!$M$363:$M$364"}</definedName>
    <definedName name="momomom_4" hidden="1">{"'Sheet1'!$M$363:$M$364"}</definedName>
    <definedName name="momomom_5" localSheetId="10" hidden="1">{"'Sheet1'!$M$363:$M$364"}</definedName>
    <definedName name="momomom_5" localSheetId="3" hidden="1">{"'Sheet1'!$M$363:$M$364"}</definedName>
    <definedName name="momomom_5" hidden="1">{"'Sheet1'!$M$363:$M$364"}</definedName>
    <definedName name="momomooo" localSheetId="10" hidden="1">{"'Sheet1'!$M$363:$M$364"}</definedName>
    <definedName name="momomooo" localSheetId="3" hidden="1">{"'Sheet1'!$M$363:$M$364"}</definedName>
    <definedName name="momomooo" hidden="1">{"'Sheet1'!$M$363:$M$364"}</definedName>
    <definedName name="momomooo_1" localSheetId="10" hidden="1">{"'Sheet1'!$M$363:$M$364"}</definedName>
    <definedName name="momomooo_1" localSheetId="3" hidden="1">{"'Sheet1'!$M$363:$M$364"}</definedName>
    <definedName name="momomooo_1" hidden="1">{"'Sheet1'!$M$363:$M$364"}</definedName>
    <definedName name="momomooo_2" localSheetId="10" hidden="1">{"'Sheet1'!$M$363:$M$364"}</definedName>
    <definedName name="momomooo_2" localSheetId="3" hidden="1">{"'Sheet1'!$M$363:$M$364"}</definedName>
    <definedName name="momomooo_2" hidden="1">{"'Sheet1'!$M$363:$M$364"}</definedName>
    <definedName name="momomooo_3" localSheetId="10" hidden="1">{"'Sheet1'!$M$363:$M$364"}</definedName>
    <definedName name="momomooo_3" localSheetId="3" hidden="1">{"'Sheet1'!$M$363:$M$364"}</definedName>
    <definedName name="momomooo_3" hidden="1">{"'Sheet1'!$M$363:$M$364"}</definedName>
    <definedName name="momomooo_4" localSheetId="10" hidden="1">{"'Sheet1'!$M$363:$M$364"}</definedName>
    <definedName name="momomooo_4" localSheetId="3" hidden="1">{"'Sheet1'!$M$363:$M$364"}</definedName>
    <definedName name="momomooo_4" hidden="1">{"'Sheet1'!$M$363:$M$364"}</definedName>
    <definedName name="momomooo_5" localSheetId="10" hidden="1">{"'Sheet1'!$M$363:$M$364"}</definedName>
    <definedName name="momomooo_5" localSheetId="3" hidden="1">{"'Sheet1'!$M$363:$M$364"}</definedName>
    <definedName name="momomooo_5" hidden="1">{"'Sheet1'!$M$363:$M$364"}</definedName>
    <definedName name="Monnaie">#REF!</definedName>
    <definedName name="Month">#REF!</definedName>
    <definedName name="Month_des">#REF!</definedName>
    <definedName name="Moving_Expense">#REF!</definedName>
    <definedName name="MRTBrands_RANKED">#REF!</definedName>
    <definedName name="MSG">#REF!</definedName>
    <definedName name="MT" localSheetId="10" hidden="1">{"ZAR",#N/A,FALSE,"APLICAR"}</definedName>
    <definedName name="MT" localSheetId="3" hidden="1">{"ZAR",#N/A,FALSE,"APLICAR"}</definedName>
    <definedName name="MT" hidden="1">{"ZAR",#N/A,FALSE,"APLICAR"}</definedName>
    <definedName name="MTGACTIONS">#REF!</definedName>
    <definedName name="MTGAGENDA">#REF!</definedName>
    <definedName name="MTGATTEND">#REF!</definedName>
    <definedName name="MTGDATE">#REF!</definedName>
    <definedName name="MTGDATE0">#REF!</definedName>
    <definedName name="MTGNEXTDATE">#REF!</definedName>
    <definedName name="MTGNEXTITEMS">#REF!</definedName>
    <definedName name="MTGNEXTLOC">#REF!</definedName>
    <definedName name="MTGNOTES">#REF!</definedName>
    <definedName name="mtn">#REF!</definedName>
    <definedName name="mts">#REF!</definedName>
    <definedName name="MU">#REF!</definedName>
    <definedName name="MUE">#REF!</definedName>
    <definedName name="multi">#REF!</definedName>
    <definedName name="MX_BS">#REF!</definedName>
    <definedName name="MX_PandL">#REF!</definedName>
    <definedName name="MyAxis">OFFSET(#REF!,1,,#REF!)</definedName>
    <definedName name="MyRange">#REF!</definedName>
    <definedName name="myRng">OFFSET(#REF!,1,1,#REF!)</definedName>
    <definedName name="MZN">#REF!</definedName>
    <definedName name="n">#REF!</definedName>
    <definedName name="Name">#REF!</definedName>
    <definedName name="Name_Surname">#REF!</definedName>
    <definedName name="NAME1">#REF!</definedName>
    <definedName name="NAME2">#REF!</definedName>
    <definedName name="NameDivision">#REF!</definedName>
    <definedName name="NameTeam">#REF!</definedName>
    <definedName name="naoc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aoc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aoc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atDados">#REF!</definedName>
    <definedName name="NatDadosSel">#REF!</definedName>
    <definedName name="navig">#REF!</definedName>
    <definedName name="NB07a">#REF!</definedName>
    <definedName name="NbDays">#REF!</definedName>
    <definedName name="nbo">#REF!</definedName>
    <definedName name="NbWeeks">#REF!</definedName>
    <definedName name="NCA_9">#REF!</definedName>
    <definedName name="NCF00">#REF!</definedName>
    <definedName name="New">#REF!</definedName>
    <definedName name="NewPr">#REF!</definedName>
    <definedName name="Newprar">#REF!</definedName>
    <definedName name="ngfdnnhddddddddddddddddddd" localSheetId="10" hidden="1">{"'Sheet1'!$M$363:$M$364"}</definedName>
    <definedName name="ngfdnnhddddddddddddddddddd" localSheetId="3" hidden="1">{"'Sheet1'!$M$363:$M$364"}</definedName>
    <definedName name="ngfdnnhddddddddddddddddddd" hidden="1">{"'Sheet1'!$M$363:$M$364"}</definedName>
    <definedName name="ngfdnnhddddddddddddddddddd_1" localSheetId="10" hidden="1">{"'Sheet1'!$M$363:$M$364"}</definedName>
    <definedName name="ngfdnnhddddddddddddddddddd_1" localSheetId="3" hidden="1">{"'Sheet1'!$M$363:$M$364"}</definedName>
    <definedName name="ngfdnnhddddddddddddddddddd_1" hidden="1">{"'Sheet1'!$M$363:$M$364"}</definedName>
    <definedName name="ngfdnnhddddddddddddddddddd_2" localSheetId="10" hidden="1">{"'Sheet1'!$M$363:$M$364"}</definedName>
    <definedName name="ngfdnnhddddddddddddddddddd_2" localSheetId="3" hidden="1">{"'Sheet1'!$M$363:$M$364"}</definedName>
    <definedName name="ngfdnnhddddddddddddddddddd_2" hidden="1">{"'Sheet1'!$M$363:$M$364"}</definedName>
    <definedName name="ngfdnnhddddddddddddddddddd_3" localSheetId="10" hidden="1">{"'Sheet1'!$M$363:$M$364"}</definedName>
    <definedName name="ngfdnnhddddddddddddddddddd_3" localSheetId="3" hidden="1">{"'Sheet1'!$M$363:$M$364"}</definedName>
    <definedName name="ngfdnnhddddddddddddddddddd_3" hidden="1">{"'Sheet1'!$M$363:$M$364"}</definedName>
    <definedName name="ngfdnnhddddddddddddddddddd_4" localSheetId="10" hidden="1">{"'Sheet1'!$M$363:$M$364"}</definedName>
    <definedName name="ngfdnnhddddddddddddddddddd_4" localSheetId="3" hidden="1">{"'Sheet1'!$M$363:$M$364"}</definedName>
    <definedName name="ngfdnnhddddddddddddddddddd_4" hidden="1">{"'Sheet1'!$M$363:$M$364"}</definedName>
    <definedName name="ngfdnnhddddddddddddddddddd_5" localSheetId="10" hidden="1">{"'Sheet1'!$M$363:$M$364"}</definedName>
    <definedName name="ngfdnnhddddddddddddddddddd_5" localSheetId="3" hidden="1">{"'Sheet1'!$M$363:$M$364"}</definedName>
    <definedName name="ngfdnnhddddddddddddddddddd_5" hidden="1">{"'Sheet1'!$M$363:$M$364"}</definedName>
    <definedName name="Nigeria_CE" localSheetId="10" hidden="1">{#N/A,#N/A,FALSE,"VARIANCE";#N/A,#N/A,FALSE,"2NDQTR";#N/A,#N/A,FALSE,"1STQTR";#N/A,#N/A,FALSE,"BUDGET"}</definedName>
    <definedName name="Nigeria_CE" localSheetId="3" hidden="1">{#N/A,#N/A,FALSE,"VARIANCE";#N/A,#N/A,FALSE,"2NDQTR";#N/A,#N/A,FALSE,"1STQTR";#N/A,#N/A,FALSE,"BUDGET"}</definedName>
    <definedName name="Nigeria_CE" hidden="1">{#N/A,#N/A,FALSE,"VARIANCE";#N/A,#N/A,FALSE,"2NDQTR";#N/A,#N/A,FALSE,"1STQTR";#N/A,#N/A,FALSE,"BUDGET"}</definedName>
    <definedName name="Nigeria_produzioni" localSheetId="10" hidden="1">{#N/A,#N/A,FALSE,"VARIANCE";#N/A,#N/A,FALSE,"2NDQTR";#N/A,#N/A,FALSE,"1STQTR";#N/A,#N/A,FALSE,"BUDGET"}</definedName>
    <definedName name="Nigeria_produzioni" localSheetId="3" hidden="1">{#N/A,#N/A,FALSE,"VARIANCE";#N/A,#N/A,FALSE,"2NDQTR";#N/A,#N/A,FALSE,"1STQTR";#N/A,#N/A,FALSE,"BUDGET"}</definedName>
    <definedName name="Nigeria_produzioni" hidden="1">{#N/A,#N/A,FALSE,"VARIANCE";#N/A,#N/A,FALSE,"2NDQTR";#N/A,#N/A,FALSE,"1STQTR";#N/A,#N/A,FALSE,"BUDGET"}</definedName>
    <definedName name="nkiujhn">#REF!</definedName>
    <definedName name="NM" hidden="1">#REF!</definedName>
    <definedName name="NN">#REF!</definedName>
    <definedName name="NNA" localSheetId="10" hidden="1">{#N/A,#N/A,FALSE,"Titles";#N/A,#N/A,FALSE,"Ts&amp;Cs";#N/A,#N/A,FALSE,"Variables";#N/A,#N/A,FALSE,"Labour"}</definedName>
    <definedName name="NNA" localSheetId="3" hidden="1">{#N/A,#N/A,FALSE,"Titles";#N/A,#N/A,FALSE,"Ts&amp;Cs";#N/A,#N/A,FALSE,"Variables";#N/A,#N/A,FALSE,"Labour"}</definedName>
    <definedName name="NNA" hidden="1">{#N/A,#N/A,FALSE,"Titles";#N/A,#N/A,FALSE,"Ts&amp;Cs";#N/A,#N/A,FALSE,"Variables";#N/A,#N/A,FALSE,"Labour"}</definedName>
    <definedName name="nnn">#REF!</definedName>
    <definedName name="NNN_1" localSheetId="10" hidden="1">{#N/A,#N/A,FALSE,"Ejector 1";#N/A,#N/A,FALSE,"Ejector 2"}</definedName>
    <definedName name="NNN_1" localSheetId="3" hidden="1">{#N/A,#N/A,FALSE,"Ejector 1";#N/A,#N/A,FALSE,"Ejector 2"}</definedName>
    <definedName name="NNN_1" hidden="1">{#N/A,#N/A,FALSE,"Ejector 1";#N/A,#N/A,FALSE,"Ejector 2"}</definedName>
    <definedName name="NNN_2" localSheetId="10" hidden="1">{#N/A,#N/A,FALSE,"Ejector 1";#N/A,#N/A,FALSE,"Ejector 2"}</definedName>
    <definedName name="NNN_2" localSheetId="3" hidden="1">{#N/A,#N/A,FALSE,"Ejector 1";#N/A,#N/A,FALSE,"Ejector 2"}</definedName>
    <definedName name="NNN_2" hidden="1">{#N/A,#N/A,FALSE,"Ejector 1";#N/A,#N/A,FALSE,"Ejector 2"}</definedName>
    <definedName name="NNN_3" localSheetId="10" hidden="1">{#N/A,#N/A,FALSE,"Ejector 1";#N/A,#N/A,FALSE,"Ejector 2"}</definedName>
    <definedName name="NNN_3" localSheetId="3" hidden="1">{#N/A,#N/A,FALSE,"Ejector 1";#N/A,#N/A,FALSE,"Ejector 2"}</definedName>
    <definedName name="NNN_3" hidden="1">{#N/A,#N/A,FALSE,"Ejector 1";#N/A,#N/A,FALSE,"Ejector 2"}</definedName>
    <definedName name="NNN_4" localSheetId="10" hidden="1">{#N/A,#N/A,FALSE,"Ejector 1";#N/A,#N/A,FALSE,"Ejector 2"}</definedName>
    <definedName name="NNN_4" localSheetId="3" hidden="1">{#N/A,#N/A,FALSE,"Ejector 1";#N/A,#N/A,FALSE,"Ejector 2"}</definedName>
    <definedName name="NNN_4" hidden="1">{#N/A,#N/A,FALSE,"Ejector 1";#N/A,#N/A,FALSE,"Ejector 2"}</definedName>
    <definedName name="NNN_5" localSheetId="10" hidden="1">{#N/A,#N/A,FALSE,"Ejector 1";#N/A,#N/A,FALSE,"Ejector 2"}</definedName>
    <definedName name="NNN_5" localSheetId="3" hidden="1">{#N/A,#N/A,FALSE,"Ejector 1";#N/A,#N/A,FALSE,"Ejector 2"}</definedName>
    <definedName name="NNN_5" hidden="1">{#N/A,#N/A,FALSE,"Ejector 1";#N/A,#N/A,FALSE,"Ejector 2"}</definedName>
    <definedName name="NNNN" localSheetId="10" hidden="1">{#N/A,#N/A,FALSE,"Titles";#N/A,#N/A,FALSE,"Ts&amp;Cs";#N/A,#N/A,FALSE,"Variables";#N/A,#N/A,FALSE,"Labour"}</definedName>
    <definedName name="NNNN" localSheetId="3" hidden="1">{#N/A,#N/A,FALSE,"Titles";#N/A,#N/A,FALSE,"Ts&amp;Cs";#N/A,#N/A,FALSE,"Variables";#N/A,#N/A,FALSE,"Labour"}</definedName>
    <definedName name="NNNN" hidden="1">{#N/A,#N/A,FALSE,"Titles";#N/A,#N/A,FALSE,"Ts&amp;Cs";#N/A,#N/A,FALSE,"Variables";#N/A,#N/A,FALSE,"Labour"}</definedName>
    <definedName name="nnnnA">#REF!</definedName>
    <definedName name="nnnnn" hidden="1">#REF!</definedName>
    <definedName name="nnnnnnnnnnnnnnnnnnnnnnnnnn" localSheetId="10" hidden="1">{"'Sheet1'!$M$363:$M$364"}</definedName>
    <definedName name="nnnnnnnnnnnnnnnnnnnnnnnnnn" localSheetId="3" hidden="1">{"'Sheet1'!$M$363:$M$364"}</definedName>
    <definedName name="nnnnnnnnnnnnnnnnnnnnnnnnnn" hidden="1">{"'Sheet1'!$M$363:$M$364"}</definedName>
    <definedName name="nnnnnnnnnnnnnnnnnnnnnnnnnn_1" localSheetId="10" hidden="1">{"'Sheet1'!$M$363:$M$364"}</definedName>
    <definedName name="nnnnnnnnnnnnnnnnnnnnnnnnnn_1" localSheetId="3" hidden="1">{"'Sheet1'!$M$363:$M$364"}</definedName>
    <definedName name="nnnnnnnnnnnnnnnnnnnnnnnnnn_1" hidden="1">{"'Sheet1'!$M$363:$M$364"}</definedName>
    <definedName name="nnnnnnnnnnnnnnnnnnnnnnnnnn_2" localSheetId="10" hidden="1">{"'Sheet1'!$M$363:$M$364"}</definedName>
    <definedName name="nnnnnnnnnnnnnnnnnnnnnnnnnn_2" localSheetId="3" hidden="1">{"'Sheet1'!$M$363:$M$364"}</definedName>
    <definedName name="nnnnnnnnnnnnnnnnnnnnnnnnnn_2" hidden="1">{"'Sheet1'!$M$363:$M$364"}</definedName>
    <definedName name="nnnnnnnnnnnnnnnnnnnnnnnnnn_3" localSheetId="10" hidden="1">{"'Sheet1'!$M$363:$M$364"}</definedName>
    <definedName name="nnnnnnnnnnnnnnnnnnnnnnnnnn_3" localSheetId="3" hidden="1">{"'Sheet1'!$M$363:$M$364"}</definedName>
    <definedName name="nnnnnnnnnnnnnnnnnnnnnnnnnn_3" hidden="1">{"'Sheet1'!$M$363:$M$364"}</definedName>
    <definedName name="nnnnnnnnnnnnnnnnnnnnnnnnnn_4" localSheetId="10" hidden="1">{"'Sheet1'!$M$363:$M$364"}</definedName>
    <definedName name="nnnnnnnnnnnnnnnnnnnnnnnnnn_4" localSheetId="3" hidden="1">{"'Sheet1'!$M$363:$M$364"}</definedName>
    <definedName name="nnnnnnnnnnnnnnnnnnnnnnnnnn_4" hidden="1">{"'Sheet1'!$M$363:$M$364"}</definedName>
    <definedName name="nnnnnnnnnnnnnnnnnnnnnnnnnn_5" localSheetId="10" hidden="1">{"'Sheet1'!$M$363:$M$364"}</definedName>
    <definedName name="nnnnnnnnnnnnnnnnnnnnnnnnnn_5" localSheetId="3" hidden="1">{"'Sheet1'!$M$363:$M$364"}</definedName>
    <definedName name="nnnnnnnnnnnnnnnnnnnnnnnnnn_5" hidden="1">{"'Sheet1'!$M$363:$M$364"}</definedName>
    <definedName name="NO">#REF!</definedName>
    <definedName name="NomeÁrea">#REF!</definedName>
    <definedName name="NominalAmount">#REF!</definedName>
    <definedName name="NominalAmountPct">#REF!</definedName>
    <definedName name="NominalAmountPctLimit">#REF!</definedName>
    <definedName name="NominalAmountRationale">#REF!</definedName>
    <definedName name="nonxmcm">#REF!</definedName>
    <definedName name="nonxmcr">#REF!</definedName>
    <definedName name="nonxmcu">#REF!</definedName>
    <definedName name="nonxmcw">#REF!</definedName>
    <definedName name="nonxmmins">#REF!</definedName>
    <definedName name="nonxmpm">#REF!</definedName>
    <definedName name="nonxmpr">#REF!</definedName>
    <definedName name="nonxmpri">#REF!</definedName>
    <definedName name="nonxmpri.">#REF!</definedName>
    <definedName name="nonxmpu">#REF!</definedName>
    <definedName name="Not_Reconcilied">#REF!</definedName>
    <definedName name="nota">#REF!</definedName>
    <definedName name="NOTAITAUSA">#REF!</definedName>
    <definedName name="NOTAMERC">#REF!</definedName>
    <definedName name="Notas">#REF!</definedName>
    <definedName name="note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1">#REF!</definedName>
    <definedName name="NOTE2">#REF!</definedName>
    <definedName name="note3">#REF!</definedName>
    <definedName name="noteDEP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eDEP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otice">#REF!</definedName>
    <definedName name="NOVEMBRO">#REF!</definedName>
    <definedName name="novo" localSheetId="10" hidden="1">{#N/A,#N/A,FALSE,"VARIANCE";#N/A,#N/A,FALSE,"2NDQTR";#N/A,#N/A,FALSE,"1STQTR";#N/A,#N/A,FALSE,"BUDGET"}</definedName>
    <definedName name="novo" localSheetId="3" hidden="1">{#N/A,#N/A,FALSE,"VARIANCE";#N/A,#N/A,FALSE,"2NDQTR";#N/A,#N/A,FALSE,"1STQTR";#N/A,#N/A,FALSE,"BUDGET"}</definedName>
    <definedName name="novo" hidden="1">{#N/A,#N/A,FALSE,"VARIANCE";#N/A,#N/A,FALSE,"2NDQTR";#N/A,#N/A,FALSE,"1STQTR";#N/A,#N/A,FALSE,"BUDGET"}</definedName>
    <definedName name="novo1" localSheetId="10" hidden="1">{#N/A,#N/A,FALSE,"GFPLEC96"}</definedName>
    <definedName name="novo1" localSheetId="3" hidden="1">{#N/A,#N/A,FALSE,"GFPLEC96"}</definedName>
    <definedName name="novo1" hidden="1">{#N/A,#N/A,FALSE,"GFPLEC96"}</definedName>
    <definedName name="Novo2" localSheetId="10" hidden="1">{"'ALqdUESP'!$B$11"}</definedName>
    <definedName name="Novo2" localSheetId="3" hidden="1">{"'ALqdUESP'!$B$11"}</definedName>
    <definedName name="Novo2" hidden="1">{"'ALqdUESP'!$B$11"}</definedName>
    <definedName name="NrCol">#REF!</definedName>
    <definedName name="NRecon_F">#REF!</definedName>
    <definedName name="NReconOC">#REF!</definedName>
    <definedName name="NReconOD">#REF!</definedName>
    <definedName name="NsM0">#REF!</definedName>
    <definedName name="NSOI_18_10">#REF!</definedName>
    <definedName name="NSOI_18_11">#REF!</definedName>
    <definedName name="NSOI_18_12">#REF!</definedName>
    <definedName name="NSOI_18_14">#REF!</definedName>
    <definedName name="NSOI_18_18">#REF!</definedName>
    <definedName name="NSOI_18_2">#REF!</definedName>
    <definedName name="NSOI_18_6">#REF!</definedName>
    <definedName name="NSOI_18_9">#REF!</definedName>
    <definedName name="Num_Pmt_Per_Year">#REF!</definedName>
    <definedName name="Number_of_Payments">#N/A</definedName>
    <definedName name="numero">#REF!</definedName>
    <definedName name="nuov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ovo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Nutr4Sabores">#REF!</definedName>
    <definedName name="NV">#REF!</definedName>
    <definedName name="NvsAnswerCol">"'[DR_4520541_4748390_PL_ITS EA Pty Limited Mozambique_12-08.xls]Transaction_Detail'!$A$5:$A$2804"</definedName>
    <definedName name="NvsASD">"V2007-12-31"</definedName>
    <definedName name="NvsAutoDrillOk">"VN"</definedName>
    <definedName name="NvsElapsedTime">0.0000578703693463467</definedName>
    <definedName name="NvsEndTime">39588.2346412037</definedName>
    <definedName name="NvsInstLang">"VENG"</definedName>
    <definedName name="NvsInstSpec">"%,FBUSINESS_UNIT,VMOZ01"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"V2004-10-19"</definedName>
    <definedName name="NvsPanelSetid">"VSHARE"</definedName>
    <definedName name="NvsParentRef">"'[PL_ITS EA Pty Limited Mozambique_12-08.xls]IncomeStmt'!$AV$124"</definedName>
    <definedName name="NvsReqBU">"VMOZ01"</definedName>
    <definedName name="NvsReqBUOnly">"VN"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ynynynyhjyny" localSheetId="10" hidden="1">{"'Sheet1'!$M$363:$M$364"}</definedName>
    <definedName name="nynynynyhjyny" localSheetId="3" hidden="1">{"'Sheet1'!$M$363:$M$364"}</definedName>
    <definedName name="nynynynyhjyny" hidden="1">{"'Sheet1'!$M$363:$M$364"}</definedName>
    <definedName name="nynynynyhjyny_1" localSheetId="10" hidden="1">{"'Sheet1'!$M$363:$M$364"}</definedName>
    <definedName name="nynynynyhjyny_1" localSheetId="3" hidden="1">{"'Sheet1'!$M$363:$M$364"}</definedName>
    <definedName name="nynynynyhjyny_1" hidden="1">{"'Sheet1'!$M$363:$M$364"}</definedName>
    <definedName name="nynynynyhjyny_2" localSheetId="10" hidden="1">{"'Sheet1'!$M$363:$M$364"}</definedName>
    <definedName name="nynynynyhjyny_2" localSheetId="3" hidden="1">{"'Sheet1'!$M$363:$M$364"}</definedName>
    <definedName name="nynynynyhjyny_2" hidden="1">{"'Sheet1'!$M$363:$M$364"}</definedName>
    <definedName name="nynynynyhjyny_3" localSheetId="10" hidden="1">{"'Sheet1'!$M$363:$M$364"}</definedName>
    <definedName name="nynynynyhjyny_3" localSheetId="3" hidden="1">{"'Sheet1'!$M$363:$M$364"}</definedName>
    <definedName name="nynynynyhjyny_3" hidden="1">{"'Sheet1'!$M$363:$M$364"}</definedName>
    <definedName name="nynynynyhjyny_4" localSheetId="10" hidden="1">{"'Sheet1'!$M$363:$M$364"}</definedName>
    <definedName name="nynynynyhjyny_4" localSheetId="3" hidden="1">{"'Sheet1'!$M$363:$M$364"}</definedName>
    <definedName name="nynynynyhjyny_4" hidden="1">{"'Sheet1'!$M$363:$M$364"}</definedName>
    <definedName name="nynynynyhjyny_5" localSheetId="10" hidden="1">{"'Sheet1'!$M$363:$M$364"}</definedName>
    <definedName name="nynynynyhjyny_5" localSheetId="3" hidden="1">{"'Sheet1'!$M$363:$M$364"}</definedName>
    <definedName name="nynynynyhjyny_5" hidden="1">{"'Sheet1'!$M$363:$M$364"}</definedName>
    <definedName name="o">#REF!</definedName>
    <definedName name="o.5_PET_s_CaLender">#REF!</definedName>
    <definedName name="o.j" localSheetId="10" hidden="1">{#N/A,#N/A,FALSE,"Città XXX"}</definedName>
    <definedName name="o.j" localSheetId="3" hidden="1">{#N/A,#N/A,FALSE,"Città XXX"}</definedName>
    <definedName name="o.j" hidden="1">{#N/A,#N/A,FALSE,"Città XXX"}</definedName>
    <definedName name="o8glif" localSheetId="10" hidden="1">{#N/A,#N/A,FALSE,"Holding"}</definedName>
    <definedName name="o8glif" localSheetId="3" hidden="1">{#N/A,#N/A,FALSE,"Holding"}</definedName>
    <definedName name="o8glif" hidden="1">{#N/A,#N/A,FALSE,"Holding"}</definedName>
    <definedName name="O9ò86OP6Y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9ò86OP6Y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9ò86OP6Y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bjective">#REF!</definedName>
    <definedName name="OCIDCO">#REF!</definedName>
    <definedName name="ODC00">#REF!</definedName>
    <definedName name="OEE_DataRange">#REF!</definedName>
    <definedName name="OEXP">#REF!,#REF!,#REF!,#REF!</definedName>
    <definedName name="Office_Supplies">#REF!</definedName>
    <definedName name="OfficeAttendance">#REF!</definedName>
    <definedName name="oharea">#REF!</definedName>
    <definedName name="ohcount">#REF!</definedName>
    <definedName name="ohpfund">#REF!</definedName>
    <definedName name="oi" hidden="1">#REF!</definedName>
    <definedName name="OIC00">#REF!</definedName>
    <definedName name="oioouuuuuu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ioouuuuuu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ioouuuuuu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k">#REF!,#REF!,#REF!,#REF!,#REF!</definedName>
    <definedName name="OL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LD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òm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òm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Omdurman">#REF!</definedName>
    <definedName name="omega" localSheetId="10" hidden="1">{#N/A,#N/A,FALSE,"CHANGES";#N/A,#N/A,FALSE,"PROD SUMMARY";#N/A,#N/A,FALSE,"1995 PO SUM";#N/A,#N/A,FALSE,"1995 GEOG SUM";#N/A,#N/A,FALSE,"1996 PO SUM";#N/A,#N/A,FALSE,"1996 GEOG SUM"}</definedName>
    <definedName name="omega" localSheetId="3" hidden="1">{#N/A,#N/A,FALSE,"CHANGES";#N/A,#N/A,FALSE,"PROD SUMMARY";#N/A,#N/A,FALSE,"1995 PO SUM";#N/A,#N/A,FALSE,"1995 GEOG SUM";#N/A,#N/A,FALSE,"1996 PO SUM";#N/A,#N/A,FALSE,"1996 GEOG SUM"}</definedName>
    <definedName name="omega" hidden="1">{#N/A,#N/A,FALSE,"CHANGES";#N/A,#N/A,FALSE,"PROD SUMMARY";#N/A,#N/A,FALSE,"1995 PO SUM";#N/A,#N/A,FALSE,"1995 GEOG SUM";#N/A,#N/A,FALSE,"1996 PO SUM";#N/A,#N/A,FALSE,"1996 GEOG SUM"}</definedName>
    <definedName name="Ompurman">#REF!</definedName>
    <definedName name="OnePointLesson">#REF!</definedName>
    <definedName name="Ontem">#REF!</definedName>
    <definedName name="Oò8ò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ò8ò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ò8ò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OONOFF">#REF!</definedName>
    <definedName name="OOOO">#N/A</definedName>
    <definedName name="ooooooooooolllllllll" localSheetId="10" hidden="1">{"'Sheet1'!$M$363:$M$364"}</definedName>
    <definedName name="ooooooooooolllllllll" localSheetId="3" hidden="1">{"'Sheet1'!$M$363:$M$364"}</definedName>
    <definedName name="ooooooooooolllllllll" hidden="1">{"'Sheet1'!$M$363:$M$364"}</definedName>
    <definedName name="ooooooooooolllllllll_1" localSheetId="10" hidden="1">{"'Sheet1'!$M$363:$M$364"}</definedName>
    <definedName name="ooooooooooolllllllll_1" localSheetId="3" hidden="1">{"'Sheet1'!$M$363:$M$364"}</definedName>
    <definedName name="ooooooooooolllllllll_1" hidden="1">{"'Sheet1'!$M$363:$M$364"}</definedName>
    <definedName name="ooooooooooolllllllll_2" localSheetId="10" hidden="1">{"'Sheet1'!$M$363:$M$364"}</definedName>
    <definedName name="ooooooooooolllllllll_2" localSheetId="3" hidden="1">{"'Sheet1'!$M$363:$M$364"}</definedName>
    <definedName name="ooooooooooolllllllll_2" hidden="1">{"'Sheet1'!$M$363:$M$364"}</definedName>
    <definedName name="ooooooooooolllllllll_3" localSheetId="10" hidden="1">{"'Sheet1'!$M$363:$M$364"}</definedName>
    <definedName name="ooooooooooolllllllll_3" localSheetId="3" hidden="1">{"'Sheet1'!$M$363:$M$364"}</definedName>
    <definedName name="ooooooooooolllllllll_3" hidden="1">{"'Sheet1'!$M$363:$M$364"}</definedName>
    <definedName name="ooooooooooolllllllll_4" localSheetId="10" hidden="1">{"'Sheet1'!$M$363:$M$364"}</definedName>
    <definedName name="ooooooooooolllllllll_4" localSheetId="3" hidden="1">{"'Sheet1'!$M$363:$M$364"}</definedName>
    <definedName name="ooooooooooolllllllll_4" hidden="1">{"'Sheet1'!$M$363:$M$364"}</definedName>
    <definedName name="ooooooooooolllllllll_5" localSheetId="10" hidden="1">{"'Sheet1'!$M$363:$M$364"}</definedName>
    <definedName name="ooooooooooolllllllll_5" localSheetId="3" hidden="1">{"'Sheet1'!$M$363:$M$364"}</definedName>
    <definedName name="ooooooooooolllllllll_5" hidden="1">{"'Sheet1'!$M$363:$M$364"}</definedName>
    <definedName name="ooooooooooooo" localSheetId="10" hidden="1">{#N/A,#N/A,FALSE,"VARIANCE";#N/A,#N/A,FALSE,"2NDQTR";#N/A,#N/A,FALSE,"1STQTR";#N/A,#N/A,FALSE,"BUDGET"}</definedName>
    <definedName name="ooooooooooooo" localSheetId="3" hidden="1">{#N/A,#N/A,FALSE,"VARIANCE";#N/A,#N/A,FALSE,"2NDQTR";#N/A,#N/A,FALSE,"1STQTR";#N/A,#N/A,FALSE,"BUDGET"}</definedName>
    <definedName name="ooooooooooooo" hidden="1">{#N/A,#N/A,FALSE,"VARIANCE";#N/A,#N/A,FALSE,"2NDQTR";#N/A,#N/A,FALSE,"1STQTR";#N/A,#N/A,FALSE,"BUDGET"}</definedName>
    <definedName name="op">#REF!</definedName>
    <definedName name="op_month">#REF!</definedName>
    <definedName name="OP_SZ">#REF!</definedName>
    <definedName name="OP_YIELD">#REF!</definedName>
    <definedName name="oparea">#REF!</definedName>
    <definedName name="Opção">#REF!</definedName>
    <definedName name="Opção1">#REF!</definedName>
    <definedName name="Opção2">#REF!</definedName>
    <definedName name="Opção3">#REF!</definedName>
    <definedName name="OpCo_Name">#REF!</definedName>
    <definedName name="opcoes1">#REF!</definedName>
    <definedName name="opcount">#REF!</definedName>
    <definedName name="Open_RMB">#REF!</definedName>
    <definedName name="Open_USD">#REF!</definedName>
    <definedName name="openday">#REF!</definedName>
    <definedName name="Operating_Payroll_Budget_for_1997">#REF!</definedName>
    <definedName name="Operational">#REF!</definedName>
    <definedName name="opmon">#REF!</definedName>
    <definedName name="oppfund">#REF!</definedName>
    <definedName name="OPT">#REF!</definedName>
    <definedName name="opvolging">#REF!</definedName>
    <definedName name="orc">#REF!</definedName>
    <definedName name="Orç">#REF!</definedName>
    <definedName name="orç_2009">#REF!</definedName>
    <definedName name="orç_aux">#REF!</definedName>
    <definedName name="Orç_Mensal">#REF!</definedName>
    <definedName name="Orç_mês">#REF!</definedName>
    <definedName name="Orç2">#REF!</definedName>
    <definedName name="Orça">#REF!</definedName>
    <definedName name="orcacum">#REF!</definedName>
    <definedName name="orçacum">#REF!</definedName>
    <definedName name="Orçamcum">#REF!</definedName>
    <definedName name="Orçamento">#REF!</definedName>
    <definedName name="OrçDetAcum">#REF!</definedName>
    <definedName name="OrçDetMes">#REF!</definedName>
    <definedName name="Orcmensal">#REF!</definedName>
    <definedName name="Orçmensal">#REF!</definedName>
    <definedName name="OrcV">#REF!</definedName>
    <definedName name="ord_cra_nazionale">#REF!</definedName>
    <definedName name="ord_crp_nazionale">#REF!</definedName>
    <definedName name="ORDERQTYDASH">#REF!</definedName>
    <definedName name="OTHACT">#REF!</definedName>
    <definedName name="Other_Group_Benefits">#REF!</definedName>
    <definedName name="OtherBasis">#REF!</definedName>
    <definedName name="OtherExp_13">#REF!</definedName>
    <definedName name="OtherExp_LM">#REF!</definedName>
    <definedName name="OTHEX">#REF!</definedName>
    <definedName name="OUD">#REF!</definedName>
    <definedName name="OUTRAS">#REF!</definedName>
    <definedName name="OUTROS.CUSTOS">#REF!</definedName>
    <definedName name="OUTROS.PROVEITOS">#REF!</definedName>
    <definedName name="Outros_Credores">#REF!</definedName>
    <definedName name="Outros_custos">#REF!</definedName>
    <definedName name="Outros_Devedores">#REF!</definedName>
    <definedName name="Outros_Meios_Básicos">#REF!</definedName>
    <definedName name="Outros_Proveitos_e_Ganhos_Operacionais">#REF!</definedName>
    <definedName name="OUTUBRO">#REF!</definedName>
    <definedName name="OUV">#REF!</definedName>
    <definedName name="p">#REF!</definedName>
    <definedName name="P_1">#REF!</definedName>
    <definedName name="P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_Area">#REF!</definedName>
    <definedName name="PA">#REF!</definedName>
    <definedName name="PAGE2" localSheetId="10" hidden="1">{#N/A,#N/A,FALSE,"Ejector 1";#N/A,#N/A,FALSE,"Ejector 2"}</definedName>
    <definedName name="PAGE2" localSheetId="3" hidden="1">{#N/A,#N/A,FALSE,"Ejector 1";#N/A,#N/A,FALSE,"Ejector 2"}</definedName>
    <definedName name="PAGE2" hidden="1">{#N/A,#N/A,FALSE,"Ejector 1";#N/A,#N/A,FALSE,"Ejector 2"}</definedName>
    <definedName name="PAGE2_1" localSheetId="10" hidden="1">{#N/A,#N/A,FALSE,"Ejector 1";#N/A,#N/A,FALSE,"Ejector 2"}</definedName>
    <definedName name="PAGE2_1" localSheetId="3" hidden="1">{#N/A,#N/A,FALSE,"Ejector 1";#N/A,#N/A,FALSE,"Ejector 2"}</definedName>
    <definedName name="PAGE2_1" hidden="1">{#N/A,#N/A,FALSE,"Ejector 1";#N/A,#N/A,FALSE,"Ejector 2"}</definedName>
    <definedName name="PAGE2_2" localSheetId="10" hidden="1">{#N/A,#N/A,FALSE,"Ejector 1";#N/A,#N/A,FALSE,"Ejector 2"}</definedName>
    <definedName name="PAGE2_2" localSheetId="3" hidden="1">{#N/A,#N/A,FALSE,"Ejector 1";#N/A,#N/A,FALSE,"Ejector 2"}</definedName>
    <definedName name="PAGE2_2" hidden="1">{#N/A,#N/A,FALSE,"Ejector 1";#N/A,#N/A,FALSE,"Ejector 2"}</definedName>
    <definedName name="PAGE2_3" localSheetId="10" hidden="1">{#N/A,#N/A,FALSE,"Ejector 1";#N/A,#N/A,FALSE,"Ejector 2"}</definedName>
    <definedName name="PAGE2_3" localSheetId="3" hidden="1">{#N/A,#N/A,FALSE,"Ejector 1";#N/A,#N/A,FALSE,"Ejector 2"}</definedName>
    <definedName name="PAGE2_3" hidden="1">{#N/A,#N/A,FALSE,"Ejector 1";#N/A,#N/A,FALSE,"Ejector 2"}</definedName>
    <definedName name="PAGE2_4" localSheetId="10" hidden="1">{#N/A,#N/A,FALSE,"Ejector 1";#N/A,#N/A,FALSE,"Ejector 2"}</definedName>
    <definedName name="PAGE2_4" localSheetId="3" hidden="1">{#N/A,#N/A,FALSE,"Ejector 1";#N/A,#N/A,FALSE,"Ejector 2"}</definedName>
    <definedName name="PAGE2_4" hidden="1">{#N/A,#N/A,FALSE,"Ejector 1";#N/A,#N/A,FALSE,"Ejector 2"}</definedName>
    <definedName name="PAGE2_5" localSheetId="10" hidden="1">{#N/A,#N/A,FALSE,"Ejector 1";#N/A,#N/A,FALSE,"Ejector 2"}</definedName>
    <definedName name="PAGE2_5" localSheetId="3" hidden="1">{#N/A,#N/A,FALSE,"Ejector 1";#N/A,#N/A,FALSE,"Ejector 2"}</definedName>
    <definedName name="PAGE2_5" hidden="1">{#N/A,#N/A,FALSE,"Ejector 1";#N/A,#N/A,FALSE,"Ejector 2"}</definedName>
    <definedName name="pagina_1">#REF!</definedName>
    <definedName name="pagina_2">#REF!</definedName>
    <definedName name="Pagina1">#REF!</definedName>
    <definedName name="Pagina2">#REF!</definedName>
    <definedName name="Pagina3">#REF!</definedName>
    <definedName name="PAIS">#REF!</definedName>
    <definedName name="Pal_Workbook_GUID" hidden="1">"MTZE5541VLQE1UNBC29N1QB1"</definedName>
    <definedName name="Parametros">#REF!</definedName>
    <definedName name="Parte_I">#REF!</definedName>
    <definedName name="Parte_II">#REF!</definedName>
    <definedName name="Parte_III_A1">#REF!</definedName>
    <definedName name="Parte_III_A2">#REF!</definedName>
    <definedName name="Parte_III_A3">#REF!</definedName>
    <definedName name="Parte_III_A4">#REF!</definedName>
    <definedName name="Parte_III_A5">#REF!</definedName>
    <definedName name="Parte_III_B">#REF!</definedName>
    <definedName name="Passado">#REF!</definedName>
    <definedName name="PASSIVO">#REF!</definedName>
    <definedName name="Passivo_a_Curto_Prazo">#REF!</definedName>
    <definedName name="Passivo_a_Médio_longo_Prazo">#REF!</definedName>
    <definedName name="Passivo_e_Capital_Próprio">#REF!</definedName>
    <definedName name="Passmed_orc">#REF!</definedName>
    <definedName name="paste" localSheetId="10" hidden="1">{"RPT610",#N/A,FALSE,"Sheet1";"RPT611",#N/A,FALSE,"Sheet1"}</definedName>
    <definedName name="paste" localSheetId="3" hidden="1">{"RPT610",#N/A,FALSE,"Sheet1";"RPT611",#N/A,FALSE,"Sheet1"}</definedName>
    <definedName name="paste" hidden="1">{"RPT610",#N/A,FALSE,"Sheet1";"RPT611",#N/A,FALSE,"Sheet1"}</definedName>
    <definedName name="pasteit">#REF!</definedName>
    <definedName name="PATH0">#REF!</definedName>
    <definedName name="path1">#REF!</definedName>
    <definedName name="path2">#REF!</definedName>
    <definedName name="patr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patr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patr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paxs">#REF!</definedName>
    <definedName name="PaxsDom">#REF!</definedName>
    <definedName name="PaxsReg">#REF!</definedName>
    <definedName name="Pay_Date">#REF!</definedName>
    <definedName name="Pay_Num">#REF!</definedName>
    <definedName name="payee">#REF!</definedName>
    <definedName name="payment.Num" localSheetId="10">IF(OR(#REF!="",#REF!='1. OPEX Inputs'!Total_payments),"",#REF!+1)</definedName>
    <definedName name="payment.Num" localSheetId="3">IF(OR(#REF!="",#REF!='Soy Beans – Nacala'!Total_payments),"",#REF!+1)</definedName>
    <definedName name="payment.Num">IF(OR(#REF!="",#REF!=Total_payments),"",#REF!+1)</definedName>
    <definedName name="Payment_Date" localSheetId="10">DATE(YEAR(#REF!),MONTH(#REF!)+Payment_Number,DAY(#REF!))</definedName>
    <definedName name="Payment_Date" localSheetId="2">DATE(YEAR(#REF!),MONTH(#REF!)+Payment_Number,DAY(#REF!))</definedName>
    <definedName name="Payment_Date" localSheetId="3">DATE(YEAR(#REF!),MONTH(#REF!)+Payment_Number,DAY(#REF!))</definedName>
    <definedName name="Payment_Date">DATE(YEAR(#REF!),MONTH(#REF!)+Payment_Number,DAY(#REF!))</definedName>
    <definedName name="Payments_per_year">#REF!</definedName>
    <definedName name="PAYROLL">#REF!</definedName>
    <definedName name="Payroll1997">#REF!</definedName>
    <definedName name="Pays">#REF!</definedName>
    <definedName name="PB">#REF!</definedName>
    <definedName name="PC">#REF!</definedName>
    <definedName name="PCD">#REF!</definedName>
    <definedName name="PCodes">#REF!</definedName>
    <definedName name="PD">#REF!</definedName>
    <definedName name="PDD">#REF!</definedName>
    <definedName name="PDE">#REF!</definedName>
    <definedName name="PDGM">#REF!</definedName>
    <definedName name="PE">#REF!</definedName>
    <definedName name="Peachtree">#REF!</definedName>
    <definedName name="PEC" hidden="1">#REF!</definedName>
    <definedName name="PED">#REF!</definedName>
    <definedName name="PEDGM">#REF!</definedName>
    <definedName name="PENSCO">#REF!</definedName>
    <definedName name="PER">#REF!</definedName>
    <definedName name="percurso">#REF!</definedName>
    <definedName name="PERFSTAT">#REF!</definedName>
    <definedName name="period_lookup_table">#REF!</definedName>
    <definedName name="Periodic_rate" localSheetId="10">Annual_interest_rate/Payments_per_year</definedName>
    <definedName name="Periodic_rate" localSheetId="3">Annual_interest_rate/Payments_per_year</definedName>
    <definedName name="Periodic_rate">Annual_interest_rate/Payments_per_year</definedName>
    <definedName name="PeritoData">#REF!</definedName>
    <definedName name="PES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S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et">#REF!</definedName>
    <definedName name="Petregdt">#REF!</definedName>
    <definedName name="petrodate">#REF!</definedName>
    <definedName name="PetroDom">#REF!</definedName>
    <definedName name="PETROMOC">#REF!</definedName>
    <definedName name="petrotx">#REF!</definedName>
    <definedName name="PF">#REF!</definedName>
    <definedName name="PG">#REF!</definedName>
    <definedName name="pian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ian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ian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IIPOSS">#REF!</definedName>
    <definedName name="PIPPO" localSheetId="10" hidden="1">{#N/A,#N/A,FALSE,"Ejector 1";#N/A,#N/A,FALSE,"Ejector 2"}</definedName>
    <definedName name="PIPPO" localSheetId="3" hidden="1">{#N/A,#N/A,FALSE,"Ejector 1";#N/A,#N/A,FALSE,"Ejector 2"}</definedName>
    <definedName name="PIPPO" hidden="1">{#N/A,#N/A,FALSE,"Ejector 1";#N/A,#N/A,FALSE,"Ejector 2"}</definedName>
    <definedName name="PIPPO_1" localSheetId="10" hidden="1">{#N/A,#N/A,FALSE,"Ejector 1";#N/A,#N/A,FALSE,"Ejector 2"}</definedName>
    <definedName name="PIPPO_1" localSheetId="3" hidden="1">{#N/A,#N/A,FALSE,"Ejector 1";#N/A,#N/A,FALSE,"Ejector 2"}</definedName>
    <definedName name="PIPPO_1" hidden="1">{#N/A,#N/A,FALSE,"Ejector 1";#N/A,#N/A,FALSE,"Ejector 2"}</definedName>
    <definedName name="PIPPO_2" localSheetId="10" hidden="1">{#N/A,#N/A,FALSE,"Ejector 1";#N/A,#N/A,FALSE,"Ejector 2"}</definedName>
    <definedName name="PIPPO_2" localSheetId="3" hidden="1">{#N/A,#N/A,FALSE,"Ejector 1";#N/A,#N/A,FALSE,"Ejector 2"}</definedName>
    <definedName name="PIPPO_2" hidden="1">{#N/A,#N/A,FALSE,"Ejector 1";#N/A,#N/A,FALSE,"Ejector 2"}</definedName>
    <definedName name="PIPPO_3" localSheetId="10" hidden="1">{#N/A,#N/A,FALSE,"Ejector 1";#N/A,#N/A,FALSE,"Ejector 2"}</definedName>
    <definedName name="PIPPO_3" localSheetId="3" hidden="1">{#N/A,#N/A,FALSE,"Ejector 1";#N/A,#N/A,FALSE,"Ejector 2"}</definedName>
    <definedName name="PIPPO_3" hidden="1">{#N/A,#N/A,FALSE,"Ejector 1";#N/A,#N/A,FALSE,"Ejector 2"}</definedName>
    <definedName name="PIPPO_4" localSheetId="10" hidden="1">{#N/A,#N/A,FALSE,"Ejector 1";#N/A,#N/A,FALSE,"Ejector 2"}</definedName>
    <definedName name="PIPPO_4" localSheetId="3" hidden="1">{#N/A,#N/A,FALSE,"Ejector 1";#N/A,#N/A,FALSE,"Ejector 2"}</definedName>
    <definedName name="PIPPO_4" hidden="1">{#N/A,#N/A,FALSE,"Ejector 1";#N/A,#N/A,FALSE,"Ejector 2"}</definedName>
    <definedName name="PIPPO_5" localSheetId="10" hidden="1">{#N/A,#N/A,FALSE,"Ejector 1";#N/A,#N/A,FALSE,"Ejector 2"}</definedName>
    <definedName name="PIPPO_5" localSheetId="3" hidden="1">{#N/A,#N/A,FALSE,"Ejector 1";#N/A,#N/A,FALSE,"Ejector 2"}</definedName>
    <definedName name="PIPPO_5" hidden="1">{#N/A,#N/A,FALSE,"Ejector 1";#N/A,#N/A,FALSE,"Ejector 2"}</definedName>
    <definedName name="pippo2" localSheetId="10" hidden="1">{"'Infrastr.'!$A$1:$S$27"}</definedName>
    <definedName name="pippo2" localSheetId="3" hidden="1">{"'Infrastr.'!$A$1:$S$27"}</definedName>
    <definedName name="pippo2" hidden="1">{"'Infrastr.'!$A$1:$S$27"}</definedName>
    <definedName name="pivot">#REF!</definedName>
    <definedName name="PivotCell">#REF!</definedName>
    <definedName name="pj_paste_start">#REF!</definedName>
    <definedName name="pj_paste_start2">#REF!</definedName>
    <definedName name="pj_paste_start3">#REF!</definedName>
    <definedName name="pj_paste_start4">#REF!</definedName>
    <definedName name="pj_status_range">#REF!</definedName>
    <definedName name="PL">#REF!</definedName>
    <definedName name="PL_3">#REF!</definedName>
    <definedName name="PL_3_1">#REF!</definedName>
    <definedName name="PL_3_2">#REF!</definedName>
    <definedName name="PL_USD">#REF!</definedName>
    <definedName name="PLA_SPE">#REF!</definedName>
    <definedName name="plan08">#REF!</definedName>
    <definedName name="Planning52PctMessage">#REF!</definedName>
    <definedName name="PlanningAmount">#REF!</definedName>
    <definedName name="PlanningAmountPct">#REF!</definedName>
    <definedName name="plano">#REF!</definedName>
    <definedName name="Plano_c_PR_s_Inv_Auton.">#REF!</definedName>
    <definedName name="plantname">#REF!</definedName>
    <definedName name="PLEC">#REF!</definedName>
    <definedName name="plini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lini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lini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LSum">#REF!</definedName>
    <definedName name="PLURIANUAIS">#REF!</definedName>
    <definedName name="Pmisp">#REF!</definedName>
    <definedName name="PMRationale">#REF!</definedName>
    <definedName name="Pmt_to_use">#REF!</definedName>
    <definedName name="PNT">#REF!</definedName>
    <definedName name="PO" localSheetId="10" hidden="1">{#N/A,#N/A,FALSE,"Ejector 1";#N/A,#N/A,FALSE,"Ejector 2"}</definedName>
    <definedName name="PO" localSheetId="3" hidden="1">{#N/A,#N/A,FALSE,"Ejector 1";#N/A,#N/A,FALSE,"Ejector 2"}</definedName>
    <definedName name="PO" hidden="1">{#N/A,#N/A,FALSE,"Ejector 1";#N/A,#N/A,FALSE,"Ejector 2"}</definedName>
    <definedName name="PO_1" localSheetId="10" hidden="1">{#N/A,#N/A,FALSE,"Ejector 1";#N/A,#N/A,FALSE,"Ejector 2"}</definedName>
    <definedName name="PO_1" localSheetId="3" hidden="1">{#N/A,#N/A,FALSE,"Ejector 1";#N/A,#N/A,FALSE,"Ejector 2"}</definedName>
    <definedName name="PO_1" hidden="1">{#N/A,#N/A,FALSE,"Ejector 1";#N/A,#N/A,FALSE,"Ejector 2"}</definedName>
    <definedName name="PO_2" localSheetId="10" hidden="1">{#N/A,#N/A,FALSE,"Ejector 1";#N/A,#N/A,FALSE,"Ejector 2"}</definedName>
    <definedName name="PO_2" localSheetId="3" hidden="1">{#N/A,#N/A,FALSE,"Ejector 1";#N/A,#N/A,FALSE,"Ejector 2"}</definedName>
    <definedName name="PO_2" hidden="1">{#N/A,#N/A,FALSE,"Ejector 1";#N/A,#N/A,FALSE,"Ejector 2"}</definedName>
    <definedName name="PO_3" localSheetId="10" hidden="1">{#N/A,#N/A,FALSE,"Ejector 1";#N/A,#N/A,FALSE,"Ejector 2"}</definedName>
    <definedName name="PO_3" localSheetId="3" hidden="1">{#N/A,#N/A,FALSE,"Ejector 1";#N/A,#N/A,FALSE,"Ejector 2"}</definedName>
    <definedName name="PO_3" hidden="1">{#N/A,#N/A,FALSE,"Ejector 1";#N/A,#N/A,FALSE,"Ejector 2"}</definedName>
    <definedName name="PO_4" localSheetId="10" hidden="1">{#N/A,#N/A,FALSE,"Ejector 1";#N/A,#N/A,FALSE,"Ejector 2"}</definedName>
    <definedName name="PO_4" localSheetId="3" hidden="1">{#N/A,#N/A,FALSE,"Ejector 1";#N/A,#N/A,FALSE,"Ejector 2"}</definedName>
    <definedName name="PO_4" hidden="1">{#N/A,#N/A,FALSE,"Ejector 1";#N/A,#N/A,FALSE,"Ejector 2"}</definedName>
    <definedName name="PO_5" localSheetId="10" hidden="1">{#N/A,#N/A,FALSE,"Ejector 1";#N/A,#N/A,FALSE,"Ejector 2"}</definedName>
    <definedName name="PO_5" localSheetId="3" hidden="1">{#N/A,#N/A,FALSE,"Ejector 1";#N/A,#N/A,FALSE,"Ejector 2"}</definedName>
    <definedName name="PO_5" hidden="1">{#N/A,#N/A,FALSE,"Ejector 1";#N/A,#N/A,FALSE,"Ejector 2"}</definedName>
    <definedName name="poi" localSheetId="10" hidden="1">{#N/A,#N/A,FALSE,"CHANGES";#N/A,#N/A,FALSE,"PROD SUMMARY";#N/A,#N/A,FALSE,"1995 PO SUM";#N/A,#N/A,FALSE,"1995 GEOG SUM";#N/A,#N/A,FALSE,"1996 PO SUM";#N/A,#N/A,FALSE,"1996 GEOG SUM"}</definedName>
    <definedName name="poi" localSheetId="3" hidden="1">{#N/A,#N/A,FALSE,"CHANGES";#N/A,#N/A,FALSE,"PROD SUMMARY";#N/A,#N/A,FALSE,"1995 PO SUM";#N/A,#N/A,FALSE,"1995 GEOG SUM";#N/A,#N/A,FALSE,"1996 PO SUM";#N/A,#N/A,FALSE,"1996 GEOG SUM"}</definedName>
    <definedName name="poi" hidden="1">{#N/A,#N/A,FALSE,"CHANGES";#N/A,#N/A,FALSE,"PROD SUMMARY";#N/A,#N/A,FALSE,"1995 PO SUM";#N/A,#N/A,FALSE,"1995 GEOG SUM";#N/A,#N/A,FALSE,"1996 PO SUM";#N/A,#N/A,FALSE,"1996 GEOG SUM"}</definedName>
    <definedName name="Pontos">#REF!</definedName>
    <definedName name="popè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opè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opè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orra" hidden="1">#REF!</definedName>
    <definedName name="PORTFOLIO">#REF!</definedName>
    <definedName name="porto">#REF!</definedName>
    <definedName name="Português">#REF!</definedName>
    <definedName name="pos_n">#REF!</definedName>
    <definedName name="pos_n_1">#REF!</definedName>
    <definedName name="Possessor" hidden="1">#REF!</definedName>
    <definedName name="POSTAL">#REF!</definedName>
    <definedName name="posto">#REF!</definedName>
    <definedName name="poujòpujpòhj" localSheetId="10" hidden="1">{"'WEB azoc prov'!$B$85:$L$123"}</definedName>
    <definedName name="poujòpujpòhj" localSheetId="3" hidden="1">{"'WEB azoc prov'!$B$85:$L$123"}</definedName>
    <definedName name="poujòpujpòhj" hidden="1">{"'WEB azoc prov'!$B$85:$L$123"}</definedName>
    <definedName name="pound">#REF!</definedName>
    <definedName name="pp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opi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opi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opi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pp" localSheetId="10" hidden="1">{"'ALqdUESP'!$B$11"}</definedName>
    <definedName name="ppp" localSheetId="3" hidden="1">{"'ALqdUESP'!$B$11"}</definedName>
    <definedName name="ppp" hidden="1">{"'ALqdUESP'!$B$11"}</definedName>
    <definedName name="ppp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ppp.REP" localSheetId="10" hidden="1">{#N/A,#N/A,FALSE,"min";#N/A,#N/A,FALSE,"mean";#N/A,#N/A,FALSE,"max"}</definedName>
    <definedName name="ppp.REP" localSheetId="3" hidden="1">{#N/A,#N/A,FALSE,"min";#N/A,#N/A,FALSE,"mean";#N/A,#N/A,FALSE,"max"}</definedName>
    <definedName name="ppp.REP" hidden="1">{#N/A,#N/A,FALSE,"min";#N/A,#N/A,FALSE,"mean";#N/A,#N/A,FALSE,"max"}</definedName>
    <definedName name="ppp.REP_1" localSheetId="10" hidden="1">{#N/A,#N/A,FALSE,"min";#N/A,#N/A,FALSE,"mean";#N/A,#N/A,FALSE,"max"}</definedName>
    <definedName name="ppp.REP_1" localSheetId="3" hidden="1">{#N/A,#N/A,FALSE,"min";#N/A,#N/A,FALSE,"mean";#N/A,#N/A,FALSE,"max"}</definedName>
    <definedName name="ppp.REP_1" hidden="1">{#N/A,#N/A,FALSE,"min";#N/A,#N/A,FALSE,"mean";#N/A,#N/A,FALSE,"max"}</definedName>
    <definedName name="ppp.REP_2" localSheetId="10" hidden="1">{#N/A,#N/A,FALSE,"min";#N/A,#N/A,FALSE,"mean";#N/A,#N/A,FALSE,"max"}</definedName>
    <definedName name="ppp.REP_2" localSheetId="3" hidden="1">{#N/A,#N/A,FALSE,"min";#N/A,#N/A,FALSE,"mean";#N/A,#N/A,FALSE,"max"}</definedName>
    <definedName name="ppp.REP_2" hidden="1">{#N/A,#N/A,FALSE,"min";#N/A,#N/A,FALSE,"mean";#N/A,#N/A,FALSE,"max"}</definedName>
    <definedName name="ppp.REP_3" localSheetId="10" hidden="1">{#N/A,#N/A,FALSE,"min";#N/A,#N/A,FALSE,"mean";#N/A,#N/A,FALSE,"max"}</definedName>
    <definedName name="ppp.REP_3" localSheetId="3" hidden="1">{#N/A,#N/A,FALSE,"min";#N/A,#N/A,FALSE,"mean";#N/A,#N/A,FALSE,"max"}</definedName>
    <definedName name="ppp.REP_3" hidden="1">{#N/A,#N/A,FALSE,"min";#N/A,#N/A,FALSE,"mean";#N/A,#N/A,FALSE,"max"}</definedName>
    <definedName name="ppp.REP_4" localSheetId="10" hidden="1">{#N/A,#N/A,FALSE,"min";#N/A,#N/A,FALSE,"mean";#N/A,#N/A,FALSE,"max"}</definedName>
    <definedName name="ppp.REP_4" localSheetId="3" hidden="1">{#N/A,#N/A,FALSE,"min";#N/A,#N/A,FALSE,"mean";#N/A,#N/A,FALSE,"max"}</definedName>
    <definedName name="ppp.REP_4" hidden="1">{#N/A,#N/A,FALSE,"min";#N/A,#N/A,FALSE,"mean";#N/A,#N/A,FALSE,"max"}</definedName>
    <definedName name="ppp.REP_5" localSheetId="10" hidden="1">{#N/A,#N/A,FALSE,"min";#N/A,#N/A,FALSE,"mean";#N/A,#N/A,FALSE,"max"}</definedName>
    <definedName name="ppp.REP_5" localSheetId="3" hidden="1">{#N/A,#N/A,FALSE,"min";#N/A,#N/A,FALSE,"mean";#N/A,#N/A,FALSE,"max"}</definedName>
    <definedName name="ppp.REP_5" hidden="1">{#N/A,#N/A,FALSE,"min";#N/A,#N/A,FALSE,"mean";#N/A,#N/A,FALSE,"max"}</definedName>
    <definedName name="PPP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ppp">#REF!</definedName>
    <definedName name="pq" hidden="1">#REF!</definedName>
    <definedName name="PR_PandL">#REF!</definedName>
    <definedName name="prc">#REF!</definedName>
    <definedName name="prcrew">#REF!</definedName>
    <definedName name="PRDump">#REF!</definedName>
    <definedName name="Pre_Tax_Income">#REF!</definedName>
    <definedName name="Prémios_em_suspensão">#REF!</definedName>
    <definedName name="Preparado">#REF!</definedName>
    <definedName name="PreparedBy">#REF!</definedName>
    <definedName name="PreparedDate">#REF!</definedName>
    <definedName name="pri_cracrp_nazionale">#REF!</definedName>
    <definedName name="pri_crpcra1">#REF!</definedName>
    <definedName name="Price">#REF!</definedName>
    <definedName name="PRIMES">#REF!</definedName>
    <definedName name="Princ">#REF!</definedName>
    <definedName name="Principal" localSheetId="10">IF(#REF!&lt;&gt;"",MIN(#REF!,Pmt_to_use-#REF!),"")</definedName>
    <definedName name="Principal" localSheetId="3">IF(#REF!&lt;&gt;"",MIN(#REF!,Pmt_to_use-#REF!),"")</definedName>
    <definedName name="Principal">IF(#REF!&lt;&gt;"",MIN(#REF!,Pmt_to_use-#REF!),"")</definedName>
    <definedName name="Print">#REF!,#REF!,#REF!,#REF!</definedName>
    <definedName name="Print_Amortizações">#REF!</definedName>
    <definedName name="_xlnm.Print_Area">#REF!</definedName>
    <definedName name="Print_Area_MI">#REF!</definedName>
    <definedName name="Print_Area_Reset">#N/A</definedName>
    <definedName name="Print_Area1">#REF!</definedName>
    <definedName name="Print_Area2">#REF!</definedName>
    <definedName name="Print_Demonstração_Resultados">#REF!</definedName>
    <definedName name="Print_FST">#REF!</definedName>
    <definedName name="Print_Margem_Financeira">#REF!</definedName>
    <definedName name="Print_OCF">#REF!</definedName>
    <definedName name="Print_OPF">#REF!</definedName>
    <definedName name="Print_Outros_Proveitos">#REF!</definedName>
    <definedName name="Print_Pessoal">#REF!</definedName>
    <definedName name="_xlnm.Print_Titles">#REF!</definedName>
    <definedName name="Print_Titles_MI">#REF!,#REF!</definedName>
    <definedName name="Print_Todos">#REF!,#REF!,#REF!,#REF!,#REF!,#REF!,#REF!,#REF!</definedName>
    <definedName name="Print_TodosAdministração">#REF!,#REF!,#REF!,#REF!,#REF!,#REF!</definedName>
    <definedName name="PRINT1">#REF!,#REF!,#REF!,#REF!,#REF!</definedName>
    <definedName name="PrintArea">#REF!</definedName>
    <definedName name="Prio">#REF!</definedName>
    <definedName name="Prior1">#REF!</definedName>
    <definedName name="Prior2">#REF!</definedName>
    <definedName name="prioryear">#REF!</definedName>
    <definedName name="prioryr">#REF!</definedName>
    <definedName name="Product">#REF!</definedName>
    <definedName name="Production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roduction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roduction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RODUKTEN">#REF!</definedName>
    <definedName name="PRODUTOS">#REF!</definedName>
    <definedName name="Progressivi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Progressivi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Progressivi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project">#REF!</definedName>
    <definedName name="Project_Name">#REF!</definedName>
    <definedName name="Project_Start">#REF!</definedName>
    <definedName name="Property_Insurance">#REF!</definedName>
    <definedName name="prov_credito">#REF!</definedName>
    <definedName name="prov_descob">#REF!</definedName>
    <definedName name="Prov_Mat._Bal_Vida">#REF!</definedName>
    <definedName name="prova" hidden="1">#REF!</definedName>
    <definedName name="prova_1" localSheetId="10" hidden="1">{#N/A,#N/A,FALSE,"JACKETS (1100 t) (1)"}</definedName>
    <definedName name="prova_1" localSheetId="3" hidden="1">{#N/A,#N/A,FALSE,"JACKETS (1100 t) (1)"}</definedName>
    <definedName name="prova_1" hidden="1">{#N/A,#N/A,FALSE,"JACKETS (1100 t) (1)"}</definedName>
    <definedName name="prova_2" localSheetId="10" hidden="1">{#N/A,#N/A,FALSE,"JACKETS (1100 t) (1)"}</definedName>
    <definedName name="prova_2" localSheetId="3" hidden="1">{#N/A,#N/A,FALSE,"JACKETS (1100 t) (1)"}</definedName>
    <definedName name="prova_2" hidden="1">{#N/A,#N/A,FALSE,"JACKETS (1100 t) (1)"}</definedName>
    <definedName name="prova_3" localSheetId="10" hidden="1">{#N/A,#N/A,FALSE,"JACKETS (1100 t) (1)"}</definedName>
    <definedName name="prova_3" localSheetId="3" hidden="1">{#N/A,#N/A,FALSE,"JACKETS (1100 t) (1)"}</definedName>
    <definedName name="prova_3" hidden="1">{#N/A,#N/A,FALSE,"JACKETS (1100 t) (1)"}</definedName>
    <definedName name="prova_4" localSheetId="10" hidden="1">{#N/A,#N/A,FALSE,"JACKETS (1100 t) (1)"}</definedName>
    <definedName name="prova_4" localSheetId="3" hidden="1">{#N/A,#N/A,FALSE,"JACKETS (1100 t) (1)"}</definedName>
    <definedName name="prova_4" hidden="1">{#N/A,#N/A,FALSE,"JACKETS (1100 t) (1)"}</definedName>
    <definedName name="prova_5" localSheetId="10" hidden="1">{#N/A,#N/A,FALSE,"JACKETS (1100 t) (1)"}</definedName>
    <definedName name="prova_5" localSheetId="3" hidden="1">{#N/A,#N/A,FALSE,"JACKETS (1100 t) (1)"}</definedName>
    <definedName name="prova_5" hidden="1">{#N/A,#N/A,FALSE,"JACKETS (1100 t) (1)"}</definedName>
    <definedName name="prova2" localSheetId="10" hidden="1">{#N/A,#N/A,FALSE,"JACKETS (1100 t) (1)"}</definedName>
    <definedName name="prova2" localSheetId="3" hidden="1">{#N/A,#N/A,FALSE,"JACKETS (1100 t) (1)"}</definedName>
    <definedName name="prova2" hidden="1">{#N/A,#N/A,FALSE,"JACKETS (1100 t) (1)"}</definedName>
    <definedName name="prova2_1" localSheetId="10" hidden="1">{#N/A,#N/A,FALSE,"JACKETS (1100 t) (1)"}</definedName>
    <definedName name="prova2_1" localSheetId="3" hidden="1">{#N/A,#N/A,FALSE,"JACKETS (1100 t) (1)"}</definedName>
    <definedName name="prova2_1" hidden="1">{#N/A,#N/A,FALSE,"JACKETS (1100 t) (1)"}</definedName>
    <definedName name="prova2_2" localSheetId="10" hidden="1">{#N/A,#N/A,FALSE,"JACKETS (1100 t) (1)"}</definedName>
    <definedName name="prova2_2" localSheetId="3" hidden="1">{#N/A,#N/A,FALSE,"JACKETS (1100 t) (1)"}</definedName>
    <definedName name="prova2_2" hidden="1">{#N/A,#N/A,FALSE,"JACKETS (1100 t) (1)"}</definedName>
    <definedName name="prova2_3" localSheetId="10" hidden="1">{#N/A,#N/A,FALSE,"JACKETS (1100 t) (1)"}</definedName>
    <definedName name="prova2_3" localSheetId="3" hidden="1">{#N/A,#N/A,FALSE,"JACKETS (1100 t) (1)"}</definedName>
    <definedName name="prova2_3" hidden="1">{#N/A,#N/A,FALSE,"JACKETS (1100 t) (1)"}</definedName>
    <definedName name="prova2_4" localSheetId="10" hidden="1">{#N/A,#N/A,FALSE,"JACKETS (1100 t) (1)"}</definedName>
    <definedName name="prova2_4" localSheetId="3" hidden="1">{#N/A,#N/A,FALSE,"JACKETS (1100 t) (1)"}</definedName>
    <definedName name="prova2_4" hidden="1">{#N/A,#N/A,FALSE,"JACKETS (1100 t) (1)"}</definedName>
    <definedName name="prova2_5" localSheetId="10" hidden="1">{#N/A,#N/A,FALSE,"JACKETS (1100 t) (1)"}</definedName>
    <definedName name="prova2_5" localSheetId="3" hidden="1">{#N/A,#N/A,FALSE,"JACKETS (1100 t) (1)"}</definedName>
    <definedName name="prova2_5" hidden="1">{#N/A,#N/A,FALSE,"JACKETS (1100 t) (1)"}</definedName>
    <definedName name="prova3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rova3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rova3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provedor">#REF!</definedName>
    <definedName name="PROVEITOS.DIFERIDOS">#REF!</definedName>
    <definedName name="PROVEITOS.FINANCEIROS">#REF!</definedName>
    <definedName name="PROVEITOS_E_GANHOS">#REF!</definedName>
    <definedName name="Proveitos_e_Ganhos_Extraordinários">#REF!</definedName>
    <definedName name="Proveitos_e_Ganhos_Extraordináriosb_A_Exerc.Anteriores">#REF!</definedName>
    <definedName name="Proveitos_e_Ganhos_Financeiros">#REF!</definedName>
    <definedName name="proventi" localSheetId="10" hidden="1">{"'ALqdUESP'!$B$11"}</definedName>
    <definedName name="proventi" localSheetId="3" hidden="1">{"'ALqdUESP'!$B$11"}</definedName>
    <definedName name="proventi" hidden="1">{"'ALqdUESP'!$B$11"}</definedName>
    <definedName name="PROVISAO.CREDITOS">#REF!</definedName>
    <definedName name="PROVISAO.EXISTENCIAS">#REF!</definedName>
    <definedName name="PROVISOES">#REF!</definedName>
    <definedName name="Provisões">#REF!</definedName>
    <definedName name="pry">#REF!</definedName>
    <definedName name="PrYear">#REF!</definedName>
    <definedName name="ps_paste_start">#REF!</definedName>
    <definedName name="ps_paste_start2">#REF!</definedName>
    <definedName name="ps_paste_start3">#REF!</definedName>
    <definedName name="Psalesvsorder1">#REF!</definedName>
    <definedName name="pship_ccode">#REF!</definedName>
    <definedName name="PSSS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SSS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purpose">#REF!</definedName>
    <definedName name="PY">#REF!</definedName>
    <definedName name="PY_Year">#REF!</definedName>
    <definedName name="PY1Asset">#REF!</definedName>
    <definedName name="PY2Asset">#REF!</definedName>
    <definedName name="q" hidden="1">#REF!</definedName>
    <definedName name="Q_10">#REF!</definedName>
    <definedName name="Q5MES">#REF!</definedName>
    <definedName name="Q6MES">#REF!</definedName>
    <definedName name="Q7MES">#REF!</definedName>
    <definedName name="Q8MES">#REF!</definedName>
    <definedName name="Q9MES">#REF!</definedName>
    <definedName name="qdas">#REF!</definedName>
    <definedName name="qdch">#REF!</definedName>
    <definedName name="qdcm">#REF!</definedName>
    <definedName name="qdcr">#REF!</definedName>
    <definedName name="qdcu">#REF!</definedName>
    <definedName name="qdcw">#REF!</definedName>
    <definedName name="qdph">#REF!</definedName>
    <definedName name="qdpm">#REF!</definedName>
    <definedName name="qdpr">#REF!</definedName>
    <definedName name="qdpu">#REF!</definedName>
    <definedName name="qe">#REF!</definedName>
    <definedName name="qerf" hidden="1">#N/A</definedName>
    <definedName name="QMC">#REF!</definedName>
    <definedName name="qq" localSheetId="10" hidden="1">{#N/A,#N/A,FALSE,"VARIANCE";#N/A,#N/A,FALSE,"2NDQTR";#N/A,#N/A,FALSE,"1STQTR";#N/A,#N/A,FALSE,"BUDGET"}</definedName>
    <definedName name="qq" localSheetId="3" hidden="1">{#N/A,#N/A,FALSE,"VARIANCE";#N/A,#N/A,FALSE,"2NDQTR";#N/A,#N/A,FALSE,"1STQTR";#N/A,#N/A,FALSE,"BUDGET"}</definedName>
    <definedName name="qq" hidden="1">{#N/A,#N/A,FALSE,"VARIANCE";#N/A,#N/A,FALSE,"2NDQTR";#N/A,#N/A,FALSE,"1STQTR";#N/A,#N/A,FALSE,"BUDGET"}</definedName>
    <definedName name="qqa" localSheetId="10" hidden="1">{#N/A,#N/A,TRUE,"Total CAF Charts";#N/A,#N/A,TRUE,"Total CAF Charts (3)";#N/A,#N/A,TRUE,"CAF Technical Charts";#N/A,#N/A,TRUE,"CAF Support Charts";#N/A,#N/A,TRUE,"Opns Tech Charts";#N/A,#N/A,TRUE,"Other CAF KPI Charts"}</definedName>
    <definedName name="qqa" localSheetId="3" hidden="1">{#N/A,#N/A,TRUE,"Total CAF Charts";#N/A,#N/A,TRUE,"Total CAF Charts (3)";#N/A,#N/A,TRUE,"CAF Technical Charts";#N/A,#N/A,TRUE,"CAF Support Charts";#N/A,#N/A,TRUE,"Opns Tech Charts";#N/A,#N/A,TRUE,"Other CAF KPI Charts"}</definedName>
    <definedName name="qqa" hidden="1">{#N/A,#N/A,TRUE,"Total CAF Charts";#N/A,#N/A,TRUE,"Total CAF Charts (3)";#N/A,#N/A,TRUE,"CAF Technical Charts";#N/A,#N/A,TRUE,"CAF Support Charts";#N/A,#N/A,TRUE,"Opns Tech Charts";#N/A,#N/A,TRUE,"Other CAF KPI Charts"}</definedName>
    <definedName name="qqb" localSheetId="10" hidden="1">{#N/A,#N/A,TRUE,"Total CAF Charts";#N/A,#N/A,TRUE,"Total CAF Charts (3)";#N/A,#N/A,TRUE,"CAF Technical Charts";#N/A,#N/A,TRUE,"CAF Support Charts";#N/A,#N/A,TRUE,"Opns Tech Charts";#N/A,#N/A,TRUE,"Other CAF KPI Charts"}</definedName>
    <definedName name="qqb" localSheetId="3" hidden="1">{#N/A,#N/A,TRUE,"Total CAF Charts";#N/A,#N/A,TRUE,"Total CAF Charts (3)";#N/A,#N/A,TRUE,"CAF Technical Charts";#N/A,#N/A,TRUE,"CAF Support Charts";#N/A,#N/A,TRUE,"Opns Tech Charts";#N/A,#N/A,TRUE,"Other CAF KPI Charts"}</definedName>
    <definedName name="qqb" hidden="1">{#N/A,#N/A,TRUE,"Total CAF Charts";#N/A,#N/A,TRUE,"Total CAF Charts (3)";#N/A,#N/A,TRUE,"CAF Technical Charts";#N/A,#N/A,TRUE,"CAF Support Charts";#N/A,#N/A,TRUE,"Opns Tech Charts";#N/A,#N/A,TRUE,"Other CAF KPI Charts"}</definedName>
    <definedName name="qqq">#REF!</definedName>
    <definedName name="QQQ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QQQ.REP" localSheetId="10" hidden="1">{#N/A,#N/A,FALSE,"min";#N/A,#N/A,FALSE,"mean";#N/A,#N/A,FALSE,"max"}</definedName>
    <definedName name="QQQ.REP" localSheetId="3" hidden="1">{#N/A,#N/A,FALSE,"min";#N/A,#N/A,FALSE,"mean";#N/A,#N/A,FALSE,"max"}</definedName>
    <definedName name="QQQ.REP" hidden="1">{#N/A,#N/A,FALSE,"min";#N/A,#N/A,FALSE,"mean";#N/A,#N/A,FALSE,"max"}</definedName>
    <definedName name="QQQ.REP_1" localSheetId="10" hidden="1">{#N/A,#N/A,FALSE,"min";#N/A,#N/A,FALSE,"mean";#N/A,#N/A,FALSE,"max"}</definedName>
    <definedName name="QQQ.REP_1" localSheetId="3" hidden="1">{#N/A,#N/A,FALSE,"min";#N/A,#N/A,FALSE,"mean";#N/A,#N/A,FALSE,"max"}</definedName>
    <definedName name="QQQ.REP_1" hidden="1">{#N/A,#N/A,FALSE,"min";#N/A,#N/A,FALSE,"mean";#N/A,#N/A,FALSE,"max"}</definedName>
    <definedName name="QQQ.REP_2" localSheetId="10" hidden="1">{#N/A,#N/A,FALSE,"min";#N/A,#N/A,FALSE,"mean";#N/A,#N/A,FALSE,"max"}</definedName>
    <definedName name="QQQ.REP_2" localSheetId="3" hidden="1">{#N/A,#N/A,FALSE,"min";#N/A,#N/A,FALSE,"mean";#N/A,#N/A,FALSE,"max"}</definedName>
    <definedName name="QQQ.REP_2" hidden="1">{#N/A,#N/A,FALSE,"min";#N/A,#N/A,FALSE,"mean";#N/A,#N/A,FALSE,"max"}</definedName>
    <definedName name="QQQ.REP_3" localSheetId="10" hidden="1">{#N/A,#N/A,FALSE,"min";#N/A,#N/A,FALSE,"mean";#N/A,#N/A,FALSE,"max"}</definedName>
    <definedName name="QQQ.REP_3" localSheetId="3" hidden="1">{#N/A,#N/A,FALSE,"min";#N/A,#N/A,FALSE,"mean";#N/A,#N/A,FALSE,"max"}</definedName>
    <definedName name="QQQ.REP_3" hidden="1">{#N/A,#N/A,FALSE,"min";#N/A,#N/A,FALSE,"mean";#N/A,#N/A,FALSE,"max"}</definedName>
    <definedName name="QQQ.REP_4" localSheetId="10" hidden="1">{#N/A,#N/A,FALSE,"min";#N/A,#N/A,FALSE,"mean";#N/A,#N/A,FALSE,"max"}</definedName>
    <definedName name="QQQ.REP_4" localSheetId="3" hidden="1">{#N/A,#N/A,FALSE,"min";#N/A,#N/A,FALSE,"mean";#N/A,#N/A,FALSE,"max"}</definedName>
    <definedName name="QQQ.REP_4" hidden="1">{#N/A,#N/A,FALSE,"min";#N/A,#N/A,FALSE,"mean";#N/A,#N/A,FALSE,"max"}</definedName>
    <definedName name="QQQ.REP_5" localSheetId="10" hidden="1">{#N/A,#N/A,FALSE,"min";#N/A,#N/A,FALSE,"mean";#N/A,#N/A,FALSE,"max"}</definedName>
    <definedName name="QQQ.REP_5" localSheetId="3" hidden="1">{#N/A,#N/A,FALSE,"min";#N/A,#N/A,FALSE,"mean";#N/A,#N/A,FALSE,"max"}</definedName>
    <definedName name="QQQ.REP_5" hidden="1">{#N/A,#N/A,FALSE,"min";#N/A,#N/A,FALSE,"mean";#N/A,#N/A,FALSE,"max"}</definedName>
    <definedName name="qqqaaty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qqaaty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qqaaty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qqq" localSheetId="10" hidden="1">{#N/A,#N/A,FALSE,"VARIANCE";#N/A,#N/A,FALSE,"2NDQTR";#N/A,#N/A,FALSE,"1STQTR";#N/A,#N/A,FALSE,"BUDGET"}</definedName>
    <definedName name="qqqq" localSheetId="3" hidden="1">{#N/A,#N/A,FALSE,"VARIANCE";#N/A,#N/A,FALSE,"2NDQTR";#N/A,#N/A,FALSE,"1STQTR";#N/A,#N/A,FALSE,"BUDGET"}</definedName>
    <definedName name="qqqq" hidden="1">{#N/A,#N/A,FALSE,"VARIANCE";#N/A,#N/A,FALSE,"2NDQTR";#N/A,#N/A,FALSE,"1STQTR";#N/A,#N/A,FALSE,"BUDGET"}</definedName>
    <definedName name="qqqwqw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qqwq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qqwq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s" localSheetId="10" hidden="1">{"'ALqdUESP'!$B$11"}</definedName>
    <definedName name="qs" localSheetId="3" hidden="1">{"'ALqdUESP'!$B$11"}</definedName>
    <definedName name="qs" hidden="1">{"'ALqdUESP'!$B$11"}</definedName>
    <definedName name="qs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s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s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tr_end">#REF!</definedName>
    <definedName name="QUADRO">#REF!</definedName>
    <definedName name="QUADRO_5">#REF!</definedName>
    <definedName name="QUADRO_6">#REF!</definedName>
    <definedName name="QUADRO_7">#REF!</definedName>
    <definedName name="QUADRO_8">#REF!</definedName>
    <definedName name="QUADRO_9">#REF!</definedName>
    <definedName name="Qual">#REF!</definedName>
    <definedName name="qualidade">#REF!</definedName>
    <definedName name="Quarter_ending">#REF!</definedName>
    <definedName name="Query_from_SysproServer_1">#REF!</definedName>
    <definedName name="Query1">#REF!</definedName>
    <definedName name="QUERY1.keep_password" hidden="1">TRUE</definedName>
    <definedName name="QUERY1.query_connection" localSheetId="10">{"DSN=PHOENIX03;DBQ=t:147.110.52.24:ph03;UID=PHOENIX3;PWD=PHOENIX3"}</definedName>
    <definedName name="QUERY1.query_connection" localSheetId="3">{"DSN=PHOENIX03;DBQ=t:147.110.52.24:ph03;UID=PHOENIX3;PWD=PHOENIX3"}</definedName>
    <definedName name="QUERY1.query_connection">{"DSN=PHOENIX03;DBQ=t:147.110.52.24:ph03;UID=PHOENIX3;PWD=PHOENIX3"}</definedName>
    <definedName name="QUERY1.query_definition" localSheetId="10">{"SELECT Count(METERING_POINT.METER_POINT_ID) 'Num1'","FROM {oj PHOENIX3.METERING_POINT METERING_POINT LEFT OUTER JOIN ","PHOENIX3.FACILITY FACILITY ON METERING_POINT.FACILITY_ID = FACILITY.FACILITY_ID}","WHERE(FACILITY.FACILITY_ID =-31)"}</definedName>
    <definedName name="QUERY1.query_definition" localSheetId="3">{"SELECT Count(METERING_POINT.METER_POINT_ID) 'Num1'","FROM {oj PHOENIX3.METERING_POINT METERING_POINT LEFT OUTER JOIN ","PHOENIX3.FACILITY FACILITY ON METERING_POINT.FACILITY_ID = FACILITY.FACILITY_ID}","WHERE(FACILITY.FACILITY_ID =-31)"}</definedName>
    <definedName name="QUERY1.query_definition">{"SELECT Count(METERING_POINT.METER_POINT_ID) 'Num1'","FROM {oj PHOENIX3.METERING_POINT METERING_POINT LEFT OUTER JOIN ","PHOENIX3.FACILITY FACILITY ON METERING_POINT.FACILITY_ID = FACILITY.FACILITY_ID}","WHERE(FACILITY.FACILITY_ID =-31)"}</definedName>
    <definedName name="QUERY1.query_options" localSheetId="10">{TRUE;TRUE}</definedName>
    <definedName name="QUERY1.query_options" localSheetId="3">{TRUE;TRUE}</definedName>
    <definedName name="QUERY1.query_options">{TRUE;TRUE}</definedName>
    <definedName name="QUERY1.query_range">#REF!</definedName>
    <definedName name="QUERY1.query_source" localSheetId="10">{"PHOENIX03"}</definedName>
    <definedName name="QUERY1.query_source" localSheetId="3">{"PHOENIX03"}</definedName>
    <definedName name="QUERY1.query_source">{"PHOENIX03"}</definedName>
    <definedName name="QUERY1.query_statement" localSheetId="10">{"SELECT Count(METERING_POINT.METER_POINT_ID) 'Num1'";"FROM {oj PHOENIX3.METERING_POINT METERING_POINT LEFT OUTER JOIN ";"PHOENIX3.FACILITY FACILITY ON METERING_POINT.FACILITY_ID = FACILITY.FACILITY_ID}";"WHERE(FACILITY.FACILITY_ID =-31)"}</definedName>
    <definedName name="QUERY1.query_statement" localSheetId="3">{"SELECT Count(METERING_POINT.METER_POINT_ID) 'Num1'";"FROM {oj PHOENIX3.METERING_POINT METERING_POINT LEFT OUTER JOIN ";"PHOENIX3.FACILITY FACILITY ON METERING_POINT.FACILITY_ID = FACILITY.FACILITY_ID}";"WHERE(FACILITY.FACILITY_ID =-31)"}</definedName>
    <definedName name="QUERY1.query_statement">{"SELECT Count(METERING_POINT.METER_POINT_ID) 'Num1'";"FROM {oj PHOENIX3.METERING_POINT METERING_POINT LEFT OUTER JOIN ";"PHOENIX3.FACILITY FACILITY ON METERING_POINT.FACILITY_ID = FACILITY.FACILITY_ID}";"WHERE(FACILITY.FACILITY_ID =-31)"}</definedName>
    <definedName name="QUERY1.user_name" hidden="1">"TANIA"</definedName>
    <definedName name="QUERY2">#REF!</definedName>
    <definedName name="QUERY2.keep_password" hidden="1">TRUE</definedName>
    <definedName name="QUERY2.query_connection" localSheetId="10">{"DSN=PHOENIX03;DBQ=t:147.110.52.24:ph03;UID=PHOENIX3;PWD=PHOENIX3"}</definedName>
    <definedName name="QUERY2.query_connection" localSheetId="3">{"DSN=PHOENIX03;DBQ=t:147.110.52.24:ph03;UID=PHOENIX3;PWD=PHOENIX3"}</definedName>
    <definedName name="QUERY2.query_connection">{"DSN=PHOENIX03;DBQ=t:147.110.52.24:ph03;UID=PHOENIX3;PWD=PHOENIX3"}</definedName>
    <definedName name="QUERY2.query_definition" localSheetId="10">{"SELECT Count(ENERGY_VALUES.KWH_EXP_MAIN) 'Num2'","FROM PHOENIX3.ENERGY_VALUES ENERGY_VALUES ","WHERE (ENERGY_VALUES.FACILITY_ID=-31) AND (ENERGY_VALUES.METER_POINT_ID=4) ","AND (ENERGY_VALUES.TIME_VALID&gt;={ts '1996-1-1 00:00:00'}","AND ENERGY_VALUES.TIME_VALID&lt;{ts '1996-2-1 00:00:00'})"}</definedName>
    <definedName name="QUERY2.query_definition" localSheetId="3">{"SELECT Count(ENERGY_VALUES.KWH_EXP_MAIN) 'Num2'","FROM PHOENIX3.ENERGY_VALUES ENERGY_VALUES ","WHERE (ENERGY_VALUES.FACILITY_ID=-31) AND (ENERGY_VALUES.METER_POINT_ID=4) ","AND (ENERGY_VALUES.TIME_VALID&gt;={ts '1996-1-1 00:00:00'}","AND ENERGY_VALUES.TIME_VALID&lt;{ts '1996-2-1 00:00:00'})"}</definedName>
    <definedName name="QUERY2.query_definition">{"SELECT Count(ENERGY_VALUES.KWH_EXP_MAIN) 'Num2'","FROM PHOENIX3.ENERGY_VALUES ENERGY_VALUES ","WHERE (ENERGY_VALUES.FACILITY_ID=-31) AND (ENERGY_VALUES.METER_POINT_ID=4) ","AND (ENERGY_VALUES.TIME_VALID&gt;={ts '1996-1-1 00:00:00'}","AND ENERGY_VALUES.TIME_VALID&lt;{ts '1996-2-1 00:00:00'})"}</definedName>
    <definedName name="QUERY2.query_options" localSheetId="10">{TRUE;TRUE}</definedName>
    <definedName name="QUERY2.query_options" localSheetId="3">{TRUE;TRUE}</definedName>
    <definedName name="QUERY2.query_options">{TRUE;TRUE}</definedName>
    <definedName name="QUERY2.query_range">#REF!</definedName>
    <definedName name="QUERY2.query_source" localSheetId="10">{"PHOENIX03"}</definedName>
    <definedName name="QUERY2.query_source" localSheetId="3">{"PHOENIX03"}</definedName>
    <definedName name="QUERY2.query_source">{"PHOENIX03"}</definedName>
    <definedName name="QUERY2.query_statement" localSheetId="10">{"SELECT Count(ENERGY_VALUES.KWH_EXP_MAIN) 'Num2'";"FROM PHOENIX3.ENERGY_VALUES ENERGY_VALUES ";"WHERE (ENERGY_VALUES.FACILITY_ID=-31) AND (ENERGY_VALUES.METER_POINT_ID=4) ";"AND (ENERGY_VALUES.TIME_VALID&gt;={ts '1996-1-1 00:00:00'}";"AND ENERGY_VALUES.TIME_VALID&lt;{ts '1996-2-1 00:00:00'})"}</definedName>
    <definedName name="QUERY2.query_statement" localSheetId="3">{"SELECT Count(ENERGY_VALUES.KWH_EXP_MAIN) 'Num2'";"FROM PHOENIX3.ENERGY_VALUES ENERGY_VALUES ";"WHERE (ENERGY_VALUES.FACILITY_ID=-31) AND (ENERGY_VALUES.METER_POINT_ID=4) ";"AND (ENERGY_VALUES.TIME_VALID&gt;={ts '1996-1-1 00:00:00'}";"AND ENERGY_VALUES.TIME_VALID&lt;{ts '1996-2-1 00:00:00'})"}</definedName>
    <definedName name="QUERY2.query_statement">{"SELECT Count(ENERGY_VALUES.KWH_EXP_MAIN) 'Num2'";"FROM PHOENIX3.ENERGY_VALUES ENERGY_VALUES ";"WHERE (ENERGY_VALUES.FACILITY_ID=-31) AND (ENERGY_VALUES.METER_POINT_ID=4) ";"AND (ENERGY_VALUES.TIME_VALID&gt;={ts '1996-1-1 00:00:00'}";"AND ENERGY_VALUES.TIME_VALID&lt;{ts '1996-2-1 00:00:00'})"}</definedName>
    <definedName name="QUERY2.user_name" hidden="1">"TANIA"</definedName>
    <definedName name="QUERY3.query_connection" localSheetId="10">{"DSN=PHOENIX03;DBQ=t:147.110.52.24:ph03;UID=PHOENIX3;PWD=PHOENIX3"}</definedName>
    <definedName name="QUERY3.query_connection" localSheetId="3">{"DSN=PHOENIX03;DBQ=t:147.110.52.24:ph03;UID=PHOENIX3;PWD=PHOENIX3"}</definedName>
    <definedName name="QUERY3.query_connection">{"DSN=PHOENIX03;DBQ=t:147.110.52.24:ph03;UID=PHOENIX3;PWD=PHOENIX3"}</definedName>
    <definedName name="QUERY3.query_definition" localSheetId="10">{"SELECT ENERGY_VALUES.FACILITY_ID, ENERGY_VALUES.METER_POINT_ID, ENERGY_VALUES.TIME_VALID, ","ENERGY_VALUES.KWH_EXP_MAIN, ENERGY_VALUES.KWH_IMP_MAIN ","FROM PHOENIX3.ENERGY_VALUES ENERGY_VALUES ","WHERE (ENERGY_VALUES.FACILITY_ID=-31) AND (ENERGY_VALUES.METER_POINT_ID=4) ","AND (ENERGY_VALUES.TIME_VALID&gt;={ts '1996-1-1 00:00:00'}","AND ENERGY_VALUES.TIME_VALID&lt;{ts '1996-2-1 00:00:00'})"}</definedName>
    <definedName name="QUERY3.query_definition" localSheetId="3">{"SELECT ENERGY_VALUES.FACILITY_ID, ENERGY_VALUES.METER_POINT_ID, ENERGY_VALUES.TIME_VALID, ","ENERGY_VALUES.KWH_EXP_MAIN, ENERGY_VALUES.KWH_IMP_MAIN ","FROM PHOENIX3.ENERGY_VALUES ENERGY_VALUES ","WHERE (ENERGY_VALUES.FACILITY_ID=-31) AND (ENERGY_VALUES.METER_POINT_ID=4) ","AND (ENERGY_VALUES.TIME_VALID&gt;={ts '1996-1-1 00:00:00'}","AND ENERGY_VALUES.TIME_VALID&lt;{ts '1996-2-1 00:00:00'})"}</definedName>
    <definedName name="QUERY3.query_definition">{"SELECT ENERGY_VALUES.FACILITY_ID, ENERGY_VALUES.METER_POINT_ID, ENERGY_VALUES.TIME_VALID, ","ENERGY_VALUES.KWH_EXP_MAIN, ENERGY_VALUES.KWH_IMP_MAIN ","FROM PHOENIX3.ENERGY_VALUES ENERGY_VALUES ","WHERE (ENERGY_VALUES.FACILITY_ID=-31) AND (ENERGY_VALUES.METER_POINT_ID=4) ","AND (ENERGY_VALUES.TIME_VALID&gt;={ts '1996-1-1 00:00:00'}","AND ENERGY_VALUES.TIME_VALID&lt;{ts '1996-2-1 00:00:00'})"}</definedName>
    <definedName name="QUERY3.query_options" localSheetId="10">{TRUE;TRUE}</definedName>
    <definedName name="QUERY3.query_options" localSheetId="3">{TRUE;TRUE}</definedName>
    <definedName name="QUERY3.query_options">{TRUE;TRUE}</definedName>
    <definedName name="QUERY3.query_range">#REF!</definedName>
    <definedName name="QUERY3.query_source" localSheetId="10">{"PHOENIX03"}</definedName>
    <definedName name="QUERY3.query_source" localSheetId="3">{"PHOENIX03"}</definedName>
    <definedName name="QUERY3.query_source">{"PHOENIX03"}</definedName>
    <definedName name="QUERY3.query_statement" localSheetId="10">{"SELECT ENERGY_VALUES.FACILITY_ID, ENERGY_VALUES.METER_POINT_ID, ENERGY_VALUES.TIME_VALID, ";"ENERGY_VALUES.KWH_EXP_MAIN, ENERGY_VALUES.KWH_IMP_MAIN ";"FROM PHOENIX3.ENERGY_VALUES ENERGY_VALUES ";"WHERE (ENERGY_VALUES.FACILITY_ID=-31) AND (ENERGY_VALUES.METER_POINT_ID=4) ";"AND (ENERGY_VALUES.TIME_VALID&gt;={ts '1996-1-1 00:00:00'}";"AND ENERGY_VALUES.TIME_VALID&lt;{ts '1996-2-1 00:00:00'})"}</definedName>
    <definedName name="QUERY3.query_statement" localSheetId="3">{"SELECT ENERGY_VALUES.FACILITY_ID, ENERGY_VALUES.METER_POINT_ID, ENERGY_VALUES.TIME_VALID, ";"ENERGY_VALUES.KWH_EXP_MAIN, ENERGY_VALUES.KWH_IMP_MAIN ";"FROM PHOENIX3.ENERGY_VALUES ENERGY_VALUES ";"WHERE (ENERGY_VALUES.FACILITY_ID=-31) AND (ENERGY_VALUES.METER_POINT_ID=4) ";"AND (ENERGY_VALUES.TIME_VALID&gt;={ts '1996-1-1 00:00:00'}";"AND ENERGY_VALUES.TIME_VALID&lt;{ts '1996-2-1 00:00:00'})"}</definedName>
    <definedName name="QUERY3.query_statement">{"SELECT ENERGY_VALUES.FACILITY_ID, ENERGY_VALUES.METER_POINT_ID, ENERGY_VALUES.TIME_VALID, ";"ENERGY_VALUES.KWH_EXP_MAIN, ENERGY_VALUES.KWH_IMP_MAIN ";"FROM PHOENIX3.ENERGY_VALUES ENERGY_VALUES ";"WHERE (ENERGY_VALUES.FACILITY_ID=-31) AND (ENERGY_VALUES.METER_POINT_ID=4) ";"AND (ENERGY_VALUES.TIME_VALID&gt;={ts '1996-1-1 00:00:00'}";"AND ENERGY_VALUES.TIME_VALID&lt;{ts '1996-2-1 00:00:00'})"}</definedName>
    <definedName name="Query75">#REF!</definedName>
    <definedName name="QUOTA">#REF!</definedName>
    <definedName name="quotizacoes" localSheetId="10" hidden="1">{"'Parte I (BPA)'!$A$1:$A$3"}</definedName>
    <definedName name="quotizacoes" localSheetId="3" hidden="1">{"'Parte I (BPA)'!$A$1:$A$3"}</definedName>
    <definedName name="quotizacoes" hidden="1">{"'Parte I (BPA)'!$A$1:$A$3"}</definedName>
    <definedName name="qw">#REF!</definedName>
    <definedName name="qwe" localSheetId="10" hidden="1">{#N/A,#N/A,TRUE,"Total CAF Charts";#N/A,#N/A,TRUE,"Total CAF Charts (3)";#N/A,#N/A,TRUE,"CAF Technical Charts";#N/A,#N/A,TRUE,"CAF Support Charts";#N/A,#N/A,TRUE,"Opns Tech Charts";#N/A,#N/A,TRUE,"Other CAF KPI Charts"}</definedName>
    <definedName name="qwe" localSheetId="3" hidden="1">{#N/A,#N/A,TRUE,"Total CAF Charts";#N/A,#N/A,TRUE,"Total CAF Charts (3)";#N/A,#N/A,TRUE,"CAF Technical Charts";#N/A,#N/A,TRUE,"CAF Support Charts";#N/A,#N/A,TRUE,"Opns Tech Charts";#N/A,#N/A,TRUE,"Other CAF KPI Charts"}</definedName>
    <definedName name="qwe" hidden="1">{#N/A,#N/A,TRUE,"Total CAF Charts";#N/A,#N/A,TRUE,"Total CAF Charts (3)";#N/A,#N/A,TRUE,"CAF Technical Charts";#N/A,#N/A,TRUE,"CAF Support Charts";#N/A,#N/A,TRUE,"Opns Tech Charts";#N/A,#N/A,TRUE,"Other CAF KPI Charts"}</definedName>
    <definedName name="qweqwr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eqwr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eqwr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er" localSheetId="10" hidden="1">{#N/A,#N/A,FALSE,"CHANGES";#N/A,#N/A,FALSE,"PROD SUMMARY";#N/A,#N/A,FALSE,"1995 PO SUM";#N/A,#N/A,FALSE,"1995 GEOG SUM";#N/A,#N/A,FALSE,"1996 PO SUM";#N/A,#N/A,FALSE,"1996 GEOG SUM"}</definedName>
    <definedName name="qwer" localSheetId="3" hidden="1">{#N/A,#N/A,FALSE,"CHANGES";#N/A,#N/A,FALSE,"PROD SUMMARY";#N/A,#N/A,FALSE,"1995 PO SUM";#N/A,#N/A,FALSE,"1995 GEOG SUM";#N/A,#N/A,FALSE,"1996 PO SUM";#N/A,#N/A,FALSE,"1996 GEOG SUM"}</definedName>
    <definedName name="qwer" hidden="1">{#N/A,#N/A,FALSE,"CHANGES";#N/A,#N/A,FALSE,"PROD SUMMARY";#N/A,#N/A,FALSE,"1995 PO SUM";#N/A,#N/A,FALSE,"1995 GEOG SUM";#N/A,#N/A,FALSE,"1996 PO SUM";#N/A,#N/A,FALSE,"1996 GEOG SUM"}</definedName>
    <definedName name="qwqwqwe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qwqwe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qwqw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tf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tf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qwtf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A">#REF!</definedName>
    <definedName name="ra_Month">#REF!</definedName>
    <definedName name="raffa2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raffa2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raffa2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rainy">#REF!</definedName>
    <definedName name="rand">#REF!</definedName>
    <definedName name="Rands">#REF!</definedName>
    <definedName name="Range">#REF!</definedName>
    <definedName name="RANGE_A">#REF!</definedName>
    <definedName name="RangeHigher">#REF!</definedName>
    <definedName name="RangeLower">#REF!</definedName>
    <definedName name="RangePct">#REF!</definedName>
    <definedName name="Rate">#REF!</definedName>
    <definedName name="rate00">#REF!</definedName>
    <definedName name="rate01">#REF!</definedName>
    <definedName name="rate02">#REF!</definedName>
    <definedName name="rate03">#REF!</definedName>
    <definedName name="rate1">#REF!</definedName>
    <definedName name="RATE2">#REF!</definedName>
    <definedName name="rate3">#REF!</definedName>
    <definedName name="RATETYPE">#REF!</definedName>
    <definedName name="RawAgencyPrice">#REF!</definedName>
    <definedName name="RawData1All">#REF!</definedName>
    <definedName name="RawData2All">#REF!</definedName>
    <definedName name="RB">#REF!</definedName>
    <definedName name="rba">#REF!</definedName>
    <definedName name="RBData">#REF!</definedName>
    <definedName name="RBN">#REF!</definedName>
    <definedName name="RBU">#REF!</definedName>
    <definedName name="RD">#REF!</definedName>
    <definedName name="RE">#REF!</definedName>
    <definedName name="Real">#REF!</definedName>
    <definedName name="REAL_2002">#REF!</definedName>
    <definedName name="Reavaliação">#REF!</definedName>
    <definedName name="Rec_Date">#REF!</definedName>
    <definedName name="RECEITAS">#REF!</definedName>
    <definedName name="_xlnm.Recorder">#REF!</definedName>
    <definedName name="Recover">#REF!</definedName>
    <definedName name="Recruitment">#REF!</definedName>
    <definedName name="rectraf">#REF!</definedName>
    <definedName name="rectraf_2006">#REF!</definedName>
    <definedName name="rectraf06">#REF!</definedName>
    <definedName name="RECURSOS" localSheetId="10" hidden="1">{"VARIASMOEDAS",#N/A,FALSE,"APLICAR"}</definedName>
    <definedName name="RECURSOS" localSheetId="3" hidden="1">{"VARIASMOEDAS",#N/A,FALSE,"APLICAR"}</definedName>
    <definedName name="RECURSOS" hidden="1">{"VARIASMOEDAS",#N/A,FALSE,"APLICAR"}</definedName>
    <definedName name="ree">#REF!,#REF!</definedName>
    <definedName name="REEL">#REF!</definedName>
    <definedName name="ref">#REF!</definedName>
    <definedName name="REFORMADOS____MES_DE_ABRIL_2009">#REF!</definedName>
    <definedName name="REFORMADOS____MES_DE_FEVEREIRO_2009">#REF!</definedName>
    <definedName name="REFORMADOS____MES_DE_MAIO_2009">#REF!</definedName>
    <definedName name="REFORMADOS____MES_DE_MARÇO_2009">#REF!</definedName>
    <definedName name="REFORMADOS___MF">#REF!</definedName>
    <definedName name="REFORMADOS_MES_DE_JANEIRO_2009">#REF!</definedName>
    <definedName name="REGBP">#REF!</definedName>
    <definedName name="REGG">#REF!</definedName>
    <definedName name="regional">#REF!</definedName>
    <definedName name="Reinsurance_Detail_217">#REF!</definedName>
    <definedName name="REL">#REF!</definedName>
    <definedName name="REMANESCENTE___MES_DE_ABRIL_2009">#REF!</definedName>
    <definedName name="REMANESCENTE___MES_DE_FEVEREIRO_2009">#REF!</definedName>
    <definedName name="REMANESCENTE___MES_DE_JANEIRO_2009">#REF!</definedName>
    <definedName name="REMANESCENTE___MES_DE_MAIO_2009">#REF!</definedName>
    <definedName name="REMANESCENTE___MES_DE_MARÇO_2009">#REF!</definedName>
    <definedName name="Remunerações_dos_trabalhadores">#REF!</definedName>
    <definedName name="Rend_mar03">#REF!</definedName>
    <definedName name="rendimentos">#REF!</definedName>
    <definedName name="Rendimentos_Planinveste">#REF!</definedName>
    <definedName name="Rent_2701">#REF!</definedName>
    <definedName name="Rent_3400">#REF!</definedName>
    <definedName name="Rent_3402">#REF!</definedName>
    <definedName name="rent_const">#REF!</definedName>
    <definedName name="Rent_EL">#REF!</definedName>
    <definedName name="Rent_KM">#REF!</definedName>
    <definedName name="Rent_LV">#REF!</definedName>
    <definedName name="Rental">#REF!</definedName>
    <definedName name="rep">#REF!</definedName>
    <definedName name="Rep_Curr">#REF!</definedName>
    <definedName name="repl">#REF!</definedName>
    <definedName name="Report">#REF!</definedName>
    <definedName name="Report_date">#REF!</definedName>
    <definedName name="ReportCreated">TRUE</definedName>
    <definedName name="ReportDate">#REF!</definedName>
    <definedName name="requisição">#REF!</definedName>
    <definedName name="RES00">#REF!</definedName>
    <definedName name="Reselects">#REF!</definedName>
    <definedName name="RESERVAS">#REF!</definedName>
    <definedName name="RESFAB">#REF!</definedName>
    <definedName name="RESPONSABILIDADES">#REF!</definedName>
    <definedName name="RESPRO">#REF!</definedName>
    <definedName name="Resultado_Líquido_de_Exercício____F_____G">#REF!</definedName>
    <definedName name="Resultado_Líquido_do_Exercício">#REF!</definedName>
    <definedName name="RESULTADOS.ACUMULADOS">#REF!</definedName>
    <definedName name="RESULTADOS.EXTRAORDINARIOS">#REF!</definedName>
    <definedName name="RESULTADOS.SOCIAIS">#REF!</definedName>
    <definedName name="Resultados_antes_de_Impostos____F_____E">#REF!</definedName>
    <definedName name="Resultados_Correntes____D_____C">#REF!</definedName>
    <definedName name="Resultados_Financeiros____D_B_____C_A">#REF!</definedName>
    <definedName name="Resultados_Operacionais____B_____A">#REF!</definedName>
    <definedName name="ResultTotal">#REF!</definedName>
    <definedName name="resumo">#REF!</definedName>
    <definedName name="RESUMO.RESERVAS">#REF!</definedName>
    <definedName name="resumojla">#REF!</definedName>
    <definedName name="RETE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RETE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RETE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Retri">#REF!</definedName>
    <definedName name="Retrieve">#REF!</definedName>
    <definedName name="retrive">#REF!</definedName>
    <definedName name="retw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et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et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ev">#REF!,#REF!,#REF!,#REF!,#REF!</definedName>
    <definedName name="REVALUACION">#REF!</definedName>
    <definedName name="Revenue" localSheetId="10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Revenue" localSheetId="3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Revenue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reviewdate">#REF!</definedName>
    <definedName name="ReviewedBy">#REF!</definedName>
    <definedName name="ReviewedDate">#REF!</definedName>
    <definedName name="revisto">#REF!</definedName>
    <definedName name="RF">#REF!</definedName>
    <definedName name="rfg" hidden="1">#REF!</definedName>
    <definedName name="RG">#REF!</definedName>
    <definedName name="riassuntivo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assuntivo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ID">#REF!</definedName>
    <definedName name="risco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1</definedName>
    <definedName name="RiskHasSettings" hidden="1">5</definedName>
    <definedName name="RiskHasSettings_1" hidden="1">5</definedName>
    <definedName name="RiskMinimizeOnStart" hidden="1">FALSE</definedName>
    <definedName name="RiskMonitorConvergence" hidden="1">FALSE</definedName>
    <definedName name="RiskMonitorConvergence_1" hidden="1">FALSE</definedName>
    <definedName name="RiskMultipleCPUSupportEnabled" hidden="1">TRUE</definedName>
    <definedName name="RiskNumIterations" hidden="1">1000</definedName>
    <definedName name="RiskNumIterations_1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StandardRecalc_1" hidden="1">2</definedName>
    <definedName name="RiskUpdateDisplay" hidden="1">FALSE</definedName>
    <definedName name="RiskUpdateDisplay_1" hidden="1">FALSE</definedName>
    <definedName name="RiskUseDifferentSeedForEachSim" hidden="1">FALSE</definedName>
    <definedName name="RiskUseDifferentSeedForEachSim_1" hidden="1">TRUE</definedName>
    <definedName name="RiskUseFixedSeed" hidden="1">FALSE</definedName>
    <definedName name="RiskUseFixedSeed_1" hidden="1">FALSE</definedName>
    <definedName name="RiskUseMultipleCPUs" hidden="1">TRUE</definedName>
    <definedName name="RiskUseMultipleCPUs_1" hidden="1">TRUE</definedName>
    <definedName name="RLE">#REF!</definedName>
    <definedName name="RM">#REF!</definedName>
    <definedName name="RN">#REF!</definedName>
    <definedName name="rngAuditor">#REF!</definedName>
    <definedName name="rngCompanyName">#REF!</definedName>
    <definedName name="rngDealStartDate">#REF!</definedName>
    <definedName name="rngFinancialYearEnd">#REF!</definedName>
    <definedName name="rngNumPriorAnnualReportsRecorded">#REF!</definedName>
    <definedName name="rngPreviousFinancialYearEnd">#REF!</definedName>
    <definedName name="RO">#REF!</definedName>
    <definedName name="ROI">#REF!</definedName>
    <definedName name="roll">#REF!</definedName>
    <definedName name="rota">#REF!</definedName>
    <definedName name="RP">#REF!</definedName>
    <definedName name="rpk">#REF!</definedName>
    <definedName name="RptPrd">#REF!</definedName>
    <definedName name="RptPrdHeader">#REF!</definedName>
    <definedName name="RR">#REF!</definedName>
    <definedName name="rr_1" localSheetId="10" hidden="1">{#N/A,#N/A,FALSE,"JACKETS (1100 t) (1)"}</definedName>
    <definedName name="rr_1" localSheetId="3" hidden="1">{#N/A,#N/A,FALSE,"JACKETS (1100 t) (1)"}</definedName>
    <definedName name="rr_1" hidden="1">{#N/A,#N/A,FALSE,"JACKETS (1100 t) (1)"}</definedName>
    <definedName name="rr_2" localSheetId="10" hidden="1">{#N/A,#N/A,FALSE,"JACKETS (1100 t) (1)"}</definedName>
    <definedName name="rr_2" localSheetId="3" hidden="1">{#N/A,#N/A,FALSE,"JACKETS (1100 t) (1)"}</definedName>
    <definedName name="rr_2" hidden="1">{#N/A,#N/A,FALSE,"JACKETS (1100 t) (1)"}</definedName>
    <definedName name="rr_3" localSheetId="10" hidden="1">{#N/A,#N/A,FALSE,"JACKETS (1100 t) (1)"}</definedName>
    <definedName name="rr_3" localSheetId="3" hidden="1">{#N/A,#N/A,FALSE,"JACKETS (1100 t) (1)"}</definedName>
    <definedName name="rr_3" hidden="1">{#N/A,#N/A,FALSE,"JACKETS (1100 t) (1)"}</definedName>
    <definedName name="rr_4" localSheetId="10" hidden="1">{#N/A,#N/A,FALSE,"JACKETS (1100 t) (1)"}</definedName>
    <definedName name="rr_4" localSheetId="3" hidden="1">{#N/A,#N/A,FALSE,"JACKETS (1100 t) (1)"}</definedName>
    <definedName name="rr_4" hidden="1">{#N/A,#N/A,FALSE,"JACKETS (1100 t) (1)"}</definedName>
    <definedName name="rr_5" localSheetId="10" hidden="1">{#N/A,#N/A,FALSE,"JACKETS (1100 t) (1)"}</definedName>
    <definedName name="rr_5" localSheetId="3" hidden="1">{#N/A,#N/A,FALSE,"JACKETS (1100 t) (1)"}</definedName>
    <definedName name="rr_5" hidden="1">{#N/A,#N/A,FALSE,"JACKETS (1100 t) (1)"}</definedName>
    <definedName name="RRLE">#REF!</definedName>
    <definedName name="rrr" localSheetId="10" hidden="1">{"DSN=Lusitania;DBQ=Lusi;UID=TANIA;PWD=lus"}</definedName>
    <definedName name="rrr" localSheetId="3" hidden="1">{"DSN=Lusitania;DBQ=Lusi;UID=TANIA;PWD=lus"}</definedName>
    <definedName name="rrr" hidden="1">{"DSN=Lusitania;DBQ=Lusi;UID=TANIA;PWD=lus"}</definedName>
    <definedName name="RRRRRR">#REF!</definedName>
    <definedName name="rrrrrrrrrrrr">#REF!</definedName>
    <definedName name="rrrrrrrrrrrrr" localSheetId="10" hidden="1">{#N/A,#N/A,FALSE,"VARIANCE";#N/A,#N/A,FALSE,"2NDQTR";#N/A,#N/A,FALSE,"1STQTR";#N/A,#N/A,FALSE,"BUDGET"}</definedName>
    <definedName name="rrrrrrrrrrrrr" localSheetId="3" hidden="1">{#N/A,#N/A,FALSE,"VARIANCE";#N/A,#N/A,FALSE,"2NDQTR";#N/A,#N/A,FALSE,"1STQTR";#N/A,#N/A,FALSE,"BUDGET"}</definedName>
    <definedName name="rrrrrrrrrrrrr" hidden="1">{#N/A,#N/A,FALSE,"VARIANCE";#N/A,#N/A,FALSE,"2NDQTR";#N/A,#N/A,FALSE,"1STQTR";#N/A,#N/A,FALSE,"BUDGET"}</definedName>
    <definedName name="rrrtr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rrtr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rrtr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rt">#REF!</definedName>
    <definedName name="rte">#REF!</definedName>
    <definedName name="RTT">#REF!</definedName>
    <definedName name="RUNDATE">#REF!</definedName>
    <definedName name="RUNTIME">#REF!</definedName>
    <definedName name="s">#REF!,#REF!,#REF!,#REF!,#REF!</definedName>
    <definedName name="S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_CY_Beg_GT">#REF!</definedName>
    <definedName name="S_Orçamento">#REF!</definedName>
    <definedName name="sa">#REF!</definedName>
    <definedName name="sabktop">#REF!</definedName>
    <definedName name="SACATOP">#REF!</definedName>
    <definedName name="SACVTOP">#REF!</definedName>
    <definedName name="sacxasCxsacx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cxasCxsacx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cxasCxsacx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CXC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CXC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CXC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">#REF!</definedName>
    <definedName name="sadasd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dasd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dasd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ddfsd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ddfsd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ddfsd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df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f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f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fdddf">#REF!</definedName>
    <definedName name="SADSAD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DSAD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DSAD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dsadxdx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sadxdx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sadxdx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XQA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XQA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DXQA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afety">#REF!</definedName>
    <definedName name="safgsgsdf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fgsgsdf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fgsgsdf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ir">#REF!</definedName>
    <definedName name="SAJDTOP">#REF!</definedName>
    <definedName name="SAJPTOP">#REF!</definedName>
    <definedName name="SAL" localSheetId="10" hidden="1">{#N/A,#N/A,FALSE,"Consolidato"}</definedName>
    <definedName name="SAL" localSheetId="3" hidden="1">{#N/A,#N/A,FALSE,"Consolidato"}</definedName>
    <definedName name="SAL" hidden="1">{#N/A,#N/A,FALSE,"Consolidato"}</definedName>
    <definedName name="SALARIOS">#REF!</definedName>
    <definedName name="SalBase">#REF!</definedName>
    <definedName name="SALCTOP">#REF!</definedName>
    <definedName name="SALDOS">#REF!</definedName>
    <definedName name="SALESPLAN">#REF!</definedName>
    <definedName name="salesResume">#REF!</definedName>
    <definedName name="sami">#REF!</definedName>
    <definedName name="sanatop">#REF!</definedName>
    <definedName name="sanctop">#REF!</definedName>
    <definedName name="SAPBEXdnldView" hidden="1">"44TBYOEZ4BTGBIQWXVNJ9J0EZ"</definedName>
    <definedName name="SAPBEXhrIndnt" hidden="1">"Wide"</definedName>
    <definedName name="SAPBEXrevision" hidden="1">1</definedName>
    <definedName name="SAPBEXsysID" hidden="1">"PW1"</definedName>
    <definedName name="SAPBEXwbID" hidden="1">"3JGKH3H9E8QXY6XFBZVZDMFO6"</definedName>
    <definedName name="SAPsysID" hidden="1">"708C5W7SBKP804JT78WJ0JNKI"</definedName>
    <definedName name="SAPwbID" hidden="1">"ARS"</definedName>
    <definedName name="s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asas" localSheetId="10" hidden="1">{#N/A,#N/A,FALSE,"TAB1";#N/A,#N/A,FALSE,"TAB2";#N/A,#N/A,FALSE,"TAB2b";#N/A,#N/A,FALSE,"TAB3";#N/A,#N/A,FALSE,"TAB3b";#N/A,#N/A,FALSE,"TAB4";#N/A,#N/A,FALSE,"TAB5"}</definedName>
    <definedName name="sasas" localSheetId="3" hidden="1">{#N/A,#N/A,FALSE,"TAB1";#N/A,#N/A,FALSE,"TAB2";#N/A,#N/A,FALSE,"TAB2b";#N/A,#N/A,FALSE,"TAB3";#N/A,#N/A,FALSE,"TAB3b";#N/A,#N/A,FALSE,"TAB4";#N/A,#N/A,FALSE,"TAB5"}</definedName>
    <definedName name="sasas" hidden="1">{#N/A,#N/A,FALSE,"TAB1";#N/A,#N/A,FALSE,"TAB2";#N/A,#N/A,FALSE,"TAB2b";#N/A,#N/A,FALSE,"TAB3";#N/A,#N/A,FALSE,"TAB3b";#N/A,#N/A,FALSE,"TAB4";#N/A,#N/A,FALSE,"TAB5"}</definedName>
    <definedName name="sass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ss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ss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ATCTOP">#REF!</definedName>
    <definedName name="satelliti" localSheetId="10" hidden="1">{"'Sheet1'!$M$363:$M$364"}</definedName>
    <definedName name="satelliti" localSheetId="3" hidden="1">{"'Sheet1'!$M$363:$M$364"}</definedName>
    <definedName name="satelliti" hidden="1">{"'Sheet1'!$M$363:$M$364"}</definedName>
    <definedName name="satelliti_1" localSheetId="10" hidden="1">{"'Sheet1'!$M$363:$M$364"}</definedName>
    <definedName name="satelliti_1" localSheetId="3" hidden="1">{"'Sheet1'!$M$363:$M$364"}</definedName>
    <definedName name="satelliti_1" hidden="1">{"'Sheet1'!$M$363:$M$364"}</definedName>
    <definedName name="satelliti_2" localSheetId="10" hidden="1">{"'Sheet1'!$M$363:$M$364"}</definedName>
    <definedName name="satelliti_2" localSheetId="3" hidden="1">{"'Sheet1'!$M$363:$M$364"}</definedName>
    <definedName name="satelliti_2" hidden="1">{"'Sheet1'!$M$363:$M$364"}</definedName>
    <definedName name="satelliti_3" localSheetId="10" hidden="1">{"'Sheet1'!$M$363:$M$364"}</definedName>
    <definedName name="satelliti_3" localSheetId="3" hidden="1">{"'Sheet1'!$M$363:$M$364"}</definedName>
    <definedName name="satelliti_3" hidden="1">{"'Sheet1'!$M$363:$M$364"}</definedName>
    <definedName name="satelliti_4" localSheetId="10" hidden="1">{"'Sheet1'!$M$363:$M$364"}</definedName>
    <definedName name="satelliti_4" localSheetId="3" hidden="1">{"'Sheet1'!$M$363:$M$364"}</definedName>
    <definedName name="satelliti_4" hidden="1">{"'Sheet1'!$M$363:$M$364"}</definedName>
    <definedName name="satelliti_5" localSheetId="10" hidden="1">{"'Sheet1'!$M$363:$M$364"}</definedName>
    <definedName name="satelliti_5" localSheetId="3" hidden="1">{"'Sheet1'!$M$363:$M$364"}</definedName>
    <definedName name="satelliti_5" hidden="1">{"'Sheet1'!$M$363:$M$364"}</definedName>
    <definedName name="SATRTOP">#REF!</definedName>
    <definedName name="SCA00">#REF!</definedName>
    <definedName name="SCADTOP">#REF!</definedName>
    <definedName name="SCAOTOP">#REF!</definedName>
    <definedName name="SCASTOP">#REF!</definedName>
    <definedName name="SCD">#REF!</definedName>
    <definedName name="Scen10">#REF!</definedName>
    <definedName name="Scen10Hdr2">#REF!</definedName>
    <definedName name="Scen16">#REF!</definedName>
    <definedName name="Scen17">#REF!</definedName>
    <definedName name="Scen18">#REF!</definedName>
    <definedName name="Scen19">#REF!</definedName>
    <definedName name="Scen3">#REF!</definedName>
    <definedName name="Scen8Hdr2">#REF!</definedName>
    <definedName name="Scen9Hdr2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N">#REF!</definedName>
    <definedName name="sco_lev_EM">#REF!</definedName>
    <definedName name="sd">#REF!</definedName>
    <definedName name="SDA">#REF!</definedName>
    <definedName name="sdadasdas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dasdas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dasdas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dsadsad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dsadsad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dsadsad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sd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dasd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dasd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dasda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sda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sda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DATE">#REF!</definedName>
    <definedName name="sdcqswc">#REF!</definedName>
    <definedName name="sddd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dd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dd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dsa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sddsa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sddsa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sddsdsd" hidden="1">#REF!</definedName>
    <definedName name="sde">#REF!</definedName>
    <definedName name="SDFASD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DFASD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DFASD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dsd">#REF!</definedName>
    <definedName name="sdsd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sd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sd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VJH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VJH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DVJH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E01a">#REF!</definedName>
    <definedName name="SE02a">#REF!</definedName>
    <definedName name="secção">#REF!</definedName>
    <definedName name="sectionNames">#REF!</definedName>
    <definedName name="Security_Services">#REF!</definedName>
    <definedName name="sedd" hidden="1">#REF!</definedName>
    <definedName name="seguro">#REF!</definedName>
    <definedName name="sehethewh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ehethewh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ehethewh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elect">#REF!</definedName>
    <definedName name="sem">#REF!</definedName>
    <definedName name="Sem_PR">#REF!</definedName>
    <definedName name="Sem_TAxa">#REF!</definedName>
    <definedName name="semana">#REF!</definedName>
    <definedName name="semanas">#REF!</definedName>
    <definedName name="sencount" hidden="1">1</definedName>
    <definedName name="send_retr">#REF!</definedName>
    <definedName name="ser">#REF!</definedName>
    <definedName name="SERVCO">#REF!</definedName>
    <definedName name="servico">#REF!</definedName>
    <definedName name="serviço">#REF!</definedName>
    <definedName name="SERVICOS">#REF!</definedName>
    <definedName name="SERVIÇOS">#REF!</definedName>
    <definedName name="SERVIÇOS.TERCEIROS">#REF!</definedName>
    <definedName name="Serviços_de_Terceiros">#REF!</definedName>
    <definedName name="SERVS">#REF!</definedName>
    <definedName name="SETEMBRO">#REF!</definedName>
    <definedName name="SETUP">#REF!</definedName>
    <definedName name="SF">#REF!</definedName>
    <definedName name="SFABTOP">#REF!</definedName>
    <definedName name="SFARTOP">#REF!</definedName>
    <definedName name="SFD">#REF!</definedName>
    <definedName name="sfdas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fdas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fdas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sfgfada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fgfada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fgfada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FN">#REF!</definedName>
    <definedName name="SFU00">#REF!</definedName>
    <definedName name="SFV">#REF!</definedName>
    <definedName name="SGPS.Fev2011">#REF!</definedName>
    <definedName name="SGPS.Fev2011.v">#REF!</definedName>
    <definedName name="SGPS.Jan2011">#REF!</definedName>
    <definedName name="SGPSjan2001">#REF!</definedName>
    <definedName name="SGPSjan2011v">#REF!</definedName>
    <definedName name="SGS" localSheetId="10" hidden="1">{"'Sheet1'!$M$363:$M$364"}</definedName>
    <definedName name="SGS" localSheetId="3" hidden="1">{"'Sheet1'!$M$363:$M$364"}</definedName>
    <definedName name="SGS" hidden="1">{"'Sheet1'!$M$363:$M$364"}</definedName>
    <definedName name="SGS_1" localSheetId="10" hidden="1">{"'Sheet1'!$M$363:$M$364"}</definedName>
    <definedName name="SGS_1" localSheetId="3" hidden="1">{"'Sheet1'!$M$363:$M$364"}</definedName>
    <definedName name="SGS_1" hidden="1">{"'Sheet1'!$M$363:$M$364"}</definedName>
    <definedName name="SGS_2" localSheetId="10" hidden="1">{"'Sheet1'!$M$363:$M$364"}</definedName>
    <definedName name="SGS_2" localSheetId="3" hidden="1">{"'Sheet1'!$M$363:$M$364"}</definedName>
    <definedName name="SGS_2" hidden="1">{"'Sheet1'!$M$363:$M$364"}</definedName>
    <definedName name="SGS_3" localSheetId="10" hidden="1">{"'Sheet1'!$M$363:$M$364"}</definedName>
    <definedName name="SGS_3" localSheetId="3" hidden="1">{"'Sheet1'!$M$363:$M$364"}</definedName>
    <definedName name="SGS_3" hidden="1">{"'Sheet1'!$M$363:$M$364"}</definedName>
    <definedName name="SGS_4" localSheetId="10" hidden="1">{"'Sheet1'!$M$363:$M$364"}</definedName>
    <definedName name="SGS_4" localSheetId="3" hidden="1">{"'Sheet1'!$M$363:$M$364"}</definedName>
    <definedName name="SGS_4" hidden="1">{"'Sheet1'!$M$363:$M$364"}</definedName>
    <definedName name="SGS_5" localSheetId="10" hidden="1">{"'Sheet1'!$M$363:$M$364"}</definedName>
    <definedName name="SGS_5" localSheetId="3" hidden="1">{"'Sheet1'!$M$363:$M$364"}</definedName>
    <definedName name="SGS_5" hidden="1">{"'Sheet1'!$M$363:$M$364"}</definedName>
    <definedName name="sheet100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100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10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heet2">#REF!</definedName>
    <definedName name="shelf" localSheetId="10" hidden="1">{#N/A,#N/A,FALSE,"CHANGES";#N/A,#N/A,FALSE,"PROD SUMMARY";#N/A,#N/A,FALSE,"1995 PO SUM";#N/A,#N/A,FALSE,"1995 GEOG SUM";#N/A,#N/A,FALSE,"1996 PO SUM";#N/A,#N/A,FALSE,"1996 GEOG SUM"}</definedName>
    <definedName name="shelf" localSheetId="3" hidden="1">{#N/A,#N/A,FALSE,"CHANGES";#N/A,#N/A,FALSE,"PROD SUMMARY";#N/A,#N/A,FALSE,"1995 PO SUM";#N/A,#N/A,FALSE,"1995 GEOG SUM";#N/A,#N/A,FALSE,"1996 PO SUM";#N/A,#N/A,FALSE,"1996 GEOG SUM"}</definedName>
    <definedName name="shelf" hidden="1">{#N/A,#N/A,FALSE,"CHANGES";#N/A,#N/A,FALSE,"PROD SUMMARY";#N/A,#N/A,FALSE,"1995 PO SUM";#N/A,#N/A,FALSE,"1995 GEOG SUM";#N/A,#N/A,FALSE,"1996 PO SUM";#N/A,#N/A,FALSE,"1996 GEOG SUM"}</definedName>
    <definedName name="SHELYTH">#REF!</definedName>
    <definedName name="Show.Date" localSheetId="10">IF(#REF!&lt;&gt;"",DATE(YEAR(First_payment_due),MONTH(First_payment_due)+(#REF!-1)*12/Payments_per_year,DAY(First_payment_due)),"")</definedName>
    <definedName name="Show.Date" localSheetId="3">IF(#REF!&lt;&gt;"",DATE(YEAR(First_payment_due),MONTH(First_payment_due)+(#REF!-1)*12/Payments_per_year,DAY(First_payment_due)),"")</definedName>
    <definedName name="Show.Date">IF(#REF!&lt;&gt;"",DATE(YEAR(First_payment_due),MONTH(First_payment_due)+(#REF!-1)*12/Payments_per_year,DAY(First_payment_due)),"")</definedName>
    <definedName name="shrinkage">#REF!</definedName>
    <definedName name="shtgrh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htgrh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htgrh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ida">#REF!</definedName>
    <definedName name="sihle">#REF!</definedName>
    <definedName name="SINISTRALIDADE">#REF!</definedName>
    <definedName name="Sinistros_Vencimentos_Rendas_Proc">#REF!</definedName>
    <definedName name="Sintesi" localSheetId="10" hidden="1">{"'ALqdUESP'!$B$11"}</definedName>
    <definedName name="Sintesi" localSheetId="3" hidden="1">{"'ALqdUESP'!$B$11"}</definedName>
    <definedName name="Sintesi" hidden="1">{"'ALqdUESP'!$B$11"}</definedName>
    <definedName name="Sispec">#REF!</definedName>
    <definedName name="Sispec00">#REF!</definedName>
    <definedName name="Sispec98">#REF!</definedName>
    <definedName name="Sispec99">#REF!</definedName>
    <definedName name="SispecPSAP">#REF!</definedName>
    <definedName name="Situação">#REF!</definedName>
    <definedName name="SK">#REF!</definedName>
    <definedName name="SKUCode2">#REF!</definedName>
    <definedName name="SKUDescription1">#REF!</definedName>
    <definedName name="SKUDescription2">#REF!</definedName>
    <definedName name="slope">#REF!</definedName>
    <definedName name="sm1W">#REF!</definedName>
    <definedName name="SMIRTOP">#REF!</definedName>
    <definedName name="SMU">#REF!</definedName>
    <definedName name="sobrevoo">#REF!</definedName>
    <definedName name="Société">#REF!</definedName>
    <definedName name="SOLDQTYDISTRIBUTIONDASH">#REF!</definedName>
    <definedName name="solvab" localSheetId="10" hidden="1">{"ZAR",#N/A,FALSE,"APLICAR"}</definedName>
    <definedName name="solvab" localSheetId="3" hidden="1">{"ZAR",#N/A,FALSE,"APLICAR"}</definedName>
    <definedName name="solvab" hidden="1">{"ZAR",#N/A,FALSE,"APLICAR"}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3" hidden="1">#REF!</definedName>
    <definedName name="solver_lhs4" hidden="1">#REF!</definedName>
    <definedName name="solver_lhs5" hidden="1">#REF!</definedName>
    <definedName name="solver_lhs6" hidden="1">#REF!</definedName>
    <definedName name="solver_lhs7" hidden="1">#REF!</definedName>
    <definedName name="solver_lhs8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el2" hidden="1">2</definedName>
    <definedName name="solver_rel3" hidden="1">2</definedName>
    <definedName name="solver_rel4" hidden="1">2</definedName>
    <definedName name="solver_rel5" hidden="1">2</definedName>
    <definedName name="solver_rel6" hidden="1">3</definedName>
    <definedName name="solver_rel7" hidden="1">3</definedName>
    <definedName name="solver_rel8" hidden="1">3</definedName>
    <definedName name="solver_rhs1" hidden="1">0</definedName>
    <definedName name="solver_rhs2" hidden="1">#REF!+#REF!+#REF!+#REF!+#REF!+#REF!+#REF!+#REF!+#REF!+#REF!+#REF!+#REF!+#REF!+#REF!+#REF!+#REF!+#REF!+#REF!+#REF!+#REF!</definedName>
    <definedName name="solver_rhs3" hidden="1">1721572</definedName>
    <definedName name="solver_rhs4" hidden="1">320</definedName>
    <definedName name="solver_rhs5" hidden="1">10298</definedName>
    <definedName name="solver_rhs6" hidden="1">16012</definedName>
    <definedName name="solver_rhs7" hidden="1">1520</definedName>
    <definedName name="solver_rhs8" hidden="1">5464</definedName>
    <definedName name="solver_scl" hidden="1">2</definedName>
    <definedName name="solver_sho" hidden="1">2</definedName>
    <definedName name="solver_tim" hidden="1">100</definedName>
    <definedName name="solver_tmp" hidden="1">5464</definedName>
    <definedName name="solver_tol" hidden="1">0.05</definedName>
    <definedName name="solver_typ" hidden="1">3</definedName>
    <definedName name="solver_val" hidden="1">0</definedName>
    <definedName name="sora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ora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ora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SORT" hidden="1">#REF!</definedName>
    <definedName name="sost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sost1" localSheetId="10" hidden="1">{#N/A,#N/A,FALSE,"min";#N/A,#N/A,FALSE,"mean";#N/A,#N/A,FALSE,"max"}</definedName>
    <definedName name="sost1" localSheetId="3" hidden="1">{#N/A,#N/A,FALSE,"min";#N/A,#N/A,FALSE,"mean";#N/A,#N/A,FALSE,"max"}</definedName>
    <definedName name="sost1" hidden="1">{#N/A,#N/A,FALSE,"min";#N/A,#N/A,FALSE,"mean";#N/A,#N/A,FALSE,"max"}</definedName>
    <definedName name="sost1_1" localSheetId="10" hidden="1">{#N/A,#N/A,FALSE,"min";#N/A,#N/A,FALSE,"mean";#N/A,#N/A,FALSE,"max"}</definedName>
    <definedName name="sost1_1" localSheetId="3" hidden="1">{#N/A,#N/A,FALSE,"min";#N/A,#N/A,FALSE,"mean";#N/A,#N/A,FALSE,"max"}</definedName>
    <definedName name="sost1_1" hidden="1">{#N/A,#N/A,FALSE,"min";#N/A,#N/A,FALSE,"mean";#N/A,#N/A,FALSE,"max"}</definedName>
    <definedName name="sost1_2" localSheetId="10" hidden="1">{#N/A,#N/A,FALSE,"min";#N/A,#N/A,FALSE,"mean";#N/A,#N/A,FALSE,"max"}</definedName>
    <definedName name="sost1_2" localSheetId="3" hidden="1">{#N/A,#N/A,FALSE,"min";#N/A,#N/A,FALSE,"mean";#N/A,#N/A,FALSE,"max"}</definedName>
    <definedName name="sost1_2" hidden="1">{#N/A,#N/A,FALSE,"min";#N/A,#N/A,FALSE,"mean";#N/A,#N/A,FALSE,"max"}</definedName>
    <definedName name="sost1_3" localSheetId="10" hidden="1">{#N/A,#N/A,FALSE,"min";#N/A,#N/A,FALSE,"mean";#N/A,#N/A,FALSE,"max"}</definedName>
    <definedName name="sost1_3" localSheetId="3" hidden="1">{#N/A,#N/A,FALSE,"min";#N/A,#N/A,FALSE,"mean";#N/A,#N/A,FALSE,"max"}</definedName>
    <definedName name="sost1_3" hidden="1">{#N/A,#N/A,FALSE,"min";#N/A,#N/A,FALSE,"mean";#N/A,#N/A,FALSE,"max"}</definedName>
    <definedName name="sost1_4" localSheetId="10" hidden="1">{#N/A,#N/A,FALSE,"min";#N/A,#N/A,FALSE,"mean";#N/A,#N/A,FALSE,"max"}</definedName>
    <definedName name="sost1_4" localSheetId="3" hidden="1">{#N/A,#N/A,FALSE,"min";#N/A,#N/A,FALSE,"mean";#N/A,#N/A,FALSE,"max"}</definedName>
    <definedName name="sost1_4" hidden="1">{#N/A,#N/A,FALSE,"min";#N/A,#N/A,FALSE,"mean";#N/A,#N/A,FALSE,"max"}</definedName>
    <definedName name="sost1_5" localSheetId="10" hidden="1">{#N/A,#N/A,FALSE,"min";#N/A,#N/A,FALSE,"mean";#N/A,#N/A,FALSE,"max"}</definedName>
    <definedName name="sost1_5" localSheetId="3" hidden="1">{#N/A,#N/A,FALSE,"min";#N/A,#N/A,FALSE,"mean";#N/A,#N/A,FALSE,"max"}</definedName>
    <definedName name="sost1_5" hidden="1">{#N/A,#N/A,FALSE,"min";#N/A,#N/A,FALSE,"mean";#N/A,#N/A,FALSE,"max"}</definedName>
    <definedName name="soumaya" localSheetId="10" hidden="1">{#N/A,#N/A,FALSE,"VARIANCE";#N/A,#N/A,FALSE,"2NDQTR";#N/A,#N/A,FALSE,"1STQTR";#N/A,#N/A,FALSE,"BUDGET"}</definedName>
    <definedName name="soumaya" localSheetId="3" hidden="1">{#N/A,#N/A,FALSE,"VARIANCE";#N/A,#N/A,FALSE,"2NDQTR";#N/A,#N/A,FALSE,"1STQTR";#N/A,#N/A,FALSE,"BUDGET"}</definedName>
    <definedName name="soumaya" hidden="1">{#N/A,#N/A,FALSE,"VARIANCE";#N/A,#N/A,FALSE,"2NDQTR";#N/A,#N/A,FALSE,"1STQTR";#N/A,#N/A,FALSE,"BUDGET"}</definedName>
    <definedName name="SPCTTOP">#REF!</definedName>
    <definedName name="SPDPTOP">#REF!</definedName>
    <definedName name="Spec">#REF!</definedName>
    <definedName name="SpFFY1">#REF!</definedName>
    <definedName name="SpFFY2">#REF!</definedName>
    <definedName name="SpFFY3">#REF!</definedName>
    <definedName name="SpFFY4">#REF!</definedName>
    <definedName name="SpFFY5">#REF!</definedName>
    <definedName name="SpFFY6">#REF!</definedName>
    <definedName name="SPGCO">#REF!</definedName>
    <definedName name="SpGFY1">#REF!</definedName>
    <definedName name="SpGFY2">#REF!</definedName>
    <definedName name="SpGFY3">#REF!</definedName>
    <definedName name="SpGFY4">#REF!</definedName>
    <definedName name="SpGFY5">#REF!</definedName>
    <definedName name="SpGFY6">#REF!</definedName>
    <definedName name="SPGHCO">#REF!</definedName>
    <definedName name="SPHPTOP">#REF!</definedName>
    <definedName name="SpM0">#REF!</definedName>
    <definedName name="SpOM0">#REF!</definedName>
    <definedName name="SpOM1">#REF!</definedName>
    <definedName name="SpOM10">#REF!</definedName>
    <definedName name="SpOM11">#REF!</definedName>
    <definedName name="SpOM12">#REF!</definedName>
    <definedName name="SpOM13">#REF!</definedName>
    <definedName name="SpOM14">#REF!</definedName>
    <definedName name="SpOM15">#REF!</definedName>
    <definedName name="SpOM16">#REF!</definedName>
    <definedName name="SpOM17">#REF!</definedName>
    <definedName name="SpOM18">#REF!</definedName>
    <definedName name="SpOM2">#REF!</definedName>
    <definedName name="SpOM3">#REF!</definedName>
    <definedName name="SpOM4">#REF!</definedName>
    <definedName name="SpOM5">#REF!</definedName>
    <definedName name="SpOM6">#REF!</definedName>
    <definedName name="SpOM7">#REF!</definedName>
    <definedName name="SpOM8">#REF!</definedName>
    <definedName name="SpOM9">#REF!</definedName>
    <definedName name="SPPDTOP">#REF!</definedName>
    <definedName name="SpSM0">#REF!</definedName>
    <definedName name="SpSM1">#REF!</definedName>
    <definedName name="SpSM10">#REF!</definedName>
    <definedName name="SpSM11">#REF!</definedName>
    <definedName name="SpSM12">#REF!</definedName>
    <definedName name="SpSM13">#REF!</definedName>
    <definedName name="SpSM14">#REF!</definedName>
    <definedName name="SpSM15">#REF!</definedName>
    <definedName name="SpSM16">#REF!</definedName>
    <definedName name="SpSM17">#REF!</definedName>
    <definedName name="SpSM18">#REF!</definedName>
    <definedName name="SpSM2">#REF!</definedName>
    <definedName name="SpSM3">#REF!</definedName>
    <definedName name="SpSM4">#REF!</definedName>
    <definedName name="SpSM5">#REF!</definedName>
    <definedName name="SpSM6">#REF!</definedName>
    <definedName name="SpSM7">#REF!</definedName>
    <definedName name="SpSM8">#REF!</definedName>
    <definedName name="SpSM9">#REF!</definedName>
    <definedName name="sqsqsq">#REF!</definedName>
    <definedName name="ss">#REF!</definedName>
    <definedName name="ss_1" localSheetId="10" hidden="1">{#N/A,#N/A,FALSE,"JACKETS (1100 t) (1)"}</definedName>
    <definedName name="ss_1" localSheetId="3" hidden="1">{#N/A,#N/A,FALSE,"JACKETS (1100 t) (1)"}</definedName>
    <definedName name="ss_1" hidden="1">{#N/A,#N/A,FALSE,"JACKETS (1100 t) (1)"}</definedName>
    <definedName name="ss_2" localSheetId="10" hidden="1">{#N/A,#N/A,FALSE,"JACKETS (1100 t) (1)"}</definedName>
    <definedName name="ss_2" localSheetId="3" hidden="1">{#N/A,#N/A,FALSE,"JACKETS (1100 t) (1)"}</definedName>
    <definedName name="ss_2" hidden="1">{#N/A,#N/A,FALSE,"JACKETS (1100 t) (1)"}</definedName>
    <definedName name="ss_3" localSheetId="10" hidden="1">{#N/A,#N/A,FALSE,"JACKETS (1100 t) (1)"}</definedName>
    <definedName name="ss_3" localSheetId="3" hidden="1">{#N/A,#N/A,FALSE,"JACKETS (1100 t) (1)"}</definedName>
    <definedName name="ss_3" hidden="1">{#N/A,#N/A,FALSE,"JACKETS (1100 t) (1)"}</definedName>
    <definedName name="ss_4" localSheetId="10" hidden="1">{#N/A,#N/A,FALSE,"JACKETS (1100 t) (1)"}</definedName>
    <definedName name="ss_4" localSheetId="3" hidden="1">{#N/A,#N/A,FALSE,"JACKETS (1100 t) (1)"}</definedName>
    <definedName name="ss_4" hidden="1">{#N/A,#N/A,FALSE,"JACKETS (1100 t) (1)"}</definedName>
    <definedName name="ss_5" localSheetId="10" hidden="1">{#N/A,#N/A,FALSE,"JACKETS (1100 t) (1)"}</definedName>
    <definedName name="ss_5" localSheetId="3" hidden="1">{#N/A,#N/A,FALSE,"JACKETS (1100 t) (1)"}</definedName>
    <definedName name="ss_5" hidden="1">{#N/A,#N/A,FALSE,"JACKETS (1100 t) (1)"}</definedName>
    <definedName name="sss">#REF!</definedName>
    <definedName name="sss_1" localSheetId="10" hidden="1">{#N/A,#N/A,FALSE,"JACKETS (1100 t) (1)"}</definedName>
    <definedName name="sss_1" localSheetId="3" hidden="1">{#N/A,#N/A,FALSE,"JACKETS (1100 t) (1)"}</definedName>
    <definedName name="sss_1" hidden="1">{#N/A,#N/A,FALSE,"JACKETS (1100 t) (1)"}</definedName>
    <definedName name="sss_2" localSheetId="10" hidden="1">{#N/A,#N/A,FALSE,"JACKETS (1100 t) (1)"}</definedName>
    <definedName name="sss_2" localSheetId="3" hidden="1">{#N/A,#N/A,FALSE,"JACKETS (1100 t) (1)"}</definedName>
    <definedName name="sss_2" hidden="1">{#N/A,#N/A,FALSE,"JACKETS (1100 t) (1)"}</definedName>
    <definedName name="sss_3" localSheetId="10" hidden="1">{#N/A,#N/A,FALSE,"JACKETS (1100 t) (1)"}</definedName>
    <definedName name="sss_3" localSheetId="3" hidden="1">{#N/A,#N/A,FALSE,"JACKETS (1100 t) (1)"}</definedName>
    <definedName name="sss_3" hidden="1">{#N/A,#N/A,FALSE,"JACKETS (1100 t) (1)"}</definedName>
    <definedName name="sss_4" localSheetId="10" hidden="1">{#N/A,#N/A,FALSE,"JACKETS (1100 t) (1)"}</definedName>
    <definedName name="sss_4" localSheetId="3" hidden="1">{#N/A,#N/A,FALSE,"JACKETS (1100 t) (1)"}</definedName>
    <definedName name="sss_4" hidden="1">{#N/A,#N/A,FALSE,"JACKETS (1100 t) (1)"}</definedName>
    <definedName name="sss_5" localSheetId="10" hidden="1">{#N/A,#N/A,FALSE,"JACKETS (1100 t) (1)"}</definedName>
    <definedName name="sss_5" localSheetId="3" hidden="1">{#N/A,#N/A,FALSE,"JACKETS (1100 t) (1)"}</definedName>
    <definedName name="sss_5" hidden="1">{#N/A,#N/A,FALSE,"JACKETS (1100 t) (1)"}</definedName>
    <definedName name="ssss" localSheetId="10" hidden="1">{"VARIASMOEDAS",#N/A,FALSE,"APLICAR"}</definedName>
    <definedName name="ssss" localSheetId="3" hidden="1">{"VARIASMOEDAS",#N/A,FALSE,"APLICAR"}</definedName>
    <definedName name="ssss" hidden="1">{"VARIASMOEDAS",#N/A,FALSE,"APLICAR"}</definedName>
    <definedName name="ssss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sss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sss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swqw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swqw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swqw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T">#REF!</definedName>
    <definedName name="Staffing_summary__by_grades">#REF!</definedName>
    <definedName name="Stakeholder">#REF!</definedName>
    <definedName name="stampe_nazionale">#REF!</definedName>
    <definedName name="Start_Year">#REF!</definedName>
    <definedName name="StartHere2">#REF!</definedName>
    <definedName name="STARTHERE3">#REF!</definedName>
    <definedName name="stas">#REF!</definedName>
    <definedName name="status_range">#REF!</definedName>
    <definedName name="stcas">#REF!</definedName>
    <definedName name="stchf">#REF!</definedName>
    <definedName name="stcmaternity">#REF!</definedName>
    <definedName name="stcmi">#REF!</definedName>
    <definedName name="stcnei">#REF!</definedName>
    <definedName name="stcr">#REF!</definedName>
    <definedName name="stcri">#REF!</definedName>
    <definedName name="stcu">#REF!</definedName>
    <definedName name="stcw">#REF!</definedName>
    <definedName name="stcwi">#REF!</definedName>
    <definedName name="step1">#REF!</definedName>
    <definedName name="step2">#REF!</definedName>
    <definedName name="step3">#REF!</definedName>
    <definedName name="step4">#REF!</definedName>
    <definedName name="step5">#REF!</definedName>
    <definedName name="step6">#REF!</definedName>
    <definedName name="Stepped">#REF!</definedName>
    <definedName name="Stepped1">#REF!</definedName>
    <definedName name="Stepped2">#REF!</definedName>
    <definedName name="StepTargets">#REF!</definedName>
    <definedName name="stm">#REF!</definedName>
    <definedName name="stnotax">#REF!</definedName>
    <definedName name="stock">#REF!</definedName>
    <definedName name="stockm">#REF!</definedName>
    <definedName name="Stocks">#REF!</definedName>
    <definedName name="store_name">#REF!</definedName>
    <definedName name="STORES">#REF!</definedName>
    <definedName name="STot_C_1_CYA">#REF!</definedName>
    <definedName name="STot_C_2_CYA">#REF!</definedName>
    <definedName name="STot_C_CY">#REF!</definedName>
    <definedName name="STot_C_CYA">#REF!</definedName>
    <definedName name="STot_C_INT">#REF!</definedName>
    <definedName name="STot_C_PY">#REF!</definedName>
    <definedName name="STot_E_1_1_CYA">#REF!</definedName>
    <definedName name="STot_E_1_2_CYA">#REF!</definedName>
    <definedName name="STot_E_1_3_CYA">#REF!</definedName>
    <definedName name="STot_E_CY">#REF!</definedName>
    <definedName name="STot_E_CYA">#REF!</definedName>
    <definedName name="STot_E_INT">#REF!</definedName>
    <definedName name="STot_E_PY">#REF!</definedName>
    <definedName name="STot_F_CY">#REF!</definedName>
    <definedName name="STot_F_CYA">#REF!</definedName>
    <definedName name="STot_F_INT">#REF!</definedName>
    <definedName name="STot_F_PY">#REF!</definedName>
    <definedName name="STot_Grand_CY">#REF!</definedName>
    <definedName name="STot_Grand_CYA">#REF!</definedName>
    <definedName name="STot_Grand_INT">#REF!</definedName>
    <definedName name="STot_Grand_PY">#REF!</definedName>
    <definedName name="STot_H_CY">#REF!</definedName>
    <definedName name="STot_H_CYA">#REF!</definedName>
    <definedName name="STot_H_INT">#REF!</definedName>
    <definedName name="STot_H_PY">#REF!</definedName>
    <definedName name="STot_K_1_CY">#REF!</definedName>
    <definedName name="STot_K_1_CYA">#REF!</definedName>
    <definedName name="STot_K_1_INT">#REF!</definedName>
    <definedName name="STot_K_1_PY">#REF!</definedName>
    <definedName name="STot_K_2_CY">#REF!</definedName>
    <definedName name="STot_K_2_CYA">#REF!</definedName>
    <definedName name="STot_K_2_INT">#REF!</definedName>
    <definedName name="STot_K_2_PY">#REF!</definedName>
    <definedName name="STot_L_3_CY">#REF!</definedName>
    <definedName name="STot_L_3_CYA">#REF!</definedName>
    <definedName name="STot_L_3_INT">#REF!</definedName>
    <definedName name="STot_L_3_PY">#REF!</definedName>
    <definedName name="STot_L_4_CY">#REF!</definedName>
    <definedName name="STot_L_4_CYA">#REF!</definedName>
    <definedName name="STot_L_4_INT">#REF!</definedName>
    <definedName name="STot_L_4_PY">#REF!</definedName>
    <definedName name="STot_N_1_CYA">#REF!</definedName>
    <definedName name="STot_N_2_CYA">#REF!</definedName>
    <definedName name="STot_N_3_CYA">#REF!</definedName>
    <definedName name="STot_N_CY">#REF!</definedName>
    <definedName name="STot_N_CYA">#REF!</definedName>
    <definedName name="STot_N_INT">#REF!</definedName>
    <definedName name="STot_N_PY">#REF!</definedName>
    <definedName name="STot_OOT_CY">#REF!</definedName>
    <definedName name="STot_OOT_CYA">#REF!</definedName>
    <definedName name="STot_OOT_INT">#REF!</definedName>
    <definedName name="STot_OOT_PY">#REF!</definedName>
    <definedName name="STot_P_CY">#REF!</definedName>
    <definedName name="STot_P_CYA">#REF!</definedName>
    <definedName name="STot_P_INT">#REF!</definedName>
    <definedName name="STot_P_PY">#REF!</definedName>
    <definedName name="STot_Result_CY">#REF!</definedName>
    <definedName name="STot_Result_CYA">#REF!</definedName>
    <definedName name="STot_Result_INT">#REF!</definedName>
    <definedName name="STot_Result_PY">#REF!</definedName>
    <definedName name="STot_T_1_CYA">#REF!</definedName>
    <definedName name="STot_T_9_INT">#REF!</definedName>
    <definedName name="STot_T_9_PY">#REF!</definedName>
    <definedName name="STot_T_OTHER_CY">#REF!</definedName>
    <definedName name="STot_T_OTHER_CYA">#REF!</definedName>
    <definedName name="STot_T_OTHER_INT">#REF!</definedName>
    <definedName name="STot_T_OTHER_PY">#REF!</definedName>
    <definedName name="STot_T_Result_CY">#REF!</definedName>
    <definedName name="STot_T_Result_CYA">#REF!</definedName>
    <definedName name="STot_T_Result_INT">#REF!</definedName>
    <definedName name="STot_T_Result_PY">#REF!</definedName>
    <definedName name="STot_UA_CY">#REF!</definedName>
    <definedName name="STot_UA_CYA">#REF!</definedName>
    <definedName name="STot_UA_INT">#REF!</definedName>
    <definedName name="STot_UA_PY">#REF!</definedName>
    <definedName name="STot_VA_CY">#REF!</definedName>
    <definedName name="STot_VA_CYA">#REF!</definedName>
    <definedName name="STot_VA_INT">#REF!</definedName>
    <definedName name="STot_VA_PY">#REF!</definedName>
    <definedName name="STot_VD_CY">#REF!</definedName>
    <definedName name="STot_VD_CYA">#REF!</definedName>
    <definedName name="STot_VD_INT">#REF!</definedName>
    <definedName name="STot_VD_PY">#REF!</definedName>
    <definedName name="stphf">#REF!</definedName>
    <definedName name="stpmi">#REF!</definedName>
    <definedName name="stpnei">#REF!</definedName>
    <definedName name="stpr">#REF!</definedName>
    <definedName name="stpri">#REF!</definedName>
    <definedName name="stpu">#REF!</definedName>
    <definedName name="Stranding_1430">!$R$6</definedName>
    <definedName name="Strategic">#REF!</definedName>
    <definedName name="SUBBUS">#REF!</definedName>
    <definedName name="SUBCON">#REF!</definedName>
    <definedName name="sublead">#REF!</definedName>
    <definedName name="SUBSIDIOS">#REF!</definedName>
    <definedName name="Subsídios_à_Exploração">#REF!</definedName>
    <definedName name="Sum_Data_Input">#REF!,#REF!,#REF!,#REF!,#REF!,#REF!,#REF!,#REF!,#REF!</definedName>
    <definedName name="Supplier" hidden="1">#REF!</definedName>
    <definedName name="SUPPLIERS">#REF!</definedName>
    <definedName name="SUSD">#REF!</definedName>
    <definedName name="SwOM1">#REF!</definedName>
    <definedName name="SwOM10">#REF!</definedName>
    <definedName name="SwOM11">#REF!</definedName>
    <definedName name="SwOM12">#REF!</definedName>
    <definedName name="SwOM13">#REF!</definedName>
    <definedName name="SwOM14">#REF!</definedName>
    <definedName name="SwOM15">#REF!</definedName>
    <definedName name="SwOM16">#REF!</definedName>
    <definedName name="SwOM17">#REF!</definedName>
    <definedName name="SwOM18">#REF!</definedName>
    <definedName name="SwOM2">#REF!</definedName>
    <definedName name="SwOM3">#REF!</definedName>
    <definedName name="SwOM4">#REF!</definedName>
    <definedName name="SwOM5">#REF!</definedName>
    <definedName name="SWOM6">#REF!</definedName>
    <definedName name="SwOM7">#REF!</definedName>
    <definedName name="SwOM8">#REF!</definedName>
    <definedName name="SwOM9">#REF!</definedName>
    <definedName name="swqe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wqe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wqe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wSM1">#REF!</definedName>
    <definedName name="SwSM10">#REF!</definedName>
    <definedName name="SwSM11">#REF!</definedName>
    <definedName name="SwSM12">#REF!</definedName>
    <definedName name="SwSM13">#REF!</definedName>
    <definedName name="SwSM14">#REF!</definedName>
    <definedName name="SwSM15">#REF!</definedName>
    <definedName name="SwSM16">#REF!</definedName>
    <definedName name="SwSM17">#REF!</definedName>
    <definedName name="SwSM18">#REF!</definedName>
    <definedName name="SwSM19">#REF!</definedName>
    <definedName name="SwSM2">#REF!</definedName>
    <definedName name="SwSM24">#REF!</definedName>
    <definedName name="SwSM3">#REF!</definedName>
    <definedName name="SwSM4">#REF!</definedName>
    <definedName name="SwSM5">#REF!</definedName>
    <definedName name="SwSM6">#REF!</definedName>
    <definedName name="SwSM7">#REF!</definedName>
    <definedName name="SwSM8">#REF!</definedName>
    <definedName name="SwSM9">#REF!</definedName>
    <definedName name="Swvu.DETT.._.COSTI." hidden="1">#REF!</definedName>
    <definedName name="Swvu.RIEPIL.." hidden="1">#REF!</definedName>
    <definedName name="SWWW">#REF!</definedName>
    <definedName name="SWWWW">#REF!</definedName>
    <definedName name="SXRRTOP">#REF!</definedName>
    <definedName name="SXXda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XXda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XXda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syas">#REF!</definedName>
    <definedName name="sycas">#REF!</definedName>
    <definedName name="sych">#REF!</definedName>
    <definedName name="sychf">#REF!</definedName>
    <definedName name="sycm">#REF!</definedName>
    <definedName name="sycmaternity">#REF!</definedName>
    <definedName name="sycmi">#REF!</definedName>
    <definedName name="sycnei">#REF!</definedName>
    <definedName name="sycr">#REF!</definedName>
    <definedName name="sycri">#REF!</definedName>
    <definedName name="sycu">#REF!</definedName>
    <definedName name="sycw">#REF!</definedName>
    <definedName name="sycwi">#REF!</definedName>
    <definedName name="Symptoms1">#REF!</definedName>
    <definedName name="synotax">#REF!</definedName>
    <definedName name="syph">#REF!</definedName>
    <definedName name="syphf">#REF!</definedName>
    <definedName name="sypm">#REF!</definedName>
    <definedName name="sypmi">#REF!</definedName>
    <definedName name="sypnei">#REF!</definedName>
    <definedName name="sypr">#REF!</definedName>
    <definedName name="sypr2">#REF!</definedName>
    <definedName name="sypri">#REF!</definedName>
    <definedName name="sypu">#REF!</definedName>
    <definedName name="Syria">#REF!</definedName>
    <definedName name="Syspro_Stock_Extract_balance_sheet_ph2">#REF!</definedName>
    <definedName name="szcas">#REF!</definedName>
    <definedName name="szchfnonsz">#REF!</definedName>
    <definedName name="szchfsz">#REF!</definedName>
    <definedName name="szcmaternity">#REF!</definedName>
    <definedName name="szcminonsz">#REF!</definedName>
    <definedName name="szcmisz">#REF!</definedName>
    <definedName name="szcneinonsz">#REF!</definedName>
    <definedName name="szcneisz">#REF!</definedName>
    <definedName name="szcrinonsz">#REF!</definedName>
    <definedName name="szcrisz">#REF!</definedName>
    <definedName name="szcwi">#REF!</definedName>
    <definedName name="sznotax">#REF!</definedName>
    <definedName name="szphf">#REF!</definedName>
    <definedName name="szphfnonsz">#REF!</definedName>
    <definedName name="szpminonsz">#REF!</definedName>
    <definedName name="szpmisz">#REF!</definedName>
    <definedName name="szpneinonsz">#REF!</definedName>
    <definedName name="szpneisz">#REF!</definedName>
    <definedName name="szpri">#REF!</definedName>
    <definedName name="t">#REF!</definedName>
    <definedName name="T1TSAPIXA1" hidden="1">#REF!</definedName>
    <definedName name="t4wqtq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4wqtq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4wqtq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abela">#REF!</definedName>
    <definedName name="Tabela_RC0">#REF!</definedName>
    <definedName name="TABELAMESES">#REF!</definedName>
    <definedName name="TABELAMESES2">#REF!</definedName>
    <definedName name="TabEmp">#REF!</definedName>
    <definedName name="TabImport">#REF!</definedName>
    <definedName name="tabindic">#REF!</definedName>
    <definedName name="Table_beg_bal">#REF!</definedName>
    <definedName name="Table_prior_interest">#REF!</definedName>
    <definedName name="Table_start_pmt">#REF!</definedName>
    <definedName name="Table1">#REF!</definedName>
    <definedName name="TABLE2">#REF!</definedName>
    <definedName name="tableE_da_range">#REF!</definedName>
    <definedName name="tablee_da_range1">#REF!</definedName>
    <definedName name="tablee_da_range2">#REF!</definedName>
    <definedName name="tablee_da_range3">#REF!</definedName>
    <definedName name="tablee_da_range4">#REF!</definedName>
    <definedName name="tablee_pj_range">#REF!</definedName>
    <definedName name="tablee_pj_range1">#REF!</definedName>
    <definedName name="tablee_pj_range2">#REF!</definedName>
    <definedName name="tablee_pj_range3">#REF!</definedName>
    <definedName name="tablee_pj_range4">#REF!</definedName>
    <definedName name="TableName">"Dummy"</definedName>
    <definedName name="TabPer">#REF!</definedName>
    <definedName name="TabUF">#REF!</definedName>
    <definedName name="TACTIVO">#REF!</definedName>
    <definedName name="TADEU" localSheetId="10" hidden="1">{#N/A,#N/A,FALSE,"GFPLEC96"}</definedName>
    <definedName name="TADEU" localSheetId="3" hidden="1">{#N/A,#N/A,FALSE,"GFPLEC96"}</definedName>
    <definedName name="TADEU" hidden="1">{#N/A,#N/A,FALSE,"GFPLEC96"}</definedName>
    <definedName name="TADEU1" localSheetId="10" hidden="1">{#N/A,#N/A,FALSE,"REV I X EFET"}</definedName>
    <definedName name="TADEU1" localSheetId="3" hidden="1">{#N/A,#N/A,FALSE,"REV I X EFET"}</definedName>
    <definedName name="TADEU1" hidden="1">{#N/A,#N/A,FALSE,"REV I X EFET"}</definedName>
    <definedName name="TADEU2" localSheetId="10" hidden="1">{#N/A,#N/A,FALSE,"GFPLEC96"}</definedName>
    <definedName name="TADEU2" localSheetId="3" hidden="1">{#N/A,#N/A,FALSE,"GFPLEC96"}</definedName>
    <definedName name="TADEU2" hidden="1">{#N/A,#N/A,FALSE,"GFPLEC96"}</definedName>
    <definedName name="TANINGA">#REF!</definedName>
    <definedName name="TAR">#REF!</definedName>
    <definedName name="TARAP">#REF!</definedName>
    <definedName name="TAX00">#REF!</definedName>
    <definedName name="Taxa__a____b">#REF!</definedName>
    <definedName name="taxair">#REF!</definedName>
    <definedName name="tb">#REF!</definedName>
    <definedName name="TB_PL">#REF!</definedName>
    <definedName name="TB_PL_SPLIT">#REF!:#REF!</definedName>
    <definedName name="TB_USGAAP">#REF!</definedName>
    <definedName name="tblExport_empdata">#REF!</definedName>
    <definedName name="TC">#REF!</definedName>
    <definedName name="TCI">#REF!</definedName>
    <definedName name="TD">#REF!</definedName>
    <definedName name="te">#REF!</definedName>
    <definedName name="te_c1">#REF!</definedName>
    <definedName name="te_c2">#REF!</definedName>
    <definedName name="te_co">#REF!</definedName>
    <definedName name="te_cur">#REF!</definedName>
    <definedName name="te_LC">#REF!</definedName>
    <definedName name="te_mon">#REF!</definedName>
    <definedName name="te_monYTD">#REF!</definedName>
    <definedName name="te_mth">#REF!</definedName>
    <definedName name="TE_Pct">#REF!</definedName>
    <definedName name="te_pl">#REF!</definedName>
    <definedName name="TE_Rationale">#REF!</definedName>
    <definedName name="te_sc">#REF!</definedName>
    <definedName name="te_y">#REF!</definedName>
    <definedName name="te_yr">#REF!</definedName>
    <definedName name="te_yr_prev">#REF!</definedName>
    <definedName name="te_yr1">#REF!</definedName>
    <definedName name="te_ytd">#REF!</definedName>
    <definedName name="team">#REF!</definedName>
    <definedName name="TeamAt">#REF!</definedName>
    <definedName name="teamname">#REF!</definedName>
    <definedName name="teamnum">#REF!</definedName>
    <definedName name="TeamStartDate">#REF!</definedName>
    <definedName name="tec">#REF!</definedName>
    <definedName name="Technical" localSheetId="10" hidden="1">{"'Sheet1'!$M$363:$M$364"}</definedName>
    <definedName name="Technical" localSheetId="3" hidden="1">{"'Sheet1'!$M$363:$M$364"}</definedName>
    <definedName name="Technical" hidden="1">{"'Sheet1'!$M$363:$M$364"}</definedName>
    <definedName name="Technical_1" localSheetId="10" hidden="1">{"'Sheet1'!$M$363:$M$364"}</definedName>
    <definedName name="Technical_1" localSheetId="3" hidden="1">{"'Sheet1'!$M$363:$M$364"}</definedName>
    <definedName name="Technical_1" hidden="1">{"'Sheet1'!$M$363:$M$364"}</definedName>
    <definedName name="Technical_2" localSheetId="10" hidden="1">{"'Sheet1'!$M$363:$M$364"}</definedName>
    <definedName name="Technical_2" localSheetId="3" hidden="1">{"'Sheet1'!$M$363:$M$364"}</definedName>
    <definedName name="Technical_2" hidden="1">{"'Sheet1'!$M$363:$M$364"}</definedName>
    <definedName name="Technical_3" localSheetId="10" hidden="1">{"'Sheet1'!$M$363:$M$364"}</definedName>
    <definedName name="Technical_3" localSheetId="3" hidden="1">{"'Sheet1'!$M$363:$M$364"}</definedName>
    <definedName name="Technical_3" hidden="1">{"'Sheet1'!$M$363:$M$364"}</definedName>
    <definedName name="Technical_4" localSheetId="10" hidden="1">{"'Sheet1'!$M$363:$M$364"}</definedName>
    <definedName name="Technical_4" localSheetId="3" hidden="1">{"'Sheet1'!$M$363:$M$364"}</definedName>
    <definedName name="Technical_4" hidden="1">{"'Sheet1'!$M$363:$M$364"}</definedName>
    <definedName name="Technical_5" localSheetId="10" hidden="1">{"'Sheet1'!$M$363:$M$364"}</definedName>
    <definedName name="Technical_5" localSheetId="3" hidden="1">{"'Sheet1'!$M$363:$M$364"}</definedName>
    <definedName name="Technical_5" hidden="1">{"'Sheet1'!$M$363:$M$364"}</definedName>
    <definedName name="Técnica">#REF!</definedName>
    <definedName name="Telephone">#REF!</definedName>
    <definedName name="Telephone_Expense">#REF!</definedName>
    <definedName name="Template">#REF!</definedName>
    <definedName name="templetev">#REF!</definedName>
    <definedName name="tempo_carico">#REF!</definedName>
    <definedName name="temporaneo" localSheetId="10" hidden="1">{#N/A,#N/A,FALSE,"1 SUMM";#N/A,#N/A,FALSE,"4 FACIL"}</definedName>
    <definedName name="temporaneo" localSheetId="3" hidden="1">{#N/A,#N/A,FALSE,"1 SUMM";#N/A,#N/A,FALSE,"4 FACIL"}</definedName>
    <definedName name="temporaneo" hidden="1">{#N/A,#N/A,FALSE,"1 SUMM";#N/A,#N/A,FALSE,"4 FACIL"}</definedName>
    <definedName name="temporaneo_1" localSheetId="10" hidden="1">{#N/A,#N/A,FALSE,"1 SUMM";#N/A,#N/A,FALSE,"4 FACIL"}</definedName>
    <definedName name="temporaneo_1" localSheetId="3" hidden="1">{#N/A,#N/A,FALSE,"1 SUMM";#N/A,#N/A,FALSE,"4 FACIL"}</definedName>
    <definedName name="temporaneo_1" hidden="1">{#N/A,#N/A,FALSE,"1 SUMM";#N/A,#N/A,FALSE,"4 FACIL"}</definedName>
    <definedName name="temporaneo_2" localSheetId="10" hidden="1">{#N/A,#N/A,FALSE,"1 SUMM";#N/A,#N/A,FALSE,"4 FACIL"}</definedName>
    <definedName name="temporaneo_2" localSheetId="3" hidden="1">{#N/A,#N/A,FALSE,"1 SUMM";#N/A,#N/A,FALSE,"4 FACIL"}</definedName>
    <definedName name="temporaneo_2" hidden="1">{#N/A,#N/A,FALSE,"1 SUMM";#N/A,#N/A,FALSE,"4 FACIL"}</definedName>
    <definedName name="temporaneo_3" localSheetId="10" hidden="1">{#N/A,#N/A,FALSE,"1 SUMM";#N/A,#N/A,FALSE,"4 FACIL"}</definedName>
    <definedName name="temporaneo_3" localSheetId="3" hidden="1">{#N/A,#N/A,FALSE,"1 SUMM";#N/A,#N/A,FALSE,"4 FACIL"}</definedName>
    <definedName name="temporaneo_3" hidden="1">{#N/A,#N/A,FALSE,"1 SUMM";#N/A,#N/A,FALSE,"4 FACIL"}</definedName>
    <definedName name="temporaneo_4" localSheetId="10" hidden="1">{#N/A,#N/A,FALSE,"1 SUMM";#N/A,#N/A,FALSE,"4 FACIL"}</definedName>
    <definedName name="temporaneo_4" localSheetId="3" hidden="1">{#N/A,#N/A,FALSE,"1 SUMM";#N/A,#N/A,FALSE,"4 FACIL"}</definedName>
    <definedName name="temporaneo_4" hidden="1">{#N/A,#N/A,FALSE,"1 SUMM";#N/A,#N/A,FALSE,"4 FACIL"}</definedName>
    <definedName name="temporaneo_5" localSheetId="10" hidden="1">{#N/A,#N/A,FALSE,"1 SUMM";#N/A,#N/A,FALSE,"4 FACIL"}</definedName>
    <definedName name="temporaneo_5" localSheetId="3" hidden="1">{#N/A,#N/A,FALSE,"1 SUMM";#N/A,#N/A,FALSE,"4 FACIL"}</definedName>
    <definedName name="temporaneo_5" hidden="1">{#N/A,#N/A,FALSE,"1 SUMM";#N/A,#N/A,FALSE,"4 FACIL"}</definedName>
    <definedName name="Term_in_years">#REF!</definedName>
    <definedName name="test">#REF!</definedName>
    <definedName name="TEST_1" localSheetId="10" hidden="1">{#N/A,#N/A,FALSE,"Ejector 1";#N/A,#N/A,FALSE,"Ejector 2"}</definedName>
    <definedName name="TEST_1" localSheetId="3" hidden="1">{#N/A,#N/A,FALSE,"Ejector 1";#N/A,#N/A,FALSE,"Ejector 2"}</definedName>
    <definedName name="TEST_1" hidden="1">{#N/A,#N/A,FALSE,"Ejector 1";#N/A,#N/A,FALSE,"Ejector 2"}</definedName>
    <definedName name="TEST_2" localSheetId="10" hidden="1">{#N/A,#N/A,FALSE,"Ejector 1";#N/A,#N/A,FALSE,"Ejector 2"}</definedName>
    <definedName name="TEST_2" localSheetId="3" hidden="1">{#N/A,#N/A,FALSE,"Ejector 1";#N/A,#N/A,FALSE,"Ejector 2"}</definedName>
    <definedName name="TEST_2" hidden="1">{#N/A,#N/A,FALSE,"Ejector 1";#N/A,#N/A,FALSE,"Ejector 2"}</definedName>
    <definedName name="TEST_3" localSheetId="10" hidden="1">{#N/A,#N/A,FALSE,"Ejector 1";#N/A,#N/A,FALSE,"Ejector 2"}</definedName>
    <definedName name="TEST_3" localSheetId="3" hidden="1">{#N/A,#N/A,FALSE,"Ejector 1";#N/A,#N/A,FALSE,"Ejector 2"}</definedName>
    <definedName name="TEST_3" hidden="1">{#N/A,#N/A,FALSE,"Ejector 1";#N/A,#N/A,FALSE,"Ejector 2"}</definedName>
    <definedName name="TEST_4" localSheetId="10" hidden="1">{#N/A,#N/A,FALSE,"Ejector 1";#N/A,#N/A,FALSE,"Ejector 2"}</definedName>
    <definedName name="TEST_4" localSheetId="3" hidden="1">{#N/A,#N/A,FALSE,"Ejector 1";#N/A,#N/A,FALSE,"Ejector 2"}</definedName>
    <definedName name="TEST_4" hidden="1">{#N/A,#N/A,FALSE,"Ejector 1";#N/A,#N/A,FALSE,"Ejector 2"}</definedName>
    <definedName name="TEST_5" localSheetId="10" hidden="1">{#N/A,#N/A,FALSE,"Ejector 1";#N/A,#N/A,FALSE,"Ejector 2"}</definedName>
    <definedName name="TEST_5" localSheetId="3" hidden="1">{#N/A,#N/A,FALSE,"Ejector 1";#N/A,#N/A,FALSE,"Ejector 2"}</definedName>
    <definedName name="TEST_5" hidden="1">{#N/A,#N/A,FALSE,"Ejector 1";#N/A,#N/A,FALSE,"Ejector 2"}</definedName>
    <definedName name="TEST0">#REF!</definedName>
    <definedName name="TEST1">#REF!</definedName>
    <definedName name="TEST10">#REF!</definedName>
    <definedName name="test123" localSheetId="10" hidden="1">{#N/A,#N/A,TRUE,"Sheet1";#N/A,#N/A,TRUE,"Sheet2";#N/A,#N/A,TRUE,"Sheet3"}</definedName>
    <definedName name="test123" localSheetId="3" hidden="1">{#N/A,#N/A,TRUE,"Sheet1";#N/A,#N/A,TRUE,"Sheet2";#N/A,#N/A,TRUE,"Sheet3"}</definedName>
    <definedName name="test123" hidden="1">{#N/A,#N/A,TRUE,"Sheet1";#N/A,#N/A,TRUE,"Sheet2";#N/A,#N/A,TRUE,"Sheet3"}</definedName>
    <definedName name="test123_1" localSheetId="10" hidden="1">{#N/A,#N/A,TRUE,"Sheet1";#N/A,#N/A,TRUE,"Sheet2";#N/A,#N/A,TRUE,"Sheet3"}</definedName>
    <definedName name="test123_1" localSheetId="3" hidden="1">{#N/A,#N/A,TRUE,"Sheet1";#N/A,#N/A,TRUE,"Sheet2";#N/A,#N/A,TRUE,"Sheet3"}</definedName>
    <definedName name="test123_1" hidden="1">{#N/A,#N/A,TRUE,"Sheet1";#N/A,#N/A,TRUE,"Sheet2";#N/A,#N/A,TRUE,"Sheet3"}</definedName>
    <definedName name="test123_2" localSheetId="10" hidden="1">{#N/A,#N/A,TRUE,"Sheet1";#N/A,#N/A,TRUE,"Sheet2";#N/A,#N/A,TRUE,"Sheet3"}</definedName>
    <definedName name="test123_2" localSheetId="3" hidden="1">{#N/A,#N/A,TRUE,"Sheet1";#N/A,#N/A,TRUE,"Sheet2";#N/A,#N/A,TRUE,"Sheet3"}</definedName>
    <definedName name="test123_2" hidden="1">{#N/A,#N/A,TRUE,"Sheet1";#N/A,#N/A,TRUE,"Sheet2";#N/A,#N/A,TRUE,"Sheet3"}</definedName>
    <definedName name="test123_3" localSheetId="10" hidden="1">{#N/A,#N/A,TRUE,"Sheet1";#N/A,#N/A,TRUE,"Sheet2";#N/A,#N/A,TRUE,"Sheet3"}</definedName>
    <definedName name="test123_3" localSheetId="3" hidden="1">{#N/A,#N/A,TRUE,"Sheet1";#N/A,#N/A,TRUE,"Sheet2";#N/A,#N/A,TRUE,"Sheet3"}</definedName>
    <definedName name="test123_3" hidden="1">{#N/A,#N/A,TRUE,"Sheet1";#N/A,#N/A,TRUE,"Sheet2";#N/A,#N/A,TRUE,"Sheet3"}</definedName>
    <definedName name="test123_4" localSheetId="10" hidden="1">{#N/A,#N/A,TRUE,"Sheet1";#N/A,#N/A,TRUE,"Sheet2";#N/A,#N/A,TRUE,"Sheet3"}</definedName>
    <definedName name="test123_4" localSheetId="3" hidden="1">{#N/A,#N/A,TRUE,"Sheet1";#N/A,#N/A,TRUE,"Sheet2";#N/A,#N/A,TRUE,"Sheet3"}</definedName>
    <definedName name="test123_4" hidden="1">{#N/A,#N/A,TRUE,"Sheet1";#N/A,#N/A,TRUE,"Sheet2";#N/A,#N/A,TRUE,"Sheet3"}</definedName>
    <definedName name="test123_5" localSheetId="10" hidden="1">{#N/A,#N/A,TRUE,"Sheet1";#N/A,#N/A,TRUE,"Sheet2";#N/A,#N/A,TRUE,"Sheet3"}</definedName>
    <definedName name="test123_5" localSheetId="3" hidden="1">{#N/A,#N/A,TRUE,"Sheet1";#N/A,#N/A,TRUE,"Sheet2";#N/A,#N/A,TRUE,"Sheet3"}</definedName>
    <definedName name="test123_5" hidden="1">{#N/A,#N/A,TRUE,"Sheet1";#N/A,#N/A,TRUE,"Sheet2";#N/A,#N/A,TRUE,"Sheet3"}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">#REF!</definedName>
    <definedName name="TESTHKEY">#REF!</definedName>
    <definedName name="TESTKEYS">#REF!</definedName>
    <definedName name="TESTVKEY">#REF!</definedName>
    <definedName name="text">#REF!</definedName>
    <definedName name="TEXTO">#REF!</definedName>
    <definedName name="texto2">#REF!</definedName>
    <definedName name="TextRefCopyRangeCount" hidden="1">1</definedName>
    <definedName name="tf">#REF!,#REF!,#REF!,#REF!</definedName>
    <definedName name="tfrjnl">#REF!</definedName>
    <definedName name="TFRPATH">#REF!</definedName>
    <definedName name="TFRSABK">#REF!</definedName>
    <definedName name="TFRSACA">#REF!</definedName>
    <definedName name="TFRSACV">#REF!</definedName>
    <definedName name="TFRSAJD">#REF!</definedName>
    <definedName name="TFRSAJP">#REF!</definedName>
    <definedName name="TFRSALC">#REF!</definedName>
    <definedName name="tfrsana">#REF!</definedName>
    <definedName name="tfrsanc">#REF!</definedName>
    <definedName name="TFRSATC">#REF!</definedName>
    <definedName name="TFRSATR">#REF!</definedName>
    <definedName name="TFRSCAD">#REF!</definedName>
    <definedName name="TFRSCAO">#REF!</definedName>
    <definedName name="TFRSCAS">#REF!</definedName>
    <definedName name="TFRSFAR">#REF!</definedName>
    <definedName name="TFRSMIR">#REF!</definedName>
    <definedName name="TFRSPCT">#REF!</definedName>
    <definedName name="TFRSPDP">#REF!</definedName>
    <definedName name="TFRSPHP">#REF!</definedName>
    <definedName name="TFRSPPD">#REF!</definedName>
    <definedName name="TFRSXRR">#REF!</definedName>
    <definedName name="TFUNDOS.PASSIVO">#REF!</definedName>
    <definedName name="TG">#REF!</definedName>
    <definedName name="THE_TONGAAT_HULETT_GROUP_LIMITED">#REF!</definedName>
    <definedName name="Theme">#REF!</definedName>
    <definedName name="themes">#REF!</definedName>
    <definedName name="timelabels">#REF!</definedName>
    <definedName name="Tip">#N/A</definedName>
    <definedName name="TipoDocID">#REF!</definedName>
    <definedName name="Tipos">#REF!</definedName>
    <definedName name="Tipos2">#REF!</definedName>
    <definedName name="Tit" localSheetId="10">[141]会计科目表</definedName>
    <definedName name="Tit" localSheetId="2">[141]会计科目表</definedName>
    <definedName name="Tit" localSheetId="3">[141]会计科目表</definedName>
    <definedName name="Tit">[141]会计科目表</definedName>
    <definedName name="TITLE">#REF!</definedName>
    <definedName name="Titre1">#REF!</definedName>
    <definedName name="Titre2">#REF!</definedName>
    <definedName name="Titre3">#REF!</definedName>
    <definedName name="Titre4">#REF!</definedName>
    <definedName name="TITULO">#REF!</definedName>
    <definedName name="TITULOS">#REF!</definedName>
    <definedName name="Títulos_negociáveis">#REF!</definedName>
    <definedName name="TJ">#REF!</definedName>
    <definedName name="tjch">#REF!</definedName>
    <definedName name="tjcm">#REF!</definedName>
    <definedName name="tjcr">#REF!</definedName>
    <definedName name="tjcu">#REF!</definedName>
    <definedName name="tjcw">#REF!</definedName>
    <definedName name="tjph">#REF!</definedName>
    <definedName name="tjpr">#REF!</definedName>
    <definedName name="tjpu">#REF!</definedName>
    <definedName name="TK">#REF!</definedName>
    <definedName name="TM">#REF!</definedName>
    <definedName name="TM1REBUILDOPTION">1</definedName>
    <definedName name="TMCF">#REF!</definedName>
    <definedName name="TMCM">#REF!</definedName>
    <definedName name="TMES1">#REF!</definedName>
    <definedName name="TMIL">#REF!</definedName>
    <definedName name="TN">#REF!</definedName>
    <definedName name="TO">#REF!</definedName>
    <definedName name="Todas_as_pendencias">#REF!</definedName>
    <definedName name="Todas_Plano">#REF!</definedName>
    <definedName name="TodayDate">#REF!</definedName>
    <definedName name="tot">#REF!</definedName>
    <definedName name="Tot_0_CY">#REF!</definedName>
    <definedName name="Tot_0_CYA">#REF!</definedName>
    <definedName name="Tot_0_INT">#REF!</definedName>
    <definedName name="Tot_0_PY">#REF!</definedName>
    <definedName name="Tot_C_CY">#REF!</definedName>
    <definedName name="Tot_C_CYA">#REF!</definedName>
    <definedName name="Tot_C_INT">#REF!</definedName>
    <definedName name="Tot_C_PY">#REF!</definedName>
    <definedName name="Tot_D_CY">#REF!</definedName>
    <definedName name="Tot_D_CYA">#REF!</definedName>
    <definedName name="Tot_D_INT">#REF!</definedName>
    <definedName name="Tot_D_PY">#REF!</definedName>
    <definedName name="Tot_E_CY">#REF!</definedName>
    <definedName name="Tot_E_CYA">#REF!</definedName>
    <definedName name="Tot_E_INT">#REF!</definedName>
    <definedName name="Tot_E_PY">#REF!</definedName>
    <definedName name="Tot_F_CY">#REF!</definedName>
    <definedName name="Tot_F_CYA">#REF!</definedName>
    <definedName name="Tot_F_INT">#REF!</definedName>
    <definedName name="Tot_F_PY">#REF!</definedName>
    <definedName name="Tot_F1_CY">#REF!</definedName>
    <definedName name="Tot_F1_CYA">#REF!</definedName>
    <definedName name="Tot_F1_INT">#REF!</definedName>
    <definedName name="Tot_F1_PY">#REF!</definedName>
    <definedName name="Tot_G_CY">#REF!</definedName>
    <definedName name="Tot_G_CYA">#REF!</definedName>
    <definedName name="Tot_G_INT">#REF!</definedName>
    <definedName name="Tot_G_PY">#REF!</definedName>
    <definedName name="Tot_H_CY">#REF!</definedName>
    <definedName name="Tot_H_CYA">#REF!</definedName>
    <definedName name="Tot_H_INT">#REF!</definedName>
    <definedName name="Tot_H_PY">#REF!</definedName>
    <definedName name="Tot_I_CY">#REF!</definedName>
    <definedName name="Tot_I_CYA">#REF!</definedName>
    <definedName name="Tot_I_INT">#REF!</definedName>
    <definedName name="Tot_I_PY">#REF!</definedName>
    <definedName name="Tot_J_CY">#REF!</definedName>
    <definedName name="Tot_J_CYA">#REF!</definedName>
    <definedName name="Tot_J_INT">#REF!</definedName>
    <definedName name="Tot_J_PY">#REF!</definedName>
    <definedName name="Tot_K_CY">#REF!</definedName>
    <definedName name="Tot_K_CYA">#REF!</definedName>
    <definedName name="Tot_K_INT">#REF!</definedName>
    <definedName name="Tot_K_PY">#REF!</definedName>
    <definedName name="Tot_L_CY">#REF!</definedName>
    <definedName name="Tot_L_CYA">#REF!</definedName>
    <definedName name="Tot_L_INT">#REF!</definedName>
    <definedName name="Tot_L_PY">#REF!</definedName>
    <definedName name="Tot_M_CY">#REF!</definedName>
    <definedName name="Tot_M_CYA">#REF!</definedName>
    <definedName name="Tot_M_INT">#REF!</definedName>
    <definedName name="Tot_M_PY">#REF!</definedName>
    <definedName name="Tot_N_CY">#REF!</definedName>
    <definedName name="Tot_N_CYA">#REF!</definedName>
    <definedName name="Tot_N_INT">#REF!</definedName>
    <definedName name="Tot_N_PY">#REF!</definedName>
    <definedName name="Tot_O_CY">#REF!</definedName>
    <definedName name="Tot_O_CYA">#REF!</definedName>
    <definedName name="Tot_O_INT">#REF!</definedName>
    <definedName name="Tot_O_PY">#REF!</definedName>
    <definedName name="Tot_OOT_CY">#REF!</definedName>
    <definedName name="Tot_OOT_CYA">#REF!</definedName>
    <definedName name="Tot_OOT_INT">#REF!</definedName>
    <definedName name="Tot_OOT_PY">#REF!</definedName>
    <definedName name="Tot_P_CY">#REF!</definedName>
    <definedName name="Tot_P_CYA">#REF!</definedName>
    <definedName name="Tot_P_INT">#REF!</definedName>
    <definedName name="Tot_P_PY">#REF!</definedName>
    <definedName name="Tot_Q_CY">#REF!</definedName>
    <definedName name="Tot_Q_CYA">#REF!</definedName>
    <definedName name="Tot_Q_INT">#REF!</definedName>
    <definedName name="Tot_Q_PY">#REF!</definedName>
    <definedName name="Tot_Result_CY">#REF!</definedName>
    <definedName name="Tot_Result_CYA">#REF!</definedName>
    <definedName name="Tot_Result_INT">#REF!</definedName>
    <definedName name="Tot_Result_PY">#REF!</definedName>
    <definedName name="Tot_S_CY">#REF!</definedName>
    <definedName name="Tot_S_CYA">#REF!</definedName>
    <definedName name="Tot_S_INT">#REF!</definedName>
    <definedName name="Tot_S_PY">#REF!</definedName>
    <definedName name="Tot_T_CY">#REF!</definedName>
    <definedName name="Tot_T_CYA">#REF!</definedName>
    <definedName name="Tot_T_INT">#REF!</definedName>
    <definedName name="Tot_T_PY">#REF!</definedName>
    <definedName name="Tot_UA_CY">#REF!</definedName>
    <definedName name="Tot_UA_CYA">#REF!</definedName>
    <definedName name="Tot_UA_INT">#REF!</definedName>
    <definedName name="Tot_UA_PY">#REF!</definedName>
    <definedName name="Tot_UB_CY">#REF!</definedName>
    <definedName name="Tot_UB_CYA">#REF!</definedName>
    <definedName name="Tot_UB_INT">#REF!</definedName>
    <definedName name="Tot_UB_PY">#REF!</definedName>
    <definedName name="Tot_UC_CY">#REF!</definedName>
    <definedName name="Tot_UC_CYA">#REF!</definedName>
    <definedName name="Tot_UC_INT">#REF!</definedName>
    <definedName name="Tot_UC_PY">#REF!</definedName>
    <definedName name="Tot_VA_CY">#REF!</definedName>
    <definedName name="Tot_VA_CYA">#REF!</definedName>
    <definedName name="Tot_VA_INT">#REF!</definedName>
    <definedName name="Tot_VA_PY">#REF!</definedName>
    <definedName name="Tot_VB_CY">#REF!</definedName>
    <definedName name="Tot_VB_CYA">#REF!</definedName>
    <definedName name="Tot_VB_INT">#REF!</definedName>
    <definedName name="Tot_VB_PY">#REF!</definedName>
    <definedName name="Tot_VC_CY">#REF!</definedName>
    <definedName name="Tot_VC_CYA">#REF!</definedName>
    <definedName name="Tot_VC_INT">#REF!</definedName>
    <definedName name="Tot_VC_PY">#REF!</definedName>
    <definedName name="Tot_VD_CY">#REF!</definedName>
    <definedName name="Tot_VD_CYA">#REF!</definedName>
    <definedName name="Tot_VD_INT">#REF!</definedName>
    <definedName name="Tot_VD_PY">#REF!</definedName>
    <definedName name="Tot_VE_CY">#REF!</definedName>
    <definedName name="Tot_VE_CYA">#REF!</definedName>
    <definedName name="Tot_VE_INT">#REF!</definedName>
    <definedName name="Tot_VE_PY">#REF!</definedName>
    <definedName name="Tot_VO_CY">#REF!</definedName>
    <definedName name="Tot_VO_CYA">#REF!</definedName>
    <definedName name="Tot_VO_INT">#REF!</definedName>
    <definedName name="Tot_VO_PY">#REF!</definedName>
    <definedName name="Tot_Z_CY">#REF!</definedName>
    <definedName name="Tot_Z_CYA">#REF!</definedName>
    <definedName name="Tot_Z_INT">#REF!</definedName>
    <definedName name="Tot_Z_PY">#REF!</definedName>
    <definedName name="Total">#REF!</definedName>
    <definedName name="Total_Coke_PLan">#REF!</definedName>
    <definedName name="Total_Coke_Water_sales">#REF!</definedName>
    <definedName name="Total_DN">#REF!</definedName>
    <definedName name="Total_do_Activo">#REF!</definedName>
    <definedName name="Total_do_Passivo">#REF!</definedName>
    <definedName name="Total_do_Passivo_e_Capital_Próprio">#REF!</definedName>
    <definedName name="Total_Interest">#REF!</definedName>
    <definedName name="Total_Pay">#REF!</definedName>
    <definedName name="Total_Payment" localSheetId="10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>Scheduled_Payment+Extra_Payment</definedName>
    <definedName name="Total_payments" localSheetId="10">Payments_per_year*Term_in_years</definedName>
    <definedName name="Total_payments" localSheetId="3">Payments_per_year*Term_in_years</definedName>
    <definedName name="Total_payments">Payments_per_year*Term_in_years</definedName>
    <definedName name="Total_Payroll">#REF!</definedName>
    <definedName name="Total_Payroll__excl._L_P">#REF!</definedName>
    <definedName name="Total_water_sales">#REF!</definedName>
    <definedName name="TotalAssets" hidden="1">#REF!</definedName>
    <definedName name="TotalClientes">#REF!</definedName>
    <definedName name="TotalDataPoints">#REF!</definedName>
    <definedName name="TotalFornecedores">#REF!</definedName>
    <definedName name="TotalOutCred">#REF!</definedName>
    <definedName name="TotalOutDev">#REF!</definedName>
    <definedName name="TotalRaw">#REF!</definedName>
    <definedName name="TotalRevenue" hidden="1">#REF!</definedName>
    <definedName name="totalscheme">#REF!</definedName>
    <definedName name="toyota">#REF!</definedName>
    <definedName name="tr">#REF!</definedName>
    <definedName name="tr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AD">#REF!</definedName>
    <definedName name="traded_scheme">#REF!</definedName>
    <definedName name="traded_thememedia">#REF!</definedName>
    <definedName name="traded_themeother">#REF!</definedName>
    <definedName name="traf_2007">#REF!</definedName>
    <definedName name="Transporter">#REF!</definedName>
    <definedName name="trasp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trasp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trasp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Tratado">#REF!</definedName>
    <definedName name="Tratados_Anteriores">#REF!</definedName>
    <definedName name="Travel">#REF!</definedName>
    <definedName name="tre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ial">#REF!</definedName>
    <definedName name="Trial_Balance">#REF!</definedName>
    <definedName name="trippa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ippa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ipp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RTRRR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RTRRR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RTRRR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tt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tt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rtt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tt" localSheetId="10" hidden="1">{#N/A,#N/A,FALSE,"JACKETS (1100 t) (1)"}</definedName>
    <definedName name="tt" localSheetId="3" hidden="1">{#N/A,#N/A,FALSE,"JACKETS (1100 t) (1)"}</definedName>
    <definedName name="tt" hidden="1">{#N/A,#N/A,FALSE,"JACKETS (1100 t) (1)"}</definedName>
    <definedName name="tt_1" localSheetId="10" hidden="1">{#N/A,#N/A,FALSE,"JACKETS (1100 t) (1)"}</definedName>
    <definedName name="tt_1" localSheetId="3" hidden="1">{#N/A,#N/A,FALSE,"JACKETS (1100 t) (1)"}</definedName>
    <definedName name="tt_1" hidden="1">{#N/A,#N/A,FALSE,"JACKETS (1100 t) (1)"}</definedName>
    <definedName name="tt_2" localSheetId="10" hidden="1">{#N/A,#N/A,FALSE,"JACKETS (1100 t) (1)"}</definedName>
    <definedName name="tt_2" localSheetId="3" hidden="1">{#N/A,#N/A,FALSE,"JACKETS (1100 t) (1)"}</definedName>
    <definedName name="tt_2" hidden="1">{#N/A,#N/A,FALSE,"JACKETS (1100 t) (1)"}</definedName>
    <definedName name="tt_3" localSheetId="10" hidden="1">{#N/A,#N/A,FALSE,"JACKETS (1100 t) (1)"}</definedName>
    <definedName name="tt_3" localSheetId="3" hidden="1">{#N/A,#N/A,FALSE,"JACKETS (1100 t) (1)"}</definedName>
    <definedName name="tt_3" hidden="1">{#N/A,#N/A,FALSE,"JACKETS (1100 t) (1)"}</definedName>
    <definedName name="tt_4" localSheetId="10" hidden="1">{#N/A,#N/A,FALSE,"JACKETS (1100 t) (1)"}</definedName>
    <definedName name="tt_4" localSheetId="3" hidden="1">{#N/A,#N/A,FALSE,"JACKETS (1100 t) (1)"}</definedName>
    <definedName name="tt_4" hidden="1">{#N/A,#N/A,FALSE,"JACKETS (1100 t) (1)"}</definedName>
    <definedName name="tt_5" localSheetId="10" hidden="1">{#N/A,#N/A,FALSE,"JACKETS (1100 t) (1)"}</definedName>
    <definedName name="tt_5" localSheetId="3" hidden="1">{#N/A,#N/A,FALSE,"JACKETS (1100 t) (1)"}</definedName>
    <definedName name="tt_5" hidden="1">{#N/A,#N/A,FALSE,"JACKETS (1100 t) (1)"}</definedName>
    <definedName name="ttl01xx">#REF!</definedName>
    <definedName name="ttl02xx">#REF!</definedName>
    <definedName name="ttl04xx">#REF!</definedName>
    <definedName name="ttl05xx">#REF!</definedName>
    <definedName name="ttl07xx">#REF!</definedName>
    <definedName name="TTT">#REF!</definedName>
    <definedName name="tttrr" localSheetId="10" hidden="1">{"'ALqdUESP'!$B$11"}</definedName>
    <definedName name="tttrr" localSheetId="3" hidden="1">{"'ALqdUESP'!$B$11"}</definedName>
    <definedName name="tttrr" hidden="1">{"'ALqdUESP'!$B$11"}</definedName>
    <definedName name="TudR">#REF!</definedName>
    <definedName name="TudRd">#REF!</definedName>
    <definedName name="TudS">#REF!</definedName>
    <definedName name="TudV">#REF!</definedName>
    <definedName name="tvgrfvgbh">#REF!</definedName>
    <definedName name="Tx_Cambio">#REF!</definedName>
    <definedName name="txdate">#REF!</definedName>
    <definedName name="TY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TY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u">#REF!</definedName>
    <definedName name="U.S._Set_Up_Team">#REF!</definedName>
    <definedName name="UB">#REF!</definedName>
    <definedName name="UG01a">#REF!,#REF!</definedName>
    <definedName name="uj">#REF!</definedName>
    <definedName name="UKFFY1">#REF!</definedName>
    <definedName name="UKFFY2">#REF!</definedName>
    <definedName name="UKFFY3">#REF!</definedName>
    <definedName name="UKFFY4">#REF!</definedName>
    <definedName name="UKFFY5">#REF!</definedName>
    <definedName name="UKFFY6">#REF!</definedName>
    <definedName name="UKGFY1">#REF!</definedName>
    <definedName name="UKGFY2">#REF!</definedName>
    <definedName name="UKGFY3">#REF!</definedName>
    <definedName name="UKGFY4">#REF!</definedName>
    <definedName name="UKGFY5">#REF!</definedName>
    <definedName name="UKGFY6">#REF!</definedName>
    <definedName name="UKM0">#REF!</definedName>
    <definedName name="UKOM0">#REF!</definedName>
    <definedName name="UKOM1">#REF!</definedName>
    <definedName name="UKOM10">#REF!</definedName>
    <definedName name="UKOM11">#REF!</definedName>
    <definedName name="UKOM12">#REF!</definedName>
    <definedName name="UKOM13">#REF!</definedName>
    <definedName name="UKOM14">#REF!</definedName>
    <definedName name="UKOM15">#REF!</definedName>
    <definedName name="UKOM16">#REF!</definedName>
    <definedName name="UKOM17">#REF!</definedName>
    <definedName name="UKOM18">#REF!</definedName>
    <definedName name="UKOM2">#REF!</definedName>
    <definedName name="UKOM3">#REF!</definedName>
    <definedName name="UKOM4">#REF!</definedName>
    <definedName name="UKOM5">#REF!</definedName>
    <definedName name="UKOM6">#REF!</definedName>
    <definedName name="UKOM7">#REF!</definedName>
    <definedName name="UKOM8">#REF!</definedName>
    <definedName name="UKOM9">#REF!</definedName>
    <definedName name="UKRate">#REF!</definedName>
    <definedName name="UKSM0">#REF!</definedName>
    <definedName name="UKSM1">#REF!</definedName>
    <definedName name="UKSM10">#REF!</definedName>
    <definedName name="UKSM11">#REF!</definedName>
    <definedName name="UKSM12">#REF!</definedName>
    <definedName name="UKSM13">#REF!</definedName>
    <definedName name="UKSM14">#REF!</definedName>
    <definedName name="UKSM15">#REF!</definedName>
    <definedName name="UKSM16">#REF!</definedName>
    <definedName name="UKSM17">#REF!</definedName>
    <definedName name="UKSM18">#REF!</definedName>
    <definedName name="UKSM2">#REF!</definedName>
    <definedName name="UKSM3">#REF!</definedName>
    <definedName name="UKSM4">#REF!</definedName>
    <definedName name="UKSM5">#REF!</definedName>
    <definedName name="UKSM6">#REF!</definedName>
    <definedName name="UKSM7">#REF!</definedName>
    <definedName name="UKSM8">#REF!</definedName>
    <definedName name="UKSM9">#REF!</definedName>
    <definedName name="ulae99">#REF!</definedName>
    <definedName name="UltimoBancos">#REF!</definedName>
    <definedName name="UltimoClientes">#REF!</definedName>
    <definedName name="UltimoFornecedores">#REF!</definedName>
    <definedName name="UltimoOutCred">#REF!</definedName>
    <definedName name="UltimoOutDev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s">#REF!</definedName>
    <definedName name="updated_send">#REF!</definedName>
    <definedName name="upload">#REF!</definedName>
    <definedName name="UPR00">#REF!</definedName>
    <definedName name="US">#REF!</definedName>
    <definedName name="US_BS_2">#REF!</definedName>
    <definedName name="US_BS_James">#REF!</definedName>
    <definedName name="US_BS_LM">#REF!</definedName>
    <definedName name="US_INFLATION">#REF!</definedName>
    <definedName name="US_PL_James">#REF!</definedName>
    <definedName name="US_PL_LM">#REF!</definedName>
    <definedName name="US_RISK_FREE_RATE">#REF!</definedName>
    <definedName name="usb">#REF!</definedName>
    <definedName name="USBS">#REF!,#REF!,#REF!,#REF!,#REF!,#REF!,#REF!,#REF!,#REF!,#REF!,#REF!,#REF!</definedName>
    <definedName name="USD">#REF!</definedName>
    <definedName name="USD_1041">#REF!</definedName>
    <definedName name="USD_11010">#REF!</definedName>
    <definedName name="USDA">#REF!</definedName>
    <definedName name="usdmgt">#REF!</definedName>
    <definedName name="usdn">#REF!</definedName>
    <definedName name="USPL1">#REF!,#REF!,#REF!,#REF!,#REF!,#REF!,#REF!,#REF!,#REF!,#REF!</definedName>
    <definedName name="USPL2">#REF!,#REF!,#REF!,#REF!,#REF!,#REF!,#REF!,#REF!,#REF!,#REF!</definedName>
    <definedName name="USPL3">#REF!,#REF!,#REF!,#REF!,#REF!,#REF!,#REF!,#REF!,#REF!,#REF!</definedName>
    <definedName name="USPL4">#REF!,#REF!,#REF!,#REF!,#REF!,#REF!,#REF!,#REF!,#REF!,#REF!</definedName>
    <definedName name="Utilities">#REF!</definedName>
    <definedName name="UU" localSheetId="10" hidden="1">{#N/A,#N/A,FALSE,"JACKETS (1100 t) (1)"}</definedName>
    <definedName name="UU" localSheetId="3" hidden="1">{#N/A,#N/A,FALSE,"JACKETS (1100 t) (1)"}</definedName>
    <definedName name="UU" hidden="1">{#N/A,#N/A,FALSE,"JACKETS (1100 t) (1)"}</definedName>
    <definedName name="uutrer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uutrer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uutrer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uuu" localSheetId="10" hidden="1">{"ZAR",#N/A,FALSE,"APLICAR"}</definedName>
    <definedName name="uuu" localSheetId="3" hidden="1">{"ZAR",#N/A,FALSE,"APLICAR"}</definedName>
    <definedName name="uuu" hidden="1">{"ZAR",#N/A,FALSE,"APLICAR"}</definedName>
    <definedName name="uuu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uuu.REP" localSheetId="10" hidden="1">{#N/A,#N/A,FALSE,"min";#N/A,#N/A,FALSE,"mean";#N/A,#N/A,FALSE,"max"}</definedName>
    <definedName name="uuu.REP" localSheetId="3" hidden="1">{#N/A,#N/A,FALSE,"min";#N/A,#N/A,FALSE,"mean";#N/A,#N/A,FALSE,"max"}</definedName>
    <definedName name="uuu.REP" hidden="1">{#N/A,#N/A,FALSE,"min";#N/A,#N/A,FALSE,"mean";#N/A,#N/A,FALSE,"max"}</definedName>
    <definedName name="uuu.REP_1" localSheetId="10" hidden="1">{#N/A,#N/A,FALSE,"min";#N/A,#N/A,FALSE,"mean";#N/A,#N/A,FALSE,"max"}</definedName>
    <definedName name="uuu.REP_1" localSheetId="3" hidden="1">{#N/A,#N/A,FALSE,"min";#N/A,#N/A,FALSE,"mean";#N/A,#N/A,FALSE,"max"}</definedName>
    <definedName name="uuu.REP_1" hidden="1">{#N/A,#N/A,FALSE,"min";#N/A,#N/A,FALSE,"mean";#N/A,#N/A,FALSE,"max"}</definedName>
    <definedName name="uuu.REP_2" localSheetId="10" hidden="1">{#N/A,#N/A,FALSE,"min";#N/A,#N/A,FALSE,"mean";#N/A,#N/A,FALSE,"max"}</definedName>
    <definedName name="uuu.REP_2" localSheetId="3" hidden="1">{#N/A,#N/A,FALSE,"min";#N/A,#N/A,FALSE,"mean";#N/A,#N/A,FALSE,"max"}</definedName>
    <definedName name="uuu.REP_2" hidden="1">{#N/A,#N/A,FALSE,"min";#N/A,#N/A,FALSE,"mean";#N/A,#N/A,FALSE,"max"}</definedName>
    <definedName name="uuu.REP_3" localSheetId="10" hidden="1">{#N/A,#N/A,FALSE,"min";#N/A,#N/A,FALSE,"mean";#N/A,#N/A,FALSE,"max"}</definedName>
    <definedName name="uuu.REP_3" localSheetId="3" hidden="1">{#N/A,#N/A,FALSE,"min";#N/A,#N/A,FALSE,"mean";#N/A,#N/A,FALSE,"max"}</definedName>
    <definedName name="uuu.REP_3" hidden="1">{#N/A,#N/A,FALSE,"min";#N/A,#N/A,FALSE,"mean";#N/A,#N/A,FALSE,"max"}</definedName>
    <definedName name="uuu.REP_4" localSheetId="10" hidden="1">{#N/A,#N/A,FALSE,"min";#N/A,#N/A,FALSE,"mean";#N/A,#N/A,FALSE,"max"}</definedName>
    <definedName name="uuu.REP_4" localSheetId="3" hidden="1">{#N/A,#N/A,FALSE,"min";#N/A,#N/A,FALSE,"mean";#N/A,#N/A,FALSE,"max"}</definedName>
    <definedName name="uuu.REP_4" hidden="1">{#N/A,#N/A,FALSE,"min";#N/A,#N/A,FALSE,"mean";#N/A,#N/A,FALSE,"max"}</definedName>
    <definedName name="uuu.REP_5" localSheetId="10" hidden="1">{#N/A,#N/A,FALSE,"min";#N/A,#N/A,FALSE,"mean";#N/A,#N/A,FALSE,"max"}</definedName>
    <definedName name="uuu.REP_5" localSheetId="3" hidden="1">{#N/A,#N/A,FALSE,"min";#N/A,#N/A,FALSE,"mean";#N/A,#N/A,FALSE,"max"}</definedName>
    <definedName name="uuu.REP_5" hidden="1">{#N/A,#N/A,FALSE,"min";#N/A,#N/A,FALSE,"mean";#N/A,#N/A,FALSE,"max"}</definedName>
    <definedName name="uuuu">#REF!</definedName>
    <definedName name="uyd" hidden="1">#REF!</definedName>
    <definedName name="V">#REF!</definedName>
    <definedName name="V_resid_aparelhos_lab">#REF!</definedName>
    <definedName name="V_resid_britagem">#REF!</definedName>
    <definedName name="V_resid_gerador_medio">#REF!</definedName>
    <definedName name="V_resid_inst_industr">#REF!</definedName>
    <definedName name="V_resid_maq_lig">#REF!</definedName>
    <definedName name="V_resid_PT">#REF!</definedName>
    <definedName name="V_resid_veic_construcao">#REF!</definedName>
    <definedName name="vaff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aff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aff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alues_Entered">#N/A</definedName>
    <definedName name="valuevx">42.314159</definedName>
    <definedName name="VARDIRMILL">#REF!</definedName>
    <definedName name="VARIABLES_SHEET">#REF!</definedName>
    <definedName name="VARIAÇÃO">#REF!</definedName>
    <definedName name="variaveis">#REF!</definedName>
    <definedName name="VARPROCU">#REF!</definedName>
    <definedName name="VARSERVS">#REF!</definedName>
    <definedName name="vDateTime">#REF!</definedName>
    <definedName name="vDiastolic">#REF!</definedName>
    <definedName name="Velha">#REF!</definedName>
    <definedName name="Venda_de_serviços">#REF!</definedName>
    <definedName name="VENDAS">#REF!</definedName>
    <definedName name="Vendedores">#REF!</definedName>
    <definedName name="vendor">#REF!</definedName>
    <definedName name="VENDOR_LIST">#REF!</definedName>
    <definedName name="ver">#REF!</definedName>
    <definedName name="VERIFICACAO">#REF!</definedName>
    <definedName name="Verified_by">#REF!</definedName>
    <definedName name="vero">#REF!</definedName>
    <definedName name="Version">#REF!</definedName>
    <definedName name="vertex42_copyright" hidden="1">"© 2016 Vertex42 LLC"</definedName>
    <definedName name="vertex42_id" hidden="1">"sales-forecast.xlsx"</definedName>
    <definedName name="vertex42_title" hidden="1">"Sales Forecast Template"</definedName>
    <definedName name="vHeartRate">#REF!</definedName>
    <definedName name="VIDEOCON">#REF!</definedName>
    <definedName name="vital5">#REF!</definedName>
    <definedName name="VOIP">#REF!</definedName>
    <definedName name="vol_diversey">#REF!</definedName>
    <definedName name="vol_domestic">#REF!</definedName>
    <definedName name="vol_Ethiopia">#REF!</definedName>
    <definedName name="Vol_Other">#REF!</definedName>
    <definedName name="vol_tanzania">#REF!</definedName>
    <definedName name="vol_Uganda">#REF!</definedName>
    <definedName name="voo">#REF!</definedName>
    <definedName name="vordering">#REF!</definedName>
    <definedName name="VPN">#REF!</definedName>
    <definedName name="VSATED">#REF!</definedName>
    <definedName name="VSATLB">#REF!</definedName>
    <definedName name="VSATSME">#REF!</definedName>
    <definedName name="vSystolic">#REF!</definedName>
    <definedName name="VVSDZVSDZ" hidden="1">#REF!</definedName>
    <definedName name="VVV" localSheetId="10">MACRH</definedName>
    <definedName name="VVV" localSheetId="2">MACRH</definedName>
    <definedName name="VVV" localSheetId="3">MACRH</definedName>
    <definedName name="VVV">MACRH</definedName>
    <definedName name="vvvc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vvc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vvc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vvvc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vvvc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vvvc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VVVVV" localSheetId="10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VVVVV" localSheetId="3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VVVVV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vvvvvvv" localSheetId="10" hidden="1">{"'Sheet1'!$M$363:$M$364"}</definedName>
    <definedName name="vvvvvvv" localSheetId="3" hidden="1">{"'Sheet1'!$M$363:$M$364"}</definedName>
    <definedName name="vvvvvvv" hidden="1">{"'Sheet1'!$M$363:$M$364"}</definedName>
    <definedName name="vvvvvvv_1" localSheetId="10" hidden="1">{"'Sheet1'!$M$363:$M$364"}</definedName>
    <definedName name="vvvvvvv_1" localSheetId="3" hidden="1">{"'Sheet1'!$M$363:$M$364"}</definedName>
    <definedName name="vvvvvvv_1" hidden="1">{"'Sheet1'!$M$363:$M$364"}</definedName>
    <definedName name="vvvvvvv_2" localSheetId="10" hidden="1">{"'Sheet1'!$M$363:$M$364"}</definedName>
    <definedName name="vvvvvvv_2" localSheetId="3" hidden="1">{"'Sheet1'!$M$363:$M$364"}</definedName>
    <definedName name="vvvvvvv_2" hidden="1">{"'Sheet1'!$M$363:$M$364"}</definedName>
    <definedName name="vvvvvvv_3" localSheetId="10" hidden="1">{"'Sheet1'!$M$363:$M$364"}</definedName>
    <definedName name="vvvvvvv_3" localSheetId="3" hidden="1">{"'Sheet1'!$M$363:$M$364"}</definedName>
    <definedName name="vvvvvvv_3" hidden="1">{"'Sheet1'!$M$363:$M$364"}</definedName>
    <definedName name="vvvvvvv_4" localSheetId="10" hidden="1">{"'Sheet1'!$M$363:$M$364"}</definedName>
    <definedName name="vvvvvvv_4" localSheetId="3" hidden="1">{"'Sheet1'!$M$363:$M$364"}</definedName>
    <definedName name="vvvvvvv_4" hidden="1">{"'Sheet1'!$M$363:$M$364"}</definedName>
    <definedName name="vvvvvvv_5" localSheetId="10" hidden="1">{"'Sheet1'!$M$363:$M$364"}</definedName>
    <definedName name="vvvvvvv_5" localSheetId="3" hidden="1">{"'Sheet1'!$M$363:$M$364"}</definedName>
    <definedName name="vvvvvvv_5" hidden="1">{"'Sheet1'!$M$363:$M$364"}</definedName>
    <definedName name="vvvvvvvv" localSheetId="10" hidden="1">{"'Sheet1'!$M$363:$M$364"}</definedName>
    <definedName name="vvvvvvvv" localSheetId="3" hidden="1">{"'Sheet1'!$M$363:$M$364"}</definedName>
    <definedName name="vvvvvvvv" hidden="1">{"'Sheet1'!$M$363:$M$364"}</definedName>
    <definedName name="vvvvvvvv_1" localSheetId="10" hidden="1">{"'Sheet1'!$M$363:$M$364"}</definedName>
    <definedName name="vvvvvvvv_1" localSheetId="3" hidden="1">{"'Sheet1'!$M$363:$M$364"}</definedName>
    <definedName name="vvvvvvvv_1" hidden="1">{"'Sheet1'!$M$363:$M$364"}</definedName>
    <definedName name="vvvvvvvv_2" localSheetId="10" hidden="1">{"'Sheet1'!$M$363:$M$364"}</definedName>
    <definedName name="vvvvvvvv_2" localSheetId="3" hidden="1">{"'Sheet1'!$M$363:$M$364"}</definedName>
    <definedName name="vvvvvvvv_2" hidden="1">{"'Sheet1'!$M$363:$M$364"}</definedName>
    <definedName name="vvvvvvvv_3" localSheetId="10" hidden="1">{"'Sheet1'!$M$363:$M$364"}</definedName>
    <definedName name="vvvvvvvv_3" localSheetId="3" hidden="1">{"'Sheet1'!$M$363:$M$364"}</definedName>
    <definedName name="vvvvvvvv_3" hidden="1">{"'Sheet1'!$M$363:$M$364"}</definedName>
    <definedName name="vvvvvvvv_4" localSheetId="10" hidden="1">{"'Sheet1'!$M$363:$M$364"}</definedName>
    <definedName name="vvvvvvvv_4" localSheetId="3" hidden="1">{"'Sheet1'!$M$363:$M$364"}</definedName>
    <definedName name="vvvvvvvv_4" hidden="1">{"'Sheet1'!$M$363:$M$364"}</definedName>
    <definedName name="vvvvvvvv_5" localSheetId="10" hidden="1">{"'Sheet1'!$M$363:$M$364"}</definedName>
    <definedName name="vvvvvvvv_5" localSheetId="3" hidden="1">{"'Sheet1'!$M$363:$M$364"}</definedName>
    <definedName name="vvvvvvvv_5" hidden="1">{"'Sheet1'!$M$363:$M$364"}</definedName>
    <definedName name="W.Sesame">#REF!</definedName>
    <definedName name="Wal_Mart_De_Mexico__Total">#REF!</definedName>
    <definedName name="WAMAGOGO">#REF!</definedName>
    <definedName name="wanneer">#REF!</definedName>
    <definedName name="WAP">#REF!</definedName>
    <definedName name="wat">#REF!</definedName>
    <definedName name="wddddd" hidden="1">#REF!</definedName>
    <definedName name="wddw" hidden="1">#REF!</definedName>
    <definedName name="we">#REF!</definedName>
    <definedName name="we.mfçlwef">#REF!</definedName>
    <definedName name="Web">#REF!</definedName>
    <definedName name="WEBHOST">#REF!</definedName>
    <definedName name="weekday">#REF!</definedName>
    <definedName name="WEI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IG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jj2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erfss">#REF!</definedName>
    <definedName name="wewewewewewewewewewewewewes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ewewewewewewewewewewewewes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hatchanged2">#REF!</definedName>
    <definedName name="whatever" localSheetId="10" hidden="1">{#N/A,#N/A,FALSE,"CHANGES";#N/A,#N/A,FALSE,"PROD SUMMARY";#N/A,#N/A,FALSE,"1995 PO SUM";#N/A,#N/A,FALSE,"1995 GEOG SUM";#N/A,#N/A,FALSE,"1996 PO SUM";#N/A,#N/A,FALSE,"1996 GEOG SUM"}</definedName>
    <definedName name="whatever" localSheetId="3" hidden="1">{#N/A,#N/A,FALSE,"CHANGES";#N/A,#N/A,FALSE,"PROD SUMMARY";#N/A,#N/A,FALSE,"1995 PO SUM";#N/A,#N/A,FALSE,"1995 GEOG SUM";#N/A,#N/A,FALSE,"1996 PO SUM";#N/A,#N/A,FALSE,"1996 GEOG SUM"}</definedName>
    <definedName name="whatever" hidden="1">{#N/A,#N/A,FALSE,"CHANGES";#N/A,#N/A,FALSE,"PROD SUMMARY";#N/A,#N/A,FALSE,"1995 PO SUM";#N/A,#N/A,FALSE,"1995 GEOG SUM";#N/A,#N/A,FALSE,"1996 PO SUM";#N/A,#N/A,FALSE,"1996 GEOG SUM"}</definedName>
    <definedName name="WHO">#REF!</definedName>
    <definedName name="Wholesale1">#REF!</definedName>
    <definedName name="Wholesale2">#REF!</definedName>
    <definedName name="Wholesale22">#REF!</definedName>
    <definedName name="wie">#REF!</definedName>
    <definedName name="WIN">#REF!</definedName>
    <definedName name="win.Fin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win.Fin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win.Fin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WIP">#REF!</definedName>
    <definedName name="wr" localSheetId="10" hidden="1">{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}</definedName>
    <definedName name="wr" localSheetId="3" hidden="1">{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}</definedName>
    <definedName name="wr" hidden="1">{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}</definedName>
    <definedName name="wrm.variasmoeda" localSheetId="10" hidden="1">{"VARIASMOEDAS",#N/A,FALSE,"APLICAR"}</definedName>
    <definedName name="wrm.variasmoeda" localSheetId="3" hidden="1">{"VARIASMOEDAS",#N/A,FALSE,"APLICAR"}</definedName>
    <definedName name="wrm.variasmoeda" hidden="1">{"VARIASMOEDAS",#N/A,FALSE,"APLICAR"}</definedName>
    <definedName name="wrn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.SUMS._.w._.DF." localSheetId="1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Plant";"sum 1 overall",#N/A,TRUE,"Sum - Overall";"sum 3100",#N/A,TRUE,"Sum-BP Inlet 3100";"DF 3100",#N/A,TRUE,"D-Fac BP Inlet 3100";"sum 3200",#N/A,TRUE,"Sum-BP Dehy 3200";"DF 3200",#N/A,TRUE,"D-Fac BP Dehy 3200";"sum 3300",#N/A,TRUE,"Sum-Bulk CO2 3300";"DF 3300",#N/A,TRUE,"D-Fac Bulk CO2 3300";"sum 3400",#N/A,TRUE,"Sum-Recomp 3400";"DF 3400",#N/A,TRUE,"D-Fac Recomp 3400";"sum 3500",#N/A,TRUE,"Sum-Bulk CO2 Refrig 3500";"DF 3500",#N/A,TRUE,"D-Fac Bulk CO2 Refrig 3500";"sum 4100",#N/A,TRUE,"Sum-BP Selexol 4100";"DF 4100",#N/A,TRUE,"D-Fac BP Selexol 4100";"sum 4200",#N/A,TRUE,"Sum-BP Recy Comp 4200";"DF 4200",#N/A,TRUE,"D-Fac BP Recy Comp 4200";"sum 4400",#N/A,TRUE,"Sum-Expander 4400";"DF 4400",#N/A,TRUE,"D-Fac Expander 4400";"sum 5000",#N/A,TRUE,"Sum-Sour Fluid Inj 5000";"DF 5000",#N/A,TRUE,"D-Fac Sour Fluid Inj 5000";"sum 6000",#N/A,TRUE,"Sum-BP Utilities 6000";"DF 6000",#N/A,TRUE,"D-Fac BP Utilities 6000";"int sctf 3200",#N/A,TRUE,"Sum-SCTF-New Meth 3200";"DF sctf 3200",#N/A,TRUE,"D-Fac SCTF-New Meth 3200";"sum sctf 3300",#N/A,TRUE,"Sum-SCTF-CO2 Compr 3300";"DF sctf 3300",#N/A,TRUE,"D-Fac SCTF-CO2 Compr 3300";"sum sctf 4100",#N/A,TRUE,"Sum-SCTF-Selexol CO2 4100";"DF sctf 4100",#N/A,TRUE,"D-Fac SCTF-Selexol CO2 4100";"sum sctf 4200",#N/A,TRUE,"Sum-SCTF-New Mol S 4200";"DF sctf 4200",#N/A,TRUE,"D-Fac SCTF-New Mol S 4200";"sum sctf 4300",#N/A,TRUE,"Sum-SCTF-New NRU 4300";"DF sctf 4300",#N/A,TRUE,"D-Fac SCTF-New NRU 4300";"sum sctf 4900",#N/A,TRUE,"Sum-SCTF-Cogen Comp 4900";"DF sctf 4900",#N/A,TRUE,"D-Fac SCTF-Cogen Compr 4900";"sum sctf 5600",#N/A,TRUE,"Sum-SCTF-Utilities 5600";"DF sctf 5600",#N/A,TRUE,"D-Fac SCTF-Utilities 5600";"sum sctf 7500",#N/A,TRUE,"Sum-SCTF-New He 7500";"DF sctf 7500",#N/A,TRUE,"D-Fac SCTF-New He 7500";"sum sctf 8 mods",#N/A,TRUE,"Sum-SCTF Mods";"DF sctf 8",#N/A,TRUE,"D-Fac SCTF Mods"}</definedName>
    <definedName name="wrn.1._.SUMS._.w._.DF." localSheetId="3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Plant";"sum 1 overall",#N/A,TRUE,"Sum - Overall";"sum 3100",#N/A,TRUE,"Sum-BP Inlet 3100";"DF 3100",#N/A,TRUE,"D-Fac BP Inlet 3100";"sum 3200",#N/A,TRUE,"Sum-BP Dehy 3200";"DF 3200",#N/A,TRUE,"D-Fac BP Dehy 3200";"sum 3300",#N/A,TRUE,"Sum-Bulk CO2 3300";"DF 3300",#N/A,TRUE,"D-Fac Bulk CO2 3300";"sum 3400",#N/A,TRUE,"Sum-Recomp 3400";"DF 3400",#N/A,TRUE,"D-Fac Recomp 3400";"sum 3500",#N/A,TRUE,"Sum-Bulk CO2 Refrig 3500";"DF 3500",#N/A,TRUE,"D-Fac Bulk CO2 Refrig 3500";"sum 4100",#N/A,TRUE,"Sum-BP Selexol 4100";"DF 4100",#N/A,TRUE,"D-Fac BP Selexol 4100";"sum 4200",#N/A,TRUE,"Sum-BP Recy Comp 4200";"DF 4200",#N/A,TRUE,"D-Fac BP Recy Comp 4200";"sum 4400",#N/A,TRUE,"Sum-Expander 4400";"DF 4400",#N/A,TRUE,"D-Fac Expander 4400";"sum 5000",#N/A,TRUE,"Sum-Sour Fluid Inj 5000";"DF 5000",#N/A,TRUE,"D-Fac Sour Fluid Inj 5000";"sum 6000",#N/A,TRUE,"Sum-BP Utilities 6000";"DF 6000",#N/A,TRUE,"D-Fac BP Utilities 6000";"int sctf 3200",#N/A,TRUE,"Sum-SCTF-New Meth 3200";"DF sctf 3200",#N/A,TRUE,"D-Fac SCTF-New Meth 3200";"sum sctf 3300",#N/A,TRUE,"Sum-SCTF-CO2 Compr 3300";"DF sctf 3300",#N/A,TRUE,"D-Fac SCTF-CO2 Compr 3300";"sum sctf 4100",#N/A,TRUE,"Sum-SCTF-Selexol CO2 4100";"DF sctf 4100",#N/A,TRUE,"D-Fac SCTF-Selexol CO2 4100";"sum sctf 4200",#N/A,TRUE,"Sum-SCTF-New Mol S 4200";"DF sctf 4200",#N/A,TRUE,"D-Fac SCTF-New Mol S 4200";"sum sctf 4300",#N/A,TRUE,"Sum-SCTF-New NRU 4300";"DF sctf 4300",#N/A,TRUE,"D-Fac SCTF-New NRU 4300";"sum sctf 4900",#N/A,TRUE,"Sum-SCTF-Cogen Comp 4900";"DF sctf 4900",#N/A,TRUE,"D-Fac SCTF-Cogen Compr 4900";"sum sctf 5600",#N/A,TRUE,"Sum-SCTF-Utilities 5600";"DF sctf 5600",#N/A,TRUE,"D-Fac SCTF-Utilities 5600";"sum sctf 7500",#N/A,TRUE,"Sum-SCTF-New He 7500";"DF sctf 7500",#N/A,TRUE,"D-Fac SCTF-New He 7500";"sum sctf 8 mods",#N/A,TRUE,"Sum-SCTF Mods";"DF sctf 8",#N/A,TRUE,"D-Fac SCTF Mods"}</definedName>
    <definedName name="wrn.1._.SUMS._.w._.DF.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Plant";"sum 1 overall",#N/A,TRUE,"Sum - Overall";"sum 3100",#N/A,TRUE,"Sum-BP Inlet 3100";"DF 3100",#N/A,TRUE,"D-Fac BP Inlet 3100";"sum 3200",#N/A,TRUE,"Sum-BP Dehy 3200";"DF 3200",#N/A,TRUE,"D-Fac BP Dehy 3200";"sum 3300",#N/A,TRUE,"Sum-Bulk CO2 3300";"DF 3300",#N/A,TRUE,"D-Fac Bulk CO2 3300";"sum 3400",#N/A,TRUE,"Sum-Recomp 3400";"DF 3400",#N/A,TRUE,"D-Fac Recomp 3400";"sum 3500",#N/A,TRUE,"Sum-Bulk CO2 Refrig 3500";"DF 3500",#N/A,TRUE,"D-Fac Bulk CO2 Refrig 3500";"sum 4100",#N/A,TRUE,"Sum-BP Selexol 4100";"DF 4100",#N/A,TRUE,"D-Fac BP Selexol 4100";"sum 4200",#N/A,TRUE,"Sum-BP Recy Comp 4200";"DF 4200",#N/A,TRUE,"D-Fac BP Recy Comp 4200";"sum 4400",#N/A,TRUE,"Sum-Expander 4400";"DF 4400",#N/A,TRUE,"D-Fac Expander 4400";"sum 5000",#N/A,TRUE,"Sum-Sour Fluid Inj 5000";"DF 5000",#N/A,TRUE,"D-Fac Sour Fluid Inj 5000";"sum 6000",#N/A,TRUE,"Sum-BP Utilities 6000";"DF 6000",#N/A,TRUE,"D-Fac BP Utilities 6000";"int sctf 3200",#N/A,TRUE,"Sum-SCTF-New Meth 3200";"DF sctf 3200",#N/A,TRUE,"D-Fac SCTF-New Meth 3200";"sum sctf 3300",#N/A,TRUE,"Sum-SCTF-CO2 Compr 3300";"DF sctf 3300",#N/A,TRUE,"D-Fac SCTF-CO2 Compr 3300";"sum sctf 4100",#N/A,TRUE,"Sum-SCTF-Selexol CO2 4100";"DF sctf 4100",#N/A,TRUE,"D-Fac SCTF-Selexol CO2 4100";"sum sctf 4200",#N/A,TRUE,"Sum-SCTF-New Mol S 4200";"DF sctf 4200",#N/A,TRUE,"D-Fac SCTF-New Mol S 4200";"sum sctf 4300",#N/A,TRUE,"Sum-SCTF-New NRU 4300";"DF sctf 4300",#N/A,TRUE,"D-Fac SCTF-New NRU 4300";"sum sctf 4900",#N/A,TRUE,"Sum-SCTF-Cogen Comp 4900";"DF sctf 4900",#N/A,TRUE,"D-Fac SCTF-Cogen Compr 4900";"sum sctf 5600",#N/A,TRUE,"Sum-SCTF-Utilities 5600";"DF sctf 5600",#N/A,TRUE,"D-Fac SCTF-Utilities 5600";"sum sctf 7500",#N/A,TRUE,"Sum-SCTF-New He 7500";"DF sctf 7500",#N/A,TRUE,"D-Fac SCTF-New He 7500";"sum sctf 8 mods",#N/A,TRUE,"Sum-SCTF Mods";"DF sctf 8",#N/A,TRUE,"D-Fac SCTF Mods"}</definedName>
    <definedName name="wrn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wrn.1995._.FINAL._.P.P.T.._.LETTER." localSheetId="10" hidden="1">{#N/A,#N/A,FALSE,"FINAL-PYT";#N/A,#N/A,FALSE,"APP-01";#N/A,#N/A,FALSE,"BOOK-COVER"}</definedName>
    <definedName name="wrn.1995._.FINAL._.P.P.T.._.LETTER." localSheetId="3" hidden="1">{#N/A,#N/A,FALSE,"FINAL-PYT";#N/A,#N/A,FALSE,"APP-01";#N/A,#N/A,FALSE,"BOOK-COVER"}</definedName>
    <definedName name="wrn.1995._.FINAL._.P.P.T.._.LETTER." hidden="1">{#N/A,#N/A,FALSE,"FINAL-PYT";#N/A,#N/A,FALSE,"APP-01";#N/A,#N/A,FALSE,"BOOK-COVER"}</definedName>
    <definedName name="wrn.1998._.CAF._.Results." localSheetId="10" hidden="1">{#N/A,#N/A,TRUE,"Total CAF Charts";#N/A,#N/A,TRUE,"Total CAF Charts (3)";#N/A,#N/A,TRUE,"CAF Technical Charts";#N/A,#N/A,TRUE,"CAF Support Charts";#N/A,#N/A,TRUE,"Opns Tech Charts";#N/A,#N/A,TRUE,"Other CAF KPI Charts"}</definedName>
    <definedName name="wrn.1998._.CAF._.Results." localSheetId="3" hidden="1">{#N/A,#N/A,TRUE,"Total CAF Charts";#N/A,#N/A,TRUE,"Total CAF Charts (3)";#N/A,#N/A,TRUE,"CAF Technical Charts";#N/A,#N/A,TRUE,"CAF Support Charts";#N/A,#N/A,TRUE,"Opns Tech Charts";#N/A,#N/A,TRUE,"Other CAF KPI Charts"}</definedName>
    <definedName name="wrn.1998._.CAF._.Results." hidden="1">{#N/A,#N/A,TRUE,"Total CAF Charts";#N/A,#N/A,TRUE,"Total CAF Charts (3)";#N/A,#N/A,TRUE,"CAF Technical Charts";#N/A,#N/A,TRUE,"CAF Support Charts";#N/A,#N/A,TRUE,"Opns Tech Charts";#N/A,#N/A,TRUE,"Other CAF KPI Charts"}</definedName>
    <definedName name="wrn.2._.INT._.w._.DF." localSheetId="1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wrn.2._.INT._.w._.DF." localSheetId="3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wrn.2._.INT._.w._.DF.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Plant";"int 1 overall",#N/A,TRUE,"INT Summary - Overall";"int 3100",#N/A,TRUE,"INT Sum BP Inlet 3100";"DF 3100",#N/A,TRUE,"D-Fac BP Inlet 3100";"int 3200",#N/A,TRUE,"INT Sum BP Dehy 3200";"DF 3200",#N/A,TRUE,"D-Fac BP Dehy 3200";"int 3300",#N/A,TRUE,"INT Sum Bulk CO2 3300";"DF 3300",#N/A,TRUE,"D-Fac Bulk CO2 3300";"int 3400",#N/A,TRUE,"INT Sum Recomp 3400";"DF 3400",#N/A,TRUE,"D-Fac Recomp 3400";"int 3500",#N/A,TRUE,"INT Sum Bulk CO2 Refrig 3500";"DF 3500",#N/A,TRUE,"D-Fac Bulk CO2 Refrig 3500";"int 4100",#N/A,TRUE,"INT Sum BP Selexol 4100";"DF 4100",#N/A,TRUE,"D-Fac BP Selexol 4100";"int 4200",#N/A,TRUE,"INT Sum BP Recy Comp 4200";"DF sctf 4200",#N/A,TRUE,"D-Fac BP Recy Comp 4200";"int 4400",#N/A,TRUE,"INT Sum Expander 4400";"DF 4400",#N/A,TRUE,"D-Fac Expander 4400";"int 5000",#N/A,TRUE,"INT Sum Sour Fluid Inj 5000";"DF 5000",#N/A,TRUE,"D-Fac Sour Fluid Inj 5000";"int 6000",#N/A,TRUE,"INT Sum BP Utilities 6000";"DF 6000",#N/A,TRUE,"D-Fac BP Utilities 6000";"int sctf 3200",#N/A,TRUE,"INT Sum SCTF-New Meth 3200";"DF sctf 3200",#N/A,TRUE,"D-Fac SCTF-New Meth 3200";"int sctf 3300",#N/A,TRUE,"INT Sum SCTF-CO2 Compr 3300";"DF sctf 3300",#N/A,TRUE,"D-Fac SCTF-CO2 Compr 3300";"int sctf 4100",#N/A,TRUE,"Int Sum SCTF-Selexol CO2 4100";"DF sctf 4100",#N/A,TRUE,"D-Fac SCTF-Selexol CO2 4100";"int sctf 4200",#N/A,TRUE,"INT Sum SCTF-New Mol S 4200";"DF sctf 4200",#N/A,TRUE,"D-Fac SCTF-New Mol S 4200";"int sctf 4300",#N/A,TRUE,"INT Sum SCTF-New NRU 4300";"DF sctf 4300",#N/A,TRUE,"D-Fac SCTF-New NRU 4300";"int sctf 4900",#N/A,TRUE,"INT Sum SCTF-Cogen Comp 4900";"DF sctf 4900",#N/A,TRUE,"D-Fac SCTF-Cogen Compr 4900";"int sctf 5600",#N/A,TRUE,"INT Sum SCTF-Utilities 5600";"DF sctf 5600",#N/A,TRUE,"D-Fac SCTF-Utilities 5600";"int sctf 7500",#N/A,TRUE,"INT Sum SCTF-New He 7500";"DF sctf 7500",#N/A,TRUE,"D-Fac SCTF-New He 7500";"int sctf 8 mods",#N/A,TRUE,"INT Sum SCTF Mods";"DF sctf 8",#N/A,TRUE,"D-Fac SCTF Mods"}</definedName>
    <definedName name="wrn.2nd._.Qtr._.Production._.Forecast." localSheetId="10" hidden="1">{#N/A,#N/A,FALSE,"VARIANCE";#N/A,#N/A,FALSE,"2NDQTR";#N/A,#N/A,FALSE,"1STQTR";#N/A,#N/A,FALSE,"BUDGET"}</definedName>
    <definedName name="wrn.2nd._.Qtr._.Production._.Forecast." localSheetId="3" hidden="1">{#N/A,#N/A,FALSE,"VARIANCE";#N/A,#N/A,FALSE,"2NDQTR";#N/A,#N/A,FALSE,"1STQTR";#N/A,#N/A,FALSE,"BUDGET"}</definedName>
    <definedName name="wrn.2nd._.Qtr._.Production._.Forecast." hidden="1">{#N/A,#N/A,FALSE,"VARIANCE";#N/A,#N/A,FALSE,"2NDQTR";#N/A,#N/A,FALSE,"1STQTR";#N/A,#N/A,FALSE,"BUDGET"}</definedName>
    <definedName name="wrn.2nd._.Qtr._.Production._.Forecast._1" localSheetId="10" hidden="1">{#N/A,#N/A,FALSE,"VARIANCE";#N/A,#N/A,FALSE,"2NDQTR";#N/A,#N/A,FALSE,"1STQTR";#N/A,#N/A,FALSE,"BUDGET"}</definedName>
    <definedName name="wrn.2nd._.Qtr._.Production._.Forecast._1" localSheetId="3" hidden="1">{#N/A,#N/A,FALSE,"VARIANCE";#N/A,#N/A,FALSE,"2NDQTR";#N/A,#N/A,FALSE,"1STQTR";#N/A,#N/A,FALSE,"BUDGET"}</definedName>
    <definedName name="wrn.2nd._.Qtr._.Production._.Forecast._1" hidden="1">{#N/A,#N/A,FALSE,"VARIANCE";#N/A,#N/A,FALSE,"2NDQTR";#N/A,#N/A,FALSE,"1STQTR";#N/A,#N/A,FALSE,"BUDGET"}</definedName>
    <definedName name="wrn.2nd._.Qtr._.Production._.Forecast._2" localSheetId="10" hidden="1">{#N/A,#N/A,FALSE,"VARIANCE";#N/A,#N/A,FALSE,"2NDQTR";#N/A,#N/A,FALSE,"1STQTR";#N/A,#N/A,FALSE,"BUDGET"}</definedName>
    <definedName name="wrn.2nd._.Qtr._.Production._.Forecast._2" localSheetId="3" hidden="1">{#N/A,#N/A,FALSE,"VARIANCE";#N/A,#N/A,FALSE,"2NDQTR";#N/A,#N/A,FALSE,"1STQTR";#N/A,#N/A,FALSE,"BUDGET"}</definedName>
    <definedName name="wrn.2nd._.Qtr._.Production._.Forecast._2" hidden="1">{#N/A,#N/A,FALSE,"VARIANCE";#N/A,#N/A,FALSE,"2NDQTR";#N/A,#N/A,FALSE,"1STQTR";#N/A,#N/A,FALSE,"BUDGET"}</definedName>
    <definedName name="wrn.2nd._.Qtr._.Production._.Forecast._3" localSheetId="10" hidden="1">{#N/A,#N/A,FALSE,"VARIANCE";#N/A,#N/A,FALSE,"2NDQTR";#N/A,#N/A,FALSE,"1STQTR";#N/A,#N/A,FALSE,"BUDGET"}</definedName>
    <definedName name="wrn.2nd._.Qtr._.Production._.Forecast._3" localSheetId="3" hidden="1">{#N/A,#N/A,FALSE,"VARIANCE";#N/A,#N/A,FALSE,"2NDQTR";#N/A,#N/A,FALSE,"1STQTR";#N/A,#N/A,FALSE,"BUDGET"}</definedName>
    <definedName name="wrn.2nd._.Qtr._.Production._.Forecast._3" hidden="1">{#N/A,#N/A,FALSE,"VARIANCE";#N/A,#N/A,FALSE,"2NDQTR";#N/A,#N/A,FALSE,"1STQTR";#N/A,#N/A,FALSE,"BUDGET"}</definedName>
    <definedName name="wrn.2nd._.Qtr._.Production._.Forecast._4" localSheetId="10" hidden="1">{#N/A,#N/A,FALSE,"VARIANCE";#N/A,#N/A,FALSE,"2NDQTR";#N/A,#N/A,FALSE,"1STQTR";#N/A,#N/A,FALSE,"BUDGET"}</definedName>
    <definedName name="wrn.2nd._.Qtr._.Production._.Forecast._4" localSheetId="3" hidden="1">{#N/A,#N/A,FALSE,"VARIANCE";#N/A,#N/A,FALSE,"2NDQTR";#N/A,#N/A,FALSE,"1STQTR";#N/A,#N/A,FALSE,"BUDGET"}</definedName>
    <definedName name="wrn.2nd._.Qtr._.Production._.Forecast._4" hidden="1">{#N/A,#N/A,FALSE,"VARIANCE";#N/A,#N/A,FALSE,"2NDQTR";#N/A,#N/A,FALSE,"1STQTR";#N/A,#N/A,FALSE,"BUDGET"}</definedName>
    <definedName name="wrn.2nd._.Qtr._.Production._.Forecast._5" localSheetId="10" hidden="1">{#N/A,#N/A,FALSE,"VARIANCE";#N/A,#N/A,FALSE,"2NDQTR";#N/A,#N/A,FALSE,"1STQTR";#N/A,#N/A,FALSE,"BUDGET"}</definedName>
    <definedName name="wrn.2nd._.Qtr._.Production._.Forecast._5" localSheetId="3" hidden="1">{#N/A,#N/A,FALSE,"VARIANCE";#N/A,#N/A,FALSE,"2NDQTR";#N/A,#N/A,FALSE,"1STQTR";#N/A,#N/A,FALSE,"BUDGET"}</definedName>
    <definedName name="wrn.2nd._.Qtr._.Production._.Forecast._5" hidden="1">{#N/A,#N/A,FALSE,"VARIANCE";#N/A,#N/A,FALSE,"2NDQTR";#N/A,#N/A,FALSE,"1STQTR";#N/A,#N/A,FALSE,"BUDGET"}</definedName>
    <definedName name="wrn.3._.overall." localSheetId="10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Plant"}</definedName>
    <definedName name="wrn.3._.overall." localSheetId="3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Plant"}</definedName>
    <definedName name="wrn.3._.overall." hidden="1">{"1 overall",#N/A,TRUE,"Overall";"7 gas plant",#N/A,TRUE,"Big Piney Gas Plant Sum";"6 new areas",#N/A,TRUE,"SCTF - New Areas Sum";"5 mods sum",#N/A,TRUE,"SCTF - Mods Sum";"4 wells",#N/A,TRUE,"Wells";"3 pipelines",#N/A,TRUE,"Pipelines";"2 power plant",#N/A,TRUE,"Power Plant"}</definedName>
    <definedName name="wrn.4._.SUMS._.ALL." localSheetId="10" hidden="1">{"sum 1 overall",#N/A,TRUE,"Sum - Overall";"sum 3100",#N/A,TRUE,"Sum-BP Inlet 3100";"sum 3200",#N/A,TRUE,"Sum-BP Dehy 3200";"sum 3300",#N/A,TRUE,"Sum-Bulk CO2 3300";"sum 3400",#N/A,TRUE,"Sum-Recomp 3400";"sum 3500",#N/A,TRUE,"Sum-Bulk CO2 Refrig 3500";"sum 4100",#N/A,TRUE,"Sum-BP Selexol 4100";"sum 4200",#N/A,TRUE,"Sum-BP Recy Comp 4200";"sum 4400",#N/A,TRUE,"Sum-Expander 4400";"sum 5000",#N/A,TRUE,"Sum-Sour Fluid Inj 5000";"sum 6000",#N/A,TRUE,"Sum-BP Utilities 6000";"sum sctf 3200",#N/A,TRUE,"Sum-SCTF-New Meth 3200";"sum sctf 3300",#N/A,TRUE,"Sum-SCTF-CO2 Compr 3300";"sum sctf 4100",#N/A,TRUE,"Sum-SCTF-Selexol CO2 4100";"sum sctf 4200",#N/A,TRUE,"Sum-SCTF-New Mol S 4200";"sum sctf 4300",#N/A,TRUE,"Sum-SCTF-New NRU 4300";"sum sctf 4900",#N/A,TRUE,"Sum-SCTF-Cogen Comp 4900";"sum sctf 5600",#N/A,TRUE,"Sum-SCTF-Utilities 5600";"sum sctf 7500",#N/A,TRUE,"Sum-SCTF-New He 7500";"sum sctf 8 mods",#N/A,TRUE,"Sum-SCTF Mods"}</definedName>
    <definedName name="wrn.4._.SUMS._.ALL." localSheetId="3" hidden="1">{"sum 1 overall",#N/A,TRUE,"Sum - Overall";"sum 3100",#N/A,TRUE,"Sum-BP Inlet 3100";"sum 3200",#N/A,TRUE,"Sum-BP Dehy 3200";"sum 3300",#N/A,TRUE,"Sum-Bulk CO2 3300";"sum 3400",#N/A,TRUE,"Sum-Recomp 3400";"sum 3500",#N/A,TRUE,"Sum-Bulk CO2 Refrig 3500";"sum 4100",#N/A,TRUE,"Sum-BP Selexol 4100";"sum 4200",#N/A,TRUE,"Sum-BP Recy Comp 4200";"sum 4400",#N/A,TRUE,"Sum-Expander 4400";"sum 5000",#N/A,TRUE,"Sum-Sour Fluid Inj 5000";"sum 6000",#N/A,TRUE,"Sum-BP Utilities 6000";"sum sctf 3200",#N/A,TRUE,"Sum-SCTF-New Meth 3200";"sum sctf 3300",#N/A,TRUE,"Sum-SCTF-CO2 Compr 3300";"sum sctf 4100",#N/A,TRUE,"Sum-SCTF-Selexol CO2 4100";"sum sctf 4200",#N/A,TRUE,"Sum-SCTF-New Mol S 4200";"sum sctf 4300",#N/A,TRUE,"Sum-SCTF-New NRU 4300";"sum sctf 4900",#N/A,TRUE,"Sum-SCTF-Cogen Comp 4900";"sum sctf 5600",#N/A,TRUE,"Sum-SCTF-Utilities 5600";"sum sctf 7500",#N/A,TRUE,"Sum-SCTF-New He 7500";"sum sctf 8 mods",#N/A,TRUE,"Sum-SCTF Mods"}</definedName>
    <definedName name="wrn.4._.SUMS._.ALL." hidden="1">{"sum 1 overall",#N/A,TRUE,"Sum - Overall";"sum 3100",#N/A,TRUE,"Sum-BP Inlet 3100";"sum 3200",#N/A,TRUE,"Sum-BP Dehy 3200";"sum 3300",#N/A,TRUE,"Sum-Bulk CO2 3300";"sum 3400",#N/A,TRUE,"Sum-Recomp 3400";"sum 3500",#N/A,TRUE,"Sum-Bulk CO2 Refrig 3500";"sum 4100",#N/A,TRUE,"Sum-BP Selexol 4100";"sum 4200",#N/A,TRUE,"Sum-BP Recy Comp 4200";"sum 4400",#N/A,TRUE,"Sum-Expander 4400";"sum 5000",#N/A,TRUE,"Sum-Sour Fluid Inj 5000";"sum 6000",#N/A,TRUE,"Sum-BP Utilities 6000";"sum sctf 3200",#N/A,TRUE,"Sum-SCTF-New Meth 3200";"sum sctf 3300",#N/A,TRUE,"Sum-SCTF-CO2 Compr 3300";"sum sctf 4100",#N/A,TRUE,"Sum-SCTF-Selexol CO2 4100";"sum sctf 4200",#N/A,TRUE,"Sum-SCTF-New Mol S 4200";"sum sctf 4300",#N/A,TRUE,"Sum-SCTF-New NRU 4300";"sum sctf 4900",#N/A,TRUE,"Sum-SCTF-Cogen Comp 4900";"sum sctf 5600",#N/A,TRUE,"Sum-SCTF-Utilities 5600";"sum sctf 7500",#N/A,TRUE,"Sum-SCTF-New He 7500";"sum sctf 8 mods",#N/A,TRUE,"Sum-SCTF Mods"}</definedName>
    <definedName name="wrn.5._.INT._.ALL." localSheetId="10" hidden="1">{"int 1 overall",#N/A,TRUE,"INT Summary - Overall";"int 3100",#N/A,TRUE,"INT Sum BP Inlet 3100";"int 3200",#N/A,TRUE,"INT Sum BP Dehy 3200";"int 3300",#N/A,TRUE,"INT Sum Bulk CO2 3300";"int 3400",#N/A,TRUE,"INT Sum Recomp 3400";"int 3500",#N/A,TRUE,"INT Sum Bulk CO2 Refrig 3500";"int 4100",#N/A,TRUE,"INT Sum BP Selexol 4100";"int 4200",#N/A,TRUE,"INT Sum BP Recy Comp 4200";"int 4400",#N/A,TRUE,"INT Sum Expander 4400";"int 5000",#N/A,TRUE,"INT Sum Sour Fluid Inj 5000";"int 6000",#N/A,TRUE,"INT Sum BP Utilities 6000";"int sctf 3200",#N/A,TRUE,"INT Sum SCTF-New Meth 3200";"int sctf 3300",#N/A,TRUE,"INT Sum SCTF-CO2 Compr 3300";"int sctf 4100",#N/A,TRUE,"Int Sum SCTF-Selexol CO2 4100";"int sctf 4200",#N/A,TRUE,"INT Sum SCTF-New Mol S 4200";"int sctf 4300",#N/A,TRUE,"INT Sum SCTF-New NRU 4300";"int sctf 4900",#N/A,TRUE,"INT Sum SCTF-Cogen Comp 4900";"int sctf 5600",#N/A,TRUE,"INT Sum SCTF-Utilities 5600";"int sctf 7500",#N/A,TRUE,"INT Sum SCTF-New He 7500";"int sctf 8 mods",#N/A,TRUE,"INT Sum SCTF Mods"}</definedName>
    <definedName name="wrn.5._.INT._.ALL." localSheetId="3" hidden="1">{"int 1 overall",#N/A,TRUE,"INT Summary - Overall";"int 3100",#N/A,TRUE,"INT Sum BP Inlet 3100";"int 3200",#N/A,TRUE,"INT Sum BP Dehy 3200";"int 3300",#N/A,TRUE,"INT Sum Bulk CO2 3300";"int 3400",#N/A,TRUE,"INT Sum Recomp 3400";"int 3500",#N/A,TRUE,"INT Sum Bulk CO2 Refrig 3500";"int 4100",#N/A,TRUE,"INT Sum BP Selexol 4100";"int 4200",#N/A,TRUE,"INT Sum BP Recy Comp 4200";"int 4400",#N/A,TRUE,"INT Sum Expander 4400";"int 5000",#N/A,TRUE,"INT Sum Sour Fluid Inj 5000";"int 6000",#N/A,TRUE,"INT Sum BP Utilities 6000";"int sctf 3200",#N/A,TRUE,"INT Sum SCTF-New Meth 3200";"int sctf 3300",#N/A,TRUE,"INT Sum SCTF-CO2 Compr 3300";"int sctf 4100",#N/A,TRUE,"Int Sum SCTF-Selexol CO2 4100";"int sctf 4200",#N/A,TRUE,"INT Sum SCTF-New Mol S 4200";"int sctf 4300",#N/A,TRUE,"INT Sum SCTF-New NRU 4300";"int sctf 4900",#N/A,TRUE,"INT Sum SCTF-Cogen Comp 4900";"int sctf 5600",#N/A,TRUE,"INT Sum SCTF-Utilities 5600";"int sctf 7500",#N/A,TRUE,"INT Sum SCTF-New He 7500";"int sctf 8 mods",#N/A,TRUE,"INT Sum SCTF Mods"}</definedName>
    <definedName name="wrn.5._.INT._.ALL." hidden="1">{"int 1 overall",#N/A,TRUE,"INT Summary - Overall";"int 3100",#N/A,TRUE,"INT Sum BP Inlet 3100";"int 3200",#N/A,TRUE,"INT Sum BP Dehy 3200";"int 3300",#N/A,TRUE,"INT Sum Bulk CO2 3300";"int 3400",#N/A,TRUE,"INT Sum Recomp 3400";"int 3500",#N/A,TRUE,"INT Sum Bulk CO2 Refrig 3500";"int 4100",#N/A,TRUE,"INT Sum BP Selexol 4100";"int 4200",#N/A,TRUE,"INT Sum BP Recy Comp 4200";"int 4400",#N/A,TRUE,"INT Sum Expander 4400";"int 5000",#N/A,TRUE,"INT Sum Sour Fluid Inj 5000";"int 6000",#N/A,TRUE,"INT Sum BP Utilities 6000";"int sctf 3200",#N/A,TRUE,"INT Sum SCTF-New Meth 3200";"int sctf 3300",#N/A,TRUE,"INT Sum SCTF-CO2 Compr 3300";"int sctf 4100",#N/A,TRUE,"Int Sum SCTF-Selexol CO2 4100";"int sctf 4200",#N/A,TRUE,"INT Sum SCTF-New Mol S 4200";"int sctf 4300",#N/A,TRUE,"INT Sum SCTF-New NRU 4300";"int sctf 4900",#N/A,TRUE,"INT Sum SCTF-Cogen Comp 4900";"int sctf 5600",#N/A,TRUE,"INT Sum SCTF-Utilities 5600";"int sctf 7500",#N/A,TRUE,"INT Sum SCTF-New He 7500";"int sctf 8 mods",#N/A,TRUE,"INT Sum SCTF Mods"}</definedName>
    <definedName name="wrn.6._.DFac." localSheetId="10" hidden="1">{"DF 3100",#N/A,TRUE,"Sum-BP Inlet 3100";"DF 3200",#N/A,TRUE,"D-Fac BP Dehy 3200";"DF 3300",#N/A,TRUE,"D-Fac Bulk CO2 3300";"DF 3400",#N/A,TRUE,"D-Fac Recomp 3400";"DF 3500",#N/A,TRUE,"D-Fac Bulk CO2 Refrig 3500";"DF 4100",#N/A,TRUE,"D-Fac BP Selexol 4100";"DF 4200",#N/A,TRUE,"D-Fac BP Recy Comp 4200";"DF 4400",#N/A,TRUE,"D-Fac Expander 4400";"DF 5000",#N/A,TRUE,"D-Fac Sour Fluid Inj 5000";"DF 6000",#N/A,TRUE,"D-Fac BP Utilities 6000";"DF sctf 3200",#N/A,TRUE,"D-Fac SCTF-New Meth 3200";"DF sctf 3300",#N/A,TRUE,"D-Fac SCTF-CO2 Compr 3300";"DF sctf 4100",#N/A,TRUE,"D-Fac SCTF-Selexol CO2 4100";"DF sctf 4200",#N/A,TRUE,"D-Fac SCTF-New Mol S 4200";"DF sctf 4300",#N/A,TRUE,"D-Fac SCTF-New NRU 4300";"DF sctf 4900",#N/A,TRUE,"D-Fac SCTF-Cogen Compr 4900";"DF sctf 5600",#N/A,TRUE,"D-Fac SCTF-Utilities 5600";"DF sctf 7500",#N/A,TRUE,"D-Fac SCTF-New He 7500";"DF sctf 8",#N/A,TRUE,"D-Fac SCTF Mods"}</definedName>
    <definedName name="wrn.6._.DFac." localSheetId="3" hidden="1">{"DF 3100",#N/A,TRUE,"Sum-BP Inlet 3100";"DF 3200",#N/A,TRUE,"D-Fac BP Dehy 3200";"DF 3300",#N/A,TRUE,"D-Fac Bulk CO2 3300";"DF 3400",#N/A,TRUE,"D-Fac Recomp 3400";"DF 3500",#N/A,TRUE,"D-Fac Bulk CO2 Refrig 3500";"DF 4100",#N/A,TRUE,"D-Fac BP Selexol 4100";"DF 4200",#N/A,TRUE,"D-Fac BP Recy Comp 4200";"DF 4400",#N/A,TRUE,"D-Fac Expander 4400";"DF 5000",#N/A,TRUE,"D-Fac Sour Fluid Inj 5000";"DF 6000",#N/A,TRUE,"D-Fac BP Utilities 6000";"DF sctf 3200",#N/A,TRUE,"D-Fac SCTF-New Meth 3200";"DF sctf 3300",#N/A,TRUE,"D-Fac SCTF-CO2 Compr 3300";"DF sctf 4100",#N/A,TRUE,"D-Fac SCTF-Selexol CO2 4100";"DF sctf 4200",#N/A,TRUE,"D-Fac SCTF-New Mol S 4200";"DF sctf 4300",#N/A,TRUE,"D-Fac SCTF-New NRU 4300";"DF sctf 4900",#N/A,TRUE,"D-Fac SCTF-Cogen Compr 4900";"DF sctf 5600",#N/A,TRUE,"D-Fac SCTF-Utilities 5600";"DF sctf 7500",#N/A,TRUE,"D-Fac SCTF-New He 7500";"DF sctf 8",#N/A,TRUE,"D-Fac SCTF Mods"}</definedName>
    <definedName name="wrn.6._.DFac." hidden="1">{"DF 3100",#N/A,TRUE,"Sum-BP Inlet 3100";"DF 3200",#N/A,TRUE,"D-Fac BP Dehy 3200";"DF 3300",#N/A,TRUE,"D-Fac Bulk CO2 3300";"DF 3400",#N/A,TRUE,"D-Fac Recomp 3400";"DF 3500",#N/A,TRUE,"D-Fac Bulk CO2 Refrig 3500";"DF 4100",#N/A,TRUE,"D-Fac BP Selexol 4100";"DF 4200",#N/A,TRUE,"D-Fac BP Recy Comp 4200";"DF 4400",#N/A,TRUE,"D-Fac Expander 4400";"DF 5000",#N/A,TRUE,"D-Fac Sour Fluid Inj 5000";"DF 6000",#N/A,TRUE,"D-Fac BP Utilities 6000";"DF sctf 3200",#N/A,TRUE,"D-Fac SCTF-New Meth 3200";"DF sctf 3300",#N/A,TRUE,"D-Fac SCTF-CO2 Compr 3300";"DF sctf 4100",#N/A,TRUE,"D-Fac SCTF-Selexol CO2 4100";"DF sctf 4200",#N/A,TRUE,"D-Fac SCTF-New Mol S 4200";"DF sctf 4300",#N/A,TRUE,"D-Fac SCTF-New NRU 4300";"DF sctf 4900",#N/A,TRUE,"D-Fac SCTF-Cogen Compr 4900";"DF sctf 5600",#N/A,TRUE,"D-Fac SCTF-Utilities 5600";"DF sctf 7500",#N/A,TRUE,"D-Fac SCTF-New He 7500";"DF sctf 8",#N/A,TRUE,"D-Fac SCTF Mods"}</definedName>
    <definedName name="wrn.A.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.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CTUAL._.FULL._.DETAILS." localSheetId="10" hidden="1">{#N/A,#N/A,TRUE,"BUD-SUM-1b";#N/A,#N/A,TRUE,"NOTES-1&amp;2";#N/A,#N/A,TRUE,"NOTES-3&amp;4";#N/A,#N/A,TRUE,"NOTES-3&amp;4B";#N/A,#N/A,TRUE,"NOTE-5";#N/A,#N/A,TRUE,"NOTE-6";#N/A,#N/A,TRUE,"NOTE-7";#N/A,#N/A,TRUE,"NOTE-8";#N/A,#N/A,TRUE,"NOTE-8B";#N/A,#N/A,TRUE,"SCHD-1"}</definedName>
    <definedName name="wrn.ACTUAL._.FULL._.DETAILS." localSheetId="3" hidden="1">{#N/A,#N/A,TRUE,"BUD-SUM-1b";#N/A,#N/A,TRUE,"NOTES-1&amp;2";#N/A,#N/A,TRUE,"NOTES-3&amp;4";#N/A,#N/A,TRUE,"NOTES-3&amp;4B";#N/A,#N/A,TRUE,"NOTE-5";#N/A,#N/A,TRUE,"NOTE-6";#N/A,#N/A,TRUE,"NOTE-7";#N/A,#N/A,TRUE,"NOTE-8";#N/A,#N/A,TRUE,"NOTE-8B";#N/A,#N/A,TRUE,"SCHD-1"}</definedName>
    <definedName name="wrn.ACTUAL._.FULL._.DETAILS." hidden="1">{#N/A,#N/A,TRUE,"BUD-SUM-1b";#N/A,#N/A,TRUE,"NOTES-1&amp;2";#N/A,#N/A,TRUE,"NOTES-3&amp;4";#N/A,#N/A,TRUE,"NOTES-3&amp;4B";#N/A,#N/A,TRUE,"NOTE-5";#N/A,#N/A,TRUE,"NOTE-6";#N/A,#N/A,TRUE,"NOTE-7";#N/A,#N/A,TRUE,"NOTE-8";#N/A,#N/A,TRUE,"NOTE-8B";#N/A,#N/A,TRUE,"SCHD-1"}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0" hidden="1">{"RPT610",#N/A,FALSE,"Sheet1";"RPT611",#N/A,FALSE,"Sheet1"}</definedName>
    <definedName name="wrn.ALL." localSheetId="3" hidden="1">{"RPT610",#N/A,FALSE,"Sheet1";"RPT611",#N/A,FALSE,"Sheet1"}</definedName>
    <definedName name="wrn.ALL." hidden="1">{"RPT610",#N/A,FALSE,"Sheet1";"RPT611",#N/A,FALSE,"Sheet1"}</definedName>
    <definedName name="wrn.All._.Affiliates." localSheetId="10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localSheetId="3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_.Affiliates." hidden="1">{#N/A,#N/A,FALSE,"Australia";#N/A,#N/A,FALSE,"Chad";#N/A,#N/A,FALSE,"CIS";#N/A,#N/A,FALSE,"Egypt";#N/A,#N/A,FALSE,"France";#N/A,#N/A,FALSE,"Germany";#N/A,#N/A,FALSE,"Japan";#N/A,#N/A,FALSE,"Malaysia";#N/A,#N/A,FALSE,"Natuna";#N/A,#N/A,FALSE,"Netherlands";#N/A,#N/A,FALSE,"Norway";#N/A,#N/A,FALSE,"Thailand";#N/A,#N/A,FALSE,"United Kingdom";#N/A,#N/A,FALSE,"Yemen";#N/A,#N/A,FALSE,"Headquarters";#N/A,#N/A,FALSE,"TOTAL UPSTREAM"}</definedName>
    <definedName name="wrn.ALL.22" localSheetId="10" hidden="1">{"RPT610",#N/A,FALSE,"Sheet1";"RPT611",#N/A,FALSE,"Sheet1"}</definedName>
    <definedName name="wrn.ALL.22" localSheetId="3" hidden="1">{"RPT610",#N/A,FALSE,"Sheet1";"RPT611",#N/A,FALSE,"Sheet1"}</definedName>
    <definedName name="wrn.ALL.22" hidden="1">{"RPT610",#N/A,FALSE,"Sheet1";"RPT611",#N/A,FALSE,"Sheet1"}</definedName>
    <definedName name="wrn.ALL1" localSheetId="10" hidden="1">{"RPT610",#N/A,FALSE,"Sheet1";"RPT611",#N/A,FALSE,"Sheet1"}</definedName>
    <definedName name="wrn.ALL1" localSheetId="3" hidden="1">{"RPT610",#N/A,FALSE,"Sheet1";"RPT611",#N/A,FALSE,"Sheet1"}</definedName>
    <definedName name="wrn.ALL1" hidden="1">{"RPT610",#N/A,FALSE,"Sheet1";"RPT611",#N/A,FALSE,"Sheet1"}</definedName>
    <definedName name="wrn.ANEXOS._.FACTURA." localSheetId="10" hidden="1">{"ANEXOS DA FACTURA",#N/A,FALSE,"CMD_846"}</definedName>
    <definedName name="wrn.ANEXOS._.FACTURA." localSheetId="3" hidden="1">{"ANEXOS DA FACTURA",#N/A,FALSE,"CMD_846"}</definedName>
    <definedName name="wrn.ANEXOS._.FACTURA." hidden="1">{"ANEXOS DA FACTURA",#N/A,FALSE,"CMD_846"}</definedName>
    <definedName name="wrn.APOLICE." localSheetId="10" hidden="1">{"MENSAL",#N/A,FALSE,"APÓL.";"ACUMULADO",#N/A,FALSE,"APÓL."}</definedName>
    <definedName name="wrn.APOLICE." localSheetId="3" hidden="1">{"MENSAL",#N/A,FALSE,"APÓL.";"ACUMULADO",#N/A,FALSE,"APÓL."}</definedName>
    <definedName name="wrn.APOLICE." hidden="1">{"MENSAL",#N/A,FALSE,"APÓL.";"ACUMULADO",#N/A,FALSE,"APÓL."}</definedName>
    <definedName name="wrn.Ar._.and._.Backlog." localSheetId="10" hidden="1">{"AR and Backlog",#N/A,FALSE,"Input"}</definedName>
    <definedName name="wrn.Ar._.and._.Backlog." localSheetId="3" hidden="1">{"AR and Backlog",#N/A,FALSE,"Input"}</definedName>
    <definedName name="wrn.Ar._.and._.Backlog." hidden="1">{"AR and Backlog",#N/A,FALSE,"Input"}</definedName>
    <definedName name="wrn.Balance._.Sheet." localSheetId="10" hidden="1">{"Balance Sheet",#N/A,FALSE,"Input"}</definedName>
    <definedName name="wrn.Balance._.Sheet." localSheetId="3" hidden="1">{"Balance Sheet",#N/A,FALSE,"Input"}</definedName>
    <definedName name="wrn.Balance._.Sheet." hidden="1">{"Balance Sheet",#N/A,FALSE,"Input"}</definedName>
    <definedName name="wrn.BOM._.OPTI._.6000._.ALT._.2." localSheetId="10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localSheetId="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1" localSheetId="10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1" localSheetId="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2" localSheetId="10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2" localSheetId="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2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3" localSheetId="10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3" localSheetId="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4" localSheetId="10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4" localSheetId="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4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5" localSheetId="10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5" localSheetId="3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_5" hidden="1">{"AH36 MTO BOM - Landscape",#N/A,TRUE,"MTO BOM Summary Data - AH36";"EH36 MTO BOM - Landscape",#N/A,TRUE,"MTO BOM Summary Data - EH36";"MTO Plt - Landscape",#N/A,TRUE,"MTO Plt";"MTO Pipe - Portrait",#N/A,TRUE,"MTO Pipe"}</definedName>
    <definedName name="wrn.BU98_01E.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1_1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1_1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1_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2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2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3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3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4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4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4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5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5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BU98_01E._5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wrn.calculation._.sheets" localSheetId="10" hidden="1">{#N/A,#N/A,FALSE,"cover";#N/A,#N/A,FALSE,"page_1";#N/A,#N/A,FALSE,"page_2";#N/A,#N/A,FALSE,"page_3";#N/A,#N/A,FALSE,"page_4"}</definedName>
    <definedName name="wrn.calculation._.sheets" localSheetId="3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culation._.sheets_1" localSheetId="10" hidden="1">{#N/A,#N/A,FALSE,"cover";#N/A,#N/A,FALSE,"page_1";#N/A,#N/A,FALSE,"page_2";#N/A,#N/A,FALSE,"page_3";#N/A,#N/A,FALSE,"page_4"}</definedName>
    <definedName name="wrn.calculation._.sheets_1" localSheetId="3" hidden="1">{#N/A,#N/A,FALSE,"cover";#N/A,#N/A,FALSE,"page_1";#N/A,#N/A,FALSE,"page_2";#N/A,#N/A,FALSE,"page_3";#N/A,#N/A,FALSE,"page_4"}</definedName>
    <definedName name="wrn.calculation._.sheets_1" hidden="1">{#N/A,#N/A,FALSE,"cover";#N/A,#N/A,FALSE,"page_1";#N/A,#N/A,FALSE,"page_2";#N/A,#N/A,FALSE,"page_3";#N/A,#N/A,FALSE,"page_4"}</definedName>
    <definedName name="wrn.calculation._.sheets_2" localSheetId="10" hidden="1">{#N/A,#N/A,FALSE,"cover";#N/A,#N/A,FALSE,"page_1";#N/A,#N/A,FALSE,"page_2";#N/A,#N/A,FALSE,"page_3";#N/A,#N/A,FALSE,"page_4"}</definedName>
    <definedName name="wrn.calculation._.sheets_2" localSheetId="3" hidden="1">{#N/A,#N/A,FALSE,"cover";#N/A,#N/A,FALSE,"page_1";#N/A,#N/A,FALSE,"page_2";#N/A,#N/A,FALSE,"page_3";#N/A,#N/A,FALSE,"page_4"}</definedName>
    <definedName name="wrn.calculation._.sheets_2" hidden="1">{#N/A,#N/A,FALSE,"cover";#N/A,#N/A,FALSE,"page_1";#N/A,#N/A,FALSE,"page_2";#N/A,#N/A,FALSE,"page_3";#N/A,#N/A,FALSE,"page_4"}</definedName>
    <definedName name="wrn.calculation._.sheets_3" localSheetId="10" hidden="1">{#N/A,#N/A,FALSE,"cover";#N/A,#N/A,FALSE,"page_1";#N/A,#N/A,FALSE,"page_2";#N/A,#N/A,FALSE,"page_3";#N/A,#N/A,FALSE,"page_4"}</definedName>
    <definedName name="wrn.calculation._.sheets_3" localSheetId="3" hidden="1">{#N/A,#N/A,FALSE,"cover";#N/A,#N/A,FALSE,"page_1";#N/A,#N/A,FALSE,"page_2";#N/A,#N/A,FALSE,"page_3";#N/A,#N/A,FALSE,"page_4"}</definedName>
    <definedName name="wrn.calculation._.sheets_3" hidden="1">{#N/A,#N/A,FALSE,"cover";#N/A,#N/A,FALSE,"page_1";#N/A,#N/A,FALSE,"page_2";#N/A,#N/A,FALSE,"page_3";#N/A,#N/A,FALSE,"page_4"}</definedName>
    <definedName name="wrn.calculation._.sheets_4" localSheetId="10" hidden="1">{#N/A,#N/A,FALSE,"cover";#N/A,#N/A,FALSE,"page_1";#N/A,#N/A,FALSE,"page_2";#N/A,#N/A,FALSE,"page_3";#N/A,#N/A,FALSE,"page_4"}</definedName>
    <definedName name="wrn.calculation._.sheets_4" localSheetId="3" hidden="1">{#N/A,#N/A,FALSE,"cover";#N/A,#N/A,FALSE,"page_1";#N/A,#N/A,FALSE,"page_2";#N/A,#N/A,FALSE,"page_3";#N/A,#N/A,FALSE,"page_4"}</definedName>
    <definedName name="wrn.calculation._.sheets_4" hidden="1">{#N/A,#N/A,FALSE,"cover";#N/A,#N/A,FALSE,"page_1";#N/A,#N/A,FALSE,"page_2";#N/A,#N/A,FALSE,"page_3";#N/A,#N/A,FALSE,"page_4"}</definedName>
    <definedName name="wrn.calculation._.sheets_5" localSheetId="10" hidden="1">{#N/A,#N/A,FALSE,"cover";#N/A,#N/A,FALSE,"page_1";#N/A,#N/A,FALSE,"page_2";#N/A,#N/A,FALSE,"page_3";#N/A,#N/A,FALSE,"page_4"}</definedName>
    <definedName name="wrn.calculation._.sheets_5" localSheetId="3" hidden="1">{#N/A,#N/A,FALSE,"cover";#N/A,#N/A,FALSE,"page_1";#N/A,#N/A,FALSE,"page_2";#N/A,#N/A,FALSE,"page_3";#N/A,#N/A,FALSE,"page_4"}</definedName>
    <definedName name="wrn.calculation._.sheets_5" hidden="1">{#N/A,#N/A,FALSE,"cover";#N/A,#N/A,FALSE,"page_1";#N/A,#N/A,FALSE,"page_2";#N/A,#N/A,FALSE,"page_3";#N/A,#N/A,FALSE,"page_4"}</definedName>
    <definedName name="wrn.Calulation._.Sheets." localSheetId="10" hidden="1">{#N/A,#N/A,FALSE,"cover";#N/A,#N/A,FALSE,"page_1";#N/A,#N/A,FALSE,"page_2";#N/A,#N/A,FALSE,"page_3";#N/A,#N/A,FALSE,"page_4"}</definedName>
    <definedName name="wrn.Calulation._.Sheets." localSheetId="3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alulation._.Sheets._1" localSheetId="10" hidden="1">{#N/A,#N/A,FALSE,"cover";#N/A,#N/A,FALSE,"page_1";#N/A,#N/A,FALSE,"page_2";#N/A,#N/A,FALSE,"page_3";#N/A,#N/A,FALSE,"page_4"}</definedName>
    <definedName name="wrn.Calulation._.Sheets._1" localSheetId="3" hidden="1">{#N/A,#N/A,FALSE,"cover";#N/A,#N/A,FALSE,"page_1";#N/A,#N/A,FALSE,"page_2";#N/A,#N/A,FALSE,"page_3";#N/A,#N/A,FALSE,"page_4"}</definedName>
    <definedName name="wrn.Calulation._.Sheets._1" hidden="1">{#N/A,#N/A,FALSE,"cover";#N/A,#N/A,FALSE,"page_1";#N/A,#N/A,FALSE,"page_2";#N/A,#N/A,FALSE,"page_3";#N/A,#N/A,FALSE,"page_4"}</definedName>
    <definedName name="wrn.Calulation._.Sheets._2" localSheetId="10" hidden="1">{#N/A,#N/A,FALSE,"cover";#N/A,#N/A,FALSE,"page_1";#N/A,#N/A,FALSE,"page_2";#N/A,#N/A,FALSE,"page_3";#N/A,#N/A,FALSE,"page_4"}</definedName>
    <definedName name="wrn.Calulation._.Sheets._2" localSheetId="3" hidden="1">{#N/A,#N/A,FALSE,"cover";#N/A,#N/A,FALSE,"page_1";#N/A,#N/A,FALSE,"page_2";#N/A,#N/A,FALSE,"page_3";#N/A,#N/A,FALSE,"page_4"}</definedName>
    <definedName name="wrn.Calulation._.Sheets._2" hidden="1">{#N/A,#N/A,FALSE,"cover";#N/A,#N/A,FALSE,"page_1";#N/A,#N/A,FALSE,"page_2";#N/A,#N/A,FALSE,"page_3";#N/A,#N/A,FALSE,"page_4"}</definedName>
    <definedName name="wrn.Calulation._.Sheets._3" localSheetId="10" hidden="1">{#N/A,#N/A,FALSE,"cover";#N/A,#N/A,FALSE,"page_1";#N/A,#N/A,FALSE,"page_2";#N/A,#N/A,FALSE,"page_3";#N/A,#N/A,FALSE,"page_4"}</definedName>
    <definedName name="wrn.Calulation._.Sheets._3" localSheetId="3" hidden="1">{#N/A,#N/A,FALSE,"cover";#N/A,#N/A,FALSE,"page_1";#N/A,#N/A,FALSE,"page_2";#N/A,#N/A,FALSE,"page_3";#N/A,#N/A,FALSE,"page_4"}</definedName>
    <definedName name="wrn.Calulation._.Sheets._3" hidden="1">{#N/A,#N/A,FALSE,"cover";#N/A,#N/A,FALSE,"page_1";#N/A,#N/A,FALSE,"page_2";#N/A,#N/A,FALSE,"page_3";#N/A,#N/A,FALSE,"page_4"}</definedName>
    <definedName name="wrn.Calulation._.Sheets._4" localSheetId="10" hidden="1">{#N/A,#N/A,FALSE,"cover";#N/A,#N/A,FALSE,"page_1";#N/A,#N/A,FALSE,"page_2";#N/A,#N/A,FALSE,"page_3";#N/A,#N/A,FALSE,"page_4"}</definedName>
    <definedName name="wrn.Calulation._.Sheets._4" localSheetId="3" hidden="1">{#N/A,#N/A,FALSE,"cover";#N/A,#N/A,FALSE,"page_1";#N/A,#N/A,FALSE,"page_2";#N/A,#N/A,FALSE,"page_3";#N/A,#N/A,FALSE,"page_4"}</definedName>
    <definedName name="wrn.Calulation._.Sheets._4" hidden="1">{#N/A,#N/A,FALSE,"cover";#N/A,#N/A,FALSE,"page_1";#N/A,#N/A,FALSE,"page_2";#N/A,#N/A,FALSE,"page_3";#N/A,#N/A,FALSE,"page_4"}</definedName>
    <definedName name="wrn.Calulation._.Sheets._5" localSheetId="10" hidden="1">{#N/A,#N/A,FALSE,"cover";#N/A,#N/A,FALSE,"page_1";#N/A,#N/A,FALSE,"page_2";#N/A,#N/A,FALSE,"page_3";#N/A,#N/A,FALSE,"page_4"}</definedName>
    <definedName name="wrn.Calulation._.Sheets._5" localSheetId="3" hidden="1">{#N/A,#N/A,FALSE,"cover";#N/A,#N/A,FALSE,"page_1";#N/A,#N/A,FALSE,"page_2";#N/A,#N/A,FALSE,"page_3";#N/A,#N/A,FALSE,"page_4"}</definedName>
    <definedName name="wrn.Calulation._.Sheets._5" hidden="1">{#N/A,#N/A,FALSE,"cover";#N/A,#N/A,FALSE,"page_1";#N/A,#N/A,FALSE,"page_2";#N/A,#N/A,FALSE,"page_3";#N/A,#N/A,FALSE,"page_4"}</definedName>
    <definedName name="wrn.Cash._.Flow." localSheetId="10" hidden="1">{"Cash Flow",#N/A,FALSE,"Input"}</definedName>
    <definedName name="wrn.Cash._.Flow." localSheetId="3" hidden="1">{"Cash Flow",#N/A,FALSE,"Input"}</definedName>
    <definedName name="wrn.Cash._.Flow." hidden="1">{"Cash Flow",#N/A,FALSE,"Input"}</definedName>
    <definedName name="wrn.Città." localSheetId="10" hidden="1">{#N/A,#N/A,FALSE,"Città XXX"}</definedName>
    <definedName name="wrn.Città." localSheetId="3" hidden="1">{#N/A,#N/A,FALSE,"Città XXX"}</definedName>
    <definedName name="wrn.Città." hidden="1">{#N/A,#N/A,FALSE,"Città XXX"}</definedName>
    <definedName name="wrn.Civilistico." localSheetId="10" hidden="1">{"EM civilistico",#N/A,FALSE,"EM civilistico";"Civilistico greggi",#N/A,FALSE,"Civilistico";"Civilistico semilavorati",#N/A,FALSE,"Civilistico";"Civilistico prodotti",#N/A,FALSE,"Civilistico"}</definedName>
    <definedName name="wrn.Civilistico." localSheetId="3" hidden="1">{"EM civilistico",#N/A,FALSE,"EM civilistico";"Civilistico greggi",#N/A,FALSE,"Civilistico";"Civilistico semilavorati",#N/A,FALSE,"Civilistico";"Civilistico prodotti",#N/A,FALSE,"Civilistico"}</definedName>
    <definedName name="wrn.Civilistico." hidden="1">{"EM civilistico",#N/A,FALSE,"EM civilistico";"Civilistico greggi",#N/A,FALSE,"Civilistico";"Civilistico semilavorati",#N/A,FALSE,"Civilistico";"Civilistico prodotti",#N/A,FALSE,"Civilistico"}</definedName>
    <definedName name="wrn.Civilistico._.VBM._.dic._.IIfcst." localSheetId="10" hidden="1">{"Civilistico greggi IIfcst","II forecast 98",FALSE,"Civilistico";"Civilistico sml IIfcst","II forecast 98",FALSE,"Civilistico";"Civilistico prod IIfcst","II forecast 98",FALSE,"Civilistico";"EM civilistico VBM5","II forecast 98",FALSE,"Civilistico"}</definedName>
    <definedName name="wrn.Civilistico._.VBM._.dic._.IIfcst." localSheetId="3" hidden="1">{"Civilistico greggi IIfcst","II forecast 98",FALSE,"Civilistico";"Civilistico sml IIfcst","II forecast 98",FALSE,"Civilistico";"Civilistico prod IIfcst","II forecast 98",FALSE,"Civilistico";"EM civilistico VBM5","II forecast 98",FALSE,"Civilistico"}</definedName>
    <definedName name="wrn.Civilistico._.VBM._.dic._.IIfcst." hidden="1">{"Civilistico greggi IIfcst","II forecast 98",FALSE,"Civilistico";"Civilistico sml IIfcst","II forecast 98",FALSE,"Civilistico";"Civilistico prod IIfcst","II forecast 98",FALSE,"Civilistico";"EM civilistico VBM5","II forecast 98",FALSE,"Civilistico"}</definedName>
    <definedName name="wrn.Civilistico._.VBM._.dic._.IIfcst._.sval." localSheetId="10" hidden="1">{"Civilistico greggi IIfcst_sval",#N/A,FALSE,"Civilistico";"Civilistico sml IIfcst_sval",#N/A,FALSE,"Civilistico";"Civilistico prod IIfcst_sval",#N/A,FALSE,"Civilistico"}</definedName>
    <definedName name="wrn.Civilistico._.VBM._.dic._.IIfcst._.sval." localSheetId="3" hidden="1">{"Civilistico greggi IIfcst_sval",#N/A,FALSE,"Civilistico";"Civilistico sml IIfcst_sval",#N/A,FALSE,"Civilistico";"Civilistico prod IIfcst_sval",#N/A,FALSE,"Civilistico"}</definedName>
    <definedName name="wrn.Civilistico._.VBM._.dic._.IIfcst._.sval." hidden="1">{"Civilistico greggi IIfcst_sval",#N/A,FALSE,"Civilistico";"Civilistico sml IIfcst_sval",#N/A,FALSE,"Civilistico";"Civilistico prod IIfcst_sval",#N/A,FALSE,"Civilistico"}</definedName>
    <definedName name="wrn.Civilistico._.VBM._.maggio." localSheetId="10" hidden="1">{"Civilistico greggi VBM5",#N/A,FALSE,"Civilistico";"Civilistico semilavorati VBM5",#N/A,FALSE,"Civilistico";"Civilistico prodotti VBM5",#N/A,FALSE,"Civilistico"}</definedName>
    <definedName name="wrn.Civilistico._.VBM._.maggio." localSheetId="3" hidden="1">{"Civilistico greggi VBM5",#N/A,FALSE,"Civilistico";"Civilistico semilavorati VBM5",#N/A,FALSE,"Civilistico";"Civilistico prodotti VBM5",#N/A,FALSE,"Civilistico"}</definedName>
    <definedName name="wrn.Civilistico._.VBM._.maggio." hidden="1">{"Civilistico greggi VBM5",#N/A,FALSE,"Civilistico";"Civilistico semilavorati VBM5",#N/A,FALSE,"Civilistico";"Civilistico prodotti VBM5",#N/A,FALSE,"Civilistico"}</definedName>
    <definedName name="wrn.COMP._.EFETIVO._.X._.REV._.I." localSheetId="10" hidden="1">{#N/A,#N/A,FALSE,"REV I X EFET"}</definedName>
    <definedName name="wrn.COMP._.EFETIVO._.X._.REV._.I." localSheetId="3" hidden="1">{#N/A,#N/A,FALSE,"REV I X EFET"}</definedName>
    <definedName name="wrn.COMP._.EFETIVO._.X._.REV._.I." hidden="1">{#N/A,#N/A,FALSE,"REV I X EFET"}</definedName>
    <definedName name="wrn.Consolidato." localSheetId="10" hidden="1">{#N/A,#N/A,FALSE,"Consolidato"}</definedName>
    <definedName name="wrn.Consolidato." localSheetId="3" hidden="1">{#N/A,#N/A,FALSE,"Consolidato"}</definedName>
    <definedName name="wrn.Consolidato." hidden="1">{#N/A,#N/A,FALSE,"Consolidato"}</definedName>
    <definedName name="wrn.CONTA." localSheetId="10" hidden="1">{"WINTERTHUR",#N/A,FALSE,"CRESTOT";"SKF",#N/A,FALSE,"CRESTOT"}</definedName>
    <definedName name="wrn.CONTA." localSheetId="3" hidden="1">{"WINTERTHUR",#N/A,FALSE,"CRESTOT";"SKF",#N/A,FALSE,"CRESTOT"}</definedName>
    <definedName name="wrn.CONTA." hidden="1">{"WINTERTHUR",#N/A,FALSE,"CRESTOT";"SKF",#N/A,FALSE,"CRESTOT"}</definedName>
    <definedName name="wrn.CONTAWIN." localSheetId="10" hidden="1">{"WINTERTHUR",#N/A,FALSE,"CRESTOT";"SKF",#N/A,FALSE,"CRESTOT";"PR",#N/A,FALSE,"PARTIC"}</definedName>
    <definedName name="wrn.CONTAWIN." localSheetId="3" hidden="1">{"WINTERTHUR",#N/A,FALSE,"CRESTOT";"SKF",#N/A,FALSE,"CRESTOT";"PR",#N/A,FALSE,"PARTIC"}</definedName>
    <definedName name="wrn.CONTAWIN." hidden="1">{"WINTERTHUR",#N/A,FALSE,"CRESTOT";"SKF",#N/A,FALSE,"CRESTOT";"PR",#N/A,FALSE,"PARTIC"}</definedName>
    <definedName name="wrn.CONTINGENCY." localSheetId="10" hidden="1">{#N/A,#N/A,TRUE,"CONTINGENCY"}</definedName>
    <definedName name="wrn.CONTINGENCY." localSheetId="3" hidden="1">{#N/A,#N/A,TRUE,"CONTINGENCY"}</definedName>
    <definedName name="wrn.CONTINGENCY." hidden="1">{#N/A,#N/A,TRUE,"CONTINGENCY"}</definedName>
    <definedName name="wrn.CONTINGENCY._1" localSheetId="10" hidden="1">{#N/A,#N/A,TRUE,"CONTINGENCY"}</definedName>
    <definedName name="wrn.CONTINGENCY._1" localSheetId="3" hidden="1">{#N/A,#N/A,TRUE,"CONTINGENCY"}</definedName>
    <definedName name="wrn.CONTINGENCY._1" hidden="1">{#N/A,#N/A,TRUE,"CONTINGENCY"}</definedName>
    <definedName name="wrn.CONTINGENCY._2" localSheetId="10" hidden="1">{#N/A,#N/A,TRUE,"CONTINGENCY"}</definedName>
    <definedName name="wrn.CONTINGENCY._2" localSheetId="3" hidden="1">{#N/A,#N/A,TRUE,"CONTINGENCY"}</definedName>
    <definedName name="wrn.CONTINGENCY._2" hidden="1">{#N/A,#N/A,TRUE,"CONTINGENCY"}</definedName>
    <definedName name="wrn.CONTINGENCY._3" localSheetId="10" hidden="1">{#N/A,#N/A,TRUE,"CONTINGENCY"}</definedName>
    <definedName name="wrn.CONTINGENCY._3" localSheetId="3" hidden="1">{#N/A,#N/A,TRUE,"CONTINGENCY"}</definedName>
    <definedName name="wrn.CONTINGENCY._3" hidden="1">{#N/A,#N/A,TRUE,"CONTINGENCY"}</definedName>
    <definedName name="wrn.CONTINGENCY._4" localSheetId="10" hidden="1">{#N/A,#N/A,TRUE,"CONTINGENCY"}</definedName>
    <definedName name="wrn.CONTINGENCY._4" localSheetId="3" hidden="1">{#N/A,#N/A,TRUE,"CONTINGENCY"}</definedName>
    <definedName name="wrn.CONTINGENCY._4" hidden="1">{#N/A,#N/A,TRUE,"CONTINGENCY"}</definedName>
    <definedName name="wrn.CONTINGENCY._5" localSheetId="10" hidden="1">{#N/A,#N/A,TRUE,"CONTINGENCY"}</definedName>
    <definedName name="wrn.CONTINGENCY._5" localSheetId="3" hidden="1">{#N/A,#N/A,TRUE,"CONTINGENCY"}</definedName>
    <definedName name="wrn.CONTINGENCY._5" hidden="1">{#N/A,#N/A,TRUE,"CONTINGENCY"}</definedName>
    <definedName name="wrn.CSO._.Meeting._.Report." localSheetId="10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wrn.CSO._.Meeting._.Report." localSheetId="3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wrn.CSO._.Meeting._.Report." hidden="1">{"CSO Actual and Forecast Sales",#N/A,FALSE,"CSO Actual and Forecast Sales";"CSO Mill and Export Market Shares",#N/A,FALSE,"Pre-CSO Mill, Export Rev Split";"Pre-CSO Mill and Export Revenue Split",#N/A,FALSE,"Pre-CSO Mill, Export Rev Split";"Full Pre-CSO Mill and Export Revenue Split",#N/A,FALSE,"Pre-CSO Mill, Export Rev Split"}</definedName>
    <definedName name="wrn.DADOS._.FACTURA_DF." localSheetId="10" hidden="1">{"DADOS FACTURA_DF",#N/A,FALSE,"CMD_846";"RECEITA MENSAL",#N/A,FALSE,"CMD_846";"ANEXOS DA FACTURA",#N/A,FALSE,"CMD_846"}</definedName>
    <definedName name="wrn.DADOS._.FACTURA_DF." localSheetId="3" hidden="1">{"DADOS FACTURA_DF",#N/A,FALSE,"CMD_846";"RECEITA MENSAL",#N/A,FALSE,"CMD_846";"ANEXOS DA FACTURA",#N/A,FALSE,"CMD_846"}</definedName>
    <definedName name="wrn.DADOS._.FACTURA_DF." hidden="1">{"DADOS FACTURA_DF",#N/A,FALSE,"CMD_846";"RECEITA MENSAL",#N/A,FALSE,"CMD_846";"ANEXOS DA FACTURA",#N/A,FALSE,"CMD_846"}</definedName>
    <definedName name="wrn.DAILYFX." localSheetId="10" hidden="1">{"MAIN",#N/A,FALSE,"EXCCONT";"SYST",#N/A,FALSE,"EXCCONT"}</definedName>
    <definedName name="wrn.DAILYFX." localSheetId="3" hidden="1">{"MAIN",#N/A,FALSE,"EXCCONT";"SYST",#N/A,FALSE,"EXCCONT"}</definedName>
    <definedName name="wrn.DAILYFX." hidden="1">{"MAIN",#N/A,FALSE,"EXCCONT";"SYST",#N/A,FALSE,"EXCCONT"}</definedName>
    <definedName name="wrn.DAILYFX._1" localSheetId="10" hidden="1">{"MAIN",#N/A,FALSE,"EXCCONT";"SYST",#N/A,FALSE,"EXCCONT"}</definedName>
    <definedName name="wrn.DAILYFX._1" localSheetId="3" hidden="1">{"MAIN",#N/A,FALSE,"EXCCONT";"SYST",#N/A,FALSE,"EXCCONT"}</definedName>
    <definedName name="wrn.DAILYFX._1" hidden="1">{"MAIN",#N/A,FALSE,"EXCCONT";"SYST",#N/A,FALSE,"EXCCONT"}</definedName>
    <definedName name="wrn.DAILYFX._2" localSheetId="10" hidden="1">{"MAIN",#N/A,FALSE,"EXCCONT";"SYST",#N/A,FALSE,"EXCCONT"}</definedName>
    <definedName name="wrn.DAILYFX._2" localSheetId="3" hidden="1">{"MAIN",#N/A,FALSE,"EXCCONT";"SYST",#N/A,FALSE,"EXCCONT"}</definedName>
    <definedName name="wrn.DAILYFX._2" hidden="1">{"MAIN",#N/A,FALSE,"EXCCONT";"SYST",#N/A,FALSE,"EXCCONT"}</definedName>
    <definedName name="wrn.DAILYFX._3" localSheetId="10" hidden="1">{"MAIN",#N/A,FALSE,"EXCCONT";"SYST",#N/A,FALSE,"EXCCONT"}</definedName>
    <definedName name="wrn.DAILYFX._3" localSheetId="3" hidden="1">{"MAIN",#N/A,FALSE,"EXCCONT";"SYST",#N/A,FALSE,"EXCCONT"}</definedName>
    <definedName name="wrn.DAILYFX._3" hidden="1">{"MAIN",#N/A,FALSE,"EXCCONT";"SYST",#N/A,FALSE,"EXCCONT"}</definedName>
    <definedName name="wrn.DAILYFX._4" localSheetId="10" hidden="1">{"MAIN",#N/A,FALSE,"EXCCONT";"SYST",#N/A,FALSE,"EXCCONT"}</definedName>
    <definedName name="wrn.DAILYFX._4" localSheetId="3" hidden="1">{"MAIN",#N/A,FALSE,"EXCCONT";"SYST",#N/A,FALSE,"EXCCONT"}</definedName>
    <definedName name="wrn.DAILYFX._4" hidden="1">{"MAIN",#N/A,FALSE,"EXCCONT";"SYST",#N/A,FALSE,"EXCCONT"}</definedName>
    <definedName name="wrn.DAILYFX._5" localSheetId="10" hidden="1">{"MAIN",#N/A,FALSE,"EXCCONT";"SYST",#N/A,FALSE,"EXCCONT"}</definedName>
    <definedName name="wrn.DAILYFX._5" localSheetId="3" hidden="1">{"MAIN",#N/A,FALSE,"EXCCONT";"SYST",#N/A,FALSE,"EXCCONT"}</definedName>
    <definedName name="wrn.DAILYFX._5" hidden="1">{"MAIN",#N/A,FALSE,"EXCCONT";"SYST",#N/A,FALSE,"EXCCONT"}</definedName>
    <definedName name="wrn.Detailed._.print." localSheetId="10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localSheetId="3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etailed._.print." hidden="1">{#N/A,#N/A,FALSE,"TabA";#N/A,#N/A,FALSE,"UTopxFx98";#N/A,#N/A,FALSE,"TopxFx98";#N/A,#N/A,FALSE,"TopxNom";#N/A,#N/A,FALSE,"UcFx98";#N/A,#N/A,FALSE,"CopxFx98";#N/A,#N/A,FALSE,"UcFx97";#N/A,#N/A,FALSE,"CopxFx97";#N/A,#N/A,FALSE,"UcNom";#N/A,#N/A,FALSE,"UcNomEni";#N/A,#N/A,FALSE,"UnFx98";#N/A,#N/A,FALSE,"NopxFx98";#N/A,#N/A,FALSE,"UnFx97";#N/A,#N/A,FALSE,"NopxFx97";#N/A,#N/A,FALSE,"UnNom";#N/A,#N/A,FALSE,"UnNomEni";#N/A,#N/A,FALSE,"TabC";#N/A,#N/A,FALSE,"CopxNom";#N/A,#N/A,FALSE,"CopxUSD";#N/A,#N/A,FALSE,"CopxUSDPct";#N/A,#N/A,FALSE,"CopxLoc";#N/A,#N/A,FALSE,"NopxNom";#N/A,#N/A,FALSE,"NopxUSD";#N/A,#N/A,FALSE,"NopxUSDPct";#N/A,#N/A,FALSE,"NopxLoc";#N/A,#N/A,FALSE,"ForexR";#N/A,#N/A,FALSE,"MoebGwi";#N/A,#N/A,FALSE,"MoebEni";#N/A,#N/A,FALSE,"GwiEniFac";#N/A,#N/A,FALSE,"TabD";#N/A,#N/A,FALSE,"KoebdENI";#N/A,#N/A,FALSE,"StatSuppl"}</definedName>
    <definedName name="wrn.DIVPLEC." localSheetId="10" hidden="1">{#N/A,#N/A,FALSE,"GFPLEC96"}</definedName>
    <definedName name="wrn.DIVPLEC." localSheetId="3" hidden="1">{#N/A,#N/A,FALSE,"GFPLEC96"}</definedName>
    <definedName name="wrn.DIVPLEC." hidden="1">{#N/A,#N/A,FALSE,"GFPLEC96"}</definedName>
    <definedName name="wrn.Econ.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wrn.Econ.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wrn.Econ.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wrn.ENTRADA._.DADOS." localSheetId="10" hidden="1">{"ENTRADA DADOS",#N/A,FALSE,"CMD_846"}</definedName>
    <definedName name="wrn.ENTRADA._.DADOS." localSheetId="3" hidden="1">{"ENTRADA DADOS",#N/A,FALSE,"CMD_846"}</definedName>
    <definedName name="wrn.ENTRADA._.DADOS." hidden="1">{"ENTRADA DADOS",#N/A,FALSE,"CMD_846"}</definedName>
    <definedName name="wrn.Equipment._.List." localSheetId="10" hidden="1">{#N/A,#N/A,TRUE,"COVERSHEET";#N/A,#N/A,TRUE,"LEGEND";#N/A,#N/A,TRUE,"LIST"}</definedName>
    <definedName name="wrn.Equipment._.List." localSheetId="3" hidden="1">{#N/A,#N/A,TRUE,"COVERSHEET";#N/A,#N/A,TRUE,"LEGEND";#N/A,#N/A,TRUE,"LIST"}</definedName>
    <definedName name="wrn.Equipment._.List." hidden="1">{#N/A,#N/A,TRUE,"COVERSHEET";#N/A,#N/A,TRUE,"LEGEND";#N/A,#N/A,TRUE,"LIST"}</definedName>
    <definedName name="wrn.Equipment._.List._1" localSheetId="10" hidden="1">{#N/A,#N/A,TRUE,"COVERSHEET";#N/A,#N/A,TRUE,"LEGEND";#N/A,#N/A,TRUE,"LIST"}</definedName>
    <definedName name="wrn.Equipment._.List._1" localSheetId="3" hidden="1">{#N/A,#N/A,TRUE,"COVERSHEET";#N/A,#N/A,TRUE,"LEGEND";#N/A,#N/A,TRUE,"LIST"}</definedName>
    <definedName name="wrn.Equipment._.List._1" hidden="1">{#N/A,#N/A,TRUE,"COVERSHEET";#N/A,#N/A,TRUE,"LEGEND";#N/A,#N/A,TRUE,"LIST"}</definedName>
    <definedName name="wrn.Equipment._.List._2" localSheetId="10" hidden="1">{#N/A,#N/A,TRUE,"COVERSHEET";#N/A,#N/A,TRUE,"LEGEND";#N/A,#N/A,TRUE,"LIST"}</definedName>
    <definedName name="wrn.Equipment._.List._2" localSheetId="3" hidden="1">{#N/A,#N/A,TRUE,"COVERSHEET";#N/A,#N/A,TRUE,"LEGEND";#N/A,#N/A,TRUE,"LIST"}</definedName>
    <definedName name="wrn.Equipment._.List._2" hidden="1">{#N/A,#N/A,TRUE,"COVERSHEET";#N/A,#N/A,TRUE,"LEGEND";#N/A,#N/A,TRUE,"LIST"}</definedName>
    <definedName name="wrn.Equipment._.List._3" localSheetId="10" hidden="1">{#N/A,#N/A,TRUE,"COVERSHEET";#N/A,#N/A,TRUE,"LEGEND";#N/A,#N/A,TRUE,"LIST"}</definedName>
    <definedName name="wrn.Equipment._.List._3" localSheetId="3" hidden="1">{#N/A,#N/A,TRUE,"COVERSHEET";#N/A,#N/A,TRUE,"LEGEND";#N/A,#N/A,TRUE,"LIST"}</definedName>
    <definedName name="wrn.Equipment._.List._3" hidden="1">{#N/A,#N/A,TRUE,"COVERSHEET";#N/A,#N/A,TRUE,"LEGEND";#N/A,#N/A,TRUE,"LIST"}</definedName>
    <definedName name="wrn.Equipment._.List._4" localSheetId="10" hidden="1">{#N/A,#N/A,TRUE,"COVERSHEET";#N/A,#N/A,TRUE,"LEGEND";#N/A,#N/A,TRUE,"LIST"}</definedName>
    <definedName name="wrn.Equipment._.List._4" localSheetId="3" hidden="1">{#N/A,#N/A,TRUE,"COVERSHEET";#N/A,#N/A,TRUE,"LEGEND";#N/A,#N/A,TRUE,"LIST"}</definedName>
    <definedName name="wrn.Equipment._.List._4" hidden="1">{#N/A,#N/A,TRUE,"COVERSHEET";#N/A,#N/A,TRUE,"LEGEND";#N/A,#N/A,TRUE,"LIST"}</definedName>
    <definedName name="wrn.Equipment._.List._5" localSheetId="10" hidden="1">{#N/A,#N/A,TRUE,"COVERSHEET";#N/A,#N/A,TRUE,"LEGEND";#N/A,#N/A,TRUE,"LIST"}</definedName>
    <definedName name="wrn.Equipment._.List._5" localSheetId="3" hidden="1">{#N/A,#N/A,TRUE,"COVERSHEET";#N/A,#N/A,TRUE,"LEGEND";#N/A,#N/A,TRUE,"LIST"}</definedName>
    <definedName name="wrn.Equipment._.List._5" hidden="1">{#N/A,#N/A,TRUE,"COVERSHEET";#N/A,#N/A,TRUE,"LEGEND";#N/A,#N/A,TRUE,"LIST"}</definedName>
    <definedName name="wrn.Estimate._.Costs." localSheetId="10" hidden="1">{#N/A,#N/A,TRUE,"Cover";#N/A,#N/A,TRUE,"SUM";#N/A,#N/A,TRUE,"MAN";#N/A,#N/A,TRUE,"RESRC";#N/A,#N/A,TRUE,"SUBS";#N/A,#N/A,TRUE,"HIRE";#N/A,#N/A,TRUE,"SITE ESTAB";#N/A,#N/A,TRUE,"MAT"}</definedName>
    <definedName name="wrn.Estimate._.Costs." localSheetId="3" hidden="1">{#N/A,#N/A,TRUE,"Cover";#N/A,#N/A,TRUE,"SUM";#N/A,#N/A,TRUE,"MAN";#N/A,#N/A,TRUE,"RESRC";#N/A,#N/A,TRUE,"SUBS";#N/A,#N/A,TRUE,"HIRE";#N/A,#N/A,TRUE,"SITE ESTAB";#N/A,#N/A,TRUE,"MAT"}</definedName>
    <definedName name="wrn.Estimate._.Costs." hidden="1">{#N/A,#N/A,TRUE,"Cover";#N/A,#N/A,TRUE,"SUM";#N/A,#N/A,TRUE,"MAN";#N/A,#N/A,TRUE,"RESRC";#N/A,#N/A,TRUE,"SUBS";#N/A,#N/A,TRUE,"HIRE";#N/A,#N/A,TRUE,"SITE ESTAB";#N/A,#N/A,TRUE,"MAT"}</definedName>
    <definedName name="wrn.Everything." localSheetId="10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wrn.Everything." localSheetId="3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wrn.Everything.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wrn.EXTERNAL." localSheetId="10" hidden="1">{#N/A,#N/A,TRUE,"Ext Sum - Overall";#N/A,#N/A,TRUE,"Ext Sum - Dehy";#N/A,#N/A,TRUE,"Ext Sum - Gas Proc";#N/A,#N/A,TRUE,"Ext Sum - Pipeline "}</definedName>
    <definedName name="wrn.EXTERNAL." localSheetId="3" hidden="1">{#N/A,#N/A,TRUE,"Ext Sum - Overall";#N/A,#N/A,TRUE,"Ext Sum - Dehy";#N/A,#N/A,TRUE,"Ext Sum - Gas Proc";#N/A,#N/A,TRUE,"Ext Sum - Pipeline "}</definedName>
    <definedName name="wrn.EXTERNAL." hidden="1">{#N/A,#N/A,TRUE,"Ext Sum - Overall";#N/A,#N/A,TRUE,"Ext Sum - Dehy";#N/A,#N/A,TRUE,"Ext Sum - Gas Proc";#N/A,#N/A,TRUE,"Ext Sum - Pipeline "}</definedName>
    <definedName name="wrn.EXTERNAL._.SUMS." localSheetId="10" hidden="1">{"EXT_OSUM",#N/A,FALSE,"Overall Int Sum Case 1A";"EXT_3100",#N/A,FALSE,"Int &amp; Ext Sum 3100";"EXT_4100",#N/A,FALSE,"Int &amp; Ext Sum 4100";"EXT_4200",#N/A,FALSE,"Int &amp; Ext Sum 4200";"EXT_4400",#N/A,FALSE,"Int &amp; Ext Sum 4400";"EXT_4500",#N/A,FALSE,"Int &amp; Ext Sum 4500";"EXT_5000",#N/A,FALSE,"Int &amp; Ext Sum 5000";"EXT_6000",#N/A,FALSE,"Int &amp; Ext Sum 6000"}</definedName>
    <definedName name="wrn.EXTERNAL._.SUMS." localSheetId="3" hidden="1">{"EXT_OSUM",#N/A,FALSE,"Overall Int Sum Case 1A";"EXT_3100",#N/A,FALSE,"Int &amp; Ext Sum 3100";"EXT_4100",#N/A,FALSE,"Int &amp; Ext Sum 4100";"EXT_4200",#N/A,FALSE,"Int &amp; Ext Sum 4200";"EXT_4400",#N/A,FALSE,"Int &amp; Ext Sum 4400";"EXT_4500",#N/A,FALSE,"Int &amp; Ext Sum 4500";"EXT_5000",#N/A,FALSE,"Int &amp; Ext Sum 5000";"EXT_6000",#N/A,FALSE,"Int &amp; Ext Sum 6000"}</definedName>
    <definedName name="wrn.EXTERNAL._.SUMS." hidden="1">{"EXT_OSUM",#N/A,FALSE,"Overall Int Sum Case 1A";"EXT_3100",#N/A,FALSE,"Int &amp; Ext Sum 3100";"EXT_4100",#N/A,FALSE,"Int &amp; Ext Sum 4100";"EXT_4200",#N/A,FALSE,"Int &amp; Ext Sum 4200";"EXT_4400",#N/A,FALSE,"Int &amp; Ext Sum 4400";"EXT_4500",#N/A,FALSE,"Int &amp; Ext Sum 4500";"EXT_5000",#N/A,FALSE,"Int &amp; Ext Sum 5000";"EXT_6000",#N/A,FALSE,"Int &amp; Ext Sum 6000"}</definedName>
    <definedName name="wrn.Fin." localSheetId="10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wrn.Fin." localSheetId="3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wrn.Fin." hidden="1">{#N/A,#N/A,FALSE,"R1";#N/A,#N/A,FALSE,"R2";#N/A,#N/A,FALSE,"R3";#N/A,#N/A,FALSE,"F1";#N/A,#N/A,FALSE,"F2";#N/A,#N/A,FALSE,"F3";#N/A,#N/A,FALSE,"I1";#N/A,#N/A,FALSE,"I2";#N/A,#N/A,FALSE,"P1";#N/A,#N/A,FALSE,"P2";#N/A,#N/A,FALSE,"D1";#N/A,#N/A,FALSE,"D2";#N/A,#N/A,FALSE,"D3";#N/A,#N/A,FALSE,"A1";#N/A,#N/A,FALSE,"A2";#N/A,#N/A,FALSE,"A3";#N/A,#N/A,FALSE,"A4"}</definedName>
    <definedName name="wrn.FLEXIBLE._.SUPPLY._.ONLY.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1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1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1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2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2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2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3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3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4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4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4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5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5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LEXIBLE._.SUPPLY._.ONLY._5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OTHER";#N/A,#N/A,TRUE,"FLEXIBLES";#N/A,#N/A,TRUE,"BASKET &amp; REELS";#N/A,#N/A,TRUE,"OAU OTHER SUPPLY";#N/A,#N/A,TRUE,"TRANSPORT";#N/A,#N/A,TRUE,"SUBCONTRACTING"}</definedName>
    <definedName name="wrn.Fondi." localSheetId="10" hidden="1">{"Fondi greggi",#N/A,FALSE,"Storico fiscale";"Fondi semilavorati",#N/A,FALSE,"Storico fiscale";"Fondi prodotti",#N/A,FALSE,"Storico fiscale"}</definedName>
    <definedName name="wrn.Fondi." localSheetId="3" hidden="1">{"Fondi greggi",#N/A,FALSE,"Storico fiscale";"Fondi semilavorati",#N/A,FALSE,"Storico fiscale";"Fondi prodotti",#N/A,FALSE,"Storico fiscale"}</definedName>
    <definedName name="wrn.Fondi." hidden="1">{"Fondi greggi",#N/A,FALSE,"Storico fiscale";"Fondi semilavorati",#N/A,FALSE,"Storico fiscale";"Fondi prodotti",#N/A,FALSE,"Storico fiscale"}</definedName>
    <definedName name="WRN.FRF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FRF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FRF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FRONT._.SHEET." localSheetId="10" hidden="1">{#N/A,#N/A,FALSE,"FRONT"}</definedName>
    <definedName name="wrn.FRONT._.SHEET." localSheetId="3" hidden="1">{#N/A,#N/A,FALSE,"FRONT"}</definedName>
    <definedName name="wrn.FRONT._.SHEET." hidden="1">{#N/A,#N/A,FALSE,"FRONT"}</definedName>
    <definedName name="wrn.FRONT._.SHEET._1" localSheetId="10" hidden="1">{#N/A,#N/A,FALSE,"FRONT"}</definedName>
    <definedName name="wrn.FRONT._.SHEET._1" localSheetId="3" hidden="1">{#N/A,#N/A,FALSE,"FRONT"}</definedName>
    <definedName name="wrn.FRONT._.SHEET._1" hidden="1">{#N/A,#N/A,FALSE,"FRONT"}</definedName>
    <definedName name="wrn.FRONT._.SHEET._2" localSheetId="10" hidden="1">{#N/A,#N/A,FALSE,"FRONT"}</definedName>
    <definedName name="wrn.FRONT._.SHEET._2" localSheetId="3" hidden="1">{#N/A,#N/A,FALSE,"FRONT"}</definedName>
    <definedName name="wrn.FRONT._.SHEET._2" hidden="1">{#N/A,#N/A,FALSE,"FRONT"}</definedName>
    <definedName name="wrn.FRONT._.SHEET._3" localSheetId="10" hidden="1">{#N/A,#N/A,FALSE,"FRONT"}</definedName>
    <definedName name="wrn.FRONT._.SHEET._3" localSheetId="3" hidden="1">{#N/A,#N/A,FALSE,"FRONT"}</definedName>
    <definedName name="wrn.FRONT._.SHEET._3" hidden="1">{#N/A,#N/A,FALSE,"FRONT"}</definedName>
    <definedName name="wrn.FRONT._.SHEET._4" localSheetId="10" hidden="1">{#N/A,#N/A,FALSE,"FRONT"}</definedName>
    <definedName name="wrn.FRONT._.SHEET._4" localSheetId="3" hidden="1">{#N/A,#N/A,FALSE,"FRONT"}</definedName>
    <definedName name="wrn.FRONT._.SHEET._4" hidden="1">{#N/A,#N/A,FALSE,"FRONT"}</definedName>
    <definedName name="wrn.FRONT._.SHEET._5" localSheetId="10" hidden="1">{#N/A,#N/A,FALSE,"FRONT"}</definedName>
    <definedName name="wrn.FRONT._.SHEET._5" localSheetId="3" hidden="1">{#N/A,#N/A,FALSE,"FRONT"}</definedName>
    <definedName name="wrn.FRONT._.SHEET._5" hidden="1">{#N/A,#N/A,FALSE,"FRONT"}</definedName>
    <definedName name="wrn.Full._.Print." localSheetId="10" hidden="1">{#N/A,#N/A,FALSE,"Titles";#N/A,#N/A,FALSE,"Ts&amp;Cs";#N/A,#N/A,FALSE,"Variables";#N/A,#N/A,FALSE,"Labour"}</definedName>
    <definedName name="wrn.Full._.Print." localSheetId="3" hidden="1">{#N/A,#N/A,FALSE,"Titles";#N/A,#N/A,FALSE,"Ts&amp;Cs";#N/A,#N/A,FALSE,"Variables";#N/A,#N/A,FALSE,"Labour"}</definedName>
    <definedName name="wrn.Full._.Print." hidden="1">{#N/A,#N/A,FALSE,"Titles";#N/A,#N/A,FALSE,"Ts&amp;Cs";#N/A,#N/A,FALSE,"Variables";#N/A,#N/A,FALSE,"Labour"}</definedName>
    <definedName name="wrn.Full._.Prrint1." localSheetId="10" hidden="1">{#N/A,#N/A,FALSE,"Titles";#N/A,#N/A,FALSE,"Ts&amp;Cs";#N/A,#N/A,FALSE,"Variables";#N/A,#N/A,FALSE,"Labour"}</definedName>
    <definedName name="wrn.Full._.Prrint1." localSheetId="3" hidden="1">{#N/A,#N/A,FALSE,"Titles";#N/A,#N/A,FALSE,"Ts&amp;Cs";#N/A,#N/A,FALSE,"Variables";#N/A,#N/A,FALSE,"Labour"}</definedName>
    <definedName name="wrn.Full._.Prrint1." hidden="1">{#N/A,#N/A,FALSE,"Titles";#N/A,#N/A,FALSE,"Ts&amp;Cs";#N/A,#N/A,FALSE,"Variables";#N/A,#N/A,FALSE,"Labour"}</definedName>
    <definedName name="wrn.FULL._.REPORT." localSheetId="10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" localSheetId="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1" localSheetId="10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1" localSheetId="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1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2" localSheetId="10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2" localSheetId="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2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3" localSheetId="10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3" localSheetId="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4" localSheetId="10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4" localSheetId="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4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5" localSheetId="10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5" localSheetId="3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FULL._.REPORT._5" hidden="1">{#N/A,#N/A,TRUE,"FRONT";#N/A,#N/A,TRUE,"Presentation";"SUMMARY3",#N/A,TRUE,"SUMMARY";#N/A,#N/A,TRUE,"RECAP";#N/A,#N/A,TRUE,"SALES";#N/A,#N/A,TRUE,"PROJECT";"FORECAST",#N/A,TRUE,"PROFIT AND LOSS FORECAST";#N/A,#N/A,TRUE,"CONTINGENCY";#N/A,#N/A,TRUE,"COMM&amp;TAXES";#N/A,#N/A,TRUE,"MNGT-ENG";#N/A,#N/A,TRUE,"BASKET &amp; REELS";#N/A,#N/A,TRUE,"CRANAGE OTHER";#N/A,#N/A,TRUE,"FLEXIBLES";#N/A,#N/A,TRUE,"RIGID";#N/A,#N/A,TRUE,"TRANSPORT";#N/A,#N/A,TRUE,"UMBILICALS";#N/A,#N/A,TRUE,"OAU OTHER SUPPLY";#N/A,#N/A,TRUE,"SUBCONTRACTING";#N/A,#N/A,TRUE,"VESSELS EXTERNAL CSO";#N/A,#N/A,TRUE,"CSO SPREAD 1";#N/A,#N/A,TRUE,"CSO SPREAD 2";#N/A,#N/A,TRUE,"CSO SPREAD 3"}</definedName>
    <definedName name="wrn.GERAL." localSheetId="10" hidden="1">{#N/A,#N/A,FALSE,"GFPLEC96"}</definedName>
    <definedName name="wrn.GERAL." localSheetId="3" hidden="1">{#N/A,#N/A,FALSE,"GFPLEC96"}</definedName>
    <definedName name="wrn.GERAL." hidden="1">{#N/A,#N/A,FALSE,"GFPLEC96"}</definedName>
    <definedName name="wrn.GIDEAL." localSheetId="10" hidden="1">{#N/A,#N/A,FALSE,"GFPLEC96"}</definedName>
    <definedName name="wrn.GIDEAL." localSheetId="3" hidden="1">{#N/A,#N/A,FALSE,"GFPLEC96"}</definedName>
    <definedName name="wrn.GIDEAL." hidden="1">{#N/A,#N/A,FALSE,"GFPLEC96"}</definedName>
    <definedName name="wrn.GRF_1." localSheetId="10" hidden="1">{"VISTA_1",#N/A,FALSE,"GRAFO"}</definedName>
    <definedName name="wrn.GRF_1." localSheetId="3" hidden="1">{"VISTA_1",#N/A,FALSE,"GRAFO"}</definedName>
    <definedName name="wrn.GRF_1." hidden="1">{"VISTA_1",#N/A,FALSE,"GRAFO"}</definedName>
    <definedName name="wrn.Headcount." localSheetId="10" hidden="1">{"Headcount",#N/A,FALSE,"Input"}</definedName>
    <definedName name="wrn.Headcount." localSheetId="3" hidden="1">{"Headcount",#N/A,FALSE,"Input"}</definedName>
    <definedName name="wrn.Headcount." hidden="1">{"Headcount",#N/A,FALSE,"Input"}</definedName>
    <definedName name="wrn.Holding." localSheetId="10" hidden="1">{#N/A,#N/A,FALSE,"Holding"}</definedName>
    <definedName name="wrn.Holding." localSheetId="3" hidden="1">{#N/A,#N/A,FALSE,"Holding"}</definedName>
    <definedName name="wrn.Holding." hidden="1">{#N/A,#N/A,FALSE,"Holding"}</definedName>
    <definedName name="wrn.IARD." localSheetId="10" hidden="1">{#N/A,#N/A,FALSE,"TAB1";#N/A,#N/A,FALSE,"TAB2";#N/A,#N/A,FALSE,"TAB2b";#N/A,#N/A,FALSE,"TAB3";#N/A,#N/A,FALSE,"TAB3b";#N/A,#N/A,FALSE,"TAB4";#N/A,#N/A,FALSE,"TAB5"}</definedName>
    <definedName name="wrn.IARD." localSheetId="3" hidden="1">{#N/A,#N/A,FALSE,"TAB1";#N/A,#N/A,FALSE,"TAB2";#N/A,#N/A,FALSE,"TAB2b";#N/A,#N/A,FALSE,"TAB3";#N/A,#N/A,FALSE,"TAB3b";#N/A,#N/A,FALSE,"TAB4";#N/A,#N/A,FALSE,"TAB5"}</definedName>
    <definedName name="wrn.IARD." hidden="1">{#N/A,#N/A,FALSE,"TAB1";#N/A,#N/A,FALSE,"TAB2";#N/A,#N/A,FALSE,"TAB2b";#N/A,#N/A,FALSE,"TAB3";#N/A,#N/A,FALSE,"TAB3b";#N/A,#N/A,FALSE,"TAB4";#N/A,#N/A,FALSE,"TAB5"}</definedName>
    <definedName name="wrn.Income._.Statement." localSheetId="10" hidden="1">{"Income Statement",#N/A,FALSE,"Input"}</definedName>
    <definedName name="wrn.Income._.Statement." localSheetId="3" hidden="1">{"Income Statement",#N/A,FALSE,"Input"}</definedName>
    <definedName name="wrn.Income._.Statement." hidden="1">{"Income Statement",#N/A,FALSE,"Input"}</definedName>
    <definedName name="wrn.inst.list.5H" localSheetId="10" hidden="1">{#N/A,#N/A,TRUE,"Sheet1";#N/A,#N/A,TRUE,"Sheet2";#N/A,#N/A,TRUE,"Sheet3"}</definedName>
    <definedName name="wrn.inst.list.5H" localSheetId="3" hidden="1">{#N/A,#N/A,TRUE,"Sheet1";#N/A,#N/A,TRUE,"Sheet2";#N/A,#N/A,TRUE,"Sheet3"}</definedName>
    <definedName name="wrn.inst.list.5H" hidden="1">{#N/A,#N/A,TRUE,"Sheet1";#N/A,#N/A,TRUE,"Sheet2";#N/A,#N/A,TRUE,"Sheet3"}</definedName>
    <definedName name="wrn.inst.list.5H_1" localSheetId="10" hidden="1">{#N/A,#N/A,TRUE,"Sheet1";#N/A,#N/A,TRUE,"Sheet2";#N/A,#N/A,TRUE,"Sheet3"}</definedName>
    <definedName name="wrn.inst.list.5H_1" localSheetId="3" hidden="1">{#N/A,#N/A,TRUE,"Sheet1";#N/A,#N/A,TRUE,"Sheet2";#N/A,#N/A,TRUE,"Sheet3"}</definedName>
    <definedName name="wrn.inst.list.5H_1" hidden="1">{#N/A,#N/A,TRUE,"Sheet1";#N/A,#N/A,TRUE,"Sheet2";#N/A,#N/A,TRUE,"Sheet3"}</definedName>
    <definedName name="wrn.inst.list.5H_2" localSheetId="10" hidden="1">{#N/A,#N/A,TRUE,"Sheet1";#N/A,#N/A,TRUE,"Sheet2";#N/A,#N/A,TRUE,"Sheet3"}</definedName>
    <definedName name="wrn.inst.list.5H_2" localSheetId="3" hidden="1">{#N/A,#N/A,TRUE,"Sheet1";#N/A,#N/A,TRUE,"Sheet2";#N/A,#N/A,TRUE,"Sheet3"}</definedName>
    <definedName name="wrn.inst.list.5H_2" hidden="1">{#N/A,#N/A,TRUE,"Sheet1";#N/A,#N/A,TRUE,"Sheet2";#N/A,#N/A,TRUE,"Sheet3"}</definedName>
    <definedName name="wrn.inst.list.5H_3" localSheetId="10" hidden="1">{#N/A,#N/A,TRUE,"Sheet1";#N/A,#N/A,TRUE,"Sheet2";#N/A,#N/A,TRUE,"Sheet3"}</definedName>
    <definedName name="wrn.inst.list.5H_3" localSheetId="3" hidden="1">{#N/A,#N/A,TRUE,"Sheet1";#N/A,#N/A,TRUE,"Sheet2";#N/A,#N/A,TRUE,"Sheet3"}</definedName>
    <definedName name="wrn.inst.list.5H_3" hidden="1">{#N/A,#N/A,TRUE,"Sheet1";#N/A,#N/A,TRUE,"Sheet2";#N/A,#N/A,TRUE,"Sheet3"}</definedName>
    <definedName name="wrn.inst.list.5H_4" localSheetId="10" hidden="1">{#N/A,#N/A,TRUE,"Sheet1";#N/A,#N/A,TRUE,"Sheet2";#N/A,#N/A,TRUE,"Sheet3"}</definedName>
    <definedName name="wrn.inst.list.5H_4" localSheetId="3" hidden="1">{#N/A,#N/A,TRUE,"Sheet1";#N/A,#N/A,TRUE,"Sheet2";#N/A,#N/A,TRUE,"Sheet3"}</definedName>
    <definedName name="wrn.inst.list.5H_4" hidden="1">{#N/A,#N/A,TRUE,"Sheet1";#N/A,#N/A,TRUE,"Sheet2";#N/A,#N/A,TRUE,"Sheet3"}</definedName>
    <definedName name="wrn.inst.list.5H_5" localSheetId="10" hidden="1">{#N/A,#N/A,TRUE,"Sheet1";#N/A,#N/A,TRUE,"Sheet2";#N/A,#N/A,TRUE,"Sheet3"}</definedName>
    <definedName name="wrn.inst.list.5H_5" localSheetId="3" hidden="1">{#N/A,#N/A,TRUE,"Sheet1";#N/A,#N/A,TRUE,"Sheet2";#N/A,#N/A,TRUE,"Sheet3"}</definedName>
    <definedName name="wrn.inst.list.5H_5" hidden="1">{#N/A,#N/A,TRUE,"Sheet1";#N/A,#N/A,TRUE,"Sheet2";#N/A,#N/A,TRUE,"Sheet3"}</definedName>
    <definedName name="wrn.INSTALLATION._.ONLY." localSheetId="10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" localSheetId="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1" localSheetId="10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1" localSheetId="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1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2" localSheetId="10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2" localSheetId="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2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3" localSheetId="10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3" localSheetId="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4" localSheetId="10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4" localSheetId="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4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5" localSheetId="10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5" localSheetId="3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ALLATION._.ONLY._5" hidden="1">{#N/A,#N/A,TRUE,"FRONT";"SUMMARY1",#N/A,TRUE,"SUMMARY";"SUMMARY2",#N/A,TRUE,"SUMMARY";"SUMMARY3",#N/A,TRUE,"SUMMARY";#N/A,#N/A,TRUE,"SALES";#N/A,#N/A,TRUE,"PROJECT";#N/A,#N/A,TRUE,"CONTINGENCY";"cashflow sources",#N/A,TRUE,"PROFIT AND LOSS FORECAST";"Profit and Loss forecast",#N/A,TRUE,"PROFIT AND LOSS FORECAST";#N/A,#N/A,TRUE,"COMM&amp;TAXES";#N/A,#N/A,TRUE,"MNGT-ENG";#N/A,#N/A,TRUE,"BASKET &amp; REELS";#N/A,#N/A,TRUE,"CRANAGE OTHER";#N/A,#N/A,TRUE,"TRANSPORT";#N/A,#N/A,TRUE,"SUBCONTRACTING";#N/A,#N/A,TRUE,"VESSELS EXTERNAL CSO";#N/A,#N/A,TRUE,"CSO SPREAD 1";#N/A,#N/A,TRUE,"CSO SPREAD 2"}</definedName>
    <definedName name="wrn.INSTRUMENT._.LIST." localSheetId="10" hidden="1">{#N/A,#N/A,TRUE,"Sheet1";#N/A,#N/A,TRUE,"Sheet2";#N/A,#N/A,TRUE,"Sheet3"}</definedName>
    <definedName name="wrn.INSTRUMENT._.LIST." localSheetId="3" hidden="1">{#N/A,#N/A,TRUE,"Sheet1";#N/A,#N/A,TRUE,"Sheet2";#N/A,#N/A,TRUE,"Sheet3"}</definedName>
    <definedName name="wrn.INSTRUMENT._.LIST." hidden="1">{#N/A,#N/A,TRUE,"Sheet1";#N/A,#N/A,TRUE,"Sheet2";#N/A,#N/A,TRUE,"Sheet3"}</definedName>
    <definedName name="wrn.INSTRUMENT._.LIST._1" localSheetId="10" hidden="1">{#N/A,#N/A,TRUE,"Sheet1";#N/A,#N/A,TRUE,"Sheet2";#N/A,#N/A,TRUE,"Sheet3"}</definedName>
    <definedName name="wrn.INSTRUMENT._.LIST._1" localSheetId="3" hidden="1">{#N/A,#N/A,TRUE,"Sheet1";#N/A,#N/A,TRUE,"Sheet2";#N/A,#N/A,TRUE,"Sheet3"}</definedName>
    <definedName name="wrn.INSTRUMENT._.LIST._1" hidden="1">{#N/A,#N/A,TRUE,"Sheet1";#N/A,#N/A,TRUE,"Sheet2";#N/A,#N/A,TRUE,"Sheet3"}</definedName>
    <definedName name="wrn.INSTRUMENT._.LIST._2" localSheetId="10" hidden="1">{#N/A,#N/A,TRUE,"Sheet1";#N/A,#N/A,TRUE,"Sheet2";#N/A,#N/A,TRUE,"Sheet3"}</definedName>
    <definedName name="wrn.INSTRUMENT._.LIST._2" localSheetId="3" hidden="1">{#N/A,#N/A,TRUE,"Sheet1";#N/A,#N/A,TRUE,"Sheet2";#N/A,#N/A,TRUE,"Sheet3"}</definedName>
    <definedName name="wrn.INSTRUMENT._.LIST._2" hidden="1">{#N/A,#N/A,TRUE,"Sheet1";#N/A,#N/A,TRUE,"Sheet2";#N/A,#N/A,TRUE,"Sheet3"}</definedName>
    <definedName name="wrn.INSTRUMENT._.LIST._3" localSheetId="10" hidden="1">{#N/A,#N/A,TRUE,"Sheet1";#N/A,#N/A,TRUE,"Sheet2";#N/A,#N/A,TRUE,"Sheet3"}</definedName>
    <definedName name="wrn.INSTRUMENT._.LIST._3" localSheetId="3" hidden="1">{#N/A,#N/A,TRUE,"Sheet1";#N/A,#N/A,TRUE,"Sheet2";#N/A,#N/A,TRUE,"Sheet3"}</definedName>
    <definedName name="wrn.INSTRUMENT._.LIST._3" hidden="1">{#N/A,#N/A,TRUE,"Sheet1";#N/A,#N/A,TRUE,"Sheet2";#N/A,#N/A,TRUE,"Sheet3"}</definedName>
    <definedName name="wrn.INSTRUMENT._.LIST._4" localSheetId="10" hidden="1">{#N/A,#N/A,TRUE,"Sheet1";#N/A,#N/A,TRUE,"Sheet2";#N/A,#N/A,TRUE,"Sheet3"}</definedName>
    <definedName name="wrn.INSTRUMENT._.LIST._4" localSheetId="3" hidden="1">{#N/A,#N/A,TRUE,"Sheet1";#N/A,#N/A,TRUE,"Sheet2";#N/A,#N/A,TRUE,"Sheet3"}</definedName>
    <definedName name="wrn.INSTRUMENT._.LIST._4" hidden="1">{#N/A,#N/A,TRUE,"Sheet1";#N/A,#N/A,TRUE,"Sheet2";#N/A,#N/A,TRUE,"Sheet3"}</definedName>
    <definedName name="wrn.INSTRUMENT._.LIST._5" localSheetId="10" hidden="1">{#N/A,#N/A,TRUE,"Sheet1";#N/A,#N/A,TRUE,"Sheet2";#N/A,#N/A,TRUE,"Sheet3"}</definedName>
    <definedName name="wrn.INSTRUMENT._.LIST._5" localSheetId="3" hidden="1">{#N/A,#N/A,TRUE,"Sheet1";#N/A,#N/A,TRUE,"Sheet2";#N/A,#N/A,TRUE,"Sheet3"}</definedName>
    <definedName name="wrn.INSTRUMENT._.LIST._5" hidden="1">{#N/A,#N/A,TRUE,"Sheet1";#N/A,#N/A,TRUE,"Sheet2";#N/A,#N/A,TRUE,"Sheet3"}</definedName>
    <definedName name="wrn.INSTRUMENT._.LIST1." localSheetId="10" hidden="1">{#N/A,#N/A,TRUE,"Sheet1";#N/A,#N/A,TRUE,"Sheet2";#N/A,#N/A,TRUE,"Sheet3"}</definedName>
    <definedName name="wrn.INSTRUMENT._.LIST1." localSheetId="3" hidden="1">{#N/A,#N/A,TRUE,"Sheet1";#N/A,#N/A,TRUE,"Sheet2";#N/A,#N/A,TRUE,"Sheet3"}</definedName>
    <definedName name="wrn.INSTRUMENT._.LIST1." hidden="1">{#N/A,#N/A,TRUE,"Sheet1";#N/A,#N/A,TRUE,"Sheet2";#N/A,#N/A,TRUE,"Sheet3"}</definedName>
    <definedName name="wrn.INSTRUMENT._.LIST1._1" localSheetId="10" hidden="1">{#N/A,#N/A,TRUE,"Sheet1";#N/A,#N/A,TRUE,"Sheet2";#N/A,#N/A,TRUE,"Sheet3"}</definedName>
    <definedName name="wrn.INSTRUMENT._.LIST1._1" localSheetId="3" hidden="1">{#N/A,#N/A,TRUE,"Sheet1";#N/A,#N/A,TRUE,"Sheet2";#N/A,#N/A,TRUE,"Sheet3"}</definedName>
    <definedName name="wrn.INSTRUMENT._.LIST1._1" hidden="1">{#N/A,#N/A,TRUE,"Sheet1";#N/A,#N/A,TRUE,"Sheet2";#N/A,#N/A,TRUE,"Sheet3"}</definedName>
    <definedName name="wrn.INSTRUMENT._.LIST1._2" localSheetId="10" hidden="1">{#N/A,#N/A,TRUE,"Sheet1";#N/A,#N/A,TRUE,"Sheet2";#N/A,#N/A,TRUE,"Sheet3"}</definedName>
    <definedName name="wrn.INSTRUMENT._.LIST1._2" localSheetId="3" hidden="1">{#N/A,#N/A,TRUE,"Sheet1";#N/A,#N/A,TRUE,"Sheet2";#N/A,#N/A,TRUE,"Sheet3"}</definedName>
    <definedName name="wrn.INSTRUMENT._.LIST1._2" hidden="1">{#N/A,#N/A,TRUE,"Sheet1";#N/A,#N/A,TRUE,"Sheet2";#N/A,#N/A,TRUE,"Sheet3"}</definedName>
    <definedName name="wrn.INSTRUMENT._.LIST1._3" localSheetId="10" hidden="1">{#N/A,#N/A,TRUE,"Sheet1";#N/A,#N/A,TRUE,"Sheet2";#N/A,#N/A,TRUE,"Sheet3"}</definedName>
    <definedName name="wrn.INSTRUMENT._.LIST1._3" localSheetId="3" hidden="1">{#N/A,#N/A,TRUE,"Sheet1";#N/A,#N/A,TRUE,"Sheet2";#N/A,#N/A,TRUE,"Sheet3"}</definedName>
    <definedName name="wrn.INSTRUMENT._.LIST1._3" hidden="1">{#N/A,#N/A,TRUE,"Sheet1";#N/A,#N/A,TRUE,"Sheet2";#N/A,#N/A,TRUE,"Sheet3"}</definedName>
    <definedName name="wrn.INSTRUMENT._.LIST1._4" localSheetId="10" hidden="1">{#N/A,#N/A,TRUE,"Sheet1";#N/A,#N/A,TRUE,"Sheet2";#N/A,#N/A,TRUE,"Sheet3"}</definedName>
    <definedName name="wrn.INSTRUMENT._.LIST1._4" localSheetId="3" hidden="1">{#N/A,#N/A,TRUE,"Sheet1";#N/A,#N/A,TRUE,"Sheet2";#N/A,#N/A,TRUE,"Sheet3"}</definedName>
    <definedName name="wrn.INSTRUMENT._.LIST1._4" hidden="1">{#N/A,#N/A,TRUE,"Sheet1";#N/A,#N/A,TRUE,"Sheet2";#N/A,#N/A,TRUE,"Sheet3"}</definedName>
    <definedName name="wrn.INSTRUMENT._.LIST1._5" localSheetId="10" hidden="1">{#N/A,#N/A,TRUE,"Sheet1";#N/A,#N/A,TRUE,"Sheet2";#N/A,#N/A,TRUE,"Sheet3"}</definedName>
    <definedName name="wrn.INSTRUMENT._.LIST1._5" localSheetId="3" hidden="1">{#N/A,#N/A,TRUE,"Sheet1";#N/A,#N/A,TRUE,"Sheet2";#N/A,#N/A,TRUE,"Sheet3"}</definedName>
    <definedName name="wrn.INSTRUMENT._.LIST1._5" hidden="1">{#N/A,#N/A,TRUE,"Sheet1";#N/A,#N/A,TRUE,"Sheet2";#N/A,#N/A,TRUE,"Sheet3"}</definedName>
    <definedName name="wrn.INSTRUMENT._.LIST2." localSheetId="10" hidden="1">{#N/A,#N/A,TRUE,"Sheet1";#N/A,#N/A,TRUE,"Sheet2";#N/A,#N/A,TRUE,"Sheet3"}</definedName>
    <definedName name="wrn.INSTRUMENT._.LIST2." localSheetId="3" hidden="1">{#N/A,#N/A,TRUE,"Sheet1";#N/A,#N/A,TRUE,"Sheet2";#N/A,#N/A,TRUE,"Sheet3"}</definedName>
    <definedName name="wrn.INSTRUMENT._.LIST2." hidden="1">{#N/A,#N/A,TRUE,"Sheet1";#N/A,#N/A,TRUE,"Sheet2";#N/A,#N/A,TRUE,"Sheet3"}</definedName>
    <definedName name="wrn.INSTRUMENT._.LIST2._1" localSheetId="10" hidden="1">{#N/A,#N/A,TRUE,"Sheet1";#N/A,#N/A,TRUE,"Sheet2";#N/A,#N/A,TRUE,"Sheet3"}</definedName>
    <definedName name="wrn.INSTRUMENT._.LIST2._1" localSheetId="3" hidden="1">{#N/A,#N/A,TRUE,"Sheet1";#N/A,#N/A,TRUE,"Sheet2";#N/A,#N/A,TRUE,"Sheet3"}</definedName>
    <definedName name="wrn.INSTRUMENT._.LIST2._1" hidden="1">{#N/A,#N/A,TRUE,"Sheet1";#N/A,#N/A,TRUE,"Sheet2";#N/A,#N/A,TRUE,"Sheet3"}</definedName>
    <definedName name="wrn.INSTRUMENT._.LIST2._2" localSheetId="10" hidden="1">{#N/A,#N/A,TRUE,"Sheet1";#N/A,#N/A,TRUE,"Sheet2";#N/A,#N/A,TRUE,"Sheet3"}</definedName>
    <definedName name="wrn.INSTRUMENT._.LIST2._2" localSheetId="3" hidden="1">{#N/A,#N/A,TRUE,"Sheet1";#N/A,#N/A,TRUE,"Sheet2";#N/A,#N/A,TRUE,"Sheet3"}</definedName>
    <definedName name="wrn.INSTRUMENT._.LIST2._2" hidden="1">{#N/A,#N/A,TRUE,"Sheet1";#N/A,#N/A,TRUE,"Sheet2";#N/A,#N/A,TRUE,"Sheet3"}</definedName>
    <definedName name="wrn.INSTRUMENT._.LIST2._3" localSheetId="10" hidden="1">{#N/A,#N/A,TRUE,"Sheet1";#N/A,#N/A,TRUE,"Sheet2";#N/A,#N/A,TRUE,"Sheet3"}</definedName>
    <definedName name="wrn.INSTRUMENT._.LIST2._3" localSheetId="3" hidden="1">{#N/A,#N/A,TRUE,"Sheet1";#N/A,#N/A,TRUE,"Sheet2";#N/A,#N/A,TRUE,"Sheet3"}</definedName>
    <definedName name="wrn.INSTRUMENT._.LIST2._3" hidden="1">{#N/A,#N/A,TRUE,"Sheet1";#N/A,#N/A,TRUE,"Sheet2";#N/A,#N/A,TRUE,"Sheet3"}</definedName>
    <definedName name="wrn.INSTRUMENT._.LIST2._4" localSheetId="10" hidden="1">{#N/A,#N/A,TRUE,"Sheet1";#N/A,#N/A,TRUE,"Sheet2";#N/A,#N/A,TRUE,"Sheet3"}</definedName>
    <definedName name="wrn.INSTRUMENT._.LIST2._4" localSheetId="3" hidden="1">{#N/A,#N/A,TRUE,"Sheet1";#N/A,#N/A,TRUE,"Sheet2";#N/A,#N/A,TRUE,"Sheet3"}</definedName>
    <definedName name="wrn.INSTRUMENT._.LIST2._4" hidden="1">{#N/A,#N/A,TRUE,"Sheet1";#N/A,#N/A,TRUE,"Sheet2";#N/A,#N/A,TRUE,"Sheet3"}</definedName>
    <definedName name="wrn.INSTRUMENT._.LIST2._5" localSheetId="10" hidden="1">{#N/A,#N/A,TRUE,"Sheet1";#N/A,#N/A,TRUE,"Sheet2";#N/A,#N/A,TRUE,"Sheet3"}</definedName>
    <definedName name="wrn.INSTRUMENT._.LIST2._5" localSheetId="3" hidden="1">{#N/A,#N/A,TRUE,"Sheet1";#N/A,#N/A,TRUE,"Sheet2";#N/A,#N/A,TRUE,"Sheet3"}</definedName>
    <definedName name="wrn.INSTRUMENT._.LIST2._5" hidden="1">{#N/A,#N/A,TRUE,"Sheet1";#N/A,#N/A,TRUE,"Sheet2";#N/A,#N/A,TRUE,"Sheet3"}</definedName>
    <definedName name="wrn.INSTRUMENT._.LIST3." localSheetId="10" hidden="1">{#N/A,#N/A,TRUE,"Sheet1";#N/A,#N/A,TRUE,"Sheet2";#N/A,#N/A,TRUE,"Sheet3"}</definedName>
    <definedName name="wrn.INSTRUMENT._.LIST3." localSheetId="3" hidden="1">{#N/A,#N/A,TRUE,"Sheet1";#N/A,#N/A,TRUE,"Sheet2";#N/A,#N/A,TRUE,"Sheet3"}</definedName>
    <definedName name="wrn.INSTRUMENT._.LIST3." hidden="1">{#N/A,#N/A,TRUE,"Sheet1";#N/A,#N/A,TRUE,"Sheet2";#N/A,#N/A,TRUE,"Sheet3"}</definedName>
    <definedName name="wrn.INSTRUMENT._.LIST3._1" localSheetId="10" hidden="1">{#N/A,#N/A,TRUE,"Sheet1";#N/A,#N/A,TRUE,"Sheet2";#N/A,#N/A,TRUE,"Sheet3"}</definedName>
    <definedName name="wrn.INSTRUMENT._.LIST3._1" localSheetId="3" hidden="1">{#N/A,#N/A,TRUE,"Sheet1";#N/A,#N/A,TRUE,"Sheet2";#N/A,#N/A,TRUE,"Sheet3"}</definedName>
    <definedName name="wrn.INSTRUMENT._.LIST3._1" hidden="1">{#N/A,#N/A,TRUE,"Sheet1";#N/A,#N/A,TRUE,"Sheet2";#N/A,#N/A,TRUE,"Sheet3"}</definedName>
    <definedName name="wrn.INSTRUMENT._.LIST3._2" localSheetId="10" hidden="1">{#N/A,#N/A,TRUE,"Sheet1";#N/A,#N/A,TRUE,"Sheet2";#N/A,#N/A,TRUE,"Sheet3"}</definedName>
    <definedName name="wrn.INSTRUMENT._.LIST3._2" localSheetId="3" hidden="1">{#N/A,#N/A,TRUE,"Sheet1";#N/A,#N/A,TRUE,"Sheet2";#N/A,#N/A,TRUE,"Sheet3"}</definedName>
    <definedName name="wrn.INSTRUMENT._.LIST3._2" hidden="1">{#N/A,#N/A,TRUE,"Sheet1";#N/A,#N/A,TRUE,"Sheet2";#N/A,#N/A,TRUE,"Sheet3"}</definedName>
    <definedName name="wrn.INSTRUMENT._.LIST3._3" localSheetId="10" hidden="1">{#N/A,#N/A,TRUE,"Sheet1";#N/A,#N/A,TRUE,"Sheet2";#N/A,#N/A,TRUE,"Sheet3"}</definedName>
    <definedName name="wrn.INSTRUMENT._.LIST3._3" localSheetId="3" hidden="1">{#N/A,#N/A,TRUE,"Sheet1";#N/A,#N/A,TRUE,"Sheet2";#N/A,#N/A,TRUE,"Sheet3"}</definedName>
    <definedName name="wrn.INSTRUMENT._.LIST3._3" hidden="1">{#N/A,#N/A,TRUE,"Sheet1";#N/A,#N/A,TRUE,"Sheet2";#N/A,#N/A,TRUE,"Sheet3"}</definedName>
    <definedName name="wrn.INSTRUMENT._.LIST3._4" localSheetId="10" hidden="1">{#N/A,#N/A,TRUE,"Sheet1";#N/A,#N/A,TRUE,"Sheet2";#N/A,#N/A,TRUE,"Sheet3"}</definedName>
    <definedName name="wrn.INSTRUMENT._.LIST3._4" localSheetId="3" hidden="1">{#N/A,#N/A,TRUE,"Sheet1";#N/A,#N/A,TRUE,"Sheet2";#N/A,#N/A,TRUE,"Sheet3"}</definedName>
    <definedName name="wrn.INSTRUMENT._.LIST3._4" hidden="1">{#N/A,#N/A,TRUE,"Sheet1";#N/A,#N/A,TRUE,"Sheet2";#N/A,#N/A,TRUE,"Sheet3"}</definedName>
    <definedName name="wrn.INSTRUMENT._.LIST3._5" localSheetId="10" hidden="1">{#N/A,#N/A,TRUE,"Sheet1";#N/A,#N/A,TRUE,"Sheet2";#N/A,#N/A,TRUE,"Sheet3"}</definedName>
    <definedName name="wrn.INSTRUMENT._.LIST3._5" localSheetId="3" hidden="1">{#N/A,#N/A,TRUE,"Sheet1";#N/A,#N/A,TRUE,"Sheet2";#N/A,#N/A,TRUE,"Sheet3"}</definedName>
    <definedName name="wrn.INSTRUMENT._.LIST3._5" hidden="1">{#N/A,#N/A,TRUE,"Sheet1";#N/A,#N/A,TRUE,"Sheet2";#N/A,#N/A,TRUE,"Sheet3"}</definedName>
    <definedName name="wrn.INSTRUMENT._.LIST4." localSheetId="10" hidden="1">{#N/A,#N/A,TRUE,"Sheet1";#N/A,#N/A,TRUE,"Sheet2";#N/A,#N/A,TRUE,"Sheet3"}</definedName>
    <definedName name="wrn.INSTRUMENT._.LIST4." localSheetId="3" hidden="1">{#N/A,#N/A,TRUE,"Sheet1";#N/A,#N/A,TRUE,"Sheet2";#N/A,#N/A,TRUE,"Sheet3"}</definedName>
    <definedName name="wrn.INSTRUMENT._.LIST4." hidden="1">{#N/A,#N/A,TRUE,"Sheet1";#N/A,#N/A,TRUE,"Sheet2";#N/A,#N/A,TRUE,"Sheet3"}</definedName>
    <definedName name="wrn.INSTRUMENT._.LIST4._1" localSheetId="10" hidden="1">{#N/A,#N/A,TRUE,"Sheet1";#N/A,#N/A,TRUE,"Sheet2";#N/A,#N/A,TRUE,"Sheet3"}</definedName>
    <definedName name="wrn.INSTRUMENT._.LIST4._1" localSheetId="3" hidden="1">{#N/A,#N/A,TRUE,"Sheet1";#N/A,#N/A,TRUE,"Sheet2";#N/A,#N/A,TRUE,"Sheet3"}</definedName>
    <definedName name="wrn.INSTRUMENT._.LIST4._1" hidden="1">{#N/A,#N/A,TRUE,"Sheet1";#N/A,#N/A,TRUE,"Sheet2";#N/A,#N/A,TRUE,"Sheet3"}</definedName>
    <definedName name="wrn.INSTRUMENT._.LIST4._2" localSheetId="10" hidden="1">{#N/A,#N/A,TRUE,"Sheet1";#N/A,#N/A,TRUE,"Sheet2";#N/A,#N/A,TRUE,"Sheet3"}</definedName>
    <definedName name="wrn.INSTRUMENT._.LIST4._2" localSheetId="3" hidden="1">{#N/A,#N/A,TRUE,"Sheet1";#N/A,#N/A,TRUE,"Sheet2";#N/A,#N/A,TRUE,"Sheet3"}</definedName>
    <definedName name="wrn.INSTRUMENT._.LIST4._2" hidden="1">{#N/A,#N/A,TRUE,"Sheet1";#N/A,#N/A,TRUE,"Sheet2";#N/A,#N/A,TRUE,"Sheet3"}</definedName>
    <definedName name="wrn.INSTRUMENT._.LIST4._3" localSheetId="10" hidden="1">{#N/A,#N/A,TRUE,"Sheet1";#N/A,#N/A,TRUE,"Sheet2";#N/A,#N/A,TRUE,"Sheet3"}</definedName>
    <definedName name="wrn.INSTRUMENT._.LIST4._3" localSheetId="3" hidden="1">{#N/A,#N/A,TRUE,"Sheet1";#N/A,#N/A,TRUE,"Sheet2";#N/A,#N/A,TRUE,"Sheet3"}</definedName>
    <definedName name="wrn.INSTRUMENT._.LIST4._3" hidden="1">{#N/A,#N/A,TRUE,"Sheet1";#N/A,#N/A,TRUE,"Sheet2";#N/A,#N/A,TRUE,"Sheet3"}</definedName>
    <definedName name="wrn.INSTRUMENT._.LIST4._4" localSheetId="10" hidden="1">{#N/A,#N/A,TRUE,"Sheet1";#N/A,#N/A,TRUE,"Sheet2";#N/A,#N/A,TRUE,"Sheet3"}</definedName>
    <definedName name="wrn.INSTRUMENT._.LIST4._4" localSheetId="3" hidden="1">{#N/A,#N/A,TRUE,"Sheet1";#N/A,#N/A,TRUE,"Sheet2";#N/A,#N/A,TRUE,"Sheet3"}</definedName>
    <definedName name="wrn.INSTRUMENT._.LIST4._4" hidden="1">{#N/A,#N/A,TRUE,"Sheet1";#N/A,#N/A,TRUE,"Sheet2";#N/A,#N/A,TRUE,"Sheet3"}</definedName>
    <definedName name="wrn.INSTRUMENT._.LIST4._5" localSheetId="10" hidden="1">{#N/A,#N/A,TRUE,"Sheet1";#N/A,#N/A,TRUE,"Sheet2";#N/A,#N/A,TRUE,"Sheet3"}</definedName>
    <definedName name="wrn.INSTRUMENT._.LIST4._5" localSheetId="3" hidden="1">{#N/A,#N/A,TRUE,"Sheet1";#N/A,#N/A,TRUE,"Sheet2";#N/A,#N/A,TRUE,"Sheet3"}</definedName>
    <definedName name="wrn.INSTRUMENT._.LIST4._5" hidden="1">{#N/A,#N/A,TRUE,"Sheet1";#N/A,#N/A,TRUE,"Sheet2";#N/A,#N/A,TRUE,"Sheet3"}</definedName>
    <definedName name="wrn.INSTRUMENT._.LIST5." localSheetId="10" hidden="1">{#N/A,#N/A,TRUE,"Sheet1";#N/A,#N/A,TRUE,"Sheet2";#N/A,#N/A,TRUE,"Sheet3"}</definedName>
    <definedName name="wrn.INSTRUMENT._.LIST5." localSheetId="3" hidden="1">{#N/A,#N/A,TRUE,"Sheet1";#N/A,#N/A,TRUE,"Sheet2";#N/A,#N/A,TRUE,"Sheet3"}</definedName>
    <definedName name="wrn.INSTRUMENT._.LIST5." hidden="1">{#N/A,#N/A,TRUE,"Sheet1";#N/A,#N/A,TRUE,"Sheet2";#N/A,#N/A,TRUE,"Sheet3"}</definedName>
    <definedName name="wrn.INSTRUMENT._.LIST5._1" localSheetId="10" hidden="1">{#N/A,#N/A,TRUE,"Sheet1";#N/A,#N/A,TRUE,"Sheet2";#N/A,#N/A,TRUE,"Sheet3"}</definedName>
    <definedName name="wrn.INSTRUMENT._.LIST5._1" localSheetId="3" hidden="1">{#N/A,#N/A,TRUE,"Sheet1";#N/A,#N/A,TRUE,"Sheet2";#N/A,#N/A,TRUE,"Sheet3"}</definedName>
    <definedName name="wrn.INSTRUMENT._.LIST5._1" hidden="1">{#N/A,#N/A,TRUE,"Sheet1";#N/A,#N/A,TRUE,"Sheet2";#N/A,#N/A,TRUE,"Sheet3"}</definedName>
    <definedName name="wrn.INSTRUMENT._.LIST5._2" localSheetId="10" hidden="1">{#N/A,#N/A,TRUE,"Sheet1";#N/A,#N/A,TRUE,"Sheet2";#N/A,#N/A,TRUE,"Sheet3"}</definedName>
    <definedName name="wrn.INSTRUMENT._.LIST5._2" localSheetId="3" hidden="1">{#N/A,#N/A,TRUE,"Sheet1";#N/A,#N/A,TRUE,"Sheet2";#N/A,#N/A,TRUE,"Sheet3"}</definedName>
    <definedName name="wrn.INSTRUMENT._.LIST5._2" hidden="1">{#N/A,#N/A,TRUE,"Sheet1";#N/A,#N/A,TRUE,"Sheet2";#N/A,#N/A,TRUE,"Sheet3"}</definedName>
    <definedName name="wrn.INSTRUMENT._.LIST5._3" localSheetId="10" hidden="1">{#N/A,#N/A,TRUE,"Sheet1";#N/A,#N/A,TRUE,"Sheet2";#N/A,#N/A,TRUE,"Sheet3"}</definedName>
    <definedName name="wrn.INSTRUMENT._.LIST5._3" localSheetId="3" hidden="1">{#N/A,#N/A,TRUE,"Sheet1";#N/A,#N/A,TRUE,"Sheet2";#N/A,#N/A,TRUE,"Sheet3"}</definedName>
    <definedName name="wrn.INSTRUMENT._.LIST5._3" hidden="1">{#N/A,#N/A,TRUE,"Sheet1";#N/A,#N/A,TRUE,"Sheet2";#N/A,#N/A,TRUE,"Sheet3"}</definedName>
    <definedName name="wrn.INSTRUMENT._.LIST5._4" localSheetId="10" hidden="1">{#N/A,#N/A,TRUE,"Sheet1";#N/A,#N/A,TRUE,"Sheet2";#N/A,#N/A,TRUE,"Sheet3"}</definedName>
    <definedName name="wrn.INSTRUMENT._.LIST5._4" localSheetId="3" hidden="1">{#N/A,#N/A,TRUE,"Sheet1";#N/A,#N/A,TRUE,"Sheet2";#N/A,#N/A,TRUE,"Sheet3"}</definedName>
    <definedName name="wrn.INSTRUMENT._.LIST5._4" hidden="1">{#N/A,#N/A,TRUE,"Sheet1";#N/A,#N/A,TRUE,"Sheet2";#N/A,#N/A,TRUE,"Sheet3"}</definedName>
    <definedName name="wrn.INSTRUMENT._.LIST5._5" localSheetId="10" hidden="1">{#N/A,#N/A,TRUE,"Sheet1";#N/A,#N/A,TRUE,"Sheet2";#N/A,#N/A,TRUE,"Sheet3"}</definedName>
    <definedName name="wrn.INSTRUMENT._.LIST5._5" localSheetId="3" hidden="1">{#N/A,#N/A,TRUE,"Sheet1";#N/A,#N/A,TRUE,"Sheet2";#N/A,#N/A,TRUE,"Sheet3"}</definedName>
    <definedName name="wrn.INSTRUMENT._.LIST5._5" hidden="1">{#N/A,#N/A,TRUE,"Sheet1";#N/A,#N/A,TRUE,"Sheet2";#N/A,#N/A,TRUE,"Sheet3"}</definedName>
    <definedName name="wrn.Interco." localSheetId="10" hidden="1">{"interco",#N/A,FALSE,"Interco"}</definedName>
    <definedName name="wrn.Interco." localSheetId="3" hidden="1">{"interco",#N/A,FALSE,"Interco"}</definedName>
    <definedName name="wrn.Interco." hidden="1">{"interco",#N/A,FALSE,"Interco"}</definedName>
    <definedName name="wrn.INTERNAL." localSheetId="10" hidden="1">{#N/A,#N/A,FALSE,"Summary - Overall";#N/A,#N/A,FALSE,"Summary - Dehy";#N/A,#N/A,FALSE,"Summary - Gas Proc";#N/A,#N/A,FALSE,"Summary - Pipeline"}</definedName>
    <definedName name="wrn.INTERNAL." localSheetId="3" hidden="1">{#N/A,#N/A,FALSE,"Summary - Overall";#N/A,#N/A,FALSE,"Summary - Dehy";#N/A,#N/A,FALSE,"Summary - Gas Proc";#N/A,#N/A,FALSE,"Summary - Pipeline"}</definedName>
    <definedName name="wrn.INTERNAL." hidden="1">{#N/A,#N/A,FALSE,"Summary - Overall";#N/A,#N/A,FALSE,"Summary - Dehy";#N/A,#N/A,FALSE,"Summary - Gas Proc";#N/A,#N/A,FALSE,"Summary - Pipeline"}</definedName>
    <definedName name="wrn.INTERNAL._.SUMS." localSheetId="10" hidden="1">{"INT_OSUM",#N/A,FALSE,"Overall Int Sum Case 1A";"INT_3100",#N/A,FALSE,"Int &amp; Ext Sum 3100";"INT_4100",#N/A,FALSE,"Int &amp; Ext Sum 4100";"INT_4200",#N/A,FALSE,"Int &amp; Ext Sum 4200";"INT_4400",#N/A,FALSE,"Int &amp; Ext Sum 4400";"INT_4500",#N/A,FALSE,"Int &amp; Ext Sum 4500";"INT_5000",#N/A,FALSE,"Int &amp; Ext Sum 5000";"INT_6000",#N/A,FALSE,"Int &amp; Ext Sum 6000"}</definedName>
    <definedName name="wrn.INTERNAL._.SUMS." localSheetId="3" hidden="1">{"INT_OSUM",#N/A,FALSE,"Overall Int Sum Case 1A";"INT_3100",#N/A,FALSE,"Int &amp; Ext Sum 3100";"INT_4100",#N/A,FALSE,"Int &amp; Ext Sum 4100";"INT_4200",#N/A,FALSE,"Int &amp; Ext Sum 4200";"INT_4400",#N/A,FALSE,"Int &amp; Ext Sum 4400";"INT_4500",#N/A,FALSE,"Int &amp; Ext Sum 4500";"INT_5000",#N/A,FALSE,"Int &amp; Ext Sum 5000";"INT_6000",#N/A,FALSE,"Int &amp; Ext Sum 6000"}</definedName>
    <definedName name="wrn.INTERNAL._.SUMS." hidden="1">{"INT_OSUM",#N/A,FALSE,"Overall Int Sum Case 1A";"INT_3100",#N/A,FALSE,"Int &amp; Ext Sum 3100";"INT_4100",#N/A,FALSE,"Int &amp; Ext Sum 4100";"INT_4200",#N/A,FALSE,"Int &amp; Ext Sum 4200";"INT_4400",#N/A,FALSE,"Int &amp; Ext Sum 4400";"INT_4500",#N/A,FALSE,"Int &amp; Ext Sum 4500";"INT_5000",#N/A,FALSE,"Int &amp; Ext Sum 5000";"INT_6000",#N/A,FALSE,"Int &amp; Ext Sum 6000"}</definedName>
    <definedName name="wrn.ip" localSheetId="10" hidden="1">{#N/A,#N/A,FALSE,"Ipotesi comuni"}</definedName>
    <definedName name="wrn.ip" localSheetId="3" hidden="1">{#N/A,#N/A,FALSE,"Ipotesi comuni"}</definedName>
    <definedName name="wrn.ip" hidden="1">{#N/A,#N/A,FALSE,"Ipotesi comuni"}</definedName>
    <definedName name="wrn.Ipotesi." localSheetId="10" hidden="1">{#N/A,#N/A,FALSE,"Ipotesi comuni"}</definedName>
    <definedName name="wrn.Ipotesi." localSheetId="3" hidden="1">{#N/A,#N/A,FALSE,"Ipotesi comuni"}</definedName>
    <definedName name="wrn.Ipotesi." hidden="1">{#N/A,#N/A,FALSE,"Ipotesi comuni"}</definedName>
    <definedName name="wrn.lifoliquidatio2._storico." localSheetId="10" hidden="1">{"LL sto tabella",#N/A,FALSE,"Lifo Liquidation (sto)";"LL greggi",#N/A,FALSE,"Storico fiscale";"LL sml",#N/A,FALSE,"Storico fiscale";"LL prodotti",#N/A,FALSE,"Storico fiscale"}</definedName>
    <definedName name="wrn.lifoliquidatio2._storico." localSheetId="3" hidden="1">{"LL sto tabella",#N/A,FALSE,"Lifo Liquidation (sto)";"LL greggi",#N/A,FALSE,"Storico fiscale";"LL sml",#N/A,FALSE,"Storico fiscale";"LL prodotti",#N/A,FALSE,"Storico fiscale"}</definedName>
    <definedName name="wrn.lifoliquidatio2._storico." hidden="1">{"LL sto tabella",#N/A,FALSE,"Lifo Liquidation (sto)";"LL greggi",#N/A,FALSE,"Storico fiscale";"LL sml",#N/A,FALSE,"Storico fiscale";"LL prodotti",#N/A,FALSE,"Storico fiscale"}</definedName>
    <definedName name="wrn.LifoLiquidation._.Civilistico." localSheetId="10" hidden="1">{"LL civ tabella",#N/A,FALSE,"Lifo Liquidation (civ)";"LL greggi civ",#N/A,FALSE,"Storico fiscale";"LL sml civ",#N/A,FALSE,"Storico fiscale";"LL prodotti civ",#N/A,FALSE,"Storico fiscale"}</definedName>
    <definedName name="wrn.LifoLiquidation._.Civilistico." localSheetId="3" hidden="1">{"LL civ tabella",#N/A,FALSE,"Lifo Liquidation (civ)";"LL greggi civ",#N/A,FALSE,"Storico fiscale";"LL sml civ",#N/A,FALSE,"Storico fiscale";"LL prodotti civ",#N/A,FALSE,"Storico fiscale"}</definedName>
    <definedName name="wrn.LifoLiquidation._.Civilistico." hidden="1">{"LL civ tabella",#N/A,FALSE,"Lifo Liquidation (civ)";"LL greggi civ",#N/A,FALSE,"Storico fiscale";"LL sml civ",#N/A,FALSE,"Storico fiscale";"LL prodotti civ",#N/A,FALSE,"Storico fiscale"}</definedName>
    <definedName name="wrn.LifoLiquidation._.Storico." localSheetId="10" hidden="1">{"LL sto tabella",#N/A,FALSE,"Lifo Liquidation (sto)";"LL greggi",#N/A,FALSE,"Storico fiscale";"LL sml",#N/A,FALSE,"Storico fiscale";"LL prodotti",#N/A,FALSE,"Storico fiscale"}</definedName>
    <definedName name="wrn.LifoLiquidation._.Storico." localSheetId="3" hidden="1">{"LL sto tabella",#N/A,FALSE,"Lifo Liquidation (sto)";"LL greggi",#N/A,FALSE,"Storico fiscale";"LL sml",#N/A,FALSE,"Storico fiscale";"LL prodotti",#N/A,FALSE,"Storico fiscale"}</definedName>
    <definedName name="wrn.LifoLiquidation._.Storico." hidden="1">{"LL sto tabella",#N/A,FALSE,"Lifo Liquidation (sto)";"LL greggi",#N/A,FALSE,"Storico fiscale";"LL sml",#N/A,FALSE,"Storico fiscale";"LL prodotti",#N/A,FALSE,"Storico fiscale"}</definedName>
    <definedName name="wrn.lifoliquidation3._.storico." localSheetId="10" hidden="1">{"LL sto tabella",#N/A,FALSE,"Lifo Liquidation (sto)";"LL greggi",#N/A,FALSE,"Storico fiscale";"LL sml",#N/A,FALSE,"Storico fiscale";"LL prodotti",#N/A,FALSE,"Storico fiscale"}</definedName>
    <definedName name="wrn.lifoliquidation3._.storico." localSheetId="3" hidden="1">{"LL sto tabella",#N/A,FALSE,"Lifo Liquidation (sto)";"LL greggi",#N/A,FALSE,"Storico fiscale";"LL sml",#N/A,FALSE,"Storico fiscale";"LL prodotti",#N/A,FALSE,"Storico fiscale"}</definedName>
    <definedName name="wrn.lifoliquidation3._.storico." hidden="1">{"LL sto tabella",#N/A,FALSE,"Lifo Liquidation (sto)";"LL greggi",#N/A,FALSE,"Storico fiscale";"LL sml",#N/A,FALSE,"Storico fiscale";"LL prodotti",#N/A,FALSE,"Storico fiscale"}</definedName>
    <definedName name="wrn.Liftings." localSheetId="10" hidden="1">{#N/A,#N/A,FALSE,"Lifting 1 Qrt ";#N/A,#N/A,FALSE,"Lifting 2 Qrt ";#N/A,#N/A,FALSE,"Lifting 3 Qrt";#N/A,#N/A,FALSE,"Lifting 4 Qrt"}</definedName>
    <definedName name="wrn.Liftings." localSheetId="3" hidden="1">{#N/A,#N/A,FALSE,"Lifting 1 Qrt ";#N/A,#N/A,FALSE,"Lifting 2 Qrt ";#N/A,#N/A,FALSE,"Lifting 3 Qrt";#N/A,#N/A,FALSE,"Lifting 4 Qrt"}</definedName>
    <definedName name="wrn.Liftings." hidden="1">{#N/A,#N/A,FALSE,"Lifting 1 Qrt ";#N/A,#N/A,FALSE,"Lifting 2 Qrt ";#N/A,#N/A,FALSE,"Lifting 3 Qrt";#N/A,#N/A,FALSE,"Lifting 4 Qrt"}</definedName>
    <definedName name="wrn.Logistics._.KPIs." localSheetId="10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wrn.Logistics._.KPIs." localSheetId="3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wrn.Logistics._.KPIs." hidden="1">{#N/A,#N/A,TRUE,"1999 Summary Data";#N/A,#N/A,TRUE,"WPISC Presentation";#N/A,#N/A,TRUE,"Overall Logistics";#N/A,#N/A,TRUE,"Marine &amp; Shore Base";#N/A,#N/A,TRUE,"Aviation";#N/A,#N/A,TRUE,"Catering";#N/A,#N/A,TRUE,"Other KPIs(1)";#N/A,#N/A,TRUE,"Other KPIs(2)"}</definedName>
    <definedName name="wrn.M22." localSheetId="10" hidden="1">{#N/A,#N/A,FALSE,"QD07";#N/A,#N/A,FALSE,"QD09";#N/A,#N/A,FALSE,"QD10";#N/A,#N/A,FALSE,"DERRAMA";#N/A,#N/A,FALSE,"CORRECÇ. FISCAIS";#N/A,#N/A,FALSE,"BEN.FISCAIS";#N/A,#N/A,FALSE,"TRIB.AUTONOMA"}</definedName>
    <definedName name="wrn.M22." localSheetId="3" hidden="1">{#N/A,#N/A,FALSE,"QD07";#N/A,#N/A,FALSE,"QD09";#N/A,#N/A,FALSE,"QD10";#N/A,#N/A,FALSE,"DERRAMA";#N/A,#N/A,FALSE,"CORRECÇ. FISCAIS";#N/A,#N/A,FALSE,"BEN.FISCAIS";#N/A,#N/A,FALSE,"TRIB.AUTONOMA"}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Montly._.Billings." localSheetId="10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ontly._.Billings." localSheetId="3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ontly._.Billings." hidden="1">{#N/A,#N/A,FALSE,"Jan+Feb";#N/A,#N/A,FALSE,"MARCH";#N/A,#N/A,FALSE,"APRIL";#N/A,#N/A,FALSE,"MAY";#N/A,#N/A,FALSE,"JUNE";#N/A,#N/A,FALSE,"Jul+Aug";#N/A,#N/A,FALSE,"SEPTEMBER";#N/A,#N/A,FALSE,"OCTOBER";#N/A,#N/A,FALSE,"NOVEMBER";#N/A,#N/A,FALSE,"DECEMBER";#N/A,#N/A,FALSE,"Total 1997"}</definedName>
    <definedName name="wrn.MPLIQ." localSheetId="10" hidden="1">{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}</definedName>
    <definedName name="wrn.MPLIQ." localSheetId="3" hidden="1">{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}</definedName>
    <definedName name="wrn.MPLIQ." hidden="1">{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;"APLIC",#N/A,FALSE,"APLICACOES";"TOMD",#N/A,FALSE,"TOMADAS";"CLIENTES",#N/A,FALSE,"CLIENTES";"SLD",#N/A,FALSE,"SALDOS";"ACTV",#N/A,FALSE,"ACTIVOS";"OBG",#N/A,FALSE,"OBRIGACOES";"CTA_CAUCAO",#N/A,FALSE,"CTA_CAUÇÃO";"SWP",#N/A,FALSE,"SWP";"FW",#N/A,FALSE,"FW"}</definedName>
    <definedName name="wrn.pag_1." localSheetId="10" hidden="1">{#N/A,#N/A,FALSE,"COPERTINA"}</definedName>
    <definedName name="wrn.pag_1." localSheetId="3" hidden="1">{#N/A,#N/A,FALSE,"COPERTINA"}</definedName>
    <definedName name="wrn.pag_1." hidden="1">{#N/A,#N/A,FALSE,"COPERTINA"}</definedName>
    <definedName name="wrn.PLAN10F." localSheetId="10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AN10F." localSheetId="3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LAN10F." hidden="1">{#N/A,#N/A,FALSE,"PP ASS";#N/A,#N/A,FALSE,"PPHold";#N/A,#N/A,FALSE,"BilanAss";#N/A,#N/A,FALSE,"BilanHold";#N/A,#N/A,FALSE,"CFlow ";#N/A,#N/A,FALSE,"AFF NOUV";#N/A,#N/A,FALSE,"MACRO";#N/A,#N/A,FALSE,"Marché";#N/A,#N/A,FALSE,"Effet";#N/A,#N/A,FALSE,"EFF SYN ";#N/A,#N/A,FALSE,"MàJ";#N/A,#N/A,FALSE,"VENTIL30"}</definedName>
    <definedName name="wrn.PPT._.REPORT._.1995." localSheetId="10" hidden="1">{#N/A,#N/A,TRUE,"SCH-1$";#N/A,#N/A,TRUE,"SCH-1=N=";#N/A,#N/A,TRUE,"SCH-2";#N/A,#N/A,TRUE,"SCH-2a";#N/A,#N/A,TRUE,"SCH-2b";#N/A,#N/A,TRUE,"SCH-3";#N/A,#N/A,TRUE,"SCH-4";#N/A,#N/A,TRUE,"SCH-5a";#N/A,#N/A,TRUE,"SCH-5b";#N/A,#N/A,TRUE,"SCH-5c";#N/A,#N/A,TRUE,"SCH-5d";#N/A,#N/A,TRUE,"SCH-5e";#N/A,#N/A,TRUE,"SCH-6";#N/A,#N/A,TRUE,"SCH-6a";#N/A,#N/A,TRUE,"SCH-7";#N/A,#N/A,TRUE,"SCH-7a";#N/A,#N/A,TRUE,"SCH-8";#N/A,#N/A,TRUE,"SCH-8a";#N/A,#N/A,TRUE,"SCH-9";#N/A,#N/A,TRUE,"SCH-10";#N/A,#N/A,TRUE,"SCH-10a"}</definedName>
    <definedName name="wrn.PPT._.REPORT._.1995." localSheetId="3" hidden="1">{#N/A,#N/A,TRUE,"SCH-1$";#N/A,#N/A,TRUE,"SCH-1=N=";#N/A,#N/A,TRUE,"SCH-2";#N/A,#N/A,TRUE,"SCH-2a";#N/A,#N/A,TRUE,"SCH-2b";#N/A,#N/A,TRUE,"SCH-3";#N/A,#N/A,TRUE,"SCH-4";#N/A,#N/A,TRUE,"SCH-5a";#N/A,#N/A,TRUE,"SCH-5b";#N/A,#N/A,TRUE,"SCH-5c";#N/A,#N/A,TRUE,"SCH-5d";#N/A,#N/A,TRUE,"SCH-5e";#N/A,#N/A,TRUE,"SCH-6";#N/A,#N/A,TRUE,"SCH-6a";#N/A,#N/A,TRUE,"SCH-7";#N/A,#N/A,TRUE,"SCH-7a";#N/A,#N/A,TRUE,"SCH-8";#N/A,#N/A,TRUE,"SCH-8a";#N/A,#N/A,TRUE,"SCH-9";#N/A,#N/A,TRUE,"SCH-10";#N/A,#N/A,TRUE,"SCH-10a"}</definedName>
    <definedName name="wrn.PPT._.REPORT._.1995." hidden="1">{#N/A,#N/A,TRUE,"SCH-1$";#N/A,#N/A,TRUE,"SCH-1=N=";#N/A,#N/A,TRUE,"SCH-2";#N/A,#N/A,TRUE,"SCH-2a";#N/A,#N/A,TRUE,"SCH-2b";#N/A,#N/A,TRUE,"SCH-3";#N/A,#N/A,TRUE,"SCH-4";#N/A,#N/A,TRUE,"SCH-5a";#N/A,#N/A,TRUE,"SCH-5b";#N/A,#N/A,TRUE,"SCH-5c";#N/A,#N/A,TRUE,"SCH-5d";#N/A,#N/A,TRUE,"SCH-5e";#N/A,#N/A,TRUE,"SCH-6";#N/A,#N/A,TRUE,"SCH-6a";#N/A,#N/A,TRUE,"SCH-7";#N/A,#N/A,TRUE,"SCH-7a";#N/A,#N/A,TRUE,"SCH-8";#N/A,#N/A,TRUE,"SCH-8a";#N/A,#N/A,TRUE,"SCH-9";#N/A,#N/A,TRUE,"SCH-10";#N/A,#N/A,TRUE,"SCH-10a"}</definedName>
    <definedName name="wrn.PRECOM." localSheetId="10" hidden="1">{"PREMIO",#N/A,FALSE,"P&amp;CMENS";"COMISSOES",#N/A,FALSE,"P&amp;CMENS"}</definedName>
    <definedName name="wrn.PRECOM." localSheetId="3" hidden="1">{"PREMIO",#N/A,FALSE,"P&amp;CMENS";"COMISSOES",#N/A,FALSE,"P&amp;CMENS"}</definedName>
    <definedName name="wrn.PRECOM." hidden="1">{"PREMIO",#N/A,FALSE,"P&amp;CMENS";"COMISSOES",#N/A,FALSE,"P&amp;CMENS"}</definedName>
    <definedName name="wrn.PRESENTATION." localSheetId="10" hidden="1">{#N/A,#N/A,TRUE,"PRODUCTION CAPEX OVERVIEW";#N/A,#N/A,TRUE,"Affiliate Detail";#N/A,#N/A,TRUE,"CAPEX PLANNING OVERVIEW"}</definedName>
    <definedName name="wrn.PRESENTATION." localSheetId="3" hidden="1">{#N/A,#N/A,TRUE,"PRODUCTION CAPEX OVERVIEW";#N/A,#N/A,TRUE,"Affiliate Detail";#N/A,#N/A,TRUE,"CAPEX PLANNING OVERVIEW"}</definedName>
    <definedName name="wrn.PRESENTATION." hidden="1">{#N/A,#N/A,TRUE,"PRODUCTION CAPEX OVERVIEW";#N/A,#N/A,TRUE,"Affiliate Detail";#N/A,#N/A,TRUE,"CAPEX PLANNING OVERVIEW"}</definedName>
    <definedName name="wrn.PRESTT." localSheetId="10" hidden="1">{"SEM1",#N/A,FALSE,"PREST";"SEM2",#N/A,FALSE,"PREST"}</definedName>
    <definedName name="wrn.PRESTT." localSheetId="3" hidden="1">{"SEM1",#N/A,FALSE,"PREST";"SEM2",#N/A,FALSE,"PREST"}</definedName>
    <definedName name="wrn.PRESTT." hidden="1">{"SEM1",#N/A,FALSE,"PREST";"SEM2",#N/A,FALSE,"PREST"}</definedName>
    <definedName name="wrn.PRINCIPAIS._.CONTAS." localSheetId="10" hidden="1">{#N/A,#N/A,FALSE,"RESCONTA"}</definedName>
    <definedName name="wrn.PRINCIPAIS._.CONTAS." localSheetId="3" hidden="1">{#N/A,#N/A,FALSE,"RESCONTA"}</definedName>
    <definedName name="wrn.PRINCIPAIS._.CONTAS." hidden="1">{#N/A,#N/A,FALSE,"RESCONTA"}</definedName>
    <definedName name="wrn.PrintAll." localSheetId="10" hidden="1">{#N/A,#N/A,FALSE,"BactESD";#N/A,#N/A,FALSE,"Sealine";#N/A,#N/A,FALSE,"SPOTS";#N/A,#N/A,FALSE,"Bacton IR &amp; Propane"}</definedName>
    <definedName name="wrn.PrintAll." localSheetId="3" hidden="1">{#N/A,#N/A,FALSE,"BactESD";#N/A,#N/A,FALSE,"Sealine";#N/A,#N/A,FALSE,"SPOTS";#N/A,#N/A,FALSE,"Bacton IR &amp; Propane"}</definedName>
    <definedName name="wrn.PrintAll." hidden="1">{#N/A,#N/A,FALSE,"BactESD";#N/A,#N/A,FALSE,"Sealine";#N/A,#N/A,FALSE,"SPOTS";#N/A,#N/A,FALSE,"Bacton IR &amp; Propane"}</definedName>
    <definedName name="wrn.PrintAll._1" localSheetId="10" hidden="1">{#N/A,#N/A,FALSE,"BactESD";#N/A,#N/A,FALSE,"Sealine";#N/A,#N/A,FALSE,"SPOTS";#N/A,#N/A,FALSE,"Bacton IR &amp; Propane"}</definedName>
    <definedName name="wrn.PrintAll._1" localSheetId="3" hidden="1">{#N/A,#N/A,FALSE,"BactESD";#N/A,#N/A,FALSE,"Sealine";#N/A,#N/A,FALSE,"SPOTS";#N/A,#N/A,FALSE,"Bacton IR &amp; Propane"}</definedName>
    <definedName name="wrn.PrintAll._1" hidden="1">{#N/A,#N/A,FALSE,"BactESD";#N/A,#N/A,FALSE,"Sealine";#N/A,#N/A,FALSE,"SPOTS";#N/A,#N/A,FALSE,"Bacton IR &amp; Propane"}</definedName>
    <definedName name="wrn.PrintAll._2" localSheetId="10" hidden="1">{#N/A,#N/A,FALSE,"BactESD";#N/A,#N/A,FALSE,"Sealine";#N/A,#N/A,FALSE,"SPOTS";#N/A,#N/A,FALSE,"Bacton IR &amp; Propane"}</definedName>
    <definedName name="wrn.PrintAll._2" localSheetId="3" hidden="1">{#N/A,#N/A,FALSE,"BactESD";#N/A,#N/A,FALSE,"Sealine";#N/A,#N/A,FALSE,"SPOTS";#N/A,#N/A,FALSE,"Bacton IR &amp; Propane"}</definedName>
    <definedName name="wrn.PrintAll._2" hidden="1">{#N/A,#N/A,FALSE,"BactESD";#N/A,#N/A,FALSE,"Sealine";#N/A,#N/A,FALSE,"SPOTS";#N/A,#N/A,FALSE,"Bacton IR &amp; Propane"}</definedName>
    <definedName name="wrn.PrintAll._3" localSheetId="10" hidden="1">{#N/A,#N/A,FALSE,"BactESD";#N/A,#N/A,FALSE,"Sealine";#N/A,#N/A,FALSE,"SPOTS";#N/A,#N/A,FALSE,"Bacton IR &amp; Propane"}</definedName>
    <definedName name="wrn.PrintAll._3" localSheetId="3" hidden="1">{#N/A,#N/A,FALSE,"BactESD";#N/A,#N/A,FALSE,"Sealine";#N/A,#N/A,FALSE,"SPOTS";#N/A,#N/A,FALSE,"Bacton IR &amp; Propane"}</definedName>
    <definedName name="wrn.PrintAll._3" hidden="1">{#N/A,#N/A,FALSE,"BactESD";#N/A,#N/A,FALSE,"Sealine";#N/A,#N/A,FALSE,"SPOTS";#N/A,#N/A,FALSE,"Bacton IR &amp; Propane"}</definedName>
    <definedName name="wrn.PrintAll._4" localSheetId="10" hidden="1">{#N/A,#N/A,FALSE,"BactESD";#N/A,#N/A,FALSE,"Sealine";#N/A,#N/A,FALSE,"SPOTS";#N/A,#N/A,FALSE,"Bacton IR &amp; Propane"}</definedName>
    <definedName name="wrn.PrintAll._4" localSheetId="3" hidden="1">{#N/A,#N/A,FALSE,"BactESD";#N/A,#N/A,FALSE,"Sealine";#N/A,#N/A,FALSE,"SPOTS";#N/A,#N/A,FALSE,"Bacton IR &amp; Propane"}</definedName>
    <definedName name="wrn.PrintAll._4" hidden="1">{#N/A,#N/A,FALSE,"BactESD";#N/A,#N/A,FALSE,"Sealine";#N/A,#N/A,FALSE,"SPOTS";#N/A,#N/A,FALSE,"Bacton IR &amp; Propane"}</definedName>
    <definedName name="wrn.PrintAll._5" localSheetId="10" hidden="1">{#N/A,#N/A,FALSE,"BactESD";#N/A,#N/A,FALSE,"Sealine";#N/A,#N/A,FALSE,"SPOTS";#N/A,#N/A,FALSE,"Bacton IR &amp; Propane"}</definedName>
    <definedName name="wrn.PrintAll._5" localSheetId="3" hidden="1">{#N/A,#N/A,FALSE,"BactESD";#N/A,#N/A,FALSE,"Sealine";#N/A,#N/A,FALSE,"SPOTS";#N/A,#N/A,FALSE,"Bacton IR &amp; Propane"}</definedName>
    <definedName name="wrn.PrintAll._5" hidden="1">{#N/A,#N/A,FALSE,"BactESD";#N/A,#N/A,FALSE,"Sealine";#N/A,#N/A,FALSE,"SPOTS";#N/A,#N/A,FALSE,"Bacton IR &amp; Propane"}</definedName>
    <definedName name="wrn.PROJECT." localSheetId="10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" localSheetId="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1" localSheetId="10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1" localSheetId="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1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2" localSheetId="10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2" localSheetId="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2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3" localSheetId="10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3" localSheetId="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4" localSheetId="10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4" localSheetId="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4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5" localSheetId="10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5" localSheetId="3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JECT._5" hidden="1">{#N/A,#N/A,TRUE,"FRONT";"SUMMARY1",#N/A,TRUE,"SUMMARY";"SUMMARY2",#N/A,TRUE,"SUMMARY";"SUMMARY3",#N/A,TRUE,"SUMMARY";#N/A,#N/A,TRUE,"RECAP";#N/A,#N/A,TRUE,"SALES";#N/A,#N/A,TRUE,"PROJECT";#N/A,#N/A,TRUE,"FRONT";#N/A,#N/A,TRUE,"CONTINGENCY";"FORECAST",#N/A,TRUE,"PROFIT AND LOSS FORECAST"}</definedName>
    <definedName name="wrn.Prospetto." localSheetId="10" hidden="1">{"ProspettoImposte",#N/A,FALSE,"Prospetto imposte"}</definedName>
    <definedName name="wrn.Prospetto." localSheetId="3" hidden="1">{"ProspettoImposte",#N/A,FALSE,"Prospetto imposte"}</definedName>
    <definedName name="wrn.Prospetto." hidden="1">{"ProspettoImposte",#N/A,FALSE,"Prospetto imposte"}</definedName>
    <definedName name="wrn.PSPRelatório." localSheetId="10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PSPRelatório." localSheetId="3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QUADRO._.G.F." localSheetId="10" hidden="1">{#N/A,#N/A,FALSE,"GFPLEC96"}</definedName>
    <definedName name="wrn.QUADRO._.G.F." localSheetId="3" hidden="1">{#N/A,#N/A,FALSE,"GFPLEC96"}</definedName>
    <definedName name="wrn.QUADRO._.G.F." hidden="1">{#N/A,#N/A,FALSE,"GFPLEC96"}</definedName>
    <definedName name="wrn.Quarterly._.statements." localSheetId="10" hidden="1">{#N/A,#N/A,FALSE,"Total 1 Qrt";#N/A,#N/A,FALSE,"Total 2 Qrt";#N/A,#N/A,FALSE,"Total 3 Qrt";#N/A,#N/A,FALSE,"Total 4 Qrt"}</definedName>
    <definedName name="wrn.Quarterly._.statements." localSheetId="3" hidden="1">{#N/A,#N/A,FALSE,"Total 1 Qrt";#N/A,#N/A,FALSE,"Total 2 Qrt";#N/A,#N/A,FALSE,"Total 3 Qrt";#N/A,#N/A,FALSE,"Total 4 Qrt"}</definedName>
    <definedName name="wrn.Quarterly._.statements." hidden="1">{#N/A,#N/A,FALSE,"Total 1 Qrt";#N/A,#N/A,FALSE,"Total 2 Qrt";#N/A,#N/A,FALSE,"Total 3 Qrt";#N/A,#N/A,FALSE,"Total 4 Qrt"}</definedName>
    <definedName name="wrn.ratio." localSheetId="10" hidden="1">{#N/A,#N/A,FALSE,"JACKETS (1100 t) (1)"}</definedName>
    <definedName name="wrn.ratio." localSheetId="3" hidden="1">{#N/A,#N/A,FALSE,"JACKETS (1100 t) (1)"}</definedName>
    <definedName name="wrn.ratio." hidden="1">{#N/A,#N/A,FALSE,"JACKETS (1100 t) (1)"}</definedName>
    <definedName name="wrn.ratio._1" localSheetId="10" hidden="1">{#N/A,#N/A,FALSE,"JACKETS (1100 t) (1)"}</definedName>
    <definedName name="wrn.ratio._1" localSheetId="3" hidden="1">{#N/A,#N/A,FALSE,"JACKETS (1100 t) (1)"}</definedName>
    <definedName name="wrn.ratio._1" hidden="1">{#N/A,#N/A,FALSE,"JACKETS (1100 t) (1)"}</definedName>
    <definedName name="wrn.ratio._2" localSheetId="10" hidden="1">{#N/A,#N/A,FALSE,"JACKETS (1100 t) (1)"}</definedName>
    <definedName name="wrn.ratio._2" localSheetId="3" hidden="1">{#N/A,#N/A,FALSE,"JACKETS (1100 t) (1)"}</definedName>
    <definedName name="wrn.ratio._2" hidden="1">{#N/A,#N/A,FALSE,"JACKETS (1100 t) (1)"}</definedName>
    <definedName name="wrn.ratio._3" localSheetId="10" hidden="1">{#N/A,#N/A,FALSE,"JACKETS (1100 t) (1)"}</definedName>
    <definedName name="wrn.ratio._3" localSheetId="3" hidden="1">{#N/A,#N/A,FALSE,"JACKETS (1100 t) (1)"}</definedName>
    <definedName name="wrn.ratio._3" hidden="1">{#N/A,#N/A,FALSE,"JACKETS (1100 t) (1)"}</definedName>
    <definedName name="wrn.ratio._4" localSheetId="10" hidden="1">{#N/A,#N/A,FALSE,"JACKETS (1100 t) (1)"}</definedName>
    <definedName name="wrn.ratio._4" localSheetId="3" hidden="1">{#N/A,#N/A,FALSE,"JACKETS (1100 t) (1)"}</definedName>
    <definedName name="wrn.ratio._4" hidden="1">{#N/A,#N/A,FALSE,"JACKETS (1100 t) (1)"}</definedName>
    <definedName name="wrn.ratio._5" localSheetId="10" hidden="1">{#N/A,#N/A,FALSE,"JACKETS (1100 t) (1)"}</definedName>
    <definedName name="wrn.ratio._5" localSheetId="3" hidden="1">{#N/A,#N/A,FALSE,"JACKETS (1100 t) (1)"}</definedName>
    <definedName name="wrn.ratio._5" hidden="1">{#N/A,#N/A,FALSE,"JACKETS (1100 t) (1)"}</definedName>
    <definedName name="wrn.RECEITA._.MENSAL." localSheetId="10" hidden="1">{"RECEITA MENSAL",#N/A,FALSE,"CMD_846"}</definedName>
    <definedName name="wrn.RECEITA._.MENSAL." localSheetId="3" hidden="1">{"RECEITA MENSAL",#N/A,FALSE,"CMD_846"}</definedName>
    <definedName name="wrn.RECEITA._.MENSAL." hidden="1">{"RECEITA MENSAL",#N/A,FALSE,"CMD_846"}</definedName>
    <definedName name="wrn.REP." localSheetId="10" hidden="1">{#N/A,#N/A,FALSE,"min";#N/A,#N/A,FALSE,"mean";#N/A,#N/A,FALSE,"max"}</definedName>
    <definedName name="wrn.REP." localSheetId="3" hidden="1">{#N/A,#N/A,FALSE,"min";#N/A,#N/A,FALSE,"mean";#N/A,#N/A,FALSE,"max"}</definedName>
    <definedName name="wrn.REP." hidden="1">{#N/A,#N/A,FALSE,"min";#N/A,#N/A,FALSE,"mean";#N/A,#N/A,FALSE,"max"}</definedName>
    <definedName name="wrn.REP._1" localSheetId="10" hidden="1">{#N/A,#N/A,FALSE,"min";#N/A,#N/A,FALSE,"mean";#N/A,#N/A,FALSE,"max"}</definedName>
    <definedName name="wrn.REP._1" localSheetId="3" hidden="1">{#N/A,#N/A,FALSE,"min";#N/A,#N/A,FALSE,"mean";#N/A,#N/A,FALSE,"max"}</definedName>
    <definedName name="wrn.REP._1" hidden="1">{#N/A,#N/A,FALSE,"min";#N/A,#N/A,FALSE,"mean";#N/A,#N/A,FALSE,"max"}</definedName>
    <definedName name="wrn.REP._2" localSheetId="10" hidden="1">{#N/A,#N/A,FALSE,"min";#N/A,#N/A,FALSE,"mean";#N/A,#N/A,FALSE,"max"}</definedName>
    <definedName name="wrn.REP._2" localSheetId="3" hidden="1">{#N/A,#N/A,FALSE,"min";#N/A,#N/A,FALSE,"mean";#N/A,#N/A,FALSE,"max"}</definedName>
    <definedName name="wrn.REP._2" hidden="1">{#N/A,#N/A,FALSE,"min";#N/A,#N/A,FALSE,"mean";#N/A,#N/A,FALSE,"max"}</definedName>
    <definedName name="wrn.REP._3" localSheetId="10" hidden="1">{#N/A,#N/A,FALSE,"min";#N/A,#N/A,FALSE,"mean";#N/A,#N/A,FALSE,"max"}</definedName>
    <definedName name="wrn.REP._3" localSheetId="3" hidden="1">{#N/A,#N/A,FALSE,"min";#N/A,#N/A,FALSE,"mean";#N/A,#N/A,FALSE,"max"}</definedName>
    <definedName name="wrn.REP._3" hidden="1">{#N/A,#N/A,FALSE,"min";#N/A,#N/A,FALSE,"mean";#N/A,#N/A,FALSE,"max"}</definedName>
    <definedName name="wrn.REP._4" localSheetId="10" hidden="1">{#N/A,#N/A,FALSE,"min";#N/A,#N/A,FALSE,"mean";#N/A,#N/A,FALSE,"max"}</definedName>
    <definedName name="wrn.REP._4" localSheetId="3" hidden="1">{#N/A,#N/A,FALSE,"min";#N/A,#N/A,FALSE,"mean";#N/A,#N/A,FALSE,"max"}</definedName>
    <definedName name="wrn.REP._4" hidden="1">{#N/A,#N/A,FALSE,"min";#N/A,#N/A,FALSE,"mean";#N/A,#N/A,FALSE,"max"}</definedName>
    <definedName name="wrn.REP._5" localSheetId="10" hidden="1">{#N/A,#N/A,FALSE,"min";#N/A,#N/A,FALSE,"mean";#N/A,#N/A,FALSE,"max"}</definedName>
    <definedName name="wrn.REP._5" localSheetId="3" hidden="1">{#N/A,#N/A,FALSE,"min";#N/A,#N/A,FALSE,"mean";#N/A,#N/A,FALSE,"max"}</definedName>
    <definedName name="wrn.REP._5" hidden="1">{#N/A,#N/A,FALSE,"min";#N/A,#N/A,FALSE,"mean";#N/A,#N/A,FALSE,"max"}</definedName>
    <definedName name="wrn.Restructuring." localSheetId="10" hidden="1">{"restprint",#N/A,FALSE,"Restructuring"}</definedName>
    <definedName name="wrn.Restructuring." localSheetId="3" hidden="1">{"restprint",#N/A,FALSE,"Restructuring"}</definedName>
    <definedName name="wrn.Restructuring." hidden="1">{"restprint",#N/A,FALSE,"Restructuring"}</definedName>
    <definedName name="wrn.RESUMO._.GASTOS._.POR._.FABRICA." localSheetId="10" hidden="1">{#N/A,#N/A,FALSE,"RESFAB"}</definedName>
    <definedName name="wrn.RESUMO._.GASTOS._.POR._.FABRICA." localSheetId="3" hidden="1">{#N/A,#N/A,FALSE,"RESFAB"}</definedName>
    <definedName name="wrn.RESUMO._.GASTOS._.POR._.FABRICA." hidden="1">{#N/A,#N/A,FALSE,"RESFAB"}</definedName>
    <definedName name="wrn.Revenue._.Split._.and._.Recovery._.Analysis." localSheetId="10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wrn.Revenue._.Split._.and._.Recovery._.Analysis." localSheetId="3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wrn.Revenue._.Split._.and._.Recovery._.Analysis.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wrn.RHD._.RESERVE._.REPORT." localSheetId="10" hidden="1">{#N/A,#N/A,FALSE,"CHANGES";#N/A,#N/A,FALSE,"PROD SUMMARY";#N/A,#N/A,FALSE,"1995 PO SUM";#N/A,#N/A,FALSE,"1995 GEOG SUM";#N/A,#N/A,FALSE,"1996 PO SUM";#N/A,#N/A,FALSE,"1996 GEOG SUM"}</definedName>
    <definedName name="wrn.RHD._.RESERVE._.REPORT." localSheetId="3" hidden="1">{#N/A,#N/A,FALSE,"CHANGES";#N/A,#N/A,FALSE,"PROD SUMMARY";#N/A,#N/A,FALSE,"1995 PO SUM";#N/A,#N/A,FALSE,"1995 GEOG SUM";#N/A,#N/A,FALSE,"1996 PO SUM";#N/A,#N/A,FALSE,"1996 GEOG SUM"}</definedName>
    <definedName name="wrn.RHD._.RESERVE._.REPORT." hidden="1">{#N/A,#N/A,FALSE,"CHANGES";#N/A,#N/A,FALSE,"PROD SUMMARY";#N/A,#N/A,FALSE,"1995 PO SUM";#N/A,#N/A,FALSE,"1995 GEOG SUM";#N/A,#N/A,FALSE,"1996 PO SUM";#N/A,#N/A,FALSE,"1996 GEOG SUM"}</definedName>
    <definedName name="wrn.rhd.whatever" localSheetId="10" hidden="1">{#N/A,#N/A,FALSE,"CHANGES";#N/A,#N/A,FALSE,"PROD SUMMARY";#N/A,#N/A,FALSE,"1995 PO SUM";#N/A,#N/A,FALSE,"1995 GEOG SUM";#N/A,#N/A,FALSE,"1996 PO SUM";#N/A,#N/A,FALSE,"1996 GEOG SUM"}</definedName>
    <definedName name="wrn.rhd.whatever" localSheetId="3" hidden="1">{#N/A,#N/A,FALSE,"CHANGES";#N/A,#N/A,FALSE,"PROD SUMMARY";#N/A,#N/A,FALSE,"1995 PO SUM";#N/A,#N/A,FALSE,"1995 GEOG SUM";#N/A,#N/A,FALSE,"1996 PO SUM";#N/A,#N/A,FALSE,"1996 GEOG SUM"}</definedName>
    <definedName name="wrn.rhd.whatever" hidden="1">{#N/A,#N/A,FALSE,"CHANGES";#N/A,#N/A,FALSE,"PROD SUMMARY";#N/A,#N/A,FALSE,"1995 PO SUM";#N/A,#N/A,FALSE,"1995 GEOG SUM";#N/A,#N/A,FALSE,"1996 PO SUM";#N/A,#N/A,FALSE,"1996 GEOG SUM"}</definedName>
    <definedName name="wrn.RIGID._.SUPPLY._.ONLY.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1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1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1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2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2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2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3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3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4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4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4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5" localSheetId="10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5" localSheetId="3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IGID._.SUPPLY._.ONLY._5" hidden="1">{#N/A,#N/A,TRUE,"FRONT";"SUMMARY1",#N/A,TRUE,"SUMMARY";"SUMMARY2",#N/A,TRUE,"SUMMARY";"SUMMARY3",#N/A,TRUE,"SUMMARY";#N/A,#N/A,TRUE,"SALES";#N/A,#N/A,TRUE,"PROJECT";#N/A,#N/A,TRUE,"CONTINGENCY";"Profit and Loss forecast",#N/A,TRUE,"PROFIT AND LOSS FORECAST";"cashflow sources",#N/A,TRUE,"PROFIT AND LOSS FORECAST";#N/A,#N/A,TRUE,"COMM&amp;TAXES";#N/A,#N/A,TRUE,"MNGT-ENG";#N/A,#N/A,TRUE,"CRANAGE OTHER";#N/A,#N/A,TRUE,"RIGID";#N/A,#N/A,TRUE,"TRANSPORT";#N/A,#N/A,TRUE,"OAU OTHER SUPPLY";#N/A,#N/A,TRUE,"SUBCONTRACTING"}</definedName>
    <definedName name="wrn.RPT1." localSheetId="10" hidden="1">{"RPT1",#N/A,FALSE,"OIC650A"}</definedName>
    <definedName name="wrn.RPT1." localSheetId="3" hidden="1">{"RPT1",#N/A,FALSE,"OIC650A"}</definedName>
    <definedName name="wrn.RPT1." hidden="1">{"RPT1",#N/A,FALSE,"OIC650A"}</definedName>
    <definedName name="wrn.RPT2" localSheetId="10" hidden="1">{"RPT1",#N/A,FALSE,"OIC650A"}</definedName>
    <definedName name="wrn.RPT2" localSheetId="3" hidden="1">{"RPT1",#N/A,FALSE,"OIC650A"}</definedName>
    <definedName name="wrn.RPT2" hidden="1">{"RPT1",#N/A,FALSE,"OIC650A"}</definedName>
    <definedName name="wrn.RPT610." localSheetId="10" hidden="1">{"RPT610",#N/A,FALSE,"Sheet1"}</definedName>
    <definedName name="wrn.RPT610." localSheetId="3" hidden="1">{"RPT610",#N/A,FALSE,"Sheet1"}</definedName>
    <definedName name="wrn.RPT610." hidden="1">{"RPT610",#N/A,FALSE,"Sheet1"}</definedName>
    <definedName name="wrn.Scritture." localSheetId="10" hidden="1">{"Scritture",#N/A,FALSE,"Scritture"}</definedName>
    <definedName name="wrn.Scritture." localSheetId="3" hidden="1">{"Scritture",#N/A,FALSE,"Scritture"}</definedName>
    <definedName name="wrn.Scritture." hidden="1">{"Scritture",#N/A,FALSE,"Scritture"}</definedName>
    <definedName name="wrn.sintesi." localSheetId="10" hidden="1">{#N/A,#N/A,FALSE,"1 SUMM";#N/A,#N/A,FALSE,"4 FACIL"}</definedName>
    <definedName name="wrn.sintesi." localSheetId="3" hidden="1">{#N/A,#N/A,FALSE,"1 SUMM";#N/A,#N/A,FALSE,"4 FACIL"}</definedName>
    <definedName name="wrn.sintesi." hidden="1">{#N/A,#N/A,FALSE,"1 SUMM";#N/A,#N/A,FALSE,"4 FACIL"}</definedName>
    <definedName name="wrn.sintesi._1" localSheetId="10" hidden="1">{#N/A,#N/A,FALSE,"1 SUMM";#N/A,#N/A,FALSE,"4 FACIL"}</definedName>
    <definedName name="wrn.sintesi._1" localSheetId="3" hidden="1">{#N/A,#N/A,FALSE,"1 SUMM";#N/A,#N/A,FALSE,"4 FACIL"}</definedName>
    <definedName name="wrn.sintesi._1" hidden="1">{#N/A,#N/A,FALSE,"1 SUMM";#N/A,#N/A,FALSE,"4 FACIL"}</definedName>
    <definedName name="wrn.sintesi._2" localSheetId="10" hidden="1">{#N/A,#N/A,FALSE,"1 SUMM";#N/A,#N/A,FALSE,"4 FACIL"}</definedName>
    <definedName name="wrn.sintesi._2" localSheetId="3" hidden="1">{#N/A,#N/A,FALSE,"1 SUMM";#N/A,#N/A,FALSE,"4 FACIL"}</definedName>
    <definedName name="wrn.sintesi._2" hidden="1">{#N/A,#N/A,FALSE,"1 SUMM";#N/A,#N/A,FALSE,"4 FACIL"}</definedName>
    <definedName name="wrn.sintesi._3" localSheetId="10" hidden="1">{#N/A,#N/A,FALSE,"1 SUMM";#N/A,#N/A,FALSE,"4 FACIL"}</definedName>
    <definedName name="wrn.sintesi._3" localSheetId="3" hidden="1">{#N/A,#N/A,FALSE,"1 SUMM";#N/A,#N/A,FALSE,"4 FACIL"}</definedName>
    <definedName name="wrn.sintesi._3" hidden="1">{#N/A,#N/A,FALSE,"1 SUMM";#N/A,#N/A,FALSE,"4 FACIL"}</definedName>
    <definedName name="wrn.sintesi._4" localSheetId="10" hidden="1">{#N/A,#N/A,FALSE,"1 SUMM";#N/A,#N/A,FALSE,"4 FACIL"}</definedName>
    <definedName name="wrn.sintesi._4" localSheetId="3" hidden="1">{#N/A,#N/A,FALSE,"1 SUMM";#N/A,#N/A,FALSE,"4 FACIL"}</definedName>
    <definedName name="wrn.sintesi._4" hidden="1">{#N/A,#N/A,FALSE,"1 SUMM";#N/A,#N/A,FALSE,"4 FACIL"}</definedName>
    <definedName name="wrn.sintesi._5" localSheetId="10" hidden="1">{#N/A,#N/A,FALSE,"1 SUMM";#N/A,#N/A,FALSE,"4 FACIL"}</definedName>
    <definedName name="wrn.sintesi._5" localSheetId="3" hidden="1">{#N/A,#N/A,FALSE,"1 SUMM";#N/A,#N/A,FALSE,"4 FACIL"}</definedName>
    <definedName name="wrn.sintesi._5" hidden="1">{#N/A,#N/A,FALSE,"1 SUMM";#N/A,#N/A,FALSE,"4 FACIL"}</definedName>
    <definedName name="wrn.Summarised._.AFS." localSheetId="10" hidden="1">{#N/A,#N/A,FALSE,"BS";#N/A,#N/A,FALSE,"IStat"}</definedName>
    <definedName name="wrn.Summarised._.AFS." localSheetId="3" hidden="1">{#N/A,#N/A,FALSE,"BS";#N/A,#N/A,FALSE,"IStat"}</definedName>
    <definedName name="wrn.Summarised._.AFS." hidden="1">{#N/A,#N/A,FALSE,"BS";#N/A,#N/A,FALSE,"IStat"}</definedName>
    <definedName name="wrn.SUMMARY." localSheetId="10" hidden="1">{"SUMMARY1",#N/A,TRUE,"SUMMARY";"SUMMARY2",#N/A,TRUE,"SUMMARY";"SUMMARY3",#N/A,TRUE,"SUMMARY"}</definedName>
    <definedName name="wrn.SUMMARY." localSheetId="3" hidden="1">{"SUMMARY1",#N/A,TRUE,"SUMMARY";"SUMMARY2",#N/A,TRUE,"SUMMARY";"SUMMARY3",#N/A,TRUE,"SUMMARY"}</definedName>
    <definedName name="wrn.SUMMARY." hidden="1">{"SUMMARY1",#N/A,TRUE,"SUMMARY";"SUMMARY2",#N/A,TRUE,"SUMMARY";"SUMMARY3",#N/A,TRUE,"SUMMARY"}</definedName>
    <definedName name="wrn.SUMMARY._1" localSheetId="10" hidden="1">{"SUMMARY1",#N/A,TRUE,"SUMMARY";"SUMMARY2",#N/A,TRUE,"SUMMARY";"SUMMARY3",#N/A,TRUE,"SUMMARY"}</definedName>
    <definedName name="wrn.SUMMARY._1" localSheetId="3" hidden="1">{"SUMMARY1",#N/A,TRUE,"SUMMARY";"SUMMARY2",#N/A,TRUE,"SUMMARY";"SUMMARY3",#N/A,TRUE,"SUMMARY"}</definedName>
    <definedName name="wrn.SUMMARY._1" hidden="1">{"SUMMARY1",#N/A,TRUE,"SUMMARY";"SUMMARY2",#N/A,TRUE,"SUMMARY";"SUMMARY3",#N/A,TRUE,"SUMMARY"}</definedName>
    <definedName name="wrn.SUMMARY._2" localSheetId="10" hidden="1">{"SUMMARY1",#N/A,TRUE,"SUMMARY";"SUMMARY2",#N/A,TRUE,"SUMMARY";"SUMMARY3",#N/A,TRUE,"SUMMARY"}</definedName>
    <definedName name="wrn.SUMMARY._2" localSheetId="3" hidden="1">{"SUMMARY1",#N/A,TRUE,"SUMMARY";"SUMMARY2",#N/A,TRUE,"SUMMARY";"SUMMARY3",#N/A,TRUE,"SUMMARY"}</definedName>
    <definedName name="wrn.SUMMARY._2" hidden="1">{"SUMMARY1",#N/A,TRUE,"SUMMARY";"SUMMARY2",#N/A,TRUE,"SUMMARY";"SUMMARY3",#N/A,TRUE,"SUMMARY"}</definedName>
    <definedName name="wrn.SUMMARY._3" localSheetId="10" hidden="1">{"SUMMARY1",#N/A,TRUE,"SUMMARY";"SUMMARY2",#N/A,TRUE,"SUMMARY";"SUMMARY3",#N/A,TRUE,"SUMMARY"}</definedName>
    <definedName name="wrn.SUMMARY._3" localSheetId="3" hidden="1">{"SUMMARY1",#N/A,TRUE,"SUMMARY";"SUMMARY2",#N/A,TRUE,"SUMMARY";"SUMMARY3",#N/A,TRUE,"SUMMARY"}</definedName>
    <definedName name="wrn.SUMMARY._3" hidden="1">{"SUMMARY1",#N/A,TRUE,"SUMMARY";"SUMMARY2",#N/A,TRUE,"SUMMARY";"SUMMARY3",#N/A,TRUE,"SUMMARY"}</definedName>
    <definedName name="wrn.SUMMARY._4" localSheetId="10" hidden="1">{"SUMMARY1",#N/A,TRUE,"SUMMARY";"SUMMARY2",#N/A,TRUE,"SUMMARY";"SUMMARY3",#N/A,TRUE,"SUMMARY"}</definedName>
    <definedName name="wrn.SUMMARY._4" localSheetId="3" hidden="1">{"SUMMARY1",#N/A,TRUE,"SUMMARY";"SUMMARY2",#N/A,TRUE,"SUMMARY";"SUMMARY3",#N/A,TRUE,"SUMMARY"}</definedName>
    <definedName name="wrn.SUMMARY._4" hidden="1">{"SUMMARY1",#N/A,TRUE,"SUMMARY";"SUMMARY2",#N/A,TRUE,"SUMMARY";"SUMMARY3",#N/A,TRUE,"SUMMARY"}</definedName>
    <definedName name="wrn.SUMMARY._5" localSheetId="10" hidden="1">{"SUMMARY1",#N/A,TRUE,"SUMMARY";"SUMMARY2",#N/A,TRUE,"SUMMARY";"SUMMARY3",#N/A,TRUE,"SUMMARY"}</definedName>
    <definedName name="wrn.SUMMARY._5" localSheetId="3" hidden="1">{"SUMMARY1",#N/A,TRUE,"SUMMARY";"SUMMARY2",#N/A,TRUE,"SUMMARY";"SUMMARY3",#N/A,TRUE,"SUMMARY"}</definedName>
    <definedName name="wrn.SUMMARY._5" hidden="1">{"SUMMARY1",#N/A,TRUE,"SUMMARY";"SUMMARY2",#N/A,TRUE,"SUMMARY";"SUMMARY3",#N/A,TRUE,"SUMMARY"}</definedName>
    <definedName name="wrn.Supplemental." localSheetId="10" hidden="1">{"Supplemental",#N/A,FALSE,"Supplemental"}</definedName>
    <definedName name="wrn.Supplemental." localSheetId="3" hidden="1">{"Supplemental",#N/A,FALSE,"Supplemental"}</definedName>
    <definedName name="wrn.Supplemental." hidden="1">{"Supplemental",#N/A,FALSE,"Supplemental"}</definedName>
    <definedName name="wrn.test." localSheetId="10" hidden="1">{#N/A,#N/A,FALSE,"SUBS";"inc projects",#N/A,FALSE,"SUBS";"inc allocation",#N/A,FALSE,"SUBS"}</definedName>
    <definedName name="wrn.test." localSheetId="3" hidden="1">{#N/A,#N/A,FALSE,"SUBS";"inc projects",#N/A,FALSE,"SUBS";"inc allocation",#N/A,FALSE,"SUBS"}</definedName>
    <definedName name="wrn.test." hidden="1">{#N/A,#N/A,FALSE,"SUBS";"inc projects",#N/A,FALSE,"SUBS";"inc allocation",#N/A,FALSE,"SUBS"}</definedName>
    <definedName name="wrn.TEST610." localSheetId="10" hidden="1">{"TEST610",#N/A,FALSE,"Sheet1"}</definedName>
    <definedName name="wrn.TEST610." localSheetId="3" hidden="1">{"TEST610",#N/A,FALSE,"Sheet1"}</definedName>
    <definedName name="wrn.TEST610." hidden="1">{"TEST610",#N/A,FALSE,"Sheet1"}</definedName>
    <definedName name="wrn.TEST611" localSheetId="10" hidden="1">{"TEST610",#N/A,FALSE,"Sheet1"}</definedName>
    <definedName name="wrn.TEST611" localSheetId="3" hidden="1">{"TEST610",#N/A,FALSE,"Sheet1"}</definedName>
    <definedName name="wrn.TEST611" hidden="1">{"TEST610",#N/A,FALSE,"Sheet1"}</definedName>
    <definedName name="wrn.TEST611." localSheetId="10" hidden="1">{"TEST611",#N/A,FALSE,"Sheet1"}</definedName>
    <definedName name="wrn.TEST611." localSheetId="3" hidden="1">{"TEST611",#N/A,FALSE,"Sheet1"}</definedName>
    <definedName name="wrn.TEST611." hidden="1">{"TEST611",#N/A,FALSE,"Sheet1"}</definedName>
    <definedName name="wrn.TEST615" localSheetId="10" hidden="1">{"TEST610",#N/A,FALSE,"Sheet1"}</definedName>
    <definedName name="wrn.TEST615" localSheetId="3" hidden="1">{"TEST610",#N/A,FALSE,"Sheet1"}</definedName>
    <definedName name="wrn.TEST615" hidden="1">{"TEST610",#N/A,FALSE,"Sheet1"}</definedName>
    <definedName name="wrn.TEST616" localSheetId="10" hidden="1">{"TEST610",#N/A,FALSE,"Sheet1"}</definedName>
    <definedName name="wrn.TEST616" localSheetId="3" hidden="1">{"TEST610",#N/A,FALSE,"Sheet1"}</definedName>
    <definedName name="wrn.TEST616" hidden="1">{"TEST610",#N/A,FALSE,"Sheet1"}</definedName>
    <definedName name="wrn.Tutto." localSheetId="10" hidden="1">{"ProspettoImposte",#N/A,FALSE,"Prospetto imposte";"Scritture",#N/A,FALSE,"Scritture"}</definedName>
    <definedName name="wrn.Tutto." localSheetId="3" hidden="1">{"ProspettoImposte",#N/A,FALSE,"Prospetto imposte";"Scritture",#N/A,FALSE,"Scritture"}</definedName>
    <definedName name="wrn.Tutto." hidden="1">{"ProspettoImposte",#N/A,FALSE,"Prospetto imposte";"Scritture",#N/A,FALSE,"Scritture"}</definedName>
    <definedName name="wrn.USD." localSheetId="10" hidden="1">{"USD",#N/A,FALSE,"APLICAR"}</definedName>
    <definedName name="wrn.USD." localSheetId="3" hidden="1">{"USD",#N/A,FALSE,"APLICAR"}</definedName>
    <definedName name="wrn.USD." hidden="1">{"USD",#N/A,FALSE,"APLICAR"}</definedName>
    <definedName name="wrn.VARIASMOEDAS." localSheetId="10" hidden="1">{"VARIASMOEDAS",#N/A,FALSE,"APLICAR"}</definedName>
    <definedName name="wrn.VARIASMOEDAS." localSheetId="3" hidden="1">{"VARIASMOEDAS",#N/A,FALSE,"APLICAR"}</definedName>
    <definedName name="wrn.VARIASMOEDAS." hidden="1">{"VARIASMOEDAS",#N/A,FALSE,"APLICAR"}</definedName>
    <definedName name="wrn.VF." localSheetId="10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VF." localSheetId="3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VF.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ZAR." localSheetId="10" hidden="1">{"ZAR",#N/A,FALSE,"APLICAR"}</definedName>
    <definedName name="wrn.ZAR." localSheetId="3" hidden="1">{"ZAR",#N/A,FALSE,"APLICAR"}</definedName>
    <definedName name="wrn.ZAR." hidden="1">{"ZAR",#N/A,FALSE,"APLICAR"}</definedName>
    <definedName name="WRN.ZE" localSheetId="10" hidden="1">{#N/A,#N/A,FALSE,"GFPLEC96"}</definedName>
    <definedName name="WRN.ZE" localSheetId="3" hidden="1">{#N/A,#N/A,FALSE,"GFPLEC96"}</definedName>
    <definedName name="WRN.ZE" hidden="1">{#N/A,#N/A,FALSE,"GFPLEC96"}</definedName>
    <definedName name="wsd" localSheetId="10" hidden="1">{"VARIASMOEDAS",#N/A,FALSE,"APLICAR"}</definedName>
    <definedName name="wsd" localSheetId="3" hidden="1">{"VARIASMOEDAS",#N/A,FALSE,"APLICAR"}</definedName>
    <definedName name="wsd" hidden="1">{"VARIASMOEDAS",#N/A,FALSE,"APLICAR"}</definedName>
    <definedName name="wvu.DETT.._.COSTI." localSheetId="1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1" localSheetId="1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1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1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2" localSheetId="1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2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2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3" localSheetId="1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3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4" localSheetId="1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4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4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5" localSheetId="10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5" localSheetId="3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DETT.._.COSTI._5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1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1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1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2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2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2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3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3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4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4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4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5" localSheetId="10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5" localSheetId="3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RIEPIL.._5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w">#REF!</definedName>
    <definedName name="ww_1" localSheetId="10" hidden="1">{#N/A,#N/A,FALSE,"JACKETS (1100 t) (1)"}</definedName>
    <definedName name="ww_1" localSheetId="3" hidden="1">{#N/A,#N/A,FALSE,"JACKETS (1100 t) (1)"}</definedName>
    <definedName name="ww_1" hidden="1">{#N/A,#N/A,FALSE,"JACKETS (1100 t) (1)"}</definedName>
    <definedName name="ww_2" localSheetId="10" hidden="1">{#N/A,#N/A,FALSE,"JACKETS (1100 t) (1)"}</definedName>
    <definedName name="ww_2" localSheetId="3" hidden="1">{#N/A,#N/A,FALSE,"JACKETS (1100 t) (1)"}</definedName>
    <definedName name="ww_2" hidden="1">{#N/A,#N/A,FALSE,"JACKETS (1100 t) (1)"}</definedName>
    <definedName name="ww_3" localSheetId="10" hidden="1">{#N/A,#N/A,FALSE,"JACKETS (1100 t) (1)"}</definedName>
    <definedName name="ww_3" localSheetId="3" hidden="1">{#N/A,#N/A,FALSE,"JACKETS (1100 t) (1)"}</definedName>
    <definedName name="ww_3" hidden="1">{#N/A,#N/A,FALSE,"JACKETS (1100 t) (1)"}</definedName>
    <definedName name="ww_4" localSheetId="10" hidden="1">{#N/A,#N/A,FALSE,"JACKETS (1100 t) (1)"}</definedName>
    <definedName name="ww_4" localSheetId="3" hidden="1">{#N/A,#N/A,FALSE,"JACKETS (1100 t) (1)"}</definedName>
    <definedName name="ww_4" hidden="1">{#N/A,#N/A,FALSE,"JACKETS (1100 t) (1)"}</definedName>
    <definedName name="ww_5" localSheetId="10" hidden="1">{#N/A,#N/A,FALSE,"JACKETS (1100 t) (1)"}</definedName>
    <definedName name="ww_5" localSheetId="3" hidden="1">{#N/A,#N/A,FALSE,"JACKETS (1100 t) (1)"}</definedName>
    <definedName name="ww_5" hidden="1">{#N/A,#N/A,FALSE,"JACKETS (1100 t) (1)"}</definedName>
    <definedName name="www" localSheetId="10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www" localSheetId="3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www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wwww">#REF!</definedName>
    <definedName name="wwwwww">#REF!</definedName>
    <definedName name="x">#REF!</definedName>
    <definedName name="x_1" localSheetId="10" hidden="1">{#N/A,#N/A,FALSE,"JACKETS (1100 t) (1)"}</definedName>
    <definedName name="x_1" localSheetId="3" hidden="1">{#N/A,#N/A,FALSE,"JACKETS (1100 t) (1)"}</definedName>
    <definedName name="x_1" hidden="1">{#N/A,#N/A,FALSE,"JACKETS (1100 t) (1)"}</definedName>
    <definedName name="x_2" localSheetId="10" hidden="1">{#N/A,#N/A,FALSE,"JACKETS (1100 t) (1)"}</definedName>
    <definedName name="x_2" localSheetId="3" hidden="1">{#N/A,#N/A,FALSE,"JACKETS (1100 t) (1)"}</definedName>
    <definedName name="x_2" hidden="1">{#N/A,#N/A,FALSE,"JACKETS (1100 t) (1)"}</definedName>
    <definedName name="x_3" localSheetId="10" hidden="1">{#N/A,#N/A,FALSE,"JACKETS (1100 t) (1)"}</definedName>
    <definedName name="x_3" localSheetId="3" hidden="1">{#N/A,#N/A,FALSE,"JACKETS (1100 t) (1)"}</definedName>
    <definedName name="x_3" hidden="1">{#N/A,#N/A,FALSE,"JACKETS (1100 t) (1)"}</definedName>
    <definedName name="x_4" localSheetId="10" hidden="1">{#N/A,#N/A,FALSE,"JACKETS (1100 t) (1)"}</definedName>
    <definedName name="x_4" localSheetId="3" hidden="1">{#N/A,#N/A,FALSE,"JACKETS (1100 t) (1)"}</definedName>
    <definedName name="x_4" hidden="1">{#N/A,#N/A,FALSE,"JACKETS (1100 t) (1)"}</definedName>
    <definedName name="x_5" localSheetId="10" hidden="1">{#N/A,#N/A,FALSE,"JACKETS (1100 t) (1)"}</definedName>
    <definedName name="x_5" localSheetId="3" hidden="1">{#N/A,#N/A,FALSE,"JACKETS (1100 t) (1)"}</definedName>
    <definedName name="x_5" hidden="1">{#N/A,#N/A,FALSE,"JACKETS (1100 t) (1)"}</definedName>
    <definedName name="XA03a">#REF!</definedName>
    <definedName name="XA04a">#REF!</definedName>
    <definedName name="XA05a">#REF!</definedName>
    <definedName name="XAP">#REF!</definedName>
    <definedName name="XAPa">#REF!</definedName>
    <definedName name="XAR">#REF!</definedName>
    <definedName name="XARa">#REF!</definedName>
    <definedName name="XBank">#REF!</definedName>
    <definedName name="XBanka">#REF!</definedName>
    <definedName name="XCapRes">#REF!</definedName>
    <definedName name="XCapresa">#REF!</definedName>
    <definedName name="XCurAss">#REF!</definedName>
    <definedName name="XCurrAssa">#REF!</definedName>
    <definedName name="XCurrLiab">#REF!</definedName>
    <definedName name="XCurrLiaba">#REF!</definedName>
    <definedName name="XDiv">#REF!</definedName>
    <definedName name="XDiva">#REF!</definedName>
    <definedName name="XDSLCON">#REF!</definedName>
    <definedName name="XDSLEDU">#REF!</definedName>
    <definedName name="XDSLSME">#REF!</definedName>
    <definedName name="XDSLSOHO">#REF!</definedName>
    <definedName name="XDT">#REF!</definedName>
    <definedName name="XEF_COLUM_2" hidden="1">#REF!</definedName>
    <definedName name="XFA">#REF!</definedName>
    <definedName name="XFarming">#REF!</definedName>
    <definedName name="XFarminga">#REF!</definedName>
    <definedName name="XFarmP">#REF!</definedName>
    <definedName name="XFarmPa">#REF!</definedName>
    <definedName name="XGenRes">#REF!</definedName>
    <definedName name="XGenResA">#REF!</definedName>
    <definedName name="XICa">#REF!</definedName>
    <definedName name="XICP">#REF!</definedName>
    <definedName name="XICPa">#REF!</definedName>
    <definedName name="XICR">#REF!</definedName>
    <definedName name="XINAVANE">#REF!</definedName>
    <definedName name="XInvestm">#REF!</definedName>
    <definedName name="XInvestma">#REF!</definedName>
    <definedName name="XLTL">#REF!</definedName>
    <definedName name="XLTLa">#REF!</definedName>
    <definedName name="xmas">#REF!</definedName>
    <definedName name="xmcas">#REF!</definedName>
    <definedName name="xmch">#REF!</definedName>
    <definedName name="xmchfnonxm">#REF!</definedName>
    <definedName name="xmchfxm">#REF!</definedName>
    <definedName name="xmcm">#REF!</definedName>
    <definedName name="xmcmaternity">#REF!</definedName>
    <definedName name="xmcminonxm">#REF!</definedName>
    <definedName name="xmcmixm">#REF!</definedName>
    <definedName name="xmcneinonxm">#REF!</definedName>
    <definedName name="xmcneixm">#REF!</definedName>
    <definedName name="xmcr">#REF!</definedName>
    <definedName name="xmcrinonxm">#REF!</definedName>
    <definedName name="xmcrixm">#REF!</definedName>
    <definedName name="xmcu">#REF!</definedName>
    <definedName name="xmcw">#REF!</definedName>
    <definedName name="xmcwi">#REF!</definedName>
    <definedName name="xmnotax">#REF!</definedName>
    <definedName name="xmph">#REF!</definedName>
    <definedName name="xmphfnonxm">#REF!</definedName>
    <definedName name="xmphfxm">#REF!</definedName>
    <definedName name="xmpm">#REF!</definedName>
    <definedName name="xmpminonxm">#REF!</definedName>
    <definedName name="xmpmixm">#REF!</definedName>
    <definedName name="xmpneinonxm">#REF!</definedName>
    <definedName name="xmpneixm">#REF!</definedName>
    <definedName name="xmpr">#REF!</definedName>
    <definedName name="xmpri">#REF!</definedName>
    <definedName name="xmpu">#REF!</definedName>
    <definedName name="XPL">#REF!</definedName>
    <definedName name="XPLa">#REF!</definedName>
    <definedName name="xRange10001">#REF!</definedName>
    <definedName name="xRange10002">#REF!</definedName>
    <definedName name="xRange10003">#REF!</definedName>
    <definedName name="xRange10004">#REF!</definedName>
    <definedName name="xRange10005">#REF!</definedName>
    <definedName name="xRange10006">#REF!</definedName>
    <definedName name="xRange10007">#REF!</definedName>
    <definedName name="xRange10008">#REF!</definedName>
    <definedName name="xRange10009">#REF!</definedName>
    <definedName name="xRange10010">#REF!</definedName>
    <definedName name="xRange10011">#REF!</definedName>
    <definedName name="xRange10012">#REF!</definedName>
    <definedName name="xRange10013">#REF!</definedName>
    <definedName name="xRange10014">#REF!</definedName>
    <definedName name="xRange10015">#REF!</definedName>
    <definedName name="xRange10016">#REF!</definedName>
    <definedName name="xRange10017">#REF!</definedName>
    <definedName name="xRange10018">#REF!</definedName>
    <definedName name="xRange10019">#REF!</definedName>
    <definedName name="xRange10020">#REF!</definedName>
    <definedName name="xRange10021">#REF!</definedName>
    <definedName name="xRange10022">#REF!</definedName>
    <definedName name="xRange10023">#REF!</definedName>
    <definedName name="xRange10024">#REF!</definedName>
    <definedName name="xRange10025">#REF!</definedName>
    <definedName name="xRange10026">#REF!</definedName>
    <definedName name="xRange10027">#REF!</definedName>
    <definedName name="xRange10028">#REF!</definedName>
    <definedName name="xRange10029">#REF!</definedName>
    <definedName name="xRange10030">#REF!</definedName>
    <definedName name="xRange10031">#REF!</definedName>
    <definedName name="xRange10032">#REF!</definedName>
    <definedName name="xRange10033">#REF!</definedName>
    <definedName name="xRange10034">#REF!</definedName>
    <definedName name="xRange10035">#REF!</definedName>
    <definedName name="xRange10036">#REF!</definedName>
    <definedName name="xRange10037">#REF!</definedName>
    <definedName name="xRange10038">#REF!</definedName>
    <definedName name="xRange10039">#REF!</definedName>
    <definedName name="xRange10040">#REF!</definedName>
    <definedName name="xRange10041">#REF!</definedName>
    <definedName name="xRange10042">#REF!</definedName>
    <definedName name="xRange10043">#REF!</definedName>
    <definedName name="xRange10044">#REF!</definedName>
    <definedName name="xRange10045">#REF!</definedName>
    <definedName name="xRange10054">#REF!</definedName>
    <definedName name="xRange10055">#REF!</definedName>
    <definedName name="xRange10059">#REF!</definedName>
    <definedName name="xRange10060">#REF!</definedName>
    <definedName name="xRange10063">#REF!</definedName>
    <definedName name="xRange10064">#REF!</definedName>
    <definedName name="xRange10065">#REF!</definedName>
    <definedName name="xRange10066">#REF!</definedName>
    <definedName name="xRange10067">#REF!</definedName>
    <definedName name="xRange10068">#REF!</definedName>
    <definedName name="xRange10069">#REF!</definedName>
    <definedName name="xRange10070">#REF!</definedName>
    <definedName name="xRange10071">#REF!</definedName>
    <definedName name="xRange10072">#REF!</definedName>
    <definedName name="xRange10073">#REF!</definedName>
    <definedName name="xRange10074">#REF!</definedName>
    <definedName name="xRange10075">#REF!</definedName>
    <definedName name="xRange10076">#REF!</definedName>
    <definedName name="xRange10077">#REF!</definedName>
    <definedName name="xRange10078">#REF!</definedName>
    <definedName name="xRange10079">#REF!</definedName>
    <definedName name="xRange10084">#REF!</definedName>
    <definedName name="xRange10085">#REF!</definedName>
    <definedName name="xRange10086">#REF!</definedName>
    <definedName name="xRange10087">#REF!</definedName>
    <definedName name="xRange10088">#REF!</definedName>
    <definedName name="xRange10089">#REF!</definedName>
    <definedName name="xRange10090">#REF!</definedName>
    <definedName name="xRange10093">#REF!</definedName>
    <definedName name="xRange10094">#REF!</definedName>
    <definedName name="xRange10095">#REF!</definedName>
    <definedName name="xRange10096">#REF!</definedName>
    <definedName name="xRange10097">#REF!</definedName>
    <definedName name="xRange10098">#REF!</definedName>
    <definedName name="xRange10099">#REF!</definedName>
    <definedName name="xRange10100">#REF!</definedName>
    <definedName name="xRange10101">#REF!</definedName>
    <definedName name="xRange10102">#REF!</definedName>
    <definedName name="xRange10103">#REF!</definedName>
    <definedName name="xRange10104">#REF!</definedName>
    <definedName name="xRange10105">#REF!</definedName>
    <definedName name="xRange10106">#REF!</definedName>
    <definedName name="xRange10107">#REF!</definedName>
    <definedName name="xRange10108">#REF!</definedName>
    <definedName name="xRange10109">#REF!</definedName>
    <definedName name="xRange10110">#REF!</definedName>
    <definedName name="xRange10111">#REF!</definedName>
    <definedName name="xRange10112">#REF!</definedName>
    <definedName name="xRange10113">#REF!</definedName>
    <definedName name="xRange10114">#REF!</definedName>
    <definedName name="xRange10115">#REF!</definedName>
    <definedName name="xRange10116">#REF!</definedName>
    <definedName name="xRange10117">#REF!</definedName>
    <definedName name="xRange10118">#REF!</definedName>
    <definedName name="xRange10119">#REF!</definedName>
    <definedName name="xRange10120">#REF!</definedName>
    <definedName name="xRange10121">#REF!</definedName>
    <definedName name="xRange10122">#REF!</definedName>
    <definedName name="xRange10123">#REF!</definedName>
    <definedName name="xRange10124">#REF!</definedName>
    <definedName name="xRange10125">#REF!</definedName>
    <definedName name="xRange10126">#REF!</definedName>
    <definedName name="xRange10127">#REF!</definedName>
    <definedName name="xRange10128">#REF!</definedName>
    <definedName name="xRange10129">#REF!</definedName>
    <definedName name="xRange10130">#REF!</definedName>
    <definedName name="xRange10131">#REF!</definedName>
    <definedName name="xRange10132">#REF!</definedName>
    <definedName name="xRange10133">#REF!</definedName>
    <definedName name="xRange10134">#REF!</definedName>
    <definedName name="xRange10135">#REF!</definedName>
    <definedName name="xRange10136">#REF!</definedName>
    <definedName name="xRange10137">#REF!</definedName>
    <definedName name="xRange10138">#REF!</definedName>
    <definedName name="xRange10139">#REF!</definedName>
    <definedName name="xRange10140">#REF!</definedName>
    <definedName name="xRange10141">#REF!</definedName>
    <definedName name="xRange10142">#REF!</definedName>
    <definedName name="xRange10143">#REF!</definedName>
    <definedName name="xRange10144">#REF!</definedName>
    <definedName name="xRange10145">#REF!</definedName>
    <definedName name="xRange10146">#REF!</definedName>
    <definedName name="xRange10147">#REF!</definedName>
    <definedName name="xRange10148">#REF!</definedName>
    <definedName name="xRange10149">#REF!</definedName>
    <definedName name="xRange10150">#REF!</definedName>
    <definedName name="xRange10151">#REF!</definedName>
    <definedName name="xRange10152">#REF!</definedName>
    <definedName name="xRange10153">#REF!</definedName>
    <definedName name="xRange10154">#REF!</definedName>
    <definedName name="xRange10158">#REF!</definedName>
    <definedName name="xRange10159">#REF!</definedName>
    <definedName name="xRange10160">#REF!</definedName>
    <definedName name="xRange10161">#REF!</definedName>
    <definedName name="xRange10162">#REF!</definedName>
    <definedName name="xRange10163">#REF!</definedName>
    <definedName name="xRange10164">#REF!</definedName>
    <definedName name="xRange10165">#REF!</definedName>
    <definedName name="xRange10166">#REF!</definedName>
    <definedName name="xRange10167">#REF!</definedName>
    <definedName name="xRange10168">#REF!</definedName>
    <definedName name="xRange10169">#REF!</definedName>
    <definedName name="xRange10170">#REF!</definedName>
    <definedName name="xRange10171">#REF!</definedName>
    <definedName name="xRange10172">#REF!</definedName>
    <definedName name="xRange10173">#REF!</definedName>
    <definedName name="xRange10175">#REF!</definedName>
    <definedName name="xRange10176">#REF!</definedName>
    <definedName name="xRange10177">#REF!</definedName>
    <definedName name="xRange10178">#REF!</definedName>
    <definedName name="xRange10181">#REF!</definedName>
    <definedName name="xRange10182">#REF!</definedName>
    <definedName name="xRange10183">#REF!</definedName>
    <definedName name="xRange10184">#REF!</definedName>
    <definedName name="xrate">#REF!</definedName>
    <definedName name="xrate_HKD">#REF!</definedName>
    <definedName name="xrate_RMB">#REF!</definedName>
    <definedName name="xrate02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3" hidden="1">#REF!</definedName>
    <definedName name="XRefCopy104" hidden="1">#REF!</definedName>
    <definedName name="XRefCopy105" hidden="1">#REF!</definedName>
    <definedName name="XRefCopy106" hidden="1">#REF!</definedName>
    <definedName name="XRefCopy107" hidden="1">#REF!</definedName>
    <definedName name="XRefCopy108" hidden="1">#REF!</definedName>
    <definedName name="XRefCopy109" hidden="1">#REF!</definedName>
    <definedName name="XRefCopy10Row" hidden="1">#REF!</definedName>
    <definedName name="XRefCopy11" hidden="1">#REF!</definedName>
    <definedName name="XRefCopy110" hidden="1">#REF!</definedName>
    <definedName name="XRefCopy1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1" hidden="1">#REF!</definedName>
    <definedName name="XRefCopy61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1" hidden="1">#REF!</definedName>
    <definedName name="XRefCopy71Row" hidden="1">#REF!</definedName>
    <definedName name="XRefCopy72" hidden="1">#REF!</definedName>
    <definedName name="XRefCopy72Row" hidden="1">#REF!</definedName>
    <definedName name="XRefCopy73" hidden="1">#REF!</definedName>
    <definedName name="XRefCopy73Row" hidden="1">#REF!</definedName>
    <definedName name="XRefCopy74" hidden="1">#REF!</definedName>
    <definedName name="XRefCopy74Row" hidden="1">#REF!</definedName>
    <definedName name="XRefCopy75" hidden="1">#REF!</definedName>
    <definedName name="XRefCopy75Row" hidden="1">#REF!</definedName>
    <definedName name="XRefCopy76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9" hidden="1">#REF!</definedName>
    <definedName name="XRefCopy79Row" hidden="1">#REF!</definedName>
    <definedName name="XRefCopy7Row" hidden="1">#REF!</definedName>
    <definedName name="XRefCopy8" hidden="1">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23</definedName>
    <definedName name="XRes">#REF!</definedName>
    <definedName name="XSeasonala">#REF!</definedName>
    <definedName name="XSeasonalFin">#REF!</definedName>
    <definedName name="XSharea">#REF!</definedName>
    <definedName name="XShareCap">#REF!</definedName>
    <definedName name="XShareH">#REF!</definedName>
    <definedName name="XShareHa">#REF!</definedName>
    <definedName name="XStock">#REF!</definedName>
    <definedName name="XStocka">#REF!</definedName>
    <definedName name="XTax">#REF!</definedName>
    <definedName name="xvchfh" hidden="1">#REF!</definedName>
    <definedName name="xx">#REF!</definedName>
    <definedName name="xx_1" localSheetId="10" hidden="1">{#N/A,#N/A,FALSE,"cover";#N/A,#N/A,FALSE,"page_1";#N/A,#N/A,FALSE,"page_2";#N/A,#N/A,FALSE,"page_3";#N/A,#N/A,FALSE,"page_4"}</definedName>
    <definedName name="xx_1" localSheetId="3" hidden="1">{#N/A,#N/A,FALSE,"cover";#N/A,#N/A,FALSE,"page_1";#N/A,#N/A,FALSE,"page_2";#N/A,#N/A,FALSE,"page_3";#N/A,#N/A,FALSE,"page_4"}</definedName>
    <definedName name="xx_1" hidden="1">{#N/A,#N/A,FALSE,"cover";#N/A,#N/A,FALSE,"page_1";#N/A,#N/A,FALSE,"page_2";#N/A,#N/A,FALSE,"page_3";#N/A,#N/A,FALSE,"page_4"}</definedName>
    <definedName name="xx_2" localSheetId="10" hidden="1">{#N/A,#N/A,FALSE,"cover";#N/A,#N/A,FALSE,"page_1";#N/A,#N/A,FALSE,"page_2";#N/A,#N/A,FALSE,"page_3";#N/A,#N/A,FALSE,"page_4"}</definedName>
    <definedName name="xx_2" localSheetId="3" hidden="1">{#N/A,#N/A,FALSE,"cover";#N/A,#N/A,FALSE,"page_1";#N/A,#N/A,FALSE,"page_2";#N/A,#N/A,FALSE,"page_3";#N/A,#N/A,FALSE,"page_4"}</definedName>
    <definedName name="xx_2" hidden="1">{#N/A,#N/A,FALSE,"cover";#N/A,#N/A,FALSE,"page_1";#N/A,#N/A,FALSE,"page_2";#N/A,#N/A,FALSE,"page_3";#N/A,#N/A,FALSE,"page_4"}</definedName>
    <definedName name="xx_3" localSheetId="10" hidden="1">{#N/A,#N/A,FALSE,"cover";#N/A,#N/A,FALSE,"page_1";#N/A,#N/A,FALSE,"page_2";#N/A,#N/A,FALSE,"page_3";#N/A,#N/A,FALSE,"page_4"}</definedName>
    <definedName name="xx_3" localSheetId="3" hidden="1">{#N/A,#N/A,FALSE,"cover";#N/A,#N/A,FALSE,"page_1";#N/A,#N/A,FALSE,"page_2";#N/A,#N/A,FALSE,"page_3";#N/A,#N/A,FALSE,"page_4"}</definedName>
    <definedName name="xx_3" hidden="1">{#N/A,#N/A,FALSE,"cover";#N/A,#N/A,FALSE,"page_1";#N/A,#N/A,FALSE,"page_2";#N/A,#N/A,FALSE,"page_3";#N/A,#N/A,FALSE,"page_4"}</definedName>
    <definedName name="xx_4" localSheetId="10" hidden="1">{#N/A,#N/A,FALSE,"cover";#N/A,#N/A,FALSE,"page_1";#N/A,#N/A,FALSE,"page_2";#N/A,#N/A,FALSE,"page_3";#N/A,#N/A,FALSE,"page_4"}</definedName>
    <definedName name="xx_4" localSheetId="3" hidden="1">{#N/A,#N/A,FALSE,"cover";#N/A,#N/A,FALSE,"page_1";#N/A,#N/A,FALSE,"page_2";#N/A,#N/A,FALSE,"page_3";#N/A,#N/A,FALSE,"page_4"}</definedName>
    <definedName name="xx_4" hidden="1">{#N/A,#N/A,FALSE,"cover";#N/A,#N/A,FALSE,"page_1";#N/A,#N/A,FALSE,"page_2";#N/A,#N/A,FALSE,"page_3";#N/A,#N/A,FALSE,"page_4"}</definedName>
    <definedName name="xx_5" localSheetId="10" hidden="1">{#N/A,#N/A,FALSE,"cover";#N/A,#N/A,FALSE,"page_1";#N/A,#N/A,FALSE,"page_2";#N/A,#N/A,FALSE,"page_3";#N/A,#N/A,FALSE,"page_4"}</definedName>
    <definedName name="xx_5" localSheetId="3" hidden="1">{#N/A,#N/A,FALSE,"cover";#N/A,#N/A,FALSE,"page_1";#N/A,#N/A,FALSE,"page_2";#N/A,#N/A,FALSE,"page_3";#N/A,#N/A,FALSE,"page_4"}</definedName>
    <definedName name="xx_5" hidden="1">{#N/A,#N/A,FALSE,"cover";#N/A,#N/A,FALSE,"page_1";#N/A,#N/A,FALSE,"page_2";#N/A,#N/A,FALSE,"page_3";#N/A,#N/A,FALSE,"page_4"}</definedName>
    <definedName name="xxamort">#REF!</definedName>
    <definedName name="xxdd">#REF!</definedName>
    <definedName name="xxx">#REF!</definedName>
    <definedName name="xxx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xxx.REP" localSheetId="10" hidden="1">{#N/A,#N/A,FALSE,"min";#N/A,#N/A,FALSE,"mean";#N/A,#N/A,FALSE,"max"}</definedName>
    <definedName name="xxx.REP" localSheetId="3" hidden="1">{#N/A,#N/A,FALSE,"min";#N/A,#N/A,FALSE,"mean";#N/A,#N/A,FALSE,"max"}</definedName>
    <definedName name="xxx.REP" hidden="1">{#N/A,#N/A,FALSE,"min";#N/A,#N/A,FALSE,"mean";#N/A,#N/A,FALSE,"max"}</definedName>
    <definedName name="xxx.REP_1" localSheetId="10" hidden="1">{#N/A,#N/A,FALSE,"min";#N/A,#N/A,FALSE,"mean";#N/A,#N/A,FALSE,"max"}</definedName>
    <definedName name="xxx.REP_1" localSheetId="3" hidden="1">{#N/A,#N/A,FALSE,"min";#N/A,#N/A,FALSE,"mean";#N/A,#N/A,FALSE,"max"}</definedName>
    <definedName name="xxx.REP_1" hidden="1">{#N/A,#N/A,FALSE,"min";#N/A,#N/A,FALSE,"mean";#N/A,#N/A,FALSE,"max"}</definedName>
    <definedName name="xxx.REP_2" localSheetId="10" hidden="1">{#N/A,#N/A,FALSE,"min";#N/A,#N/A,FALSE,"mean";#N/A,#N/A,FALSE,"max"}</definedName>
    <definedName name="xxx.REP_2" localSheetId="3" hidden="1">{#N/A,#N/A,FALSE,"min";#N/A,#N/A,FALSE,"mean";#N/A,#N/A,FALSE,"max"}</definedName>
    <definedName name="xxx.REP_2" hidden="1">{#N/A,#N/A,FALSE,"min";#N/A,#N/A,FALSE,"mean";#N/A,#N/A,FALSE,"max"}</definedName>
    <definedName name="xxx.REP_3" localSheetId="10" hidden="1">{#N/A,#N/A,FALSE,"min";#N/A,#N/A,FALSE,"mean";#N/A,#N/A,FALSE,"max"}</definedName>
    <definedName name="xxx.REP_3" localSheetId="3" hidden="1">{#N/A,#N/A,FALSE,"min";#N/A,#N/A,FALSE,"mean";#N/A,#N/A,FALSE,"max"}</definedName>
    <definedName name="xxx.REP_3" hidden="1">{#N/A,#N/A,FALSE,"min";#N/A,#N/A,FALSE,"mean";#N/A,#N/A,FALSE,"max"}</definedName>
    <definedName name="xxx.REP_4" localSheetId="10" hidden="1">{#N/A,#N/A,FALSE,"min";#N/A,#N/A,FALSE,"mean";#N/A,#N/A,FALSE,"max"}</definedName>
    <definedName name="xxx.REP_4" localSheetId="3" hidden="1">{#N/A,#N/A,FALSE,"min";#N/A,#N/A,FALSE,"mean";#N/A,#N/A,FALSE,"max"}</definedName>
    <definedName name="xxx.REP_4" hidden="1">{#N/A,#N/A,FALSE,"min";#N/A,#N/A,FALSE,"mean";#N/A,#N/A,FALSE,"max"}</definedName>
    <definedName name="xxx.REP_5" localSheetId="10" hidden="1">{#N/A,#N/A,FALSE,"min";#N/A,#N/A,FALSE,"mean";#N/A,#N/A,FALSE,"max"}</definedName>
    <definedName name="xxx.REP_5" localSheetId="3" hidden="1">{#N/A,#N/A,FALSE,"min";#N/A,#N/A,FALSE,"mean";#N/A,#N/A,FALSE,"max"}</definedName>
    <definedName name="xxx.REP_5" hidden="1">{#N/A,#N/A,FALSE,"min";#N/A,#N/A,FALSE,"mean";#N/A,#N/A,FALSE,"max"}</definedName>
    <definedName name="xxx12">#REF!</definedName>
    <definedName name="xxx2">#REF!</definedName>
    <definedName name="xxxc">#REF!</definedName>
    <definedName name="xxxd">#REF!</definedName>
    <definedName name="xxxx">#REF!</definedName>
    <definedName name="XXXX_1" localSheetId="10" hidden="1">{#N/A,#N/A,TRUE,"Sheet1";#N/A,#N/A,TRUE,"Sheet2";#N/A,#N/A,TRUE,"Sheet3"}</definedName>
    <definedName name="XXXX_1" localSheetId="3" hidden="1">{#N/A,#N/A,TRUE,"Sheet1";#N/A,#N/A,TRUE,"Sheet2";#N/A,#N/A,TRUE,"Sheet3"}</definedName>
    <definedName name="XXXX_1" hidden="1">{#N/A,#N/A,TRUE,"Sheet1";#N/A,#N/A,TRUE,"Sheet2";#N/A,#N/A,TRUE,"Sheet3"}</definedName>
    <definedName name="XXXX_2" localSheetId="10" hidden="1">{#N/A,#N/A,TRUE,"Sheet1";#N/A,#N/A,TRUE,"Sheet2";#N/A,#N/A,TRUE,"Sheet3"}</definedName>
    <definedName name="XXXX_2" localSheetId="3" hidden="1">{#N/A,#N/A,TRUE,"Sheet1";#N/A,#N/A,TRUE,"Sheet2";#N/A,#N/A,TRUE,"Sheet3"}</definedName>
    <definedName name="XXXX_2" hidden="1">{#N/A,#N/A,TRUE,"Sheet1";#N/A,#N/A,TRUE,"Sheet2";#N/A,#N/A,TRUE,"Sheet3"}</definedName>
    <definedName name="XXXX_3" localSheetId="10" hidden="1">{#N/A,#N/A,TRUE,"Sheet1";#N/A,#N/A,TRUE,"Sheet2";#N/A,#N/A,TRUE,"Sheet3"}</definedName>
    <definedName name="XXXX_3" localSheetId="3" hidden="1">{#N/A,#N/A,TRUE,"Sheet1";#N/A,#N/A,TRUE,"Sheet2";#N/A,#N/A,TRUE,"Sheet3"}</definedName>
    <definedName name="XXXX_3" hidden="1">{#N/A,#N/A,TRUE,"Sheet1";#N/A,#N/A,TRUE,"Sheet2";#N/A,#N/A,TRUE,"Sheet3"}</definedName>
    <definedName name="XXXX_4" localSheetId="10" hidden="1">{#N/A,#N/A,TRUE,"Sheet1";#N/A,#N/A,TRUE,"Sheet2";#N/A,#N/A,TRUE,"Sheet3"}</definedName>
    <definedName name="XXXX_4" localSheetId="3" hidden="1">{#N/A,#N/A,TRUE,"Sheet1";#N/A,#N/A,TRUE,"Sheet2";#N/A,#N/A,TRUE,"Sheet3"}</definedName>
    <definedName name="XXXX_4" hidden="1">{#N/A,#N/A,TRUE,"Sheet1";#N/A,#N/A,TRUE,"Sheet2";#N/A,#N/A,TRUE,"Sheet3"}</definedName>
    <definedName name="XXXX_5" localSheetId="10" hidden="1">{#N/A,#N/A,TRUE,"Sheet1";#N/A,#N/A,TRUE,"Sheet2";#N/A,#N/A,TRUE,"Sheet3"}</definedName>
    <definedName name="XXXX_5" localSheetId="3" hidden="1">{#N/A,#N/A,TRUE,"Sheet1";#N/A,#N/A,TRUE,"Sheet2";#N/A,#N/A,TRUE,"Sheet3"}</definedName>
    <definedName name="XXXX_5" hidden="1">{#N/A,#N/A,TRUE,"Sheet1";#N/A,#N/A,TRUE,"Sheet2";#N/A,#N/A,TRUE,"Sheet3"}</definedName>
    <definedName name="xxxx3">#REF!</definedName>
    <definedName name="xxxx345544344">#REF!</definedName>
    <definedName name="xxxxx">#REF!</definedName>
    <definedName name="xxxxx_1" localSheetId="10" hidden="1">{"'Sheet1'!$M$363:$M$364"}</definedName>
    <definedName name="xxxxx_1" localSheetId="3" hidden="1">{"'Sheet1'!$M$363:$M$364"}</definedName>
    <definedName name="xxxxx_1" hidden="1">{"'Sheet1'!$M$363:$M$364"}</definedName>
    <definedName name="xxxxx_2" localSheetId="10" hidden="1">{"'Sheet1'!$M$363:$M$364"}</definedName>
    <definedName name="xxxxx_2" localSheetId="3" hidden="1">{"'Sheet1'!$M$363:$M$364"}</definedName>
    <definedName name="xxxxx_2" hidden="1">{"'Sheet1'!$M$363:$M$364"}</definedName>
    <definedName name="xxxxx_3" localSheetId="10" hidden="1">{"'Sheet1'!$M$363:$M$364"}</definedName>
    <definedName name="xxxxx_3" localSheetId="3" hidden="1">{"'Sheet1'!$M$363:$M$364"}</definedName>
    <definedName name="xxxxx_3" hidden="1">{"'Sheet1'!$M$363:$M$364"}</definedName>
    <definedName name="xxxxx_4" localSheetId="10" hidden="1">{"'Sheet1'!$M$363:$M$364"}</definedName>
    <definedName name="xxxxx_4" localSheetId="3" hidden="1">{"'Sheet1'!$M$363:$M$364"}</definedName>
    <definedName name="xxxxx_4" hidden="1">{"'Sheet1'!$M$363:$M$364"}</definedName>
    <definedName name="xxxxx_5" localSheetId="10" hidden="1">{"'Sheet1'!$M$363:$M$364"}</definedName>
    <definedName name="xxxxx_5" localSheetId="3" hidden="1">{"'Sheet1'!$M$363:$M$364"}</definedName>
    <definedName name="xxxxx_5" hidden="1">{"'Sheet1'!$M$363:$M$364"}</definedName>
    <definedName name="xxxxxc">#REF!</definedName>
    <definedName name="XXXXXX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XXX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xxxx" localSheetId="10" hidden="1">{"ZAR",#N/A,FALSE,"APLICAR"}</definedName>
    <definedName name="xxxxxxx" localSheetId="3" hidden="1">{"ZAR",#N/A,FALSE,"APLICAR"}</definedName>
    <definedName name="xxxxxxx" hidden="1">{"ZAR",#N/A,FALSE,"APLICAR"}</definedName>
    <definedName name="xxxxxxxxxxxxx" localSheetId="10" hidden="1">{"PREMIO",#N/A,FALSE,"P&amp;CMENS";"COMISSOES",#N/A,FALSE,"P&amp;CMENS"}</definedName>
    <definedName name="xxxxxxxxxxxxx" localSheetId="3" hidden="1">{"PREMIO",#N/A,FALSE,"P&amp;CMENS";"COMISSOES",#N/A,FALSE,"P&amp;CMENS"}</definedName>
    <definedName name="xxxxxxxxxxxxx" hidden="1">{"PREMIO",#N/A,FALSE,"P&amp;CMENS";"COMISSOES",#N/A,FALSE,"P&amp;CMENS"}</definedName>
    <definedName name="xxxxxxxxxxxxxxxxx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xxxxxxxxxxxxxxxxx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xxxxxxxxxxxxxxxxx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xyz" localSheetId="10" hidden="1">{#N/A,#N/A,FALSE,"Lifting 1 Qrt ";#N/A,#N/A,FALSE,"Lifting 2 Qrt ";#N/A,#N/A,FALSE,"Lifting 3 Qrt";#N/A,#N/A,FALSE,"Lifting 4 Qrt"}</definedName>
    <definedName name="xyz" localSheetId="3" hidden="1">{#N/A,#N/A,FALSE,"Lifting 1 Qrt ";#N/A,#N/A,FALSE,"Lifting 2 Qrt ";#N/A,#N/A,FALSE,"Lifting 3 Qrt";#N/A,#N/A,FALSE,"Lifting 4 Qrt"}</definedName>
    <definedName name="xyz" hidden="1">{#N/A,#N/A,FALSE,"Lifting 1 Qrt ";#N/A,#N/A,FALSE,"Lifting 2 Qrt ";#N/A,#N/A,FALSE,"Lifting 3 Qrt";#N/A,#N/A,FALSE,"Lifting 4 Qrt"}</definedName>
    <definedName name="XZax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XZax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XZax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xzfcnjxd\">#REF!</definedName>
    <definedName name="Y" hidden="1">#REF!</definedName>
    <definedName name="y_1" localSheetId="10" hidden="1">{#N/A,#N/A,FALSE,"JACKETS (1100 t) (1)"}</definedName>
    <definedName name="y_1" localSheetId="3" hidden="1">{#N/A,#N/A,FALSE,"JACKETS (1100 t) (1)"}</definedName>
    <definedName name="y_1" hidden="1">{#N/A,#N/A,FALSE,"JACKETS (1100 t) (1)"}</definedName>
    <definedName name="y_2" localSheetId="10" hidden="1">{#N/A,#N/A,FALSE,"JACKETS (1100 t) (1)"}</definedName>
    <definedName name="y_2" localSheetId="3" hidden="1">{#N/A,#N/A,FALSE,"JACKETS (1100 t) (1)"}</definedName>
    <definedName name="y_2" hidden="1">{#N/A,#N/A,FALSE,"JACKETS (1100 t) (1)"}</definedName>
    <definedName name="y_3" localSheetId="10" hidden="1">{#N/A,#N/A,FALSE,"JACKETS (1100 t) (1)"}</definedName>
    <definedName name="y_3" localSheetId="3" hidden="1">{#N/A,#N/A,FALSE,"JACKETS (1100 t) (1)"}</definedName>
    <definedName name="y_3" hidden="1">{#N/A,#N/A,FALSE,"JACKETS (1100 t) (1)"}</definedName>
    <definedName name="y_4" localSheetId="10" hidden="1">{#N/A,#N/A,FALSE,"JACKETS (1100 t) (1)"}</definedName>
    <definedName name="y_4" localSheetId="3" hidden="1">{#N/A,#N/A,FALSE,"JACKETS (1100 t) (1)"}</definedName>
    <definedName name="y_4" hidden="1">{#N/A,#N/A,FALSE,"JACKETS (1100 t) (1)"}</definedName>
    <definedName name="y_5" localSheetId="10" hidden="1">{#N/A,#N/A,FALSE,"JACKETS (1100 t) (1)"}</definedName>
    <definedName name="y_5" localSheetId="3" hidden="1">{#N/A,#N/A,FALSE,"JACKETS (1100 t) (1)"}</definedName>
    <definedName name="y_5" hidden="1">{#N/A,#N/A,FALSE,"JACKETS (1100 t) (1)"}</definedName>
    <definedName name="YD">#REF!</definedName>
    <definedName name="YE">#REF!</definedName>
    <definedName name="Year">#REF!</definedName>
    <definedName name="Year_2">#REF!</definedName>
    <definedName name="Year_end">#REF!</definedName>
    <definedName name="year_ending">#REF!</definedName>
    <definedName name="year_ending_10">#REF!</definedName>
    <definedName name="year_ending_11">#REF!</definedName>
    <definedName name="year_ending_12">#REF!</definedName>
    <definedName name="year_ending_13">#REF!</definedName>
    <definedName name="year_ending_14">#REF!</definedName>
    <definedName name="year_ending_15">#REF!</definedName>
    <definedName name="year_ending_16">#REF!</definedName>
    <definedName name="year_ending_17">#REF!</definedName>
    <definedName name="year_ending_18">#REF!</definedName>
    <definedName name="year_ending_19">#REF!</definedName>
    <definedName name="year_ending_2">#REF!</definedName>
    <definedName name="year_ending_20">#REF!</definedName>
    <definedName name="year_ending_21">#REF!</definedName>
    <definedName name="year_ending_22">#REF!</definedName>
    <definedName name="year_ending_23">#REF!</definedName>
    <definedName name="year_ending_24">#REF!</definedName>
    <definedName name="year_ending_25">#REF!</definedName>
    <definedName name="year_ending_26">#REF!</definedName>
    <definedName name="year_ending_27">#REF!</definedName>
    <definedName name="year_ending_28">#REF!</definedName>
    <definedName name="year_ending_29">#REF!</definedName>
    <definedName name="year_ending_3">#REF!</definedName>
    <definedName name="year_ending_30">#REF!</definedName>
    <definedName name="year_ending_31">#REF!</definedName>
    <definedName name="year_ending_32">#REF!</definedName>
    <definedName name="year_ending_4">#REF!</definedName>
    <definedName name="year_ending_5">#REF!</definedName>
    <definedName name="year_ending_6">#REF!</definedName>
    <definedName name="year_ending_7">#REF!</definedName>
    <definedName name="year_ending_8">#REF!</definedName>
    <definedName name="year_ending_9">#REF!</definedName>
    <definedName name="YearEnd">#REF!</definedName>
    <definedName name="YearLY">#REF!</definedName>
    <definedName name="yes">#REF!</definedName>
    <definedName name="yggyu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yggyu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yggyu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Yield1">#REF!</definedName>
    <definedName name="yield1data">#REF!</definedName>
    <definedName name="yield1val">#REF!</definedName>
    <definedName name="yield2val">#REF!</definedName>
    <definedName name="yield3val">#REF!</definedName>
    <definedName name="yield4val">#REF!</definedName>
    <definedName name="yrend">#REF!</definedName>
    <definedName name="yrend10a">#REF!</definedName>
    <definedName name="yrend2">#REF!</definedName>
    <definedName name="YTW">#REF!</definedName>
    <definedName name="yui">!$R$6</definedName>
    <definedName name="yy" localSheetId="10" hidden="1">{#N/A,#N/A,FALSE,"JACKETS (1100 t) (1)"}</definedName>
    <definedName name="yy" localSheetId="3" hidden="1">{#N/A,#N/A,FALSE,"JACKETS (1100 t) (1)"}</definedName>
    <definedName name="yy" hidden="1">{#N/A,#N/A,FALSE,"JACKETS (1100 t) (1)"}</definedName>
    <definedName name="yy_1" localSheetId="10" hidden="1">{#N/A,#N/A,FALSE,"JACKETS (1100 t) (1)"}</definedName>
    <definedName name="yy_1" localSheetId="3" hidden="1">{#N/A,#N/A,FALSE,"JACKETS (1100 t) (1)"}</definedName>
    <definedName name="yy_1" hidden="1">{#N/A,#N/A,FALSE,"JACKETS (1100 t) (1)"}</definedName>
    <definedName name="yy_2" localSheetId="10" hidden="1">{#N/A,#N/A,FALSE,"JACKETS (1100 t) (1)"}</definedName>
    <definedName name="yy_2" localSheetId="3" hidden="1">{#N/A,#N/A,FALSE,"JACKETS (1100 t) (1)"}</definedName>
    <definedName name="yy_2" hidden="1">{#N/A,#N/A,FALSE,"JACKETS (1100 t) (1)"}</definedName>
    <definedName name="yy_3" localSheetId="10" hidden="1">{#N/A,#N/A,FALSE,"JACKETS (1100 t) (1)"}</definedName>
    <definedName name="yy_3" localSheetId="3" hidden="1">{#N/A,#N/A,FALSE,"JACKETS (1100 t) (1)"}</definedName>
    <definedName name="yy_3" hidden="1">{#N/A,#N/A,FALSE,"JACKETS (1100 t) (1)"}</definedName>
    <definedName name="yy_4" localSheetId="10" hidden="1">{#N/A,#N/A,FALSE,"JACKETS (1100 t) (1)"}</definedName>
    <definedName name="yy_4" localSheetId="3" hidden="1">{#N/A,#N/A,FALSE,"JACKETS (1100 t) (1)"}</definedName>
    <definedName name="yy_4" hidden="1">{#N/A,#N/A,FALSE,"JACKETS (1100 t) (1)"}</definedName>
    <definedName name="yy_5" localSheetId="10" hidden="1">{#N/A,#N/A,FALSE,"JACKETS (1100 t) (1)"}</definedName>
    <definedName name="yy_5" localSheetId="3" hidden="1">{#N/A,#N/A,FALSE,"JACKETS (1100 t) (1)"}</definedName>
    <definedName name="yy_5" hidden="1">{#N/A,#N/A,FALSE,"JACKETS (1100 t) (1)"}</definedName>
    <definedName name="yyuu">#REF!</definedName>
    <definedName name="yyy" localSheetId="10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yyy" localSheetId="3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yyy" hidden="1">{"Pre-CSO Mill and Export Revenue Split",#N/A,FALSE,"Pre-CSO Mill, Export Rev Split";"Pre-CSO Depot and Export Revenue Split",#N/A,FALSE,"Pre-CSO Depot, Export Rev Split";"Pre-CSO Refining, Packaging, Marketing and Distribution Recoveries",#N/A,FALSE,"Pre-CSO Ref, Pack, Mkt Recovery"}</definedName>
    <definedName name="yyy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yyy.REP" localSheetId="10" hidden="1">{#N/A,#N/A,FALSE,"min";#N/A,#N/A,FALSE,"mean";#N/A,#N/A,FALSE,"max"}</definedName>
    <definedName name="yyy.REP" localSheetId="3" hidden="1">{#N/A,#N/A,FALSE,"min";#N/A,#N/A,FALSE,"mean";#N/A,#N/A,FALSE,"max"}</definedName>
    <definedName name="yyy.REP" hidden="1">{#N/A,#N/A,FALSE,"min";#N/A,#N/A,FALSE,"mean";#N/A,#N/A,FALSE,"max"}</definedName>
    <definedName name="yyy.REP_1" localSheetId="10" hidden="1">{#N/A,#N/A,FALSE,"min";#N/A,#N/A,FALSE,"mean";#N/A,#N/A,FALSE,"max"}</definedName>
    <definedName name="yyy.REP_1" localSheetId="3" hidden="1">{#N/A,#N/A,FALSE,"min";#N/A,#N/A,FALSE,"mean";#N/A,#N/A,FALSE,"max"}</definedName>
    <definedName name="yyy.REP_1" hidden="1">{#N/A,#N/A,FALSE,"min";#N/A,#N/A,FALSE,"mean";#N/A,#N/A,FALSE,"max"}</definedName>
    <definedName name="yyy.REP_2" localSheetId="10" hidden="1">{#N/A,#N/A,FALSE,"min";#N/A,#N/A,FALSE,"mean";#N/A,#N/A,FALSE,"max"}</definedName>
    <definedName name="yyy.REP_2" localSheetId="3" hidden="1">{#N/A,#N/A,FALSE,"min";#N/A,#N/A,FALSE,"mean";#N/A,#N/A,FALSE,"max"}</definedName>
    <definedName name="yyy.REP_2" hidden="1">{#N/A,#N/A,FALSE,"min";#N/A,#N/A,FALSE,"mean";#N/A,#N/A,FALSE,"max"}</definedName>
    <definedName name="yyy.REP_3" localSheetId="10" hidden="1">{#N/A,#N/A,FALSE,"min";#N/A,#N/A,FALSE,"mean";#N/A,#N/A,FALSE,"max"}</definedName>
    <definedName name="yyy.REP_3" localSheetId="3" hidden="1">{#N/A,#N/A,FALSE,"min";#N/A,#N/A,FALSE,"mean";#N/A,#N/A,FALSE,"max"}</definedName>
    <definedName name="yyy.REP_3" hidden="1">{#N/A,#N/A,FALSE,"min";#N/A,#N/A,FALSE,"mean";#N/A,#N/A,FALSE,"max"}</definedName>
    <definedName name="yyy.REP_4" localSheetId="10" hidden="1">{#N/A,#N/A,FALSE,"min";#N/A,#N/A,FALSE,"mean";#N/A,#N/A,FALSE,"max"}</definedName>
    <definedName name="yyy.REP_4" localSheetId="3" hidden="1">{#N/A,#N/A,FALSE,"min";#N/A,#N/A,FALSE,"mean";#N/A,#N/A,FALSE,"max"}</definedName>
    <definedName name="yyy.REP_4" hidden="1">{#N/A,#N/A,FALSE,"min";#N/A,#N/A,FALSE,"mean";#N/A,#N/A,FALSE,"max"}</definedName>
    <definedName name="yyy.REP_5" localSheetId="10" hidden="1">{#N/A,#N/A,FALSE,"min";#N/A,#N/A,FALSE,"mean";#N/A,#N/A,FALSE,"max"}</definedName>
    <definedName name="yyy.REP_5" localSheetId="3" hidden="1">{#N/A,#N/A,FALSE,"min";#N/A,#N/A,FALSE,"mean";#N/A,#N/A,FALSE,"max"}</definedName>
    <definedName name="yyy.REP_5" hidden="1">{#N/A,#N/A,FALSE,"min";#N/A,#N/A,FALSE,"mean";#N/A,#N/A,FALSE,"max"}</definedName>
    <definedName name="yyyyy">#REF!</definedName>
    <definedName name="yyyyyyyyyyyy">#REF!</definedName>
    <definedName name="Z">#REF!</definedName>
    <definedName name="Z_08F2448D_AE7E_11D4_A5C6_0004ACB0FB49_.wvu.PrintArea" hidden="1">#REF!</definedName>
    <definedName name="Z_08FF69F1_8DF6_11D6_A9D5_444553544200_.wvu.PrintArea" hidden="1">#REF!</definedName>
    <definedName name="z_1" localSheetId="10" hidden="1">{#N/A,#N/A,FALSE,"JACKETS (1100 t) (1)"}</definedName>
    <definedName name="z_1" localSheetId="3" hidden="1">{#N/A,#N/A,FALSE,"JACKETS (1100 t) (1)"}</definedName>
    <definedName name="z_1" hidden="1">{#N/A,#N/A,FALSE,"JACKETS (1100 t) (1)"}</definedName>
    <definedName name="z_2" localSheetId="10" hidden="1">{#N/A,#N/A,FALSE,"JACKETS (1100 t) (1)"}</definedName>
    <definedName name="z_2" localSheetId="3" hidden="1">{#N/A,#N/A,FALSE,"JACKETS (1100 t) (1)"}</definedName>
    <definedName name="z_2" hidden="1">{#N/A,#N/A,FALSE,"JACKETS (1100 t) (1)"}</definedName>
    <definedName name="Z_223823C1_0FDA_11D6_8CD8_0000E8717010_.wvu.FilterData" hidden="1">#REF!</definedName>
    <definedName name="Z_223823C1_0FDA_11D6_8CD8_0000E8717010_.wvu.PrintTitles" hidden="1">#REF!</definedName>
    <definedName name="Z_223823C2_0FDA_11D6_8CD8_0000E8717010_.wvu.FilterData" hidden="1">#REF!</definedName>
    <definedName name="Z_223823C2_0FDA_11D6_8CD8_0000E8717010_.wvu.PrintTitles" hidden="1">#REF!</definedName>
    <definedName name="z_3" localSheetId="10" hidden="1">{#N/A,#N/A,FALSE,"JACKETS (1100 t) (1)"}</definedName>
    <definedName name="z_3" localSheetId="3" hidden="1">{#N/A,#N/A,FALSE,"JACKETS (1100 t) (1)"}</definedName>
    <definedName name="z_3" hidden="1">{#N/A,#N/A,FALSE,"JACKETS (1100 t) (1)"}</definedName>
    <definedName name="Z_3141E03F_9802_11D6_ACAE_00B0D06D1B36_.wvu.PrintArea" hidden="1">#REF!</definedName>
    <definedName name="Z_38C5D445_C6B3_11D4_A5D1_0004ACB0FB49_.wvu.PrintArea" hidden="1">#REF!</definedName>
    <definedName name="z_4" localSheetId="10" hidden="1">{#N/A,#N/A,FALSE,"JACKETS (1100 t) (1)"}</definedName>
    <definedName name="z_4" localSheetId="3" hidden="1">{#N/A,#N/A,FALSE,"JACKETS (1100 t) (1)"}</definedName>
    <definedName name="z_4" hidden="1">{#N/A,#N/A,FALSE,"JACKETS (1100 t) (1)"}</definedName>
    <definedName name="Z_436466E6_D723_11D4_A5D7_0004ACB0FB49_.wvu.PrintArea" hidden="1">#REF!</definedName>
    <definedName name="Z_436466EB_D723_11D4_A5D7_0004ACB0FB49_.wvu.PrintArea" hidden="1">#REF!</definedName>
    <definedName name="z_5" localSheetId="10" hidden="1">{#N/A,#N/A,FALSE,"JACKETS (1100 t) (1)"}</definedName>
    <definedName name="z_5" localSheetId="3" hidden="1">{#N/A,#N/A,FALSE,"JACKETS (1100 t) (1)"}</definedName>
    <definedName name="z_5" hidden="1">{#N/A,#N/A,FALSE,"JACKETS (1100 t) (1)"}</definedName>
    <definedName name="Z_5B7D8AF7_64DA_11D5_BB3E_0000E8749778_.wvu.PrintTitles" hidden="1">#REF!</definedName>
    <definedName name="Z_625154C1_7441_11D5_A647_0000E8749CE4_.wvu.PrintTitles" hidden="1">#REF!</definedName>
    <definedName name="Z_625154C3_7441_11D5_A647_0000E8749CE4_.wvu.PrintTitles" hidden="1">#REF!</definedName>
    <definedName name="Z_7B83AEC2_61E0_11D6_A993_00B0D0015855_.wvu.PrintArea" hidden="1">#REF!</definedName>
    <definedName name="Z_80B4C2B3_B545_11D4_A5CC_0004ACB0FB49_.wvu.PrintArea" hidden="1">#REF!</definedName>
    <definedName name="Z_80B4C2D4_B545_11D4_A5CC_0004ACB0FB49_.wvu.PrintArea" hidden="1">#REF!</definedName>
    <definedName name="Z_8D084760_D1C3_11D4_A5D6_0004ACB0FB49_.wvu.PrintArea" hidden="1">#REF!</definedName>
    <definedName name="Z_AFFC17EC_5335_11D5_A624_0000E8749CE4_.wvu.PrintTitles" hidden="1">#REF!</definedName>
    <definedName name="Z_AFFC17ED_5335_11D5_A624_0000E8749CE4_.wvu.PrintTitles" hidden="1">#REF!</definedName>
    <definedName name="Z_AFFC17EE_5335_11D5_A624_0000E8749CE4_.wvu.PrintTitles" hidden="1">#REF!</definedName>
    <definedName name="Z_AFFC17F0_5335_11D5_A624_0000E8749CE4_.wvu.PrintTitles" hidden="1">#REF!</definedName>
    <definedName name="Z_AFFC17F2_5335_11D5_A624_0000E8749CE4_.wvu.PrintTitles" hidden="1">#REF!</definedName>
    <definedName name="Z_AFFC17F5_5335_11D5_A624_0000E8749CE4_.wvu.PrintTitles" hidden="1">#REF!</definedName>
    <definedName name="Z_AFFC17F7_5335_11D5_A624_0000E8749CE4_.wvu.PrintTitles" hidden="1">#REF!</definedName>
    <definedName name="Z_AFFC17F8_5335_11D5_A624_0000E8749CE4_.wvu.PrintTitles" hidden="1">#REF!</definedName>
    <definedName name="Z_BD8631F4_CB7A_11D4_A5D5_0004ACB0FB49_.wvu.PrintArea" hidden="1">#REF!</definedName>
    <definedName name="Z_D4EDA0A1_D287_11D4_A5D6_0004ACB0FB49_.wvu.PrintArea" hidden="1">#REF!</definedName>
    <definedName name="Z_F24C3645_8234_11D4_A5AF_0004ACB0FB49_.wvu.PrintArea" hidden="1">#REF!</definedName>
    <definedName name="Z_F24C3649_8234_11D4_A5AF_0004ACB0FB49_.wvu.PrintArea" hidden="1">#REF!</definedName>
    <definedName name="Z_FE742448_7F32_11D6_AFC8_00508BCF9F1A_.wvu.PrintArea" hidden="1">#REF!</definedName>
    <definedName name="Z1Code">#REF!</definedName>
    <definedName name="Z1Name">#REF!</definedName>
    <definedName name="Z2Code">#REF!</definedName>
    <definedName name="Z2Name">#REF!</definedName>
    <definedName name="Z2Z1Link">#REF!</definedName>
    <definedName name="Z3Period">#REF!</definedName>
    <definedName name="Z3Shift">#REF!</definedName>
    <definedName name="Z4Losses">#REF!</definedName>
    <definedName name="Z4Name">#REF!</definedName>
    <definedName name="Z4Time">#REF!</definedName>
    <definedName name="zaaa">#REF!</definedName>
    <definedName name="ZAR">#REF!</definedName>
    <definedName name="ZAR_1041">#REF!</definedName>
    <definedName name="ZAR_11010">#REF!</definedName>
    <definedName name="zarrr">#REF!</definedName>
    <definedName name="zASWQ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zASWQ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zASWQ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ZDSFBNGD" localSheetId="1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ZDSFBNGD" localSheetId="3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ZDSFBNG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A1";#N/A,#N/A,FALSE,"A2";#N/A,#N/A,FALSE,"A3"}</definedName>
    <definedName name="ZLTCIntercoBalances">#REF!</definedName>
    <definedName name="ZoneEtiquette">#REF!</definedName>
    <definedName name="ZoneEtiquette2">#REF!</definedName>
    <definedName name="ZoneMachine">#REF!</definedName>
    <definedName name="ZoneResponsable">#REF!</definedName>
    <definedName name="ZS">#REF!</definedName>
    <definedName name="zx" localSheetId="10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zx" localSheetId="3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zx" hidden="1">{#N/A,#N/A,FALSE,"E1";#N/A,#N/A,FALSE,"E2";#N/A,#N/A,FALSE,"E3";#N/A,#N/A,FALSE,"E4";#N/A,#N/A,FALSE,"E5";#N/A,#N/A,FALSE,"E6";#N/A,#N/A,FALSE,"G1";#N/A,#N/A,FALSE,"G2";#N/A,#N/A,FALSE,"G3";#N/A,#N/A,FALSE,"T1";#N/A,#N/A,FALSE,"C1"}</definedName>
    <definedName name="zz">#REF!</definedName>
    <definedName name="zz_1" localSheetId="10" hidden="1">{#N/A,#N/A,FALSE,"JACKETS (1100 t) (1)"}</definedName>
    <definedName name="zz_1" localSheetId="3" hidden="1">{#N/A,#N/A,FALSE,"JACKETS (1100 t) (1)"}</definedName>
    <definedName name="zz_1" hidden="1">{#N/A,#N/A,FALSE,"JACKETS (1100 t) (1)"}</definedName>
    <definedName name="zz_2" localSheetId="10" hidden="1">{#N/A,#N/A,FALSE,"JACKETS (1100 t) (1)"}</definedName>
    <definedName name="zz_2" localSheetId="3" hidden="1">{#N/A,#N/A,FALSE,"JACKETS (1100 t) (1)"}</definedName>
    <definedName name="zz_2" hidden="1">{#N/A,#N/A,FALSE,"JACKETS (1100 t) (1)"}</definedName>
    <definedName name="zz_3" localSheetId="10" hidden="1">{#N/A,#N/A,FALSE,"JACKETS (1100 t) (1)"}</definedName>
    <definedName name="zz_3" localSheetId="3" hidden="1">{#N/A,#N/A,FALSE,"JACKETS (1100 t) (1)"}</definedName>
    <definedName name="zz_3" hidden="1">{#N/A,#N/A,FALSE,"JACKETS (1100 t) (1)"}</definedName>
    <definedName name="zz_4" localSheetId="10" hidden="1">{#N/A,#N/A,FALSE,"JACKETS (1100 t) (1)"}</definedName>
    <definedName name="zz_4" localSheetId="3" hidden="1">{#N/A,#N/A,FALSE,"JACKETS (1100 t) (1)"}</definedName>
    <definedName name="zz_4" hidden="1">{#N/A,#N/A,FALSE,"JACKETS (1100 t) (1)"}</definedName>
    <definedName name="zz_5" localSheetId="10" hidden="1">{#N/A,#N/A,FALSE,"JACKETS (1100 t) (1)"}</definedName>
    <definedName name="zz_5" localSheetId="3" hidden="1">{#N/A,#N/A,FALSE,"JACKETS (1100 t) (1)"}</definedName>
    <definedName name="zz_5" hidden="1">{#N/A,#N/A,FALSE,"JACKETS (1100 t) (1)"}</definedName>
    <definedName name="zzz" localSheetId="10" hidden="1">{"VARIASMOEDAS",#N/A,FALSE,"APLICAR"}</definedName>
    <definedName name="zzz" localSheetId="3" hidden="1">{"VARIASMOEDAS",#N/A,FALSE,"APLICAR"}</definedName>
    <definedName name="zzz" hidden="1">{"VARIASMOEDAS",#N/A,FALSE,"APLICAR"}</definedName>
    <definedName name="zzz.1.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1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1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1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2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2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2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3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3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4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4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4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5" localSheetId="10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5" localSheetId="3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1._5" hidden="1">{#N/A,#N/A,FALSE,"Route A1";#N/A,#N/A,FALSE,"Summary";#N/A,#N/A,FALSE,"tab. 1";#N/A,#N/A,FALSE,"tab. 2";#N/A,#N/A,FALSE,"Table 3";#N/A,#N/A,FALSE,"Table 4";#N/A,#N/A,FALSE,"Table 5";#N/A,#N/A,FALSE,"Table 6";#N/A,#N/A,FALSE,"BTU"}</definedName>
    <definedName name="zzz.REP" localSheetId="10" hidden="1">{#N/A,#N/A,FALSE,"min";#N/A,#N/A,FALSE,"mean";#N/A,#N/A,FALSE,"max"}</definedName>
    <definedName name="zzz.REP" localSheetId="3" hidden="1">{#N/A,#N/A,FALSE,"min";#N/A,#N/A,FALSE,"mean";#N/A,#N/A,FALSE,"max"}</definedName>
    <definedName name="zzz.REP" hidden="1">{#N/A,#N/A,FALSE,"min";#N/A,#N/A,FALSE,"mean";#N/A,#N/A,FALSE,"max"}</definedName>
    <definedName name="zzz.REP_1" localSheetId="10" hidden="1">{#N/A,#N/A,FALSE,"min";#N/A,#N/A,FALSE,"mean";#N/A,#N/A,FALSE,"max"}</definedName>
    <definedName name="zzz.REP_1" localSheetId="3" hidden="1">{#N/A,#N/A,FALSE,"min";#N/A,#N/A,FALSE,"mean";#N/A,#N/A,FALSE,"max"}</definedName>
    <definedName name="zzz.REP_1" hidden="1">{#N/A,#N/A,FALSE,"min";#N/A,#N/A,FALSE,"mean";#N/A,#N/A,FALSE,"max"}</definedName>
    <definedName name="zzz.REP_2" localSheetId="10" hidden="1">{#N/A,#N/A,FALSE,"min";#N/A,#N/A,FALSE,"mean";#N/A,#N/A,FALSE,"max"}</definedName>
    <definedName name="zzz.REP_2" localSheetId="3" hidden="1">{#N/A,#N/A,FALSE,"min";#N/A,#N/A,FALSE,"mean";#N/A,#N/A,FALSE,"max"}</definedName>
    <definedName name="zzz.REP_2" hidden="1">{#N/A,#N/A,FALSE,"min";#N/A,#N/A,FALSE,"mean";#N/A,#N/A,FALSE,"max"}</definedName>
    <definedName name="zzz.REP_3" localSheetId="10" hidden="1">{#N/A,#N/A,FALSE,"min";#N/A,#N/A,FALSE,"mean";#N/A,#N/A,FALSE,"max"}</definedName>
    <definedName name="zzz.REP_3" localSheetId="3" hidden="1">{#N/A,#N/A,FALSE,"min";#N/A,#N/A,FALSE,"mean";#N/A,#N/A,FALSE,"max"}</definedName>
    <definedName name="zzz.REP_3" hidden="1">{#N/A,#N/A,FALSE,"min";#N/A,#N/A,FALSE,"mean";#N/A,#N/A,FALSE,"max"}</definedName>
    <definedName name="zzz.REP_4" localSheetId="10" hidden="1">{#N/A,#N/A,FALSE,"min";#N/A,#N/A,FALSE,"mean";#N/A,#N/A,FALSE,"max"}</definedName>
    <definedName name="zzz.REP_4" localSheetId="3" hidden="1">{#N/A,#N/A,FALSE,"min";#N/A,#N/A,FALSE,"mean";#N/A,#N/A,FALSE,"max"}</definedName>
    <definedName name="zzz.REP_4" hidden="1">{#N/A,#N/A,FALSE,"min";#N/A,#N/A,FALSE,"mean";#N/A,#N/A,FALSE,"max"}</definedName>
    <definedName name="zzz.REP_5" localSheetId="10" hidden="1">{#N/A,#N/A,FALSE,"min";#N/A,#N/A,FALSE,"mean";#N/A,#N/A,FALSE,"max"}</definedName>
    <definedName name="zzz.REP_5" localSheetId="3" hidden="1">{#N/A,#N/A,FALSE,"min";#N/A,#N/A,FALSE,"mean";#N/A,#N/A,FALSE,"max"}</definedName>
    <definedName name="zzz.REP_5" hidden="1">{#N/A,#N/A,FALSE,"min";#N/A,#N/A,FALSE,"mean";#N/A,#N/A,FALSE,"max"}</definedName>
    <definedName name="ZZZ_1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1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2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2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2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3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3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4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4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4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5" localSheetId="10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5" localSheetId="3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_5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zzzzzzz" localSheetId="10" hidden="1">{#N/A,#N/A,FALSE,"VARIANCE";#N/A,#N/A,FALSE,"2NDQTR";#N/A,#N/A,FALSE,"1STQTR";#N/A,#N/A,FALSE,"BUDGET"}</definedName>
    <definedName name="zzzzzzz" localSheetId="3" hidden="1">{#N/A,#N/A,FALSE,"VARIANCE";#N/A,#N/A,FALSE,"2NDQTR";#N/A,#N/A,FALSE,"1STQTR";#N/A,#N/A,FALSE,"BUDGET"}</definedName>
    <definedName name="zzzzzzz" hidden="1">{#N/A,#N/A,FALSE,"VARIANCE";#N/A,#N/A,FALSE,"2NDQTR";#N/A,#N/A,FALSE,"1STQTR";#N/A,#N/A,FALSE,"BUDGET"}</definedName>
    <definedName name="zzzzzzzzz" localSheetId="10" hidden="1">{#N/A,#N/A,FALSE,"min";#N/A,#N/A,FALSE,"mean";#N/A,#N/A,FALSE,"max"}</definedName>
    <definedName name="zzzzzzzzz" localSheetId="3" hidden="1">{#N/A,#N/A,FALSE,"min";#N/A,#N/A,FALSE,"mean";#N/A,#N/A,FALSE,"max"}</definedName>
    <definedName name="zzzzzzzzz" hidden="1">{#N/A,#N/A,FALSE,"min";#N/A,#N/A,FALSE,"mean";#N/A,#N/A,FALSE,"max"}</definedName>
    <definedName name="zzzzzzzzz_1" localSheetId="10" hidden="1">{#N/A,#N/A,FALSE,"min";#N/A,#N/A,FALSE,"mean";#N/A,#N/A,FALSE,"max"}</definedName>
    <definedName name="zzzzzzzzz_1" localSheetId="3" hidden="1">{#N/A,#N/A,FALSE,"min";#N/A,#N/A,FALSE,"mean";#N/A,#N/A,FALSE,"max"}</definedName>
    <definedName name="zzzzzzzzz_1" hidden="1">{#N/A,#N/A,FALSE,"min";#N/A,#N/A,FALSE,"mean";#N/A,#N/A,FALSE,"max"}</definedName>
    <definedName name="zzzzzzzzz_2" localSheetId="10" hidden="1">{#N/A,#N/A,FALSE,"min";#N/A,#N/A,FALSE,"mean";#N/A,#N/A,FALSE,"max"}</definedName>
    <definedName name="zzzzzzzzz_2" localSheetId="3" hidden="1">{#N/A,#N/A,FALSE,"min";#N/A,#N/A,FALSE,"mean";#N/A,#N/A,FALSE,"max"}</definedName>
    <definedName name="zzzzzzzzz_2" hidden="1">{#N/A,#N/A,FALSE,"min";#N/A,#N/A,FALSE,"mean";#N/A,#N/A,FALSE,"max"}</definedName>
    <definedName name="zzzzzzzzz_3" localSheetId="10" hidden="1">{#N/A,#N/A,FALSE,"min";#N/A,#N/A,FALSE,"mean";#N/A,#N/A,FALSE,"max"}</definedName>
    <definedName name="zzzzzzzzz_3" localSheetId="3" hidden="1">{#N/A,#N/A,FALSE,"min";#N/A,#N/A,FALSE,"mean";#N/A,#N/A,FALSE,"max"}</definedName>
    <definedName name="zzzzzzzzz_3" hidden="1">{#N/A,#N/A,FALSE,"min";#N/A,#N/A,FALSE,"mean";#N/A,#N/A,FALSE,"max"}</definedName>
    <definedName name="zzzzzzzzz_4" localSheetId="10" hidden="1">{#N/A,#N/A,FALSE,"min";#N/A,#N/A,FALSE,"mean";#N/A,#N/A,FALSE,"max"}</definedName>
    <definedName name="zzzzzzzzz_4" localSheetId="3" hidden="1">{#N/A,#N/A,FALSE,"min";#N/A,#N/A,FALSE,"mean";#N/A,#N/A,FALSE,"max"}</definedName>
    <definedName name="zzzzzzzzz_4" hidden="1">{#N/A,#N/A,FALSE,"min";#N/A,#N/A,FALSE,"mean";#N/A,#N/A,FALSE,"max"}</definedName>
    <definedName name="zzzzzzzzz_5" localSheetId="10" hidden="1">{#N/A,#N/A,FALSE,"min";#N/A,#N/A,FALSE,"mean";#N/A,#N/A,FALSE,"max"}</definedName>
    <definedName name="zzzzzzzzz_5" localSheetId="3" hidden="1">{#N/A,#N/A,FALSE,"min";#N/A,#N/A,FALSE,"mean";#N/A,#N/A,FALSE,"max"}</definedName>
    <definedName name="zzzzzzzzz_5" hidden="1">{#N/A,#N/A,FALSE,"min";#N/A,#N/A,FALSE,"mean";#N/A,#N/A,FALSE,"max"}</definedName>
    <definedName name="zzzzzzzzzzzzzzzzzzzzzzzzzzzzzzzzzzzzzzzzz" localSheetId="10" hidden="1">{#N/A,#N/A,FALSE,"VARIANCE";#N/A,#N/A,FALSE,"2NDQTR";#N/A,#N/A,FALSE,"1STQTR";#N/A,#N/A,FALSE,"BUDGET"}</definedName>
    <definedName name="zzzzzzzzzzzzzzzzzzzzzzzzzzzzzzzzzzzzzzzzz" localSheetId="3" hidden="1">{#N/A,#N/A,FALSE,"VARIANCE";#N/A,#N/A,FALSE,"2NDQTR";#N/A,#N/A,FALSE,"1STQTR";#N/A,#N/A,FALSE,"BUDGET"}</definedName>
    <definedName name="zzzzzzzzzzzzzzzzzzzzzzzzzzzzzzzzzzzzzzzzz" hidden="1">{#N/A,#N/A,FALSE,"VARIANCE";#N/A,#N/A,FALSE,"2NDQTR";#N/A,#N/A,FALSE,"1STQTR";#N/A,#N/A,FALSE,"BUDGET"}</definedName>
    <definedName name="エ栋107">#REF!</definedName>
    <definedName name="エ栋107rr">#REF!</definedName>
    <definedName name="エ栋16.">#REF!</definedName>
    <definedName name="エ栋16urr">#REF!</definedName>
    <definedName name="エ栋407">#REF!</definedName>
    <definedName name="エ栋407rr">#REF!</definedName>
    <definedName name="エ栋46.">#REF!</definedName>
    <definedName name="エ栋46urr">#REF!</definedName>
    <definedName name="巨集107">#REF!</definedName>
    <definedName name="巨集407">#REF!</definedName>
    <definedName name="巨集4i1">#REF!</definedName>
    <definedName name="打印">#REF!</definedName>
    <definedName name="承00">#REF!</definedName>
    <definedName name="港幣金額12c1">#REF!,#REF!</definedName>
    <definedName name="港幣金額7xx1">#REF!,#REF!</definedName>
    <definedName name="翠刽肂.ntD">#REF!,#REF!</definedName>
    <definedName name="翠刽肂12c1">#REF!,#REF!</definedName>
    <definedName name="翠刽肂12c1rrrr">#REF!,#REF!</definedName>
    <definedName name="翠刽肂7xx1">#REF!,#REF!</definedName>
    <definedName name="翠刽肂7xx1rrrr">#REF!,#REF!</definedName>
    <definedName name="翠刽肂7xxo">#REF!,#REF!</definedName>
    <definedName name="翠刽肂o2tD">#REF!,#REF!</definedName>
    <definedName name="翠刽肂ortD">#REF!,#REF!</definedName>
    <definedName name="翠刽肂unt1">#REF!,#REF!</definedName>
    <definedName name="翠刽肂unt1rrrr">#REF!,#REF!</definedName>
    <definedName name="翠劊肂7xx1">#REF!,#REF!</definedName>
    <definedName name="翠劊肂7xxo">#REF!,#REF!</definedName>
    <definedName name="耻15">#REF!</definedName>
    <definedName name="苠47">#REF!</definedName>
    <definedName name="附表1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2" i="15" l="1"/>
  <c r="E44" i="15"/>
  <c r="E42" i="15"/>
  <c r="D39" i="15"/>
  <c r="E39" i="15" s="1"/>
  <c r="D37" i="15"/>
  <c r="E37" i="15" s="1"/>
  <c r="D36" i="15"/>
  <c r="E36" i="15" s="1"/>
  <c r="D35" i="15"/>
  <c r="E35" i="15" s="1"/>
  <c r="D32" i="15"/>
  <c r="D31" i="15"/>
  <c r="D30" i="15"/>
  <c r="E30" i="15" s="1"/>
  <c r="D29" i="15"/>
  <c r="E29" i="15" s="1"/>
  <c r="D28" i="15"/>
  <c r="E28" i="15" s="1"/>
  <c r="D26" i="15"/>
  <c r="D25" i="15"/>
  <c r="E25" i="15" s="1"/>
  <c r="D24" i="15"/>
  <c r="E24" i="15" s="1"/>
  <c r="D22" i="15"/>
  <c r="E22" i="15" s="1"/>
  <c r="D21" i="15"/>
  <c r="E21" i="15" s="1"/>
  <c r="D19" i="15"/>
  <c r="E19" i="15" s="1"/>
  <c r="D18" i="15"/>
  <c r="E18" i="15" s="1"/>
  <c r="D17" i="15"/>
  <c r="E17" i="15" s="1"/>
  <c r="D16" i="15"/>
  <c r="E16" i="15" s="1"/>
  <c r="E15" i="15"/>
  <c r="D15" i="15" s="1"/>
  <c r="C15" i="15" s="1"/>
  <c r="D13" i="15"/>
  <c r="E13" i="15" s="1"/>
  <c r="C12" i="15"/>
  <c r="L11" i="15"/>
  <c r="J11" i="15"/>
  <c r="J10" i="15"/>
  <c r="H11" i="15" s="1"/>
  <c r="C10" i="15"/>
  <c r="J9" i="15"/>
  <c r="Z8" i="15"/>
  <c r="J8" i="15"/>
  <c r="J7" i="15"/>
  <c r="K6" i="15"/>
  <c r="J6" i="15"/>
  <c r="K11" i="15" s="1"/>
  <c r="C6" i="15"/>
  <c r="X4" i="15"/>
  <c r="J4" i="15"/>
  <c r="C4" i="15"/>
  <c r="C3" i="15"/>
  <c r="X2" i="15"/>
  <c r="F43" i="14"/>
  <c r="F42" i="14"/>
  <c r="F39" i="14"/>
  <c r="F37" i="14"/>
  <c r="F36" i="14"/>
  <c r="F34" i="14"/>
  <c r="F33" i="14"/>
  <c r="F32" i="14"/>
  <c r="D32" i="14"/>
  <c r="C32" i="14"/>
  <c r="F31" i="14"/>
  <c r="E30" i="14"/>
  <c r="F28" i="14"/>
  <c r="F27" i="14"/>
  <c r="E26" i="14"/>
  <c r="F26" i="14" s="1"/>
  <c r="E25" i="14"/>
  <c r="F25" i="14" s="1"/>
  <c r="E24" i="14"/>
  <c r="F24" i="14" s="1"/>
  <c r="E23" i="14"/>
  <c r="F23" i="14" s="1"/>
  <c r="F22" i="14"/>
  <c r="F21" i="14"/>
  <c r="E19" i="14"/>
  <c r="F19" i="14" s="1"/>
  <c r="F18" i="14"/>
  <c r="D18" i="14"/>
  <c r="C18" i="14"/>
  <c r="F17" i="14"/>
  <c r="E16" i="14"/>
  <c r="F16" i="14" s="1"/>
  <c r="E15" i="14"/>
  <c r="F15" i="14" s="1"/>
  <c r="F14" i="14"/>
  <c r="F12" i="14"/>
  <c r="F11" i="14"/>
  <c r="F10" i="14"/>
  <c r="F9" i="14"/>
  <c r="E8" i="14"/>
  <c r="E13" i="14" s="1"/>
  <c r="E20" i="14" s="1"/>
  <c r="F7" i="14"/>
  <c r="D7" i="14"/>
  <c r="C7" i="14"/>
  <c r="F6" i="14"/>
  <c r="D6" i="14"/>
  <c r="C6" i="14"/>
  <c r="F5" i="14"/>
  <c r="F4" i="14"/>
  <c r="D4" i="14"/>
  <c r="D8" i="14" s="1"/>
  <c r="C4" i="14"/>
  <c r="C8" i="14" s="1"/>
  <c r="D2" i="14"/>
  <c r="C2" i="14"/>
  <c r="K88" i="13"/>
  <c r="J88" i="13"/>
  <c r="L88" i="13" s="1"/>
  <c r="F88" i="13"/>
  <c r="E88" i="13"/>
  <c r="G88" i="13" s="1"/>
  <c r="J87" i="13"/>
  <c r="E87" i="13"/>
  <c r="K86" i="13"/>
  <c r="J86" i="13"/>
  <c r="L86" i="13" s="1"/>
  <c r="F86" i="13"/>
  <c r="E86" i="13"/>
  <c r="G86" i="13" s="1"/>
  <c r="J85" i="13"/>
  <c r="E85" i="13"/>
  <c r="L84" i="13"/>
  <c r="K84" i="13"/>
  <c r="G84" i="13"/>
  <c r="F84" i="13"/>
  <c r="G83" i="13"/>
  <c r="F83" i="13"/>
  <c r="E83" i="13"/>
  <c r="D83" i="13"/>
  <c r="L79" i="13"/>
  <c r="K79" i="13"/>
  <c r="J79" i="13"/>
  <c r="I79" i="13"/>
  <c r="G79" i="13"/>
  <c r="F79" i="13"/>
  <c r="E79" i="13"/>
  <c r="D79" i="13"/>
  <c r="L76" i="13"/>
  <c r="G76" i="13"/>
  <c r="L75" i="13"/>
  <c r="K75" i="13"/>
  <c r="J75" i="13"/>
  <c r="I75" i="13"/>
  <c r="G75" i="13"/>
  <c r="F75" i="13"/>
  <c r="E75" i="13"/>
  <c r="D75" i="13"/>
  <c r="J73" i="13"/>
  <c r="I73" i="13"/>
  <c r="E73" i="13"/>
  <c r="D73" i="13"/>
  <c r="L69" i="13"/>
  <c r="K69" i="13"/>
  <c r="G69" i="13"/>
  <c r="F69" i="13"/>
  <c r="J64" i="13"/>
  <c r="I64" i="13"/>
  <c r="E64" i="13"/>
  <c r="D64" i="13"/>
  <c r="J63" i="13"/>
  <c r="I63" i="13"/>
  <c r="E63" i="13"/>
  <c r="D63" i="13"/>
  <c r="J60" i="13"/>
  <c r="I60" i="13"/>
  <c r="E60" i="13"/>
  <c r="D60" i="13"/>
  <c r="J54" i="13"/>
  <c r="I54" i="13"/>
  <c r="D54" i="13"/>
  <c r="E54" i="13" s="1"/>
  <c r="L52" i="13"/>
  <c r="K52" i="13"/>
  <c r="J52" i="13"/>
  <c r="I52" i="13"/>
  <c r="G52" i="13"/>
  <c r="F52" i="13"/>
  <c r="E52" i="13"/>
  <c r="D52" i="13"/>
  <c r="C50" i="13"/>
  <c r="L46" i="13"/>
  <c r="K46" i="13"/>
  <c r="J46" i="13"/>
  <c r="I46" i="13"/>
  <c r="G46" i="13"/>
  <c r="F46" i="13"/>
  <c r="E46" i="13"/>
  <c r="D46" i="13"/>
  <c r="L41" i="13"/>
  <c r="K41" i="13"/>
  <c r="G41" i="13"/>
  <c r="F41" i="13"/>
  <c r="L38" i="13"/>
  <c r="K38" i="13"/>
  <c r="G38" i="13"/>
  <c r="F38" i="13"/>
  <c r="L37" i="13"/>
  <c r="K37" i="13"/>
  <c r="G37" i="13"/>
  <c r="F37" i="13"/>
  <c r="P36" i="13"/>
  <c r="J30" i="13"/>
  <c r="E30" i="13"/>
  <c r="L27" i="13"/>
  <c r="K27" i="13"/>
  <c r="J27" i="13"/>
  <c r="I27" i="13"/>
  <c r="G27" i="13"/>
  <c r="F27" i="13"/>
  <c r="E27" i="13"/>
  <c r="D27" i="13"/>
  <c r="W25" i="13"/>
  <c r="U25" i="13"/>
  <c r="X25" i="13" s="1"/>
  <c r="P25" i="13"/>
  <c r="I25" i="13"/>
  <c r="G25" i="13"/>
  <c r="F25" i="13"/>
  <c r="E25" i="13"/>
  <c r="D25" i="13"/>
  <c r="X24" i="13"/>
  <c r="P24" i="13"/>
  <c r="P21" i="13"/>
  <c r="L18" i="13"/>
  <c r="K18" i="13"/>
  <c r="J18" i="13"/>
  <c r="I18" i="13"/>
  <c r="G18" i="13"/>
  <c r="F18" i="13"/>
  <c r="E18" i="13"/>
  <c r="D18" i="13"/>
  <c r="W17" i="13"/>
  <c r="U17" i="13"/>
  <c r="L17" i="13"/>
  <c r="J17" i="13"/>
  <c r="G17" i="13"/>
  <c r="E17" i="13"/>
  <c r="L16" i="13"/>
  <c r="J16" i="13"/>
  <c r="G16" i="13"/>
  <c r="E16" i="13"/>
  <c r="L15" i="13"/>
  <c r="K15" i="13"/>
  <c r="J15" i="13"/>
  <c r="I15" i="13"/>
  <c r="G15" i="13"/>
  <c r="F15" i="13"/>
  <c r="E15" i="13"/>
  <c r="D15" i="13"/>
  <c r="L14" i="13"/>
  <c r="K14" i="13"/>
  <c r="J14" i="13"/>
  <c r="I14" i="13"/>
  <c r="G14" i="13"/>
  <c r="F14" i="13"/>
  <c r="E14" i="13"/>
  <c r="D14" i="13"/>
  <c r="L13" i="13"/>
  <c r="K13" i="13"/>
  <c r="J13" i="13"/>
  <c r="I13" i="13"/>
  <c r="G13" i="13"/>
  <c r="F13" i="13"/>
  <c r="E13" i="13"/>
  <c r="D13" i="13"/>
  <c r="P10" i="13"/>
  <c r="V9" i="13"/>
  <c r="P9" i="13"/>
  <c r="V7" i="13"/>
  <c r="P7" i="13"/>
  <c r="P6" i="13"/>
  <c r="L6" i="13"/>
  <c r="K6" i="13"/>
  <c r="J6" i="13"/>
  <c r="I6" i="13"/>
  <c r="G6" i="13"/>
  <c r="F6" i="13"/>
  <c r="E6" i="13"/>
  <c r="D6" i="13"/>
  <c r="L5" i="13"/>
  <c r="J5" i="13"/>
  <c r="I5" i="13"/>
  <c r="E5" i="13"/>
  <c r="D5" i="13"/>
  <c r="D33" i="12"/>
  <c r="D30" i="12"/>
  <c r="E29" i="12"/>
  <c r="F29" i="12" s="1"/>
  <c r="D29" i="12"/>
  <c r="D28" i="12"/>
  <c r="D26" i="12"/>
  <c r="E25" i="12"/>
  <c r="F25" i="12" s="1"/>
  <c r="D25" i="12"/>
  <c r="E24" i="12"/>
  <c r="D24" i="12"/>
  <c r="E23" i="12"/>
  <c r="D23" i="12"/>
  <c r="E22" i="12"/>
  <c r="F22" i="12" s="1"/>
  <c r="D22" i="12"/>
  <c r="D21" i="12"/>
  <c r="D20" i="12"/>
  <c r="E19" i="12"/>
  <c r="D19" i="12"/>
  <c r="E16" i="12"/>
  <c r="D16" i="12"/>
  <c r="D15" i="12"/>
  <c r="D14" i="12"/>
  <c r="F13" i="12"/>
  <c r="E13" i="12"/>
  <c r="D13" i="12"/>
  <c r="D12" i="12"/>
  <c r="N11" i="12"/>
  <c r="O11" i="12" s="1"/>
  <c r="D11" i="12"/>
  <c r="D27" i="12" s="1"/>
  <c r="O10" i="12"/>
  <c r="N10" i="12"/>
  <c r="O9" i="12"/>
  <c r="N9" i="12"/>
  <c r="O8" i="12"/>
  <c r="N8" i="12"/>
  <c r="M8" i="12"/>
  <c r="D8" i="12"/>
  <c r="N7" i="12"/>
  <c r="M7" i="12"/>
  <c r="O7" i="12" s="1"/>
  <c r="N6" i="12"/>
  <c r="M6" i="12"/>
  <c r="O6" i="12" s="1"/>
  <c r="F6" i="12"/>
  <c r="I5" i="12"/>
  <c r="F5" i="12"/>
  <c r="I4" i="12"/>
  <c r="E4" i="12"/>
  <c r="D4" i="12"/>
  <c r="I3" i="12"/>
  <c r="D80" i="11"/>
  <c r="E79" i="11"/>
  <c r="E78" i="11"/>
  <c r="E76" i="11"/>
  <c r="E80" i="11" s="1"/>
  <c r="E74" i="11"/>
  <c r="D74" i="11"/>
  <c r="E70" i="11"/>
  <c r="D70" i="11"/>
  <c r="E68" i="11"/>
  <c r="D68" i="11"/>
  <c r="E66" i="11"/>
  <c r="D66" i="11"/>
  <c r="E65" i="11"/>
  <c r="D65" i="11"/>
  <c r="E64" i="11"/>
  <c r="D64" i="11"/>
  <c r="E55" i="11"/>
  <c r="D55" i="11"/>
  <c r="E54" i="11"/>
  <c r="D54" i="11"/>
  <c r="E53" i="11"/>
  <c r="D53" i="11"/>
  <c r="E51" i="11"/>
  <c r="D51" i="11"/>
  <c r="E50" i="11"/>
  <c r="D50" i="11"/>
  <c r="E47" i="11"/>
  <c r="D47" i="11"/>
  <c r="E46" i="11"/>
  <c r="D46" i="11"/>
  <c r="E45" i="11"/>
  <c r="D45" i="11"/>
  <c r="E43" i="11"/>
  <c r="D43" i="11"/>
  <c r="C41" i="11"/>
  <c r="E39" i="11"/>
  <c r="D39" i="11"/>
  <c r="E27" i="11"/>
  <c r="E25" i="11"/>
  <c r="D25" i="11"/>
  <c r="J24" i="11"/>
  <c r="E18" i="11"/>
  <c r="J15" i="11"/>
  <c r="D14" i="11"/>
  <c r="D13" i="11"/>
  <c r="D12" i="11"/>
  <c r="J11" i="11"/>
  <c r="D11" i="11"/>
  <c r="D8" i="11"/>
  <c r="J7" i="11"/>
  <c r="D6" i="11"/>
  <c r="J5" i="11"/>
  <c r="E4" i="11"/>
  <c r="D4" i="11"/>
  <c r="C111" i="10"/>
  <c r="C110" i="10"/>
  <c r="C109" i="10" s="1"/>
  <c r="C99" i="10"/>
  <c r="E98" i="10"/>
  <c r="C98" i="10"/>
  <c r="D98" i="10" s="1"/>
  <c r="C97" i="10"/>
  <c r="C96" i="10"/>
  <c r="C87" i="10"/>
  <c r="D85" i="10"/>
  <c r="C85" i="10" s="1"/>
  <c r="C75" i="10"/>
  <c r="C74" i="10"/>
  <c r="C73" i="10"/>
  <c r="C72" i="10"/>
  <c r="C71" i="10"/>
  <c r="C70" i="10"/>
  <c r="C69" i="10"/>
  <c r="C68" i="10"/>
  <c r="C67" i="10"/>
  <c r="C63" i="10"/>
  <c r="C62" i="10"/>
  <c r="C61" i="10"/>
  <c r="C60" i="10"/>
  <c r="C59" i="10"/>
  <c r="C58" i="10"/>
  <c r="C57" i="10"/>
  <c r="C56" i="10"/>
  <c r="C55" i="10"/>
  <c r="C51" i="10"/>
  <c r="E50" i="10"/>
  <c r="D50" i="10"/>
  <c r="E49" i="10"/>
  <c r="D49" i="10"/>
  <c r="E48" i="10"/>
  <c r="E51" i="10" s="1"/>
  <c r="D48" i="10"/>
  <c r="D51" i="10" s="1"/>
  <c r="C44" i="10"/>
  <c r="C43" i="10"/>
  <c r="C42" i="10"/>
  <c r="E41" i="10"/>
  <c r="D41" i="10"/>
  <c r="E39" i="10"/>
  <c r="D39" i="10"/>
  <c r="C36" i="10"/>
  <c r="D34" i="10"/>
  <c r="C34" i="10"/>
  <c r="C30" i="10"/>
  <c r="C24" i="10"/>
  <c r="J21" i="10"/>
  <c r="J19" i="10"/>
  <c r="E19" i="10"/>
  <c r="D19" i="10"/>
  <c r="J17" i="10"/>
  <c r="J9" i="10" s="1"/>
  <c r="C17" i="10"/>
  <c r="C32" i="10" s="1"/>
  <c r="E16" i="10"/>
  <c r="D16" i="10"/>
  <c r="J15" i="10"/>
  <c r="E15" i="10"/>
  <c r="D15" i="10"/>
  <c r="E14" i="10"/>
  <c r="D14" i="10"/>
  <c r="E13" i="10"/>
  <c r="E17" i="10" s="1"/>
  <c r="D13" i="10"/>
  <c r="J12" i="10"/>
  <c r="C10" i="10"/>
  <c r="E9" i="10"/>
  <c r="D9" i="10"/>
  <c r="E8" i="10"/>
  <c r="D8" i="10"/>
  <c r="J7" i="10"/>
  <c r="E7" i="10"/>
  <c r="D7" i="10"/>
  <c r="C6" i="10"/>
  <c r="J5" i="10"/>
  <c r="E87" i="10" s="1"/>
  <c r="E5" i="10"/>
  <c r="D5" i="10"/>
  <c r="C96" i="7"/>
  <c r="C95" i="7"/>
  <c r="C94" i="7"/>
  <c r="C93" i="7"/>
  <c r="G22" i="9"/>
  <c r="D21" i="9"/>
  <c r="H20" i="9"/>
  <c r="H24" i="9" s="1"/>
  <c r="G20" i="9"/>
  <c r="H19" i="9"/>
  <c r="G19" i="9"/>
  <c r="H18" i="9"/>
  <c r="G18" i="9"/>
  <c r="H17" i="9"/>
  <c r="G17" i="9"/>
  <c r="H16" i="9"/>
  <c r="G16" i="9"/>
  <c r="F15" i="9"/>
  <c r="F21" i="9" s="1"/>
  <c r="E15" i="9"/>
  <c r="H15" i="9" s="1"/>
  <c r="H21" i="9" s="1"/>
  <c r="D15" i="9"/>
  <c r="F13" i="9"/>
  <c r="F23" i="9" s="1"/>
  <c r="E13" i="9"/>
  <c r="H12" i="9"/>
  <c r="G12" i="9"/>
  <c r="H11" i="9"/>
  <c r="G11" i="9"/>
  <c r="H10" i="9"/>
  <c r="G10" i="9"/>
  <c r="D10" i="9"/>
  <c r="D13" i="9" s="1"/>
  <c r="H9" i="9"/>
  <c r="G9" i="9"/>
  <c r="H8" i="9"/>
  <c r="H13" i="9" s="1"/>
  <c r="G8" i="9"/>
  <c r="J13" i="15" l="1"/>
  <c r="D12" i="15"/>
  <c r="C14" i="15"/>
  <c r="AC19" i="15"/>
  <c r="AC8" i="15"/>
  <c r="AC9" i="15"/>
  <c r="K13" i="15"/>
  <c r="K10" i="15"/>
  <c r="L16" i="15" s="1"/>
  <c r="D38" i="15"/>
  <c r="C38" i="15" s="1"/>
  <c r="E31" i="15"/>
  <c r="E32" i="15"/>
  <c r="E26" i="15"/>
  <c r="D42" i="15"/>
  <c r="C42" i="15" s="1"/>
  <c r="D41" i="15"/>
  <c r="C41" i="15" s="1"/>
  <c r="F8" i="14"/>
  <c r="F13" i="14" s="1"/>
  <c r="F20" i="14" s="1"/>
  <c r="E29" i="14"/>
  <c r="F30" i="14"/>
  <c r="D9" i="14"/>
  <c r="D13" i="14" s="1"/>
  <c r="D20" i="14" s="1"/>
  <c r="D40" i="14" s="1"/>
  <c r="D44" i="14" s="1"/>
  <c r="C9" i="14"/>
  <c r="C13" i="14" s="1"/>
  <c r="C20" i="14" s="1"/>
  <c r="C40" i="14" s="1"/>
  <c r="C44" i="14" s="1"/>
  <c r="G89" i="13"/>
  <c r="L83" i="13"/>
  <c r="L89" i="13" s="1"/>
  <c r="K83" i="13"/>
  <c r="K89" i="13" s="1"/>
  <c r="F89" i="13"/>
  <c r="J83" i="13"/>
  <c r="J89" i="13" s="1"/>
  <c r="E89" i="13"/>
  <c r="I83" i="13"/>
  <c r="I89" i="13" s="1"/>
  <c r="D89" i="13"/>
  <c r="P38" i="13"/>
  <c r="P39" i="13"/>
  <c r="D29" i="13"/>
  <c r="L25" i="13"/>
  <c r="J25" i="13"/>
  <c r="I29" i="13"/>
  <c r="L36" i="13"/>
  <c r="J29" i="13"/>
  <c r="F36" i="13"/>
  <c r="K25" i="13"/>
  <c r="K36" i="13"/>
  <c r="G36" i="13"/>
  <c r="E29" i="13"/>
  <c r="F67" i="13"/>
  <c r="G66" i="13"/>
  <c r="G65" i="13"/>
  <c r="D59" i="13"/>
  <c r="D56" i="13"/>
  <c r="D55" i="13"/>
  <c r="K49" i="13"/>
  <c r="K65" i="13"/>
  <c r="J59" i="13"/>
  <c r="F70" i="13"/>
  <c r="E56" i="13"/>
  <c r="I77" i="13"/>
  <c r="F49" i="13"/>
  <c r="L77" i="13"/>
  <c r="G70" i="13"/>
  <c r="E55" i="13"/>
  <c r="I55" i="13"/>
  <c r="L49" i="13"/>
  <c r="J55" i="13"/>
  <c r="G67" i="13"/>
  <c r="J77" i="13"/>
  <c r="G77" i="13"/>
  <c r="D77" i="13"/>
  <c r="K74" i="13"/>
  <c r="G74" i="13"/>
  <c r="I56" i="13"/>
  <c r="I59" i="13"/>
  <c r="L65" i="13"/>
  <c r="K77" i="13"/>
  <c r="F77" i="13"/>
  <c r="K66" i="13"/>
  <c r="D74" i="13"/>
  <c r="I74" i="13"/>
  <c r="E74" i="13"/>
  <c r="L71" i="13"/>
  <c r="F71" i="13"/>
  <c r="E77" i="13"/>
  <c r="J74" i="13"/>
  <c r="F74" i="13"/>
  <c r="G71" i="13"/>
  <c r="L70" i="13"/>
  <c r="L74" i="13"/>
  <c r="L66" i="13"/>
  <c r="F66" i="13"/>
  <c r="F65" i="13"/>
  <c r="E59" i="13"/>
  <c r="J56" i="13"/>
  <c r="K71" i="13"/>
  <c r="G49" i="13"/>
  <c r="K70" i="13"/>
  <c r="L67" i="13"/>
  <c r="K67" i="13"/>
  <c r="L7" i="13"/>
  <c r="L10" i="13" s="1"/>
  <c r="J7" i="13"/>
  <c r="J10" i="13" s="1"/>
  <c r="D7" i="13"/>
  <c r="E7" i="13"/>
  <c r="I7" i="13"/>
  <c r="E76" i="13"/>
  <c r="L39" i="13"/>
  <c r="K47" i="13"/>
  <c r="F48" i="13"/>
  <c r="J76" i="13"/>
  <c r="L48" i="13"/>
  <c r="D50" i="13"/>
  <c r="G50" i="13"/>
  <c r="K50" i="13"/>
  <c r="J80" i="13"/>
  <c r="U6" i="13"/>
  <c r="D76" i="13"/>
  <c r="F80" i="13"/>
  <c r="L80" i="13"/>
  <c r="G80" i="13"/>
  <c r="E80" i="13"/>
  <c r="G39" i="13"/>
  <c r="I50" i="13"/>
  <c r="D80" i="13"/>
  <c r="I76" i="13"/>
  <c r="I80" i="13"/>
  <c r="K80" i="13"/>
  <c r="L24" i="13"/>
  <c r="J50" i="13"/>
  <c r="J81" i="13" s="1"/>
  <c r="F50" i="13"/>
  <c r="E24" i="13"/>
  <c r="K48" i="13"/>
  <c r="G47" i="13"/>
  <c r="J24" i="13"/>
  <c r="I24" i="13"/>
  <c r="F39" i="13"/>
  <c r="L50" i="13"/>
  <c r="E50" i="13"/>
  <c r="K24" i="13"/>
  <c r="G48" i="13"/>
  <c r="L47" i="13"/>
  <c r="L81" i="13" s="1"/>
  <c r="F47" i="13"/>
  <c r="F81" i="13" s="1"/>
  <c r="K39" i="13"/>
  <c r="F24" i="13"/>
  <c r="G24" i="13"/>
  <c r="D24" i="13"/>
  <c r="L19" i="13"/>
  <c r="L21" i="13" s="1"/>
  <c r="J19" i="13"/>
  <c r="J21" i="13" s="1"/>
  <c r="I10" i="13"/>
  <c r="K5" i="13"/>
  <c r="K7" i="13" s="1"/>
  <c r="G5" i="13"/>
  <c r="G7" i="13" s="1"/>
  <c r="G10" i="13" s="1"/>
  <c r="E10" i="13"/>
  <c r="F5" i="13"/>
  <c r="F7" i="13" s="1"/>
  <c r="F10" i="13" s="1"/>
  <c r="D10" i="13"/>
  <c r="E7" i="12"/>
  <c r="D7" i="12"/>
  <c r="E30" i="12"/>
  <c r="F30" i="12" s="1"/>
  <c r="F18" i="12"/>
  <c r="F14" i="12"/>
  <c r="E15" i="12"/>
  <c r="E26" i="12" s="1"/>
  <c r="F31" i="12"/>
  <c r="F17" i="12"/>
  <c r="E28" i="12"/>
  <c r="E11" i="12"/>
  <c r="E8" i="12"/>
  <c r="F8" i="12" s="1"/>
  <c r="F32" i="12"/>
  <c r="E32" i="12"/>
  <c r="E31" i="12"/>
  <c r="E14" i="12"/>
  <c r="F12" i="12"/>
  <c r="F11" i="12"/>
  <c r="E12" i="12"/>
  <c r="F4" i="12"/>
  <c r="F7" i="12" s="1"/>
  <c r="E9" i="12"/>
  <c r="E10" i="12" s="1"/>
  <c r="D9" i="12"/>
  <c r="D10" i="12"/>
  <c r="D35" i="12" s="1"/>
  <c r="D36" i="12" s="1"/>
  <c r="F16" i="12"/>
  <c r="F26" i="12" s="1"/>
  <c r="E21" i="12"/>
  <c r="F21" i="12" s="1"/>
  <c r="M13" i="12"/>
  <c r="N13" i="12" s="1"/>
  <c r="O13" i="12" s="1"/>
  <c r="E34" i="11"/>
  <c r="E36" i="11" s="1"/>
  <c r="D34" i="11"/>
  <c r="D36" i="11" s="1"/>
  <c r="E21" i="11"/>
  <c r="E24" i="11"/>
  <c r="D24" i="11"/>
  <c r="D28" i="11"/>
  <c r="D20" i="11"/>
  <c r="E9" i="11"/>
  <c r="D9" i="11"/>
  <c r="E28" i="11"/>
  <c r="D21" i="11"/>
  <c r="D7" i="11"/>
  <c r="D16" i="11" s="1"/>
  <c r="D22" i="11" s="1"/>
  <c r="D30" i="11" s="1"/>
  <c r="E7" i="11"/>
  <c r="E16" i="11" s="1"/>
  <c r="E22" i="11" s="1"/>
  <c r="E30" i="11" s="1"/>
  <c r="E41" i="11"/>
  <c r="D23" i="11"/>
  <c r="D71" i="11"/>
  <c r="E71" i="11"/>
  <c r="E67" i="11"/>
  <c r="D67" i="11"/>
  <c r="D41" i="11"/>
  <c r="D72" i="11" s="1"/>
  <c r="E23" i="11"/>
  <c r="D17" i="10"/>
  <c r="C11" i="10"/>
  <c r="E99" i="10"/>
  <c r="D99" i="10"/>
  <c r="E97" i="10"/>
  <c r="D97" i="10"/>
  <c r="D96" i="10"/>
  <c r="D100" i="10" s="1"/>
  <c r="C100" i="10"/>
  <c r="E96" i="10"/>
  <c r="E100" i="10" s="1"/>
  <c r="E85" i="10"/>
  <c r="D75" i="10"/>
  <c r="E75" i="10"/>
  <c r="E74" i="10"/>
  <c r="D74" i="10"/>
  <c r="E73" i="10"/>
  <c r="D73" i="10"/>
  <c r="D72" i="10"/>
  <c r="E72" i="10"/>
  <c r="E71" i="10"/>
  <c r="D71" i="10"/>
  <c r="E70" i="10"/>
  <c r="D70" i="10"/>
  <c r="E69" i="10"/>
  <c r="D69" i="10"/>
  <c r="E68" i="10"/>
  <c r="D68" i="10"/>
  <c r="E67" i="10"/>
  <c r="E76" i="10" s="1"/>
  <c r="D67" i="10"/>
  <c r="D76" i="10" s="1"/>
  <c r="C76" i="10"/>
  <c r="E63" i="10"/>
  <c r="D63" i="10"/>
  <c r="E62" i="10"/>
  <c r="D62" i="10"/>
  <c r="D61" i="10"/>
  <c r="E61" i="10"/>
  <c r="D60" i="10"/>
  <c r="E60" i="10"/>
  <c r="D59" i="10"/>
  <c r="E59" i="10"/>
  <c r="E58" i="10"/>
  <c r="D58" i="10"/>
  <c r="D57" i="10"/>
  <c r="E57" i="10"/>
  <c r="E56" i="10"/>
  <c r="D56" i="10"/>
  <c r="E55" i="10"/>
  <c r="D55" i="10"/>
  <c r="D64" i="10" s="1"/>
  <c r="C64" i="10"/>
  <c r="D44" i="10"/>
  <c r="E44" i="10"/>
  <c r="D43" i="10"/>
  <c r="E43" i="10"/>
  <c r="E42" i="10"/>
  <c r="D42" i="10"/>
  <c r="E36" i="10"/>
  <c r="D36" i="10"/>
  <c r="D37" i="10" s="1"/>
  <c r="D46" i="10" s="1"/>
  <c r="C37" i="10"/>
  <c r="C46" i="10" s="1"/>
  <c r="E34" i="10"/>
  <c r="E37" i="10" s="1"/>
  <c r="E46" i="10" s="1"/>
  <c r="D30" i="10"/>
  <c r="E30" i="10"/>
  <c r="D24" i="10"/>
  <c r="D32" i="10" s="1"/>
  <c r="E24" i="10"/>
  <c r="E32" i="10" s="1"/>
  <c r="E10" i="10"/>
  <c r="D10" i="10"/>
  <c r="D6" i="10"/>
  <c r="D11" i="10" s="1"/>
  <c r="D53" i="10" s="1"/>
  <c r="E6" i="10"/>
  <c r="E11" i="10" s="1"/>
  <c r="E53" i="10" s="1"/>
  <c r="D23" i="9"/>
  <c r="G23" i="9" s="1"/>
  <c r="G13" i="9"/>
  <c r="H23" i="9"/>
  <c r="G15" i="9"/>
  <c r="E21" i="9"/>
  <c r="E23" i="9" s="1"/>
  <c r="E12" i="15" l="1"/>
  <c r="D14" i="15"/>
  <c r="C20" i="15"/>
  <c r="E35" i="14"/>
  <c r="E38" i="14" s="1"/>
  <c r="F29" i="14"/>
  <c r="F35" i="14" s="1"/>
  <c r="F38" i="14" s="1"/>
  <c r="E81" i="13"/>
  <c r="I81" i="13"/>
  <c r="U11" i="13"/>
  <c r="V6" i="13"/>
  <c r="V11" i="13" s="1"/>
  <c r="I19" i="13"/>
  <c r="I21" i="13" s="1"/>
  <c r="G19" i="13"/>
  <c r="G21" i="13" s="1"/>
  <c r="E19" i="13"/>
  <c r="E21" i="13" s="1"/>
  <c r="F19" i="13"/>
  <c r="F21" i="13" s="1"/>
  <c r="D19" i="13"/>
  <c r="D21" i="13" s="1"/>
  <c r="K81" i="13"/>
  <c r="G81" i="13"/>
  <c r="K10" i="13"/>
  <c r="D81" i="13"/>
  <c r="F28" i="12"/>
  <c r="F33" i="12" s="1"/>
  <c r="E33" i="12"/>
  <c r="F9" i="12"/>
  <c r="F10" i="12" s="1"/>
  <c r="F35" i="12" s="1"/>
  <c r="F36" i="12" s="1"/>
  <c r="D37" i="12"/>
  <c r="D38" i="12"/>
  <c r="E27" i="12"/>
  <c r="E35" i="12" s="1"/>
  <c r="E36" i="12" s="1"/>
  <c r="F27" i="12"/>
  <c r="E72" i="11"/>
  <c r="E82" i="11" s="1"/>
  <c r="E84" i="11" s="1"/>
  <c r="D82" i="11"/>
  <c r="D84" i="11" s="1"/>
  <c r="C53" i="10"/>
  <c r="C81" i="10"/>
  <c r="C78" i="10"/>
  <c r="D78" i="10"/>
  <c r="E64" i="10"/>
  <c r="E78" i="10" s="1"/>
  <c r="G21" i="9"/>
  <c r="E14" i="15" l="1"/>
  <c r="E20" i="15" s="1"/>
  <c r="D20" i="15"/>
  <c r="C23" i="15"/>
  <c r="E44" i="14"/>
  <c r="E40" i="14"/>
  <c r="E41" i="14" s="1"/>
  <c r="F40" i="14"/>
  <c r="F41" i="14" s="1"/>
  <c r="F44" i="14"/>
  <c r="U18" i="13"/>
  <c r="U19" i="13" s="1"/>
  <c r="W18" i="13"/>
  <c r="W19" i="13" s="1"/>
  <c r="K19" i="13"/>
  <c r="K21" i="13" s="1"/>
  <c r="F37" i="12"/>
  <c r="F38" i="12"/>
  <c r="E38" i="12"/>
  <c r="E37" i="12"/>
  <c r="C80" i="10"/>
  <c r="C83" i="10"/>
  <c r="E81" i="10"/>
  <c r="D81" i="10"/>
  <c r="C42" i="7"/>
  <c r="F36" i="8"/>
  <c r="F37" i="8"/>
  <c r="F38" i="8"/>
  <c r="F39" i="8"/>
  <c r="F40" i="8"/>
  <c r="F41" i="8"/>
  <c r="F35" i="8"/>
  <c r="D23" i="15" l="1"/>
  <c r="C27" i="15"/>
  <c r="C33" i="15" s="1"/>
  <c r="V19" i="13"/>
  <c r="E23" i="13" s="1"/>
  <c r="E28" i="13" s="1"/>
  <c r="E33" i="13" s="1"/>
  <c r="E43" i="13" s="1"/>
  <c r="E91" i="13" s="1"/>
  <c r="E93" i="13" s="1"/>
  <c r="U20" i="13"/>
  <c r="V20" i="13" s="1"/>
  <c r="F23" i="13"/>
  <c r="F28" i="13" s="1"/>
  <c r="F33" i="13" s="1"/>
  <c r="D23" i="13"/>
  <c r="D28" i="13" s="1"/>
  <c r="D33" i="13" s="1"/>
  <c r="D43" i="13" s="1"/>
  <c r="D91" i="13" s="1"/>
  <c r="D93" i="13" s="1"/>
  <c r="W20" i="13"/>
  <c r="X20" i="13" s="1"/>
  <c r="I23" i="13"/>
  <c r="X19" i="13"/>
  <c r="G23" i="13" s="1"/>
  <c r="G28" i="13" s="1"/>
  <c r="G33" i="13" s="1"/>
  <c r="D80" i="10"/>
  <c r="D83" i="10" s="1"/>
  <c r="D86" i="10" s="1"/>
  <c r="E86" i="10" s="1"/>
  <c r="E80" i="10"/>
  <c r="E83" i="10" s="1"/>
  <c r="C86" i="10"/>
  <c r="C88" i="10" s="1"/>
  <c r="C91" i="10" s="1"/>
  <c r="D5" i="3"/>
  <c r="D10" i="3" s="1"/>
  <c r="C18" i="7"/>
  <c r="E23" i="15" l="1"/>
  <c r="E27" i="15" s="1"/>
  <c r="E33" i="15" s="1"/>
  <c r="D27" i="15"/>
  <c r="D33" i="15" s="1"/>
  <c r="C34" i="15"/>
  <c r="F40" i="13"/>
  <c r="F43" i="13"/>
  <c r="F91" i="13" s="1"/>
  <c r="F93" i="13" s="1"/>
  <c r="I28" i="13"/>
  <c r="I33" i="13" s="1"/>
  <c r="I43" i="13" s="1"/>
  <c r="I91" i="13" s="1"/>
  <c r="I93" i="13" s="1"/>
  <c r="K23" i="13"/>
  <c r="J23" i="13"/>
  <c r="J28" i="13" s="1"/>
  <c r="J33" i="13" s="1"/>
  <c r="J43" i="13" s="1"/>
  <c r="J91" i="13" s="1"/>
  <c r="J93" i="13" s="1"/>
  <c r="G40" i="13"/>
  <c r="G43" i="13" s="1"/>
  <c r="G91" i="13" s="1"/>
  <c r="G93" i="13" s="1"/>
  <c r="C93" i="10"/>
  <c r="C92" i="10"/>
  <c r="C102" i="10"/>
  <c r="J10" i="10"/>
  <c r="E91" i="10"/>
  <c r="D91" i="10"/>
  <c r="D88" i="10"/>
  <c r="E88" i="10"/>
  <c r="E38" i="3"/>
  <c r="E37" i="3"/>
  <c r="D34" i="15" l="1"/>
  <c r="C40" i="15"/>
  <c r="C45" i="15" s="1"/>
  <c r="K28" i="13"/>
  <c r="K33" i="13" s="1"/>
  <c r="L23" i="13"/>
  <c r="L28" i="13" s="1"/>
  <c r="L33" i="13" s="1"/>
  <c r="C94" i="10"/>
  <c r="D93" i="10"/>
  <c r="D94" i="10" s="1"/>
  <c r="E93" i="10"/>
  <c r="E94" i="10" s="1"/>
  <c r="E92" i="10"/>
  <c r="D92" i="10"/>
  <c r="C104" i="10"/>
  <c r="C103" i="10"/>
  <c r="E102" i="10"/>
  <c r="D102" i="10"/>
  <c r="D115" i="10" s="1"/>
  <c r="K5" i="3"/>
  <c r="J5" i="7"/>
  <c r="D83" i="7"/>
  <c r="D40" i="15" l="1"/>
  <c r="D45" i="15" s="1"/>
  <c r="E34" i="15"/>
  <c r="E40" i="15" s="1"/>
  <c r="K40" i="13"/>
  <c r="K43" i="13" s="1"/>
  <c r="K91" i="13" s="1"/>
  <c r="K93" i="13" s="1"/>
  <c r="L40" i="13"/>
  <c r="L43" i="13" s="1"/>
  <c r="L91" i="13" s="1"/>
  <c r="L93" i="13" s="1"/>
  <c r="C105" i="10"/>
  <c r="E104" i="10"/>
  <c r="E105" i="10" s="1"/>
  <c r="D104" i="10"/>
  <c r="D105" i="10" s="1"/>
  <c r="D103" i="10"/>
  <c r="E103" i="10"/>
  <c r="E88" i="3"/>
  <c r="D33" i="3"/>
  <c r="E45" i="15" l="1"/>
  <c r="L6" i="15"/>
  <c r="E122" i="3"/>
  <c r="F44" i="3"/>
  <c r="F45" i="3"/>
  <c r="F43" i="3"/>
  <c r="F46" i="3" s="1"/>
  <c r="E44" i="3"/>
  <c r="E45" i="3"/>
  <c r="E43" i="3"/>
  <c r="E46" i="3" s="1"/>
  <c r="F37" i="3"/>
  <c r="D34" i="3"/>
  <c r="E53" i="15" l="1"/>
  <c r="E54" i="15" s="1"/>
  <c r="E48" i="15"/>
  <c r="E49" i="15" s="1"/>
  <c r="L13" i="15"/>
  <c r="L15" i="15"/>
  <c r="L18" i="15" s="1"/>
  <c r="L19" i="15" s="1"/>
  <c r="L20" i="15" s="1"/>
  <c r="L12" i="15"/>
  <c r="AC3" i="15" s="1"/>
  <c r="AC4" i="15" s="1"/>
  <c r="L10" i="15"/>
  <c r="O10" i="15" s="1"/>
  <c r="O11" i="15" s="1"/>
  <c r="D101" i="3" a="1"/>
  <c r="E101" i="3" s="1"/>
  <c r="D99" i="3"/>
  <c r="E99" i="3" s="1"/>
  <c r="D5" i="7"/>
  <c r="C49" i="7"/>
  <c r="D25" i="7"/>
  <c r="D29" i="7" s="1"/>
  <c r="E14" i="7" l="1"/>
  <c r="E13" i="7"/>
  <c r="D14" i="7"/>
  <c r="D13" i="7"/>
  <c r="C83" i="7" l="1"/>
  <c r="C15" i="7"/>
  <c r="C28" i="7"/>
  <c r="C29" i="7" s="1"/>
  <c r="E15" i="7" l="1"/>
  <c r="E16" i="7" s="1"/>
  <c r="D15" i="7"/>
  <c r="C10" i="7"/>
  <c r="J7" i="7"/>
  <c r="D88" i="3"/>
  <c r="D46" i="3"/>
  <c r="K7" i="3"/>
  <c r="D23" i="3"/>
  <c r="D73" i="3"/>
  <c r="C72" i="7" s="1"/>
  <c r="E72" i="7" s="1"/>
  <c r="D74" i="3"/>
  <c r="C73" i="7" s="1"/>
  <c r="E73" i="7" s="1"/>
  <c r="C108" i="7"/>
  <c r="C107" i="7" s="1"/>
  <c r="C109" i="7"/>
  <c r="D18" i="7"/>
  <c r="E18" i="7"/>
  <c r="C16" i="7"/>
  <c r="F13" i="8"/>
  <c r="C53" i="7" s="1"/>
  <c r="E36" i="8"/>
  <c r="E37" i="8"/>
  <c r="E38" i="8"/>
  <c r="E39" i="8"/>
  <c r="E40" i="8"/>
  <c r="E41" i="8"/>
  <c r="E35" i="8"/>
  <c r="H36" i="8"/>
  <c r="E73" i="3" l="1"/>
  <c r="E74" i="3"/>
  <c r="D73" i="7"/>
  <c r="D72" i="7"/>
  <c r="F73" i="3"/>
  <c r="F74" i="3"/>
  <c r="D118" i="3" l="1"/>
  <c r="D117" i="3"/>
  <c r="D116" i="3" s="1"/>
  <c r="G35" i="8" l="1"/>
  <c r="F99" i="3" l="1"/>
  <c r="C85" i="7"/>
  <c r="D90" i="3" l="1"/>
  <c r="F90" i="3" s="1"/>
  <c r="D102" i="3"/>
  <c r="D35" i="3"/>
  <c r="F102" i="3" l="1"/>
  <c r="E102" i="3"/>
  <c r="D100" i="3"/>
  <c r="E100" i="3" s="1"/>
  <c r="F100" i="3" l="1"/>
  <c r="F101" i="3"/>
  <c r="D103" i="3" l="1"/>
  <c r="D96" i="7"/>
  <c r="C65" i="7"/>
  <c r="D53" i="7" l="1"/>
  <c r="E53" i="7"/>
  <c r="D65" i="7"/>
  <c r="E65" i="7"/>
  <c r="D66" i="3" l="1"/>
  <c r="E32" i="8"/>
  <c r="E29" i="8"/>
  <c r="E28" i="8"/>
  <c r="E27" i="8"/>
  <c r="E26" i="8"/>
  <c r="E23" i="8"/>
  <c r="E20" i="8"/>
  <c r="E19" i="8"/>
  <c r="E18" i="8"/>
  <c r="E14" i="8"/>
  <c r="E15" i="8"/>
  <c r="E13" i="8"/>
  <c r="D54" i="3" s="1"/>
  <c r="F54" i="3" l="1"/>
  <c r="E66" i="3"/>
  <c r="F66" i="3"/>
  <c r="E54" i="3"/>
  <c r="F15" i="8" l="1"/>
  <c r="G49" i="8"/>
  <c r="G44" i="8"/>
  <c r="F44" i="8"/>
  <c r="E44" i="8"/>
  <c r="E49" i="8" s="1"/>
  <c r="F49" i="8" s="1"/>
  <c r="C44" i="8"/>
  <c r="G41" i="8"/>
  <c r="G40" i="8"/>
  <c r="G39" i="8"/>
  <c r="G38" i="8"/>
  <c r="G37" i="8"/>
  <c r="G36" i="8"/>
  <c r="G42" i="8" s="1"/>
  <c r="G48" i="8" s="1"/>
  <c r="E33" i="8"/>
  <c r="F33" i="8" s="1"/>
  <c r="F32" i="8"/>
  <c r="E30" i="8"/>
  <c r="G30" i="8" s="1"/>
  <c r="F29" i="8"/>
  <c r="F28" i="8"/>
  <c r="F27" i="8"/>
  <c r="F26" i="8"/>
  <c r="E24" i="8"/>
  <c r="F24" i="8" s="1"/>
  <c r="G23" i="8"/>
  <c r="F23" i="8"/>
  <c r="E21" i="8"/>
  <c r="G21" i="8" s="1"/>
  <c r="F20" i="8"/>
  <c r="D85" i="3" s="1"/>
  <c r="F19" i="8"/>
  <c r="D84" i="3" s="1"/>
  <c r="G18" i="8"/>
  <c r="F18" i="8"/>
  <c r="D83" i="3" s="1"/>
  <c r="E16" i="8"/>
  <c r="G16" i="8" s="1"/>
  <c r="F14" i="8"/>
  <c r="E93" i="7"/>
  <c r="E47" i="7"/>
  <c r="E48" i="7"/>
  <c r="E46" i="7"/>
  <c r="D47" i="7"/>
  <c r="D48" i="7"/>
  <c r="D46" i="7"/>
  <c r="E29" i="7"/>
  <c r="C23" i="7"/>
  <c r="E95" i="7"/>
  <c r="E94" i="7"/>
  <c r="D42" i="7"/>
  <c r="C41" i="7"/>
  <c r="E40" i="7"/>
  <c r="D40" i="7"/>
  <c r="E38" i="7"/>
  <c r="D38" i="7"/>
  <c r="C35" i="7"/>
  <c r="E35" i="7" s="1"/>
  <c r="C33" i="7"/>
  <c r="E10" i="7"/>
  <c r="E9" i="7"/>
  <c r="D9" i="7"/>
  <c r="E8" i="7"/>
  <c r="D8" i="7"/>
  <c r="E7" i="7"/>
  <c r="D7" i="7"/>
  <c r="C6" i="7"/>
  <c r="C11" i="7" s="1"/>
  <c r="E5" i="7"/>
  <c r="E85" i="7"/>
  <c r="D40" i="3"/>
  <c r="D28" i="3"/>
  <c r="D29" i="3" s="1"/>
  <c r="D16" i="3"/>
  <c r="D6" i="3"/>
  <c r="D41" i="3" l="1"/>
  <c r="D49" i="3" s="1"/>
  <c r="D80" i="3" s="1"/>
  <c r="E80" i="3" s="1"/>
  <c r="E40" i="3"/>
  <c r="D58" i="3"/>
  <c r="C57" i="7"/>
  <c r="D61" i="3"/>
  <c r="F61" i="3" s="1"/>
  <c r="C60" i="7"/>
  <c r="E85" i="3"/>
  <c r="F85" i="3"/>
  <c r="F83" i="3"/>
  <c r="E83" i="3"/>
  <c r="D86" i="3"/>
  <c r="D57" i="3"/>
  <c r="F57" i="3" s="1"/>
  <c r="C56" i="7"/>
  <c r="D59" i="3"/>
  <c r="F59" i="3" s="1"/>
  <c r="C58" i="7"/>
  <c r="D55" i="3"/>
  <c r="F55" i="3" s="1"/>
  <c r="C54" i="7"/>
  <c r="D60" i="3"/>
  <c r="F60" i="3" s="1"/>
  <c r="C59" i="7"/>
  <c r="D62" i="3"/>
  <c r="F62" i="3" s="1"/>
  <c r="C61" i="7"/>
  <c r="E84" i="3"/>
  <c r="F84" i="3"/>
  <c r="D56" i="3"/>
  <c r="F56" i="3" s="1"/>
  <c r="C55" i="7"/>
  <c r="E11" i="7"/>
  <c r="D11" i="7"/>
  <c r="D33" i="7"/>
  <c r="E33" i="7"/>
  <c r="E36" i="7" s="1"/>
  <c r="E6" i="3"/>
  <c r="D11" i="3"/>
  <c r="E23" i="7"/>
  <c r="C31" i="7"/>
  <c r="D6" i="7"/>
  <c r="E5" i="3"/>
  <c r="E41" i="7"/>
  <c r="E29" i="3"/>
  <c r="C71" i="7"/>
  <c r="D72" i="3"/>
  <c r="D71" i="3"/>
  <c r="C70" i="7"/>
  <c r="D68" i="3"/>
  <c r="C67" i="7"/>
  <c r="E49" i="7"/>
  <c r="D49" i="7"/>
  <c r="E61" i="3"/>
  <c r="F16" i="8"/>
  <c r="F30" i="8"/>
  <c r="G24" i="8"/>
  <c r="G32" i="8"/>
  <c r="G19" i="8"/>
  <c r="G26" i="8"/>
  <c r="G13" i="8"/>
  <c r="E47" i="8"/>
  <c r="G20" i="8"/>
  <c r="G27" i="8"/>
  <c r="G33" i="8"/>
  <c r="G14" i="8"/>
  <c r="F21" i="8"/>
  <c r="G28" i="8"/>
  <c r="G15" i="8"/>
  <c r="G29" i="8"/>
  <c r="D16" i="7"/>
  <c r="C36" i="7"/>
  <c r="C44" i="7" s="1"/>
  <c r="E42" i="7"/>
  <c r="E6" i="7"/>
  <c r="E96" i="7"/>
  <c r="E97" i="7" s="1"/>
  <c r="D23" i="7"/>
  <c r="D41" i="7"/>
  <c r="D95" i="7"/>
  <c r="D35" i="7"/>
  <c r="D36" i="7" s="1"/>
  <c r="C97" i="7"/>
  <c r="D93" i="7"/>
  <c r="D10" i="7"/>
  <c r="D94" i="7"/>
  <c r="D52" i="3" l="1"/>
  <c r="D79" i="3" s="1"/>
  <c r="C51" i="7"/>
  <c r="C78" i="7" s="1"/>
  <c r="D78" i="7" s="1"/>
  <c r="F58" i="3"/>
  <c r="E58" i="3"/>
  <c r="E86" i="3"/>
  <c r="E55" i="3"/>
  <c r="E62" i="3"/>
  <c r="D61" i="7"/>
  <c r="E61" i="7"/>
  <c r="E57" i="3"/>
  <c r="E59" i="7"/>
  <c r="D59" i="7"/>
  <c r="E56" i="7"/>
  <c r="D56" i="7"/>
  <c r="D63" i="3"/>
  <c r="E56" i="3"/>
  <c r="F63" i="3"/>
  <c r="E60" i="7"/>
  <c r="D60" i="7"/>
  <c r="E55" i="7"/>
  <c r="D55" i="7"/>
  <c r="F86" i="3"/>
  <c r="E60" i="3"/>
  <c r="C62" i="7"/>
  <c r="E54" i="7"/>
  <c r="D54" i="7"/>
  <c r="E59" i="3"/>
  <c r="D57" i="7"/>
  <c r="E57" i="7"/>
  <c r="E58" i="7"/>
  <c r="D58" i="7"/>
  <c r="C79" i="7"/>
  <c r="E31" i="7"/>
  <c r="E67" i="7"/>
  <c r="D67" i="7"/>
  <c r="E68" i="3"/>
  <c r="F68" i="3"/>
  <c r="D70" i="7"/>
  <c r="E70" i="7"/>
  <c r="C66" i="7"/>
  <c r="C74" i="7" s="1"/>
  <c r="D67" i="3"/>
  <c r="E71" i="3"/>
  <c r="F71" i="3"/>
  <c r="F72" i="3"/>
  <c r="E72" i="3"/>
  <c r="D69" i="3"/>
  <c r="C68" i="7"/>
  <c r="D70" i="3"/>
  <c r="C69" i="7"/>
  <c r="D71" i="7"/>
  <c r="E71" i="7"/>
  <c r="G47" i="8"/>
  <c r="G50" i="8" s="1"/>
  <c r="F47" i="8"/>
  <c r="E42" i="8"/>
  <c r="E44" i="7"/>
  <c r="D31" i="7"/>
  <c r="D97" i="7"/>
  <c r="D44" i="7"/>
  <c r="E51" i="7" l="1"/>
  <c r="E63" i="3"/>
  <c r="D62" i="7"/>
  <c r="E62" i="7"/>
  <c r="D51" i="7"/>
  <c r="D75" i="3"/>
  <c r="D77" i="3" s="1"/>
  <c r="E78" i="7"/>
  <c r="D66" i="7"/>
  <c r="C76" i="7"/>
  <c r="E66" i="7"/>
  <c r="D69" i="7"/>
  <c r="E69" i="7"/>
  <c r="F70" i="3"/>
  <c r="E70" i="3"/>
  <c r="E68" i="7"/>
  <c r="D68" i="7"/>
  <c r="F69" i="3"/>
  <c r="E69" i="3"/>
  <c r="F67" i="3"/>
  <c r="E67" i="3"/>
  <c r="F42" i="8"/>
  <c r="E48" i="8"/>
  <c r="C81" i="7" l="1"/>
  <c r="E74" i="7"/>
  <c r="E76" i="7" s="1"/>
  <c r="D74" i="7"/>
  <c r="D76" i="7" s="1"/>
  <c r="E75" i="3"/>
  <c r="E77" i="3" s="1"/>
  <c r="D79" i="7"/>
  <c r="F75" i="3"/>
  <c r="F77" i="3" s="1"/>
  <c r="F48" i="8"/>
  <c r="E50" i="8"/>
  <c r="F50" i="8" s="1"/>
  <c r="D81" i="7" l="1"/>
  <c r="E79" i="7"/>
  <c r="E81" i="7" s="1"/>
  <c r="C84" i="7"/>
  <c r="C86" i="7" s="1"/>
  <c r="C88" i="7" s="1"/>
  <c r="E83" i="7"/>
  <c r="F88" i="3"/>
  <c r="F33" i="3"/>
  <c r="F34" i="3"/>
  <c r="F32" i="3"/>
  <c r="E32" i="3"/>
  <c r="F40" i="3"/>
  <c r="F25" i="3"/>
  <c r="E18" i="3"/>
  <c r="F35" i="3" l="1"/>
  <c r="C89" i="7"/>
  <c r="J10" i="7"/>
  <c r="C100" i="7"/>
  <c r="D100" i="7" s="1"/>
  <c r="D113" i="7" s="1"/>
  <c r="C90" i="7"/>
  <c r="D88" i="7"/>
  <c r="E88" i="7"/>
  <c r="D86" i="7"/>
  <c r="E86" i="7"/>
  <c r="D84" i="7"/>
  <c r="E84" i="7" s="1"/>
  <c r="E23" i="3"/>
  <c r="F23" i="3"/>
  <c r="F38" i="3"/>
  <c r="F41" i="3" s="1"/>
  <c r="E33" i="3"/>
  <c r="E34" i="3"/>
  <c r="E41" i="3"/>
  <c r="F29" i="3"/>
  <c r="F7" i="3"/>
  <c r="F8" i="3"/>
  <c r="F9" i="3"/>
  <c r="E8" i="3"/>
  <c r="E9" i="3"/>
  <c r="E7" i="3"/>
  <c r="F49" i="3" l="1"/>
  <c r="E35" i="3"/>
  <c r="E49" i="3" s="1"/>
  <c r="F80" i="3"/>
  <c r="C102" i="7"/>
  <c r="C101" i="7"/>
  <c r="E100" i="7"/>
  <c r="C91" i="7"/>
  <c r="D90" i="7"/>
  <c r="D91" i="7" s="1"/>
  <c r="E90" i="7"/>
  <c r="E91" i="7" s="1"/>
  <c r="D89" i="7"/>
  <c r="E89" i="7"/>
  <c r="F10" i="3"/>
  <c r="E10" i="3"/>
  <c r="E11" i="3" s="1"/>
  <c r="F6" i="3"/>
  <c r="E52" i="3" l="1"/>
  <c r="C103" i="7"/>
  <c r="E102" i="7"/>
  <c r="E103" i="7" s="1"/>
  <c r="D102" i="7"/>
  <c r="D103" i="7" s="1"/>
  <c r="E101" i="7"/>
  <c r="D101" i="7"/>
  <c r="F18" i="3"/>
  <c r="F15" i="3"/>
  <c r="E15" i="3"/>
  <c r="F14" i="3"/>
  <c r="E14" i="3"/>
  <c r="F13" i="3"/>
  <c r="E13" i="3"/>
  <c r="F5" i="3"/>
  <c r="F11" i="3" s="1"/>
  <c r="F52" i="3" s="1"/>
  <c r="D81" i="3" l="1"/>
  <c r="F103" i="3"/>
  <c r="F16" i="3"/>
  <c r="E16" i="3"/>
  <c r="E103" i="3"/>
  <c r="E79" i="3" l="1"/>
  <c r="D89" i="3"/>
  <c r="D91" i="3" s="1"/>
  <c r="D93" i="3" s="1"/>
  <c r="E81" i="3"/>
  <c r="F81" i="3"/>
  <c r="F79" i="3"/>
  <c r="K10" i="3" l="1"/>
  <c r="F89" i="3"/>
  <c r="E89" i="3"/>
  <c r="D95" i="3" l="1"/>
  <c r="D107" i="3"/>
  <c r="F107" i="3" s="1"/>
  <c r="E93" i="3"/>
  <c r="D94" i="3"/>
  <c r="F93" i="3"/>
  <c r="E91" i="3"/>
  <c r="F91" i="3"/>
  <c r="D108" i="3" l="1"/>
  <c r="F108" i="3" s="1"/>
  <c r="E107" i="3"/>
  <c r="E113" i="3" s="1"/>
  <c r="D109" i="3"/>
  <c r="D110" i="3" s="1"/>
  <c r="F94" i="3"/>
  <c r="E94" i="3"/>
  <c r="F95" i="3"/>
  <c r="F96" i="3" s="1"/>
  <c r="E95" i="3"/>
  <c r="E96" i="3" s="1"/>
  <c r="D96" i="3"/>
  <c r="E108" i="3" l="1"/>
  <c r="E109" i="3"/>
  <c r="E110" i="3" s="1"/>
  <c r="F109" i="3"/>
  <c r="F1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Vinit Jajoo</author>
    <author>Siddig Abdel Wahab Siddig</author>
  </authors>
  <commentList>
    <comment ref="J16" authorId="0" shapeId="0" xr:uid="{96E517A1-22C3-415B-9A51-0290E5A1BFA8}">
      <text>
        <r>
          <rPr>
            <b/>
            <sz val="9"/>
            <color indexed="81"/>
            <rFont val="Tahoma"/>
            <family val="2"/>
          </rPr>
          <t>Vinit Jajoo:</t>
        </r>
        <r>
          <rPr>
            <sz val="9"/>
            <color indexed="81"/>
            <rFont val="Tahoma"/>
            <family val="2"/>
          </rPr>
          <t xml:space="preserve">
Agreement with SD for a batch of 25MT only
</t>
        </r>
      </text>
    </comment>
    <comment ref="B19" authorId="1" shapeId="0" xr:uid="{BC42983D-6078-4562-8172-3ABDC8D8700D}">
      <text>
        <r>
          <rPr>
            <b/>
            <sz val="9"/>
            <color indexed="81"/>
            <rFont val="Tahoma"/>
            <family val="2"/>
          </rPr>
          <t>Siddig Abdel Wahab Siddig:</t>
        </r>
        <r>
          <rPr>
            <sz val="9"/>
            <color indexed="81"/>
            <rFont val="Tahoma"/>
            <family val="2"/>
          </rPr>
          <t xml:space="preserve">
150 PER BAG (10BAGS)</t>
        </r>
      </text>
    </comment>
    <comment ref="D53" authorId="0" shapeId="0" xr:uid="{8FB25C1E-1CF8-44A5-BC76-E4DBBEB585D5}">
      <text>
        <r>
          <rPr>
            <b/>
            <sz val="9"/>
            <color indexed="81"/>
            <rFont val="Tahoma"/>
            <family val="2"/>
          </rPr>
          <t>Vinit Jajoo:</t>
        </r>
        <r>
          <rPr>
            <sz val="9"/>
            <color indexed="81"/>
            <rFont val="Tahoma"/>
            <family val="2"/>
          </rPr>
          <t xml:space="preserve">
Need to check VAT with Logistic finance
</t>
        </r>
      </text>
    </comment>
    <comment ref="E53" authorId="0" shapeId="0" xr:uid="{8CCB6604-A087-4B79-8795-61A346A513D5}">
      <text>
        <r>
          <rPr>
            <b/>
            <sz val="9"/>
            <color indexed="81"/>
            <rFont val="Tahoma"/>
            <family val="2"/>
          </rPr>
          <t>Vinit Jajoo:</t>
        </r>
        <r>
          <rPr>
            <sz val="9"/>
            <color indexed="81"/>
            <rFont val="Tahoma"/>
            <family val="2"/>
          </rPr>
          <t xml:space="preserve">
Need to check VAT with Logistic finance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Vinit Jajoo</author>
  </authors>
  <commentList>
    <comment ref="D1" authorId="0" shapeId="0" xr:uid="{73A766DA-E355-41FC-B21B-28A383F5C9B7}">
      <text>
        <r>
          <rPr>
            <b/>
            <sz val="9"/>
            <color indexed="81"/>
            <rFont val="Tahoma"/>
            <family val="2"/>
          </rPr>
          <t>Vinit Jajoo:</t>
        </r>
        <r>
          <rPr>
            <sz val="9"/>
            <color indexed="81"/>
            <rFont val="Tahoma"/>
            <family val="2"/>
          </rPr>
          <t xml:space="preserve">
Free Stock
</t>
        </r>
      </text>
    </comment>
    <comment ref="D4" authorId="0" shapeId="0" xr:uid="{615B5233-83FF-493A-A3F6-B6808F913673}">
      <text>
        <r>
          <rPr>
            <b/>
            <sz val="9"/>
            <color indexed="81"/>
            <rFont val="Tahoma"/>
            <family val="2"/>
          </rPr>
          <t>Vinit Jajoo:</t>
        </r>
        <r>
          <rPr>
            <sz val="9"/>
            <color indexed="81"/>
            <rFont val="Tahoma"/>
            <family val="2"/>
          </rPr>
          <t xml:space="preserve">
Standard Cost Dec 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Vinit Jajoo</author>
  </authors>
  <commentList>
    <comment ref="P26" authorId="0" shapeId="0" xr:uid="{5AA2D144-8A7E-4948-A34E-8EA8051129AE}">
      <text>
        <r>
          <rPr>
            <b/>
            <sz val="9"/>
            <color indexed="81"/>
            <rFont val="Tahoma"/>
            <family val="2"/>
          </rPr>
          <t>Vinit Jajoo:</t>
        </r>
        <r>
          <rPr>
            <sz val="9"/>
            <color indexed="81"/>
            <rFont val="Tahoma"/>
            <family val="2"/>
          </rPr>
          <t xml:space="preserve">
Agreement with SD for a batch of 25MT only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tc={BDAF724F-A63A-4197-9638-7774191464F8}</author>
    <author>tc={26E7EE4C-1573-4F1F-B7E7-2302A0A8FDFC}</author>
  </authors>
  <commentList>
    <comment ref="E9" authorId="0" shapeId="0" xr:uid="{BDAF724F-A63A-4197-9638-7774191464F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 cycles</t>
      </text>
    </comment>
    <comment ref="E11" authorId="1" shapeId="0" xr:uid="{26E7EE4C-1573-4F1F-B7E7-2302A0A8FDF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2-cycle sifting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tc={445145A2-CE4F-4923-9ABC-4C0402586E6E}</author>
    <author>tc={D5417DB3-AAE3-4485-8791-FB864C713E4D}</author>
    <author>tc={1F58EFDE-4647-4EAE-8A97-40E2A4177AE6}</author>
    <author>tc={D4752A1C-52DA-4D5C-AE6B-CF6522062D7D}</author>
    <author>tc={6853D07D-33B0-42FE-B368-5AB5029D5A50}</author>
    <author>tc={D2D5DB88-A8D8-4A1B-B5FC-34F09416AF20}</author>
    <author>tc={2A04FF53-495B-402E-B4D8-7BCC78D01B56}</author>
    <author>tc={5732D9AB-2B20-4B53-BD43-7BC500D4F402}</author>
  </authors>
  <commentList>
    <comment ref="J6" authorId="0" shapeId="0" xr:uid="{445145A2-CE4F-4923-9ABC-4C040258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2% margin on selling price</t>
      </text>
    </comment>
    <comment ref="K6" authorId="1" shapeId="0" xr:uid="{D5417DB3-AAE3-4485-8791-FB864C713E4D}">
      <text>
        <t>[Threaded comment]
Your version of Excel allows you to read this threaded comment; however, any edits to it will get removed if the file is opened in a newer version of Excel. Learn more: https://go.microsoft.com/fwlink/?linkid=870924
Comment:
    MOT price</t>
      </text>
    </comment>
    <comment ref="L6" authorId="2" shapeId="0" xr:uid="{1F58EFDE-4647-4EAE-8A97-40E2A4177AE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cost less SBL &amp; Brokerage costs</t>
      </text>
    </comment>
    <comment ref="J11" authorId="3" shapeId="0" xr:uid="{D4752A1C-52DA-4D5C-AE6B-CF6522062D7D}">
      <text>
        <t>[Threaded comment]
Your version of Excel allows you to read this threaded comment; however, any edits to it will get removed if the file is opened in a newer version of Excel. Learn more: https://go.microsoft.com/fwlink/?linkid=870924
Comment:
    CFR</t>
      </text>
    </comment>
    <comment ref="L11" authorId="4" shapeId="0" xr:uid="{6853D07D-33B0-42FE-B368-5AB5029D5A50}">
      <text>
        <t>[Threaded comment]
Your version of Excel allows you to read this threaded comment; however, any edits to it will get removed if the file is opened in a newer version of Excel. Learn more: https://go.microsoft.com/fwlink/?linkid=870924
Comment:
    MOT price</t>
      </text>
    </comment>
    <comment ref="B12" authorId="5" shapeId="0" xr:uid="{D2D5DB88-A8D8-4A1B-B5FC-34F09416AF20}">
      <text>
        <t>[Threaded comment]
Your version of Excel allows you to read this threaded comment; however, any edits to it will get removed if the file is opened in a newer version of Excel. Learn more: https://go.microsoft.com/fwlink/?linkid=870924
Comment:
    Delivered price at the cleaning facility)(Includes Transportation)</t>
      </text>
    </comment>
    <comment ref="C12" authorId="6" shapeId="0" xr:uid="{2A04FF53-495B-402E-B4D8-7BCC78D01B5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 basis Husam actual system numbers</t>
      </text>
    </comment>
    <comment ref="E45" authorId="7" shapeId="0" xr:uid="{5732D9AB-2B20-4B53-BD43-7BC500D4F4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Invictus Trading FZE to Amros FZCO.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Elina Chiluvane</author>
  </authors>
  <commentList>
    <comment ref="E11" authorId="0" shapeId="0" xr:uid="{012E36F0-4FAB-4799-B24F-979E548BBD9E}">
      <text>
        <r>
          <rPr>
            <b/>
            <sz val="9"/>
            <color indexed="81"/>
            <rFont val="Tahoma"/>
            <family val="2"/>
          </rPr>
          <t>Elina Chiluvane:</t>
        </r>
        <r>
          <rPr>
            <sz val="9"/>
            <color indexed="81"/>
            <rFont val="Tahoma"/>
            <family val="2"/>
          </rPr>
          <t xml:space="preserve">
To check to check the size of the container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<sst xmlns="http://schemas.openxmlformats.org/spreadsheetml/2006/main" count="1673" uniqueCount="828">
  <si>
    <t>1. MEETING OBJECTIVE</t>
  </si>
  <si>
    <t>Goal</t>
  </si>
  <si>
    <t>Align on a standardised forward-looking costing sheet to support buy/no-buy decisions, margin analysis, and performance tracking for commodity exports from Mozambique.</t>
  </si>
  <si>
    <t>Immediate Priority</t>
  </si>
  <si>
    <t>Soybeans and Mung Beans – harvest has already started.</t>
  </si>
  <si>
    <t>Target</t>
  </si>
  <si>
    <t>Establish ONE source of truth for costs, aligned across procurement, operations and finance.</t>
  </si>
  <si>
    <t>2. CURRENT SITUATION &amp; GAPS</t>
  </si>
  <si>
    <t>Existing Sheets</t>
  </si>
  <si>
    <t>Costing sheets exist only for actual shipments (vessel-based: pigeon peas &amp; cashew). Not sufficient for forward-looking purchasing decisions.</t>
  </si>
  <si>
    <t>Gap</t>
  </si>
  <si>
    <t>No current forward-looking template that procurement can use daily.</t>
  </si>
  <si>
    <t>Problem</t>
  </si>
  <si>
    <t>Cost elements exist but are NOT consolidated into a single decision-making tool.</t>
  </si>
  <si>
    <t>3. PURPOSE OF THE COSTING SHEET</t>
  </si>
  <si>
    <t>Calculate</t>
  </si>
  <si>
    <t>Total FOB cost before purchasing.</t>
  </si>
  <si>
    <t>Decide</t>
  </si>
  <si>
    <t>Whether to buy or not buy commodities based on expected profitability.</t>
  </si>
  <si>
    <t>Track</t>
  </si>
  <si>
    <t>Performance during the season.</t>
  </si>
  <si>
    <t>Report</t>
  </si>
  <si>
    <t>Support monthly management P&amp;L reporting and financial performance tracking.</t>
  </si>
  <si>
    <t>4. COSTING SHEET DESIGN – KEY PRINCIPLES</t>
  </si>
  <si>
    <t>Structure</t>
  </si>
  <si>
    <t>Differ by commodity (soybean, mung beans, sesame, pigeon peas, cashew, peanuts).</t>
  </si>
  <si>
    <t>Buying Models</t>
  </si>
  <si>
    <t>Allow for multiple buying models – e.g. delivered to port vs. up-country (separate columns within same sheet).</t>
  </si>
  <si>
    <t>Cost Types</t>
  </si>
  <si>
    <t>Include both variable and fixed costs.</t>
  </si>
  <si>
    <t>Inputs</t>
  </si>
  <si>
    <t>Procurement inputs daily purchase prices; operational &amp; fixed costs pre-defined and updated periodically.</t>
  </si>
  <si>
    <t>5. COMMODITIES – PRIORITIES</t>
  </si>
  <si>
    <t>URGENT</t>
  </si>
  <si>
    <t>Soybeans, Mung Beans (harvest already started).</t>
  </si>
  <si>
    <t>Subsequent</t>
  </si>
  <si>
    <t>Sesame, Pigeon Peas, Cashew.</t>
  </si>
  <si>
    <t>Also started</t>
  </si>
  <si>
    <t>Peanut – to follow same approach once soybean/mung bean sheets are finalised.</t>
  </si>
  <si>
    <t>6. PORT LOCATION &amp; TEMPLATES</t>
  </si>
  <si>
    <t>Ports</t>
  </si>
  <si>
    <t>Soybeans and Mung Beans delivered primarily Nacala, potentially Beira.</t>
  </si>
  <si>
    <t>Decision</t>
  </si>
  <si>
    <t>Separate costing templates for NACALA and BEIRA (same cost components, different rates).</t>
  </si>
  <si>
    <t>7. ROLES &amp; RESPONSIBILITIES</t>
  </si>
  <si>
    <t>David Martins</t>
  </si>
  <si>
    <t>Overall responsibility for costing.</t>
  </si>
  <si>
    <t>Day-to-day detailed costing work.</t>
  </si>
  <si>
    <t>Manoj Saini</t>
  </si>
  <si>
    <t>Procurement inputs: purchase prices and buying assumptions.</t>
  </si>
  <si>
    <t>Osama Burhan</t>
  </si>
  <si>
    <t>Operations oversight – assigns Sidahmed to provide operational cost inputs.</t>
  </si>
  <si>
    <t>Sidahmed</t>
  </si>
  <si>
    <t>Provide operational cost inputs to Elina.</t>
  </si>
  <si>
    <t>8. WAREHOUSE COST ALLOCATION</t>
  </si>
  <si>
    <t>Warehouses</t>
  </si>
  <si>
    <t>Seasonal; not shared simultaneously by multiple commodities but reused across seasons.</t>
  </si>
  <si>
    <t>Fully Assigned</t>
  </si>
  <si>
    <t>If fully assigned to export – full cost belongs to that export commodity.</t>
  </si>
  <si>
    <t>Underutilised</t>
  </si>
  <si>
    <t>Underutilisation treated as overhead, NOT allocated to product.</t>
  </si>
  <si>
    <t>Forward-looking</t>
  </si>
  <si>
    <t>Allocate based on planned volumes and expected utilisation.</t>
  </si>
  <si>
    <t>Actuals</t>
  </si>
  <si>
    <t>Allocation adjusted monthly based on actual utilisation.</t>
  </si>
  <si>
    <t>Ops to provide</t>
  </si>
  <si>
    <t>Warehouse capacity, allocation plans, monthly utilisation.</t>
  </si>
  <si>
    <t>9. METHODOLOGY ALIGNMENT</t>
  </si>
  <si>
    <t>Aligned with</t>
  </si>
  <si>
    <t>Existing Invictus-based vessel costing methodology.</t>
  </si>
  <si>
    <t>Reference sheets</t>
  </si>
  <si>
    <t>Existing pigeon pea and cashew costing sheets – shared for reference and structural base (numbers not copied).</t>
  </si>
  <si>
    <t>10. MACHINES INSTALLATION – OPERATIONAL URGENCY</t>
  </si>
  <si>
    <t>Status</t>
  </si>
  <si>
    <t>Two cleaning machines imported last year – NOT YET INSTALLED.</t>
  </si>
  <si>
    <t>Urgency</t>
  </si>
  <si>
    <t>Installation critical before sesame season (June).</t>
  </si>
  <si>
    <t>Warehouses in Nacala are being rented.</t>
  </si>
  <si>
    <t>Installation Team</t>
  </si>
  <si>
    <t>Osama's team – Visa process to start immediately.</t>
  </si>
  <si>
    <t>Installation complete by Mid-May (ideally 15–20 May).</t>
  </si>
  <si>
    <t>Action</t>
  </si>
  <si>
    <t>Sidahmed to send visa details to Antu by email the same day.</t>
  </si>
  <si>
    <t>11. IMMEDIATE ACTIONS &amp; NEXT STEPS (YOUR CHECKLIST)</t>
  </si>
  <si>
    <t>Owner</t>
  </si>
  <si>
    <t>Deadline</t>
  </si>
  <si>
    <t>Elina + Manoj + Sidahmed</t>
  </si>
  <si>
    <t>Meet urgently to build working draft costing sheets for Soybeans and Mung Beans</t>
  </si>
  <si>
    <t>SAME DAY</t>
  </si>
  <si>
    <t>☐ Pending</t>
  </si>
  <si>
    <t>Elina</t>
  </si>
  <si>
    <t>Deliver working draft: Soybeans costing sheet (Nacala)</t>
  </si>
  <si>
    <t>End of Day</t>
  </si>
  <si>
    <t>Deliver working draft: Mung Beans costing sheet (Nacala)</t>
  </si>
  <si>
    <t>Prepare Beira versions of both sheets</t>
  </si>
  <si>
    <t>Day 2</t>
  </si>
  <si>
    <t>Manoj</t>
  </si>
  <si>
    <t>Immediately</t>
  </si>
  <si>
    <t>Sidahmed / Ops</t>
  </si>
  <si>
    <t>Validate completeness of cost components and confirm rates</t>
  </si>
  <si>
    <t>Ops</t>
  </si>
  <si>
    <t>Clarify warehouse assignments by commodity + capacity/seasonal assumptions</t>
  </si>
  <si>
    <t>Finalise warehouse readiness for machine installation</t>
  </si>
  <si>
    <t>Ongoing</t>
  </si>
  <si>
    <t>Peanut costing sheet – follow same template once soybean/mung done</t>
  </si>
  <si>
    <t>After above</t>
  </si>
  <si>
    <t>12. OPEN ITEMS / TO BE MONITORED</t>
  </si>
  <si>
    <t>• Final confirmation of warehouse cost allocation rules in practice.</t>
  </si>
  <si>
    <t>• Possible availability of a Sortex machine (mentioned but not yet planned).</t>
  </si>
  <si>
    <t>• Peanut costing to follow same template once soybean/mung bean sheets are finalised.</t>
  </si>
  <si>
    <t>ASSUMPTIONS &amp; BASIS</t>
  </si>
  <si>
    <t>Parameter</t>
  </si>
  <si>
    <t>Planned Qty</t>
  </si>
  <si>
    <t>MT</t>
  </si>
  <si>
    <t>FX Rate</t>
  </si>
  <si>
    <t>MZN/USD</t>
  </si>
  <si>
    <t>Finance Cost</t>
  </si>
  <si>
    <t>%</t>
  </si>
  <si>
    <t>Moisture Loss</t>
  </si>
  <si>
    <t>COST BREAKDOWN</t>
  </si>
  <si>
    <t>Category</t>
  </si>
  <si>
    <t>Cost Item</t>
  </si>
  <si>
    <t>Notes / Source</t>
  </si>
  <si>
    <t>MZN/MT</t>
  </si>
  <si>
    <t>USD/MT</t>
  </si>
  <si>
    <t>Total MZN</t>
  </si>
  <si>
    <t>CUSTOMS &amp;
CLEARANCE</t>
  </si>
  <si>
    <t>Shore Handling</t>
  </si>
  <si>
    <t>Port Weighbridge</t>
  </si>
  <si>
    <t>Scanning / Kudumba</t>
  </si>
  <si>
    <t>Certificate of Origin &amp; LDC</t>
  </si>
  <si>
    <t>Phytosanitary Certificate</t>
  </si>
  <si>
    <t>OPEX</t>
  </si>
  <si>
    <t>Warehouse Costs</t>
  </si>
  <si>
    <t>FINANCE</t>
  </si>
  <si>
    <t>Applied on material cost</t>
  </si>
  <si>
    <t>CONTINGENCY</t>
  </si>
  <si>
    <t>TOTAL FOB COST / MT</t>
  </si>
  <si>
    <t>Stock Insurance (0.15% of FOB)</t>
  </si>
  <si>
    <t>Ocean Freight Cost</t>
  </si>
  <si>
    <t>TOTAL CIF COST / MT (USD)</t>
  </si>
  <si>
    <t>COLOUR LEGEND</t>
  </si>
  <si>
    <t>Elina Chiluvane</t>
  </si>
  <si>
    <t xml:space="preserve">Mozambique Commodity Exports </t>
  </si>
  <si>
    <t>COSTING SHEET ALIGNMENT – MEETING SUMMARY (21.04.2026)</t>
  </si>
  <si>
    <t>UOM</t>
  </si>
  <si>
    <t>To be updated by</t>
  </si>
  <si>
    <t xml:space="preserve">Value </t>
  </si>
  <si>
    <t>Notes/Comments</t>
  </si>
  <si>
    <t>Purchasing Plan Provided by Mr. Antu</t>
  </si>
  <si>
    <t>Current Purchasing Rate F1</t>
  </si>
  <si>
    <t>Landing Costs</t>
  </si>
  <si>
    <t>o/w Transportation Costs</t>
  </si>
  <si>
    <t>o/w Documentation Costs</t>
  </si>
  <si>
    <t>o/w Handling Costs</t>
  </si>
  <si>
    <t>Only if District Warehouses used (To follow up rates with OPS for PP and Sesame seasons)</t>
  </si>
  <si>
    <t>Total Material Cost - MZN/MT</t>
  </si>
  <si>
    <t xml:space="preserve">Offloading </t>
  </si>
  <si>
    <t>Stacking - Labour</t>
  </si>
  <si>
    <t>Shifting to machine intake</t>
  </si>
  <si>
    <t>Subtotal MZN/MT</t>
  </si>
  <si>
    <t>Labour/Estivas Nacala -  Beira Rates to be confirmed with OPS</t>
  </si>
  <si>
    <t>Production Depreciation MZN/MT</t>
  </si>
  <si>
    <t>Machine Capacity per Hour</t>
  </si>
  <si>
    <t>Electricity cost per MT/MZN</t>
  </si>
  <si>
    <t>Electricity  consumption per hour</t>
  </si>
  <si>
    <t>Unit Cost per KW</t>
  </si>
  <si>
    <t>Non applicable</t>
  </si>
  <si>
    <t>Labour requirement</t>
  </si>
  <si>
    <t>Labour Needs (workers/day)</t>
  </si>
  <si>
    <t>Workers per day</t>
  </si>
  <si>
    <t>Machine hours per Day</t>
  </si>
  <si>
    <t>MT Processed per Day</t>
  </si>
  <si>
    <t>Capacity × hours of utilization</t>
  </si>
  <si>
    <t>Machine Labour Cost per MT</t>
  </si>
  <si>
    <t>Assumed 8hours/ To be validaded by OPS</t>
  </si>
  <si>
    <t>Machine Labour Rate per Day</t>
  </si>
  <si>
    <t>Total Processing Cost - MZN/MT</t>
  </si>
  <si>
    <t>Sewing - Labour Rate</t>
  </si>
  <si>
    <t>500 bags estimated per person</t>
  </si>
  <si>
    <t>Yarn (MZN/Roll)</t>
  </si>
  <si>
    <r>
      <t xml:space="preserve">Charged per Shift/280MZN per shift - </t>
    </r>
    <r>
      <rPr>
        <i/>
        <sz val="9"/>
        <color rgb="FFFF0000"/>
        <rFont val="Calibri"/>
        <family val="2"/>
      </rPr>
      <t>280/500*20bags</t>
    </r>
  </si>
  <si>
    <t>After Processing Stacking - Labour</t>
  </si>
  <si>
    <t>Packing - Labour</t>
  </si>
  <si>
    <t>Packaging Bags</t>
  </si>
  <si>
    <t>Label - Material (Export req.)</t>
  </si>
  <si>
    <t>Current Purchasing price (22MZN per bag - Same as PP)</t>
  </si>
  <si>
    <t>MATERIAL COSTS</t>
  </si>
  <si>
    <t>PROCESSING COSTS</t>
  </si>
  <si>
    <t>Stickers acceptable - 5MZN per label</t>
  </si>
  <si>
    <t>Employment Costs</t>
  </si>
  <si>
    <t>Other General and Admin Costs</t>
  </si>
  <si>
    <t>Depreciation</t>
  </si>
  <si>
    <t>Total OPEX MZN/MT</t>
  </si>
  <si>
    <t>Total Customs Cost- MZN/MT</t>
  </si>
  <si>
    <t>FREIGHT COST - MZN/MT</t>
  </si>
  <si>
    <t xml:space="preserve">FREIGHT COST </t>
  </si>
  <si>
    <t xml:space="preserve">   Italic = Notes / source / confirmation needed</t>
  </si>
  <si>
    <t xml:space="preserve">  Column C= Input data (update per purchase)</t>
  </si>
  <si>
    <t xml:space="preserve">    Column D+E = Formula / calculated Columns</t>
  </si>
  <si>
    <t>Manoj Saini/Antu</t>
  </si>
  <si>
    <t>☐ Done</t>
  </si>
  <si>
    <t>☐ Draft 1 Done</t>
  </si>
  <si>
    <t>☐ After when info  available</t>
  </si>
  <si>
    <t>Provide market purchase prices for Soybeans and Mung Beans</t>
  </si>
  <si>
    <t>Tipically due to storage - Usualy Not more than 1%  and if turnover is high=0</t>
  </si>
  <si>
    <t>2.5 MT per hour/20MT per Day if 8h assumed</t>
  </si>
  <si>
    <t>Total Packaging Cost MZN-MT</t>
  </si>
  <si>
    <t>Weighing</t>
  </si>
  <si>
    <t xml:space="preserve">Loading </t>
  </si>
  <si>
    <t>Stuffing</t>
  </si>
  <si>
    <t>AFTER PACK COSTS</t>
  </si>
  <si>
    <t>CFS EXPORT COST SHEET — GREEN MUNG (NACALA, 2026)</t>
  </si>
  <si>
    <t>Manica Freight Services  |  Container: 20'GP  |  Commodity: Green Mung  |  Ref: 079/MFSN/CNF/EXPORT/PA/2025  |  Date: April 22, 2026</t>
  </si>
  <si>
    <t>SHIPMENT ASSUMPTIONS (Blue cells = inputs you can change)</t>
  </si>
  <si>
    <t>Total Volume (MT)</t>
  </si>
  <si>
    <t>Load per Container (MT)</t>
  </si>
  <si>
    <t>Number of Containers</t>
  </si>
  <si>
    <t>auto</t>
  </si>
  <si>
    <t>Number of BLs</t>
  </si>
  <si>
    <t>ICM Tax Rate (Green Mung)</t>
  </si>
  <si>
    <t>#</t>
  </si>
  <si>
    <t>Charge Description</t>
  </si>
  <si>
    <t>Unit Rate (USD)</t>
  </si>
  <si>
    <t>Basis</t>
  </si>
  <si>
    <t>Per Container
(20'GP)</t>
  </si>
  <si>
    <t>1. NACALA PORT CHARGES (CFM)</t>
  </si>
  <si>
    <t>Per container</t>
  </si>
  <si>
    <t>Delivery &amp; Reception of Empty Container</t>
  </si>
  <si>
    <t>Sub-Total — Port Charges</t>
  </si>
  <si>
    <t>2. SHIPPING LINE CHARGES (MSC)</t>
  </si>
  <si>
    <t>Terminal Handling (THC)</t>
  </si>
  <si>
    <t>Seal</t>
  </si>
  <si>
    <t>Container Release (Lift On Fee)</t>
  </si>
  <si>
    <t>Sub-Total — Shipping Line</t>
  </si>
  <si>
    <t>3. HANDLING CHARGES (MANICA)</t>
  </si>
  <si>
    <t>Agency Fee</t>
  </si>
  <si>
    <t>Sub-Total — Handling</t>
  </si>
  <si>
    <t>4. CUSTOMS CLEARANCE &amp; OTHERS</t>
  </si>
  <si>
    <t>Miscellaneous / Facilitation Fees</t>
  </si>
  <si>
    <t>Tallying (incl. certificate)</t>
  </si>
  <si>
    <t>Fumigation — estimate per certificate</t>
  </si>
  <si>
    <t>Sub-Total — Customs</t>
  </si>
  <si>
    <t>5. TRANSPORT CHARGES</t>
  </si>
  <si>
    <t>Fetch Empty at Liner Depot → Shipper W/H → Port (Nacala city)</t>
  </si>
  <si>
    <t>Sub-Total — Transport</t>
  </si>
  <si>
    <t>Export Documentation</t>
  </si>
  <si>
    <t>Per BL ÷ C7 containers</t>
  </si>
  <si>
    <t>Customs Services Fee</t>
  </si>
  <si>
    <t>Customs Brokerage</t>
  </si>
  <si>
    <t>MCNet / Declaration (FOB &gt;$50,000)</t>
  </si>
  <si>
    <t>Phytosanitary Inspector Dislocation</t>
  </si>
  <si>
    <t>Sub-Total — Excluded (Per BL) Charges</t>
  </si>
  <si>
    <t>7. ICM TAX — Green Mung Specific</t>
  </si>
  <si>
    <t>ICM Tax @ $5.00/MT (applied to full tonnage)</t>
  </si>
  <si>
    <t>Per MT × 25 MT/container</t>
  </si>
  <si>
    <t>COST SUMMARY</t>
  </si>
  <si>
    <t>CFS Fixed Charges (Manica Quoted)</t>
  </si>
  <si>
    <t>Excluded Charges (Per BL, spread)</t>
  </si>
  <si>
    <t>ICM Tax (Green Mung @ $5/MT)</t>
  </si>
  <si>
    <t>TOTAL COST PER CONTAINER  |  PER MT  |  FULL SHIPMENT</t>
  </si>
  <si>
    <t>NOTES &amp; EXCLUSIONS</t>
  </si>
  <si>
    <t>⚠  Sea freight (Nacala → destination port) is NOT included — to be agreed with shipping line (MSC or other).</t>
  </si>
  <si>
    <t>⚠  Marine cargo insurance, police/customs escort, and lift-on/off at shipper yard are excluded.</t>
  </si>
  <si>
    <t>⚠  Sample Collection &amp; Analysis ($945/lot) excluded — charged once per shipment at cost.</t>
  </si>
  <si>
    <t>⚠  Craft Paper &amp; Dry Bags ($75/container) excluded — subject to availability.</t>
  </si>
  <si>
    <t>⚠  Variable at-cost charges (port storage, liner detention, TEEN storage, truck demurrage) not included.</t>
  </si>
  <si>
    <t>ℹ  Payment strictly upfront. Disbursement fee of 5% applies on unpaid advance amounts.</t>
  </si>
  <si>
    <t>ℹ  Documents must be submitted to Manica office at least 15 working days before vessel arrival.</t>
  </si>
  <si>
    <t>ℹ  Quotation valid 30 days from April 22, 2026. All third-party rates subject to change.</t>
  </si>
  <si>
    <t>ℹ  Source: Manica Freight Services Mozambique, Ref 079/MFSN/CNF/EXPORT/PA/2025, April 22, 2026.</t>
  </si>
  <si>
    <t>Full Purchasing Plan Provided by Mr. Antu</t>
  </si>
  <si>
    <t>Total volume to be purchased</t>
  </si>
  <si>
    <t>MT per container</t>
  </si>
  <si>
    <t>Total Containers for 2000MR</t>
  </si>
  <si>
    <t>Assumed</t>
  </si>
  <si>
    <t xml:space="preserve">To be expensed </t>
  </si>
  <si>
    <t>079/MFSN/CNF/EXPORT/PA/2025</t>
  </si>
  <si>
    <t>Nacala Port Charges (Cfm)</t>
  </si>
  <si>
    <t xml:space="preserve"> Nacala Port Charges (Cfm)</t>
  </si>
  <si>
    <t>Handling Charges (Manica)</t>
  </si>
  <si>
    <t>Customs Clearance &amp; Others</t>
  </si>
  <si>
    <t xml:space="preserve"> Transport Charges</t>
  </si>
  <si>
    <t>Subtotal Customs and Forwarding - Export Cargo</t>
  </si>
  <si>
    <t>Notes</t>
  </si>
  <si>
    <t>SGA Depreciation (Per Month)</t>
  </si>
  <si>
    <t>Allocation rates (full cycle)</t>
  </si>
  <si>
    <t>Export Levy (2.5%)</t>
  </si>
  <si>
    <t>Allocation rate*cost/MT</t>
  </si>
  <si>
    <t>Vehicle Depreciation*Allocation rate/MT</t>
  </si>
  <si>
    <t>Applied on USD FOB/MT</t>
  </si>
  <si>
    <t>CIF CHARGES</t>
  </si>
  <si>
    <r>
      <t xml:space="preserve">Daily rate per worker - to be validated by OPS - </t>
    </r>
    <r>
      <rPr>
        <i/>
        <sz val="9"/>
        <color rgb="FFFF0000"/>
        <rFont val="Calibri"/>
        <family val="2"/>
      </rPr>
      <t>336*9/20*2000</t>
    </r>
  </si>
  <si>
    <t>Other Contingencies (5%)</t>
  </si>
  <si>
    <t>5% of processing + customs + Opex  of the total costs</t>
  </si>
  <si>
    <t>TOTAL EX FACTORY COST</t>
  </si>
  <si>
    <t>6. EXCLUDED CHARGES — Billed Per BL (Spread across 5containers per BL)</t>
  </si>
  <si>
    <t>Allocation rate*cost/MT/Based on new warehouse rates</t>
  </si>
  <si>
    <t>Shipping Charges</t>
  </si>
  <si>
    <t>Freight Cost</t>
  </si>
  <si>
    <t xml:space="preserve"> Shipping Line Charges (Msc)  - Included in $48 USD Freight cost</t>
  </si>
  <si>
    <t>Full Shipment
(×5 containers)</t>
  </si>
  <si>
    <t>Full Cost</t>
  </si>
  <si>
    <t>Unit</t>
  </si>
  <si>
    <t>Gross Margin</t>
  </si>
  <si>
    <t>Weight Per Unit</t>
  </si>
  <si>
    <t>Number of Units (bags)</t>
  </si>
  <si>
    <t>Total Weight</t>
  </si>
  <si>
    <t>Units/MT</t>
  </si>
  <si>
    <t>50kg per BAG</t>
  </si>
  <si>
    <t>All shipments</t>
  </si>
  <si>
    <t>In KG</t>
  </si>
  <si>
    <t>Nr. Of Bags per MT</t>
  </si>
  <si>
    <t>USD</t>
  </si>
  <si>
    <t>Indicative CFR Price</t>
  </si>
  <si>
    <t>Equivalent FX</t>
  </si>
  <si>
    <t>Production Yield</t>
  </si>
  <si>
    <t>Invictus Team</t>
  </si>
  <si>
    <t>($945/lot)</t>
  </si>
  <si>
    <t>Craft Paper &amp; Dry Bags ($75/container)</t>
  </si>
  <si>
    <t xml:space="preserve"> Sample Collection &amp; Analysis (per lot)</t>
  </si>
  <si>
    <t>GROSS PROFIT MARGIN</t>
  </si>
  <si>
    <t>Total COGS/CFR Cost per bag</t>
  </si>
  <si>
    <t>Total COGS/CFR Cost per MT</t>
  </si>
  <si>
    <t>Gross Profit per MT</t>
  </si>
  <si>
    <t>NET PROFIT MARGIN</t>
  </si>
  <si>
    <t>Total Cost per MT</t>
  </si>
  <si>
    <t>Total Cost per bag</t>
  </si>
  <si>
    <t>Net Profit per MT</t>
  </si>
  <si>
    <t>($75 PER container)</t>
  </si>
  <si>
    <t>Total Weight in KG</t>
  </si>
  <si>
    <t>On Government declared price</t>
  </si>
  <si>
    <t>1BL = 10 CONTAINERS</t>
  </si>
  <si>
    <t>Per BL
(Each BL 10 containers 20'GP)</t>
  </si>
  <si>
    <t>EXCLUDED CHARGES — Billed Per BL ( 10 containers each BL)</t>
  </si>
  <si>
    <t>EXCLUDED CHARGES — Billed Per BL (10 Containers per BL)</t>
  </si>
  <si>
    <t>Government-declared FOB price</t>
  </si>
  <si>
    <t>MAY 2026 Forward-looking Analysis | Nacala Commodity Business</t>
  </si>
  <si>
    <t>MOZAMBIQUE – PEANUTS FORWARD-LOOKING COSTING SHEET</t>
  </si>
  <si>
    <t>MOZAMBIQUE – SESAME FORWARD-LOOKING COSTING SHEET</t>
  </si>
  <si>
    <t>Sesame seeds Purchase Cost</t>
  </si>
  <si>
    <t>Peanuts Purchase Cost</t>
  </si>
  <si>
    <t>Labour/Estivas Nacala -  To be confirmed</t>
  </si>
  <si>
    <t>Cleaning Machine /Processes 2.5 MT per hour - Not required</t>
  </si>
  <si>
    <t>Jute Bags</t>
  </si>
  <si>
    <t>Stacking happens twice in this commodity-  need to repack</t>
  </si>
  <si>
    <t xml:space="preserve"> 25 KW consumed per Hour - Not required</t>
  </si>
  <si>
    <t>10 MZN/KW - Not required</t>
  </si>
  <si>
    <t>Repacking - Labour</t>
  </si>
  <si>
    <t>ICM Charge (2.5%/MT)</t>
  </si>
  <si>
    <t>On FOB price/Governmen</t>
  </si>
  <si>
    <t>PACKAGING COSTS</t>
  </si>
  <si>
    <t>Manoj Saini/Invictus</t>
  </si>
  <si>
    <t>Invictus team</t>
  </si>
  <si>
    <t>4% Production Loss</t>
  </si>
  <si>
    <t>We will not use district warehouses in this Sesame season</t>
  </si>
  <si>
    <t>This process involves two movements, of 29MZN each</t>
  </si>
  <si>
    <t>Shifting to machine intake (2x)</t>
  </si>
  <si>
    <t xml:space="preserve"> 25 KW consumed per Hour </t>
  </si>
  <si>
    <t>10 MZN/KW</t>
  </si>
  <si>
    <t xml:space="preserve">2.5 MT per hour/20MT per Day </t>
  </si>
  <si>
    <t xml:space="preserve">Daily rate per worker </t>
  </si>
  <si>
    <t>Assumed 8hours per day</t>
  </si>
  <si>
    <t>Nacala Port Charges (Cfm)/To be updated</t>
  </si>
  <si>
    <t xml:space="preserve"> Nacala Port Charges (Cfm) / To be updated</t>
  </si>
  <si>
    <t xml:space="preserve"> Nacala Port Charges (Cfm)/  To be updated</t>
  </si>
  <si>
    <t>Handling Charges (Manica) / To be updated</t>
  </si>
  <si>
    <t>Customs Clearance &amp; Others / To be updated</t>
  </si>
  <si>
    <t xml:space="preserve"> Transport Charges / To be updated</t>
  </si>
  <si>
    <r>
      <t xml:space="preserve">Price per roll is 500 MZN-  Assumed 500bags/roll - </t>
    </r>
    <r>
      <rPr>
        <i/>
        <sz val="9"/>
        <color rgb="FFFF0000"/>
        <rFont val="Calibri"/>
        <family val="2"/>
      </rPr>
      <t>500/500*20bags per MT (Yarn price to be confirmed)</t>
    </r>
  </si>
  <si>
    <t>Non applicable/Machine sewing</t>
  </si>
  <si>
    <t>Shifting from Production to stacking area - Labour</t>
  </si>
  <si>
    <t>Months</t>
  </si>
  <si>
    <t>Allocation Rate per Month</t>
  </si>
  <si>
    <t>May</t>
  </si>
  <si>
    <t>June</t>
  </si>
  <si>
    <t>July</t>
  </si>
  <si>
    <t>August</t>
  </si>
  <si>
    <t>Discussed with Invictus and Mr. Manoj</t>
  </si>
  <si>
    <t>To be updated by Invictus</t>
  </si>
  <si>
    <t>It will adjust with new CFR</t>
  </si>
  <si>
    <t>Required -Agreed</t>
  </si>
  <si>
    <t>PROCESSING/ REPACKING COSTS</t>
  </si>
  <si>
    <t>Total Repackaging/ Processing Cost MZN-MT</t>
  </si>
  <si>
    <t>Price per roll is 500 MZN-  Assumed 500bags/roll - 500/500*20bags per MT (Yarn and type price to be confirmed)</t>
  </si>
  <si>
    <t>Subtotal 1 - MZN/MT</t>
  </si>
  <si>
    <t>Subtotal 2 - MZN/MT</t>
  </si>
  <si>
    <t>Subtotal 3 - MZN/MT</t>
  </si>
  <si>
    <t>Government Reference Prices for May</t>
  </si>
  <si>
    <t>50kg Jute Bags  - Updated Price (May 2026) is 135MZN per Bag</t>
  </si>
  <si>
    <t>079/MFSN/CNF/EXPORT/PA/2025 - Used as the best estimate - To be updated</t>
  </si>
  <si>
    <t>Allocation rate*cost/MT/Based on new warehouse rates/2.5 months - In general this needs a revision</t>
  </si>
  <si>
    <t>Annual Rate:14.75% with Cash cycle 2.5 months</t>
  </si>
  <si>
    <t>Finance Cost (14.75% p.a., 2.5-month cycle)</t>
  </si>
  <si>
    <t>$1279/container provided by Invictus (latest available and may be updated) - To China</t>
  </si>
  <si>
    <t>COGS Depreciation (Per Month)</t>
  </si>
  <si>
    <t>Provided by Invictus</t>
  </si>
  <si>
    <t>Sesame is cleaned</t>
  </si>
  <si>
    <t>Current Price provided by Mr. Manoj (19th May2026)</t>
  </si>
  <si>
    <t>Current Price provided by Mr. Manoj - 19th May 2026</t>
  </si>
  <si>
    <r>
      <t>Charged per Shift/280MZN per shift -</t>
    </r>
    <r>
      <rPr>
        <i/>
        <sz val="9"/>
        <color theme="1"/>
        <rFont val="Calibri"/>
        <family val="2"/>
        <scheme val="minor"/>
      </rPr>
      <t xml:space="preserve"> </t>
    </r>
    <r>
      <rPr>
        <i/>
        <sz val="9"/>
        <color theme="1"/>
        <rFont val="Calibri"/>
        <family val="2"/>
      </rPr>
      <t>280/500*20bags</t>
    </r>
  </si>
  <si>
    <t>Per MT
(÷19)</t>
  </si>
  <si>
    <t>Stickers not acceptable for China- Will use paper Label  - 500mzn per container of 19MT</t>
  </si>
  <si>
    <t>Jakarta 1193$/20ft this was in Apr (Can be updated)</t>
  </si>
  <si>
    <t>Fiscal Year:</t>
  </si>
  <si>
    <t>2025/2026</t>
  </si>
  <si>
    <t>Currency:</t>
  </si>
  <si>
    <t>MZN</t>
  </si>
  <si>
    <t>Type</t>
  </si>
  <si>
    <t xml:space="preserve">December </t>
  </si>
  <si>
    <t>January</t>
  </si>
  <si>
    <t>Februay</t>
  </si>
  <si>
    <t>Total (MZN)</t>
  </si>
  <si>
    <t>Average</t>
  </si>
  <si>
    <t>Warehouse Overhead</t>
  </si>
  <si>
    <t>Nacala Warehouse rent</t>
  </si>
  <si>
    <t>Fixed</t>
  </si>
  <si>
    <t>Warehouse Electricity  &amp; Water</t>
  </si>
  <si>
    <t>Warehouse Cleaning Charges</t>
  </si>
  <si>
    <t>Warehouse Maintenance charges</t>
  </si>
  <si>
    <t>Variable</t>
  </si>
  <si>
    <t>To Confirm, only around 1500 booked in March</t>
  </si>
  <si>
    <t>Warehouse staff Salary</t>
  </si>
  <si>
    <t xml:space="preserve">Fixed </t>
  </si>
  <si>
    <t>Warehouse+quality control employment COGS</t>
  </si>
  <si>
    <t>Subtotal</t>
  </si>
  <si>
    <t>Employee Overhead</t>
  </si>
  <si>
    <t>Employee Salary(Export Staff)</t>
  </si>
  <si>
    <t>Staff hire from India (3 persons)@$ 400/-per person/per month</t>
  </si>
  <si>
    <t>Employee house rent</t>
  </si>
  <si>
    <t>Average cost</t>
  </si>
  <si>
    <t xml:space="preserve">Employee utility expenses </t>
  </si>
  <si>
    <t>(Electricity/Gas/DSTV entertainment)</t>
  </si>
  <si>
    <t>Employee communication expenses</t>
  </si>
  <si>
    <t xml:space="preserve">Employee food expenses </t>
  </si>
  <si>
    <t>(Hired staff from overseas)</t>
  </si>
  <si>
    <t xml:space="preserve">Employee conveyance expenses </t>
  </si>
  <si>
    <t>(Fuel/driver/average/proportionate car maintenance as logistic charges)</t>
  </si>
  <si>
    <t>Head office/branch office /Overhead expenses</t>
  </si>
  <si>
    <t xml:space="preserve">Proportionate HO/branch overhead charges </t>
  </si>
  <si>
    <t>TOTAL MONTHLY FIXED COST</t>
  </si>
  <si>
    <t>MOZAMBIQUE – SOY BEANS FORWARD-LOOKING COSTING SHEET</t>
  </si>
  <si>
    <t>APRIL/MAY 2026 Forward-looking Analysis | Beira Commodity Business</t>
  </si>
  <si>
    <t>Soy Beans Purchase Cost</t>
  </si>
  <si>
    <t>Updated change from 35,000 to 36,400 based average purchase price</t>
  </si>
  <si>
    <t>Annual Rate:14.75% with Cash cycle 2.5months</t>
  </si>
  <si>
    <t>Not more than 1% - if high turnover 0 - Small for mosture or repacking only</t>
  </si>
  <si>
    <t>1% no cleaning needed- Small for moisture or repacking only</t>
  </si>
  <si>
    <t>Indicate CFR Price</t>
  </si>
  <si>
    <t>Repacking</t>
  </si>
  <si>
    <t>Labour/To be confirmed by Mohamed</t>
  </si>
  <si>
    <t>Price from Invictus to Customer</t>
  </si>
  <si>
    <t xml:space="preserve">1% sales commission &amp; other cost </t>
  </si>
  <si>
    <t>Price from Aquila to Invictus</t>
  </si>
  <si>
    <t xml:space="preserve">Provided by Invictus </t>
  </si>
  <si>
    <t>Price from Merec to Aquila</t>
  </si>
  <si>
    <t xml:space="preserve"> Computed - Less 2% margin from Merec to Aquila</t>
  </si>
  <si>
    <t>NA for Soybeans - No cleaning needed</t>
  </si>
  <si>
    <t xml:space="preserve"> 25 KW consumed per Hour - Non Applicable here</t>
  </si>
  <si>
    <t>Computed - Less 2% margin from Merec to Aquila</t>
  </si>
  <si>
    <t>10 MZN/KW - Non Applicable Here</t>
  </si>
  <si>
    <t>2.5 MT per hour/20MT per Day - Non applicable here</t>
  </si>
  <si>
    <t>Daily rate per worker - Non applicable here</t>
  </si>
  <si>
    <t>Assumed 8hours - Mon applicable here</t>
  </si>
  <si>
    <t>PACKAGING COSTS+STACKING</t>
  </si>
  <si>
    <r>
      <t xml:space="preserve">Price per roll is 500 MZN-  Assumed 500bags/roll - to be confimed with OPS - </t>
    </r>
    <r>
      <rPr>
        <i/>
        <sz val="9"/>
        <color rgb="FFFF0000"/>
        <rFont val="Calibri"/>
        <family val="2"/>
      </rPr>
      <t>500/500*20bags per MT</t>
    </r>
  </si>
  <si>
    <t>Packaging Bags (High quality)</t>
  </si>
  <si>
    <t>Current Purchasing price (25.43MZN per bag - Same as PP)</t>
  </si>
  <si>
    <t>Packaging Bags (Low quality)</t>
  </si>
  <si>
    <t>Current Purchasing price (12.93MZN per bag - Same as PP)</t>
  </si>
  <si>
    <t>Drying - Labour</t>
  </si>
  <si>
    <t>Rate to India</t>
  </si>
  <si>
    <t>Net Margin</t>
  </si>
  <si>
    <t>PIGEON PEAS</t>
  </si>
  <si>
    <t>New Halfa</t>
  </si>
  <si>
    <t>Gadariff</t>
  </si>
  <si>
    <t xml:space="preserve">Purchase price </t>
  </si>
  <si>
    <t>SDG / MT</t>
  </si>
  <si>
    <t>updated</t>
  </si>
  <si>
    <t>Agent commission</t>
  </si>
  <si>
    <t>EX-rate</t>
  </si>
  <si>
    <t>Govt fee</t>
  </si>
  <si>
    <t xml:space="preserve">Ave.RM bag weight  </t>
  </si>
  <si>
    <t>Finance costs</t>
  </si>
  <si>
    <t>Finance cost  % - 3 month holding</t>
  </si>
  <si>
    <t>as per Inventory holding Period</t>
  </si>
  <si>
    <t>Supplier warehouse rent</t>
  </si>
  <si>
    <t>Waste</t>
  </si>
  <si>
    <t>Sifting Loss</t>
  </si>
  <si>
    <t>Quality Inspection</t>
  </si>
  <si>
    <t>Repacking Loss</t>
  </si>
  <si>
    <t>Zakat</t>
  </si>
  <si>
    <t>Included in PP</t>
  </si>
  <si>
    <t>Avg. Truck capacity(RM)</t>
  </si>
  <si>
    <t>No cost related to RM truck</t>
  </si>
  <si>
    <t>Crops Market</t>
  </si>
  <si>
    <t>Included in PP for Gadariff</t>
  </si>
  <si>
    <t>No. of bags/MT</t>
  </si>
  <si>
    <t>State Tax</t>
  </si>
  <si>
    <t>Ave. shipment QTY/MT</t>
  </si>
  <si>
    <t>Hiba to confirm</t>
  </si>
  <si>
    <t>SSMO</t>
  </si>
  <si>
    <t>Ex-form%</t>
  </si>
  <si>
    <t>Other Govt fee</t>
  </si>
  <si>
    <t>Ave. capacity/container (20Ft)</t>
  </si>
  <si>
    <t>No. of bags/MT (Packaging)</t>
  </si>
  <si>
    <t>Total Material cost</t>
  </si>
  <si>
    <t>Avg. Truck capacity (FG)</t>
  </si>
  <si>
    <t>Warehouse rent</t>
  </si>
  <si>
    <t xml:space="preserve">Weighbridge </t>
  </si>
  <si>
    <t>Bank Fees/EX Form</t>
  </si>
  <si>
    <t xml:space="preserve">Offloading @ W/house </t>
  </si>
  <si>
    <t>Paid by Agent/Trader</t>
  </si>
  <si>
    <t>CBOS Pigeon Peas</t>
  </si>
  <si>
    <t xml:space="preserve">RM Shifting Cost </t>
  </si>
  <si>
    <t>No RM Shifting cost in Gadariff</t>
  </si>
  <si>
    <t>Ave. capacity/container (40Ft)</t>
  </si>
  <si>
    <t>Repackaging costs</t>
  </si>
  <si>
    <t>Loading</t>
  </si>
  <si>
    <t>Repackaging waste</t>
  </si>
  <si>
    <t xml:space="preserve">Packaging material cost </t>
  </si>
  <si>
    <t>Label</t>
  </si>
  <si>
    <t>Weighing &amp; Sewing</t>
  </si>
  <si>
    <t>Ave.purchase qty</t>
  </si>
  <si>
    <t xml:space="preserve">Stacking </t>
  </si>
  <si>
    <t>Included in Repacking cost</t>
  </si>
  <si>
    <t>For warehouse rent</t>
  </si>
  <si>
    <t>Included in Repacking cost in Halfa</t>
  </si>
  <si>
    <t>Sale of Jute Bags</t>
  </si>
  <si>
    <t>Matrial cost Including Waste</t>
  </si>
  <si>
    <t>LoadingTrucks to PZU</t>
  </si>
  <si>
    <t>Already done in material cost</t>
  </si>
  <si>
    <t>Transportation to PZU</t>
  </si>
  <si>
    <t>off loading at PZU</t>
  </si>
  <si>
    <t>W/hse rent at PZU</t>
  </si>
  <si>
    <t>Not added as shared warehouse</t>
  </si>
  <si>
    <t xml:space="preserve">Ex-factory </t>
  </si>
  <si>
    <t xml:space="preserve">Ex- form issuance </t>
  </si>
  <si>
    <t>Updated</t>
  </si>
  <si>
    <t>Transportation of Container from Soba to Factory</t>
  </si>
  <si>
    <t xml:space="preserve">Ex- form contract </t>
  </si>
  <si>
    <t>State Fees/Crop mkt fee/Taxes/SSMO</t>
  </si>
  <si>
    <t>Weighing bridge PZU</t>
  </si>
  <si>
    <t>Offloading to W/house (PZU)</t>
  </si>
  <si>
    <t>Casual Labour (container inspection &amp; stuffing)</t>
  </si>
  <si>
    <t>Transportation of Container (from port to stuffing yard)round trip</t>
  </si>
  <si>
    <t>Port admission fees (to acquired the container)</t>
  </si>
  <si>
    <t>Casual Labour (Yard operations)</t>
  </si>
  <si>
    <t>Loading Commodity towards Stuffing</t>
  </si>
  <si>
    <t xml:space="preserve">Conitainer Lift  on  20FT@ Port </t>
  </si>
  <si>
    <t xml:space="preserve">Operation facilitation </t>
  </si>
  <si>
    <t>Transportation from W/house to Yard</t>
  </si>
  <si>
    <t>Loading Bags From WH  ( if buyer tag using swing machine) (should add 15% VAT+17% TAX</t>
  </si>
  <si>
    <t>Head of kalla @ wh for loading</t>
  </si>
  <si>
    <t>Surveyor @ W/house / PF</t>
  </si>
  <si>
    <t xml:space="preserve">Crane at Yard </t>
  </si>
  <si>
    <t>Cleaning and Carton fixing</t>
  </si>
  <si>
    <t xml:space="preserve">Forklift </t>
  </si>
  <si>
    <t>Forest Fees-Storage cost</t>
  </si>
  <si>
    <t xml:space="preserve">Transportation of Container </t>
  </si>
  <si>
    <t>Transportation of Container to  port (40ft)- Full Container</t>
  </si>
  <si>
    <t xml:space="preserve">Containers Safty net </t>
  </si>
  <si>
    <t>Stuffing Kalat</t>
  </si>
  <si>
    <t>Open &amp; Close Containers /Kalla</t>
  </si>
  <si>
    <t>Head of kalla @Stuffing yard</t>
  </si>
  <si>
    <t xml:space="preserve">Sealing cost </t>
  </si>
  <si>
    <t>Local Charges</t>
  </si>
  <si>
    <t xml:space="preserve"> Arabic COO/ English COO/LDC Indian/ DFT Chainees </t>
  </si>
  <si>
    <t>COO</t>
  </si>
  <si>
    <t>Doc. private courier</t>
  </si>
  <si>
    <t>Total Pre-Clearance</t>
  </si>
  <si>
    <t>SPC</t>
  </si>
  <si>
    <t>Custom forms</t>
  </si>
  <si>
    <t>Plant Protection</t>
  </si>
  <si>
    <t>Health</t>
  </si>
  <si>
    <t>Clearance Expenses</t>
  </si>
  <si>
    <t>Total Clearance</t>
  </si>
  <si>
    <t>Total FOB cost</t>
  </si>
  <si>
    <t>USD / MT</t>
  </si>
  <si>
    <t>Component</t>
  </si>
  <si>
    <t>SORGHUM</t>
  </si>
  <si>
    <t>Free Stock-Silos</t>
  </si>
  <si>
    <t>Purchase Outside Silos</t>
  </si>
  <si>
    <t>Processing Facility</t>
  </si>
  <si>
    <t>EX-rate (SDG/USD)</t>
  </si>
  <si>
    <t>Purchase Price</t>
  </si>
  <si>
    <t>RM number of bags (MT)</t>
  </si>
  <si>
    <t>Purchase agent commission</t>
  </si>
  <si>
    <t>Finance cost  %</t>
  </si>
  <si>
    <t>Free stock</t>
  </si>
  <si>
    <t>Outside Silos</t>
  </si>
  <si>
    <t>Inside Silos</t>
  </si>
  <si>
    <t>Govt fees</t>
  </si>
  <si>
    <t>Loading to ABS Silos</t>
  </si>
  <si>
    <t>SDG/Bag</t>
  </si>
  <si>
    <t>Based on Inventory days holding.and Invictus annual interest rate</t>
  </si>
  <si>
    <t>Purchase Price (SDG/MT)</t>
  </si>
  <si>
    <t>Local shunting to ABS Silos</t>
  </si>
  <si>
    <t>Agent Commission (SDG/MT)</t>
  </si>
  <si>
    <t>Weighbridge</t>
  </si>
  <si>
    <t>Offloading at ABS Silos</t>
  </si>
  <si>
    <t>Total Material Cost including waste</t>
  </si>
  <si>
    <t>ABS Silos receiving fees</t>
  </si>
  <si>
    <t>Fumigation</t>
  </si>
  <si>
    <t>Storing</t>
  </si>
  <si>
    <t xml:space="preserve">Packaging </t>
  </si>
  <si>
    <t>Offloading at ABS Silos/ Warehouse</t>
  </si>
  <si>
    <t>Bags printing</t>
  </si>
  <si>
    <t>Packing</t>
  </si>
  <si>
    <t>Loading to PF</t>
  </si>
  <si>
    <t>Off Loading to PF</t>
  </si>
  <si>
    <t>Contingency</t>
  </si>
  <si>
    <t>Sifting</t>
  </si>
  <si>
    <t>SDG/MT</t>
  </si>
  <si>
    <t>Total Operational Expenses</t>
  </si>
  <si>
    <t>Crops markets (Transfer &amp; Mobilization)</t>
  </si>
  <si>
    <t>SDG/Shipment</t>
  </si>
  <si>
    <t>Tax (State stamp) 50%</t>
  </si>
  <si>
    <t>Other Taxes</t>
  </si>
  <si>
    <t>Other Govt fees</t>
  </si>
  <si>
    <t>Total Government Fees</t>
  </si>
  <si>
    <t>Total Cost SDG</t>
  </si>
  <si>
    <t>Total Cost USD</t>
  </si>
  <si>
    <t>Expected Margins</t>
  </si>
  <si>
    <t>Minimum Selling Price</t>
  </si>
  <si>
    <t>Gum Arabic HASHAB</t>
  </si>
  <si>
    <t>Gum Arabic TALHA</t>
  </si>
  <si>
    <t>Without SD Processing</t>
  </si>
  <si>
    <t>SD Processing</t>
  </si>
  <si>
    <t>DRY</t>
  </si>
  <si>
    <t>FRESH</t>
  </si>
  <si>
    <t>Fixed Monthly cost</t>
  </si>
  <si>
    <t>SDG /Month</t>
  </si>
  <si>
    <t>SDG/Year</t>
  </si>
  <si>
    <t>Assumption</t>
  </si>
  <si>
    <t>Delivered to KRT</t>
  </si>
  <si>
    <t>Warehouse Rent (SDG)</t>
  </si>
  <si>
    <t xml:space="preserve">% From Inventory holding period </t>
  </si>
  <si>
    <t>Dry Hashab Monthly MC&amp; S Capacity (MT)</t>
  </si>
  <si>
    <t>Female Workers' Meals (SDG)</t>
  </si>
  <si>
    <t>For 9 Months</t>
  </si>
  <si>
    <t>Inclusive in Purchase Price</t>
  </si>
  <si>
    <t xml:space="preserve">Ave.Jute bag weight  </t>
  </si>
  <si>
    <t>Finance cost  % (Cleaned GA)- 3 month holding</t>
  </si>
  <si>
    <t>Female Workers' Supervision (SDG)</t>
  </si>
  <si>
    <t>Finance cost  % (SD GA)- 4 month holding</t>
  </si>
  <si>
    <t>Manual cleaning waste</t>
  </si>
  <si>
    <t>Total Fixed Cost (SDG)</t>
  </si>
  <si>
    <t>Transportation (Obied to Baghir)</t>
  </si>
  <si>
    <t>Drying waste</t>
  </si>
  <si>
    <t>HASHAB</t>
  </si>
  <si>
    <t>TALHA</t>
  </si>
  <si>
    <t>Weighbridge (Baghir)</t>
  </si>
  <si>
    <t>Kontar (Quintal) in 1 MT</t>
  </si>
  <si>
    <t>Dry</t>
  </si>
  <si>
    <t>Fresh</t>
  </si>
  <si>
    <t>Raw Offloading</t>
  </si>
  <si>
    <r>
      <rPr>
        <b/>
        <i/>
        <sz val="11"/>
        <color theme="1"/>
        <rFont val="Calibri"/>
        <family val="2"/>
        <scheme val="minor"/>
      </rPr>
      <t>DRY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HASHAB</t>
    </r>
    <r>
      <rPr>
        <i/>
        <sz val="11"/>
        <color theme="1"/>
        <rFont val="Calibri"/>
        <family val="2"/>
        <scheme val="minor"/>
      </rPr>
      <t xml:space="preserve"> MC &amp; S Losses Inc by-products</t>
    </r>
  </si>
  <si>
    <t xml:space="preserve">Raw Shifting </t>
  </si>
  <si>
    <r>
      <rPr>
        <b/>
        <i/>
        <sz val="11"/>
        <color theme="1"/>
        <rFont val="Calibri"/>
        <family val="2"/>
        <scheme val="minor"/>
      </rPr>
      <t>FRESH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HASHAB</t>
    </r>
    <r>
      <rPr>
        <i/>
        <sz val="11"/>
        <color theme="1"/>
        <rFont val="Calibri"/>
        <family val="2"/>
        <scheme val="minor"/>
      </rPr>
      <t xml:space="preserve"> Drying, MC&amp; S Losses Inc by-products</t>
    </r>
  </si>
  <si>
    <t>Drying &amp; Packing(Fresh)</t>
  </si>
  <si>
    <r>
      <rPr>
        <b/>
        <i/>
        <sz val="11"/>
        <color theme="1"/>
        <rFont val="Calibri"/>
        <family val="2"/>
        <scheme val="minor"/>
      </rPr>
      <t>SD HASHAB</t>
    </r>
    <r>
      <rPr>
        <i/>
        <sz val="11"/>
        <color theme="1"/>
        <rFont val="Calibri"/>
        <family val="2"/>
        <scheme val="minor"/>
      </rPr>
      <t xml:space="preserve"> losses</t>
    </r>
  </si>
  <si>
    <t>Cost of Jute bags(Fresh)</t>
  </si>
  <si>
    <r>
      <rPr>
        <b/>
        <i/>
        <sz val="11"/>
        <color theme="1"/>
        <rFont val="Calibri"/>
        <family val="2"/>
        <scheme val="minor"/>
      </rPr>
      <t>DRY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TALHA</t>
    </r>
    <r>
      <rPr>
        <i/>
        <sz val="11"/>
        <color theme="1"/>
        <rFont val="Calibri"/>
        <family val="2"/>
        <scheme val="minor"/>
      </rPr>
      <t xml:space="preserve"> MC &amp; S Losses Inc by-products</t>
    </r>
  </si>
  <si>
    <t>Export Volumes(MT)</t>
  </si>
  <si>
    <t>Processing (Manual Cleaning &amp; Sorting)</t>
  </si>
  <si>
    <r>
      <rPr>
        <b/>
        <i/>
        <sz val="11"/>
        <color theme="1"/>
        <rFont val="Calibri"/>
        <family val="2"/>
        <scheme val="minor"/>
      </rPr>
      <t>FRESH TALHA</t>
    </r>
    <r>
      <rPr>
        <i/>
        <sz val="11"/>
        <color theme="1"/>
        <rFont val="Calibri"/>
        <family val="2"/>
        <scheme val="minor"/>
      </rPr>
      <t xml:space="preserve"> Drying, MC&amp; S Losses Inc by-products</t>
    </r>
  </si>
  <si>
    <t>Fixed cost -Total Export Volumes</t>
  </si>
  <si>
    <t>Moisture, Waste &amp; By-product cost</t>
  </si>
  <si>
    <r>
      <rPr>
        <b/>
        <i/>
        <sz val="11"/>
        <color theme="1"/>
        <rFont val="Calibri"/>
        <family val="2"/>
        <scheme val="minor"/>
      </rPr>
      <t>SD TALHA</t>
    </r>
    <r>
      <rPr>
        <i/>
        <sz val="11"/>
        <color theme="1"/>
        <rFont val="Calibri"/>
        <family val="2"/>
        <scheme val="minor"/>
      </rPr>
      <t xml:space="preserve"> losses</t>
    </r>
  </si>
  <si>
    <t>Fixed cost -SDG/MT</t>
  </si>
  <si>
    <t>Fixed cost - USD/MT</t>
  </si>
  <si>
    <t>Matrial cost including drying waste cost</t>
  </si>
  <si>
    <t xml:space="preserve">Fixed cost (W/H rent/Workers) </t>
  </si>
  <si>
    <t>W/H rent in USD and other W/H fixed charges</t>
  </si>
  <si>
    <t>Total</t>
  </si>
  <si>
    <t>Plastic bags (Packaging 50KG)</t>
  </si>
  <si>
    <t>Export Volumes</t>
  </si>
  <si>
    <t xml:space="preserve">Packaging of Processing output </t>
  </si>
  <si>
    <t>Extrapolated SD losses</t>
  </si>
  <si>
    <t xml:space="preserve">Stacking of Processing output </t>
  </si>
  <si>
    <t>no information</t>
  </si>
  <si>
    <t>Avg. Truck capacity(Cleaned GA)</t>
  </si>
  <si>
    <t>By Product Sales</t>
  </si>
  <si>
    <t>Ex-factory cost</t>
  </si>
  <si>
    <t>CBOS GA Hashab(SD)</t>
  </si>
  <si>
    <t>CBOS GA Hashab(Cleaned)</t>
  </si>
  <si>
    <t>Not required</t>
  </si>
  <si>
    <t>CBOS GA Talha  (SD)</t>
  </si>
  <si>
    <t>CBOS GA Talha (Cleaned)</t>
  </si>
  <si>
    <t>Avg Shipment Qty/MT</t>
  </si>
  <si>
    <t>Avg Shipment Qty/MT (SD- HASHAB &amp; TALHA)</t>
  </si>
  <si>
    <t>Loading Trucks</t>
  </si>
  <si>
    <t>local shunting to factory (Albagair to SD)</t>
  </si>
  <si>
    <t>Conversion cost (SD charges)</t>
  </si>
  <si>
    <t>SD Processing loss-Waste</t>
  </si>
  <si>
    <t>Transportation (SD to PZU)</t>
  </si>
  <si>
    <t>Ex-factory @ SD</t>
  </si>
  <si>
    <t>DHL fees -Sample 1 KG</t>
  </si>
  <si>
    <t>Phyto fees (estimated cost)</t>
  </si>
  <si>
    <t>Considered included in price</t>
  </si>
  <si>
    <t>Not there in Rasha's Details for SD</t>
  </si>
  <si>
    <t>No Offloading in PZU</t>
  </si>
  <si>
    <t>not required</t>
  </si>
  <si>
    <t>This is not to be happening in GA. Direct transfer to Pzu</t>
  </si>
  <si>
    <t>No additional cost - already added up</t>
  </si>
  <si>
    <t>Transportation of Container (from SD Factory to PZU )</t>
  </si>
  <si>
    <t>Load will be 20 Tons</t>
  </si>
  <si>
    <t>New requirement we don’t have cost Yet</t>
  </si>
  <si>
    <t>Hiba/Rasha to confirm</t>
  </si>
  <si>
    <t>Not required for cleaned GA as per Clearance team</t>
  </si>
  <si>
    <t>USD'</t>
  </si>
  <si>
    <t xml:space="preserve">FX </t>
  </si>
  <si>
    <t xml:space="preserve">Sesame Cost Sheet Forecast </t>
  </si>
  <si>
    <t>Item Descriptions</t>
  </si>
  <si>
    <t>Ndjamena(mixed sesame)</t>
  </si>
  <si>
    <t>Ndjamena(Red Sesame)</t>
  </si>
  <si>
    <t>Moundou based processing (1)</t>
  </si>
  <si>
    <t>Value in $</t>
  </si>
  <si>
    <t xml:space="preserve">Purchase Price </t>
  </si>
  <si>
    <t>Commision for Agent</t>
  </si>
  <si>
    <t>Weighing, Handling  &amp; Local shunting (supplier/market to premises)</t>
  </si>
  <si>
    <t>Quality Inspections Cost</t>
  </si>
  <si>
    <t>Total Material Cost</t>
  </si>
  <si>
    <t>Handling &amp; Local shunting (warehouse to processing facility)</t>
  </si>
  <si>
    <t xml:space="preserve">Sifting Cost </t>
  </si>
  <si>
    <t xml:space="preserve">Material Cost including waste </t>
  </si>
  <si>
    <t>Loading R.M from Mondou WH to Douala Processing facility</t>
  </si>
  <si>
    <t>Loading at Processing facility for trucking to Douala</t>
  </si>
  <si>
    <t>Truck Treatment</t>
  </si>
  <si>
    <t>Loaded sesame quality inspection</t>
  </si>
  <si>
    <t>Loading Labor supervision</t>
  </si>
  <si>
    <t>Tags on the Bags</t>
  </si>
  <si>
    <t>Ex-Facility cost</t>
  </si>
  <si>
    <t>Municipality fees</t>
  </si>
  <si>
    <t>Certificate of Origin( COO) fees</t>
  </si>
  <si>
    <t>Clearance fees</t>
  </si>
  <si>
    <t>Security, Police and ST</t>
  </si>
  <si>
    <t>Boarder Gates</t>
  </si>
  <si>
    <t>Customs - Facilities</t>
  </si>
  <si>
    <t>Phytosanitary - Health certificate Chad</t>
  </si>
  <si>
    <t>Customs - Export Duty</t>
  </si>
  <si>
    <t>Contingency &amp; Variance 5 %</t>
  </si>
  <si>
    <t>Transportation from sifting facility to Douala</t>
  </si>
  <si>
    <t>Douala( Stuffing/Documentation/Clearance/fumigation etc)</t>
  </si>
  <si>
    <t>International Survoyor at loading port</t>
  </si>
  <si>
    <t>Lab Analysis Cost</t>
  </si>
  <si>
    <t>Warehouse Cost</t>
  </si>
  <si>
    <t>Total Cost FOB</t>
  </si>
  <si>
    <t xml:space="preserve">Freight </t>
  </si>
  <si>
    <t>Broker's commission</t>
  </si>
  <si>
    <t>TOTAL CFR COST</t>
  </si>
  <si>
    <t>Market Price</t>
  </si>
  <si>
    <t>Gross Margin in %</t>
  </si>
  <si>
    <t>Payroll</t>
  </si>
  <si>
    <t>Admin Cost</t>
  </si>
  <si>
    <t>Total Global Cost</t>
  </si>
  <si>
    <t>Ethiopian Humera Sesame Seeds</t>
  </si>
  <si>
    <t>Bank rate</t>
  </si>
  <si>
    <t>Black market</t>
  </si>
  <si>
    <t>CBE rate</t>
  </si>
  <si>
    <t>Mkt rate</t>
  </si>
  <si>
    <t>Equiv FX</t>
  </si>
  <si>
    <t>Market Rate</t>
  </si>
  <si>
    <t>Volume (MT)</t>
  </si>
  <si>
    <t>Diff</t>
  </si>
  <si>
    <t xml:space="preserve">Waste </t>
  </si>
  <si>
    <t>Cost Elements</t>
  </si>
  <si>
    <t>Invictus</t>
  </si>
  <si>
    <t>Amros</t>
  </si>
  <si>
    <t>ALE</t>
  </si>
  <si>
    <t>Planned Volume</t>
  </si>
  <si>
    <t>Purchase Cost</t>
  </si>
  <si>
    <t>Freight</t>
  </si>
  <si>
    <t>CBE</t>
  </si>
  <si>
    <t>White Humera Sesame (Buy/Clean-Addis)</t>
  </si>
  <si>
    <t>Mersin, Turkey</t>
  </si>
  <si>
    <t>Brokerage Fees</t>
  </si>
  <si>
    <t>MOT</t>
  </si>
  <si>
    <t>SBLC Finance costs</t>
  </si>
  <si>
    <t>Value Chain</t>
  </si>
  <si>
    <t>Margin</t>
  </si>
  <si>
    <t>Total Engineering Loss/MT</t>
  </si>
  <si>
    <t>Cost Component</t>
  </si>
  <si>
    <t>Birr/Quintal</t>
  </si>
  <si>
    <t>ETB/MT</t>
  </si>
  <si>
    <t>Selling Price (Final customer)</t>
  </si>
  <si>
    <t>Purchase price ( at Actual Purchase FX)</t>
  </si>
  <si>
    <t>Finance costs Local facility</t>
  </si>
  <si>
    <t xml:space="preserve">Cost of ALE </t>
  </si>
  <si>
    <t>Loading at sourcing point</t>
  </si>
  <si>
    <t>Margin in AMROS</t>
  </si>
  <si>
    <t>Off loading at cleaning facility</t>
  </si>
  <si>
    <t>Taxation &amp; Crops Markets</t>
  </si>
  <si>
    <t xml:space="preserve">Total cost to be absorbed </t>
  </si>
  <si>
    <t>Quality  Inspection</t>
  </si>
  <si>
    <t>Equivalent in ETB</t>
  </si>
  <si>
    <t>ALE will Sell to AMROS at MOT price</t>
  </si>
  <si>
    <t>Material Cost</t>
  </si>
  <si>
    <t>FX Equiv of rate for MOT received</t>
  </si>
  <si>
    <t>Shifting</t>
  </si>
  <si>
    <t>Waste %</t>
  </si>
  <si>
    <t xml:space="preserve">Labour  &amp;  Operations costs </t>
  </si>
  <si>
    <t>Warehousing costs</t>
  </si>
  <si>
    <t xml:space="preserve">Fumigation Charges </t>
  </si>
  <si>
    <t>Weighbridge (at Facility)</t>
  </si>
  <si>
    <t>Local Surveyor costs</t>
  </si>
  <si>
    <t>OPEX?</t>
  </si>
  <si>
    <t>House rent?</t>
  </si>
  <si>
    <t>Insurance (0.1% of ex factory)</t>
  </si>
  <si>
    <t>Allowances?</t>
  </si>
  <si>
    <t>Documents</t>
  </si>
  <si>
    <t>Transport</t>
  </si>
  <si>
    <t>Clearance Cost</t>
  </si>
  <si>
    <t>Djibouti Transit Cost</t>
  </si>
  <si>
    <t>Shipping line Local Charges</t>
  </si>
  <si>
    <t xml:space="preserve">FOB </t>
  </si>
  <si>
    <t>MOT Price</t>
  </si>
  <si>
    <t>Brokerage</t>
  </si>
  <si>
    <t>Sea Freight</t>
  </si>
  <si>
    <t>CIF costs</t>
  </si>
  <si>
    <t>ok</t>
  </si>
  <si>
    <t>Gross Margin/MT at MOT Price</t>
  </si>
  <si>
    <t>GM % at MOT price in ALE</t>
  </si>
  <si>
    <t>Final customer prices</t>
  </si>
  <si>
    <t>CFR to Turkey</t>
  </si>
  <si>
    <t>Gross Margin/MT at Final Customer Price</t>
  </si>
  <si>
    <t>GM % at Final Customer  price at Value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</si>
</sst>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#,##0.0_);\(#,##0.0\)"/>
    <numFmt numFmtId="168" formatCode="#,##0.##"/>
    <numFmt numFmtId="169" formatCode="_(* #,##0_);_(* \(#,##0\);_(* &quot;-&quot;??_);_(@_)"/>
    <numFmt numFmtId="170" formatCode="_(* #,##0.000000_);_(* \(#,##0.000000\);_(* &quot;-&quot;??_);_(@_)"/>
    <numFmt numFmtId="171" formatCode="0.0"/>
    <numFmt numFmtId="172" formatCode="#,##0;\(#,##0\);&quot;-&quot;"/>
    <numFmt numFmtId="173" formatCode="_-* #,##0_-;\-* #,##0_-;_-* &quot;-&quot;??_-;_-@_-"/>
    <numFmt numFmtId="174" formatCode="0.000%"/>
    <numFmt numFmtId="175" formatCode="_-[$$-409]* #,##0_ ;_-[$$-409]* \-#,##0\ ;_-[$$-409]* &quot;-&quot;??_ ;_-@_ "/>
    <numFmt numFmtId="176" formatCode="_(&quot;$&quot;* #,##0.00_);_(&quot;$&quot;* \(#,##0.00\);_(&quot;$&quot;* &quot;-&quot;??_);_(@_)"/>
    <numFmt numFmtId="177" formatCode="_(&quot;$&quot;* #,##0_);_(&quot;$&quot;* \(#,##0\);_(&quot;$&quot;* &quot;-&quot;??_);_(@_)"/>
    <numFmt numFmtId="178" formatCode="_-[$$-409]* #,##0.00_ ;_-[$$-409]* \-#,##0.00\ ;_-[$$-409]* &quot;-&quot;??_ ;_-@_ "/>
    <numFmt numFmtId="179" formatCode="[$$-C09]#,##0.00"/>
    <numFmt numFmtId="180" formatCode="_(&quot;$&quot;* #,##0.0_);_(&quot;$&quot;* \(#,##0.0\);_(&quot;$&quot;* &quot;-&quot;??_);_(@_)"/>
    <numFmt numFmtId="181" formatCode="_-[$ETB]\ * #,##0_-;\-[$ETB]\ * #,##0_-;_-[$ETB]\ * &quot;-&quot;??_-;_-@_-"/>
    <numFmt numFmtId="182" formatCode="_(* #,##0.0_);_(* \(#,##0.0\);_(* &quot;-&quot;??_);_(@_)"/>
  </numFmts>
  <fonts count="1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1F3864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00FF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3" tint="-0.499984740745262"/>
      <name val="Calibri"/>
      <family val="2"/>
      <scheme val="minor"/>
    </font>
    <font>
      <i/>
      <sz val="8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rgb="FF000099"/>
      <name val="Calibri"/>
      <family val="2"/>
      <scheme val="minor"/>
    </font>
    <font>
      <sz val="9"/>
      <color rgb="FF0000CC"/>
      <name val="Calibri"/>
      <family val="2"/>
      <scheme val="minor"/>
    </font>
    <font>
      <b/>
      <sz val="9"/>
      <color rgb="FF0000CC"/>
      <name val="Calibri"/>
      <family val="2"/>
      <scheme val="minor"/>
    </font>
    <font>
      <i/>
      <sz val="9"/>
      <color rgb="FF0000CC"/>
      <name val="Calibri"/>
      <family val="2"/>
      <scheme val="minor"/>
    </font>
    <font>
      <b/>
      <sz val="9"/>
      <color theme="3"/>
      <name val="Calibri"/>
      <family val="2"/>
      <scheme val="minor"/>
    </font>
    <font>
      <i/>
      <sz val="9"/>
      <color theme="4" tint="-0.499984740745262"/>
      <name val="Calibri"/>
      <family val="2"/>
      <scheme val="minor"/>
    </font>
    <font>
      <i/>
      <sz val="10"/>
      <color theme="4" tint="-0.499984740745262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sz val="10"/>
      <color rgb="FF0033CC"/>
      <name val="Calibri"/>
      <family val="2"/>
      <scheme val="minor"/>
    </font>
    <font>
      <i/>
      <sz val="9"/>
      <color rgb="FFFF0000"/>
      <name val="Calibri"/>
      <family val="2"/>
    </font>
    <font>
      <sz val="10"/>
      <color theme="3" tint="-0.499984740745262"/>
      <name val="Calibri"/>
      <family val="2"/>
      <scheme val="minor"/>
    </font>
    <font>
      <i/>
      <sz val="9"/>
      <color theme="3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3"/>
      <name val="Calibri"/>
      <family val="2"/>
      <scheme val="minor"/>
    </font>
    <font>
      <i/>
      <sz val="8"/>
      <color theme="3"/>
      <name val="Calibri"/>
      <family val="2"/>
      <scheme val="minor"/>
    </font>
    <font>
      <i/>
      <sz val="8"/>
      <name val="Calibri"/>
      <family val="2"/>
      <scheme val="minor"/>
    </font>
    <font>
      <sz val="9"/>
      <color theme="3" tint="-0.499984740745262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b/>
      <sz val="10"/>
      <color rgb="FF000099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charset val="1"/>
    </font>
    <font>
      <i/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1"/>
      <name val="Calibri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FF0000"/>
      <name val="Calibri"/>
      <family val="2"/>
    </font>
    <font>
      <i/>
      <sz val="9"/>
      <color rgb="FF595959"/>
      <name val="Calibri"/>
      <family val="2"/>
    </font>
    <font>
      <b/>
      <sz val="10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color rgb="FFFF0000"/>
      <name val="Calibri"/>
      <family val="2"/>
    </font>
    <font>
      <b/>
      <i/>
      <sz val="9"/>
      <color rgb="FF595959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8" tint="-0.249977111117893"/>
      <name val="Calibri"/>
      <family val="2"/>
      <scheme val="minor"/>
    </font>
    <font>
      <sz val="10.5"/>
      <color rgb="FF00B050"/>
      <name val="Calibri"/>
      <family val="2"/>
      <scheme val="minor"/>
    </font>
    <font>
      <i/>
      <sz val="10.5"/>
      <color rgb="FF00B050"/>
      <name val="Calibri"/>
      <family val="2"/>
      <scheme val="minor"/>
    </font>
    <font>
      <i/>
      <sz val="10.5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Narrow"/>
      <family val="2"/>
    </font>
    <font>
      <b/>
      <sz val="16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0"/>
      <name val="Times New Roman"/>
      <family val="1"/>
    </font>
    <font>
      <b/>
      <sz val="10"/>
      <color rgb="FF00B050"/>
      <name val="Times New Roman"/>
      <family val="1"/>
    </font>
    <font>
      <b/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ptos Narrow"/>
      <family val="2"/>
    </font>
    <font>
      <b/>
      <sz val="10"/>
      <color theme="0"/>
      <name val="Aptos Narrow"/>
      <family val="2"/>
    </font>
    <font>
      <sz val="10"/>
      <color rgb="FFFF0000"/>
      <name val="Aptos Narrow"/>
      <family val="2"/>
    </font>
    <font>
      <b/>
      <sz val="10"/>
      <color theme="1"/>
      <name val="Aptos Narrow"/>
      <family val="2"/>
    </font>
    <font>
      <sz val="10"/>
      <color theme="0"/>
      <name val="Aptos Narrow"/>
      <family val="2"/>
    </font>
    <font>
      <i/>
      <sz val="10"/>
      <color rgb="FF0070C0"/>
      <name val="Aptos Narrow"/>
      <family val="2"/>
    </font>
  </fonts>
  <fills count="78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7030A0"/>
        <bgColor rgb="FF993366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0" tint="-0.34998626667073579"/>
        <bgColor rgb="FF333333"/>
      </patternFill>
    </fill>
    <fill>
      <patternFill patternType="solid">
        <fgColor theme="3" tint="0.79998168889431442"/>
        <bgColor rgb="FF008080"/>
      </patternFill>
    </fill>
    <fill>
      <patternFill patternType="solid">
        <fgColor theme="3" tint="0.59999389629810485"/>
        <bgColor rgb="FF00808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rgb="FF333333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8080"/>
      </patternFill>
    </fill>
    <fill>
      <patternFill patternType="solid">
        <fgColor theme="2"/>
        <bgColor rgb="FFF2F2F2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8080"/>
      </patternFill>
    </fill>
    <fill>
      <patternFill patternType="solid">
        <fgColor rgb="FFD4ECF8"/>
        <bgColor rgb="FFFFFFFF"/>
      </patternFill>
    </fill>
    <fill>
      <patternFill patternType="solid">
        <fgColor rgb="FFD4ECF8"/>
        <bgColor rgb="FFFFFF00"/>
      </patternFill>
    </fill>
    <fill>
      <patternFill patternType="solid">
        <fgColor rgb="FFD4ECF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C55A11"/>
        <bgColor rgb="FF993300"/>
      </patternFill>
    </fill>
    <fill>
      <patternFill patternType="solid">
        <fgColor theme="0" tint="-4.9989318521683403E-2"/>
        <bgColor rgb="FFFCE4D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theme="0" tint="-4.9989318521683403E-2"/>
        <bgColor rgb="FFFFF2CC"/>
      </patternFill>
    </fill>
    <fill>
      <patternFill patternType="solid">
        <fgColor rgb="FF0070C0"/>
        <bgColor rgb="FF993366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5" tint="0.79998168889431442"/>
        <bgColor rgb="FFFCE4D6"/>
      </patternFill>
    </fill>
    <fill>
      <patternFill patternType="solid">
        <fgColor theme="3" tint="0.89999084444715716"/>
        <bgColor rgb="FFFF808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4ECF8"/>
        <bgColor rgb="FFFF8080"/>
      </patternFill>
    </fill>
    <fill>
      <patternFill patternType="solid">
        <fgColor theme="5"/>
        <bgColor rgb="FF333333"/>
      </patternFill>
    </fill>
    <fill>
      <patternFill patternType="solid">
        <fgColor theme="0"/>
        <bgColor rgb="FF333333"/>
      </patternFill>
    </fill>
    <fill>
      <patternFill patternType="solid">
        <fgColor theme="0"/>
        <bgColor rgb="FF00808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5EFFF"/>
        <bgColor indexed="64"/>
      </patternFill>
    </fill>
    <fill>
      <patternFill patternType="solid">
        <fgColor rgb="FFD5EFFF"/>
        <b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rgb="FFFFFF00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5EFFF"/>
        <bgColor rgb="FFFFFF00"/>
      </patternFill>
    </fill>
    <fill>
      <patternFill patternType="solid">
        <fgColor rgb="FFBDD7EE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gradientFill degree="90">
        <stop position="0">
          <color theme="0"/>
        </stop>
        <stop position="0.5">
          <color theme="0" tint="-0.1490218817712943"/>
        </stop>
        <stop position="1">
          <color theme="0"/>
        </stop>
      </gradientFill>
    </fill>
    <fill>
      <patternFill patternType="solid">
        <fgColor theme="0"/>
        <bgColor auto="1"/>
      </patternFill>
    </fill>
    <fill>
      <patternFill patternType="solid">
        <fgColor rgb="FF66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9" tint="0.59999389629810485"/>
        <bgColor indexed="64"/>
      </patternFill>
    </fill>
  </fills>
  <borders count="97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medium">
        <color indexed="64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0" tint="-0.14999847407452621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/>
      <diagonal/>
    </border>
    <border>
      <left style="medium">
        <color indexed="64"/>
      </left>
      <right style="thin">
        <color theme="0" tint="-0.14999847407452621"/>
      </right>
      <top style="medium">
        <color theme="1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1"/>
      </top>
      <bottom style="medium">
        <color indexed="64"/>
      </bottom>
      <diagonal/>
    </border>
    <border>
      <left style="thin">
        <color theme="0" tint="-0.1499984740745262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4">
    <xf numFmtId="0" fontId="0" fillId="0" borderId="0"/>
    <xf numFmtId="164" fontId="5" fillId="0" borderId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76">
    <xf numFmtId="0" fontId="0" fillId="0" borderId="0" xfId="0"/>
    <xf numFmtId="0" fontId="4" fillId="0" borderId="0" xfId="0" applyFont="1"/>
    <xf numFmtId="0" fontId="9" fillId="2" borderId="0" xfId="0" applyFont="1" applyFill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2" borderId="0" xfId="0" applyFont="1" applyFill="1" applyAlignment="1">
      <alignment horizontal="left" wrapText="1"/>
    </xf>
    <xf numFmtId="0" fontId="1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4" fillId="5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/>
    </xf>
    <xf numFmtId="0" fontId="9" fillId="8" borderId="0" xfId="0" applyFont="1" applyFill="1" applyAlignment="1">
      <alignment horizontal="left"/>
    </xf>
    <xf numFmtId="0" fontId="9" fillId="8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4" fillId="12" borderId="0" xfId="0" applyFont="1" applyFill="1"/>
    <xf numFmtId="164" fontId="5" fillId="0" borderId="0" xfId="1"/>
    <xf numFmtId="0" fontId="29" fillId="13" borderId="0" xfId="0" applyFont="1" applyFill="1" applyAlignment="1">
      <alignment horizontal="left" vertical="center"/>
    </xf>
    <xf numFmtId="0" fontId="29" fillId="13" borderId="0" xfId="0" applyFont="1" applyFill="1" applyAlignment="1">
      <alignment horizontal="center" vertical="center"/>
    </xf>
    <xf numFmtId="0" fontId="29" fillId="13" borderId="0" xfId="0" applyFont="1" applyFill="1" applyAlignment="1">
      <alignment horizontal="right" vertical="center"/>
    </xf>
    <xf numFmtId="0" fontId="4" fillId="17" borderId="0" xfId="0" applyFont="1" applyFill="1"/>
    <xf numFmtId="0" fontId="21" fillId="12" borderId="0" xfId="0" applyFont="1" applyFill="1" applyAlignment="1">
      <alignment horizontal="left" vertical="center"/>
    </xf>
    <xf numFmtId="0" fontId="28" fillId="12" borderId="0" xfId="0" applyFont="1" applyFill="1" applyAlignment="1">
      <alignment horizontal="left" vertical="center"/>
    </xf>
    <xf numFmtId="39" fontId="20" fillId="0" borderId="0" xfId="1" applyNumberFormat="1" applyFont="1"/>
    <xf numFmtId="0" fontId="12" fillId="12" borderId="0" xfId="0" applyFont="1" applyFill="1" applyAlignment="1">
      <alignment horizontal="left" vertical="center"/>
    </xf>
    <xf numFmtId="4" fontId="14" fillId="12" borderId="0" xfId="0" applyNumberFormat="1" applyFont="1" applyFill="1"/>
    <xf numFmtId="0" fontId="36" fillId="18" borderId="0" xfId="0" applyFont="1" applyFill="1" applyAlignment="1">
      <alignment horizontal="right" vertical="center"/>
    </xf>
    <xf numFmtId="0" fontId="21" fillId="12" borderId="0" xfId="0" applyFont="1" applyFill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35" fillId="18" borderId="0" xfId="0" applyFont="1" applyFill="1" applyAlignment="1">
      <alignment horizontal="left" vertical="center"/>
    </xf>
    <xf numFmtId="4" fontId="33" fillId="12" borderId="0" xfId="0" applyNumberFormat="1" applyFont="1" applyFill="1"/>
    <xf numFmtId="166" fontId="33" fillId="12" borderId="0" xfId="0" applyNumberFormat="1" applyFont="1" applyFill="1"/>
    <xf numFmtId="0" fontId="10" fillId="18" borderId="0" xfId="0" applyFont="1" applyFill="1" applyAlignment="1">
      <alignment horizontal="left" vertical="center"/>
    </xf>
    <xf numFmtId="39" fontId="20" fillId="12" borderId="0" xfId="1" applyNumberFormat="1" applyFont="1" applyFill="1" applyAlignment="1">
      <alignment horizontal="right"/>
    </xf>
    <xf numFmtId="39" fontId="20" fillId="12" borderId="0" xfId="1" applyNumberFormat="1" applyFont="1" applyFill="1"/>
    <xf numFmtId="166" fontId="20" fillId="12" borderId="0" xfId="1" applyNumberFormat="1" applyFont="1" applyFill="1"/>
    <xf numFmtId="0" fontId="27" fillId="18" borderId="0" xfId="0" applyFont="1" applyFill="1" applyAlignment="1">
      <alignment horizontal="left" vertical="center" indent="1"/>
    </xf>
    <xf numFmtId="4" fontId="20" fillId="12" borderId="0" xfId="0" applyNumberFormat="1" applyFont="1" applyFill="1"/>
    <xf numFmtId="166" fontId="20" fillId="12" borderId="0" xfId="0" applyNumberFormat="1" applyFont="1" applyFill="1"/>
    <xf numFmtId="0" fontId="38" fillId="18" borderId="0" xfId="0" applyFont="1" applyFill="1" applyAlignment="1">
      <alignment horizontal="left" vertical="center"/>
    </xf>
    <xf numFmtId="167" fontId="20" fillId="12" borderId="0" xfId="1" applyNumberFormat="1" applyFont="1" applyFill="1"/>
    <xf numFmtId="166" fontId="25" fillId="12" borderId="0" xfId="0" applyNumberFormat="1" applyFont="1" applyFill="1"/>
    <xf numFmtId="166" fontId="20" fillId="12" borderId="0" xfId="1" applyNumberFormat="1" applyFont="1" applyFill="1" applyAlignment="1">
      <alignment horizontal="right"/>
    </xf>
    <xf numFmtId="0" fontId="15" fillId="12" borderId="0" xfId="0" applyFont="1" applyFill="1" applyAlignment="1">
      <alignment vertical="center"/>
    </xf>
    <xf numFmtId="0" fontId="10" fillId="12" borderId="0" xfId="0" applyFont="1" applyFill="1" applyAlignment="1">
      <alignment horizontal="left" vertical="center"/>
    </xf>
    <xf numFmtId="166" fontId="14" fillId="12" borderId="0" xfId="0" applyNumberFormat="1" applyFont="1" applyFill="1"/>
    <xf numFmtId="4" fontId="22" fillId="12" borderId="0" xfId="0" applyNumberFormat="1" applyFont="1" applyFill="1"/>
    <xf numFmtId="0" fontId="10" fillId="18" borderId="0" xfId="0" applyFont="1" applyFill="1" applyAlignment="1">
      <alignment horizontal="left" vertical="center" wrapText="1"/>
    </xf>
    <xf numFmtId="4" fontId="26" fillId="17" borderId="3" xfId="0" applyNumberFormat="1" applyFont="1" applyFill="1" applyBorder="1" applyAlignment="1">
      <alignment horizontal="right"/>
    </xf>
    <xf numFmtId="0" fontId="26" fillId="0" borderId="1" xfId="0" applyFont="1" applyBorder="1" applyAlignment="1">
      <alignment horizontal="left" vertical="center"/>
    </xf>
    <xf numFmtId="4" fontId="26" fillId="0" borderId="1" xfId="0" applyNumberFormat="1" applyFont="1" applyBorder="1"/>
    <xf numFmtId="166" fontId="26" fillId="0" borderId="1" xfId="0" applyNumberFormat="1" applyFont="1" applyBorder="1"/>
    <xf numFmtId="0" fontId="41" fillId="0" borderId="1" xfId="0" applyFont="1" applyBorder="1" applyAlignment="1">
      <alignment horizontal="left" vertical="center"/>
    </xf>
    <xf numFmtId="4" fontId="26" fillId="17" borderId="1" xfId="0" applyNumberFormat="1" applyFont="1" applyFill="1" applyBorder="1"/>
    <xf numFmtId="0" fontId="26" fillId="0" borderId="3" xfId="0" applyFont="1" applyBorder="1" applyAlignment="1">
      <alignment horizontal="left" vertical="center"/>
    </xf>
    <xf numFmtId="0" fontId="41" fillId="0" borderId="3" xfId="0" applyFont="1" applyBorder="1" applyAlignment="1">
      <alignment horizontal="left" vertical="center"/>
    </xf>
    <xf numFmtId="0" fontId="41" fillId="17" borderId="3" xfId="0" applyFont="1" applyFill="1" applyBorder="1" applyAlignment="1">
      <alignment horizontal="right" vertical="center"/>
    </xf>
    <xf numFmtId="0" fontId="4" fillId="12" borderId="0" xfId="0" applyFont="1" applyFill="1" applyAlignment="1">
      <alignment horizontal="right"/>
    </xf>
    <xf numFmtId="0" fontId="41" fillId="0" borderId="1" xfId="0" applyFont="1" applyBorder="1" applyAlignment="1">
      <alignment horizontal="right" vertical="center"/>
    </xf>
    <xf numFmtId="0" fontId="21" fillId="12" borderId="0" xfId="0" applyFont="1" applyFill="1" applyAlignment="1">
      <alignment horizontal="right" vertical="center"/>
    </xf>
    <xf numFmtId="0" fontId="36" fillId="18" borderId="1" xfId="0" applyFont="1" applyFill="1" applyBorder="1" applyAlignment="1">
      <alignment horizontal="right" vertical="center"/>
    </xf>
    <xf numFmtId="0" fontId="28" fillId="12" borderId="0" xfId="0" applyFont="1" applyFill="1" applyAlignment="1">
      <alignment horizontal="right" vertical="center"/>
    </xf>
    <xf numFmtId="4" fontId="19" fillId="16" borderId="0" xfId="0" applyNumberFormat="1" applyFont="1" applyFill="1"/>
    <xf numFmtId="0" fontId="26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4" fontId="26" fillId="12" borderId="0" xfId="0" applyNumberFormat="1" applyFont="1" applyFill="1" applyAlignment="1">
      <alignment horizontal="right"/>
    </xf>
    <xf numFmtId="0" fontId="42" fillId="12" borderId="0" xfId="0" applyFont="1" applyFill="1" applyAlignment="1">
      <alignment horizontal="right" vertical="center"/>
    </xf>
    <xf numFmtId="0" fontId="11" fillId="4" borderId="0" xfId="0" applyFont="1" applyFill="1" applyAlignment="1">
      <alignment vertical="center"/>
    </xf>
    <xf numFmtId="0" fontId="6" fillId="19" borderId="0" xfId="0" applyFont="1" applyFill="1" applyAlignment="1">
      <alignment vertical="center"/>
    </xf>
    <xf numFmtId="0" fontId="10" fillId="20" borderId="0" xfId="0" applyFont="1" applyFill="1" applyAlignment="1">
      <alignment horizontal="left" vertical="center"/>
    </xf>
    <xf numFmtId="0" fontId="10" fillId="20" borderId="0" xfId="0" applyFont="1" applyFill="1" applyAlignment="1">
      <alignment horizontal="center" vertical="center"/>
    </xf>
    <xf numFmtId="0" fontId="33" fillId="21" borderId="0" xfId="0" applyFont="1" applyFill="1" applyAlignment="1">
      <alignment horizontal="center"/>
    </xf>
    <xf numFmtId="0" fontId="10" fillId="20" borderId="0" xfId="0" applyFont="1" applyFill="1" applyAlignment="1">
      <alignment horizontal="right" vertical="center"/>
    </xf>
    <xf numFmtId="165" fontId="33" fillId="21" borderId="0" xfId="0" applyNumberFormat="1" applyFont="1" applyFill="1" applyAlignment="1">
      <alignment horizontal="center"/>
    </xf>
    <xf numFmtId="0" fontId="33" fillId="18" borderId="0" xfId="0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29" fillId="23" borderId="3" xfId="0" applyFont="1" applyFill="1" applyBorder="1" applyAlignment="1">
      <alignment horizontal="left" vertical="center"/>
    </xf>
    <xf numFmtId="0" fontId="43" fillId="23" borderId="3" xfId="0" applyFont="1" applyFill="1" applyBorder="1" applyAlignment="1">
      <alignment horizontal="left" vertical="center"/>
    </xf>
    <xf numFmtId="4" fontId="29" fillId="23" borderId="3" xfId="0" applyNumberFormat="1" applyFont="1" applyFill="1" applyBorder="1" applyAlignment="1">
      <alignment horizontal="right"/>
    </xf>
    <xf numFmtId="0" fontId="24" fillId="2" borderId="0" xfId="0" applyFont="1" applyFill="1" applyAlignment="1">
      <alignment horizontal="left" wrapText="1"/>
    </xf>
    <xf numFmtId="0" fontId="24" fillId="0" borderId="0" xfId="0" applyFont="1" applyAlignment="1">
      <alignment horizontal="left" wrapText="1"/>
    </xf>
    <xf numFmtId="39" fontId="46" fillId="12" borderId="0" xfId="1" applyNumberFormat="1" applyFont="1" applyFill="1"/>
    <xf numFmtId="166" fontId="46" fillId="12" borderId="0" xfId="1" applyNumberFormat="1" applyFont="1" applyFill="1"/>
    <xf numFmtId="3" fontId="20" fillId="12" borderId="0" xfId="0" applyNumberFormat="1" applyFont="1" applyFill="1"/>
    <xf numFmtId="0" fontId="41" fillId="12" borderId="0" xfId="0" applyFont="1" applyFill="1" applyAlignment="1">
      <alignment horizontal="left" vertical="center"/>
    </xf>
    <xf numFmtId="4" fontId="47" fillId="12" borderId="0" xfId="0" applyNumberFormat="1" applyFont="1" applyFill="1" applyAlignment="1">
      <alignment horizontal="right"/>
    </xf>
    <xf numFmtId="168" fontId="50" fillId="30" borderId="6" xfId="0" applyNumberFormat="1" applyFont="1" applyFill="1" applyBorder="1" applyAlignment="1">
      <alignment horizontal="right" vertical="center"/>
    </xf>
    <xf numFmtId="3" fontId="51" fillId="31" borderId="6" xfId="0" applyNumberFormat="1" applyFont="1" applyFill="1" applyBorder="1" applyAlignment="1">
      <alignment horizontal="right" vertical="center"/>
    </xf>
    <xf numFmtId="0" fontId="55" fillId="0" borderId="0" xfId="0" applyFont="1"/>
    <xf numFmtId="0" fontId="55" fillId="26" borderId="6" xfId="0" applyFont="1" applyFill="1" applyBorder="1"/>
    <xf numFmtId="0" fontId="51" fillId="27" borderId="6" xfId="0" applyFont="1" applyFill="1" applyBorder="1" applyAlignment="1">
      <alignment horizontal="left" vertical="center" wrapText="1" indent="2"/>
    </xf>
    <xf numFmtId="0" fontId="21" fillId="27" borderId="6" xfId="0" applyFont="1" applyFill="1" applyBorder="1" applyAlignment="1">
      <alignment horizontal="left" vertical="center" wrapText="1" indent="2"/>
    </xf>
    <xf numFmtId="0" fontId="8" fillId="24" borderId="6" xfId="0" applyFont="1" applyFill="1" applyBorder="1" applyAlignment="1">
      <alignment horizontal="center" vertical="center" wrapText="1"/>
    </xf>
    <xf numFmtId="0" fontId="57" fillId="26" borderId="6" xfId="0" applyFont="1" applyFill="1" applyBorder="1" applyAlignment="1">
      <alignment horizontal="center" vertical="center"/>
    </xf>
    <xf numFmtId="0" fontId="21" fillId="28" borderId="6" xfId="0" applyFont="1" applyFill="1" applyBorder="1" applyAlignment="1">
      <alignment horizontal="left" vertical="center" wrapText="1" indent="2"/>
    </xf>
    <xf numFmtId="4" fontId="58" fillId="28" borderId="6" xfId="0" applyNumberFormat="1" applyFont="1" applyFill="1" applyBorder="1" applyAlignment="1">
      <alignment horizontal="right" vertical="center"/>
    </xf>
    <xf numFmtId="4" fontId="21" fillId="28" borderId="6" xfId="0" applyNumberFormat="1" applyFont="1" applyFill="1" applyBorder="1" applyAlignment="1">
      <alignment horizontal="right" vertical="center"/>
    </xf>
    <xf numFmtId="4" fontId="8" fillId="25" borderId="6" xfId="0" applyNumberFormat="1" applyFont="1" applyFill="1" applyBorder="1" applyAlignment="1">
      <alignment horizontal="right" vertical="center"/>
    </xf>
    <xf numFmtId="4" fontId="8" fillId="29" borderId="6" xfId="0" applyNumberFormat="1" applyFont="1" applyFill="1" applyBorder="1" applyAlignment="1">
      <alignment horizontal="right" vertical="center"/>
    </xf>
    <xf numFmtId="4" fontId="8" fillId="24" borderId="7" xfId="0" applyNumberFormat="1" applyFont="1" applyFill="1" applyBorder="1" applyAlignment="1">
      <alignment horizontal="right" vertical="center"/>
    </xf>
    <xf numFmtId="0" fontId="21" fillId="32" borderId="6" xfId="0" applyFont="1" applyFill="1" applyBorder="1" applyAlignment="1">
      <alignment horizontal="left" vertical="center" wrapText="1" indent="2"/>
    </xf>
    <xf numFmtId="4" fontId="59" fillId="32" borderId="6" xfId="0" applyNumberFormat="1" applyFont="1" applyFill="1" applyBorder="1" applyAlignment="1">
      <alignment horizontal="right" vertical="center"/>
    </xf>
    <xf numFmtId="0" fontId="21" fillId="30" borderId="6" xfId="0" applyFont="1" applyFill="1" applyBorder="1" applyAlignment="1">
      <alignment horizontal="left" vertical="center" wrapText="1" indent="2"/>
    </xf>
    <xf numFmtId="4" fontId="60" fillId="30" borderId="6" xfId="0" applyNumberFormat="1" applyFont="1" applyFill="1" applyBorder="1" applyAlignment="1">
      <alignment horizontal="right" vertical="center"/>
    </xf>
    <xf numFmtId="4" fontId="52" fillId="34" borderId="6" xfId="0" applyNumberFormat="1" applyFont="1" applyFill="1" applyBorder="1" applyAlignment="1">
      <alignment horizontal="right" vertical="center"/>
    </xf>
    <xf numFmtId="4" fontId="53" fillId="35" borderId="6" xfId="0" applyNumberFormat="1" applyFont="1" applyFill="1" applyBorder="1" applyAlignment="1">
      <alignment horizontal="right" vertical="center"/>
    </xf>
    <xf numFmtId="4" fontId="54" fillId="36" borderId="6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61" fillId="18" borderId="0" xfId="0" applyFont="1" applyFill="1" applyAlignment="1">
      <alignment horizontal="left" vertical="center" wrapText="1"/>
    </xf>
    <xf numFmtId="0" fontId="49" fillId="19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8" borderId="0" xfId="0" applyFont="1" applyFill="1"/>
    <xf numFmtId="9" fontId="25" fillId="37" borderId="0" xfId="5" applyFont="1" applyFill="1" applyAlignment="1">
      <alignment vertical="center"/>
    </xf>
    <xf numFmtId="0" fontId="11" fillId="37" borderId="0" xfId="0" applyFont="1" applyFill="1" applyAlignment="1">
      <alignment vertical="center"/>
    </xf>
    <xf numFmtId="0" fontId="11" fillId="37" borderId="0" xfId="0" applyFont="1" applyFill="1" applyAlignment="1">
      <alignment horizontal="right"/>
    </xf>
    <xf numFmtId="9" fontId="25" fillId="37" borderId="0" xfId="5" applyFont="1" applyFill="1" applyAlignment="1">
      <alignment horizontal="left" vertical="center"/>
    </xf>
    <xf numFmtId="169" fontId="20" fillId="38" borderId="0" xfId="1" applyNumberFormat="1" applyFont="1" applyFill="1" applyAlignment="1">
      <alignment vertical="center"/>
    </xf>
    <xf numFmtId="164" fontId="4" fillId="0" borderId="0" xfId="0" applyNumberFormat="1" applyFont="1"/>
    <xf numFmtId="4" fontId="4" fillId="0" borderId="0" xfId="0" applyNumberFormat="1" applyFont="1"/>
    <xf numFmtId="4" fontId="26" fillId="0" borderId="0" xfId="0" applyNumberFormat="1" applyFont="1" applyAlignment="1">
      <alignment horizontal="right"/>
    </xf>
    <xf numFmtId="0" fontId="43" fillId="39" borderId="3" xfId="0" applyFont="1" applyFill="1" applyBorder="1" applyAlignment="1">
      <alignment horizontal="left" vertical="center"/>
    </xf>
    <xf numFmtId="4" fontId="29" fillId="39" borderId="3" xfId="0" applyNumberFormat="1" applyFont="1" applyFill="1" applyBorder="1" applyAlignment="1">
      <alignment horizontal="right"/>
    </xf>
    <xf numFmtId="170" fontId="5" fillId="0" borderId="0" xfId="1" applyNumberFormat="1"/>
    <xf numFmtId="0" fontId="44" fillId="11" borderId="0" xfId="0" applyFont="1" applyFill="1" applyAlignment="1">
      <alignment horizontal="center" vertical="center"/>
    </xf>
    <xf numFmtId="167" fontId="20" fillId="0" borderId="0" xfId="1" applyNumberFormat="1" applyFont="1"/>
    <xf numFmtId="0" fontId="14" fillId="19" borderId="0" xfId="0" applyFont="1" applyFill="1" applyAlignment="1">
      <alignment vertical="center"/>
    </xf>
    <xf numFmtId="0" fontId="25" fillId="12" borderId="0" xfId="0" applyFont="1" applyFill="1"/>
    <xf numFmtId="0" fontId="14" fillId="19" borderId="0" xfId="0" applyFont="1" applyFill="1" applyAlignment="1">
      <alignment horizontal="right"/>
    </xf>
    <xf numFmtId="0" fontId="26" fillId="40" borderId="3" xfId="0" applyFont="1" applyFill="1" applyBorder="1" applyAlignment="1">
      <alignment horizontal="left" vertical="center"/>
    </xf>
    <xf numFmtId="0" fontId="41" fillId="40" borderId="3" xfId="0" applyFont="1" applyFill="1" applyBorder="1" applyAlignment="1">
      <alignment horizontal="left" vertical="center"/>
    </xf>
    <xf numFmtId="4" fontId="26" fillId="40" borderId="3" xfId="0" applyNumberFormat="1" applyFont="1" applyFill="1" applyBorder="1" applyAlignment="1">
      <alignment horizontal="right"/>
    </xf>
    <xf numFmtId="0" fontId="62" fillId="41" borderId="0" xfId="0" applyFont="1" applyFill="1" applyAlignment="1">
      <alignment vertical="center"/>
    </xf>
    <xf numFmtId="0" fontId="14" fillId="41" borderId="0" xfId="0" applyFont="1" applyFill="1" applyAlignment="1">
      <alignment horizontal="right"/>
    </xf>
    <xf numFmtId="0" fontId="45" fillId="9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8" fillId="15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right"/>
    </xf>
    <xf numFmtId="164" fontId="4" fillId="12" borderId="0" xfId="0" applyNumberFormat="1" applyFont="1" applyFill="1"/>
    <xf numFmtId="39" fontId="32" fillId="0" borderId="0" xfId="1" applyNumberFormat="1" applyFont="1"/>
    <xf numFmtId="0" fontId="8" fillId="29" borderId="5" xfId="0" applyFont="1" applyFill="1" applyBorder="1" applyAlignment="1">
      <alignment vertical="center"/>
    </xf>
    <xf numFmtId="0" fontId="8" fillId="42" borderId="6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4" fontId="29" fillId="0" borderId="0" xfId="0" applyNumberFormat="1" applyFont="1" applyAlignment="1">
      <alignment horizontal="right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right" vertical="center"/>
    </xf>
    <xf numFmtId="4" fontId="14" fillId="0" borderId="0" xfId="0" applyNumberFormat="1" applyFont="1" applyAlignment="1">
      <alignment horizontal="right"/>
    </xf>
    <xf numFmtId="37" fontId="20" fillId="0" borderId="0" xfId="1" applyNumberFormat="1" applyFont="1"/>
    <xf numFmtId="0" fontId="14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26" fillId="12" borderId="0" xfId="0" applyFont="1" applyFill="1" applyAlignment="1">
      <alignment horizontal="left" vertical="center"/>
    </xf>
    <xf numFmtId="0" fontId="3" fillId="12" borderId="0" xfId="0" applyFont="1" applyFill="1"/>
    <xf numFmtId="0" fontId="49" fillId="19" borderId="0" xfId="0" applyFont="1" applyFill="1" applyAlignment="1">
      <alignment horizontal="right"/>
    </xf>
    <xf numFmtId="171" fontId="4" fillId="0" borderId="0" xfId="0" applyNumberFormat="1" applyFont="1"/>
    <xf numFmtId="0" fontId="29" fillId="0" borderId="0" xfId="0" applyFont="1" applyAlignment="1">
      <alignment horizontal="left" vertical="center"/>
    </xf>
    <xf numFmtId="0" fontId="29" fillId="43" borderId="0" xfId="0" applyFont="1" applyFill="1" applyAlignment="1">
      <alignment horizontal="center" vertical="center"/>
    </xf>
    <xf numFmtId="0" fontId="37" fillId="12" borderId="0" xfId="0" applyFont="1" applyFill="1" applyAlignment="1">
      <alignment horizontal="right"/>
    </xf>
    <xf numFmtId="0" fontId="8" fillId="44" borderId="0" xfId="0" applyFont="1" applyFill="1" applyAlignment="1">
      <alignment vertical="center"/>
    </xf>
    <xf numFmtId="4" fontId="33" fillId="10" borderId="2" xfId="0" applyNumberFormat="1" applyFont="1" applyFill="1" applyBorder="1" applyAlignment="1">
      <alignment horizontal="right"/>
    </xf>
    <xf numFmtId="39" fontId="20" fillId="45" borderId="0" xfId="1" applyNumberFormat="1" applyFont="1" applyFill="1" applyAlignment="1">
      <alignment horizontal="right"/>
    </xf>
    <xf numFmtId="39" fontId="46" fillId="45" borderId="0" xfId="1" applyNumberFormat="1" applyFont="1" applyFill="1" applyAlignment="1">
      <alignment horizontal="right"/>
    </xf>
    <xf numFmtId="4" fontId="25" fillId="9" borderId="0" xfId="0" applyNumberFormat="1" applyFont="1" applyFill="1" applyAlignment="1">
      <alignment horizontal="right"/>
    </xf>
    <xf numFmtId="0" fontId="4" fillId="45" borderId="0" xfId="0" applyFont="1" applyFill="1"/>
    <xf numFmtId="4" fontId="32" fillId="9" borderId="0" xfId="0" applyNumberFormat="1" applyFont="1" applyFill="1"/>
    <xf numFmtId="4" fontId="26" fillId="45" borderId="1" xfId="0" applyNumberFormat="1" applyFont="1" applyFill="1" applyBorder="1"/>
    <xf numFmtId="4" fontId="14" fillId="45" borderId="0" xfId="0" applyNumberFormat="1" applyFont="1" applyFill="1"/>
    <xf numFmtId="4" fontId="31" fillId="9" borderId="0" xfId="0" applyNumberFormat="1" applyFont="1" applyFill="1"/>
    <xf numFmtId="4" fontId="34" fillId="9" borderId="0" xfId="0" applyNumberFormat="1" applyFont="1" applyFill="1"/>
    <xf numFmtId="4" fontId="30" fillId="45" borderId="0" xfId="0" applyNumberFormat="1" applyFont="1" applyFill="1"/>
    <xf numFmtId="3" fontId="34" fillId="9" borderId="0" xfId="0" applyNumberFormat="1" applyFont="1" applyFill="1"/>
    <xf numFmtId="4" fontId="19" fillId="45" borderId="0" xfId="0" applyNumberFormat="1" applyFont="1" applyFill="1"/>
    <xf numFmtId="3" fontId="19" fillId="45" borderId="0" xfId="0" applyNumberFormat="1" applyFont="1" applyFill="1"/>
    <xf numFmtId="4" fontId="19" fillId="9" borderId="0" xfId="0" applyNumberFormat="1" applyFont="1" applyFill="1"/>
    <xf numFmtId="4" fontId="26" fillId="45" borderId="3" xfId="0" applyNumberFormat="1" applyFont="1" applyFill="1" applyBorder="1" applyAlignment="1">
      <alignment horizontal="right"/>
    </xf>
    <xf numFmtId="4" fontId="26" fillId="45" borderId="0" xfId="0" applyNumberFormat="1" applyFont="1" applyFill="1" applyAlignment="1">
      <alignment horizontal="right"/>
    </xf>
    <xf numFmtId="4" fontId="22" fillId="45" borderId="0" xfId="0" applyNumberFormat="1" applyFont="1" applyFill="1" applyAlignment="1">
      <alignment horizontal="right"/>
    </xf>
    <xf numFmtId="0" fontId="41" fillId="0" borderId="0" xfId="0" applyFont="1" applyAlignment="1">
      <alignment horizontal="right" vertical="center"/>
    </xf>
    <xf numFmtId="4" fontId="25" fillId="9" borderId="0" xfId="0" applyNumberFormat="1" applyFont="1" applyFill="1"/>
    <xf numFmtId="0" fontId="10" fillId="0" borderId="0" xfId="0" applyFont="1" applyAlignment="1">
      <alignment horizontal="left" vertical="center"/>
    </xf>
    <xf numFmtId="4" fontId="26" fillId="45" borderId="3" xfId="0" applyNumberFormat="1" applyFont="1" applyFill="1" applyBorder="1"/>
    <xf numFmtId="166" fontId="26" fillId="45" borderId="3" xfId="0" applyNumberFormat="1" applyFont="1" applyFill="1" applyBorder="1"/>
    <xf numFmtId="0" fontId="41" fillId="45" borderId="3" xfId="0" applyFont="1" applyFill="1" applyBorder="1" applyAlignment="1">
      <alignment horizontal="right" vertical="center"/>
    </xf>
    <xf numFmtId="0" fontId="41" fillId="45" borderId="3" xfId="0" applyFont="1" applyFill="1" applyBorder="1" applyAlignment="1">
      <alignment horizontal="left" vertical="center"/>
    </xf>
    <xf numFmtId="4" fontId="26" fillId="48" borderId="3" xfId="0" applyNumberFormat="1" applyFont="1" applyFill="1" applyBorder="1" applyAlignment="1">
      <alignment horizontal="right"/>
    </xf>
    <xf numFmtId="4" fontId="26" fillId="48" borderId="3" xfId="0" applyNumberFormat="1" applyFont="1" applyFill="1" applyBorder="1"/>
    <xf numFmtId="166" fontId="26" fillId="48" borderId="3" xfId="0" applyNumberFormat="1" applyFont="1" applyFill="1" applyBorder="1"/>
    <xf numFmtId="0" fontId="41" fillId="48" borderId="3" xfId="0" applyFont="1" applyFill="1" applyBorder="1" applyAlignment="1">
      <alignment horizontal="left" vertical="center"/>
    </xf>
    <xf numFmtId="4" fontId="26" fillId="49" borderId="3" xfId="0" applyNumberFormat="1" applyFont="1" applyFill="1" applyBorder="1" applyAlignment="1">
      <alignment horizontal="right"/>
    </xf>
    <xf numFmtId="4" fontId="26" fillId="49" borderId="3" xfId="0" applyNumberFormat="1" applyFont="1" applyFill="1" applyBorder="1"/>
    <xf numFmtId="166" fontId="26" fillId="49" borderId="3" xfId="0" applyNumberFormat="1" applyFont="1" applyFill="1" applyBorder="1"/>
    <xf numFmtId="0" fontId="41" fillId="49" borderId="3" xfId="0" applyFont="1" applyFill="1" applyBorder="1" applyAlignment="1">
      <alignment horizontal="left" vertical="center"/>
    </xf>
    <xf numFmtId="0" fontId="14" fillId="49" borderId="3" xfId="0" applyFont="1" applyFill="1" applyBorder="1" applyAlignment="1">
      <alignment horizontal="left" vertical="center"/>
    </xf>
    <xf numFmtId="0" fontId="43" fillId="49" borderId="3" xfId="0" applyFont="1" applyFill="1" applyBorder="1" applyAlignment="1">
      <alignment horizontal="left" vertical="center"/>
    </xf>
    <xf numFmtId="0" fontId="41" fillId="49" borderId="3" xfId="0" applyFont="1" applyFill="1" applyBorder="1" applyAlignment="1">
      <alignment horizontal="right" vertical="center"/>
    </xf>
    <xf numFmtId="0" fontId="12" fillId="18" borderId="1" xfId="0" applyFont="1" applyFill="1" applyBorder="1" applyAlignment="1">
      <alignment horizontal="left" vertical="center"/>
    </xf>
    <xf numFmtId="4" fontId="26" fillId="45" borderId="1" xfId="0" applyNumberFormat="1" applyFont="1" applyFill="1" applyBorder="1" applyAlignment="1">
      <alignment horizontal="right"/>
    </xf>
    <xf numFmtId="4" fontId="26" fillId="0" borderId="1" xfId="0" applyNumberFormat="1" applyFont="1" applyBorder="1" applyAlignment="1">
      <alignment horizontal="right"/>
    </xf>
    <xf numFmtId="3" fontId="26" fillId="0" borderId="1" xfId="0" applyNumberFormat="1" applyFont="1" applyBorder="1" applyAlignment="1">
      <alignment horizontal="right"/>
    </xf>
    <xf numFmtId="4" fontId="26" fillId="12" borderId="11" xfId="0" applyNumberFormat="1" applyFont="1" applyFill="1" applyBorder="1" applyAlignment="1">
      <alignment horizontal="right"/>
    </xf>
    <xf numFmtId="0" fontId="12" fillId="47" borderId="1" xfId="0" applyFont="1" applyFill="1" applyBorder="1" applyAlignment="1">
      <alignment horizontal="left" vertical="center"/>
    </xf>
    <xf numFmtId="10" fontId="26" fillId="46" borderId="1" xfId="5" applyNumberFormat="1" applyFont="1" applyFill="1" applyBorder="1" applyAlignment="1">
      <alignment horizontal="right"/>
    </xf>
    <xf numFmtId="0" fontId="3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10" fontId="26" fillId="0" borderId="0" xfId="5" applyNumberFormat="1" applyFont="1" applyFill="1" applyBorder="1" applyAlignment="1">
      <alignment horizontal="right"/>
    </xf>
    <xf numFmtId="10" fontId="26" fillId="45" borderId="0" xfId="5" applyNumberFormat="1" applyFont="1" applyFill="1" applyBorder="1" applyAlignment="1">
      <alignment horizontal="right"/>
    </xf>
    <xf numFmtId="169" fontId="20" fillId="22" borderId="0" xfId="1" applyNumberFormat="1" applyFont="1" applyFill="1" applyAlignment="1">
      <alignment vertical="center"/>
    </xf>
    <xf numFmtId="0" fontId="25" fillId="41" borderId="0" xfId="0" applyFont="1" applyFill="1" applyAlignment="1">
      <alignment vertical="center"/>
    </xf>
    <xf numFmtId="0" fontId="25" fillId="22" borderId="0" xfId="0" applyFont="1" applyFill="1"/>
    <xf numFmtId="0" fontId="25" fillId="41" borderId="0" xfId="0" applyFont="1" applyFill="1" applyAlignment="1">
      <alignment horizontal="right"/>
    </xf>
    <xf numFmtId="9" fontId="25" fillId="41" borderId="0" xfId="5" applyFont="1" applyFill="1" applyAlignment="1">
      <alignment vertical="center"/>
    </xf>
    <xf numFmtId="9" fontId="25" fillId="22" borderId="0" xfId="5" applyFont="1" applyFill="1"/>
    <xf numFmtId="4" fontId="33" fillId="45" borderId="0" xfId="0" applyNumberFormat="1" applyFont="1" applyFill="1"/>
    <xf numFmtId="0" fontId="63" fillId="40" borderId="3" xfId="0" applyFont="1" applyFill="1" applyBorder="1" applyAlignment="1">
      <alignment horizontal="left" vertical="center"/>
    </xf>
    <xf numFmtId="4" fontId="26" fillId="12" borderId="0" xfId="0" applyNumberFormat="1" applyFont="1" applyFill="1"/>
    <xf numFmtId="166" fontId="26" fillId="12" borderId="0" xfId="0" applyNumberFormat="1" applyFont="1" applyFill="1"/>
    <xf numFmtId="0" fontId="33" fillId="12" borderId="0" xfId="0" applyFont="1" applyFill="1" applyAlignment="1">
      <alignment horizontal="center" vertical="center" wrapText="1"/>
    </xf>
    <xf numFmtId="0" fontId="12" fillId="18" borderId="0" xfId="0" applyFont="1" applyFill="1" applyAlignment="1">
      <alignment horizontal="left" vertical="center"/>
    </xf>
    <xf numFmtId="10" fontId="26" fillId="12" borderId="0" xfId="5" applyNumberFormat="1" applyFont="1" applyFill="1" applyBorder="1" applyAlignment="1">
      <alignment horizontal="right"/>
    </xf>
    <xf numFmtId="0" fontId="36" fillId="50" borderId="0" xfId="0" applyFont="1" applyFill="1" applyAlignment="1">
      <alignment horizontal="right" vertical="center"/>
    </xf>
    <xf numFmtId="0" fontId="36" fillId="50" borderId="1" xfId="0" applyFont="1" applyFill="1" applyBorder="1" applyAlignment="1">
      <alignment horizontal="right" vertical="center"/>
    </xf>
    <xf numFmtId="4" fontId="26" fillId="45" borderId="0" xfId="0" applyNumberFormat="1" applyFont="1" applyFill="1"/>
    <xf numFmtId="4" fontId="26" fillId="0" borderId="0" xfId="0" applyNumberFormat="1" applyFont="1"/>
    <xf numFmtId="166" fontId="26" fillId="0" borderId="0" xfId="0" applyNumberFormat="1" applyFont="1"/>
    <xf numFmtId="0" fontId="28" fillId="12" borderId="1" xfId="0" applyFont="1" applyFill="1" applyBorder="1" applyAlignment="1">
      <alignment horizontal="left" vertical="center"/>
    </xf>
    <xf numFmtId="0" fontId="33" fillId="51" borderId="0" xfId="0" applyFont="1" applyFill="1" applyAlignment="1">
      <alignment horizontal="center"/>
    </xf>
    <xf numFmtId="0" fontId="47" fillId="0" borderId="0" xfId="0" applyFont="1" applyAlignment="1">
      <alignment horizontal="left" vertical="center"/>
    </xf>
    <xf numFmtId="0" fontId="41" fillId="52" borderId="3" xfId="0" applyFont="1" applyFill="1" applyBorder="1" applyAlignment="1">
      <alignment horizontal="right" vertical="center"/>
    </xf>
    <xf numFmtId="165" fontId="33" fillId="53" borderId="0" xfId="0" applyNumberFormat="1" applyFont="1" applyFill="1" applyAlignment="1">
      <alignment horizontal="center"/>
    </xf>
    <xf numFmtId="2" fontId="33" fillId="51" borderId="0" xfId="0" applyNumberFormat="1" applyFont="1" applyFill="1" applyAlignment="1">
      <alignment horizontal="center"/>
    </xf>
    <xf numFmtId="0" fontId="4" fillId="0" borderId="0" xfId="0" applyFont="1" applyAlignment="1">
      <alignment horizontal="right"/>
    </xf>
    <xf numFmtId="4" fontId="33" fillId="45" borderId="1" xfId="0" applyNumberFormat="1" applyFont="1" applyFill="1" applyBorder="1"/>
    <xf numFmtId="0" fontId="15" fillId="0" borderId="0" xfId="0" applyFont="1" applyAlignment="1">
      <alignment vertical="center"/>
    </xf>
    <xf numFmtId="4" fontId="20" fillId="0" borderId="0" xfId="0" applyNumberFormat="1" applyFont="1"/>
    <xf numFmtId="0" fontId="28" fillId="0" borderId="0" xfId="0" applyFont="1" applyAlignment="1">
      <alignment horizontal="left" vertical="center"/>
    </xf>
    <xf numFmtId="0" fontId="14" fillId="18" borderId="0" xfId="0" applyFont="1" applyFill="1" applyAlignment="1">
      <alignment horizontal="left" vertical="center" wrapText="1"/>
    </xf>
    <xf numFmtId="0" fontId="6" fillId="37" borderId="0" xfId="0" applyFont="1" applyFill="1" applyAlignment="1">
      <alignment vertical="center"/>
    </xf>
    <xf numFmtId="0" fontId="25" fillId="37" borderId="0" xfId="0" applyFont="1" applyFill="1" applyAlignment="1">
      <alignment horizontal="right" vertical="center"/>
    </xf>
    <xf numFmtId="0" fontId="25" fillId="37" borderId="0" xfId="0" applyFont="1" applyFill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41" fillId="12" borderId="1" xfId="0" applyFont="1" applyFill="1" applyBorder="1" applyAlignment="1">
      <alignment horizontal="right" vertical="center"/>
    </xf>
    <xf numFmtId="0" fontId="41" fillId="12" borderId="1" xfId="0" applyFont="1" applyFill="1" applyBorder="1" applyAlignment="1">
      <alignment horizontal="left" vertical="center"/>
    </xf>
    <xf numFmtId="4" fontId="22" fillId="12" borderId="1" xfId="0" applyNumberFormat="1" applyFont="1" applyFill="1" applyBorder="1"/>
    <xf numFmtId="4" fontId="30" fillId="9" borderId="0" xfId="0" applyNumberFormat="1" applyFont="1" applyFill="1"/>
    <xf numFmtId="0" fontId="12" fillId="0" borderId="1" xfId="0" applyFont="1" applyBorder="1" applyAlignment="1">
      <alignment horizontal="left" vertical="center"/>
    </xf>
    <xf numFmtId="4" fontId="22" fillId="9" borderId="1" xfId="0" applyNumberFormat="1" applyFont="1" applyFill="1" applyBorder="1"/>
    <xf numFmtId="0" fontId="63" fillId="45" borderId="3" xfId="0" applyFont="1" applyFill="1" applyBorder="1" applyAlignment="1">
      <alignment horizontal="right" vertical="center"/>
    </xf>
    <xf numFmtId="0" fontId="33" fillId="46" borderId="0" xfId="0" applyFont="1" applyFill="1" applyAlignment="1">
      <alignment horizontal="center"/>
    </xf>
    <xf numFmtId="0" fontId="36" fillId="0" borderId="0" xfId="0" applyFont="1" applyAlignment="1">
      <alignment horizontal="right" vertical="center"/>
    </xf>
    <xf numFmtId="4" fontId="29" fillId="54" borderId="3" xfId="0" applyNumberFormat="1" applyFont="1" applyFill="1" applyBorder="1" applyAlignment="1">
      <alignment horizontal="right"/>
    </xf>
    <xf numFmtId="0" fontId="43" fillId="54" borderId="3" xfId="0" applyFont="1" applyFill="1" applyBorder="1" applyAlignment="1">
      <alignment horizontal="left" vertical="center"/>
    </xf>
    <xf numFmtId="0" fontId="36" fillId="0" borderId="1" xfId="0" applyFont="1" applyBorder="1" applyAlignment="1">
      <alignment horizontal="right" vertical="center"/>
    </xf>
    <xf numFmtId="165" fontId="33" fillId="55" borderId="0" xfId="0" applyNumberFormat="1" applyFont="1" applyFill="1" applyAlignment="1">
      <alignment horizontal="center"/>
    </xf>
    <xf numFmtId="39" fontId="32" fillId="12" borderId="0" xfId="1" applyNumberFormat="1" applyFont="1" applyFill="1"/>
    <xf numFmtId="0" fontId="29" fillId="12" borderId="0" xfId="0" applyFont="1" applyFill="1" applyAlignment="1">
      <alignment horizontal="right" vertical="center"/>
    </xf>
    <xf numFmtId="4" fontId="29" fillId="12" borderId="0" xfId="0" applyNumberFormat="1" applyFont="1" applyFill="1" applyAlignment="1">
      <alignment horizontal="right"/>
    </xf>
    <xf numFmtId="0" fontId="43" fillId="12" borderId="0" xfId="0" applyFont="1" applyFill="1" applyAlignment="1">
      <alignment horizontal="left" vertical="center"/>
    </xf>
    <xf numFmtId="171" fontId="33" fillId="21" borderId="0" xfId="0" applyNumberFormat="1" applyFont="1" applyFill="1" applyAlignment="1">
      <alignment horizontal="center"/>
    </xf>
    <xf numFmtId="0" fontId="69" fillId="18" borderId="0" xfId="0" applyFont="1" applyFill="1" applyAlignment="1">
      <alignment horizontal="right" vertical="center"/>
    </xf>
    <xf numFmtId="4" fontId="55" fillId="0" borderId="0" xfId="0" applyNumberFormat="1" applyFont="1"/>
    <xf numFmtId="0" fontId="72" fillId="0" borderId="0" xfId="6" applyFont="1"/>
    <xf numFmtId="0" fontId="73" fillId="56" borderId="0" xfId="6" applyFont="1" applyFill="1" applyAlignment="1">
      <alignment horizontal="center" vertical="center" wrapText="1"/>
    </xf>
    <xf numFmtId="0" fontId="2" fillId="0" borderId="0" xfId="6"/>
    <xf numFmtId="0" fontId="74" fillId="57" borderId="15" xfId="7" applyFont="1" applyFill="1" applyBorder="1" applyAlignment="1">
      <alignment horizontal="center" vertical="center" wrapText="1"/>
    </xf>
    <xf numFmtId="0" fontId="74" fillId="57" borderId="15" xfId="7" applyFont="1" applyFill="1" applyBorder="1" applyAlignment="1">
      <alignment horizontal="right" vertical="center" wrapText="1"/>
    </xf>
    <xf numFmtId="0" fontId="76" fillId="12" borderId="15" xfId="7" applyFont="1" applyFill="1" applyBorder="1" applyAlignment="1">
      <alignment horizontal="left" vertical="center" indent="1"/>
    </xf>
    <xf numFmtId="0" fontId="76" fillId="12" borderId="15" xfId="7" applyFont="1" applyFill="1" applyBorder="1" applyAlignment="1">
      <alignment horizontal="center" vertical="center"/>
    </xf>
    <xf numFmtId="172" fontId="77" fillId="12" borderId="15" xfId="7" applyNumberFormat="1" applyFont="1" applyFill="1" applyBorder="1" applyAlignment="1">
      <alignment horizontal="right" vertical="center"/>
    </xf>
    <xf numFmtId="172" fontId="76" fillId="12" borderId="15" xfId="7" applyNumberFormat="1" applyFont="1" applyFill="1" applyBorder="1" applyAlignment="1">
      <alignment horizontal="right" vertical="center"/>
    </xf>
    <xf numFmtId="172" fontId="78" fillId="12" borderId="15" xfId="7" applyNumberFormat="1" applyFont="1" applyFill="1" applyBorder="1" applyAlignment="1">
      <alignment horizontal="right" vertical="center"/>
    </xf>
    <xf numFmtId="0" fontId="79" fillId="12" borderId="15" xfId="7" applyFont="1" applyFill="1" applyBorder="1" applyAlignment="1">
      <alignment horizontal="left" vertical="center" indent="1"/>
    </xf>
    <xf numFmtId="0" fontId="76" fillId="12" borderId="16" xfId="7" applyFont="1" applyFill="1" applyBorder="1" applyAlignment="1">
      <alignment horizontal="left" vertical="center" indent="1"/>
    </xf>
    <xf numFmtId="0" fontId="76" fillId="12" borderId="17" xfId="7" applyFont="1" applyFill="1" applyBorder="1" applyAlignment="1">
      <alignment horizontal="center" vertical="center"/>
    </xf>
    <xf numFmtId="172" fontId="78" fillId="12" borderId="18" xfId="7" applyNumberFormat="1" applyFont="1" applyFill="1" applyBorder="1" applyAlignment="1">
      <alignment horizontal="right" vertical="center"/>
    </xf>
    <xf numFmtId="0" fontId="79" fillId="12" borderId="18" xfId="7" applyFont="1" applyFill="1" applyBorder="1" applyAlignment="1">
      <alignment horizontal="left" vertical="center" indent="1"/>
    </xf>
    <xf numFmtId="0" fontId="80" fillId="12" borderId="16" xfId="7" applyFont="1" applyFill="1" applyBorder="1" applyAlignment="1">
      <alignment horizontal="left" vertical="center" indent="1"/>
    </xf>
    <xf numFmtId="0" fontId="80" fillId="12" borderId="17" xfId="7" applyFont="1" applyFill="1" applyBorder="1" applyAlignment="1">
      <alignment horizontal="center" vertical="center"/>
    </xf>
    <xf numFmtId="172" fontId="81" fillId="12" borderId="17" xfId="7" applyNumberFormat="1" applyFont="1" applyFill="1" applyBorder="1" applyAlignment="1">
      <alignment horizontal="right" vertical="center"/>
    </xf>
    <xf numFmtId="172" fontId="80" fillId="12" borderId="15" xfId="7" applyNumberFormat="1" applyFont="1" applyFill="1" applyBorder="1" applyAlignment="1">
      <alignment horizontal="right" vertical="center"/>
    </xf>
    <xf numFmtId="172" fontId="82" fillId="12" borderId="15" xfId="7" applyNumberFormat="1" applyFont="1" applyFill="1" applyBorder="1" applyAlignment="1">
      <alignment horizontal="right" vertical="center"/>
    </xf>
    <xf numFmtId="0" fontId="83" fillId="12" borderId="18" xfId="7" applyFont="1" applyFill="1" applyBorder="1" applyAlignment="1">
      <alignment horizontal="left" vertical="center" indent="1"/>
    </xf>
    <xf numFmtId="0" fontId="80" fillId="12" borderId="15" xfId="7" applyFont="1" applyFill="1" applyBorder="1" applyAlignment="1">
      <alignment horizontal="left" vertical="center" indent="1"/>
    </xf>
    <xf numFmtId="172" fontId="81" fillId="12" borderId="15" xfId="7" applyNumberFormat="1" applyFont="1" applyFill="1" applyBorder="1" applyAlignment="1">
      <alignment horizontal="right" vertical="center"/>
    </xf>
    <xf numFmtId="172" fontId="84" fillId="12" borderId="15" xfId="7" applyNumberFormat="1" applyFont="1" applyFill="1" applyBorder="1" applyAlignment="1">
      <alignment horizontal="right" vertical="center"/>
    </xf>
    <xf numFmtId="0" fontId="85" fillId="12" borderId="15" xfId="7" applyFont="1" applyFill="1" applyBorder="1"/>
    <xf numFmtId="172" fontId="2" fillId="0" borderId="0" xfId="6" applyNumberFormat="1"/>
    <xf numFmtId="0" fontId="33" fillId="18" borderId="0" xfId="0" applyFont="1" applyFill="1" applyAlignment="1">
      <alignment horizontal="center" vertical="center"/>
    </xf>
    <xf numFmtId="0" fontId="64" fillId="11" borderId="0" xfId="0" applyFont="1" applyFill="1" applyAlignment="1">
      <alignment horizontal="center" vertical="center"/>
    </xf>
    <xf numFmtId="0" fontId="26" fillId="0" borderId="19" xfId="0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 wrapText="1"/>
    </xf>
    <xf numFmtId="0" fontId="1" fillId="0" borderId="0" xfId="0" applyFont="1"/>
    <xf numFmtId="165" fontId="33" fillId="21" borderId="0" xfId="0" applyNumberFormat="1" applyFont="1" applyFill="1" applyAlignment="1">
      <alignment horizontal="center" vertical="center"/>
    </xf>
    <xf numFmtId="0" fontId="33" fillId="21" borderId="0" xfId="0" applyFont="1" applyFill="1" applyAlignment="1">
      <alignment horizontal="center" vertical="center"/>
    </xf>
    <xf numFmtId="2" fontId="33" fillId="21" borderId="0" xfId="0" applyNumberFormat="1" applyFont="1" applyFill="1" applyAlignment="1">
      <alignment horizontal="center" vertical="center"/>
    </xf>
    <xf numFmtId="0" fontId="41" fillId="48" borderId="3" xfId="0" applyFont="1" applyFill="1" applyBorder="1" applyAlignment="1">
      <alignment horizontal="right" vertical="center"/>
    </xf>
    <xf numFmtId="0" fontId="1" fillId="12" borderId="0" xfId="0" applyFont="1" applyFill="1"/>
    <xf numFmtId="0" fontId="1" fillId="45" borderId="0" xfId="0" applyFont="1" applyFill="1"/>
    <xf numFmtId="0" fontId="1" fillId="12" borderId="0" xfId="0" applyFont="1" applyFill="1" applyAlignment="1">
      <alignment horizontal="right"/>
    </xf>
    <xf numFmtId="0" fontId="1" fillId="58" borderId="0" xfId="0" applyFont="1" applyFill="1"/>
    <xf numFmtId="164" fontId="5" fillId="58" borderId="0" xfId="1" applyFill="1"/>
    <xf numFmtId="0" fontId="1" fillId="0" borderId="0" xfId="0" applyFont="1" applyAlignment="1">
      <alignment horizontal="right"/>
    </xf>
    <xf numFmtId="0" fontId="1" fillId="52" borderId="0" xfId="0" applyFont="1" applyFill="1"/>
    <xf numFmtId="164" fontId="5" fillId="52" borderId="0" xfId="1" applyFill="1"/>
    <xf numFmtId="0" fontId="15" fillId="18" borderId="0" xfId="0" applyFont="1" applyFill="1" applyAlignment="1">
      <alignment vertical="center"/>
    </xf>
    <xf numFmtId="0" fontId="41" fillId="17" borderId="3" xfId="0" applyFont="1" applyFill="1" applyBorder="1" applyAlignment="1">
      <alignment horizontal="left" vertical="center"/>
    </xf>
    <xf numFmtId="171" fontId="1" fillId="0" borderId="0" xfId="0" applyNumberFormat="1" applyFont="1"/>
    <xf numFmtId="4" fontId="1" fillId="0" borderId="0" xfId="0" applyNumberFormat="1" applyFont="1"/>
    <xf numFmtId="4" fontId="88" fillId="9" borderId="0" xfId="0" applyNumberFormat="1" applyFont="1" applyFill="1"/>
    <xf numFmtId="164" fontId="1" fillId="0" borderId="0" xfId="0" applyNumberFormat="1" applyFont="1"/>
    <xf numFmtId="0" fontId="6" fillId="19" borderId="0" xfId="0" applyFont="1" applyFill="1" applyAlignment="1">
      <alignment horizontal="right"/>
    </xf>
    <xf numFmtId="164" fontId="1" fillId="12" borderId="0" xfId="0" applyNumberFormat="1" applyFont="1" applyFill="1"/>
    <xf numFmtId="0" fontId="89" fillId="12" borderId="0" xfId="8" applyFont="1" applyFill="1"/>
    <xf numFmtId="14" fontId="89" fillId="52" borderId="0" xfId="8" applyNumberFormat="1" applyFont="1" applyFill="1" applyAlignment="1">
      <alignment horizontal="center"/>
    </xf>
    <xf numFmtId="169" fontId="89" fillId="12" borderId="0" xfId="9" applyNumberFormat="1" applyFont="1" applyFill="1" applyAlignment="1">
      <alignment horizontal="center"/>
    </xf>
    <xf numFmtId="169" fontId="89" fillId="12" borderId="0" xfId="9" applyNumberFormat="1" applyFont="1" applyFill="1" applyAlignment="1">
      <alignment horizontal="left"/>
    </xf>
    <xf numFmtId="169" fontId="89" fillId="12" borderId="0" xfId="9" applyNumberFormat="1" applyFont="1" applyFill="1"/>
    <xf numFmtId="0" fontId="89" fillId="12" borderId="0" xfId="8" applyFont="1" applyFill="1" applyAlignment="1">
      <alignment horizontal="center"/>
    </xf>
    <xf numFmtId="0" fontId="89" fillId="12" borderId="0" xfId="8" applyFont="1" applyFill="1" applyAlignment="1">
      <alignment horizontal="left"/>
    </xf>
    <xf numFmtId="169" fontId="90" fillId="12" borderId="0" xfId="9" applyNumberFormat="1" applyFont="1" applyFill="1" applyBorder="1" applyAlignment="1">
      <alignment horizontal="center"/>
    </xf>
    <xf numFmtId="0" fontId="89" fillId="12" borderId="26" xfId="8" applyFont="1" applyFill="1" applyBorder="1"/>
    <xf numFmtId="0" fontId="89" fillId="12" borderId="27" xfId="8" applyFont="1" applyFill="1" applyBorder="1" applyAlignment="1">
      <alignment horizontal="center"/>
    </xf>
    <xf numFmtId="169" fontId="91" fillId="60" borderId="28" xfId="9" applyNumberFormat="1" applyFont="1" applyFill="1" applyBorder="1" applyAlignment="1">
      <alignment horizontal="center" wrapText="1"/>
    </xf>
    <xf numFmtId="169" fontId="91" fillId="12" borderId="0" xfId="9" applyNumberFormat="1" applyFont="1" applyFill="1" applyBorder="1" applyAlignment="1">
      <alignment horizontal="center" wrapText="1"/>
    </xf>
    <xf numFmtId="0" fontId="89" fillId="12" borderId="29" xfId="8" applyFont="1" applyFill="1" applyBorder="1"/>
    <xf numFmtId="0" fontId="89" fillId="12" borderId="30" xfId="8" applyFont="1" applyFill="1" applyBorder="1" applyAlignment="1">
      <alignment horizontal="center"/>
    </xf>
    <xf numFmtId="169" fontId="89" fillId="12" borderId="31" xfId="9" applyNumberFormat="1" applyFont="1" applyFill="1" applyBorder="1" applyAlignment="1">
      <alignment horizontal="center"/>
    </xf>
    <xf numFmtId="169" fontId="92" fillId="12" borderId="0" xfId="9" applyNumberFormat="1" applyFont="1" applyFill="1" applyBorder="1" applyAlignment="1">
      <alignment horizontal="left"/>
    </xf>
    <xf numFmtId="169" fontId="89" fillId="12" borderId="0" xfId="9" applyNumberFormat="1" applyFont="1" applyFill="1" applyBorder="1" applyAlignment="1">
      <alignment horizontal="center"/>
    </xf>
    <xf numFmtId="169" fontId="89" fillId="12" borderId="0" xfId="9" applyNumberFormat="1" applyFont="1" applyFill="1" applyBorder="1"/>
    <xf numFmtId="169" fontId="89" fillId="12" borderId="26" xfId="9" applyNumberFormat="1" applyFont="1" applyFill="1" applyBorder="1"/>
    <xf numFmtId="169" fontId="89" fillId="12" borderId="27" xfId="9" applyNumberFormat="1" applyFont="1" applyFill="1" applyBorder="1"/>
    <xf numFmtId="173" fontId="89" fillId="12" borderId="0" xfId="9" applyNumberFormat="1" applyFont="1" applyFill="1" applyBorder="1" applyAlignment="1">
      <alignment horizontal="center"/>
    </xf>
    <xf numFmtId="169" fontId="89" fillId="12" borderId="29" xfId="9" applyNumberFormat="1" applyFont="1" applyFill="1" applyBorder="1" applyAlignment="1">
      <alignment vertical="center"/>
    </xf>
    <xf numFmtId="169" fontId="89" fillId="12" borderId="30" xfId="9" applyNumberFormat="1" applyFont="1" applyFill="1" applyBorder="1"/>
    <xf numFmtId="169" fontId="89" fillId="12" borderId="32" xfId="9" applyNumberFormat="1" applyFont="1" applyFill="1" applyBorder="1"/>
    <xf numFmtId="165" fontId="93" fillId="12" borderId="33" xfId="8" applyNumberFormat="1" applyFont="1" applyFill="1" applyBorder="1" applyAlignment="1">
      <alignment horizontal="center"/>
    </xf>
    <xf numFmtId="169" fontId="92" fillId="12" borderId="31" xfId="9" applyNumberFormat="1" applyFont="1" applyFill="1" applyBorder="1" applyAlignment="1">
      <alignment horizontal="center"/>
    </xf>
    <xf numFmtId="0" fontId="91" fillId="12" borderId="26" xfId="8" applyFont="1" applyFill="1" applyBorder="1"/>
    <xf numFmtId="9" fontId="89" fillId="12" borderId="27" xfId="9" applyNumberFormat="1" applyFont="1" applyFill="1" applyBorder="1"/>
    <xf numFmtId="169" fontId="91" fillId="12" borderId="0" xfId="9" applyNumberFormat="1" applyFont="1" applyFill="1" applyBorder="1"/>
    <xf numFmtId="0" fontId="91" fillId="12" borderId="32" xfId="8" applyFont="1" applyFill="1" applyBorder="1"/>
    <xf numFmtId="165" fontId="89" fillId="12" borderId="33" xfId="9" applyNumberFormat="1" applyFont="1" applyFill="1" applyBorder="1"/>
    <xf numFmtId="169" fontId="91" fillId="12" borderId="0" xfId="9" applyNumberFormat="1" applyFont="1" applyFill="1" applyBorder="1" applyAlignment="1">
      <alignment horizontal="left"/>
    </xf>
    <xf numFmtId="0" fontId="91" fillId="12" borderId="0" xfId="8" applyFont="1" applyFill="1" applyAlignment="1">
      <alignment horizontal="center" vertical="center" textRotation="90"/>
    </xf>
    <xf numFmtId="169" fontId="89" fillId="12" borderId="29" xfId="9" applyNumberFormat="1" applyFont="1" applyFill="1" applyBorder="1"/>
    <xf numFmtId="43" fontId="89" fillId="12" borderId="30" xfId="10" applyFont="1" applyFill="1" applyBorder="1"/>
    <xf numFmtId="169" fontId="89" fillId="61" borderId="30" xfId="9" applyNumberFormat="1" applyFont="1" applyFill="1" applyBorder="1"/>
    <xf numFmtId="169" fontId="89" fillId="12" borderId="0" xfId="9" applyNumberFormat="1" applyFont="1" applyFill="1" applyBorder="1" applyAlignment="1">
      <alignment horizontal="left"/>
    </xf>
    <xf numFmtId="174" fontId="89" fillId="12" borderId="30" xfId="8" applyNumberFormat="1" applyFont="1" applyFill="1" applyBorder="1"/>
    <xf numFmtId="0" fontId="89" fillId="61" borderId="30" xfId="8" applyFont="1" applyFill="1" applyBorder="1"/>
    <xf numFmtId="0" fontId="91" fillId="12" borderId="36" xfId="8" applyFont="1" applyFill="1" applyBorder="1"/>
    <xf numFmtId="0" fontId="91" fillId="12" borderId="37" xfId="8" applyFont="1" applyFill="1" applyBorder="1" applyAlignment="1">
      <alignment horizontal="center"/>
    </xf>
    <xf numFmtId="169" fontId="91" fillId="12" borderId="38" xfId="9" applyNumberFormat="1" applyFont="1" applyFill="1" applyBorder="1" applyAlignment="1">
      <alignment horizontal="center"/>
    </xf>
    <xf numFmtId="0" fontId="89" fillId="12" borderId="32" xfId="8" applyFont="1" applyFill="1" applyBorder="1"/>
    <xf numFmtId="169" fontId="89" fillId="12" borderId="33" xfId="9" applyNumberFormat="1" applyFont="1" applyFill="1" applyBorder="1"/>
    <xf numFmtId="0" fontId="89" fillId="12" borderId="27" xfId="8" applyFont="1" applyFill="1" applyBorder="1"/>
    <xf numFmtId="9" fontId="89" fillId="12" borderId="0" xfId="9" applyNumberFormat="1" applyFont="1" applyFill="1" applyBorder="1"/>
    <xf numFmtId="175" fontId="89" fillId="12" borderId="30" xfId="8" applyNumberFormat="1" applyFont="1" applyFill="1" applyBorder="1"/>
    <xf numFmtId="169" fontId="91" fillId="12" borderId="0" xfId="9" applyNumberFormat="1" applyFont="1" applyFill="1" applyBorder="1" applyAlignment="1">
      <alignment horizontal="center"/>
    </xf>
    <xf numFmtId="0" fontId="89" fillId="12" borderId="33" xfId="8" applyFont="1" applyFill="1" applyBorder="1"/>
    <xf numFmtId="164" fontId="94" fillId="0" borderId="40" xfId="9" applyFont="1" applyFill="1" applyBorder="1"/>
    <xf numFmtId="173" fontId="89" fillId="12" borderId="31" xfId="9" applyNumberFormat="1" applyFont="1" applyFill="1" applyBorder="1" applyAlignment="1">
      <alignment horizontal="center"/>
    </xf>
    <xf numFmtId="164" fontId="94" fillId="0" borderId="42" xfId="9" applyFont="1" applyFill="1" applyBorder="1"/>
    <xf numFmtId="164" fontId="94" fillId="0" borderId="44" xfId="9" applyFont="1" applyFill="1" applyBorder="1"/>
    <xf numFmtId="0" fontId="95" fillId="0" borderId="45" xfId="8" applyFont="1" applyBorder="1"/>
    <xf numFmtId="169" fontId="95" fillId="61" borderId="45" xfId="9" applyNumberFormat="1" applyFont="1" applyFill="1" applyBorder="1" applyAlignment="1">
      <alignment horizontal="right"/>
    </xf>
    <xf numFmtId="43" fontId="89" fillId="12" borderId="0" xfId="8" applyNumberFormat="1" applyFont="1" applyFill="1"/>
    <xf numFmtId="169" fontId="89" fillId="12" borderId="31" xfId="9" applyNumberFormat="1" applyFont="1" applyFill="1" applyBorder="1"/>
    <xf numFmtId="169" fontId="93" fillId="12" borderId="0" xfId="9" applyNumberFormat="1" applyFont="1" applyFill="1" applyBorder="1" applyAlignment="1">
      <alignment horizontal="left"/>
    </xf>
    <xf numFmtId="0" fontId="91" fillId="12" borderId="29" xfId="8" applyFont="1" applyFill="1" applyBorder="1"/>
    <xf numFmtId="0" fontId="91" fillId="12" borderId="30" xfId="8" applyFont="1" applyFill="1" applyBorder="1" applyAlignment="1">
      <alignment horizontal="center"/>
    </xf>
    <xf numFmtId="169" fontId="91" fillId="12" borderId="31" xfId="9" applyNumberFormat="1" applyFont="1" applyFill="1" applyBorder="1" applyAlignment="1">
      <alignment horizontal="center"/>
    </xf>
    <xf numFmtId="0" fontId="89" fillId="12" borderId="0" xfId="8" applyFont="1" applyFill="1" applyAlignment="1">
      <alignment vertical="center"/>
    </xf>
    <xf numFmtId="173" fontId="89" fillId="12" borderId="0" xfId="9" applyNumberFormat="1" applyFont="1" applyFill="1" applyBorder="1"/>
    <xf numFmtId="174" fontId="93" fillId="12" borderId="30" xfId="11" applyNumberFormat="1" applyFont="1" applyFill="1" applyBorder="1" applyAlignment="1">
      <alignment horizontal="center"/>
    </xf>
    <xf numFmtId="173" fontId="92" fillId="0" borderId="31" xfId="9" applyNumberFormat="1" applyFont="1" applyFill="1" applyBorder="1" applyAlignment="1">
      <alignment horizontal="center"/>
    </xf>
    <xf numFmtId="169" fontId="92" fillId="12" borderId="0" xfId="9" applyNumberFormat="1" applyFont="1" applyFill="1" applyBorder="1" applyAlignment="1">
      <alignment horizontal="center"/>
    </xf>
    <xf numFmtId="169" fontId="92" fillId="0" borderId="31" xfId="9" applyNumberFormat="1" applyFont="1" applyFill="1" applyBorder="1" applyAlignment="1">
      <alignment horizontal="center"/>
    </xf>
    <xf numFmtId="169" fontId="92" fillId="12" borderId="0" xfId="9" applyNumberFormat="1" applyFont="1" applyFill="1" applyBorder="1"/>
    <xf numFmtId="169" fontId="93" fillId="12" borderId="0" xfId="9" applyNumberFormat="1" applyFont="1" applyFill="1" applyBorder="1" applyAlignment="1">
      <alignment horizontal="center"/>
    </xf>
    <xf numFmtId="173" fontId="92" fillId="12" borderId="31" xfId="9" applyNumberFormat="1" applyFont="1" applyFill="1" applyBorder="1" applyAlignment="1">
      <alignment horizontal="center"/>
    </xf>
    <xf numFmtId="169" fontId="93" fillId="12" borderId="31" xfId="9" applyNumberFormat="1" applyFont="1" applyFill="1" applyBorder="1" applyAlignment="1">
      <alignment horizontal="center"/>
    </xf>
    <xf numFmtId="173" fontId="92" fillId="12" borderId="0" xfId="9" applyNumberFormat="1" applyFont="1" applyFill="1" applyBorder="1" applyAlignment="1">
      <alignment horizontal="left"/>
    </xf>
    <xf numFmtId="169" fontId="92" fillId="0" borderId="0" xfId="9" applyNumberFormat="1" applyFont="1" applyFill="1" applyBorder="1" applyAlignment="1">
      <alignment horizontal="left"/>
    </xf>
    <xf numFmtId="169" fontId="96" fillId="12" borderId="31" xfId="9" applyNumberFormat="1" applyFont="1" applyFill="1" applyBorder="1" applyAlignment="1">
      <alignment horizontal="center"/>
    </xf>
    <xf numFmtId="169" fontId="97" fillId="0" borderId="46" xfId="9" applyNumberFormat="1" applyFont="1" applyFill="1" applyBorder="1" applyAlignment="1">
      <alignment horizontal="center"/>
    </xf>
    <xf numFmtId="173" fontId="92" fillId="12" borderId="0" xfId="9" applyNumberFormat="1" applyFont="1" applyFill="1" applyBorder="1" applyAlignment="1">
      <alignment horizontal="center"/>
    </xf>
    <xf numFmtId="169" fontId="96" fillId="12" borderId="0" xfId="9" applyNumberFormat="1" applyFont="1" applyFill="1" applyBorder="1" applyAlignment="1">
      <alignment horizontal="center"/>
    </xf>
    <xf numFmtId="169" fontId="96" fillId="12" borderId="0" xfId="9" applyNumberFormat="1" applyFont="1" applyFill="1" applyBorder="1"/>
    <xf numFmtId="43" fontId="89" fillId="12" borderId="0" xfId="9" applyNumberFormat="1" applyFont="1" applyFill="1" applyAlignment="1">
      <alignment horizontal="center"/>
    </xf>
    <xf numFmtId="169" fontId="96" fillId="12" borderId="0" xfId="9" applyNumberFormat="1" applyFont="1" applyFill="1" applyBorder="1" applyAlignment="1">
      <alignment horizontal="left"/>
    </xf>
    <xf numFmtId="0" fontId="98" fillId="12" borderId="37" xfId="8" applyFont="1" applyFill="1" applyBorder="1" applyAlignment="1">
      <alignment horizontal="center"/>
    </xf>
    <xf numFmtId="43" fontId="89" fillId="12" borderId="0" xfId="9" applyNumberFormat="1" applyFont="1" applyFill="1" applyAlignment="1">
      <alignment horizontal="left"/>
    </xf>
    <xf numFmtId="43" fontId="89" fillId="12" borderId="0" xfId="9" applyNumberFormat="1" applyFont="1" applyFill="1"/>
    <xf numFmtId="0" fontId="94" fillId="0" borderId="0" xfId="8" applyFont="1" applyAlignment="1">
      <alignment wrapText="1"/>
    </xf>
    <xf numFmtId="0" fontId="99" fillId="52" borderId="0" xfId="8" applyFont="1" applyFill="1"/>
    <xf numFmtId="173" fontId="94" fillId="52" borderId="0" xfId="10" applyNumberFormat="1" applyFont="1" applyFill="1"/>
    <xf numFmtId="175" fontId="94" fillId="0" borderId="0" xfId="9" applyNumberFormat="1" applyFont="1" applyFill="1"/>
    <xf numFmtId="169" fontId="100" fillId="0" borderId="0" xfId="9" applyNumberFormat="1" applyFont="1" applyFill="1" applyBorder="1" applyAlignment="1">
      <alignment horizontal="left"/>
    </xf>
    <xf numFmtId="173" fontId="94" fillId="0" borderId="0" xfId="8" applyNumberFormat="1" applyFont="1"/>
    <xf numFmtId="0" fontId="94" fillId="0" borderId="0" xfId="8" applyFont="1"/>
    <xf numFmtId="173" fontId="94" fillId="0" borderId="0" xfId="10" applyNumberFormat="1" applyFont="1"/>
    <xf numFmtId="0" fontId="99" fillId="48" borderId="54" xfId="8" applyFont="1" applyFill="1" applyBorder="1" applyAlignment="1">
      <alignment horizontal="center" vertical="center" wrapText="1"/>
    </xf>
    <xf numFmtId="0" fontId="99" fillId="48" borderId="55" xfId="8" applyFont="1" applyFill="1" applyBorder="1" applyAlignment="1">
      <alignment horizontal="center" vertical="center" wrapText="1"/>
    </xf>
    <xf numFmtId="0" fontId="95" fillId="0" borderId="47" xfId="8" applyFont="1" applyBorder="1"/>
    <xf numFmtId="43" fontId="95" fillId="0" borderId="40" xfId="10" applyFont="1" applyFill="1" applyBorder="1" applyAlignment="1">
      <alignment horizontal="right"/>
    </xf>
    <xf numFmtId="43" fontId="94" fillId="0" borderId="0" xfId="8" applyNumberFormat="1" applyFont="1"/>
    <xf numFmtId="0" fontId="95" fillId="0" borderId="56" xfId="8" applyFont="1" applyBorder="1"/>
    <xf numFmtId="0" fontId="62" fillId="0" borderId="46" xfId="8" applyFont="1" applyBorder="1" applyAlignment="1">
      <alignment horizontal="center"/>
    </xf>
    <xf numFmtId="169" fontId="101" fillId="0" borderId="46" xfId="9" applyNumberFormat="1" applyFont="1" applyFill="1" applyBorder="1" applyAlignment="1">
      <alignment horizontal="center"/>
    </xf>
    <xf numFmtId="169" fontId="97" fillId="0" borderId="0" xfId="9" applyNumberFormat="1" applyFont="1" applyFill="1" applyBorder="1" applyAlignment="1">
      <alignment horizontal="left" wrapText="1"/>
    </xf>
    <xf numFmtId="169" fontId="95" fillId="0" borderId="57" xfId="9" applyNumberFormat="1" applyFont="1" applyFill="1" applyBorder="1" applyAlignment="1">
      <alignment horizontal="left" vertical="center"/>
    </xf>
    <xf numFmtId="164" fontId="102" fillId="0" borderId="42" xfId="9" applyFont="1" applyFill="1" applyBorder="1"/>
    <xf numFmtId="0" fontId="95" fillId="0" borderId="58" xfId="8" applyFont="1" applyBorder="1"/>
    <xf numFmtId="0" fontId="62" fillId="0" borderId="59" xfId="8" applyFont="1" applyBorder="1" applyAlignment="1">
      <alignment horizontal="center"/>
    </xf>
    <xf numFmtId="169" fontId="101" fillId="0" borderId="59" xfId="9" applyNumberFormat="1" applyFont="1" applyFill="1" applyBorder="1" applyAlignment="1">
      <alignment horizontal="center"/>
    </xf>
    <xf numFmtId="169" fontId="101" fillId="0" borderId="60" xfId="9" applyNumberFormat="1" applyFont="1" applyFill="1" applyBorder="1" applyAlignment="1">
      <alignment horizontal="center"/>
    </xf>
    <xf numFmtId="169" fontId="95" fillId="0" borderId="57" xfId="9" applyNumberFormat="1" applyFont="1" applyFill="1" applyBorder="1" applyAlignment="1"/>
    <xf numFmtId="165" fontId="103" fillId="0" borderId="42" xfId="8" applyNumberFormat="1" applyFont="1" applyBorder="1"/>
    <xf numFmtId="0" fontId="95" fillId="0" borderId="57" xfId="8" applyFont="1" applyBorder="1"/>
    <xf numFmtId="9" fontId="102" fillId="0" borderId="42" xfId="8" applyNumberFormat="1" applyFont="1" applyBorder="1"/>
    <xf numFmtId="0" fontId="94" fillId="0" borderId="57" xfId="8" applyFont="1" applyBorder="1"/>
    <xf numFmtId="173" fontId="94" fillId="0" borderId="42" xfId="10" applyNumberFormat="1" applyFont="1" applyBorder="1"/>
    <xf numFmtId="0" fontId="94" fillId="0" borderId="52" xfId="8" applyFont="1" applyBorder="1"/>
    <xf numFmtId="173" fontId="94" fillId="0" borderId="44" xfId="10" applyNumberFormat="1" applyFont="1" applyBorder="1"/>
    <xf numFmtId="173" fontId="87" fillId="0" borderId="61" xfId="10" applyNumberFormat="1" applyFont="1" applyFill="1" applyBorder="1"/>
    <xf numFmtId="0" fontId="49" fillId="0" borderId="62" xfId="8" applyFont="1" applyBorder="1"/>
    <xf numFmtId="169" fontId="104" fillId="0" borderId="63" xfId="9" applyNumberFormat="1" applyFont="1" applyFill="1" applyBorder="1"/>
    <xf numFmtId="169" fontId="49" fillId="0" borderId="63" xfId="9" applyNumberFormat="1" applyFont="1" applyFill="1" applyBorder="1"/>
    <xf numFmtId="169" fontId="49" fillId="0" borderId="64" xfId="9" applyNumberFormat="1" applyFont="1" applyFill="1" applyBorder="1"/>
    <xf numFmtId="169" fontId="101" fillId="0" borderId="65" xfId="9" applyNumberFormat="1" applyFont="1" applyFill="1" applyBorder="1" applyAlignment="1">
      <alignment horizontal="center"/>
    </xf>
    <xf numFmtId="0" fontId="95" fillId="0" borderId="66" xfId="8" applyFont="1" applyBorder="1"/>
    <xf numFmtId="0" fontId="62" fillId="0" borderId="67" xfId="8" applyFont="1" applyBorder="1" applyAlignment="1">
      <alignment horizontal="center"/>
    </xf>
    <xf numFmtId="169" fontId="101" fillId="0" borderId="67" xfId="9" applyNumberFormat="1" applyFont="1" applyFill="1" applyBorder="1" applyAlignment="1">
      <alignment horizontal="center"/>
    </xf>
    <xf numFmtId="0" fontId="95" fillId="0" borderId="68" xfId="8" applyFont="1" applyBorder="1"/>
    <xf numFmtId="169" fontId="101" fillId="0" borderId="61" xfId="9" applyNumberFormat="1" applyFont="1" applyFill="1" applyBorder="1" applyAlignment="1">
      <alignment horizontal="center"/>
    </xf>
    <xf numFmtId="169" fontId="101" fillId="0" borderId="69" xfId="9" applyNumberFormat="1" applyFont="1" applyFill="1" applyBorder="1" applyAlignment="1">
      <alignment horizontal="center"/>
    </xf>
    <xf numFmtId="0" fontId="49" fillId="0" borderId="70" xfId="8" applyFont="1" applyBorder="1"/>
    <xf numFmtId="169" fontId="104" fillId="0" borderId="71" xfId="9" applyNumberFormat="1" applyFont="1" applyFill="1" applyBorder="1"/>
    <xf numFmtId="177" fontId="49" fillId="0" borderId="71" xfId="12" applyNumberFormat="1" applyFont="1" applyFill="1" applyBorder="1"/>
    <xf numFmtId="177" fontId="49" fillId="0" borderId="72" xfId="12" applyNumberFormat="1" applyFont="1" applyFill="1" applyBorder="1"/>
    <xf numFmtId="9" fontId="105" fillId="52" borderId="59" xfId="8" applyNumberFormat="1" applyFont="1" applyFill="1" applyBorder="1" applyAlignment="1">
      <alignment horizontal="center"/>
    </xf>
    <xf numFmtId="178" fontId="101" fillId="0" borderId="67" xfId="9" applyNumberFormat="1" applyFont="1" applyFill="1" applyBorder="1" applyAlignment="1">
      <alignment horizontal="center"/>
    </xf>
    <xf numFmtId="178" fontId="101" fillId="0" borderId="73" xfId="9" applyNumberFormat="1" applyFont="1" applyFill="1" applyBorder="1" applyAlignment="1">
      <alignment horizontal="center"/>
    </xf>
    <xf numFmtId="169" fontId="94" fillId="0" borderId="0" xfId="9" applyNumberFormat="1" applyFont="1" applyFill="1"/>
    <xf numFmtId="0" fontId="49" fillId="0" borderId="74" xfId="8" applyFont="1" applyBorder="1"/>
    <xf numFmtId="169" fontId="104" fillId="0" borderId="75" xfId="9" applyNumberFormat="1" applyFont="1" applyFill="1" applyBorder="1"/>
    <xf numFmtId="178" fontId="49" fillId="0" borderId="75" xfId="9" applyNumberFormat="1" applyFont="1" applyFill="1" applyBorder="1"/>
    <xf numFmtId="175" fontId="49" fillId="0" borderId="75" xfId="9" applyNumberFormat="1" applyFont="1" applyFill="1" applyBorder="1"/>
    <xf numFmtId="175" fontId="49" fillId="0" borderId="76" xfId="9" applyNumberFormat="1" applyFont="1" applyFill="1" applyBorder="1"/>
    <xf numFmtId="0" fontId="95" fillId="0" borderId="0" xfId="8" applyFont="1"/>
    <xf numFmtId="169" fontId="106" fillId="12" borderId="0" xfId="9" applyNumberFormat="1" applyFont="1" applyFill="1" applyBorder="1" applyAlignment="1">
      <alignment horizontal="center"/>
    </xf>
    <xf numFmtId="169" fontId="91" fillId="66" borderId="28" xfId="9" applyNumberFormat="1" applyFont="1" applyFill="1" applyBorder="1" applyAlignment="1">
      <alignment horizontal="center" wrapText="1"/>
    </xf>
    <xf numFmtId="169" fontId="91" fillId="66" borderId="25" xfId="9" applyNumberFormat="1" applyFont="1" applyFill="1" applyBorder="1" applyAlignment="1">
      <alignment horizontal="center" wrapText="1"/>
    </xf>
    <xf numFmtId="0" fontId="107" fillId="65" borderId="24" xfId="8" applyFont="1" applyFill="1" applyBorder="1"/>
    <xf numFmtId="0" fontId="91" fillId="65" borderId="25" xfId="8" applyFont="1" applyFill="1" applyBorder="1" applyAlignment="1">
      <alignment horizontal="center"/>
    </xf>
    <xf numFmtId="169" fontId="89" fillId="52" borderId="31" xfId="9" applyNumberFormat="1" applyFont="1" applyFill="1" applyBorder="1" applyAlignment="1">
      <alignment horizontal="center"/>
    </xf>
    <xf numFmtId="0" fontId="108" fillId="12" borderId="29" xfId="8" applyFont="1" applyFill="1" applyBorder="1"/>
    <xf numFmtId="0" fontId="89" fillId="12" borderId="34" xfId="8" applyFont="1" applyFill="1" applyBorder="1"/>
    <xf numFmtId="0" fontId="92" fillId="12" borderId="0" xfId="8" applyFont="1" applyFill="1"/>
    <xf numFmtId="169" fontId="89" fillId="12" borderId="78" xfId="9" applyNumberFormat="1" applyFont="1" applyFill="1" applyBorder="1"/>
    <xf numFmtId="173" fontId="108" fillId="12" borderId="31" xfId="10" applyNumberFormat="1" applyFont="1" applyFill="1" applyBorder="1" applyAlignment="1">
      <alignment vertical="center"/>
    </xf>
    <xf numFmtId="0" fontId="89" fillId="12" borderId="31" xfId="8" applyFont="1" applyFill="1" applyBorder="1"/>
    <xf numFmtId="173" fontId="108" fillId="12" borderId="31" xfId="10" applyNumberFormat="1" applyFont="1" applyFill="1" applyBorder="1"/>
    <xf numFmtId="169" fontId="89" fillId="12" borderId="30" xfId="9" applyNumberFormat="1" applyFont="1" applyFill="1" applyBorder="1" applyAlignment="1">
      <alignment horizontal="center"/>
    </xf>
    <xf numFmtId="169" fontId="89" fillId="12" borderId="0" xfId="9" applyNumberFormat="1" applyFont="1" applyFill="1" applyBorder="1" applyAlignment="1">
      <alignment vertical="center"/>
    </xf>
    <xf numFmtId="165" fontId="93" fillId="12" borderId="30" xfId="8" applyNumberFormat="1" applyFont="1" applyFill="1" applyBorder="1" applyAlignment="1">
      <alignment horizontal="center"/>
    </xf>
    <xf numFmtId="169" fontId="91" fillId="12" borderId="38" xfId="9" applyNumberFormat="1" applyFont="1" applyFill="1" applyBorder="1"/>
    <xf numFmtId="169" fontId="91" fillId="12" borderId="37" xfId="9" applyNumberFormat="1" applyFont="1" applyFill="1" applyBorder="1"/>
    <xf numFmtId="173" fontId="108" fillId="12" borderId="35" xfId="10" applyNumberFormat="1" applyFont="1" applyFill="1" applyBorder="1"/>
    <xf numFmtId="9" fontId="89" fillId="12" borderId="30" xfId="9" applyNumberFormat="1" applyFont="1" applyFill="1" applyBorder="1"/>
    <xf numFmtId="0" fontId="108" fillId="12" borderId="24" xfId="8" applyFont="1" applyFill="1" applyBorder="1"/>
    <xf numFmtId="173" fontId="107" fillId="12" borderId="25" xfId="10" applyNumberFormat="1" applyFont="1" applyFill="1" applyBorder="1"/>
    <xf numFmtId="0" fontId="89" fillId="12" borderId="35" xfId="8" applyFont="1" applyFill="1" applyBorder="1"/>
    <xf numFmtId="0" fontId="86" fillId="67" borderId="47" xfId="8" applyFont="1" applyFill="1" applyBorder="1" applyAlignment="1">
      <alignment horizontal="center" vertical="center"/>
    </xf>
    <xf numFmtId="0" fontId="86" fillId="67" borderId="79" xfId="8" applyFont="1" applyFill="1" applyBorder="1" applyAlignment="1">
      <alignment horizontal="center" vertical="center"/>
    </xf>
    <xf numFmtId="173" fontId="107" fillId="12" borderId="29" xfId="10" applyNumberFormat="1" applyFont="1" applyFill="1" applyBorder="1"/>
    <xf numFmtId="173" fontId="107" fillId="12" borderId="30" xfId="10" applyNumberFormat="1" applyFont="1" applyFill="1" applyBorder="1"/>
    <xf numFmtId="9" fontId="89" fillId="12" borderId="33" xfId="8" applyNumberFormat="1" applyFont="1" applyFill="1" applyBorder="1"/>
    <xf numFmtId="173" fontId="108" fillId="12" borderId="29" xfId="10" applyNumberFormat="1" applyFont="1" applyFill="1" applyBorder="1"/>
    <xf numFmtId="173" fontId="108" fillId="65" borderId="30" xfId="10" applyNumberFormat="1" applyFont="1" applyFill="1" applyBorder="1"/>
    <xf numFmtId="43" fontId="107" fillId="12" borderId="29" xfId="10" applyFont="1" applyFill="1" applyBorder="1"/>
    <xf numFmtId="173" fontId="89" fillId="52" borderId="31" xfId="9" applyNumberFormat="1" applyFont="1" applyFill="1" applyBorder="1" applyAlignment="1">
      <alignment horizontal="center"/>
    </xf>
    <xf numFmtId="173" fontId="93" fillId="52" borderId="31" xfId="9" applyNumberFormat="1" applyFont="1" applyFill="1" applyBorder="1" applyAlignment="1">
      <alignment horizontal="center"/>
    </xf>
    <xf numFmtId="173" fontId="93" fillId="12" borderId="31" xfId="9" applyNumberFormat="1" applyFont="1" applyFill="1" applyBorder="1" applyAlignment="1">
      <alignment horizontal="center"/>
    </xf>
    <xf numFmtId="173" fontId="89" fillId="12" borderId="0" xfId="8" applyNumberFormat="1" applyFont="1" applyFill="1"/>
    <xf numFmtId="9" fontId="89" fillId="12" borderId="31" xfId="9" applyNumberFormat="1" applyFont="1" applyFill="1" applyBorder="1" applyAlignment="1">
      <alignment horizontal="center"/>
    </xf>
    <xf numFmtId="43" fontId="108" fillId="52" borderId="29" xfId="10" applyFont="1" applyFill="1" applyBorder="1"/>
    <xf numFmtId="43" fontId="108" fillId="52" borderId="30" xfId="10" applyFont="1" applyFill="1" applyBorder="1"/>
    <xf numFmtId="173" fontId="89" fillId="12" borderId="30" xfId="10" applyNumberFormat="1" applyFont="1" applyFill="1" applyBorder="1"/>
    <xf numFmtId="0" fontId="108" fillId="12" borderId="32" xfId="8" applyFont="1" applyFill="1" applyBorder="1"/>
    <xf numFmtId="173" fontId="108" fillId="12" borderId="33" xfId="10" applyNumberFormat="1" applyFont="1" applyFill="1" applyBorder="1"/>
    <xf numFmtId="169" fontId="89" fillId="52" borderId="31" xfId="9" applyNumberFormat="1" applyFont="1" applyFill="1" applyBorder="1"/>
    <xf numFmtId="0" fontId="89" fillId="12" borderId="30" xfId="8" applyFont="1" applyFill="1" applyBorder="1"/>
    <xf numFmtId="0" fontId="93" fillId="12" borderId="0" xfId="8" applyFont="1" applyFill="1"/>
    <xf numFmtId="0" fontId="89" fillId="12" borderId="80" xfId="8" applyFont="1" applyFill="1" applyBorder="1"/>
    <xf numFmtId="173" fontId="89" fillId="12" borderId="31" xfId="9" applyNumberFormat="1" applyFont="1" applyFill="1" applyBorder="1"/>
    <xf numFmtId="9" fontId="89" fillId="12" borderId="30" xfId="8" applyNumberFormat="1" applyFont="1" applyFill="1" applyBorder="1" applyAlignment="1">
      <alignment horizontal="center"/>
    </xf>
    <xf numFmtId="169" fontId="91" fillId="12" borderId="31" xfId="9" applyNumberFormat="1" applyFont="1" applyFill="1" applyBorder="1"/>
    <xf numFmtId="169" fontId="91" fillId="12" borderId="30" xfId="9" applyNumberFormat="1" applyFont="1" applyFill="1" applyBorder="1"/>
    <xf numFmtId="169" fontId="92" fillId="12" borderId="31" xfId="9" applyNumberFormat="1" applyFont="1" applyFill="1" applyBorder="1"/>
    <xf numFmtId="169" fontId="92" fillId="52" borderId="31" xfId="9" applyNumberFormat="1" applyFont="1" applyFill="1" applyBorder="1" applyAlignment="1">
      <alignment horizontal="center"/>
    </xf>
    <xf numFmtId="169" fontId="92" fillId="52" borderId="31" xfId="9" applyNumberFormat="1" applyFont="1" applyFill="1" applyBorder="1"/>
    <xf numFmtId="169" fontId="92" fillId="12" borderId="30" xfId="9" applyNumberFormat="1" applyFont="1" applyFill="1" applyBorder="1"/>
    <xf numFmtId="169" fontId="92" fillId="12" borderId="30" xfId="9" applyNumberFormat="1" applyFont="1" applyFill="1" applyBorder="1" applyAlignment="1">
      <alignment horizontal="center"/>
    </xf>
    <xf numFmtId="169" fontId="96" fillId="12" borderId="31" xfId="9" applyNumberFormat="1" applyFont="1" applyFill="1" applyBorder="1"/>
    <xf numFmtId="169" fontId="96" fillId="12" borderId="30" xfId="9" applyNumberFormat="1" applyFont="1" applyFill="1" applyBorder="1"/>
    <xf numFmtId="0" fontId="110" fillId="0" borderId="0" xfId="8" applyFont="1"/>
    <xf numFmtId="0" fontId="111" fillId="0" borderId="0" xfId="8" applyFont="1" applyAlignment="1">
      <alignment horizontal="center"/>
    </xf>
    <xf numFmtId="0" fontId="112" fillId="48" borderId="45" xfId="8" applyFont="1" applyFill="1" applyBorder="1" applyAlignment="1">
      <alignment horizontal="center" vertical="center" wrapText="1"/>
    </xf>
    <xf numFmtId="0" fontId="113" fillId="0" borderId="0" xfId="8" applyFont="1"/>
    <xf numFmtId="0" fontId="114" fillId="48" borderId="28" xfId="8" applyFont="1" applyFill="1" applyBorder="1" applyAlignment="1">
      <alignment horizontal="centerContinuous"/>
    </xf>
    <xf numFmtId="0" fontId="115" fillId="48" borderId="77" xfId="8" applyFont="1" applyFill="1" applyBorder="1" applyAlignment="1">
      <alignment horizontal="centerContinuous"/>
    </xf>
    <xf numFmtId="43" fontId="115" fillId="48" borderId="77" xfId="10" applyFont="1" applyFill="1" applyBorder="1" applyAlignment="1">
      <alignment horizontal="centerContinuous"/>
    </xf>
    <xf numFmtId="0" fontId="112" fillId="48" borderId="26" xfId="8" applyFont="1" applyFill="1" applyBorder="1" applyAlignment="1">
      <alignment horizontal="center" vertical="center"/>
    </xf>
    <xf numFmtId="0" fontId="112" fillId="48" borderId="39" xfId="8" applyFont="1" applyFill="1" applyBorder="1" applyAlignment="1">
      <alignment horizontal="center" vertical="center"/>
    </xf>
    <xf numFmtId="0" fontId="112" fillId="48" borderId="81" xfId="8" applyFont="1" applyFill="1" applyBorder="1" applyAlignment="1">
      <alignment horizontal="center" vertical="center" wrapText="1"/>
    </xf>
    <xf numFmtId="43" fontId="112" fillId="48" borderId="81" xfId="10" applyFont="1" applyFill="1" applyBorder="1" applyAlignment="1">
      <alignment horizontal="center" vertical="center" wrapText="1"/>
    </xf>
    <xf numFmtId="0" fontId="113" fillId="0" borderId="0" xfId="8" applyFont="1" applyAlignment="1">
      <alignment vertical="center"/>
    </xf>
    <xf numFmtId="0" fontId="110" fillId="0" borderId="45" xfId="8" applyFont="1" applyBorder="1"/>
    <xf numFmtId="169" fontId="116" fillId="0" borderId="45" xfId="10" applyNumberFormat="1" applyFont="1" applyFill="1" applyBorder="1" applyAlignment="1">
      <alignment horizontal="center"/>
    </xf>
    <xf numFmtId="169" fontId="117" fillId="52" borderId="45" xfId="10" applyNumberFormat="1" applyFont="1" applyFill="1" applyBorder="1" applyAlignment="1">
      <alignment horizontal="center"/>
    </xf>
    <xf numFmtId="43" fontId="117" fillId="0" borderId="45" xfId="10" applyFont="1" applyFill="1" applyBorder="1" applyAlignment="1">
      <alignment horizontal="center"/>
    </xf>
    <xf numFmtId="43" fontId="113" fillId="0" borderId="0" xfId="10" applyFont="1"/>
    <xf numFmtId="169" fontId="117" fillId="0" borderId="45" xfId="10" applyNumberFormat="1" applyFont="1" applyFill="1" applyBorder="1" applyAlignment="1">
      <alignment horizontal="center"/>
    </xf>
    <xf numFmtId="0" fontId="118" fillId="45" borderId="45" xfId="8" applyFont="1" applyFill="1" applyBorder="1"/>
    <xf numFmtId="169" fontId="116" fillId="45" borderId="45" xfId="10" applyNumberFormat="1" applyFont="1" applyFill="1" applyBorder="1" applyAlignment="1">
      <alignment horizontal="left"/>
    </xf>
    <xf numFmtId="169" fontId="119" fillId="45" borderId="45" xfId="10" applyNumberFormat="1" applyFont="1" applyFill="1" applyBorder="1" applyAlignment="1">
      <alignment horizontal="left"/>
    </xf>
    <xf numFmtId="43" fontId="119" fillId="45" borderId="45" xfId="10" applyFont="1" applyFill="1" applyBorder="1" applyAlignment="1">
      <alignment horizontal="left"/>
    </xf>
    <xf numFmtId="169" fontId="116" fillId="52" borderId="45" xfId="10" applyNumberFormat="1" applyFont="1" applyFill="1" applyBorder="1" applyAlignment="1">
      <alignment horizontal="right"/>
    </xf>
    <xf numFmtId="169" fontId="117" fillId="0" borderId="45" xfId="10" applyNumberFormat="1" applyFont="1" applyFill="1" applyBorder="1" applyAlignment="1">
      <alignment horizontal="left"/>
    </xf>
    <xf numFmtId="43" fontId="117" fillId="0" borderId="45" xfId="10" applyFont="1" applyFill="1" applyBorder="1" applyAlignment="1">
      <alignment horizontal="left"/>
    </xf>
    <xf numFmtId="169" fontId="120" fillId="0" borderId="45" xfId="10" applyNumberFormat="1" applyFont="1" applyFill="1" applyBorder="1" applyAlignment="1">
      <alignment horizontal="left"/>
    </xf>
    <xf numFmtId="43" fontId="120" fillId="0" borderId="45" xfId="10" applyFont="1" applyFill="1" applyBorder="1" applyAlignment="1">
      <alignment horizontal="left"/>
    </xf>
    <xf numFmtId="169" fontId="116" fillId="64" borderId="45" xfId="10" applyNumberFormat="1" applyFont="1" applyFill="1" applyBorder="1" applyAlignment="1">
      <alignment horizontal="left"/>
    </xf>
    <xf numFmtId="169" fontId="116" fillId="0" borderId="45" xfId="10" applyNumberFormat="1" applyFont="1" applyFill="1" applyBorder="1" applyAlignment="1">
      <alignment horizontal="left"/>
    </xf>
    <xf numFmtId="43" fontId="119" fillId="45" borderId="82" xfId="10" applyFont="1" applyFill="1" applyBorder="1" applyAlignment="1">
      <alignment horizontal="left"/>
    </xf>
    <xf numFmtId="43" fontId="117" fillId="0" borderId="82" xfId="10" applyFont="1" applyFill="1" applyBorder="1" applyAlignment="1">
      <alignment horizontal="left"/>
    </xf>
    <xf numFmtId="169" fontId="118" fillId="45" borderId="45" xfId="10" applyNumberFormat="1" applyFont="1" applyFill="1" applyBorder="1"/>
    <xf numFmtId="169" fontId="119" fillId="45" borderId="45" xfId="10" applyNumberFormat="1" applyFont="1" applyFill="1" applyBorder="1"/>
    <xf numFmtId="43" fontId="119" fillId="45" borderId="82" xfId="10" applyFont="1" applyFill="1" applyBorder="1"/>
    <xf numFmtId="169" fontId="119" fillId="68" borderId="45" xfId="10" applyNumberFormat="1" applyFont="1" applyFill="1" applyBorder="1" applyAlignment="1">
      <alignment horizontal="left"/>
    </xf>
    <xf numFmtId="169" fontId="116" fillId="0" borderId="45" xfId="10" applyNumberFormat="1" applyFont="1" applyFill="1" applyBorder="1"/>
    <xf numFmtId="169" fontId="116" fillId="52" borderId="45" xfId="10" applyNumberFormat="1" applyFont="1" applyFill="1" applyBorder="1" applyAlignment="1">
      <alignment horizontal="left" vertical="center"/>
    </xf>
    <xf numFmtId="0" fontId="110" fillId="0" borderId="20" xfId="8" applyFont="1" applyBorder="1"/>
    <xf numFmtId="169" fontId="116" fillId="52" borderId="20" xfId="10" applyNumberFormat="1" applyFont="1" applyFill="1" applyBorder="1" applyAlignment="1">
      <alignment horizontal="left" vertical="center"/>
    </xf>
    <xf numFmtId="169" fontId="117" fillId="0" borderId="20" xfId="10" applyNumberFormat="1" applyFont="1" applyFill="1" applyBorder="1" applyAlignment="1">
      <alignment horizontal="left"/>
    </xf>
    <xf numFmtId="43" fontId="117" fillId="0" borderId="86" xfId="10" applyFont="1" applyFill="1" applyBorder="1" applyAlignment="1">
      <alignment horizontal="left"/>
    </xf>
    <xf numFmtId="0" fontId="118" fillId="12" borderId="87" xfId="8" applyFont="1" applyFill="1" applyBorder="1" applyAlignment="1">
      <alignment horizontal="left" vertical="center"/>
    </xf>
    <xf numFmtId="169" fontId="116" fillId="52" borderId="88" xfId="10" applyNumberFormat="1" applyFont="1" applyFill="1" applyBorder="1" applyAlignment="1">
      <alignment horizontal="left" vertical="center"/>
    </xf>
    <xf numFmtId="169" fontId="120" fillId="0" borderId="88" xfId="10" applyNumberFormat="1" applyFont="1" applyFill="1" applyBorder="1" applyAlignment="1">
      <alignment horizontal="left" vertical="center"/>
    </xf>
    <xf numFmtId="169" fontId="120" fillId="0" borderId="89" xfId="10" applyNumberFormat="1" applyFont="1" applyFill="1" applyBorder="1" applyAlignment="1">
      <alignment horizontal="left" vertical="center"/>
    </xf>
    <xf numFmtId="0" fontId="121" fillId="69" borderId="22" xfId="8" applyFont="1" applyFill="1" applyBorder="1"/>
    <xf numFmtId="169" fontId="116" fillId="52" borderId="22" xfId="10" applyNumberFormat="1" applyFont="1" applyFill="1" applyBorder="1" applyAlignment="1">
      <alignment horizontal="left" vertical="center"/>
    </xf>
    <xf numFmtId="169" fontId="117" fillId="0" borderId="22" xfId="10" applyNumberFormat="1" applyFont="1" applyFill="1" applyBorder="1" applyAlignment="1">
      <alignment horizontal="left"/>
    </xf>
    <xf numFmtId="43" fontId="117" fillId="0" borderId="90" xfId="10" applyFont="1" applyFill="1" applyBorder="1" applyAlignment="1">
      <alignment horizontal="left"/>
    </xf>
    <xf numFmtId="0" fontId="121" fillId="69" borderId="20" xfId="8" applyFont="1" applyFill="1" applyBorder="1"/>
    <xf numFmtId="0" fontId="120" fillId="69" borderId="87" xfId="8" applyFont="1" applyFill="1" applyBorder="1"/>
    <xf numFmtId="169" fontId="120" fillId="52" borderId="88" xfId="10" applyNumberFormat="1" applyFont="1" applyFill="1" applyBorder="1" applyAlignment="1">
      <alignment horizontal="left" vertical="center"/>
    </xf>
    <xf numFmtId="169" fontId="120" fillId="0" borderId="88" xfId="10" applyNumberFormat="1" applyFont="1" applyFill="1" applyBorder="1" applyAlignment="1">
      <alignment horizontal="left"/>
    </xf>
    <xf numFmtId="169" fontId="120" fillId="0" borderId="89" xfId="10" applyNumberFormat="1" applyFont="1" applyFill="1" applyBorder="1" applyAlignment="1">
      <alignment horizontal="left"/>
    </xf>
    <xf numFmtId="0" fontId="121" fillId="52" borderId="22" xfId="8" applyFont="1" applyFill="1" applyBorder="1"/>
    <xf numFmtId="169" fontId="117" fillId="52" borderId="22" xfId="10" applyNumberFormat="1" applyFont="1" applyFill="1" applyBorder="1" applyAlignment="1">
      <alignment horizontal="left"/>
    </xf>
    <xf numFmtId="169" fontId="117" fillId="52" borderId="90" xfId="10" applyNumberFormat="1" applyFont="1" applyFill="1" applyBorder="1" applyAlignment="1">
      <alignment horizontal="left"/>
    </xf>
    <xf numFmtId="0" fontId="116" fillId="45" borderId="45" xfId="8" applyFont="1" applyFill="1" applyBorder="1"/>
    <xf numFmtId="169" fontId="116" fillId="45" borderId="45" xfId="10" applyNumberFormat="1" applyFont="1" applyFill="1" applyBorder="1" applyAlignment="1">
      <alignment horizontal="left" vertical="center"/>
    </xf>
    <xf numFmtId="169" fontId="119" fillId="45" borderId="45" xfId="10" applyNumberFormat="1" applyFont="1" applyFill="1" applyBorder="1" applyAlignment="1">
      <alignment horizontal="left" vertical="center"/>
    </xf>
    <xf numFmtId="43" fontId="119" fillId="45" borderId="82" xfId="10" applyFont="1" applyFill="1" applyBorder="1" applyAlignment="1">
      <alignment horizontal="left" vertical="center"/>
    </xf>
    <xf numFmtId="9" fontId="119" fillId="45" borderId="45" xfId="11" applyFont="1" applyFill="1" applyBorder="1" applyAlignment="1">
      <alignment horizontal="center" vertical="center"/>
    </xf>
    <xf numFmtId="9" fontId="119" fillId="45" borderId="82" xfId="11" applyFont="1" applyFill="1" applyBorder="1" applyAlignment="1">
      <alignment horizontal="center" vertical="center"/>
    </xf>
    <xf numFmtId="169" fontId="116" fillId="0" borderId="45" xfId="10" applyNumberFormat="1" applyFont="1" applyFill="1" applyBorder="1" applyAlignment="1">
      <alignment horizontal="left" vertical="center"/>
    </xf>
    <xf numFmtId="169" fontId="120" fillId="0" borderId="45" xfId="10" applyNumberFormat="1" applyFont="1" applyFill="1" applyBorder="1" applyAlignment="1">
      <alignment horizontal="left" vertical="center"/>
    </xf>
    <xf numFmtId="43" fontId="120" fillId="0" borderId="82" xfId="10" applyFont="1" applyFill="1" applyBorder="1" applyAlignment="1">
      <alignment horizontal="left"/>
    </xf>
    <xf numFmtId="169" fontId="116" fillId="0" borderId="20" xfId="10" applyNumberFormat="1" applyFont="1" applyFill="1" applyBorder="1" applyAlignment="1">
      <alignment horizontal="left" vertical="center"/>
    </xf>
    <xf numFmtId="169" fontId="120" fillId="0" borderId="20" xfId="10" applyNumberFormat="1" applyFont="1" applyFill="1" applyBorder="1" applyAlignment="1">
      <alignment horizontal="left" vertical="center"/>
    </xf>
    <xf numFmtId="43" fontId="120" fillId="0" borderId="86" xfId="10" applyFont="1" applyFill="1" applyBorder="1" applyAlignment="1">
      <alignment horizontal="left"/>
    </xf>
    <xf numFmtId="3" fontId="118" fillId="12" borderId="88" xfId="10" applyNumberFormat="1" applyFont="1" applyFill="1" applyBorder="1" applyAlignment="1">
      <alignment horizontal="right" vertical="center"/>
    </xf>
    <xf numFmtId="3" fontId="112" fillId="0" borderId="88" xfId="10" applyNumberFormat="1" applyFont="1" applyFill="1" applyBorder="1" applyAlignment="1">
      <alignment horizontal="right" vertical="center"/>
    </xf>
    <xf numFmtId="43" fontId="112" fillId="0" borderId="89" xfId="10" applyFont="1" applyFill="1" applyBorder="1" applyAlignment="1">
      <alignment horizontal="right" vertical="center"/>
    </xf>
    <xf numFmtId="0" fontId="122" fillId="0" borderId="0" xfId="8" applyFont="1" applyAlignment="1">
      <alignment wrapText="1"/>
    </xf>
    <xf numFmtId="169" fontId="122" fillId="0" borderId="0" xfId="9" applyNumberFormat="1" applyFont="1"/>
    <xf numFmtId="0" fontId="1" fillId="12" borderId="0" xfId="8" applyFill="1"/>
    <xf numFmtId="0" fontId="122" fillId="12" borderId="0" xfId="8" applyFont="1" applyFill="1"/>
    <xf numFmtId="0" fontId="1" fillId="0" borderId="0" xfId="8"/>
    <xf numFmtId="0" fontId="49" fillId="70" borderId="82" xfId="8" applyFont="1" applyFill="1" applyBorder="1" applyAlignment="1">
      <alignment vertical="center"/>
    </xf>
    <xf numFmtId="0" fontId="122" fillId="70" borderId="83" xfId="8" applyFont="1" applyFill="1" applyBorder="1"/>
    <xf numFmtId="169" fontId="122" fillId="70" borderId="91" xfId="9" applyNumberFormat="1" applyFont="1" applyFill="1" applyBorder="1"/>
    <xf numFmtId="0" fontId="122" fillId="12" borderId="45" xfId="8" applyFont="1" applyFill="1" applyBorder="1"/>
    <xf numFmtId="0" fontId="122" fillId="12" borderId="86" xfId="8" applyFont="1" applyFill="1" applyBorder="1"/>
    <xf numFmtId="164" fontId="122" fillId="12" borderId="20" xfId="9" applyFont="1" applyFill="1" applyBorder="1"/>
    <xf numFmtId="0" fontId="123" fillId="71" borderId="45" xfId="8" applyFont="1" applyFill="1" applyBorder="1"/>
    <xf numFmtId="164" fontId="122" fillId="52" borderId="22" xfId="9" applyFont="1" applyFill="1" applyBorder="1" applyAlignment="1"/>
    <xf numFmtId="169" fontId="122" fillId="0" borderId="92" xfId="9" applyNumberFormat="1" applyFont="1" applyBorder="1"/>
    <xf numFmtId="0" fontId="124" fillId="12" borderId="0" xfId="8" applyFont="1" applyFill="1"/>
    <xf numFmtId="0" fontId="122" fillId="52" borderId="45" xfId="8" applyFont="1" applyFill="1" applyBorder="1"/>
    <xf numFmtId="0" fontId="122" fillId="12" borderId="93" xfId="8" applyFont="1" applyFill="1" applyBorder="1"/>
    <xf numFmtId="164" fontId="122" fillId="12" borderId="21" xfId="9" applyFont="1" applyFill="1" applyBorder="1"/>
    <xf numFmtId="164" fontId="122" fillId="52" borderId="45" xfId="9" applyFont="1" applyFill="1" applyBorder="1" applyAlignment="1"/>
    <xf numFmtId="0" fontId="125" fillId="12" borderId="86" xfId="8" applyFont="1" applyFill="1" applyBorder="1"/>
    <xf numFmtId="0" fontId="125" fillId="12" borderId="94" xfId="8" applyFont="1" applyFill="1" applyBorder="1"/>
    <xf numFmtId="0" fontId="125" fillId="12" borderId="45" xfId="8" applyFont="1" applyFill="1" applyBorder="1"/>
    <xf numFmtId="0" fontId="122" fillId="12" borderId="90" xfId="8" applyFont="1" applyFill="1" applyBorder="1"/>
    <xf numFmtId="165" fontId="122" fillId="12" borderId="22" xfId="11" applyNumberFormat="1" applyFont="1" applyFill="1" applyBorder="1"/>
    <xf numFmtId="0" fontId="122" fillId="12" borderId="45" xfId="8" applyFont="1" applyFill="1" applyBorder="1" applyAlignment="1">
      <alignment horizontal="left"/>
    </xf>
    <xf numFmtId="165" fontId="124" fillId="0" borderId="45" xfId="8" applyNumberFormat="1" applyFont="1" applyBorder="1" applyAlignment="1">
      <alignment vertical="center"/>
    </xf>
    <xf numFmtId="0" fontId="125" fillId="12" borderId="45" xfId="8" applyFont="1" applyFill="1" applyBorder="1" applyAlignment="1">
      <alignment horizontal="center"/>
    </xf>
    <xf numFmtId="0" fontId="125" fillId="12" borderId="91" xfId="8" applyFont="1" applyFill="1" applyBorder="1" applyAlignment="1">
      <alignment horizontal="center"/>
    </xf>
    <xf numFmtId="169" fontId="122" fillId="52" borderId="45" xfId="9" applyNumberFormat="1" applyFont="1" applyFill="1" applyBorder="1"/>
    <xf numFmtId="178" fontId="122" fillId="12" borderId="92" xfId="8" applyNumberFormat="1" applyFont="1" applyFill="1" applyBorder="1"/>
    <xf numFmtId="178" fontId="122" fillId="12" borderId="21" xfId="8" applyNumberFormat="1" applyFont="1" applyFill="1" applyBorder="1"/>
    <xf numFmtId="0" fontId="122" fillId="12" borderId="93" xfId="8" applyFont="1" applyFill="1" applyBorder="1" applyAlignment="1">
      <alignment wrapText="1"/>
    </xf>
    <xf numFmtId="0" fontId="122" fillId="12" borderId="0" xfId="8" applyFont="1" applyFill="1" applyAlignment="1">
      <alignment wrapText="1"/>
    </xf>
    <xf numFmtId="169" fontId="122" fillId="12" borderId="92" xfId="9" applyNumberFormat="1" applyFont="1" applyFill="1" applyBorder="1"/>
    <xf numFmtId="164" fontId="122" fillId="12" borderId="93" xfId="9" applyFont="1" applyFill="1" applyBorder="1"/>
    <xf numFmtId="0" fontId="125" fillId="65" borderId="45" xfId="8" applyFont="1" applyFill="1" applyBorder="1"/>
    <xf numFmtId="169" fontId="125" fillId="12" borderId="92" xfId="9" applyNumberFormat="1" applyFont="1" applyFill="1" applyBorder="1"/>
    <xf numFmtId="175" fontId="122" fillId="12" borderId="0" xfId="8" applyNumberFormat="1" applyFont="1" applyFill="1"/>
    <xf numFmtId="175" fontId="122" fillId="12" borderId="0" xfId="9" applyNumberFormat="1" applyFont="1" applyFill="1"/>
    <xf numFmtId="9" fontId="122" fillId="12" borderId="0" xfId="8" applyNumberFormat="1" applyFont="1" applyFill="1"/>
    <xf numFmtId="169" fontId="122" fillId="12" borderId="0" xfId="9" applyNumberFormat="1" applyFont="1" applyFill="1"/>
    <xf numFmtId="0" fontId="122" fillId="12" borderId="85" xfId="8" applyFont="1" applyFill="1" applyBorder="1"/>
    <xf numFmtId="0" fontId="122" fillId="12" borderId="95" xfId="8" applyFont="1" applyFill="1" applyBorder="1"/>
    <xf numFmtId="0" fontId="125" fillId="12" borderId="86" xfId="8" applyFont="1" applyFill="1" applyBorder="1" applyAlignment="1">
      <alignment wrapText="1"/>
    </xf>
    <xf numFmtId="0" fontId="125" fillId="52" borderId="84" xfId="8" applyFont="1" applyFill="1" applyBorder="1" applyAlignment="1">
      <alignment wrapText="1"/>
    </xf>
    <xf numFmtId="0" fontId="125" fillId="12" borderId="84" xfId="8" applyFont="1" applyFill="1" applyBorder="1" applyAlignment="1">
      <alignment wrapText="1"/>
    </xf>
    <xf numFmtId="169" fontId="125" fillId="59" borderId="45" xfId="9" applyNumberFormat="1" applyFont="1" applyFill="1" applyBorder="1" applyAlignment="1">
      <alignment horizontal="left" indent="2"/>
    </xf>
    <xf numFmtId="164" fontId="125" fillId="12" borderId="21" xfId="9" applyFont="1" applyFill="1" applyBorder="1"/>
    <xf numFmtId="164" fontId="125" fillId="12" borderId="92" xfId="9" applyFont="1" applyFill="1" applyBorder="1"/>
    <xf numFmtId="178" fontId="125" fillId="12" borderId="21" xfId="8" applyNumberFormat="1" applyFont="1" applyFill="1" applyBorder="1"/>
    <xf numFmtId="0" fontId="122" fillId="12" borderId="20" xfId="8" applyFont="1" applyFill="1" applyBorder="1"/>
    <xf numFmtId="179" fontId="125" fillId="12" borderId="94" xfId="8" applyNumberFormat="1" applyFont="1" applyFill="1" applyBorder="1"/>
    <xf numFmtId="0" fontId="125" fillId="72" borderId="82" xfId="8" applyFont="1" applyFill="1" applyBorder="1"/>
    <xf numFmtId="0" fontId="125" fillId="72" borderId="82" xfId="8" applyFont="1" applyFill="1" applyBorder="1" applyAlignment="1">
      <alignment horizontal="center"/>
    </xf>
    <xf numFmtId="169" fontId="122" fillId="72" borderId="91" xfId="9" applyNumberFormat="1" applyFont="1" applyFill="1" applyBorder="1" applyAlignment="1">
      <alignment horizontal="center"/>
    </xf>
    <xf numFmtId="9" fontId="122" fillId="12" borderId="0" xfId="11" applyFont="1" applyFill="1"/>
    <xf numFmtId="164" fontId="122" fillId="52" borderId="21" xfId="9" applyFont="1" applyFill="1" applyBorder="1"/>
    <xf numFmtId="164" fontId="122" fillId="12" borderId="92" xfId="8" applyNumberFormat="1" applyFont="1" applyFill="1" applyBorder="1"/>
    <xf numFmtId="0" fontId="122" fillId="12" borderId="22" xfId="8" applyFont="1" applyFill="1" applyBorder="1"/>
    <xf numFmtId="165" fontId="125" fillId="12" borderId="95" xfId="11" applyNumberFormat="1" applyFont="1" applyFill="1" applyBorder="1"/>
    <xf numFmtId="0" fontId="122" fillId="0" borderId="93" xfId="8" applyFont="1" applyBorder="1"/>
    <xf numFmtId="169" fontId="122" fillId="52" borderId="93" xfId="9" applyNumberFormat="1" applyFont="1" applyFill="1" applyBorder="1"/>
    <xf numFmtId="169" fontId="122" fillId="0" borderId="93" xfId="9" applyNumberFormat="1" applyFont="1" applyBorder="1"/>
    <xf numFmtId="175" fontId="122" fillId="73" borderId="96" xfId="12" applyNumberFormat="1" applyFont="1" applyFill="1" applyBorder="1" applyAlignment="1">
      <alignment horizontal="center"/>
    </xf>
    <xf numFmtId="164" fontId="122" fillId="12" borderId="22" xfId="9" applyFont="1" applyFill="1" applyBorder="1"/>
    <xf numFmtId="43" fontId="122" fillId="12" borderId="22" xfId="8" applyNumberFormat="1" applyFont="1" applyFill="1" applyBorder="1"/>
    <xf numFmtId="178" fontId="122" fillId="73" borderId="96" xfId="12" applyNumberFormat="1" applyFont="1" applyFill="1" applyBorder="1" applyAlignment="1">
      <alignment horizontal="center"/>
    </xf>
    <xf numFmtId="165" fontId="122" fillId="12" borderId="45" xfId="11" applyNumberFormat="1" applyFont="1" applyFill="1" applyBorder="1"/>
    <xf numFmtId="165" fontId="122" fillId="12" borderId="91" xfId="11" applyNumberFormat="1" applyFont="1" applyFill="1" applyBorder="1"/>
    <xf numFmtId="0" fontId="124" fillId="0" borderId="93" xfId="8" applyFont="1" applyBorder="1"/>
    <xf numFmtId="43" fontId="122" fillId="12" borderId="0" xfId="8" applyNumberFormat="1" applyFont="1" applyFill="1"/>
    <xf numFmtId="0" fontId="122" fillId="12" borderId="84" xfId="8" applyFont="1" applyFill="1" applyBorder="1"/>
    <xf numFmtId="178" fontId="122" fillId="12" borderId="84" xfId="8" applyNumberFormat="1" applyFont="1" applyFill="1" applyBorder="1"/>
    <xf numFmtId="178" fontId="122" fillId="12" borderId="94" xfId="8" applyNumberFormat="1" applyFont="1" applyFill="1" applyBorder="1"/>
    <xf numFmtId="169" fontId="124" fillId="0" borderId="93" xfId="9" applyNumberFormat="1" applyFont="1" applyBorder="1"/>
    <xf numFmtId="180" fontId="122" fillId="12" borderId="0" xfId="8" applyNumberFormat="1" applyFont="1" applyFill="1"/>
    <xf numFmtId="178" fontId="122" fillId="12" borderId="0" xfId="8" applyNumberFormat="1" applyFont="1" applyFill="1"/>
    <xf numFmtId="0" fontId="122" fillId="12" borderId="92" xfId="8" applyFont="1" applyFill="1" applyBorder="1"/>
    <xf numFmtId="178" fontId="125" fillId="12" borderId="92" xfId="8" applyNumberFormat="1" applyFont="1" applyFill="1" applyBorder="1"/>
    <xf numFmtId="181" fontId="122" fillId="12" borderId="0" xfId="8" applyNumberFormat="1" applyFont="1" applyFill="1"/>
    <xf numFmtId="181" fontId="125" fillId="12" borderId="92" xfId="8" applyNumberFormat="1" applyFont="1" applyFill="1" applyBorder="1"/>
    <xf numFmtId="0" fontId="126" fillId="71" borderId="0" xfId="8" applyFont="1" applyFill="1"/>
    <xf numFmtId="169" fontId="125" fillId="72" borderId="82" xfId="9" applyNumberFormat="1" applyFont="1" applyFill="1" applyBorder="1"/>
    <xf numFmtId="169" fontId="125" fillId="72" borderId="82" xfId="8" applyNumberFormat="1" applyFont="1" applyFill="1" applyBorder="1"/>
    <xf numFmtId="178" fontId="125" fillId="72" borderId="45" xfId="12" applyNumberFormat="1" applyFont="1" applyFill="1" applyBorder="1"/>
    <xf numFmtId="164" fontId="122" fillId="59" borderId="92" xfId="9" applyFont="1" applyFill="1" applyBorder="1"/>
    <xf numFmtId="0" fontId="122" fillId="0" borderId="93" xfId="8" applyFont="1" applyBorder="1" applyAlignment="1">
      <alignment wrapText="1"/>
    </xf>
    <xf numFmtId="169" fontId="95" fillId="0" borderId="21" xfId="9" applyNumberFormat="1" applyFont="1" applyBorder="1" applyAlignment="1">
      <alignment horizontal="center"/>
    </xf>
    <xf numFmtId="180" fontId="122" fillId="74" borderId="0" xfId="12" applyNumberFormat="1" applyFont="1" applyFill="1" applyBorder="1" applyAlignment="1">
      <alignment horizontal="center"/>
    </xf>
    <xf numFmtId="173" fontId="122" fillId="0" borderId="93" xfId="8" applyNumberFormat="1" applyFont="1" applyBorder="1" applyAlignment="1">
      <alignment wrapText="1"/>
    </xf>
    <xf numFmtId="182" fontId="122" fillId="0" borderId="93" xfId="9" applyNumberFormat="1" applyFont="1" applyBorder="1" applyAlignment="1">
      <alignment wrapText="1"/>
    </xf>
    <xf numFmtId="178" fontId="122" fillId="75" borderId="96" xfId="12" applyNumberFormat="1" applyFont="1" applyFill="1" applyBorder="1" applyAlignment="1">
      <alignment horizontal="center"/>
    </xf>
    <xf numFmtId="0" fontId="122" fillId="59" borderId="82" xfId="8" applyFont="1" applyFill="1" applyBorder="1" applyAlignment="1">
      <alignment wrapText="1"/>
    </xf>
    <xf numFmtId="178" fontId="122" fillId="76" borderId="45" xfId="12" applyNumberFormat="1" applyFont="1" applyFill="1" applyBorder="1" applyAlignment="1">
      <alignment horizontal="center"/>
    </xf>
    <xf numFmtId="169" fontId="125" fillId="72" borderId="45" xfId="9" applyNumberFormat="1" applyFont="1" applyFill="1" applyBorder="1"/>
    <xf numFmtId="175" fontId="125" fillId="72" borderId="45" xfId="9" applyNumberFormat="1" applyFont="1" applyFill="1" applyBorder="1"/>
    <xf numFmtId="178" fontId="122" fillId="12" borderId="92" xfId="9" applyNumberFormat="1" applyFont="1" applyFill="1" applyBorder="1"/>
    <xf numFmtId="178" fontId="122" fillId="12" borderId="0" xfId="9" applyNumberFormat="1" applyFont="1" applyFill="1"/>
    <xf numFmtId="0" fontId="125" fillId="12" borderId="45" xfId="8" applyFont="1" applyFill="1" applyBorder="1" applyAlignment="1">
      <alignment wrapText="1"/>
    </xf>
    <xf numFmtId="0" fontId="125" fillId="12" borderId="0" xfId="8" applyFont="1" applyFill="1" applyAlignment="1">
      <alignment wrapText="1"/>
    </xf>
    <xf numFmtId="178" fontId="125" fillId="52" borderId="45" xfId="9" applyNumberFormat="1" applyFont="1" applyFill="1" applyBorder="1"/>
    <xf numFmtId="178" fontId="125" fillId="12" borderId="45" xfId="9" applyNumberFormat="1" applyFont="1" applyFill="1" applyBorder="1"/>
    <xf numFmtId="9" fontId="122" fillId="77" borderId="45" xfId="11" applyFont="1" applyFill="1" applyBorder="1"/>
    <xf numFmtId="9" fontId="122" fillId="12" borderId="92" xfId="11" applyFont="1" applyFill="1" applyBorder="1"/>
    <xf numFmtId="164" fontId="127" fillId="74" borderId="0" xfId="9" applyFont="1" applyFill="1" applyBorder="1" applyAlignment="1">
      <alignment horizontal="center"/>
    </xf>
    <xf numFmtId="169" fontId="122" fillId="12" borderId="93" xfId="9" applyNumberFormat="1" applyFont="1" applyFill="1" applyBorder="1"/>
    <xf numFmtId="169" fontId="122" fillId="12" borderId="0" xfId="9" applyNumberFormat="1" applyFont="1" applyFill="1" applyBorder="1"/>
    <xf numFmtId="177" fontId="125" fillId="12" borderId="0" xfId="12" applyNumberFormat="1" applyFont="1" applyFill="1" applyBorder="1"/>
    <xf numFmtId="169" fontId="124" fillId="12" borderId="0" xfId="9" applyNumberFormat="1" applyFont="1" applyFill="1" applyBorder="1"/>
    <xf numFmtId="0" fontId="125" fillId="12" borderId="90" xfId="8" applyFont="1" applyFill="1" applyBorder="1" applyAlignment="1">
      <alignment wrapText="1"/>
    </xf>
    <xf numFmtId="169" fontId="122" fillId="12" borderId="85" xfId="9" applyNumberFormat="1" applyFont="1" applyFill="1" applyBorder="1"/>
    <xf numFmtId="0" fontId="122" fillId="0" borderId="0" xfId="8" applyFont="1"/>
    <xf numFmtId="169" fontId="90" fillId="59" borderId="24" xfId="9" applyNumberFormat="1" applyFont="1" applyFill="1" applyBorder="1" applyAlignment="1">
      <alignment horizontal="center"/>
    </xf>
    <xf numFmtId="169" fontId="90" fillId="59" borderId="25" xfId="9" applyNumberFormat="1" applyFont="1" applyFill="1" applyBorder="1" applyAlignment="1">
      <alignment horizontal="center"/>
    </xf>
    <xf numFmtId="0" fontId="91" fillId="12" borderId="34" xfId="8" applyFont="1" applyFill="1" applyBorder="1" applyAlignment="1">
      <alignment horizontal="center" vertical="center" textRotation="90"/>
    </xf>
    <xf numFmtId="0" fontId="91" fillId="12" borderId="35" xfId="8" applyFont="1" applyFill="1" applyBorder="1" applyAlignment="1">
      <alignment horizontal="center" vertical="center" textRotation="90"/>
    </xf>
    <xf numFmtId="43" fontId="89" fillId="12" borderId="0" xfId="8" applyNumberFormat="1" applyFont="1" applyFill="1" applyAlignment="1">
      <alignment horizontal="center"/>
    </xf>
    <xf numFmtId="0" fontId="89" fillId="12" borderId="39" xfId="8" applyFont="1" applyFill="1" applyBorder="1" applyAlignment="1">
      <alignment horizontal="center" vertical="center" wrapText="1"/>
    </xf>
    <xf numFmtId="0" fontId="89" fillId="12" borderId="41" xfId="8" applyFont="1" applyFill="1" applyBorder="1" applyAlignment="1">
      <alignment horizontal="center" vertical="center" wrapText="1"/>
    </xf>
    <xf numFmtId="0" fontId="89" fillId="12" borderId="43" xfId="8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6" borderId="0" xfId="0" applyFont="1" applyFill="1" applyAlignment="1">
      <alignment horizontal="left" vertical="center"/>
    </xf>
    <xf numFmtId="0" fontId="10" fillId="0" borderId="0" xfId="0" applyFont="1" applyAlignment="1">
      <alignment horizontal="left" wrapText="1"/>
    </xf>
    <xf numFmtId="0" fontId="17" fillId="7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45" fillId="9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3" fillId="18" borderId="20" xfId="0" applyFont="1" applyFill="1" applyBorder="1" applyAlignment="1">
      <alignment horizontal="center" vertical="center" wrapText="1"/>
    </xf>
    <xf numFmtId="0" fontId="33" fillId="18" borderId="21" xfId="0" applyFont="1" applyFill="1" applyBorder="1" applyAlignment="1">
      <alignment horizontal="center" vertical="center" wrapText="1"/>
    </xf>
    <xf numFmtId="0" fontId="33" fillId="18" borderId="22" xfId="0" applyFont="1" applyFill="1" applyBorder="1" applyAlignment="1">
      <alignment horizontal="center" vertical="center" wrapText="1"/>
    </xf>
    <xf numFmtId="0" fontId="33" fillId="18" borderId="0" xfId="0" applyFont="1" applyFill="1" applyAlignment="1">
      <alignment horizontal="center" vertical="center"/>
    </xf>
    <xf numFmtId="0" fontId="33" fillId="18" borderId="4" xfId="0" applyFont="1" applyFill="1" applyBorder="1" applyAlignment="1">
      <alignment horizontal="center" vertical="center"/>
    </xf>
    <xf numFmtId="0" fontId="64" fillId="11" borderId="0" xfId="0" applyFont="1" applyFill="1" applyAlignment="1">
      <alignment horizontal="center" vertical="center"/>
    </xf>
    <xf numFmtId="0" fontId="33" fillId="0" borderId="10" xfId="0" applyFont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/>
    </xf>
    <xf numFmtId="0" fontId="29" fillId="54" borderId="3" xfId="0" applyFont="1" applyFill="1" applyBorder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23" fillId="10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61" fillId="0" borderId="12" xfId="0" applyFont="1" applyBorder="1" applyAlignment="1">
      <alignment horizontal="center" vertical="center" wrapText="1"/>
    </xf>
    <xf numFmtId="0" fontId="61" fillId="0" borderId="13" xfId="0" applyFont="1" applyBorder="1" applyAlignment="1">
      <alignment horizontal="center" vertical="center" wrapText="1"/>
    </xf>
    <xf numFmtId="0" fontId="61" fillId="0" borderId="14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  <xf numFmtId="0" fontId="33" fillId="18" borderId="0" xfId="0" applyFont="1" applyFill="1" applyAlignment="1">
      <alignment horizontal="center" vertical="center" wrapText="1"/>
    </xf>
    <xf numFmtId="0" fontId="65" fillId="11" borderId="0" xfId="0" applyFont="1" applyFill="1" applyAlignment="1">
      <alignment horizontal="center" vertical="center"/>
    </xf>
    <xf numFmtId="0" fontId="37" fillId="22" borderId="0" xfId="0" applyFont="1" applyFill="1" applyAlignment="1">
      <alignment horizontal="right"/>
    </xf>
    <xf numFmtId="0" fontId="29" fillId="39" borderId="3" xfId="0" applyFont="1" applyFill="1" applyBorder="1" applyAlignment="1">
      <alignment horizontal="right" vertical="center"/>
    </xf>
    <xf numFmtId="0" fontId="37" fillId="5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5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33" fillId="0" borderId="12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4" xfId="0" applyFont="1" applyBorder="1" applyAlignment="1">
      <alignment horizontal="center" vertical="center" wrapText="1"/>
    </xf>
    <xf numFmtId="0" fontId="99" fillId="48" borderId="47" xfId="8" applyFont="1" applyFill="1" applyBorder="1" applyAlignment="1">
      <alignment horizontal="center" vertical="center"/>
    </xf>
    <xf numFmtId="0" fontId="99" fillId="48" borderId="52" xfId="8" applyFont="1" applyFill="1" applyBorder="1" applyAlignment="1">
      <alignment horizontal="center" vertical="center"/>
    </xf>
    <xf numFmtId="169" fontId="99" fillId="48" borderId="48" xfId="9" applyNumberFormat="1" applyFont="1" applyFill="1" applyBorder="1" applyAlignment="1">
      <alignment horizontal="center" vertical="center"/>
    </xf>
    <xf numFmtId="169" fontId="99" fillId="48" borderId="53" xfId="9" applyNumberFormat="1" applyFont="1" applyFill="1" applyBorder="1" applyAlignment="1">
      <alignment horizontal="center" vertical="center"/>
    </xf>
    <xf numFmtId="0" fontId="99" fillId="62" borderId="49" xfId="8" applyFont="1" applyFill="1" applyBorder="1" applyAlignment="1">
      <alignment horizontal="center" vertical="center"/>
    </xf>
    <xf numFmtId="0" fontId="99" fillId="62" borderId="50" xfId="8" applyFont="1" applyFill="1" applyBorder="1" applyAlignment="1">
      <alignment horizontal="center" vertical="center"/>
    </xf>
    <xf numFmtId="0" fontId="99" fillId="62" borderId="51" xfId="8" applyFont="1" applyFill="1" applyBorder="1" applyAlignment="1">
      <alignment horizontal="center" vertical="center"/>
    </xf>
    <xf numFmtId="169" fontId="90" fillId="59" borderId="77" xfId="9" applyNumberFormat="1" applyFont="1" applyFill="1" applyBorder="1" applyAlignment="1">
      <alignment horizontal="center"/>
    </xf>
    <xf numFmtId="169" fontId="90" fillId="63" borderId="24" xfId="9" applyNumberFormat="1" applyFont="1" applyFill="1" applyBorder="1" applyAlignment="1">
      <alignment horizontal="center"/>
    </xf>
    <xf numFmtId="169" fontId="90" fillId="63" borderId="77" xfId="9" applyNumberFormat="1" applyFont="1" applyFill="1" applyBorder="1" applyAlignment="1">
      <alignment horizontal="center"/>
    </xf>
    <xf numFmtId="169" fontId="90" fillId="63" borderId="25" xfId="9" applyNumberFormat="1" applyFont="1" applyFill="1" applyBorder="1" applyAlignment="1">
      <alignment horizontal="center"/>
    </xf>
    <xf numFmtId="169" fontId="106" fillId="64" borderId="26" xfId="9" applyNumberFormat="1" applyFont="1" applyFill="1" applyBorder="1" applyAlignment="1">
      <alignment horizontal="center"/>
    </xf>
    <xf numFmtId="169" fontId="106" fillId="64" borderId="27" xfId="9" applyNumberFormat="1" applyFont="1" applyFill="1" applyBorder="1" applyAlignment="1">
      <alignment horizontal="center"/>
    </xf>
    <xf numFmtId="169" fontId="106" fillId="65" borderId="26" xfId="9" applyNumberFormat="1" applyFont="1" applyFill="1" applyBorder="1" applyAlignment="1">
      <alignment horizontal="center"/>
    </xf>
    <xf numFmtId="169" fontId="106" fillId="65" borderId="27" xfId="9" applyNumberFormat="1" applyFont="1" applyFill="1" applyBorder="1" applyAlignment="1">
      <alignment horizontal="center"/>
    </xf>
    <xf numFmtId="0" fontId="109" fillId="58" borderId="24" xfId="8" applyFont="1" applyFill="1" applyBorder="1" applyAlignment="1">
      <alignment horizontal="center"/>
    </xf>
    <xf numFmtId="0" fontId="109" fillId="58" borderId="25" xfId="8" applyFont="1" applyFill="1" applyBorder="1" applyAlignment="1">
      <alignment horizontal="center"/>
    </xf>
    <xf numFmtId="0" fontId="91" fillId="12" borderId="31" xfId="8" applyFont="1" applyFill="1" applyBorder="1" applyAlignment="1">
      <alignment horizontal="center" vertical="center" textRotation="90"/>
    </xf>
    <xf numFmtId="43" fontId="89" fillId="12" borderId="34" xfId="8" applyNumberFormat="1" applyFont="1" applyFill="1" applyBorder="1" applyAlignment="1">
      <alignment horizontal="center"/>
    </xf>
    <xf numFmtId="43" fontId="89" fillId="12" borderId="31" xfId="8" applyNumberFormat="1" applyFont="1" applyFill="1" applyBorder="1" applyAlignment="1">
      <alignment horizontal="center"/>
    </xf>
    <xf numFmtId="43" fontId="89" fillId="12" borderId="35" xfId="8" applyNumberFormat="1" applyFont="1" applyFill="1" applyBorder="1" applyAlignment="1">
      <alignment horizontal="center"/>
    </xf>
    <xf numFmtId="0" fontId="21" fillId="27" borderId="5" xfId="0" applyFont="1" applyFill="1" applyBorder="1" applyAlignment="1">
      <alignment horizontal="left" vertical="center" wrapText="1" indent="2"/>
    </xf>
    <xf numFmtId="0" fontId="55" fillId="27" borderId="5" xfId="0" applyFont="1" applyFill="1" applyBorder="1" applyAlignment="1">
      <alignment horizontal="right"/>
    </xf>
    <xf numFmtId="0" fontId="55" fillId="27" borderId="8" xfId="0" applyFont="1" applyFill="1" applyBorder="1" applyAlignment="1">
      <alignment horizontal="right"/>
    </xf>
    <xf numFmtId="0" fontId="55" fillId="27" borderId="9" xfId="0" applyFont="1" applyFill="1" applyBorder="1" applyAlignment="1">
      <alignment horizontal="right"/>
    </xf>
    <xf numFmtId="0" fontId="53" fillId="35" borderId="6" xfId="0" applyFont="1" applyFill="1" applyBorder="1" applyAlignment="1">
      <alignment horizontal="left" vertical="center" indent="2"/>
    </xf>
    <xf numFmtId="0" fontId="54" fillId="36" borderId="6" xfId="0" applyFont="1" applyFill="1" applyBorder="1" applyAlignment="1">
      <alignment horizontal="left" vertical="center" indent="2"/>
    </xf>
    <xf numFmtId="0" fontId="8" fillId="24" borderId="7" xfId="0" applyFont="1" applyFill="1" applyBorder="1" applyAlignment="1">
      <alignment horizontal="left" vertical="center" indent="2"/>
    </xf>
    <xf numFmtId="0" fontId="8" fillId="24" borderId="5" xfId="0" applyFont="1" applyFill="1" applyBorder="1" applyAlignment="1">
      <alignment horizontal="center" vertical="center" wrapText="1"/>
    </xf>
    <xf numFmtId="0" fontId="8" fillId="25" borderId="6" xfId="0" applyFont="1" applyFill="1" applyBorder="1" applyAlignment="1">
      <alignment horizontal="left" vertical="center" indent="2"/>
    </xf>
    <xf numFmtId="0" fontId="8" fillId="29" borderId="6" xfId="0" applyFont="1" applyFill="1" applyBorder="1" applyAlignment="1">
      <alignment horizontal="left" vertical="center" indent="2"/>
    </xf>
    <xf numFmtId="0" fontId="8" fillId="33" borderId="5" xfId="0" applyFont="1" applyFill="1" applyBorder="1" applyAlignment="1">
      <alignment horizontal="left" vertical="center" indent="2"/>
    </xf>
    <xf numFmtId="0" fontId="52" fillId="34" borderId="6" xfId="0" applyFont="1" applyFill="1" applyBorder="1" applyAlignment="1">
      <alignment horizontal="left" vertical="center" indent="2"/>
    </xf>
    <xf numFmtId="0" fontId="8" fillId="25" borderId="5" xfId="0" applyFont="1" applyFill="1" applyBorder="1" applyAlignment="1">
      <alignment horizontal="left" vertical="center" indent="2"/>
    </xf>
    <xf numFmtId="0" fontId="8" fillId="24" borderId="0" xfId="0" applyFont="1" applyFill="1" applyAlignment="1">
      <alignment horizontal="center" vertical="center"/>
    </xf>
    <xf numFmtId="0" fontId="56" fillId="25" borderId="0" xfId="0" applyFont="1" applyFill="1" applyAlignment="1">
      <alignment horizontal="center" vertical="center"/>
    </xf>
    <xf numFmtId="0" fontId="8" fillId="25" borderId="5" xfId="0" applyFont="1" applyFill="1" applyBorder="1" applyAlignment="1">
      <alignment horizontal="center" vertical="center" wrapText="1"/>
    </xf>
    <xf numFmtId="0" fontId="75" fillId="38" borderId="16" xfId="7" applyFont="1" applyFill="1" applyBorder="1" applyAlignment="1">
      <alignment horizontal="left" vertical="center" wrapText="1"/>
    </xf>
    <xf numFmtId="0" fontId="75" fillId="38" borderId="17" xfId="7" applyFont="1" applyFill="1" applyBorder="1" applyAlignment="1">
      <alignment horizontal="left" vertical="center" wrapText="1"/>
    </xf>
    <xf numFmtId="0" fontId="75" fillId="38" borderId="18" xfId="7" applyFont="1" applyFill="1" applyBorder="1" applyAlignment="1">
      <alignment horizontal="left" vertical="center" wrapText="1"/>
    </xf>
  </cellXfs>
  <cellStyles count="14">
    <cellStyle name="Comma" xfId="1" builtinId="3"/>
    <cellStyle name="Comma [0] 2" xfId="13" xr:uid="{2CEC1218-A8F3-4270-866B-28D09D8917D6}"/>
    <cellStyle name="Comma 18 2" xfId="3" xr:uid="{4922072E-8C29-4BE1-B14D-A3AA9CC2B46F}"/>
    <cellStyle name="Comma 2" xfId="4" xr:uid="{02528875-C4FA-4CB1-BCB5-E745CC89328B}"/>
    <cellStyle name="Comma 2 2" xfId="9" xr:uid="{1C85D97D-133D-471E-8D66-B4C36C311DC7}"/>
    <cellStyle name="Comma 3" xfId="10" xr:uid="{0EAD401C-9379-459B-BCD3-2A4EB3E12FEA}"/>
    <cellStyle name="Currency 2" xfId="12" xr:uid="{7AC4B229-5AA1-45D1-920F-1C10BA8E3E32}"/>
    <cellStyle name="Normal" xfId="0" builtinId="0"/>
    <cellStyle name="Normal 2" xfId="2" xr:uid="{D44F72B3-CBB2-4697-B7EC-E5B467ECD21A}"/>
    <cellStyle name="Normal 22" xfId="7" xr:uid="{19A0F087-D0B1-407E-BB6E-FB1A95998685}"/>
    <cellStyle name="Normal 3" xfId="6" xr:uid="{F1FA854D-94DC-4B5F-93E8-E489A1655DA8}"/>
    <cellStyle name="Normal 4" xfId="8" xr:uid="{2A1DEEFE-D58F-48B6-B9DE-DE6F666B5F37}"/>
    <cellStyle name="Percent" xfId="5" builtinId="5"/>
    <cellStyle name="Percent 2" xfId="11" xr:uid="{A34E6B93-162E-46DF-AFA9-9F0A2AEF32A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5EFFF"/>
      <color rgb="FF0000CC"/>
      <color rgb="FF9FDAFF"/>
      <color rgb="FFA3DCFF"/>
      <color rgb="FFCCECFF"/>
      <color rgb="FFD4ECF8"/>
      <color rgb="FFFFFFCC"/>
      <color rgb="FF0033CC"/>
      <color rgb="FF000099"/>
      <color rgb="FFDAE7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63</xdr:row>
      <xdr:rowOff>66675</xdr:rowOff>
    </xdr:from>
    <xdr:to>
      <xdr:col>9</xdr:col>
      <xdr:colOff>38940</xdr:colOff>
      <xdr:row>73</xdr:row>
      <xdr:rowOff>17290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36D38B-90B5-43B7-91A5-DF793AC55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12553950"/>
          <a:ext cx="9689670" cy="1674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org2849663.sharepoint.com/sites/FPABudgetfiles-F12026/Shared%20Documents/F1%202026%20-%20WF/Stratton%20Consol_Financials%20Forecast%201%20.xlsx" TargetMode="External"/><Relationship Id="rId1" Type="http://schemas.openxmlformats.org/officeDocument/2006/relationships/externalLinkPath" Target="https://netorg2849663.sharepoint.com/sites/FPABudgetfiles-F12026/Shared%20Documents/F1%202026%20-%20WF/Stratton%20Consol_Financials%20Forecast%201%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ictustrading.sharepoint.com/sites/FPATEAM/Shared%20Documents/General/TEAM's%20FILEs/Steve_Shared%20Folder/Quick%20requests%20-2026/Osama%20Burhan/Sudan%20Commodities%20Costing%20Season%20May%202025-2026.xlsx" TargetMode="External"/><Relationship Id="rId1" Type="http://schemas.openxmlformats.org/officeDocument/2006/relationships/externalLinkPath" Target="https://invictustrading.sharepoint.com/sites/FPATEAM/Shared%20Documents/General/TEAM's%20FILEs/Steve_Shared%20Folder/Quick%20requests%20-2026/Osama%20Burhan/Sudan%20Commodities%20Costing%20Season%20May%202025-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nit\CIM\Monthly%20costing\Jan%2026\Gum%20Arabic%20Costing-%20Jan%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ictustrading.sharepoint.com/sites/FPATEAM/Shared%20Documents/General/TEAM's%20FILEs/Steve_Shared%20Folder/Quick%20requests%20-2026/Osama%20Burhan/Moz%20Draft%201_April%20Costing%20Soy%20and%20Mung%20Beans%20V7.xlsx" TargetMode="External"/><Relationship Id="rId1" Type="http://schemas.openxmlformats.org/officeDocument/2006/relationships/externalLinkPath" Target="https://invictustrading.sharepoint.com/sites/FPATEAM/Shared%20Documents/General/TEAM's%20FILEs/Steve_Shared%20Folder/Quick%20requests%20-2026/Osama%20Burhan/Moz%20Draft%201_April%20Costing%20Soy%20and%20Mung%20Beans%20V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Vinit\CIM\Monthly%20costing\Jan%2026\Sorghum\Gadarif%20Sorghum%20Costing%20Feb%204,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victustrading.sharepoint.com/sites/FPATEAM/Shared%20Documents/General/TEAM's%20FILEs/Maham/1-Costing/Ethiopia/2026%20Shipment%20_%20228%20MT_76mt_114MT_Provional%20price_300426.xlsx" TargetMode="External"/><Relationship Id="rId1" Type="http://schemas.openxmlformats.org/officeDocument/2006/relationships/externalLinkPath" Target="https://invictustrading.sharepoint.com/sites/FPATEAM/Shared%20Documents/General/TEAM's%20FILEs/Maham/1-Costing/Ethiopia/2026%20Shipment%20_%20228%20MT_76mt_114MT_Provional%20price_3004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tios25"/>
      <sheetName val="Actual Sales 2024"/>
      <sheetName val="Summary Volume+Rev (USD)"/>
      <sheetName val="&lt;&lt;&lt;Index+Assumption&gt;&gt;&gt;"/>
      <sheetName val="Summary Volume+Rev LC MZN"/>
      <sheetName val="Summary Volume+Rev LC USD"/>
      <sheetName val="P&amp;L Site wise-Merec"/>
      <sheetName val="P&amp;L Stratton Consol"/>
      <sheetName val="P &amp; L All Entities"/>
      <sheetName val="Financing Schedule AOP 2026 wi"/>
      <sheetName val="Plan"/>
      <sheetName val="Assumption Sheet"/>
      <sheetName val="Bread Yield"/>
      <sheetName val="Wheat Consumption"/>
      <sheetName val="Sales Volumes F1"/>
      <sheetName val="Price change Assumption"/>
      <sheetName val="Prices 28th 26"/>
      <sheetName val="Allocation G&amp;A"/>
      <sheetName val="Balance Sheet Stratton Consol"/>
      <sheetName val="P&amp;L Stratton ConsolMZN"/>
      <sheetName val="P&amp;L Stratton Consol (edited)"/>
      <sheetName val="Balance Sheet Merec"/>
      <sheetName val="Cash Flow Merec"/>
      <sheetName val="Cash Flow "/>
      <sheetName val="Cashflow Stratton Cons"/>
      <sheetName val="2026"/>
      <sheetName val="P&amp;L Merec  MZN"/>
      <sheetName val="F3 Upload"/>
      <sheetName val="&gt;&gt;&gt;&gt;&gt;&gt;"/>
      <sheetName val="Capacity Utilization"/>
      <sheetName val="BS"/>
      <sheetName val="Labor + SG&amp;A"/>
      <sheetName val="Analysis"/>
      <sheetName val="Balance Sheet Merec- WIP"/>
      <sheetName val="P&amp;L Bank"/>
      <sheetName val="Details_USD"/>
      <sheetName val="Payables"/>
      <sheetName val="Sheet5"/>
      <sheetName val="Wheat Stocks"/>
      <sheetName val="Balance Sheet Merec (2)"/>
      <sheetName val="Working"/>
      <sheetName val="&gt;&gt;&gt;&gt;Workings&gt;&gt;&gt;&gt;&gt;"/>
      <sheetName val="Stock Aging MZN Exco"/>
      <sheetName val="Loan2"/>
      <sheetName val="Loan"/>
      <sheetName val="Debit Position Sept 2025"/>
      <sheetName val="Aquila Working"/>
      <sheetName val="Sheet6"/>
      <sheetName val="HP"/>
      <sheetName val="Financing Schedule To upd-AOP"/>
      <sheetName val="Budget 2026"/>
      <sheetName val="Aquila Profit"/>
      <sheetName val="Sheet2"/>
      <sheetName val="Capex Without Insurance F2"/>
      <sheetName val="Sheet4"/>
      <sheetName val="CF"/>
      <sheetName val="2025"/>
      <sheetName val="Working Capital"/>
      <sheetName val="Bread (2)"/>
      <sheetName val="Bread"/>
      <sheetName val="2025Budget"/>
      <sheetName val="Trading Account"/>
      <sheetName val="2025-2030 (2)"/>
      <sheetName val="Summary Volume+Rev"/>
      <sheetName val="Volumes-Bread F2"/>
      <sheetName val="Sum-Bread"/>
      <sheetName val="CAPinst"/>
      <sheetName val="Assumption_Bread"/>
      <sheetName val="graphs"/>
      <sheetName val="Monthwise"/>
      <sheetName val="Assumptions F2025"/>
      <sheetName val="DB"/>
      <sheetName val="Data for Costing July"/>
      <sheetName val="Volumes-Bread"/>
      <sheetName val="Capex-Bread"/>
      <sheetName val="Comparision"/>
      <sheetName val="CONS"/>
      <sheetName val="ESTi &amp; Ratios"/>
      <sheetName val="Summ"/>
      <sheetName val="Capex 2025 ver 12 October 2024"/>
      <sheetName val="Aquila Trading Account"/>
      <sheetName val="P&amp; L MGT"/>
      <sheetName val="STOCK  F1 2026"/>
      <sheetName val=" P&amp;L Aquila"/>
      <sheetName val="2025 September Actuals"/>
      <sheetName val="Sales Volumes F3 &amp; AOP 2026"/>
      <sheetName val="Plants&gt;&gt;&gt;&gt;&gt;&gt;"/>
      <sheetName val="MSW"/>
      <sheetName val="MMW"/>
      <sheetName val="MBW"/>
      <sheetName val="FP"/>
      <sheetName val="MBW (2)"/>
      <sheetName val="MNW"/>
      <sheetName val="DEP"/>
      <sheetName val="Budget Vs. Actual"/>
      <sheetName val="2025-2030"/>
      <sheetName val="Y Wise"/>
      <sheetName val="FAR 31-12-2024 Draft"/>
      <sheetName val="Sheet1"/>
      <sheetName val="2024"/>
      <sheetName val="Qty"/>
      <sheetName val="MSW Premix"/>
      <sheetName val="MMM"/>
      <sheetName val="Sheet3"/>
      <sheetName val="MBM"/>
      <sheetName val="MSP"/>
      <sheetName val="MBP"/>
      <sheetName val="MNP 2"/>
      <sheetName val="MSP I"/>
      <sheetName val="MNP I"/>
      <sheetName val="MMF F3"/>
      <sheetName val="Expor Comodities PL"/>
      <sheetName val="Bread Division P&amp;L"/>
      <sheetName val="MMF Formutations Raw materials"/>
      <sheetName val="F1 Consolidated Vol SKU"/>
      <sheetName val="Wheat VCA"/>
      <sheetName val="Pasta VCA"/>
      <sheetName val="Maize VCA"/>
      <sheetName val="Bread VCA"/>
      <sheetName val="Commodities PP"/>
      <sheetName val="Commodities RCN"/>
      <sheetName val="Raw Material costs COMM"/>
      <sheetName val="Processing Costs COMM"/>
      <sheetName val="Working Capital Schedule"/>
      <sheetName val="MBP Domestic sales"/>
      <sheetName val="MSP Domestic"/>
      <sheetName val="Input Data &gt;&gt;&gt;&gt;&gt;&gt;"/>
      <sheetName val="Milling Cost"/>
      <sheetName val="Milling  % Extraction Rate"/>
      <sheetName val="Sales Prices"/>
      <sheetName val="Procurement Prices F1"/>
      <sheetName val="Transportation Expenses AOP+BP "/>
      <sheetName val="Capex + Depreciation"/>
      <sheetName val="Consolidated Capex AOP (MZN)"/>
      <sheetName val="Additions 2026 depreciation"/>
      <sheetName val="Consolidated Capex AOP (USD)"/>
      <sheetName val="Depreciation"/>
      <sheetName val="Depreciation Recon"/>
      <sheetName val="Additions 27 - 30 depreciation"/>
      <sheetName val="MMF F1"/>
      <sheetName val="MMF F0"/>
      <sheetName val="IT"/>
      <sheetName val="R&amp;M"/>
      <sheetName val="Transport"/>
      <sheetName val="Capex-Bread F1"/>
      <sheetName val="Capex Merec 2025 F1"/>
      <sheetName val="New Office"/>
      <sheetName val="Wheat"/>
      <sheetName val="Pasta"/>
      <sheetName val="Feed"/>
      <sheetName val="Biscuit"/>
      <sheetName val="Maiz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3">
          <cell r="E3">
            <v>64.569999999999993</v>
          </cell>
        </row>
      </sheetData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10">
          <cell r="N10">
            <v>800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- All Commodities"/>
      <sheetName val="Costing Summary"/>
      <sheetName val="Input Sheet_"/>
      <sheetName val="GA Cleaned costing "/>
      <sheetName val="Summ"/>
      <sheetName val="Output Sheet_"/>
      <sheetName val="Watermelon "/>
      <sheetName val="Sesame"/>
      <sheetName val="Sunflower seeds"/>
      <sheetName val="Cotton - Jazeera"/>
      <sheetName val="Cotton - New Halfa"/>
      <sheetName val="GNC      "/>
      <sheetName val="GNO Costing"/>
      <sheetName val="Chickpeas"/>
      <sheetName val="GA SD costing"/>
      <sheetName val="Sorghum"/>
      <sheetName val="Pigeon Peas Final"/>
      <sheetName val="Cotton 2"/>
      <sheetName val="Shelled-HPS Costing"/>
      <sheetName val="&gt;&gt;"/>
      <sheetName val="pakgng cost"/>
      <sheetName val="CIM-Cotton"/>
      <sheetName val="CIM-Sesame"/>
      <sheetName val="Shelled-HPS In-house processed"/>
      <sheetName val="PP"/>
      <sheetName val="GAH"/>
      <sheetName val="GAH-SD"/>
      <sheetName val="CBOS prices"/>
    </sheetNames>
    <sheetDataSet>
      <sheetData sheetId="0"/>
      <sheetData sheetId="1"/>
      <sheetData sheetId="2">
        <row r="3">
          <cell r="E3">
            <v>3600</v>
          </cell>
        </row>
        <row r="12">
          <cell r="K12">
            <v>2542857.1428571427</v>
          </cell>
        </row>
        <row r="13">
          <cell r="K13">
            <v>2596153.846153846</v>
          </cell>
        </row>
        <row r="14">
          <cell r="K14">
            <v>12237500</v>
          </cell>
        </row>
        <row r="15">
          <cell r="K15">
            <v>13795000</v>
          </cell>
        </row>
        <row r="16">
          <cell r="K16">
            <v>1891250</v>
          </cell>
        </row>
        <row r="17">
          <cell r="K17">
            <v>3003750</v>
          </cell>
        </row>
      </sheetData>
      <sheetData sheetId="3"/>
      <sheetData sheetId="4"/>
      <sheetData sheetId="5">
        <row r="23">
          <cell r="D23">
            <v>1300000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 SD costing"/>
      <sheetName val="Siedahmed 8-1-26"/>
      <sheetName val="Inv Holding Period"/>
      <sheetName val="Sheet1"/>
    </sheetNames>
    <sheetDataSet>
      <sheetData sheetId="0"/>
      <sheetData sheetId="1">
        <row r="4">
          <cell r="H4">
            <v>160</v>
          </cell>
        </row>
      </sheetData>
      <sheetData sheetId="2">
        <row r="14">
          <cell r="B14">
            <v>2.5000000000000001E-2</v>
          </cell>
        </row>
        <row r="15">
          <cell r="B15">
            <v>3.3333333333333333E-2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eting Summary"/>
      <sheetName val="Mung Beans – Nacala"/>
      <sheetName val="Soy Beans – Nacala"/>
      <sheetName val="TP price"/>
      <sheetName val="Manica quot. 25MT"/>
      <sheetName val="Manica quot. 23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3">
          <cell r="F13">
            <v>7.6521739130434785</v>
          </cell>
        </row>
        <row r="14">
          <cell r="F14">
            <v>1.3478260869565217</v>
          </cell>
        </row>
        <row r="15">
          <cell r="F15">
            <v>0.65217391304347827</v>
          </cell>
        </row>
        <row r="23">
          <cell r="F23">
            <v>6.5217391304347823</v>
          </cell>
        </row>
        <row r="26">
          <cell r="F26">
            <v>2.6086956521739131</v>
          </cell>
        </row>
        <row r="27">
          <cell r="F27">
            <v>4.0434782608695654</v>
          </cell>
        </row>
        <row r="28">
          <cell r="F28">
            <v>1.3043478260869565</v>
          </cell>
        </row>
        <row r="29">
          <cell r="F29">
            <v>1.5217391304347827</v>
          </cell>
        </row>
        <row r="32">
          <cell r="F32">
            <v>13.478260869565217</v>
          </cell>
        </row>
        <row r="35">
          <cell r="F35">
            <v>0.76086956521739135</v>
          </cell>
        </row>
        <row r="36">
          <cell r="F36">
            <v>5.2173913043478258E-2</v>
          </cell>
        </row>
        <row r="37">
          <cell r="F37">
            <v>0.86956521739130432</v>
          </cell>
        </row>
        <row r="38">
          <cell r="F38">
            <v>0.27826086956521739</v>
          </cell>
        </row>
        <row r="39">
          <cell r="F39">
            <v>0.34782608695652173</v>
          </cell>
        </row>
        <row r="40">
          <cell r="F40">
            <v>0.21739130434782608</v>
          </cell>
        </row>
        <row r="41">
          <cell r="F41">
            <v>0.34782608695652173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ghum"/>
      <sheetName val="Siedahmed- 06012026"/>
      <sheetName val="Siedahmed-Assumptions"/>
      <sheetName val="Inv Holding Period"/>
    </sheetNames>
    <sheetDataSet>
      <sheetData sheetId="0" refreshError="1"/>
      <sheetData sheetId="1">
        <row r="7">
          <cell r="D7">
            <v>1400</v>
          </cell>
        </row>
        <row r="10">
          <cell r="D10">
            <v>10416.666666666666</v>
          </cell>
        </row>
        <row r="11">
          <cell r="D11">
            <v>12500</v>
          </cell>
        </row>
        <row r="12">
          <cell r="D12">
            <v>714.28571428571433</v>
          </cell>
        </row>
        <row r="13">
          <cell r="D13">
            <v>7291.6666666666661</v>
          </cell>
        </row>
        <row r="14">
          <cell r="D14">
            <v>4875</v>
          </cell>
        </row>
        <row r="15">
          <cell r="D15">
            <v>14040</v>
          </cell>
        </row>
        <row r="16">
          <cell r="D16">
            <v>51480</v>
          </cell>
        </row>
        <row r="17">
          <cell r="D17">
            <v>5850</v>
          </cell>
        </row>
        <row r="18">
          <cell r="D18">
            <v>19675.166666666668</v>
          </cell>
        </row>
        <row r="19">
          <cell r="D19">
            <v>5350.1156785013072</v>
          </cell>
        </row>
        <row r="20">
          <cell r="D20">
            <v>12200</v>
          </cell>
        </row>
        <row r="21">
          <cell r="D21">
            <v>10000</v>
          </cell>
        </row>
        <row r="22">
          <cell r="D22">
            <v>400</v>
          </cell>
        </row>
        <row r="23">
          <cell r="D23">
            <v>6457.5</v>
          </cell>
        </row>
        <row r="25">
          <cell r="D25">
            <v>24869.791666666664</v>
          </cell>
        </row>
        <row r="26">
          <cell r="D26">
            <v>6800</v>
          </cell>
        </row>
        <row r="27">
          <cell r="D27">
            <v>2083.333333333333</v>
          </cell>
        </row>
      </sheetData>
      <sheetData sheetId="2">
        <row r="12">
          <cell r="C12">
            <v>324.04166666666697</v>
          </cell>
        </row>
      </sheetData>
      <sheetData sheetId="3">
        <row r="12">
          <cell r="B12">
            <v>2.5000000000000001E-2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"/>
      <sheetName val="D- Note (2)"/>
      <sheetName val="Cnt 2_76mt (2)"/>
      <sheetName val="Cnt 2_76mt"/>
      <sheetName val="Cnt 1_114mt"/>
      <sheetName val="Cnt 3_228mt"/>
      <sheetName val="FIFO "/>
      <sheetName val="D- Note"/>
      <sheetName val="Contracts"/>
      <sheetName val="Finance costs"/>
      <sheetName val="Model USD Salecosting+ MH_F (2)"/>
      <sheetName val="Purchases"/>
      <sheetName val="Zemen Loan"/>
      <sheetName val="SBLC"/>
      <sheetName val="N"/>
      <sheetName val="Freight"/>
      <sheetName val="Sales Vol"/>
      <sheetName val="Model USD Salecosting+ MH_F (3)"/>
      <sheetName val="Imports"/>
      <sheetName val="Financing Model"/>
    </sheetNames>
    <sheetDataSet>
      <sheetData sheetId="0"/>
      <sheetData sheetId="1"/>
      <sheetData sheetId="2"/>
      <sheetData sheetId="3"/>
      <sheetData sheetId="4">
        <row r="3">
          <cell r="C3">
            <v>153.0847</v>
          </cell>
        </row>
        <row r="4">
          <cell r="C4">
            <v>153.0847</v>
          </cell>
        </row>
      </sheetData>
      <sheetData sheetId="5"/>
      <sheetData sheetId="6">
        <row r="10">
          <cell r="M10">
            <v>76</v>
          </cell>
          <cell r="N10">
            <v>18780.721238938051</v>
          </cell>
        </row>
      </sheetData>
      <sheetData sheetId="7"/>
      <sheetData sheetId="8">
        <row r="28">
          <cell r="D28">
            <v>1250</v>
          </cell>
        </row>
      </sheetData>
      <sheetData sheetId="9">
        <row r="4">
          <cell r="I4">
            <v>3000</v>
          </cell>
        </row>
        <row r="6">
          <cell r="C6">
            <v>3.3125000000000002E-2</v>
          </cell>
        </row>
        <row r="12">
          <cell r="C12">
            <v>50.065092666666665</v>
          </cell>
        </row>
        <row r="16">
          <cell r="C16">
            <v>10.080220000000001</v>
          </cell>
        </row>
      </sheetData>
      <sheetData sheetId="10"/>
      <sheetData sheetId="11"/>
      <sheetData sheetId="12"/>
      <sheetData sheetId="13"/>
      <sheetData sheetId="14"/>
      <sheetData sheetId="15">
        <row r="62">
          <cell r="N62">
            <v>56.103751415019985</v>
          </cell>
        </row>
      </sheetData>
      <sheetData sheetId="16"/>
      <sheetData sheetId="17"/>
      <sheetData sheetId="18"/>
      <sheetData sheetId="1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 Mutai" id="{848CFBB3-1087-4C5A-B32F-E5D80FA93284}" userId="4d5545f51038bb87" providerId="Windows Live"/>
  <person displayName="Stephen Kipkemboi Mutai" id="{13F18FE7-7F47-46CB-A002-90E0E89EAC93}" userId="S::stephen.mutai@invictustrading.ae::4f60a59f-67f3-435a-9ac3-e4daf0f44d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12-18T07:25:53.07" personId="{00000000-0000-0000-0000-000000000000}" id="{BDAF724F-A63A-4197-9638-7774191464F8}">
    <text>Based on 2 cycles</text>
  </threadedComment>
  <threadedComment ref="E11" dT="2025-12-16T13:51:09.15" personId="{00000000-0000-0000-0000-000000000000}" id="{26E7EE4C-1573-4F1F-B7E7-2302A0A8FDFC}">
    <text>Based on 2-cycle sifting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6" dT="2026-02-05T08:25:24.54" personId="{13F18FE7-7F47-46CB-A002-90E0E89EAC93}" id="{445145A2-CE4F-4923-9ABC-4C0402586E6E}">
    <text>Target 2% margin on selling price</text>
  </threadedComment>
  <threadedComment ref="K6" dT="2026-02-05T08:22:51.39" personId="{13F18FE7-7F47-46CB-A002-90E0E89EAC93}" id="{D5417DB3-AAE3-4485-8791-FB864C713E4D}">
    <text>MOT price</text>
  </threadedComment>
  <threadedComment ref="L6" dT="2026-02-05T08:23:18.30" personId="{13F18FE7-7F47-46CB-A002-90E0E89EAC93}" id="{1F58EFDE-4647-4EAE-8A97-40E2A4177AE6}">
    <text>Total cost less SBL &amp; Brokerage costs</text>
  </threadedComment>
  <threadedComment ref="J11" dT="2026-03-25T11:14:39.96" personId="{13F18FE7-7F47-46CB-A002-90E0E89EAC93}" id="{D4752A1C-52DA-4D5C-AE6B-CF6522062D7D}">
    <text>CFR</text>
  </threadedComment>
  <threadedComment ref="L11" dT="2026-02-05T08:22:38.44" personId="{13F18FE7-7F47-46CB-A002-90E0E89EAC93}" id="{6853D07D-33B0-42FE-B368-5AB5029D5A50}">
    <text>MOT price</text>
  </threadedComment>
  <threadedComment ref="B12" dT="2025-03-05T18:48:18.50" personId="{848CFBB3-1087-4C5A-B32F-E5D80FA93284}" id="{D2D5DB88-A8D8-4A1B-B5FC-34F09416AF20}">
    <text>Delivered price at the cleaning facility)(Includes Transportation)</text>
  </threadedComment>
  <threadedComment ref="C12" dT="2026-03-20T17:05:20.24" personId="{13F18FE7-7F47-46CB-A002-90E0E89EAC93}" id="{2A04FF53-495B-402E-B4D8-7BCC78D01B56}">
    <text>Update basis Husam actual system numbers</text>
  </threadedComment>
  <threadedComment ref="E45" dT="2026-03-15T12:24:51.91" personId="{13F18FE7-7F47-46CB-A002-90E0E89EAC93}" id="{5732D9AB-2B20-4B53-BD43-7BC500D4F402}">
    <text xml:space="preserve">Invictus Trading FZE to Amros FZCO.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showGridLines="0" topLeftCell="A22" zoomScaleNormal="100" workbookViewId="0">
      <selection activeCell="A73" sqref="A73:XFD73"/>
    </sheetView>
  </sheetViews>
  <sheetFormatPr defaultColWidth="8.5546875" defaultRowHeight="14.4" x14ac:dyDescent="0.3"/>
  <cols>
    <col min="1" max="1" width="38.44140625" style="1" customWidth="1"/>
    <col min="2" max="2" width="60" style="1" customWidth="1"/>
    <col min="3" max="3" width="22" style="1" customWidth="1"/>
    <col min="4" max="4" width="22.88671875" style="1" bestFit="1" customWidth="1"/>
    <col min="5" max="16384" width="8.5546875" style="1"/>
  </cols>
  <sheetData>
    <row r="1" spans="1:4" ht="17.399999999999999" customHeight="1" x14ac:dyDescent="0.3">
      <c r="A1" s="700" t="s">
        <v>144</v>
      </c>
      <c r="B1" s="700"/>
      <c r="C1" s="700"/>
      <c r="D1" s="700"/>
    </row>
    <row r="2" spans="1:4" ht="15.75" customHeight="1" x14ac:dyDescent="0.3">
      <c r="A2" s="701" t="s">
        <v>143</v>
      </c>
      <c r="B2" s="701"/>
      <c r="C2" s="701"/>
      <c r="D2" s="701"/>
    </row>
    <row r="4" spans="1:4" x14ac:dyDescent="0.3">
      <c r="A4" s="702" t="s">
        <v>0</v>
      </c>
      <c r="B4" s="702"/>
      <c r="C4" s="702"/>
      <c r="D4" s="702"/>
    </row>
    <row r="5" spans="1:4" ht="32.4" customHeight="1" x14ac:dyDescent="0.3">
      <c r="A5" s="12" t="s">
        <v>1</v>
      </c>
      <c r="B5" s="703" t="s">
        <v>2</v>
      </c>
      <c r="C5" s="703"/>
      <c r="D5" s="703"/>
    </row>
    <row r="6" spans="1:4" x14ac:dyDescent="0.3">
      <c r="A6" s="12" t="s">
        <v>3</v>
      </c>
      <c r="B6" s="703" t="s">
        <v>4</v>
      </c>
      <c r="C6" s="703"/>
      <c r="D6" s="703"/>
    </row>
    <row r="7" spans="1:4" x14ac:dyDescent="0.3">
      <c r="A7" s="12" t="s">
        <v>5</v>
      </c>
      <c r="B7" s="703" t="s">
        <v>6</v>
      </c>
      <c r="C7" s="703"/>
      <c r="D7" s="703"/>
    </row>
    <row r="9" spans="1:4" x14ac:dyDescent="0.3">
      <c r="A9" s="702" t="s">
        <v>7</v>
      </c>
      <c r="B9" s="702"/>
      <c r="C9" s="702"/>
      <c r="D9" s="702"/>
    </row>
    <row r="10" spans="1:4" ht="31.65" customHeight="1" x14ac:dyDescent="0.3">
      <c r="A10" s="13" t="s">
        <v>8</v>
      </c>
      <c r="B10" s="703" t="s">
        <v>9</v>
      </c>
      <c r="C10" s="703"/>
      <c r="D10" s="703"/>
    </row>
    <row r="11" spans="1:4" ht="19.649999999999999" customHeight="1" x14ac:dyDescent="0.3">
      <c r="A11" s="13" t="s">
        <v>10</v>
      </c>
      <c r="B11" s="703" t="s">
        <v>11</v>
      </c>
      <c r="C11" s="703"/>
      <c r="D11" s="703"/>
    </row>
    <row r="12" spans="1:4" ht="20.399999999999999" customHeight="1" x14ac:dyDescent="0.3">
      <c r="A12" s="13" t="s">
        <v>12</v>
      </c>
      <c r="B12" s="703" t="s">
        <v>13</v>
      </c>
      <c r="C12" s="703"/>
      <c r="D12" s="703"/>
    </row>
    <row r="14" spans="1:4" x14ac:dyDescent="0.3">
      <c r="A14" s="702" t="s">
        <v>14</v>
      </c>
      <c r="B14" s="702"/>
      <c r="C14" s="702"/>
      <c r="D14" s="702"/>
    </row>
    <row r="15" spans="1:4" ht="18" customHeight="1" x14ac:dyDescent="0.3">
      <c r="A15" s="13" t="s">
        <v>15</v>
      </c>
      <c r="B15" s="703" t="s">
        <v>16</v>
      </c>
      <c r="C15" s="703"/>
      <c r="D15" s="703"/>
    </row>
    <row r="16" spans="1:4" ht="19.350000000000001" customHeight="1" x14ac:dyDescent="0.3">
      <c r="A16" s="13" t="s">
        <v>17</v>
      </c>
      <c r="B16" s="703" t="s">
        <v>18</v>
      </c>
      <c r="C16" s="703"/>
      <c r="D16" s="703"/>
    </row>
    <row r="17" spans="1:4" ht="20.399999999999999" customHeight="1" x14ac:dyDescent="0.3">
      <c r="A17" s="13" t="s">
        <v>19</v>
      </c>
      <c r="B17" s="703" t="s">
        <v>20</v>
      </c>
      <c r="C17" s="703"/>
      <c r="D17" s="703"/>
    </row>
    <row r="18" spans="1:4" ht="19.649999999999999" customHeight="1" x14ac:dyDescent="0.3">
      <c r="A18" s="13" t="s">
        <v>21</v>
      </c>
      <c r="B18" s="703" t="s">
        <v>22</v>
      </c>
      <c r="C18" s="703"/>
      <c r="D18" s="703"/>
    </row>
    <row r="20" spans="1:4" x14ac:dyDescent="0.3">
      <c r="A20" s="702" t="s">
        <v>23</v>
      </c>
      <c r="B20" s="702"/>
      <c r="C20" s="702"/>
      <c r="D20" s="702"/>
    </row>
    <row r="21" spans="1:4" ht="16.350000000000001" customHeight="1" x14ac:dyDescent="0.3">
      <c r="A21" s="13" t="s">
        <v>24</v>
      </c>
      <c r="B21" s="703" t="s">
        <v>25</v>
      </c>
      <c r="C21" s="703"/>
      <c r="D21" s="703"/>
    </row>
    <row r="22" spans="1:4" ht="16.649999999999999" customHeight="1" x14ac:dyDescent="0.3">
      <c r="A22" s="13" t="s">
        <v>26</v>
      </c>
      <c r="B22" s="703" t="s">
        <v>27</v>
      </c>
      <c r="C22" s="703"/>
      <c r="D22" s="703"/>
    </row>
    <row r="23" spans="1:4" ht="16.350000000000001" customHeight="1" x14ac:dyDescent="0.3">
      <c r="A23" s="13" t="s">
        <v>28</v>
      </c>
      <c r="B23" s="703" t="s">
        <v>29</v>
      </c>
      <c r="C23" s="703"/>
      <c r="D23" s="703"/>
    </row>
    <row r="24" spans="1:4" ht="17.399999999999999" customHeight="1" x14ac:dyDescent="0.3">
      <c r="A24" s="13" t="s">
        <v>30</v>
      </c>
      <c r="B24" s="703" t="s">
        <v>31</v>
      </c>
      <c r="C24" s="703"/>
      <c r="D24" s="703"/>
    </row>
    <row r="26" spans="1:4" x14ac:dyDescent="0.3">
      <c r="A26" s="702" t="s">
        <v>32</v>
      </c>
      <c r="B26" s="702"/>
      <c r="C26" s="702"/>
      <c r="D26" s="702"/>
    </row>
    <row r="27" spans="1:4" ht="19.350000000000001" customHeight="1" x14ac:dyDescent="0.3">
      <c r="A27" s="14" t="s">
        <v>33</v>
      </c>
      <c r="B27" s="703" t="s">
        <v>34</v>
      </c>
      <c r="C27" s="703"/>
      <c r="D27" s="703"/>
    </row>
    <row r="28" spans="1:4" ht="19.649999999999999" customHeight="1" x14ac:dyDescent="0.3">
      <c r="A28" s="14" t="s">
        <v>35</v>
      </c>
      <c r="B28" s="703" t="s">
        <v>36</v>
      </c>
      <c r="C28" s="703"/>
      <c r="D28" s="703"/>
    </row>
    <row r="29" spans="1:4" ht="19.350000000000001" customHeight="1" x14ac:dyDescent="0.3">
      <c r="A29" s="14" t="s">
        <v>37</v>
      </c>
      <c r="B29" s="703" t="s">
        <v>38</v>
      </c>
      <c r="C29" s="703"/>
      <c r="D29" s="703"/>
    </row>
    <row r="31" spans="1:4" x14ac:dyDescent="0.3">
      <c r="A31" s="702" t="s">
        <v>39</v>
      </c>
      <c r="B31" s="702"/>
      <c r="C31" s="702"/>
      <c r="D31" s="702"/>
    </row>
    <row r="32" spans="1:4" ht="18" customHeight="1" x14ac:dyDescent="0.3">
      <c r="A32" s="14" t="s">
        <v>40</v>
      </c>
      <c r="B32" s="703" t="s">
        <v>41</v>
      </c>
      <c r="C32" s="703"/>
      <c r="D32" s="703"/>
    </row>
    <row r="33" spans="1:4" ht="18" customHeight="1" x14ac:dyDescent="0.3">
      <c r="A33" s="14" t="s">
        <v>42</v>
      </c>
      <c r="B33" s="703" t="s">
        <v>43</v>
      </c>
      <c r="C33" s="703"/>
      <c r="D33" s="703"/>
    </row>
    <row r="35" spans="1:4" x14ac:dyDescent="0.3">
      <c r="A35" s="702" t="s">
        <v>44</v>
      </c>
      <c r="B35" s="702"/>
      <c r="C35" s="702"/>
      <c r="D35" s="702"/>
    </row>
    <row r="36" spans="1:4" x14ac:dyDescent="0.3">
      <c r="A36" s="13" t="s">
        <v>45</v>
      </c>
      <c r="B36" s="703" t="s">
        <v>46</v>
      </c>
      <c r="C36" s="703"/>
      <c r="D36" s="703"/>
    </row>
    <row r="37" spans="1:4" x14ac:dyDescent="0.3">
      <c r="A37" s="13" t="s">
        <v>142</v>
      </c>
      <c r="B37" s="703" t="s">
        <v>47</v>
      </c>
      <c r="C37" s="703"/>
      <c r="D37" s="703"/>
    </row>
    <row r="38" spans="1:4" x14ac:dyDescent="0.3">
      <c r="A38" s="13" t="s">
        <v>48</v>
      </c>
      <c r="B38" s="703" t="s">
        <v>49</v>
      </c>
      <c r="C38" s="703"/>
      <c r="D38" s="703"/>
    </row>
    <row r="39" spans="1:4" x14ac:dyDescent="0.3">
      <c r="A39" s="13" t="s">
        <v>50</v>
      </c>
      <c r="B39" s="703" t="s">
        <v>51</v>
      </c>
      <c r="C39" s="703"/>
      <c r="D39" s="703"/>
    </row>
    <row r="40" spans="1:4" x14ac:dyDescent="0.3">
      <c r="A40" s="13" t="s">
        <v>52</v>
      </c>
      <c r="B40" s="703" t="s">
        <v>53</v>
      </c>
      <c r="C40" s="703"/>
      <c r="D40" s="703"/>
    </row>
    <row r="42" spans="1:4" x14ac:dyDescent="0.3">
      <c r="A42" s="702" t="s">
        <v>54</v>
      </c>
      <c r="B42" s="702"/>
      <c r="C42" s="702"/>
      <c r="D42" s="702"/>
    </row>
    <row r="43" spans="1:4" x14ac:dyDescent="0.3">
      <c r="A43" s="13" t="s">
        <v>55</v>
      </c>
      <c r="B43" s="703" t="s">
        <v>56</v>
      </c>
      <c r="C43" s="703"/>
      <c r="D43" s="703"/>
    </row>
    <row r="44" spans="1:4" x14ac:dyDescent="0.3">
      <c r="A44" s="13" t="s">
        <v>57</v>
      </c>
      <c r="B44" s="703" t="s">
        <v>58</v>
      </c>
      <c r="C44" s="703"/>
      <c r="D44" s="703"/>
    </row>
    <row r="45" spans="1:4" x14ac:dyDescent="0.3">
      <c r="A45" s="13" t="s">
        <v>59</v>
      </c>
      <c r="B45" s="703" t="s">
        <v>60</v>
      </c>
      <c r="C45" s="703"/>
      <c r="D45" s="703"/>
    </row>
    <row r="46" spans="1:4" x14ac:dyDescent="0.3">
      <c r="A46" s="13" t="s">
        <v>61</v>
      </c>
      <c r="B46" s="703" t="s">
        <v>62</v>
      </c>
      <c r="C46" s="703"/>
      <c r="D46" s="703"/>
    </row>
    <row r="47" spans="1:4" x14ac:dyDescent="0.3">
      <c r="A47" s="13" t="s">
        <v>63</v>
      </c>
      <c r="B47" s="703" t="s">
        <v>64</v>
      </c>
      <c r="C47" s="703"/>
      <c r="D47" s="703"/>
    </row>
    <row r="48" spans="1:4" x14ac:dyDescent="0.3">
      <c r="A48" s="13" t="s">
        <v>65</v>
      </c>
      <c r="B48" s="703" t="s">
        <v>66</v>
      </c>
      <c r="C48" s="703"/>
      <c r="D48" s="703"/>
    </row>
    <row r="50" spans="1:4" x14ac:dyDescent="0.3">
      <c r="A50" s="702" t="s">
        <v>67</v>
      </c>
      <c r="B50" s="702"/>
      <c r="C50" s="702"/>
      <c r="D50" s="702"/>
    </row>
    <row r="51" spans="1:4" x14ac:dyDescent="0.3">
      <c r="A51" s="2" t="s">
        <v>68</v>
      </c>
      <c r="B51" s="703" t="s">
        <v>69</v>
      </c>
      <c r="C51" s="703"/>
      <c r="D51" s="703"/>
    </row>
    <row r="52" spans="1:4" x14ac:dyDescent="0.3">
      <c r="A52" s="2" t="s">
        <v>70</v>
      </c>
      <c r="B52" s="703" t="s">
        <v>71</v>
      </c>
      <c r="C52" s="703"/>
      <c r="D52" s="703"/>
    </row>
    <row r="54" spans="1:4" x14ac:dyDescent="0.3">
      <c r="A54" s="702" t="s">
        <v>72</v>
      </c>
      <c r="B54" s="702"/>
      <c r="C54" s="702"/>
      <c r="D54" s="702"/>
    </row>
    <row r="55" spans="1:4" x14ac:dyDescent="0.3">
      <c r="A55" s="2" t="s">
        <v>73</v>
      </c>
      <c r="B55" s="703" t="s">
        <v>74</v>
      </c>
      <c r="C55" s="703"/>
      <c r="D55" s="703"/>
    </row>
    <row r="56" spans="1:4" x14ac:dyDescent="0.3">
      <c r="A56" s="2" t="s">
        <v>75</v>
      </c>
      <c r="B56" s="703" t="s">
        <v>76</v>
      </c>
      <c r="C56" s="703"/>
      <c r="D56" s="703"/>
    </row>
    <row r="57" spans="1:4" x14ac:dyDescent="0.3">
      <c r="A57" s="2" t="s">
        <v>55</v>
      </c>
      <c r="B57" s="703" t="s">
        <v>77</v>
      </c>
      <c r="C57" s="703"/>
      <c r="D57" s="703"/>
    </row>
    <row r="58" spans="1:4" x14ac:dyDescent="0.3">
      <c r="A58" s="2" t="s">
        <v>78</v>
      </c>
      <c r="B58" s="703" t="s">
        <v>79</v>
      </c>
      <c r="C58" s="703"/>
      <c r="D58" s="703"/>
    </row>
    <row r="59" spans="1:4" x14ac:dyDescent="0.3">
      <c r="A59" s="2" t="s">
        <v>5</v>
      </c>
      <c r="B59" s="703" t="s">
        <v>80</v>
      </c>
      <c r="C59" s="703"/>
      <c r="D59" s="703"/>
    </row>
    <row r="60" spans="1:4" x14ac:dyDescent="0.3">
      <c r="A60" s="2" t="s">
        <v>81</v>
      </c>
      <c r="B60" s="703" t="s">
        <v>82</v>
      </c>
      <c r="C60" s="703"/>
      <c r="D60" s="703"/>
    </row>
    <row r="63" spans="1:4" x14ac:dyDescent="0.3">
      <c r="A63" s="704" t="s">
        <v>83</v>
      </c>
      <c r="B63" s="704"/>
      <c r="C63" s="704"/>
      <c r="D63" s="704"/>
    </row>
    <row r="64" spans="1:4" x14ac:dyDescent="0.3">
      <c r="A64" s="11" t="s">
        <v>84</v>
      </c>
      <c r="B64" s="11" t="s">
        <v>81</v>
      </c>
      <c r="C64" s="15" t="s">
        <v>85</v>
      </c>
      <c r="D64" s="15" t="s">
        <v>73</v>
      </c>
    </row>
    <row r="65" spans="1:4" x14ac:dyDescent="0.3">
      <c r="A65" s="3" t="s">
        <v>86</v>
      </c>
      <c r="B65" s="81" t="s">
        <v>87</v>
      </c>
      <c r="C65" s="4" t="s">
        <v>88</v>
      </c>
      <c r="D65" s="5" t="s">
        <v>201</v>
      </c>
    </row>
    <row r="66" spans="1:4" x14ac:dyDescent="0.3">
      <c r="A66" s="6" t="s">
        <v>90</v>
      </c>
      <c r="B66" s="80" t="s">
        <v>91</v>
      </c>
      <c r="C66" s="7" t="s">
        <v>92</v>
      </c>
      <c r="D66" s="8" t="s">
        <v>202</v>
      </c>
    </row>
    <row r="67" spans="1:4" x14ac:dyDescent="0.3">
      <c r="A67" s="3" t="s">
        <v>90</v>
      </c>
      <c r="B67" s="81" t="s">
        <v>93</v>
      </c>
      <c r="C67" s="4" t="s">
        <v>92</v>
      </c>
      <c r="D67" s="5" t="s">
        <v>202</v>
      </c>
    </row>
    <row r="68" spans="1:4" x14ac:dyDescent="0.3">
      <c r="A68" s="6" t="s">
        <v>90</v>
      </c>
      <c r="B68" s="80" t="s">
        <v>94</v>
      </c>
      <c r="C68" s="7" t="s">
        <v>95</v>
      </c>
      <c r="D68" s="8" t="s">
        <v>203</v>
      </c>
    </row>
    <row r="69" spans="1:4" x14ac:dyDescent="0.3">
      <c r="A69" s="3" t="s">
        <v>96</v>
      </c>
      <c r="B69" s="81" t="s">
        <v>204</v>
      </c>
      <c r="C69" s="4" t="s">
        <v>97</v>
      </c>
      <c r="D69" s="5" t="s">
        <v>89</v>
      </c>
    </row>
    <row r="70" spans="1:4" x14ac:dyDescent="0.3">
      <c r="A70" s="6" t="s">
        <v>98</v>
      </c>
      <c r="B70" s="80" t="s">
        <v>99</v>
      </c>
      <c r="C70" s="7" t="s">
        <v>92</v>
      </c>
      <c r="D70" s="8" t="s">
        <v>89</v>
      </c>
    </row>
    <row r="71" spans="1:4" x14ac:dyDescent="0.3">
      <c r="A71" s="3" t="s">
        <v>100</v>
      </c>
      <c r="B71" s="81" t="s">
        <v>101</v>
      </c>
      <c r="C71" s="4" t="s">
        <v>92</v>
      </c>
      <c r="D71" s="5" t="s">
        <v>89</v>
      </c>
    </row>
    <row r="72" spans="1:4" x14ac:dyDescent="0.3">
      <c r="A72" s="3" t="s">
        <v>100</v>
      </c>
      <c r="B72" s="81" t="s">
        <v>102</v>
      </c>
      <c r="C72" s="9" t="s">
        <v>103</v>
      </c>
      <c r="D72" s="5" t="s">
        <v>89</v>
      </c>
    </row>
    <row r="73" spans="1:4" x14ac:dyDescent="0.3">
      <c r="A73" s="6" t="s">
        <v>90</v>
      </c>
      <c r="B73" s="80" t="s">
        <v>104</v>
      </c>
      <c r="C73" s="10" t="s">
        <v>105</v>
      </c>
      <c r="D73" s="8" t="s">
        <v>89</v>
      </c>
    </row>
    <row r="75" spans="1:4" x14ac:dyDescent="0.3">
      <c r="A75" s="705" t="s">
        <v>106</v>
      </c>
      <c r="B75" s="705"/>
      <c r="C75" s="705"/>
      <c r="D75" s="705"/>
    </row>
    <row r="76" spans="1:4" ht="19.5" customHeight="1" x14ac:dyDescent="0.3">
      <c r="A76" s="703" t="s">
        <v>107</v>
      </c>
      <c r="B76" s="703"/>
      <c r="C76" s="703"/>
      <c r="D76" s="703"/>
    </row>
    <row r="77" spans="1:4" ht="19.5" customHeight="1" x14ac:dyDescent="0.3">
      <c r="A77" s="703" t="s">
        <v>108</v>
      </c>
      <c r="B77" s="703"/>
      <c r="C77" s="703"/>
      <c r="D77" s="703"/>
    </row>
    <row r="78" spans="1:4" ht="19.5" customHeight="1" x14ac:dyDescent="0.3">
      <c r="A78" s="703" t="s">
        <v>109</v>
      </c>
      <c r="B78" s="703"/>
      <c r="C78" s="703"/>
      <c r="D78" s="703"/>
    </row>
  </sheetData>
  <mergeCells count="55">
    <mergeCell ref="A63:D63"/>
    <mergeCell ref="A75:D75"/>
    <mergeCell ref="A76:D76"/>
    <mergeCell ref="A77:D77"/>
    <mergeCell ref="A78:D78"/>
    <mergeCell ref="B56:D56"/>
    <mergeCell ref="B57:D57"/>
    <mergeCell ref="B58:D58"/>
    <mergeCell ref="B59:D59"/>
    <mergeCell ref="B60:D60"/>
    <mergeCell ref="A50:D50"/>
    <mergeCell ref="B51:D51"/>
    <mergeCell ref="B52:D52"/>
    <mergeCell ref="A54:D54"/>
    <mergeCell ref="B55:D55"/>
    <mergeCell ref="B44:D44"/>
    <mergeCell ref="B45:D45"/>
    <mergeCell ref="B46:D46"/>
    <mergeCell ref="B47:D47"/>
    <mergeCell ref="B48:D48"/>
    <mergeCell ref="B38:D38"/>
    <mergeCell ref="B39:D39"/>
    <mergeCell ref="B40:D40"/>
    <mergeCell ref="A42:D42"/>
    <mergeCell ref="B43:D43"/>
    <mergeCell ref="B32:D32"/>
    <mergeCell ref="B33:D33"/>
    <mergeCell ref="A35:D35"/>
    <mergeCell ref="B36:D36"/>
    <mergeCell ref="B37:D37"/>
    <mergeCell ref="A26:D26"/>
    <mergeCell ref="B27:D27"/>
    <mergeCell ref="B28:D28"/>
    <mergeCell ref="B29:D29"/>
    <mergeCell ref="A31:D31"/>
    <mergeCell ref="A20:D20"/>
    <mergeCell ref="B21:D21"/>
    <mergeCell ref="B22:D22"/>
    <mergeCell ref="B23:D23"/>
    <mergeCell ref="B24:D24"/>
    <mergeCell ref="A14:D14"/>
    <mergeCell ref="B15:D15"/>
    <mergeCell ref="B16:D16"/>
    <mergeCell ref="B17:D17"/>
    <mergeCell ref="B18:D18"/>
    <mergeCell ref="B7:D7"/>
    <mergeCell ref="A9:D9"/>
    <mergeCell ref="B10:D10"/>
    <mergeCell ref="B11:D11"/>
    <mergeCell ref="B12:D12"/>
    <mergeCell ref="A1:D1"/>
    <mergeCell ref="A2:D2"/>
    <mergeCell ref="A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7"/>
  <sheetViews>
    <sheetView showGridLines="0" tabSelected="1" topLeftCell="A48" zoomScale="90" zoomScaleNormal="90" workbookViewId="0">
      <selection activeCell="C71" sqref="C71"/>
    </sheetView>
  </sheetViews>
  <sheetFormatPr defaultColWidth="8.5546875" defaultRowHeight="14.4" outlineLevelRow="1" x14ac:dyDescent="0.3"/>
  <cols>
    <col min="1" max="1" width="32.6640625" style="1" bestFit="1" customWidth="1"/>
    <col min="2" max="2" width="32.109375" style="1" hidden="1" customWidth="1"/>
    <col min="3" max="3" width="53.77734375" style="1" customWidth="1"/>
    <col min="4" max="4" width="8.6640625" style="1" bestFit="1" customWidth="1"/>
    <col min="5" max="5" width="7.6640625" style="1" bestFit="1" customWidth="1"/>
    <col min="6" max="6" width="12" style="1" bestFit="1" customWidth="1"/>
    <col min="7" max="7" width="76.5546875" style="1" bestFit="1" customWidth="1"/>
    <col min="8" max="8" width="22.88671875" style="1" customWidth="1"/>
    <col min="9" max="9" width="22.44140625" style="1" bestFit="1" customWidth="1"/>
    <col min="10" max="10" width="7.44140625" style="1" bestFit="1" customWidth="1"/>
    <col min="11" max="11" width="5.6640625" style="1" bestFit="1" customWidth="1"/>
    <col min="12" max="12" width="13" style="1" bestFit="1" customWidth="1"/>
    <col min="13" max="13" width="38.33203125" style="1" bestFit="1" customWidth="1"/>
    <col min="14" max="14" width="8.5546875" style="16"/>
    <col min="15" max="16384" width="8.5546875" style="1"/>
  </cols>
  <sheetData>
    <row r="1" spans="1:14" ht="18" customHeight="1" x14ac:dyDescent="0.3">
      <c r="A1" s="707" t="s">
        <v>338</v>
      </c>
      <c r="B1" s="707"/>
      <c r="C1" s="707"/>
      <c r="D1" s="707"/>
      <c r="E1" s="707"/>
      <c r="F1" s="707"/>
      <c r="G1" s="707"/>
      <c r="I1" s="716" t="s">
        <v>110</v>
      </c>
      <c r="J1" s="716"/>
      <c r="K1" s="716"/>
      <c r="L1" s="716"/>
      <c r="M1" s="716"/>
      <c r="N1" s="158"/>
    </row>
    <row r="2" spans="1:14" ht="15.75" customHeight="1" x14ac:dyDescent="0.3">
      <c r="A2" s="708" t="s">
        <v>337</v>
      </c>
      <c r="B2" s="708"/>
      <c r="C2" s="708"/>
      <c r="D2" s="708"/>
      <c r="E2" s="708"/>
      <c r="F2" s="708"/>
      <c r="G2" s="708"/>
      <c r="I2" s="18" t="s">
        <v>111</v>
      </c>
      <c r="J2" s="19" t="s">
        <v>145</v>
      </c>
      <c r="K2" s="19" t="s">
        <v>147</v>
      </c>
      <c r="L2" s="20" t="s">
        <v>146</v>
      </c>
      <c r="M2" s="19" t="s">
        <v>148</v>
      </c>
      <c r="N2" s="156"/>
    </row>
    <row r="3" spans="1:14" ht="15" customHeight="1" x14ac:dyDescent="0.3">
      <c r="A3" s="716" t="s">
        <v>119</v>
      </c>
      <c r="B3" s="716"/>
      <c r="C3" s="716"/>
      <c r="D3" s="716"/>
      <c r="E3" s="716"/>
      <c r="F3" s="716"/>
      <c r="G3" s="716"/>
      <c r="I3" s="70" t="s">
        <v>112</v>
      </c>
      <c r="J3" s="71" t="s">
        <v>113</v>
      </c>
      <c r="K3" s="72">
        <v>2000</v>
      </c>
      <c r="L3" s="73" t="s">
        <v>200</v>
      </c>
      <c r="M3" s="138" t="s">
        <v>271</v>
      </c>
      <c r="N3" s="157"/>
    </row>
    <row r="4" spans="1:14" x14ac:dyDescent="0.3">
      <c r="A4" s="18" t="s">
        <v>120</v>
      </c>
      <c r="B4" s="18"/>
      <c r="C4" s="18" t="s">
        <v>121</v>
      </c>
      <c r="D4" s="20" t="s">
        <v>123</v>
      </c>
      <c r="E4" s="20" t="s">
        <v>124</v>
      </c>
      <c r="F4" s="20" t="s">
        <v>125</v>
      </c>
      <c r="G4" s="20" t="s">
        <v>122</v>
      </c>
      <c r="I4" s="70" t="s">
        <v>114</v>
      </c>
      <c r="J4" s="71" t="s">
        <v>115</v>
      </c>
      <c r="K4" s="72">
        <v>71</v>
      </c>
      <c r="L4" s="73" t="s">
        <v>142</v>
      </c>
      <c r="M4" s="138" t="s">
        <v>150</v>
      </c>
      <c r="N4" s="157"/>
    </row>
    <row r="5" spans="1:14" outlineLevel="1" x14ac:dyDescent="0.3">
      <c r="A5" s="712" t="s">
        <v>187</v>
      </c>
      <c r="B5" s="286"/>
      <c r="C5" s="30" t="s">
        <v>341</v>
      </c>
      <c r="D5" s="159">
        <f>68*1000</f>
        <v>68000</v>
      </c>
      <c r="E5" s="31">
        <f>D5/$K$4</f>
        <v>957.74647887323943</v>
      </c>
      <c r="F5" s="32">
        <f>D5*K3</f>
        <v>136000000</v>
      </c>
      <c r="G5" s="27" t="s">
        <v>399</v>
      </c>
      <c r="I5" s="70" t="s">
        <v>116</v>
      </c>
      <c r="J5" s="71" t="s">
        <v>117</v>
      </c>
      <c r="K5" s="74">
        <f>14.75%/12*2.5</f>
        <v>3.0729166666666665E-2</v>
      </c>
      <c r="L5" s="73" t="s">
        <v>317</v>
      </c>
      <c r="M5" s="138" t="s">
        <v>392</v>
      </c>
      <c r="N5" s="157"/>
    </row>
    <row r="6" spans="1:14" outlineLevel="1" x14ac:dyDescent="0.3">
      <c r="A6" s="712"/>
      <c r="B6" s="286"/>
      <c r="C6" s="33" t="s">
        <v>151</v>
      </c>
      <c r="D6" s="160">
        <f>+SUM(D7:D9)</f>
        <v>0</v>
      </c>
      <c r="E6" s="35">
        <f>D6/$K$4</f>
        <v>0</v>
      </c>
      <c r="F6" s="36">
        <f>D6*$K$3</f>
        <v>0</v>
      </c>
      <c r="G6" s="27" t="s">
        <v>155</v>
      </c>
      <c r="I6" s="70" t="s">
        <v>118</v>
      </c>
      <c r="J6" s="71" t="s">
        <v>117</v>
      </c>
      <c r="K6" s="74">
        <v>0.02</v>
      </c>
      <c r="L6" s="73" t="s">
        <v>48</v>
      </c>
      <c r="M6" s="138" t="s">
        <v>378</v>
      </c>
      <c r="N6" s="157"/>
    </row>
    <row r="7" spans="1:14" outlineLevel="1" x14ac:dyDescent="0.3">
      <c r="A7" s="712"/>
      <c r="B7" s="286"/>
      <c r="C7" s="37" t="s">
        <v>152</v>
      </c>
      <c r="D7" s="161">
        <v>0</v>
      </c>
      <c r="E7" s="82">
        <f>+D7/$K$4</f>
        <v>0</v>
      </c>
      <c r="F7" s="83">
        <f>D7*$K$3</f>
        <v>0</v>
      </c>
      <c r="G7" s="27" t="s">
        <v>167</v>
      </c>
      <c r="I7" s="70" t="s">
        <v>316</v>
      </c>
      <c r="J7" s="71" t="s">
        <v>117</v>
      </c>
      <c r="K7" s="228">
        <f>1-0.02</f>
        <v>0.98</v>
      </c>
      <c r="L7" s="73" t="s">
        <v>48</v>
      </c>
      <c r="M7" s="138"/>
      <c r="N7" s="157"/>
    </row>
    <row r="8" spans="1:14" outlineLevel="1" x14ac:dyDescent="0.3">
      <c r="A8" s="712"/>
      <c r="B8" s="286"/>
      <c r="C8" s="37" t="s">
        <v>153</v>
      </c>
      <c r="D8" s="161">
        <v>0</v>
      </c>
      <c r="E8" s="82">
        <f>+D8/$K$4</f>
        <v>0</v>
      </c>
      <c r="F8" s="83">
        <f>D8*$K$3</f>
        <v>0</v>
      </c>
      <c r="G8" s="27" t="s">
        <v>167</v>
      </c>
      <c r="I8" s="70" t="s">
        <v>336</v>
      </c>
      <c r="J8" s="71" t="s">
        <v>313</v>
      </c>
      <c r="K8" s="247">
        <v>1000</v>
      </c>
      <c r="L8" s="73" t="s">
        <v>48</v>
      </c>
      <c r="M8" s="138" t="s">
        <v>388</v>
      </c>
    </row>
    <row r="9" spans="1:14" outlineLevel="1" x14ac:dyDescent="0.3">
      <c r="A9" s="712"/>
      <c r="B9" s="286"/>
      <c r="C9" s="37" t="s">
        <v>154</v>
      </c>
      <c r="D9" s="161">
        <v>0</v>
      </c>
      <c r="E9" s="82">
        <f>+D9/$K$4</f>
        <v>0</v>
      </c>
      <c r="F9" s="83">
        <f>D9*$K$3</f>
        <v>0</v>
      </c>
      <c r="G9" s="27" t="s">
        <v>167</v>
      </c>
      <c r="I9" s="70" t="s">
        <v>314</v>
      </c>
      <c r="J9" s="71" t="s">
        <v>313</v>
      </c>
      <c r="K9" s="225">
        <v>1200</v>
      </c>
      <c r="L9" s="73" t="s">
        <v>317</v>
      </c>
      <c r="M9" s="138" t="s">
        <v>379</v>
      </c>
    </row>
    <row r="10" spans="1:14" outlineLevel="1" x14ac:dyDescent="0.3">
      <c r="A10" s="712"/>
      <c r="B10" s="286"/>
      <c r="C10" s="33" t="s">
        <v>118</v>
      </c>
      <c r="D10" s="162">
        <f>+D5*$K$6</f>
        <v>1360</v>
      </c>
      <c r="E10" s="35">
        <f>D10/$K$4</f>
        <v>19.154929577464788</v>
      </c>
      <c r="F10" s="39">
        <f>D10*$K$3</f>
        <v>2720000</v>
      </c>
      <c r="G10" s="27"/>
      <c r="I10" s="70" t="s">
        <v>315</v>
      </c>
      <c r="J10" s="71" t="s">
        <v>115</v>
      </c>
      <c r="K10" s="229">
        <f>+D93/K9</f>
        <v>71.824996814152556</v>
      </c>
      <c r="L10" s="73"/>
      <c r="M10" s="138" t="s">
        <v>380</v>
      </c>
    </row>
    <row r="11" spans="1:14" ht="15" thickBot="1" x14ac:dyDescent="0.35">
      <c r="A11" s="289" t="s">
        <v>156</v>
      </c>
      <c r="B11" s="289"/>
      <c r="C11" s="56"/>
      <c r="D11" s="174">
        <f>SUM(D5:D10)/K7</f>
        <v>70775.510204081627</v>
      </c>
      <c r="E11" s="180">
        <f>SUM(E5:E10)/K7</f>
        <v>996.83817188847377</v>
      </c>
      <c r="F11" s="181">
        <f>SUM(F5:F10)/K7</f>
        <v>141551020.40816328</v>
      </c>
      <c r="G11" s="182"/>
    </row>
    <row r="12" spans="1:14" ht="7.35" customHeight="1" outlineLevel="1" x14ac:dyDescent="0.3">
      <c r="A12" s="709" t="s">
        <v>382</v>
      </c>
      <c r="B12" s="75"/>
      <c r="C12" s="16"/>
      <c r="D12" s="163"/>
      <c r="E12" s="16"/>
      <c r="F12" s="16"/>
      <c r="G12" s="58"/>
    </row>
    <row r="13" spans="1:14" outlineLevel="1" x14ac:dyDescent="0.3">
      <c r="A13" s="710"/>
      <c r="B13" s="75"/>
      <c r="C13" s="179" t="s">
        <v>157</v>
      </c>
      <c r="D13" s="164">
        <v>29</v>
      </c>
      <c r="E13" s="38">
        <f>D13/K4</f>
        <v>0.40845070422535212</v>
      </c>
      <c r="F13" s="39">
        <f>D13*K3</f>
        <v>58000</v>
      </c>
      <c r="G13" s="27" t="s">
        <v>161</v>
      </c>
    </row>
    <row r="14" spans="1:14" outlineLevel="1" x14ac:dyDescent="0.3">
      <c r="A14" s="710"/>
      <c r="B14" s="75"/>
      <c r="C14" s="179" t="s">
        <v>158</v>
      </c>
      <c r="D14" s="164">
        <v>29</v>
      </c>
      <c r="E14" s="38">
        <f>D14/K4</f>
        <v>0.40845070422535212</v>
      </c>
      <c r="F14" s="39">
        <f>D14*K3</f>
        <v>58000</v>
      </c>
      <c r="G14" s="27" t="s">
        <v>161</v>
      </c>
      <c r="H14" s="17"/>
    </row>
    <row r="15" spans="1:14" ht="14.4" customHeight="1" outlineLevel="1" x14ac:dyDescent="0.3">
      <c r="A15" s="710"/>
      <c r="B15" s="75"/>
      <c r="C15" s="179" t="s">
        <v>159</v>
      </c>
      <c r="D15" s="164">
        <v>0</v>
      </c>
      <c r="E15" s="38">
        <f>D15/K4</f>
        <v>0</v>
      </c>
      <c r="F15" s="39">
        <f>D15*K3</f>
        <v>0</v>
      </c>
      <c r="G15" s="219" t="s">
        <v>342</v>
      </c>
    </row>
    <row r="16" spans="1:14" outlineLevel="1" x14ac:dyDescent="0.3">
      <c r="A16" s="710"/>
      <c r="B16" s="75"/>
      <c r="C16" s="50" t="s">
        <v>160</v>
      </c>
      <c r="D16" s="165">
        <f>+SUM(D13:D15)</f>
        <v>58</v>
      </c>
      <c r="E16" s="51">
        <f t="shared" ref="E16:F16" si="0">+SUM(E13:E15)</f>
        <v>0.81690140845070425</v>
      </c>
      <c r="F16" s="52">
        <f t="shared" si="0"/>
        <v>116000</v>
      </c>
      <c r="G16" s="59"/>
      <c r="I16" s="119"/>
    </row>
    <row r="17" spans="1:7" ht="10.65" customHeight="1" outlineLevel="1" x14ac:dyDescent="0.3">
      <c r="A17" s="710"/>
      <c r="B17" s="75"/>
      <c r="C17" s="203"/>
      <c r="D17" s="166"/>
      <c r="E17" s="26"/>
      <c r="F17" s="26"/>
      <c r="G17" s="60"/>
    </row>
    <row r="18" spans="1:7" ht="18" customHeight="1" outlineLevel="1" x14ac:dyDescent="0.3">
      <c r="A18" s="710"/>
      <c r="B18" s="75"/>
      <c r="C18" s="50" t="s">
        <v>162</v>
      </c>
      <c r="D18" s="165">
        <v>0</v>
      </c>
      <c r="E18" s="51">
        <f>D18/K4</f>
        <v>0</v>
      </c>
      <c r="F18" s="52">
        <f>D18*K3</f>
        <v>0</v>
      </c>
      <c r="G18" s="61" t="s">
        <v>343</v>
      </c>
    </row>
    <row r="19" spans="1:7" ht="9.6" customHeight="1" outlineLevel="1" x14ac:dyDescent="0.3">
      <c r="A19" s="710"/>
      <c r="B19" s="75"/>
      <c r="C19" s="179"/>
      <c r="D19" s="167"/>
      <c r="E19" s="38"/>
      <c r="F19" s="38"/>
      <c r="G19" s="27"/>
    </row>
    <row r="20" spans="1:7" ht="14.4" customHeight="1" outlineLevel="1" x14ac:dyDescent="0.3">
      <c r="A20" s="710"/>
      <c r="B20" s="75"/>
      <c r="C20" s="239" t="s">
        <v>165</v>
      </c>
      <c r="D20" s="168">
        <v>0</v>
      </c>
      <c r="E20" s="34">
        <v>0</v>
      </c>
      <c r="F20" s="41">
        <v>0</v>
      </c>
      <c r="G20" s="27" t="s">
        <v>346</v>
      </c>
    </row>
    <row r="21" spans="1:7" ht="14.4" customHeight="1" outlineLevel="1" x14ac:dyDescent="0.3">
      <c r="A21" s="710"/>
      <c r="B21" s="75"/>
      <c r="C21" s="239" t="s">
        <v>166</v>
      </c>
      <c r="D21" s="168">
        <v>0</v>
      </c>
      <c r="E21" s="34">
        <v>0</v>
      </c>
      <c r="F21" s="41">
        <v>0</v>
      </c>
      <c r="G21" s="27" t="s">
        <v>347</v>
      </c>
    </row>
    <row r="22" spans="1:7" ht="14.4" customHeight="1" outlineLevel="1" x14ac:dyDescent="0.3">
      <c r="A22" s="710"/>
      <c r="B22" s="75"/>
      <c r="C22" s="239" t="s">
        <v>163</v>
      </c>
      <c r="D22" s="168">
        <v>0</v>
      </c>
      <c r="E22" s="34">
        <v>0</v>
      </c>
      <c r="F22" s="41">
        <v>0</v>
      </c>
      <c r="G22" s="27" t="s">
        <v>206</v>
      </c>
    </row>
    <row r="23" spans="1:7" ht="14.4" customHeight="1" outlineLevel="1" x14ac:dyDescent="0.3">
      <c r="A23" s="710"/>
      <c r="B23" s="75"/>
      <c r="C23" s="50" t="s">
        <v>164</v>
      </c>
      <c r="D23" s="165">
        <f>+IFERROR(D20*D21/D22,0)</f>
        <v>0</v>
      </c>
      <c r="E23" s="51">
        <f>D23/K4</f>
        <v>0</v>
      </c>
      <c r="F23" s="52">
        <f>D23*K3</f>
        <v>0</v>
      </c>
      <c r="G23" s="240"/>
    </row>
    <row r="24" spans="1:7" ht="10.65" customHeight="1" outlineLevel="1" x14ac:dyDescent="0.3">
      <c r="A24" s="710"/>
      <c r="B24" s="75"/>
      <c r="C24" s="203"/>
      <c r="D24" s="169"/>
      <c r="E24" s="26"/>
      <c r="F24" s="26"/>
      <c r="G24" s="62"/>
    </row>
    <row r="25" spans="1:7" ht="14.4" customHeight="1" outlineLevel="1" x14ac:dyDescent="0.3">
      <c r="A25" s="710"/>
      <c r="B25" s="75"/>
      <c r="C25" s="179" t="s">
        <v>176</v>
      </c>
      <c r="D25" s="164">
        <v>0</v>
      </c>
      <c r="E25" s="34">
        <v>0</v>
      </c>
      <c r="F25" s="42">
        <f>336*0.45*K3</f>
        <v>302400.00000000006</v>
      </c>
      <c r="G25" s="27" t="s">
        <v>292</v>
      </c>
    </row>
    <row r="26" spans="1:7" ht="14.4" customHeight="1" outlineLevel="1" x14ac:dyDescent="0.3">
      <c r="A26" s="710"/>
      <c r="B26" s="75"/>
      <c r="C26" s="179" t="s">
        <v>169</v>
      </c>
      <c r="D26" s="170">
        <v>0</v>
      </c>
      <c r="E26" s="34">
        <v>0</v>
      </c>
      <c r="F26" s="43">
        <v>0</v>
      </c>
      <c r="G26" s="27" t="s">
        <v>170</v>
      </c>
    </row>
    <row r="27" spans="1:7" ht="14.4" customHeight="1" outlineLevel="1" x14ac:dyDescent="0.3">
      <c r="A27" s="710"/>
      <c r="B27" s="75"/>
      <c r="C27" s="179" t="s">
        <v>171</v>
      </c>
      <c r="D27" s="170">
        <v>0</v>
      </c>
      <c r="E27" s="34">
        <v>0</v>
      </c>
      <c r="F27" s="43">
        <v>0</v>
      </c>
      <c r="G27" s="27" t="s">
        <v>175</v>
      </c>
    </row>
    <row r="28" spans="1:7" ht="14.4" customHeight="1" outlineLevel="1" x14ac:dyDescent="0.3">
      <c r="A28" s="710"/>
      <c r="B28" s="75"/>
      <c r="C28" s="179" t="s">
        <v>172</v>
      </c>
      <c r="D28" s="170">
        <f>2.5*D27</f>
        <v>0</v>
      </c>
      <c r="E28" s="34">
        <v>0</v>
      </c>
      <c r="F28" s="43">
        <v>0</v>
      </c>
      <c r="G28" s="27" t="s">
        <v>173</v>
      </c>
    </row>
    <row r="29" spans="1:7" ht="14.4" customHeight="1" outlineLevel="1" x14ac:dyDescent="0.3">
      <c r="A29" s="710"/>
      <c r="B29" s="75"/>
      <c r="C29" s="50" t="s">
        <v>174</v>
      </c>
      <c r="D29" s="165">
        <f>IFERROR(D25*D26/D28,0)</f>
        <v>0</v>
      </c>
      <c r="E29" s="51">
        <f>+D29/K4</f>
        <v>0</v>
      </c>
      <c r="F29" s="52">
        <f>+D29*K3</f>
        <v>0</v>
      </c>
      <c r="G29" s="241"/>
    </row>
    <row r="30" spans="1:7" ht="3" customHeight="1" outlineLevel="1" x14ac:dyDescent="0.3">
      <c r="A30" s="710"/>
      <c r="B30" s="75"/>
      <c r="C30" s="203"/>
      <c r="D30" s="166"/>
      <c r="E30" s="26"/>
      <c r="F30" s="26"/>
      <c r="G30" s="22"/>
    </row>
    <row r="31" spans="1:7" ht="9.6" customHeight="1" outlineLevel="1" x14ac:dyDescent="0.3">
      <c r="A31" s="710"/>
      <c r="B31" s="75"/>
      <c r="C31" s="179"/>
      <c r="D31" s="171"/>
      <c r="E31" s="38"/>
      <c r="F31" s="38"/>
      <c r="G31" s="23"/>
    </row>
    <row r="32" spans="1:7" outlineLevel="1" x14ac:dyDescent="0.3">
      <c r="A32" s="710"/>
      <c r="B32" s="75"/>
      <c r="C32" s="179" t="s">
        <v>348</v>
      </c>
      <c r="D32" s="171">
        <v>29</v>
      </c>
      <c r="E32" s="38">
        <f>+D32/K4</f>
        <v>0.40845070422535212</v>
      </c>
      <c r="F32" s="39">
        <f>+D32*K3</f>
        <v>58000</v>
      </c>
      <c r="G32" s="27" t="s">
        <v>161</v>
      </c>
    </row>
    <row r="33" spans="1:7" outlineLevel="1" x14ac:dyDescent="0.3">
      <c r="A33" s="710"/>
      <c r="B33" s="75"/>
      <c r="C33" s="179" t="s">
        <v>344</v>
      </c>
      <c r="D33" s="173">
        <f>135*20</f>
        <v>2700</v>
      </c>
      <c r="E33" s="38">
        <f>D33/$K$4</f>
        <v>38.028169014084504</v>
      </c>
      <c r="F33" s="38">
        <f>+D33*$K$3</f>
        <v>5400000</v>
      </c>
      <c r="G33" s="248" t="s">
        <v>389</v>
      </c>
    </row>
    <row r="34" spans="1:7" outlineLevel="1" x14ac:dyDescent="0.3">
      <c r="A34" s="710"/>
      <c r="B34" s="75"/>
      <c r="C34" s="179" t="s">
        <v>185</v>
      </c>
      <c r="D34" s="173">
        <f>5*20</f>
        <v>100</v>
      </c>
      <c r="E34" s="38">
        <f>D34/$K$4</f>
        <v>1.408450704225352</v>
      </c>
      <c r="F34" s="38">
        <f>+D34*$K$3</f>
        <v>200000</v>
      </c>
      <c r="G34" s="27" t="s">
        <v>189</v>
      </c>
    </row>
    <row r="35" spans="1:7" outlineLevel="1" x14ac:dyDescent="0.3">
      <c r="A35" s="710"/>
      <c r="B35" s="75"/>
      <c r="C35" s="244" t="s">
        <v>385</v>
      </c>
      <c r="D35" s="245">
        <f>+SUM(D32:D34)</f>
        <v>2829</v>
      </c>
      <c r="E35" s="242">
        <f>+SUM(E32:E34)</f>
        <v>39.845070422535208</v>
      </c>
      <c r="F35" s="242">
        <f t="shared" ref="F35" si="1">+SUM(F32:F34)</f>
        <v>5658000</v>
      </c>
      <c r="G35" s="224"/>
    </row>
    <row r="36" spans="1:7" ht="11.4" customHeight="1" outlineLevel="1" x14ac:dyDescent="0.3">
      <c r="A36" s="710"/>
      <c r="B36" s="75"/>
      <c r="C36" s="179"/>
      <c r="D36" s="243"/>
      <c r="E36" s="47"/>
      <c r="F36" s="47"/>
      <c r="G36" s="23"/>
    </row>
    <row r="37" spans="1:7" outlineLevel="1" x14ac:dyDescent="0.3">
      <c r="A37" s="710"/>
      <c r="B37" s="75"/>
      <c r="C37" s="179" t="s">
        <v>208</v>
      </c>
      <c r="D37" s="173">
        <v>29</v>
      </c>
      <c r="E37" s="38">
        <f>+D37/$K$4</f>
        <v>0.40845070422535212</v>
      </c>
      <c r="F37" s="38">
        <f>+D37*K3</f>
        <v>58000</v>
      </c>
      <c r="G37" s="27" t="s">
        <v>381</v>
      </c>
    </row>
    <row r="38" spans="1:7" ht="22.65" customHeight="1" outlineLevel="1" x14ac:dyDescent="0.3">
      <c r="A38" s="710"/>
      <c r="B38" s="75"/>
      <c r="C38" s="179" t="s">
        <v>178</v>
      </c>
      <c r="D38" s="171">
        <v>11.2</v>
      </c>
      <c r="E38" s="38">
        <f>+D38/$K$4</f>
        <v>0.15774647887323942</v>
      </c>
      <c r="F38" s="39">
        <f>+D38*$K$3</f>
        <v>22400</v>
      </c>
      <c r="G38" s="27" t="s">
        <v>400</v>
      </c>
    </row>
    <row r="39" spans="1:7" outlineLevel="1" x14ac:dyDescent="0.3">
      <c r="A39" s="710"/>
      <c r="B39" s="75"/>
      <c r="C39" s="179" t="s">
        <v>168</v>
      </c>
      <c r="D39" s="172">
        <v>1</v>
      </c>
      <c r="E39" s="84">
        <v>1</v>
      </c>
      <c r="F39" s="84">
        <v>1</v>
      </c>
      <c r="G39" s="27" t="s">
        <v>179</v>
      </c>
    </row>
    <row r="40" spans="1:7" outlineLevel="1" x14ac:dyDescent="0.3">
      <c r="A40" s="710"/>
      <c r="B40" s="75"/>
      <c r="C40" s="179" t="s">
        <v>180</v>
      </c>
      <c r="D40" s="171">
        <f>1*20</f>
        <v>20</v>
      </c>
      <c r="E40" s="38">
        <f>+D40/$K$4</f>
        <v>0.28169014084507044</v>
      </c>
      <c r="F40" s="39">
        <f>+D40*$K$3</f>
        <v>40000</v>
      </c>
      <c r="G40" s="219" t="s">
        <v>384</v>
      </c>
    </row>
    <row r="41" spans="1:7" outlineLevel="1" x14ac:dyDescent="0.3">
      <c r="A41" s="710"/>
      <c r="B41" s="75"/>
      <c r="C41" s="50" t="s">
        <v>386</v>
      </c>
      <c r="D41" s="165">
        <f>(D38*D39+D40)+D37</f>
        <v>60.2</v>
      </c>
      <c r="E41" s="51">
        <f>(E38*E39+E40)+E37</f>
        <v>0.84788732394366195</v>
      </c>
      <c r="F41" s="52">
        <f>(F38*F39+F40)+F37</f>
        <v>120400</v>
      </c>
      <c r="G41" s="59"/>
    </row>
    <row r="42" spans="1:7" outlineLevel="1" x14ac:dyDescent="0.3">
      <c r="A42" s="710"/>
      <c r="B42" s="75"/>
      <c r="C42" s="25"/>
      <c r="D42" s="166"/>
      <c r="E42" s="26"/>
      <c r="F42" s="46"/>
      <c r="G42" s="22"/>
    </row>
    <row r="43" spans="1:7" outlineLevel="1" x14ac:dyDescent="0.3">
      <c r="A43" s="710"/>
      <c r="B43" s="75"/>
      <c r="C43" s="45" t="s">
        <v>158</v>
      </c>
      <c r="D43" s="171">
        <v>29</v>
      </c>
      <c r="E43" s="38">
        <f>+D43/$K$4</f>
        <v>0.40845070422535212</v>
      </c>
      <c r="F43" s="38">
        <f>+D43*$K$3</f>
        <v>58000</v>
      </c>
      <c r="G43" s="27" t="s">
        <v>345</v>
      </c>
    </row>
    <row r="44" spans="1:7" outlineLevel="1" x14ac:dyDescent="0.3">
      <c r="A44" s="710"/>
      <c r="B44" s="75"/>
      <c r="C44" s="45" t="s">
        <v>209</v>
      </c>
      <c r="D44" s="171">
        <v>29</v>
      </c>
      <c r="E44" s="38">
        <f t="shared" ref="E44:E45" si="2">+D44/$K$4</f>
        <v>0.40845070422535212</v>
      </c>
      <c r="F44" s="38">
        <f t="shared" ref="F44:F45" si="3">+D44*$K$3</f>
        <v>58000</v>
      </c>
      <c r="G44" s="28"/>
    </row>
    <row r="45" spans="1:7" outlineLevel="1" x14ac:dyDescent="0.3">
      <c r="A45" s="710"/>
      <c r="B45" s="75"/>
      <c r="C45" s="45" t="s">
        <v>210</v>
      </c>
      <c r="D45" s="171">
        <v>29</v>
      </c>
      <c r="E45" s="38">
        <f t="shared" si="2"/>
        <v>0.40845070422535212</v>
      </c>
      <c r="F45" s="38">
        <f t="shared" si="3"/>
        <v>58000</v>
      </c>
    </row>
    <row r="46" spans="1:7" outlineLevel="1" x14ac:dyDescent="0.3">
      <c r="A46" s="710"/>
      <c r="B46" s="75"/>
      <c r="C46" s="50" t="s">
        <v>387</v>
      </c>
      <c r="D46" s="165">
        <f>+SUM(D43:D45)</f>
        <v>87</v>
      </c>
      <c r="E46" s="51">
        <f>+SUM(E43:E45)</f>
        <v>1.2253521126760565</v>
      </c>
      <c r="F46" s="52">
        <f>+SUM(F43:F45)</f>
        <v>174000</v>
      </c>
      <c r="G46" s="61"/>
    </row>
    <row r="47" spans="1:7" ht="9.6" customHeight="1" outlineLevel="1" x14ac:dyDescent="0.3">
      <c r="A47" s="710"/>
      <c r="B47" s="75"/>
      <c r="C47" s="64"/>
      <c r="D47" s="221"/>
      <c r="E47" s="222"/>
      <c r="F47" s="223"/>
      <c r="G47" s="27"/>
    </row>
    <row r="48" spans="1:7" ht="6.6" customHeight="1" outlineLevel="1" x14ac:dyDescent="0.3">
      <c r="A48" s="711"/>
      <c r="B48" s="75"/>
      <c r="C48" s="33"/>
      <c r="D48" s="173"/>
      <c r="E48" s="38"/>
      <c r="F48" s="38"/>
      <c r="G48" s="29"/>
    </row>
    <row r="49" spans="1:7" ht="15" thickBot="1" x14ac:dyDescent="0.35">
      <c r="A49" s="288" t="s">
        <v>383</v>
      </c>
      <c r="B49" s="288"/>
      <c r="C49" s="56"/>
      <c r="D49" s="174">
        <f>+D35+D41+D46</f>
        <v>2976.2</v>
      </c>
      <c r="E49" s="180">
        <f t="shared" ref="E49:F49" si="4">+E35+E41+E46</f>
        <v>41.918309859154924</v>
      </c>
      <c r="F49" s="181">
        <f t="shared" si="4"/>
        <v>5952400</v>
      </c>
      <c r="G49" s="183"/>
    </row>
    <row r="50" spans="1:7" ht="7.65" customHeight="1" x14ac:dyDescent="0.3">
      <c r="A50" s="64"/>
      <c r="B50" s="64"/>
      <c r="C50" s="65"/>
      <c r="D50" s="175"/>
      <c r="E50" s="120"/>
      <c r="F50" s="120"/>
      <c r="G50" s="65"/>
    </row>
    <row r="51" spans="1:7" ht="8.4" customHeight="1" x14ac:dyDescent="0.3">
      <c r="A51" s="64"/>
      <c r="B51" s="64"/>
      <c r="C51" s="65"/>
      <c r="D51" s="175"/>
      <c r="E51" s="66"/>
      <c r="F51" s="66"/>
      <c r="G51" s="85"/>
    </row>
    <row r="52" spans="1:7" ht="15" thickBot="1" x14ac:dyDescent="0.35">
      <c r="A52" s="213" t="s">
        <v>295</v>
      </c>
      <c r="B52" s="213"/>
      <c r="C52" s="130"/>
      <c r="D52" s="188">
        <f>+D11+D49</f>
        <v>73751.710204081624</v>
      </c>
      <c r="E52" s="189">
        <f t="shared" ref="E52:F52" si="5">+E11+E49</f>
        <v>1038.7564817476286</v>
      </c>
      <c r="F52" s="190">
        <f t="shared" si="5"/>
        <v>147503420.40816328</v>
      </c>
      <c r="G52" s="191"/>
    </row>
    <row r="53" spans="1:7" ht="9.6" customHeight="1" x14ac:dyDescent="0.3">
      <c r="A53" s="25"/>
      <c r="B53" s="25"/>
      <c r="C53" s="22"/>
      <c r="D53" s="176"/>
      <c r="E53" s="47"/>
      <c r="F53" s="47"/>
      <c r="G53" s="22"/>
    </row>
    <row r="54" spans="1:7" outlineLevel="1" x14ac:dyDescent="0.3">
      <c r="A54" s="709" t="s">
        <v>126</v>
      </c>
      <c r="B54" s="75"/>
      <c r="C54" s="48" t="s">
        <v>127</v>
      </c>
      <c r="D54" s="173">
        <f>+'Manica quotation'!F13*$K$4</f>
        <v>657.68421052631584</v>
      </c>
      <c r="E54" s="24">
        <f t="shared" ref="E54:E62" si="6">D54/$K$4</f>
        <v>9.2631578947368425</v>
      </c>
      <c r="F54" s="24">
        <f t="shared" ref="F54:F62" si="7">D54*$K$3</f>
        <v>1315368.4210526317</v>
      </c>
      <c r="G54" s="27" t="s">
        <v>278</v>
      </c>
    </row>
    <row r="55" spans="1:7" outlineLevel="1" x14ac:dyDescent="0.3">
      <c r="A55" s="710"/>
      <c r="B55" s="75"/>
      <c r="C55" s="48" t="s">
        <v>128</v>
      </c>
      <c r="D55" s="173">
        <f>+'Manica quotation'!F14*$K$4</f>
        <v>115.84210526315789</v>
      </c>
      <c r="E55" s="24">
        <f t="shared" si="6"/>
        <v>1.631578947368421</v>
      </c>
      <c r="F55" s="24">
        <f t="shared" si="7"/>
        <v>231684.21052631579</v>
      </c>
      <c r="G55" s="27" t="s">
        <v>279</v>
      </c>
    </row>
    <row r="56" spans="1:7" outlineLevel="1" x14ac:dyDescent="0.3">
      <c r="A56" s="710"/>
      <c r="B56" s="75"/>
      <c r="C56" s="48" t="s">
        <v>228</v>
      </c>
      <c r="D56" s="173">
        <f>+'Manica quotation'!F15*$K$4</f>
        <v>56.05263157894737</v>
      </c>
      <c r="E56" s="24">
        <f t="shared" si="6"/>
        <v>0.78947368421052633</v>
      </c>
      <c r="F56" s="24">
        <f t="shared" si="7"/>
        <v>112105.26315789473</v>
      </c>
      <c r="G56" s="27" t="s">
        <v>279</v>
      </c>
    </row>
    <row r="57" spans="1:7" outlineLevel="1" x14ac:dyDescent="0.3">
      <c r="A57" s="710"/>
      <c r="B57" s="75"/>
      <c r="C57" s="48" t="s">
        <v>236</v>
      </c>
      <c r="D57" s="173">
        <f>+'Manica quotation'!F23*$K$4</f>
        <v>373.68421052631584</v>
      </c>
      <c r="E57" s="24">
        <f t="shared" si="6"/>
        <v>5.2631578947368425</v>
      </c>
      <c r="F57" s="24">
        <f t="shared" si="7"/>
        <v>747368.42105263169</v>
      </c>
      <c r="G57" s="27" t="s">
        <v>280</v>
      </c>
    </row>
    <row r="58" spans="1:7" outlineLevel="1" x14ac:dyDescent="0.3">
      <c r="A58" s="710"/>
      <c r="B58" s="75"/>
      <c r="C58" s="48" t="s">
        <v>129</v>
      </c>
      <c r="D58" s="173">
        <f>+'Manica quotation'!F26*$K$4</f>
        <v>224.21052631578948</v>
      </c>
      <c r="E58" s="24">
        <f t="shared" si="6"/>
        <v>3.1578947368421053</v>
      </c>
      <c r="F58" s="24">
        <f t="shared" si="7"/>
        <v>448421.05263157893</v>
      </c>
      <c r="G58" s="27"/>
    </row>
    <row r="59" spans="1:7" outlineLevel="1" x14ac:dyDescent="0.3">
      <c r="A59" s="710"/>
      <c r="B59" s="75"/>
      <c r="C59" s="48" t="s">
        <v>239</v>
      </c>
      <c r="D59" s="173">
        <f>+'Manica quotation'!F27*$K$4</f>
        <v>347.52631578947364</v>
      </c>
      <c r="E59" s="24">
        <f t="shared" si="6"/>
        <v>4.8947368421052628</v>
      </c>
      <c r="F59" s="24">
        <f t="shared" si="7"/>
        <v>695052.6315789473</v>
      </c>
      <c r="G59" s="27" t="s">
        <v>281</v>
      </c>
    </row>
    <row r="60" spans="1:7" outlineLevel="1" x14ac:dyDescent="0.3">
      <c r="A60" s="710"/>
      <c r="B60" s="75"/>
      <c r="C60" s="48" t="s">
        <v>240</v>
      </c>
      <c r="D60" s="173">
        <f>+'Manica quotation'!F28*$K$4</f>
        <v>112.10526315789474</v>
      </c>
      <c r="E60" s="24">
        <f t="shared" si="6"/>
        <v>1.5789473684210527</v>
      </c>
      <c r="F60" s="24">
        <f t="shared" si="7"/>
        <v>224210.52631578947</v>
      </c>
      <c r="G60" s="27" t="s">
        <v>281</v>
      </c>
    </row>
    <row r="61" spans="1:7" outlineLevel="1" x14ac:dyDescent="0.3">
      <c r="A61" s="710"/>
      <c r="B61" s="75"/>
      <c r="C61" s="48" t="s">
        <v>241</v>
      </c>
      <c r="D61" s="173">
        <f>+'Manica quotation'!F29*$K$4</f>
        <v>130.78947368421052</v>
      </c>
      <c r="E61" s="24">
        <f t="shared" si="6"/>
        <v>1.8421052631578947</v>
      </c>
      <c r="F61" s="24">
        <f t="shared" si="7"/>
        <v>261578.94736842104</v>
      </c>
      <c r="G61" s="27" t="s">
        <v>281</v>
      </c>
    </row>
    <row r="62" spans="1:7" ht="24" outlineLevel="1" x14ac:dyDescent="0.3">
      <c r="A62" s="710"/>
      <c r="B62" s="75"/>
      <c r="C62" s="108" t="s">
        <v>244</v>
      </c>
      <c r="D62" s="173">
        <f>+'Manica quotation'!F32*$K$4</f>
        <v>896.84210526315792</v>
      </c>
      <c r="E62" s="24">
        <f t="shared" si="6"/>
        <v>12.631578947368421</v>
      </c>
      <c r="F62" s="24">
        <f t="shared" si="7"/>
        <v>1793684.2105263157</v>
      </c>
      <c r="G62" s="27" t="s">
        <v>282</v>
      </c>
    </row>
    <row r="63" spans="1:7" outlineLevel="1" x14ac:dyDescent="0.3">
      <c r="A63" s="710"/>
      <c r="B63" s="75"/>
      <c r="C63" s="50" t="s">
        <v>283</v>
      </c>
      <c r="D63" s="165">
        <f>+SUM(D54:D62)</f>
        <v>2914.7368421052638</v>
      </c>
      <c r="E63" s="51">
        <f>+SUM(E54:E62)</f>
        <v>41.05263157894737</v>
      </c>
      <c r="F63" s="52">
        <f>+SUM(F54:F62)</f>
        <v>5829473.6842105268</v>
      </c>
      <c r="G63" s="220" t="s">
        <v>390</v>
      </c>
    </row>
    <row r="64" spans="1:7" ht="8.4" customHeight="1" outlineLevel="1" x14ac:dyDescent="0.3">
      <c r="A64" s="710"/>
      <c r="B64" s="75"/>
      <c r="C64" s="108"/>
      <c r="D64" s="173"/>
      <c r="E64" s="24"/>
      <c r="F64" s="24"/>
      <c r="G64" s="27"/>
    </row>
    <row r="65" spans="1:9" outlineLevel="1" x14ac:dyDescent="0.3">
      <c r="A65" s="710"/>
      <c r="B65" s="75"/>
      <c r="C65" s="109" t="s">
        <v>334</v>
      </c>
      <c r="D65" s="173"/>
      <c r="E65" s="24"/>
      <c r="F65" s="24"/>
      <c r="G65" s="27"/>
    </row>
    <row r="66" spans="1:9" outlineLevel="1" x14ac:dyDescent="0.3">
      <c r="A66" s="710"/>
      <c r="B66" s="75"/>
      <c r="C66" s="48" t="s">
        <v>246</v>
      </c>
      <c r="D66" s="173">
        <f>+'Manica quotation'!F35*$K$4</f>
        <v>65.39473684210526</v>
      </c>
      <c r="E66" s="24">
        <f t="shared" ref="E66:E72" si="8">D66/$K$4</f>
        <v>0.92105263157894735</v>
      </c>
      <c r="F66" s="24">
        <f t="shared" ref="F66:F74" si="9">D66*$K$3</f>
        <v>130789.47368421052</v>
      </c>
      <c r="G66" s="27" t="s">
        <v>247</v>
      </c>
    </row>
    <row r="67" spans="1:9" outlineLevel="1" x14ac:dyDescent="0.3">
      <c r="A67" s="710"/>
      <c r="B67" s="75"/>
      <c r="C67" s="48" t="s">
        <v>248</v>
      </c>
      <c r="D67" s="173">
        <f>+'Manica quotation'!F36*$K$4</f>
        <v>4.4842105263157892</v>
      </c>
      <c r="E67" s="24">
        <f t="shared" si="8"/>
        <v>6.3157894736842107E-2</v>
      </c>
      <c r="F67" s="24">
        <f t="shared" si="9"/>
        <v>8968.4210526315783</v>
      </c>
      <c r="G67" s="27" t="s">
        <v>247</v>
      </c>
    </row>
    <row r="68" spans="1:9" outlineLevel="1" x14ac:dyDescent="0.3">
      <c r="A68" s="710"/>
      <c r="B68" s="75"/>
      <c r="C68" s="48" t="s">
        <v>249</v>
      </c>
      <c r="D68" s="173">
        <f>+'Manica quotation'!F37*$K$4</f>
        <v>74.73684210526315</v>
      </c>
      <c r="E68" s="24">
        <f t="shared" si="8"/>
        <v>1.0526315789473684</v>
      </c>
      <c r="F68" s="24">
        <f t="shared" si="9"/>
        <v>149473.68421052629</v>
      </c>
      <c r="G68" s="27" t="s">
        <v>247</v>
      </c>
    </row>
    <row r="69" spans="1:9" outlineLevel="1" x14ac:dyDescent="0.3">
      <c r="A69" s="710"/>
      <c r="B69" s="75"/>
      <c r="C69" s="48" t="s">
        <v>250</v>
      </c>
      <c r="D69" s="173">
        <f>+'Manica quotation'!F38*$K$4</f>
        <v>23.91578947368421</v>
      </c>
      <c r="E69" s="24">
        <f t="shared" si="8"/>
        <v>0.33684210526315789</v>
      </c>
      <c r="F69" s="24">
        <f t="shared" si="9"/>
        <v>47831.57894736842</v>
      </c>
      <c r="G69" s="27" t="s">
        <v>247</v>
      </c>
    </row>
    <row r="70" spans="1:9" outlineLevel="1" x14ac:dyDescent="0.3">
      <c r="A70" s="710"/>
      <c r="B70" s="75"/>
      <c r="C70" s="48" t="s">
        <v>131</v>
      </c>
      <c r="D70" s="173">
        <f>+'Manica quotation'!F39*$K$4</f>
        <v>29.89473684210526</v>
      </c>
      <c r="E70" s="24">
        <f t="shared" si="8"/>
        <v>0.42105263157894735</v>
      </c>
      <c r="F70" s="24">
        <f t="shared" si="9"/>
        <v>59789.473684210519</v>
      </c>
      <c r="G70" s="27" t="s">
        <v>247</v>
      </c>
    </row>
    <row r="71" spans="1:9" outlineLevel="1" x14ac:dyDescent="0.3">
      <c r="A71" s="710"/>
      <c r="B71" s="75"/>
      <c r="C71" s="48" t="s">
        <v>251</v>
      </c>
      <c r="D71" s="173">
        <f>+'Manica quotation'!F40*$K$4</f>
        <v>18.684210526315788</v>
      </c>
      <c r="E71" s="24">
        <f t="shared" si="8"/>
        <v>0.26315789473684209</v>
      </c>
      <c r="F71" s="24">
        <f t="shared" si="9"/>
        <v>37368.421052631573</v>
      </c>
      <c r="G71" s="27" t="s">
        <v>247</v>
      </c>
    </row>
    <row r="72" spans="1:9" outlineLevel="1" x14ac:dyDescent="0.3">
      <c r="A72" s="710"/>
      <c r="B72" s="75"/>
      <c r="C72" s="48" t="s">
        <v>130</v>
      </c>
      <c r="D72" s="173">
        <f>+'Manica quotation'!F41*$K$4</f>
        <v>29.89473684210526</v>
      </c>
      <c r="E72" s="24">
        <f t="shared" si="8"/>
        <v>0.42105263157894735</v>
      </c>
      <c r="F72" s="24">
        <f t="shared" si="9"/>
        <v>59789.473684210519</v>
      </c>
      <c r="G72" s="27" t="s">
        <v>247</v>
      </c>
    </row>
    <row r="73" spans="1:9" outlineLevel="1" x14ac:dyDescent="0.3">
      <c r="A73" s="710"/>
      <c r="B73" s="75"/>
      <c r="C73" s="108" t="s">
        <v>320</v>
      </c>
      <c r="D73" s="164">
        <f>945/250*$K$4</f>
        <v>268.38</v>
      </c>
      <c r="E73" s="24">
        <f>+D73/$K$4</f>
        <v>3.78</v>
      </c>
      <c r="F73" s="24">
        <f t="shared" si="9"/>
        <v>536760</v>
      </c>
      <c r="G73" s="27" t="s">
        <v>318</v>
      </c>
    </row>
    <row r="74" spans="1:9" outlineLevel="1" x14ac:dyDescent="0.3">
      <c r="A74" s="710"/>
      <c r="B74" s="75"/>
      <c r="C74" s="108" t="s">
        <v>319</v>
      </c>
      <c r="D74" s="164">
        <f>75/25*K4</f>
        <v>213</v>
      </c>
      <c r="E74" s="24">
        <f>+D74/$K$4</f>
        <v>3</v>
      </c>
      <c r="F74" s="24">
        <f t="shared" si="9"/>
        <v>426000</v>
      </c>
      <c r="G74" s="27" t="s">
        <v>329</v>
      </c>
    </row>
    <row r="75" spans="1:9" outlineLevel="1" x14ac:dyDescent="0.3">
      <c r="A75" s="710"/>
      <c r="B75" s="75"/>
      <c r="C75" s="50" t="s">
        <v>283</v>
      </c>
      <c r="D75" s="165">
        <f>+SUM(D66:D74)</f>
        <v>728.38526315789477</v>
      </c>
      <c r="E75" s="51">
        <f>+SUM(E66:E74)</f>
        <v>10.258947368421053</v>
      </c>
      <c r="F75" s="51">
        <f>+SUM(F66:F72)</f>
        <v>494010.52631578944</v>
      </c>
      <c r="G75" s="220" t="s">
        <v>390</v>
      </c>
      <c r="H75" s="119"/>
      <c r="I75" s="119"/>
    </row>
    <row r="76" spans="1:9" outlineLevel="1" x14ac:dyDescent="0.3">
      <c r="A76" s="711"/>
      <c r="B76" s="75"/>
      <c r="C76" s="48"/>
      <c r="D76" s="173"/>
      <c r="E76" s="24"/>
      <c r="F76" s="24"/>
      <c r="G76" s="27"/>
    </row>
    <row r="77" spans="1:9" ht="15" thickBot="1" x14ac:dyDescent="0.35">
      <c r="A77" s="288" t="s">
        <v>194</v>
      </c>
      <c r="B77" s="288"/>
      <c r="C77" s="56"/>
      <c r="D77" s="174">
        <f>+D75+D63</f>
        <v>3643.1221052631586</v>
      </c>
      <c r="E77" s="180">
        <f t="shared" ref="E77:F77" si="10">+E75+E63</f>
        <v>51.311578947368425</v>
      </c>
      <c r="F77" s="181">
        <f t="shared" si="10"/>
        <v>6323484.2105263164</v>
      </c>
      <c r="G77" s="246" t="s">
        <v>277</v>
      </c>
    </row>
    <row r="78" spans="1:9" ht="11.4" customHeight="1" x14ac:dyDescent="0.3">
      <c r="A78" s="64"/>
      <c r="B78" s="64"/>
      <c r="C78" s="65"/>
      <c r="D78" s="175"/>
      <c r="E78" s="120"/>
      <c r="F78" s="120"/>
      <c r="G78" s="177"/>
    </row>
    <row r="79" spans="1:9" ht="15.6" hidden="1" customHeight="1" outlineLevel="1" x14ac:dyDescent="0.3">
      <c r="A79" s="76" t="s">
        <v>134</v>
      </c>
      <c r="B79" s="76"/>
      <c r="C79" s="33" t="s">
        <v>393</v>
      </c>
      <c r="D79" s="178">
        <f>(D52)*K5</f>
        <v>2266.3285948129246</v>
      </c>
      <c r="E79" s="24">
        <f>D79/K4</f>
        <v>31.920121053703163</v>
      </c>
      <c r="F79" s="24">
        <f>D79*K3</f>
        <v>4532657.189625849</v>
      </c>
      <c r="G79" s="27" t="s">
        <v>135</v>
      </c>
    </row>
    <row r="80" spans="1:9" ht="15.6" hidden="1" customHeight="1" outlineLevel="1" x14ac:dyDescent="0.3">
      <c r="A80" s="76" t="s">
        <v>136</v>
      </c>
      <c r="B80" s="76"/>
      <c r="C80" s="33" t="s">
        <v>293</v>
      </c>
      <c r="D80" s="178">
        <f>((D49+D103)*5%)</f>
        <v>176.02685960077292</v>
      </c>
      <c r="E80" s="125">
        <f>D80/$K$4</f>
        <v>2.4792515436728579</v>
      </c>
      <c r="F80" s="24">
        <f>D80*K3</f>
        <v>352053.71920154587</v>
      </c>
      <c r="G80" s="27" t="s">
        <v>294</v>
      </c>
    </row>
    <row r="81" spans="1:8" ht="15" collapsed="1" thickBot="1" x14ac:dyDescent="0.35">
      <c r="A81" s="192" t="s">
        <v>137</v>
      </c>
      <c r="B81" s="192"/>
      <c r="C81" s="193"/>
      <c r="D81" s="188">
        <f>+D52+D77+SUM(D79:D80)</f>
        <v>79837.187763758484</v>
      </c>
      <c r="E81" s="189">
        <f>D81/$K$4</f>
        <v>1124.467433292373</v>
      </c>
      <c r="F81" s="190">
        <f>D81*$K$3</f>
        <v>159674375.52751696</v>
      </c>
      <c r="G81" s="194"/>
    </row>
    <row r="82" spans="1:8" hidden="1" x14ac:dyDescent="0.3">
      <c r="D82" s="21"/>
    </row>
    <row r="83" spans="1:8" hidden="1" x14ac:dyDescent="0.3">
      <c r="A83" s="718" t="s">
        <v>291</v>
      </c>
      <c r="B83" s="76"/>
      <c r="C83" s="48" t="s">
        <v>231</v>
      </c>
      <c r="D83" s="63">
        <f>+'Manica quotation'!F18*$K$4*0</f>
        <v>0</v>
      </c>
      <c r="E83" s="24">
        <f>D83/$K$4*0</f>
        <v>0</v>
      </c>
      <c r="F83" s="24">
        <f>D83*$K$3</f>
        <v>0</v>
      </c>
      <c r="G83" s="27" t="s">
        <v>300</v>
      </c>
    </row>
    <row r="84" spans="1:8" hidden="1" x14ac:dyDescent="0.3">
      <c r="A84" s="718"/>
      <c r="B84" s="76"/>
      <c r="C84" s="48" t="s">
        <v>232</v>
      </c>
      <c r="D84" s="63">
        <f>+'Manica quotation'!F19*$K$4*0</f>
        <v>0</v>
      </c>
      <c r="E84" s="24">
        <f>D84/$K$4*0</f>
        <v>0</v>
      </c>
      <c r="F84" s="24">
        <f>D84*$K$3</f>
        <v>0</v>
      </c>
      <c r="G84" s="27" t="s">
        <v>300</v>
      </c>
    </row>
    <row r="85" spans="1:8" hidden="1" x14ac:dyDescent="0.3">
      <c r="A85" s="718"/>
      <c r="B85" s="76"/>
      <c r="C85" s="48" t="s">
        <v>233</v>
      </c>
      <c r="D85" s="63">
        <f>+'Manica quotation'!F20*$K$4*0</f>
        <v>0</v>
      </c>
      <c r="E85" s="24">
        <f>D85/$K$4*0</f>
        <v>0</v>
      </c>
      <c r="F85" s="24">
        <f>D85*$K$3</f>
        <v>0</v>
      </c>
      <c r="G85" s="27" t="s">
        <v>300</v>
      </c>
    </row>
    <row r="86" spans="1:8" hidden="1" x14ac:dyDescent="0.3">
      <c r="C86" s="50" t="s">
        <v>298</v>
      </c>
      <c r="D86" s="54">
        <f>+SUM(D83:D85)</f>
        <v>0</v>
      </c>
      <c r="E86" s="51">
        <f>+SUM(E83:E85)</f>
        <v>0</v>
      </c>
      <c r="F86" s="52">
        <f>+SUM(F83:F85)</f>
        <v>0</v>
      </c>
      <c r="G86" s="59" t="s">
        <v>277</v>
      </c>
    </row>
    <row r="87" spans="1:8" ht="7.35" customHeight="1" x14ac:dyDescent="0.3">
      <c r="D87" s="163"/>
    </row>
    <row r="88" spans="1:8" ht="12.6" customHeight="1" outlineLevel="1" x14ac:dyDescent="0.3">
      <c r="A88" s="714" t="s">
        <v>196</v>
      </c>
      <c r="B88" s="287"/>
      <c r="C88" s="179" t="s">
        <v>349</v>
      </c>
      <c r="D88" s="178">
        <f>+E88*K4</f>
        <v>1775</v>
      </c>
      <c r="E88" s="140">
        <f>2.5/100*K8</f>
        <v>25</v>
      </c>
      <c r="F88" s="24">
        <f>D88*K3</f>
        <v>3550000</v>
      </c>
      <c r="G88" s="27" t="s">
        <v>350</v>
      </c>
    </row>
    <row r="89" spans="1:8" outlineLevel="1" x14ac:dyDescent="0.3">
      <c r="A89" s="714"/>
      <c r="B89" s="287"/>
      <c r="C89" s="33" t="s">
        <v>138</v>
      </c>
      <c r="D89" s="173">
        <f>+D81*0.0015</f>
        <v>119.75578164563773</v>
      </c>
      <c r="E89" s="24">
        <f>D89/$K$4</f>
        <v>1.6867011499385596</v>
      </c>
      <c r="F89" s="24">
        <f>+D89*K3</f>
        <v>239511.56329127544</v>
      </c>
      <c r="G89" s="27" t="s">
        <v>290</v>
      </c>
    </row>
    <row r="90" spans="1:8" outlineLevel="1" x14ac:dyDescent="0.3">
      <c r="A90" s="124"/>
      <c r="B90" s="124"/>
      <c r="C90" s="33" t="s">
        <v>299</v>
      </c>
      <c r="D90" s="178">
        <f>+E90*K4</f>
        <v>4458.0526315789475</v>
      </c>
      <c r="E90" s="253">
        <v>62.789473684210527</v>
      </c>
      <c r="F90" s="24">
        <f>+D90*K4</f>
        <v>316521.73684210528</v>
      </c>
      <c r="G90" s="258" t="s">
        <v>403</v>
      </c>
    </row>
    <row r="91" spans="1:8" ht="15" thickBot="1" x14ac:dyDescent="0.35">
      <c r="A91" s="55" t="s">
        <v>195</v>
      </c>
      <c r="B91" s="55"/>
      <c r="C91" s="56" t="s">
        <v>139</v>
      </c>
      <c r="D91" s="188">
        <f>+SUM(D88:D90)</f>
        <v>6352.8084132245849</v>
      </c>
      <c r="E91" s="189">
        <f>+D91/K4</f>
        <v>89.476174834149077</v>
      </c>
      <c r="F91" s="189">
        <f>+D91*K3</f>
        <v>12705616.826449171</v>
      </c>
      <c r="G91" s="194"/>
      <c r="H91" s="119"/>
    </row>
    <row r="92" spans="1:8" x14ac:dyDescent="0.3">
      <c r="A92" s="151"/>
      <c r="B92" s="151"/>
      <c r="C92" s="85"/>
      <c r="D92" s="175"/>
      <c r="E92" s="66"/>
      <c r="F92" s="66"/>
      <c r="G92" s="67"/>
    </row>
    <row r="93" spans="1:8" ht="15.6" customHeight="1" x14ac:dyDescent="0.3">
      <c r="A93" s="715" t="s">
        <v>321</v>
      </c>
      <c r="B93" s="290"/>
      <c r="C93" s="195" t="s">
        <v>323</v>
      </c>
      <c r="D93" s="196">
        <f>+D81+D91</f>
        <v>86189.99617698307</v>
      </c>
      <c r="E93" s="197">
        <f>+D93/$K$4</f>
        <v>1213.9436081265221</v>
      </c>
      <c r="F93" s="198">
        <f>+D93*$K$3</f>
        <v>172379992.35396615</v>
      </c>
      <c r="G93" s="199" t="s">
        <v>113</v>
      </c>
    </row>
    <row r="94" spans="1:8" ht="15.6" customHeight="1" x14ac:dyDescent="0.3">
      <c r="A94" s="715"/>
      <c r="B94" s="290"/>
      <c r="C94" s="195" t="s">
        <v>322</v>
      </c>
      <c r="D94" s="196">
        <f>+D93/$D$118</f>
        <v>4309.4998088491539</v>
      </c>
      <c r="E94" s="197">
        <f>+D94/$K$4</f>
        <v>60.697180406326112</v>
      </c>
      <c r="F94" s="198">
        <f t="shared" ref="F94:F95" si="11">+D94*$K$3</f>
        <v>8618999.6176983081</v>
      </c>
      <c r="G94" s="199" t="s">
        <v>303</v>
      </c>
    </row>
    <row r="95" spans="1:8" ht="15.6" customHeight="1" x14ac:dyDescent="0.3">
      <c r="A95" s="715"/>
      <c r="B95" s="290"/>
      <c r="C95" s="195" t="s">
        <v>324</v>
      </c>
      <c r="D95" s="196">
        <f>+($K$9*$K$4)-D93</f>
        <v>-989.99617698306974</v>
      </c>
      <c r="E95" s="197">
        <f>+D95/$K$4</f>
        <v>-13.943608126522109</v>
      </c>
      <c r="F95" s="198">
        <f t="shared" si="11"/>
        <v>-1979992.3539661395</v>
      </c>
      <c r="G95" s="199" t="s">
        <v>303</v>
      </c>
    </row>
    <row r="96" spans="1:8" x14ac:dyDescent="0.3">
      <c r="A96" s="715"/>
      <c r="B96" s="290"/>
      <c r="C96" s="200" t="s">
        <v>304</v>
      </c>
      <c r="D96" s="201">
        <f>+D95/(K9*K4)</f>
        <v>-1.1619673438768425E-2</v>
      </c>
      <c r="E96" s="201">
        <f>+E95/K9</f>
        <v>-1.1619673438768425E-2</v>
      </c>
      <c r="F96" s="201">
        <f>+F95/(K9*K4*K3)</f>
        <v>-1.1619673438768425E-2</v>
      </c>
      <c r="G96" s="199" t="s">
        <v>117</v>
      </c>
    </row>
    <row r="97" spans="1:14" hidden="1" outlineLevel="1" x14ac:dyDescent="0.3">
      <c r="A97" s="202"/>
      <c r="B97" s="202"/>
      <c r="C97" s="203"/>
      <c r="D97" s="205"/>
      <c r="E97" s="204"/>
      <c r="F97" s="204"/>
      <c r="G97" s="120"/>
      <c r="N97" s="1"/>
    </row>
    <row r="98" spans="1:14" hidden="1" outlineLevel="1" x14ac:dyDescent="0.3">
      <c r="A98" s="64"/>
      <c r="B98" s="64"/>
      <c r="C98" s="65"/>
      <c r="D98" s="175"/>
      <c r="E98" s="66"/>
      <c r="F98" s="66"/>
      <c r="G98" s="67"/>
    </row>
    <row r="99" spans="1:14" hidden="1" outlineLevel="1" x14ac:dyDescent="0.3">
      <c r="A99" s="712" t="s">
        <v>132</v>
      </c>
      <c r="B99" s="286"/>
      <c r="C99" s="33" t="s">
        <v>133</v>
      </c>
      <c r="D99" s="178">
        <f>('1. OPEX Inputs'!H13*C122+'1. OPEX Inputs'!H13*D122+'1. OPEX Inputs'!H13*E122)/K3</f>
        <v>337.36571250000003</v>
      </c>
      <c r="E99" s="24">
        <f>D99/$K$4</f>
        <v>4.7516297535211276</v>
      </c>
      <c r="F99" s="24">
        <f>D99*$K$3</f>
        <v>674731.42500000005</v>
      </c>
      <c r="G99" s="27" t="s">
        <v>391</v>
      </c>
      <c r="H99" s="17"/>
    </row>
    <row r="100" spans="1:14" hidden="1" outlineLevel="1" x14ac:dyDescent="0.3">
      <c r="A100" s="712"/>
      <c r="B100" s="286"/>
      <c r="C100" s="33" t="s">
        <v>190</v>
      </c>
      <c r="D100" s="178">
        <f>176912.625697584/K3</f>
        <v>88.45631284879201</v>
      </c>
      <c r="E100" s="24">
        <f>D100/$K$4</f>
        <v>1.2458635612505917</v>
      </c>
      <c r="F100" s="24">
        <f>D100*$K$3</f>
        <v>176912.62569758401</v>
      </c>
      <c r="G100" s="27" t="s">
        <v>288</v>
      </c>
      <c r="H100" s="17"/>
    </row>
    <row r="101" spans="1:14" hidden="1" outlineLevel="1" x14ac:dyDescent="0.3">
      <c r="A101" s="712"/>
      <c r="B101" s="286"/>
      <c r="C101" s="33" t="s">
        <v>191</v>
      </c>
      <c r="D101" s="178" cm="1">
        <f t="array" ref="D101">(SUM('1. OPEX Inputs'!H16:H20)*C122+SUM('1. OPEX Inputs'!H16:H20)*D122+SUM('1. OPEX Inputs'!H16:H20*E122))/$K$3</f>
        <v>96.327666666666687</v>
      </c>
      <c r="E101" s="24">
        <f>D101/$K$4</f>
        <v>1.3567276995305166</v>
      </c>
      <c r="F101" s="24">
        <f>D101*$K$3</f>
        <v>192655.33333333337</v>
      </c>
      <c r="G101" s="27" t="s">
        <v>288</v>
      </c>
      <c r="H101" s="17"/>
    </row>
    <row r="102" spans="1:14" ht="15.6" hidden="1" customHeight="1" outlineLevel="1" thickBot="1" x14ac:dyDescent="0.35">
      <c r="A102" s="713"/>
      <c r="B102" s="286"/>
      <c r="C102" s="33" t="s">
        <v>192</v>
      </c>
      <c r="D102" s="178">
        <f>+(C121*C122+C121*D122+C121*E122)/K3</f>
        <v>22.1875</v>
      </c>
      <c r="E102" s="24">
        <f>D102/$K$4</f>
        <v>0.3125</v>
      </c>
      <c r="F102" s="24">
        <f>D102*$K$3</f>
        <v>44375</v>
      </c>
      <c r="G102" s="27" t="s">
        <v>289</v>
      </c>
    </row>
    <row r="103" spans="1:14" s="16" customFormat="1" ht="15.6" customHeight="1" collapsed="1" thickBot="1" x14ac:dyDescent="0.35">
      <c r="A103" s="55" t="s">
        <v>193</v>
      </c>
      <c r="B103" s="55"/>
      <c r="C103" s="56"/>
      <c r="D103" s="184">
        <f>SUM(D99:D102)</f>
        <v>544.33719201545875</v>
      </c>
      <c r="E103" s="185">
        <f>SUM(E99:E102)</f>
        <v>7.6667210143022357</v>
      </c>
      <c r="F103" s="186">
        <f>SUM(F99:F102)</f>
        <v>1088674.3840309174</v>
      </c>
      <c r="G103" s="187"/>
    </row>
    <row r="104" spans="1:14" s="16" customFormat="1" ht="15.6" customHeight="1" x14ac:dyDescent="0.3">
      <c r="A104" s="151"/>
      <c r="B104" s="151"/>
      <c r="C104" s="85"/>
      <c r="D104" s="66"/>
      <c r="E104" s="214"/>
      <c r="F104" s="215"/>
      <c r="G104" s="85"/>
    </row>
    <row r="105" spans="1:14" ht="11.4" customHeight="1" x14ac:dyDescent="0.3">
      <c r="A105" s="16"/>
      <c r="B105" s="16"/>
      <c r="C105" s="16"/>
      <c r="D105" s="16"/>
      <c r="E105" s="16"/>
      <c r="F105" s="16"/>
      <c r="G105" s="16"/>
    </row>
    <row r="106" spans="1:14" ht="11.4" customHeight="1" x14ac:dyDescent="0.3">
      <c r="A106" s="16"/>
      <c r="B106" s="16"/>
      <c r="C106" s="16"/>
      <c r="D106" s="16"/>
      <c r="E106" s="16"/>
      <c r="F106" s="16"/>
      <c r="G106" s="16"/>
    </row>
    <row r="107" spans="1:14" x14ac:dyDescent="0.3">
      <c r="A107" s="715" t="s">
        <v>325</v>
      </c>
      <c r="B107" s="290"/>
      <c r="C107" s="195" t="s">
        <v>326</v>
      </c>
      <c r="D107" s="196">
        <f>+D93+D103</f>
        <v>86734.33336899853</v>
      </c>
      <c r="E107" s="197">
        <f>+D107/$K$4</f>
        <v>1221.6103291408244</v>
      </c>
      <c r="F107" s="198">
        <f>+D107*$K$3</f>
        <v>173468666.73799706</v>
      </c>
      <c r="G107" s="199" t="s">
        <v>113</v>
      </c>
    </row>
    <row r="108" spans="1:14" x14ac:dyDescent="0.3">
      <c r="A108" s="715"/>
      <c r="B108" s="290"/>
      <c r="C108" s="195" t="s">
        <v>327</v>
      </c>
      <c r="D108" s="196">
        <f>+D107/$D$118</f>
        <v>4336.7166684499261</v>
      </c>
      <c r="E108" s="197">
        <f>+D108/$K$4</f>
        <v>61.080516457041213</v>
      </c>
      <c r="F108" s="198">
        <f t="shared" ref="F108:F109" si="12">+D108*$K$3</f>
        <v>8673433.3368998524</v>
      </c>
      <c r="G108" s="199" t="s">
        <v>303</v>
      </c>
    </row>
    <row r="109" spans="1:14" ht="15.6" customHeight="1" x14ac:dyDescent="0.3">
      <c r="A109" s="715"/>
      <c r="B109" s="290"/>
      <c r="C109" s="195" t="s">
        <v>328</v>
      </c>
      <c r="D109" s="196">
        <f>+($K$9*$K$4)-D107</f>
        <v>-1534.3333689985302</v>
      </c>
      <c r="E109" s="197">
        <f>+D109/$K$4</f>
        <v>-21.610329140824369</v>
      </c>
      <c r="F109" s="198">
        <f t="shared" si="12"/>
        <v>-3068666.7379970606</v>
      </c>
      <c r="G109" s="199" t="s">
        <v>303</v>
      </c>
    </row>
    <row r="110" spans="1:14" x14ac:dyDescent="0.3">
      <c r="A110" s="715"/>
      <c r="B110" s="290"/>
      <c r="C110" s="200" t="s">
        <v>304</v>
      </c>
      <c r="D110" s="201">
        <f>+D109/SUM($K$4*$K$9)</f>
        <v>-1.800860761735364E-2</v>
      </c>
      <c r="E110" s="201">
        <f>+E109/K9</f>
        <v>-1.800860761735364E-2</v>
      </c>
      <c r="F110" s="201">
        <f>+F109/(K9*K4*K3)</f>
        <v>-1.8008607617353643E-2</v>
      </c>
      <c r="G110" s="199" t="s">
        <v>117</v>
      </c>
    </row>
    <row r="111" spans="1:14" x14ac:dyDescent="0.3">
      <c r="A111" s="64"/>
      <c r="B111" s="64"/>
      <c r="C111" s="65"/>
      <c r="D111" s="120"/>
      <c r="E111" s="120"/>
      <c r="F111" s="120"/>
      <c r="G111" s="146"/>
      <c r="H111" s="17"/>
      <c r="I111" s="17"/>
      <c r="J111" s="17"/>
      <c r="K111" s="17"/>
    </row>
    <row r="113" spans="1:7" ht="15" thickBot="1" x14ac:dyDescent="0.35">
      <c r="A113" s="717" t="s">
        <v>140</v>
      </c>
      <c r="B113" s="717"/>
      <c r="C113" s="717"/>
      <c r="D113" s="717"/>
      <c r="E113" s="249">
        <f>+E107</f>
        <v>1221.6103291408244</v>
      </c>
      <c r="F113" s="249"/>
      <c r="G113" s="250"/>
    </row>
    <row r="114" spans="1:7" x14ac:dyDescent="0.3">
      <c r="A114" s="143"/>
      <c r="B114" s="143"/>
      <c r="C114" s="143"/>
      <c r="D114" s="143"/>
      <c r="E114" s="144"/>
      <c r="F114" s="144"/>
      <c r="G114" s="145"/>
    </row>
    <row r="115" spans="1:7" x14ac:dyDescent="0.3">
      <c r="A115" s="143"/>
      <c r="B115" s="143"/>
      <c r="C115" s="149" t="s">
        <v>305</v>
      </c>
      <c r="D115" s="148">
        <v>50</v>
      </c>
      <c r="E115" s="147"/>
      <c r="F115" s="147"/>
      <c r="G115" s="27" t="s">
        <v>309</v>
      </c>
    </row>
    <row r="116" spans="1:7" x14ac:dyDescent="0.3">
      <c r="A116" s="143"/>
      <c r="B116" s="143"/>
      <c r="C116" s="149" t="s">
        <v>306</v>
      </c>
      <c r="D116" s="148">
        <f>+D117/D115</f>
        <v>40000</v>
      </c>
      <c r="E116" s="147"/>
      <c r="F116" s="147"/>
      <c r="G116" s="27" t="s">
        <v>310</v>
      </c>
    </row>
    <row r="117" spans="1:7" x14ac:dyDescent="0.3">
      <c r="A117" s="143"/>
      <c r="B117" s="143"/>
      <c r="C117" s="149" t="s">
        <v>307</v>
      </c>
      <c r="D117" s="148">
        <f>+K3*1000</f>
        <v>2000000</v>
      </c>
      <c r="E117" s="147"/>
      <c r="F117" s="147"/>
      <c r="G117" s="27" t="s">
        <v>311</v>
      </c>
    </row>
    <row r="118" spans="1:7" x14ac:dyDescent="0.3">
      <c r="A118" s="143"/>
      <c r="B118" s="143"/>
      <c r="C118" s="149" t="s">
        <v>308</v>
      </c>
      <c r="D118" s="150">
        <f>1000/D115</f>
        <v>20</v>
      </c>
      <c r="E118" s="147"/>
      <c r="F118" s="147"/>
      <c r="G118" s="27" t="s">
        <v>312</v>
      </c>
    </row>
    <row r="119" spans="1:7" ht="15.6" customHeight="1" x14ac:dyDescent="0.3">
      <c r="A119" s="69"/>
      <c r="B119" s="69"/>
      <c r="C119" s="126"/>
      <c r="D119" s="110"/>
      <c r="E119" s="152"/>
      <c r="F119" s="153"/>
      <c r="G119" s="153"/>
    </row>
    <row r="120" spans="1:7" ht="17.399999999999999" customHeight="1" x14ac:dyDescent="0.3">
      <c r="A120" s="126" t="s">
        <v>284</v>
      </c>
      <c r="B120" s="126"/>
      <c r="C120" s="126"/>
      <c r="D120" s="126"/>
      <c r="E120" s="127"/>
      <c r="F120" s="128"/>
      <c r="G120" s="127"/>
    </row>
    <row r="121" spans="1:7" ht="17.399999999999999" customHeight="1" x14ac:dyDescent="0.3">
      <c r="A121" s="132" t="s">
        <v>285</v>
      </c>
      <c r="B121" s="132"/>
      <c r="C121" s="206">
        <v>44375</v>
      </c>
      <c r="D121" s="207"/>
      <c r="E121" s="208"/>
      <c r="F121" s="209"/>
      <c r="G121" s="133"/>
    </row>
    <row r="122" spans="1:7" s="16" customFormat="1" x14ac:dyDescent="0.3">
      <c r="A122" s="132" t="s">
        <v>286</v>
      </c>
      <c r="B122" s="132"/>
      <c r="C122" s="210">
        <v>0.4</v>
      </c>
      <c r="D122" s="210">
        <v>0.4</v>
      </c>
      <c r="E122" s="211">
        <f>40%/2</f>
        <v>0.2</v>
      </c>
      <c r="F122" s="209"/>
      <c r="G122" s="133"/>
    </row>
    <row r="123" spans="1:7" s="16" customFormat="1" x14ac:dyDescent="0.3">
      <c r="A123" s="1"/>
      <c r="B123" s="1"/>
      <c r="C123" s="1"/>
      <c r="D123" s="1"/>
      <c r="E123" s="1"/>
      <c r="F123" s="1"/>
      <c r="G123" s="1"/>
    </row>
    <row r="124" spans="1:7" s="16" customFormat="1" x14ac:dyDescent="0.3">
      <c r="A124" s="68" t="s">
        <v>141</v>
      </c>
      <c r="B124" s="68"/>
      <c r="C124" s="68"/>
      <c r="D124" s="68"/>
      <c r="E124" s="68"/>
      <c r="F124" s="68"/>
      <c r="G124" s="68"/>
    </row>
    <row r="125" spans="1:7" s="16" customFormat="1" x14ac:dyDescent="0.3">
      <c r="A125" s="719" t="s">
        <v>198</v>
      </c>
      <c r="B125" s="719"/>
      <c r="C125" s="719"/>
      <c r="D125" s="719"/>
      <c r="E125" s="719"/>
      <c r="F125" s="719"/>
      <c r="G125" s="719"/>
    </row>
    <row r="126" spans="1:7" s="16" customFormat="1" x14ac:dyDescent="0.3">
      <c r="A126" s="720" t="s">
        <v>199</v>
      </c>
      <c r="B126" s="720"/>
      <c r="C126" s="720"/>
      <c r="D126" s="720"/>
      <c r="E126" s="720"/>
      <c r="F126" s="720"/>
      <c r="G126" s="720"/>
    </row>
    <row r="127" spans="1:7" s="16" customFormat="1" x14ac:dyDescent="0.3">
      <c r="A127" s="706" t="s">
        <v>197</v>
      </c>
      <c r="B127" s="706"/>
      <c r="C127" s="706"/>
      <c r="D127" s="706"/>
      <c r="E127" s="706"/>
      <c r="F127" s="706"/>
      <c r="G127" s="706"/>
    </row>
    <row r="128" spans="1:7" s="16" customFormat="1" x14ac:dyDescent="0.3">
      <c r="A128" s="1"/>
      <c r="B128" s="1"/>
      <c r="C128" s="1"/>
      <c r="D128" s="1"/>
      <c r="E128" s="1"/>
      <c r="F128" s="1"/>
      <c r="G128" s="1"/>
    </row>
    <row r="129" spans="1:7" s="127" customFormat="1" x14ac:dyDescent="0.3">
      <c r="A129" s="1"/>
      <c r="B129" s="1"/>
      <c r="C129" s="1"/>
      <c r="D129" s="1"/>
      <c r="E129" s="1"/>
      <c r="F129" s="1"/>
      <c r="G129" s="1"/>
    </row>
    <row r="130" spans="1:7" s="127" customFormat="1" x14ac:dyDescent="0.3">
      <c r="A130" s="1"/>
      <c r="B130" s="1"/>
      <c r="C130" s="1"/>
      <c r="D130" s="1"/>
      <c r="E130" s="1"/>
      <c r="F130" s="1"/>
      <c r="G130" s="1"/>
    </row>
    <row r="131" spans="1:7" s="127" customFormat="1" x14ac:dyDescent="0.3">
      <c r="A131" s="1"/>
      <c r="B131" s="1"/>
      <c r="C131" s="1"/>
      <c r="D131" s="1"/>
      <c r="E131" s="1"/>
      <c r="F131" s="1"/>
      <c r="G131" s="1"/>
    </row>
    <row r="132" spans="1:7" s="127" customFormat="1" x14ac:dyDescent="0.3">
      <c r="A132" s="1"/>
      <c r="B132" s="1"/>
      <c r="C132" s="1"/>
      <c r="D132" s="1"/>
      <c r="E132" s="1"/>
      <c r="F132" s="1"/>
      <c r="G132" s="1"/>
    </row>
    <row r="134" spans="1:7" ht="15.75" customHeight="1" x14ac:dyDescent="0.3"/>
    <row r="135" spans="1:7" ht="15.75" customHeight="1" x14ac:dyDescent="0.3"/>
    <row r="136" spans="1:7" ht="15.75" customHeight="1" x14ac:dyDescent="0.3"/>
    <row r="137" spans="1:7" ht="15.75" customHeight="1" x14ac:dyDescent="0.3"/>
  </sheetData>
  <mergeCells count="16">
    <mergeCell ref="I1:M1"/>
    <mergeCell ref="A93:A96"/>
    <mergeCell ref="A125:G125"/>
    <mergeCell ref="A126:G126"/>
    <mergeCell ref="A12:A48"/>
    <mergeCell ref="A127:G127"/>
    <mergeCell ref="A1:G1"/>
    <mergeCell ref="A2:G2"/>
    <mergeCell ref="A54:A76"/>
    <mergeCell ref="A99:A102"/>
    <mergeCell ref="A88:A89"/>
    <mergeCell ref="A107:A110"/>
    <mergeCell ref="A5:A10"/>
    <mergeCell ref="A3:G3"/>
    <mergeCell ref="A113:D113"/>
    <mergeCell ref="A83:A85"/>
  </mergeCells>
  <conditionalFormatting sqref="D96:D9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{869F2A8A-6C6C-4282-B1A7-EDBC3DB5582F}</x14:id>
        </ext>
      </extLst>
    </cfRule>
  </conditionalFormatting>
  <conditionalFormatting sqref="D96:E9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{720ED843-26B9-475C-86BD-4223685638A4}</x14:id>
        </ext>
      </extLst>
    </cfRule>
  </conditionalFormatting>
  <conditionalFormatting sqref="D110:F1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{405FC0AB-27B7-45E3-8441-C4027ED1EC0D}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{B5B0C1C5-3A91-4F2F-87BC-72AB8F95196C}</x14:id>
        </ext>
      </extLst>
    </cfRule>
  </conditionalFormatting>
  <conditionalFormatting sqref="F96:F9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{542908F0-855C-4159-8F9C-E64E97973CC2}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9F2A8A-6C6C-4282-B1A7-EDBC3DB558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D96:D97</xm:sqref>
        </x14:conditionalFormatting>
        <x14:conditionalFormatting xmlns:xm="http://schemas.microsoft.com/office/excel/2006/main">
          <x14:cfRule type="dataBar" id="{720ED843-26B9-475C-86BD-4223685638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D96:E97</xm:sqref>
        </x14:conditionalFormatting>
        <x14:conditionalFormatting xmlns:xm="http://schemas.microsoft.com/office/excel/2006/main">
          <x14:cfRule type="dataBar" id="{405FC0AB-27B7-45E3-8441-C4027ED1EC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B0C1C5-3A91-4F2F-87BC-72AB8F9519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D110:F110</xm:sqref>
        </x14:conditionalFormatting>
        <x14:conditionalFormatting xmlns:xm="http://schemas.microsoft.com/office/excel/2006/main">
          <x14:cfRule type="dataBar" id="{542908F0-855C-4159-8F9C-E64E97973C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F96:F97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D81-EFD3-4D9D-8BC0-5EE4F14212FC}">
  <dimension ref="A1:M128"/>
  <sheetViews>
    <sheetView showGridLines="0"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92" sqref="G92"/>
    </sheetView>
  </sheetViews>
  <sheetFormatPr defaultColWidth="8.5546875" defaultRowHeight="16.5" customHeight="1" outlineLevelRow="1" x14ac:dyDescent="0.3"/>
  <cols>
    <col min="1" max="1" width="31.109375" style="1" bestFit="1" customWidth="1"/>
    <col min="2" max="2" width="46.44140625" style="1" customWidth="1"/>
    <col min="3" max="3" width="12" style="1" bestFit="1" customWidth="1"/>
    <col min="4" max="4" width="14.44140625" style="1" bestFit="1" customWidth="1"/>
    <col min="5" max="5" width="16" style="1" customWidth="1"/>
    <col min="6" max="6" width="71.5546875" style="1" bestFit="1" customWidth="1"/>
    <col min="7" max="7" width="20.44140625" style="1" customWidth="1"/>
    <col min="8" max="8" width="25.109375" style="1" bestFit="1" customWidth="1"/>
    <col min="9" max="9" width="12" style="1" customWidth="1"/>
    <col min="10" max="10" width="15.88671875" style="1" customWidth="1"/>
    <col min="11" max="11" width="21" style="1" customWidth="1"/>
    <col min="12" max="12" width="35.88671875" style="1" bestFit="1" customWidth="1"/>
    <col min="13" max="16384" width="8.5546875" style="1"/>
  </cols>
  <sheetData>
    <row r="1" spans="1:13" ht="16.5" customHeight="1" x14ac:dyDescent="0.3">
      <c r="A1" s="707" t="s">
        <v>339</v>
      </c>
      <c r="B1" s="707"/>
      <c r="C1" s="707"/>
      <c r="D1" s="707"/>
      <c r="E1" s="707"/>
      <c r="F1" s="707"/>
      <c r="H1" s="137" t="s">
        <v>110</v>
      </c>
      <c r="I1" s="137"/>
      <c r="J1" s="137"/>
      <c r="K1" s="137"/>
      <c r="L1" s="137"/>
      <c r="M1" s="137"/>
    </row>
    <row r="2" spans="1:13" ht="16.5" customHeight="1" x14ac:dyDescent="0.3">
      <c r="A2" s="708" t="s">
        <v>337</v>
      </c>
      <c r="B2" s="708"/>
      <c r="C2" s="708"/>
      <c r="D2" s="708"/>
      <c r="E2" s="708"/>
      <c r="F2" s="708"/>
      <c r="H2" s="18" t="s">
        <v>111</v>
      </c>
      <c r="I2" s="19" t="s">
        <v>145</v>
      </c>
      <c r="J2" s="19" t="s">
        <v>147</v>
      </c>
      <c r="K2" s="20" t="s">
        <v>146</v>
      </c>
      <c r="L2" s="19" t="s">
        <v>148</v>
      </c>
      <c r="M2" s="19"/>
    </row>
    <row r="3" spans="1:13" ht="16.5" customHeight="1" x14ac:dyDescent="0.3">
      <c r="A3" s="137" t="s">
        <v>119</v>
      </c>
      <c r="B3" s="137"/>
      <c r="C3" s="137"/>
      <c r="D3" s="137"/>
      <c r="E3" s="137"/>
      <c r="F3" s="137"/>
      <c r="H3" s="70" t="s">
        <v>112</v>
      </c>
      <c r="I3" s="71" t="s">
        <v>113</v>
      </c>
      <c r="J3" s="72">
        <v>11000</v>
      </c>
      <c r="K3" s="73" t="s">
        <v>200</v>
      </c>
      <c r="L3" s="727" t="s">
        <v>149</v>
      </c>
      <c r="M3" s="727"/>
    </row>
    <row r="4" spans="1:13" ht="16.5" customHeight="1" x14ac:dyDescent="0.3">
      <c r="A4" s="18" t="s">
        <v>120</v>
      </c>
      <c r="B4" s="18" t="s">
        <v>121</v>
      </c>
      <c r="C4" s="20" t="s">
        <v>123</v>
      </c>
      <c r="D4" s="20" t="s">
        <v>124</v>
      </c>
      <c r="E4" s="20" t="s">
        <v>125</v>
      </c>
      <c r="F4" s="19" t="s">
        <v>122</v>
      </c>
      <c r="H4" s="70" t="s">
        <v>114</v>
      </c>
      <c r="I4" s="71" t="s">
        <v>115</v>
      </c>
      <c r="J4" s="72">
        <v>71</v>
      </c>
      <c r="K4" s="73" t="s">
        <v>142</v>
      </c>
      <c r="L4" s="727" t="s">
        <v>150</v>
      </c>
      <c r="M4" s="727"/>
    </row>
    <row r="5" spans="1:13" ht="16.5" customHeight="1" outlineLevel="1" x14ac:dyDescent="0.3">
      <c r="A5" s="712" t="s">
        <v>187</v>
      </c>
      <c r="B5" s="30" t="s">
        <v>340</v>
      </c>
      <c r="C5" s="159">
        <v>80000</v>
      </c>
      <c r="D5" s="31">
        <f>C5/$J$4</f>
        <v>1126.7605633802816</v>
      </c>
      <c r="E5" s="32">
        <f>C5*J3</f>
        <v>880000000</v>
      </c>
      <c r="F5" s="27" t="s">
        <v>398</v>
      </c>
      <c r="H5" s="70" t="s">
        <v>116</v>
      </c>
      <c r="I5" s="71" t="s">
        <v>117</v>
      </c>
      <c r="J5" s="74">
        <f>14.75%/12*2.5</f>
        <v>3.0729166666666665E-2</v>
      </c>
      <c r="K5" s="73" t="s">
        <v>142</v>
      </c>
      <c r="L5" s="727" t="s">
        <v>392</v>
      </c>
      <c r="M5" s="727"/>
    </row>
    <row r="6" spans="1:13" ht="16.5" customHeight="1" outlineLevel="1" x14ac:dyDescent="0.3">
      <c r="A6" s="712"/>
      <c r="B6" s="33" t="s">
        <v>151</v>
      </c>
      <c r="C6" s="160">
        <f>+SUM(C7:C9)</f>
        <v>0</v>
      </c>
      <c r="D6" s="35">
        <f>C6/J4</f>
        <v>0</v>
      </c>
      <c r="E6" s="36">
        <f>C6*$J$3</f>
        <v>0</v>
      </c>
      <c r="F6" s="27" t="s">
        <v>355</v>
      </c>
      <c r="H6" s="70" t="s">
        <v>118</v>
      </c>
      <c r="I6" s="71" t="s">
        <v>117</v>
      </c>
      <c r="J6" s="252">
        <v>0.01</v>
      </c>
      <c r="K6" s="73" t="s">
        <v>353</v>
      </c>
      <c r="L6" s="727"/>
      <c r="M6" s="727"/>
    </row>
    <row r="7" spans="1:13" ht="16.5" customHeight="1" outlineLevel="1" x14ac:dyDescent="0.3">
      <c r="A7" s="712"/>
      <c r="B7" s="37" t="s">
        <v>152</v>
      </c>
      <c r="C7" s="161">
        <v>0</v>
      </c>
      <c r="D7" s="82">
        <f>+C7/$J$4</f>
        <v>0</v>
      </c>
      <c r="E7" s="83">
        <f>C7*$J$3</f>
        <v>0</v>
      </c>
      <c r="F7" s="27" t="s">
        <v>167</v>
      </c>
      <c r="H7" s="70" t="s">
        <v>316</v>
      </c>
      <c r="I7" s="71" t="s">
        <v>117</v>
      </c>
      <c r="J7" s="252">
        <f>1-0.04</f>
        <v>0.96</v>
      </c>
      <c r="K7" s="73" t="s">
        <v>352</v>
      </c>
      <c r="L7" s="727" t="s">
        <v>354</v>
      </c>
      <c r="M7" s="727"/>
    </row>
    <row r="8" spans="1:13" ht="16.5" customHeight="1" outlineLevel="1" x14ac:dyDescent="0.3">
      <c r="A8" s="712"/>
      <c r="B8" s="37" t="s">
        <v>153</v>
      </c>
      <c r="C8" s="161">
        <v>0</v>
      </c>
      <c r="D8" s="82">
        <f>+C8/$J$4</f>
        <v>0</v>
      </c>
      <c r="E8" s="83">
        <f>C8*$J$3</f>
        <v>0</v>
      </c>
      <c r="F8" s="27" t="s">
        <v>167</v>
      </c>
      <c r="H8" s="70" t="s">
        <v>336</v>
      </c>
      <c r="I8" s="71" t="s">
        <v>313</v>
      </c>
      <c r="J8" s="72">
        <v>1400</v>
      </c>
      <c r="K8" s="73" t="s">
        <v>48</v>
      </c>
      <c r="L8" s="727" t="s">
        <v>388</v>
      </c>
      <c r="M8" s="727"/>
    </row>
    <row r="9" spans="1:13" ht="16.5" customHeight="1" outlineLevel="1" x14ac:dyDescent="0.3">
      <c r="A9" s="712"/>
      <c r="B9" s="37" t="s">
        <v>154</v>
      </c>
      <c r="C9" s="161">
        <v>0</v>
      </c>
      <c r="D9" s="82">
        <f>+C9/$J$4</f>
        <v>0</v>
      </c>
      <c r="E9" s="83">
        <f>C9*$J$3</f>
        <v>0</v>
      </c>
      <c r="F9" s="27" t="s">
        <v>167</v>
      </c>
      <c r="H9" s="70" t="s">
        <v>314</v>
      </c>
      <c r="I9" s="71" t="s">
        <v>313</v>
      </c>
      <c r="J9" s="72">
        <v>1400</v>
      </c>
      <c r="K9" s="73" t="s">
        <v>353</v>
      </c>
      <c r="L9" s="727" t="s">
        <v>396</v>
      </c>
      <c r="M9" s="727"/>
    </row>
    <row r="10" spans="1:13" ht="16.5" customHeight="1" outlineLevel="1" x14ac:dyDescent="0.3">
      <c r="A10" s="712"/>
      <c r="B10" s="33" t="s">
        <v>118</v>
      </c>
      <c r="C10" s="162">
        <f>+C5*$J$6</f>
        <v>800</v>
      </c>
      <c r="D10" s="38">
        <f>C10/J4</f>
        <v>11.267605633802816</v>
      </c>
      <c r="E10" s="39">
        <f>C10*J3</f>
        <v>8800000</v>
      </c>
      <c r="F10" s="27" t="s">
        <v>205</v>
      </c>
      <c r="H10" s="70" t="s">
        <v>315</v>
      </c>
      <c r="I10" s="71" t="s">
        <v>115</v>
      </c>
      <c r="J10" s="257">
        <f>+C88/J9</f>
        <v>70.620257072366059</v>
      </c>
      <c r="K10" s="73"/>
      <c r="L10" s="727" t="s">
        <v>380</v>
      </c>
      <c r="M10" s="727"/>
    </row>
    <row r="11" spans="1:13" ht="16.5" customHeight="1" thickBot="1" x14ac:dyDescent="0.35">
      <c r="A11" s="55" t="s">
        <v>156</v>
      </c>
      <c r="B11" s="56"/>
      <c r="C11" s="188">
        <f>SUM(C5:C10)/J7</f>
        <v>84166.666666666672</v>
      </c>
      <c r="D11" s="189">
        <f>+C11/J4</f>
        <v>1185.4460093896714</v>
      </c>
      <c r="E11" s="190">
        <f>+C11*J3</f>
        <v>925833333.33333337</v>
      </c>
      <c r="F11" s="194"/>
    </row>
    <row r="12" spans="1:13" ht="16.5" customHeight="1" x14ac:dyDescent="0.3">
      <c r="C12" s="163"/>
      <c r="F12" s="230"/>
    </row>
    <row r="13" spans="1:13" ht="16.5" hidden="1" customHeight="1" outlineLevel="1" x14ac:dyDescent="0.3">
      <c r="A13" s="712" t="s">
        <v>188</v>
      </c>
      <c r="B13" s="33" t="s">
        <v>157</v>
      </c>
      <c r="C13" s="164">
        <v>29</v>
      </c>
      <c r="D13" s="38">
        <f>C13/$J$4</f>
        <v>0.40845070422535212</v>
      </c>
      <c r="E13" s="39">
        <f>C13*$J$3</f>
        <v>319000</v>
      </c>
      <c r="F13" s="27" t="s">
        <v>161</v>
      </c>
    </row>
    <row r="14" spans="1:13" ht="16.5" hidden="1" customHeight="1" outlineLevel="1" x14ac:dyDescent="0.3">
      <c r="A14" s="712"/>
      <c r="B14" s="33" t="s">
        <v>158</v>
      </c>
      <c r="C14" s="164">
        <v>29</v>
      </c>
      <c r="D14" s="38">
        <f t="shared" ref="D14:D15" si="0">C14/$J$4</f>
        <v>0.40845070422535212</v>
      </c>
      <c r="E14" s="39">
        <f t="shared" ref="E14:E15" si="1">C14*$J$3</f>
        <v>319000</v>
      </c>
      <c r="F14" s="27" t="s">
        <v>161</v>
      </c>
    </row>
    <row r="15" spans="1:13" ht="16.5" hidden="1" customHeight="1" outlineLevel="1" x14ac:dyDescent="0.3">
      <c r="A15" s="712"/>
      <c r="B15" s="179" t="s">
        <v>357</v>
      </c>
      <c r="C15" s="164">
        <f>29*2</f>
        <v>58</v>
      </c>
      <c r="D15" s="38">
        <f t="shared" si="0"/>
        <v>0.81690140845070425</v>
      </c>
      <c r="E15" s="39">
        <f t="shared" si="1"/>
        <v>638000</v>
      </c>
      <c r="F15" s="27" t="s">
        <v>356</v>
      </c>
    </row>
    <row r="16" spans="1:13" ht="16.5" hidden="1" customHeight="1" outlineLevel="1" x14ac:dyDescent="0.3">
      <c r="A16" s="712"/>
      <c r="B16" s="50" t="s">
        <v>160</v>
      </c>
      <c r="C16" s="165">
        <f>+SUM(C13:C15)</f>
        <v>116</v>
      </c>
      <c r="D16" s="51">
        <f>+SUM(D13:D15)</f>
        <v>1.6338028169014085</v>
      </c>
      <c r="E16" s="52">
        <f>+SUM(E13:E15)</f>
        <v>1276000</v>
      </c>
      <c r="F16" s="59"/>
    </row>
    <row r="17" spans="1:6" ht="16.5" hidden="1" customHeight="1" outlineLevel="1" x14ac:dyDescent="0.3">
      <c r="A17" s="712"/>
      <c r="B17" s="25"/>
      <c r="C17" s="166"/>
      <c r="D17" s="26"/>
      <c r="E17" s="26"/>
      <c r="F17" s="60"/>
    </row>
    <row r="18" spans="1:6" ht="16.5" hidden="1" customHeight="1" outlineLevel="1" x14ac:dyDescent="0.3">
      <c r="A18" s="712"/>
      <c r="B18" s="50" t="s">
        <v>162</v>
      </c>
      <c r="C18" s="231">
        <f>+(C115*C117+C115*D117+C115*E117+C115*F117)/$J$3</f>
        <v>4.6980902287767217</v>
      </c>
      <c r="D18" s="51">
        <f>C18/J4</f>
        <v>6.6170284912348193E-2</v>
      </c>
      <c r="E18" s="52">
        <f>C18*J3</f>
        <v>51678.992516543942</v>
      </c>
      <c r="F18" s="251" t="s">
        <v>397</v>
      </c>
    </row>
    <row r="19" spans="1:6" ht="16.5" hidden="1" customHeight="1" outlineLevel="1" x14ac:dyDescent="0.3">
      <c r="A19" s="712"/>
      <c r="B19" s="25"/>
      <c r="C19" s="212"/>
      <c r="D19" s="26"/>
      <c r="E19" s="26"/>
      <c r="F19" s="27"/>
    </row>
    <row r="20" spans="1:6" ht="16.5" hidden="1" customHeight="1" outlineLevel="1" x14ac:dyDescent="0.3">
      <c r="A20" s="712"/>
      <c r="B20" s="40" t="s">
        <v>165</v>
      </c>
      <c r="C20" s="168">
        <v>25</v>
      </c>
      <c r="D20" s="34">
        <v>0</v>
      </c>
      <c r="E20" s="41">
        <v>0</v>
      </c>
      <c r="F20" s="27" t="s">
        <v>358</v>
      </c>
    </row>
    <row r="21" spans="1:6" ht="16.5" hidden="1" customHeight="1" outlineLevel="1" x14ac:dyDescent="0.3">
      <c r="A21" s="712"/>
      <c r="B21" s="40" t="s">
        <v>166</v>
      </c>
      <c r="C21" s="168">
        <v>10</v>
      </c>
      <c r="D21" s="34">
        <v>0</v>
      </c>
      <c r="E21" s="41">
        <v>0</v>
      </c>
      <c r="F21" s="27" t="s">
        <v>359</v>
      </c>
    </row>
    <row r="22" spans="1:6" ht="16.5" hidden="1" customHeight="1" outlineLevel="1" x14ac:dyDescent="0.3">
      <c r="A22" s="712"/>
      <c r="B22" s="40" t="s">
        <v>163</v>
      </c>
      <c r="C22" s="168">
        <v>2.5</v>
      </c>
      <c r="D22" s="34">
        <v>0</v>
      </c>
      <c r="E22" s="41">
        <v>0</v>
      </c>
      <c r="F22" s="27" t="s">
        <v>360</v>
      </c>
    </row>
    <row r="23" spans="1:6" ht="16.5" hidden="1" customHeight="1" outlineLevel="1" x14ac:dyDescent="0.3">
      <c r="A23" s="712"/>
      <c r="B23" s="50" t="s">
        <v>164</v>
      </c>
      <c r="C23" s="165">
        <f>+IFERROR(C20*C21/C22,0)</f>
        <v>100</v>
      </c>
      <c r="D23" s="51">
        <f>C23/J4</f>
        <v>1.408450704225352</v>
      </c>
      <c r="E23" s="52">
        <f>C23*J3</f>
        <v>1100000</v>
      </c>
      <c r="F23" s="59"/>
    </row>
    <row r="24" spans="1:6" ht="16.5" hidden="1" customHeight="1" outlineLevel="1" x14ac:dyDescent="0.3">
      <c r="A24" s="712"/>
      <c r="B24" s="25"/>
      <c r="C24" s="169"/>
      <c r="D24" s="26"/>
      <c r="E24" s="26"/>
      <c r="F24" s="62"/>
    </row>
    <row r="25" spans="1:6" ht="16.5" hidden="1" customHeight="1" outlineLevel="1" x14ac:dyDescent="0.3">
      <c r="A25" s="712"/>
      <c r="B25" s="33" t="s">
        <v>176</v>
      </c>
      <c r="C25" s="164">
        <v>336</v>
      </c>
      <c r="D25" s="34">
        <f>+C25/J4</f>
        <v>4.732394366197183</v>
      </c>
      <c r="E25" s="42">
        <v>0</v>
      </c>
      <c r="F25" s="27" t="s">
        <v>361</v>
      </c>
    </row>
    <row r="26" spans="1:6" ht="16.5" hidden="1" customHeight="1" outlineLevel="1" x14ac:dyDescent="0.3">
      <c r="A26" s="712"/>
      <c r="B26" s="33" t="s">
        <v>169</v>
      </c>
      <c r="C26" s="170">
        <v>9</v>
      </c>
      <c r="D26" s="34">
        <v>9</v>
      </c>
      <c r="E26" s="43">
        <v>0</v>
      </c>
      <c r="F26" s="27" t="s">
        <v>170</v>
      </c>
    </row>
    <row r="27" spans="1:6" ht="16.5" hidden="1" customHeight="1" outlineLevel="1" x14ac:dyDescent="0.3">
      <c r="A27" s="712"/>
      <c r="B27" s="33" t="s">
        <v>171</v>
      </c>
      <c r="C27" s="170">
        <v>8</v>
      </c>
      <c r="D27" s="34">
        <v>8</v>
      </c>
      <c r="E27" s="43">
        <v>0</v>
      </c>
      <c r="F27" s="27" t="s">
        <v>362</v>
      </c>
    </row>
    <row r="28" spans="1:6" ht="16.5" hidden="1" customHeight="1" outlineLevel="1" x14ac:dyDescent="0.3">
      <c r="A28" s="712"/>
      <c r="B28" s="33" t="s">
        <v>172</v>
      </c>
      <c r="C28" s="170">
        <f>2.5*C27</f>
        <v>20</v>
      </c>
      <c r="D28" s="34">
        <v>20</v>
      </c>
      <c r="E28" s="43">
        <v>0</v>
      </c>
      <c r="F28" s="27" t="s">
        <v>173</v>
      </c>
    </row>
    <row r="29" spans="1:6" ht="16.5" hidden="1" customHeight="1" outlineLevel="1" x14ac:dyDescent="0.3">
      <c r="A29" s="712"/>
      <c r="B29" s="50" t="s">
        <v>174</v>
      </c>
      <c r="C29" s="165">
        <f>+(C25*C26)/C28</f>
        <v>151.19999999999999</v>
      </c>
      <c r="D29" s="51">
        <f>+(D25*D26)/D28</f>
        <v>2.1295774647887322</v>
      </c>
      <c r="E29" s="52">
        <f>+C29*J3</f>
        <v>1663199.9999999998</v>
      </c>
      <c r="F29" s="59"/>
    </row>
    <row r="30" spans="1:6" s="16" customFormat="1" ht="16.5" customHeight="1" collapsed="1" x14ac:dyDescent="0.3">
      <c r="A30" s="44"/>
      <c r="B30" s="203"/>
      <c r="C30" s="166"/>
      <c r="D30" s="26"/>
      <c r="E30" s="26"/>
      <c r="F30" s="22"/>
    </row>
    <row r="31" spans="1:6" ht="16.5" customHeight="1" thickBot="1" x14ac:dyDescent="0.35">
      <c r="A31" s="55" t="s">
        <v>177</v>
      </c>
      <c r="B31" s="56"/>
      <c r="C31" s="188">
        <f>+C16+C18+C23+C29</f>
        <v>371.89809022877671</v>
      </c>
      <c r="D31" s="189">
        <f>+D16+D18+D23+D29</f>
        <v>5.2380012708278407</v>
      </c>
      <c r="E31" s="190">
        <f>+E16+E18+E23+E29</f>
        <v>4090878.9925165437</v>
      </c>
      <c r="F31" s="191"/>
    </row>
    <row r="32" spans="1:6" ht="16.5" customHeight="1" x14ac:dyDescent="0.3">
      <c r="A32" s="232"/>
      <c r="B32" s="179"/>
      <c r="C32" s="171"/>
      <c r="D32" s="233"/>
      <c r="E32" s="233"/>
      <c r="F32" s="234"/>
    </row>
    <row r="33" spans="1:6" ht="16.5" hidden="1" customHeight="1" outlineLevel="1" x14ac:dyDescent="0.3">
      <c r="A33" s="725" t="s">
        <v>351</v>
      </c>
      <c r="B33" s="45" t="s">
        <v>178</v>
      </c>
      <c r="C33" s="171">
        <f>0.56*20</f>
        <v>11.200000000000001</v>
      </c>
      <c r="D33" s="38">
        <f>+C33/J4</f>
        <v>0.15774647887323945</v>
      </c>
      <c r="E33" s="39">
        <f>+C33*$J$3</f>
        <v>123200.00000000001</v>
      </c>
      <c r="F33" s="248" t="s">
        <v>181</v>
      </c>
    </row>
    <row r="34" spans="1:6" ht="16.5" hidden="1" customHeight="1" outlineLevel="1" x14ac:dyDescent="0.3">
      <c r="A34" s="725"/>
      <c r="B34" s="45" t="s">
        <v>168</v>
      </c>
      <c r="C34" s="172">
        <v>1</v>
      </c>
      <c r="D34" s="84">
        <v>1</v>
      </c>
      <c r="E34" s="84">
        <v>1</v>
      </c>
      <c r="F34" s="27" t="s">
        <v>179</v>
      </c>
    </row>
    <row r="35" spans="1:6" ht="16.5" hidden="1" customHeight="1" outlineLevel="1" x14ac:dyDescent="0.3">
      <c r="A35" s="725"/>
      <c r="B35" s="45" t="s">
        <v>180</v>
      </c>
      <c r="C35" s="171">
        <f>1*20</f>
        <v>20</v>
      </c>
      <c r="D35" s="38">
        <f>+C35/J4</f>
        <v>0.28169014084507044</v>
      </c>
      <c r="E35" s="39">
        <f>+C35*$J$3</f>
        <v>220000</v>
      </c>
      <c r="F35" s="27" t="s">
        <v>369</v>
      </c>
    </row>
    <row r="36" spans="1:6" ht="16.5" hidden="1" customHeight="1" outlineLevel="1" x14ac:dyDescent="0.3">
      <c r="A36" s="725"/>
      <c r="B36" s="50" t="s">
        <v>160</v>
      </c>
      <c r="C36" s="165">
        <f>+C33*C34+C35</f>
        <v>31.200000000000003</v>
      </c>
      <c r="D36" s="51">
        <f t="shared" ref="D36:E36" si="2">+D33*D34+D35</f>
        <v>0.43943661971830988</v>
      </c>
      <c r="E36" s="52">
        <f t="shared" si="2"/>
        <v>343200</v>
      </c>
      <c r="F36" s="53"/>
    </row>
    <row r="37" spans="1:6" ht="16.5" hidden="1" customHeight="1" outlineLevel="1" x14ac:dyDescent="0.3">
      <c r="A37" s="725"/>
      <c r="B37" s="25"/>
      <c r="C37" s="166"/>
      <c r="D37" s="26"/>
      <c r="E37" s="46"/>
      <c r="F37" s="22"/>
    </row>
    <row r="38" spans="1:6" ht="16.5" hidden="1" customHeight="1" outlineLevel="1" x14ac:dyDescent="0.3">
      <c r="A38" s="725"/>
      <c r="B38" s="50" t="s">
        <v>182</v>
      </c>
      <c r="C38" s="165">
        <v>0</v>
      </c>
      <c r="D38" s="51">
        <f>+C38/J4</f>
        <v>0</v>
      </c>
      <c r="E38" s="52">
        <f>+C38*J3</f>
        <v>0</v>
      </c>
      <c r="F38" s="61" t="s">
        <v>167</v>
      </c>
    </row>
    <row r="39" spans="1:6" ht="16.5" hidden="1" customHeight="1" outlineLevel="1" x14ac:dyDescent="0.3">
      <c r="A39" s="725"/>
      <c r="B39" s="25"/>
      <c r="C39" s="166"/>
      <c r="D39" s="26"/>
      <c r="E39" s="26"/>
      <c r="F39" s="28"/>
    </row>
    <row r="40" spans="1:6" ht="16.5" hidden="1" customHeight="1" outlineLevel="1" x14ac:dyDescent="0.3">
      <c r="A40" s="725"/>
      <c r="B40" s="45" t="s">
        <v>183</v>
      </c>
      <c r="C40" s="171">
        <v>0</v>
      </c>
      <c r="D40" s="38">
        <f>+C40/J4</f>
        <v>0</v>
      </c>
      <c r="E40" s="39">
        <f>+C40*J3</f>
        <v>0</v>
      </c>
      <c r="F40" s="27" t="s">
        <v>370</v>
      </c>
    </row>
    <row r="41" spans="1:6" ht="16.5" hidden="1" customHeight="1" outlineLevel="1" x14ac:dyDescent="0.3">
      <c r="A41" s="725"/>
      <c r="B41" s="45" t="s">
        <v>184</v>
      </c>
      <c r="C41" s="173">
        <f>22*20</f>
        <v>440</v>
      </c>
      <c r="D41" s="38">
        <f>C41/$J$4</f>
        <v>6.197183098591549</v>
      </c>
      <c r="E41" s="38">
        <f>+C41*$J$3</f>
        <v>4840000</v>
      </c>
      <c r="F41" s="27" t="s">
        <v>186</v>
      </c>
    </row>
    <row r="42" spans="1:6" ht="16.5" hidden="1" customHeight="1" outlineLevel="1" x14ac:dyDescent="0.3">
      <c r="A42" s="725"/>
      <c r="B42" s="45" t="s">
        <v>185</v>
      </c>
      <c r="C42" s="173">
        <f>500/19</f>
        <v>26.315789473684209</v>
      </c>
      <c r="D42" s="38">
        <f>C42/$J$4</f>
        <v>0.37064492216456635</v>
      </c>
      <c r="E42" s="38">
        <f>+C42*$J$3</f>
        <v>289473.68421052629</v>
      </c>
      <c r="F42" s="27" t="s">
        <v>402</v>
      </c>
    </row>
    <row r="43" spans="1:6" ht="16.5" customHeight="1" collapsed="1" x14ac:dyDescent="0.3">
      <c r="A43" s="33"/>
      <c r="B43" s="33"/>
      <c r="C43" s="173"/>
      <c r="D43" s="38"/>
      <c r="E43" s="38"/>
      <c r="F43" s="29"/>
    </row>
    <row r="44" spans="1:6" ht="16.5" customHeight="1" thickBot="1" x14ac:dyDescent="0.35">
      <c r="A44" s="55" t="s">
        <v>207</v>
      </c>
      <c r="B44" s="56"/>
      <c r="C44" s="188">
        <f>+SUM(C40:C42)+C36+C38</f>
        <v>497.51578947368421</v>
      </c>
      <c r="D44" s="188">
        <f>+SUM(D40:D42)+D36+D38</f>
        <v>7.0072646404744257</v>
      </c>
      <c r="E44" s="188">
        <f>+SUM(E40:E42)+E36+E38</f>
        <v>5472673.6842105258</v>
      </c>
      <c r="F44" s="191"/>
    </row>
    <row r="45" spans="1:6" ht="16.5" hidden="1" customHeight="1" outlineLevel="1" x14ac:dyDescent="0.3">
      <c r="A45" s="64"/>
      <c r="B45" s="65"/>
      <c r="C45" s="175"/>
      <c r="D45" s="66"/>
      <c r="E45" s="66"/>
      <c r="F45" s="85"/>
    </row>
    <row r="46" spans="1:6" ht="16.5" hidden="1" customHeight="1" outlineLevel="1" x14ac:dyDescent="0.3">
      <c r="A46" s="718" t="s">
        <v>211</v>
      </c>
      <c r="B46" s="226" t="s">
        <v>371</v>
      </c>
      <c r="C46" s="171">
        <v>58</v>
      </c>
      <c r="D46" s="86">
        <f>+C46/$J$4</f>
        <v>0.81690140845070425</v>
      </c>
      <c r="E46" s="86">
        <f>+C46*$J$3</f>
        <v>638000</v>
      </c>
      <c r="F46" s="27" t="s">
        <v>356</v>
      </c>
    </row>
    <row r="47" spans="1:6" ht="16.5" hidden="1" customHeight="1" outlineLevel="1" x14ac:dyDescent="0.3">
      <c r="A47" s="718"/>
      <c r="B47" s="226" t="s">
        <v>209</v>
      </c>
      <c r="C47" s="173">
        <v>29</v>
      </c>
      <c r="D47" s="86">
        <f>+C47/$J$4</f>
        <v>0.40845070422535212</v>
      </c>
      <c r="E47" s="86">
        <f>+C47*$J$3</f>
        <v>319000</v>
      </c>
      <c r="F47" s="85"/>
    </row>
    <row r="48" spans="1:6" ht="16.5" hidden="1" customHeight="1" outlineLevel="1" x14ac:dyDescent="0.3">
      <c r="A48" s="718"/>
      <c r="B48" s="226" t="s">
        <v>210</v>
      </c>
      <c r="C48" s="173">
        <v>29</v>
      </c>
      <c r="D48" s="86">
        <f>+C48/$J$4</f>
        <v>0.40845070422535212</v>
      </c>
      <c r="E48" s="86">
        <f>+C48*$J$3</f>
        <v>319000</v>
      </c>
      <c r="F48" s="85"/>
    </row>
    <row r="49" spans="1:10" ht="16.5" hidden="1" customHeight="1" outlineLevel="1" x14ac:dyDescent="0.3">
      <c r="A49" s="25"/>
      <c r="B49" s="50"/>
      <c r="C49" s="165">
        <f>+SUM(C46:C48)</f>
        <v>116</v>
      </c>
      <c r="D49" s="51">
        <f>+SUM(D46:D48)</f>
        <v>1.6338028169014085</v>
      </c>
      <c r="E49" s="52">
        <f>+SUM(E46:E48)</f>
        <v>1276000</v>
      </c>
      <c r="F49" s="61"/>
    </row>
    <row r="50" spans="1:10" s="16" customFormat="1" ht="16.5" hidden="1" customHeight="1" outlineLevel="1" x14ac:dyDescent="0.3">
      <c r="A50" s="25"/>
      <c r="B50" s="151"/>
      <c r="C50" s="214"/>
      <c r="D50" s="214"/>
      <c r="E50" s="215"/>
      <c r="F50" s="27"/>
    </row>
    <row r="51" spans="1:10" ht="16.5" customHeight="1" collapsed="1" thickBot="1" x14ac:dyDescent="0.35">
      <c r="A51" s="129" t="s">
        <v>295</v>
      </c>
      <c r="B51" s="130"/>
      <c r="C51" s="131">
        <f>+C11+C31+C44+C49</f>
        <v>85152.080546369136</v>
      </c>
      <c r="D51" s="131">
        <f>+D11+D31+D44+D49</f>
        <v>1199.3250781178751</v>
      </c>
      <c r="E51" s="131">
        <f>+E11+E31+E44+E49</f>
        <v>936672886.01006043</v>
      </c>
      <c r="F51" s="130"/>
    </row>
    <row r="52" spans="1:10" ht="16.5" customHeight="1" x14ac:dyDescent="0.3">
      <c r="A52" s="64"/>
      <c r="B52" s="65"/>
      <c r="C52" s="175"/>
      <c r="D52" s="120"/>
      <c r="E52" s="120"/>
      <c r="F52" s="65"/>
    </row>
    <row r="53" spans="1:10" ht="16.5" hidden="1" customHeight="1" outlineLevel="1" x14ac:dyDescent="0.3">
      <c r="A53" s="725" t="s">
        <v>126</v>
      </c>
      <c r="B53" s="48" t="s">
        <v>127</v>
      </c>
      <c r="C53" s="173">
        <f>+'Manica quotation'!F13*$J$4</f>
        <v>657.68421052631584</v>
      </c>
      <c r="D53" s="24">
        <f>C53/$J$4</f>
        <v>9.2631578947368425</v>
      </c>
      <c r="E53" s="24">
        <f>C53*$J$3</f>
        <v>7234526.3157894742</v>
      </c>
      <c r="F53" s="27" t="s">
        <v>363</v>
      </c>
      <c r="H53" s="119"/>
    </row>
    <row r="54" spans="1:10" ht="16.5" hidden="1" customHeight="1" outlineLevel="1" x14ac:dyDescent="0.3">
      <c r="A54" s="725"/>
      <c r="B54" s="48" t="s">
        <v>128</v>
      </c>
      <c r="C54" s="173">
        <f>+'Manica quotation'!F14*$J$4</f>
        <v>115.84210526315789</v>
      </c>
      <c r="D54" s="24">
        <f>C54/J4</f>
        <v>1.631578947368421</v>
      </c>
      <c r="E54" s="24">
        <f>C54*J3</f>
        <v>1274263.1578947369</v>
      </c>
      <c r="F54" s="27" t="s">
        <v>364</v>
      </c>
    </row>
    <row r="55" spans="1:10" ht="16.5" hidden="1" customHeight="1" outlineLevel="1" x14ac:dyDescent="0.3">
      <c r="A55" s="725"/>
      <c r="B55" s="48" t="s">
        <v>228</v>
      </c>
      <c r="C55" s="173">
        <f>+'Manica quotation'!F15*$J$4</f>
        <v>56.05263157894737</v>
      </c>
      <c r="D55" s="24">
        <f>C55/J4</f>
        <v>0.78947368421052633</v>
      </c>
      <c r="E55" s="24">
        <f>C55*J3</f>
        <v>616578.94736842113</v>
      </c>
      <c r="F55" s="27" t="s">
        <v>365</v>
      </c>
    </row>
    <row r="56" spans="1:10" ht="16.5" hidden="1" customHeight="1" outlineLevel="1" x14ac:dyDescent="0.3">
      <c r="A56" s="725"/>
      <c r="B56" s="48" t="s">
        <v>236</v>
      </c>
      <c r="C56" s="173">
        <f>+'Manica quotation'!F23*$J$4</f>
        <v>373.68421052631584</v>
      </c>
      <c r="D56" s="24">
        <f>C56/J4</f>
        <v>5.2631578947368425</v>
      </c>
      <c r="E56" s="24">
        <f>C56*J3</f>
        <v>4110526.3157894742</v>
      </c>
      <c r="F56" s="27" t="s">
        <v>366</v>
      </c>
    </row>
    <row r="57" spans="1:10" ht="16.5" hidden="1" customHeight="1" outlineLevel="1" x14ac:dyDescent="0.3">
      <c r="A57" s="725"/>
      <c r="B57" s="48" t="s">
        <v>129</v>
      </c>
      <c r="C57" s="173">
        <f>+'Manica quotation'!F26*$J$4</f>
        <v>224.21052631578948</v>
      </c>
      <c r="D57" s="24">
        <f>C57/J4</f>
        <v>3.1578947368421053</v>
      </c>
      <c r="E57" s="24">
        <f>C57*J3</f>
        <v>2466315.7894736845</v>
      </c>
      <c r="F57" s="27" t="s">
        <v>367</v>
      </c>
    </row>
    <row r="58" spans="1:10" ht="16.5" hidden="1" customHeight="1" outlineLevel="1" x14ac:dyDescent="0.3">
      <c r="A58" s="725"/>
      <c r="B58" s="48" t="s">
        <v>239</v>
      </c>
      <c r="C58" s="173">
        <f>+'Manica quotation'!F27*$J$4</f>
        <v>347.52631578947364</v>
      </c>
      <c r="D58" s="24">
        <f>C58/J4</f>
        <v>4.8947368421052628</v>
      </c>
      <c r="E58" s="24">
        <f>C58*J3</f>
        <v>3822789.4736842099</v>
      </c>
      <c r="F58" s="27" t="s">
        <v>367</v>
      </c>
    </row>
    <row r="59" spans="1:10" ht="16.5" hidden="1" customHeight="1" outlineLevel="1" x14ac:dyDescent="0.3">
      <c r="A59" s="725"/>
      <c r="B59" s="48" t="s">
        <v>240</v>
      </c>
      <c r="C59" s="173">
        <f>+'Manica quotation'!F28*$J$4</f>
        <v>112.10526315789474</v>
      </c>
      <c r="D59" s="24">
        <f>C59/J4</f>
        <v>1.5789473684210527</v>
      </c>
      <c r="E59" s="24">
        <f>C59*J3</f>
        <v>1233157.8947368423</v>
      </c>
      <c r="F59" s="27" t="s">
        <v>367</v>
      </c>
    </row>
    <row r="60" spans="1:10" ht="16.5" hidden="1" customHeight="1" outlineLevel="1" x14ac:dyDescent="0.3">
      <c r="A60" s="725"/>
      <c r="B60" s="48" t="s">
        <v>241</v>
      </c>
      <c r="C60" s="173">
        <f>+'Manica quotation'!F29*$J$4</f>
        <v>130.78947368421052</v>
      </c>
      <c r="D60" s="24">
        <f>C60/J4</f>
        <v>1.8421052631578947</v>
      </c>
      <c r="E60" s="24">
        <f>C60*J3</f>
        <v>1438684.2105263157</v>
      </c>
      <c r="F60" s="27" t="s">
        <v>367</v>
      </c>
      <c r="J60" s="154"/>
    </row>
    <row r="61" spans="1:10" ht="21.6" hidden="1" customHeight="1" outlineLevel="1" x14ac:dyDescent="0.3">
      <c r="A61" s="725"/>
      <c r="B61" s="48" t="s">
        <v>244</v>
      </c>
      <c r="C61" s="173">
        <f>+'Manica quotation'!F32*J4</f>
        <v>896.84210526315792</v>
      </c>
      <c r="D61" s="24">
        <f>C61/$J$4</f>
        <v>12.631578947368421</v>
      </c>
      <c r="E61" s="24">
        <f>C61*J3</f>
        <v>9865263.157894738</v>
      </c>
      <c r="F61" s="27" t="s">
        <v>368</v>
      </c>
    </row>
    <row r="62" spans="1:10" ht="16.5" hidden="1" customHeight="1" outlineLevel="1" x14ac:dyDescent="0.3">
      <c r="A62" s="725"/>
      <c r="B62" s="50" t="s">
        <v>283</v>
      </c>
      <c r="C62" s="165">
        <f>+SUM(C53:C61)</f>
        <v>2914.7368421052638</v>
      </c>
      <c r="D62" s="51">
        <f>+SUM(D53:D61)</f>
        <v>41.05263157894737</v>
      </c>
      <c r="E62" s="52">
        <f>+SUM(E53:E61)</f>
        <v>32062105.263157897</v>
      </c>
      <c r="F62" s="220" t="s">
        <v>390</v>
      </c>
    </row>
    <row r="63" spans="1:10" ht="16.5" hidden="1" customHeight="1" outlineLevel="1" x14ac:dyDescent="0.3">
      <c r="A63" s="725"/>
      <c r="B63" s="48"/>
      <c r="C63" s="173"/>
      <c r="D63" s="24"/>
      <c r="E63" s="24"/>
      <c r="F63" s="27"/>
      <c r="G63" s="119"/>
    </row>
    <row r="64" spans="1:10" ht="16.5" hidden="1" customHeight="1" outlineLevel="1" x14ac:dyDescent="0.3">
      <c r="A64" s="725"/>
      <c r="B64" s="235" t="s">
        <v>335</v>
      </c>
      <c r="C64" s="173"/>
      <c r="D64" s="24"/>
      <c r="E64" s="24"/>
      <c r="F64" s="27"/>
    </row>
    <row r="65" spans="1:10" ht="16.5" hidden="1" customHeight="1" outlineLevel="1" x14ac:dyDescent="0.3">
      <c r="A65" s="725"/>
      <c r="B65" s="48" t="s">
        <v>246</v>
      </c>
      <c r="C65" s="173">
        <f>+'Manica quotation'!F35*$J$4</f>
        <v>65.39473684210526</v>
      </c>
      <c r="D65" s="24">
        <f t="shared" ref="D65:D71" si="3">C65/$J$4</f>
        <v>0.92105263157894735</v>
      </c>
      <c r="E65" s="24">
        <f t="shared" ref="E65:E71" si="4">C65*$J$3</f>
        <v>719342.10526315786</v>
      </c>
      <c r="F65" s="27" t="s">
        <v>247</v>
      </c>
    </row>
    <row r="66" spans="1:10" ht="16.5" hidden="1" customHeight="1" outlineLevel="1" x14ac:dyDescent="0.3">
      <c r="A66" s="725"/>
      <c r="B66" s="48" t="s">
        <v>248</v>
      </c>
      <c r="C66" s="173">
        <f>+'Manica quotation'!F36*$J$4</f>
        <v>4.4842105263157892</v>
      </c>
      <c r="D66" s="24">
        <f t="shared" si="3"/>
        <v>6.3157894736842107E-2</v>
      </c>
      <c r="E66" s="24">
        <f t="shared" si="4"/>
        <v>49326.31578947368</v>
      </c>
      <c r="F66" s="27" t="s">
        <v>247</v>
      </c>
    </row>
    <row r="67" spans="1:10" ht="16.5" hidden="1" customHeight="1" outlineLevel="1" x14ac:dyDescent="0.3">
      <c r="A67" s="725"/>
      <c r="B67" s="48" t="s">
        <v>249</v>
      </c>
      <c r="C67" s="173">
        <f>+'Manica quotation'!F37*$J$4</f>
        <v>74.73684210526315</v>
      </c>
      <c r="D67" s="24">
        <f t="shared" si="3"/>
        <v>1.0526315789473684</v>
      </c>
      <c r="E67" s="24">
        <f t="shared" si="4"/>
        <v>822105.2631578946</v>
      </c>
      <c r="F67" s="27" t="s">
        <v>247</v>
      </c>
    </row>
    <row r="68" spans="1:10" ht="16.5" hidden="1" customHeight="1" outlineLevel="1" x14ac:dyDescent="0.3">
      <c r="A68" s="725"/>
      <c r="B68" s="48" t="s">
        <v>250</v>
      </c>
      <c r="C68" s="173">
        <f>+'Manica quotation'!F38*$J$4</f>
        <v>23.91578947368421</v>
      </c>
      <c r="D68" s="24">
        <f t="shared" si="3"/>
        <v>0.33684210526315789</v>
      </c>
      <c r="E68" s="24">
        <f t="shared" si="4"/>
        <v>263073.68421052629</v>
      </c>
      <c r="F68" s="27" t="s">
        <v>247</v>
      </c>
    </row>
    <row r="69" spans="1:10" ht="16.5" hidden="1" customHeight="1" outlineLevel="1" x14ac:dyDescent="0.3">
      <c r="A69" s="725"/>
      <c r="B69" s="48" t="s">
        <v>131</v>
      </c>
      <c r="C69" s="173">
        <f>+'Manica quotation'!F39*$J$4</f>
        <v>29.89473684210526</v>
      </c>
      <c r="D69" s="24">
        <f t="shared" si="3"/>
        <v>0.42105263157894735</v>
      </c>
      <c r="E69" s="24">
        <f t="shared" si="4"/>
        <v>328842.10526315786</v>
      </c>
      <c r="F69" s="27" t="s">
        <v>247</v>
      </c>
    </row>
    <row r="70" spans="1:10" ht="16.5" hidden="1" customHeight="1" outlineLevel="1" x14ac:dyDescent="0.3">
      <c r="A70" s="725"/>
      <c r="B70" s="48" t="s">
        <v>251</v>
      </c>
      <c r="C70" s="173">
        <f>+'Manica quotation'!F40*$J$4</f>
        <v>18.684210526315788</v>
      </c>
      <c r="D70" s="24">
        <f t="shared" si="3"/>
        <v>0.26315789473684209</v>
      </c>
      <c r="E70" s="24">
        <f t="shared" si="4"/>
        <v>205526.31578947365</v>
      </c>
      <c r="F70" s="27" t="s">
        <v>247</v>
      </c>
    </row>
    <row r="71" spans="1:10" ht="16.5" hidden="1" customHeight="1" outlineLevel="1" x14ac:dyDescent="0.3">
      <c r="A71" s="725"/>
      <c r="B71" s="48" t="s">
        <v>130</v>
      </c>
      <c r="C71" s="173">
        <f>+'Manica quotation'!F41*$J$4</f>
        <v>29.89473684210526</v>
      </c>
      <c r="D71" s="24">
        <f t="shared" si="3"/>
        <v>0.42105263157894735</v>
      </c>
      <c r="E71" s="24">
        <f t="shared" si="4"/>
        <v>328842.10526315786</v>
      </c>
      <c r="F71" s="27" t="s">
        <v>247</v>
      </c>
    </row>
    <row r="72" spans="1:10" ht="16.5" hidden="1" customHeight="1" outlineLevel="1" x14ac:dyDescent="0.3">
      <c r="A72" s="75"/>
      <c r="B72" s="48" t="s">
        <v>320</v>
      </c>
      <c r="C72" s="173">
        <f>+'Peanuts – Nacala'!D73</f>
        <v>268.38</v>
      </c>
      <c r="D72" s="24">
        <f t="shared" ref="D72:D73" si="5">C72/$J$4</f>
        <v>3.78</v>
      </c>
      <c r="E72" s="24">
        <f t="shared" ref="E72:E73" si="6">C72*$J$3</f>
        <v>2952180</v>
      </c>
      <c r="F72" s="27" t="s">
        <v>318</v>
      </c>
    </row>
    <row r="73" spans="1:10" ht="16.5" hidden="1" customHeight="1" outlineLevel="1" x14ac:dyDescent="0.3">
      <c r="A73" s="75"/>
      <c r="B73" s="48" t="s">
        <v>319</v>
      </c>
      <c r="C73" s="173">
        <f>+'Peanuts – Nacala'!D74</f>
        <v>213</v>
      </c>
      <c r="D73" s="24">
        <f t="shared" si="5"/>
        <v>3</v>
      </c>
      <c r="E73" s="24">
        <f t="shared" si="6"/>
        <v>2343000</v>
      </c>
      <c r="F73" s="27" t="s">
        <v>329</v>
      </c>
    </row>
    <row r="74" spans="1:10" ht="16.5" hidden="1" customHeight="1" outlineLevel="1" x14ac:dyDescent="0.3">
      <c r="A74" s="75"/>
      <c r="B74" s="50" t="s">
        <v>283</v>
      </c>
      <c r="C74" s="165">
        <f>+SUM(C65:C73)</f>
        <v>728.38526315789477</v>
      </c>
      <c r="D74" s="51">
        <f>+SUM(D65:D73)</f>
        <v>10.258947368421053</v>
      </c>
      <c r="E74" s="51">
        <f>+SUM(E65:E73)</f>
        <v>8012237.8947368413</v>
      </c>
      <c r="F74" s="61"/>
    </row>
    <row r="75" spans="1:10" ht="16.5" customHeight="1" collapsed="1" x14ac:dyDescent="0.3">
      <c r="A75" s="75"/>
      <c r="B75" s="48"/>
      <c r="C75" s="173"/>
      <c r="D75" s="24"/>
      <c r="E75" s="24"/>
      <c r="F75" s="27"/>
    </row>
    <row r="76" spans="1:10" ht="16.5" customHeight="1" thickBot="1" x14ac:dyDescent="0.35">
      <c r="A76" s="55" t="s">
        <v>194</v>
      </c>
      <c r="B76" s="56"/>
      <c r="C76" s="174">
        <f>+C74+C62</f>
        <v>3643.1221052631586</v>
      </c>
      <c r="D76" s="49">
        <f t="shared" ref="D76:E76" si="7">+D74+D62</f>
        <v>51.311578947368425</v>
      </c>
      <c r="E76" s="49">
        <f t="shared" si="7"/>
        <v>40074343.157894738</v>
      </c>
      <c r="F76" s="227" t="s">
        <v>390</v>
      </c>
    </row>
    <row r="77" spans="1:10" ht="16.5" hidden="1" customHeight="1" outlineLevel="1" x14ac:dyDescent="0.3">
      <c r="A77" s="64"/>
      <c r="B77" s="65"/>
      <c r="C77" s="175"/>
      <c r="D77" s="66"/>
      <c r="E77" s="66"/>
      <c r="F77" s="16"/>
    </row>
    <row r="78" spans="1:10" ht="16.5" hidden="1" customHeight="1" outlineLevel="1" x14ac:dyDescent="0.3">
      <c r="A78" s="76" t="s">
        <v>134</v>
      </c>
      <c r="B78" s="33" t="s">
        <v>393</v>
      </c>
      <c r="C78" s="178">
        <f>(C51)*J5</f>
        <v>2616.6524751228012</v>
      </c>
      <c r="D78" s="24">
        <f>C78/J4</f>
        <v>36.854260212997197</v>
      </c>
      <c r="E78" s="24">
        <f>C78*J3</f>
        <v>28783177.226350814</v>
      </c>
      <c r="F78" s="67" t="s">
        <v>135</v>
      </c>
    </row>
    <row r="79" spans="1:10" ht="16.5" hidden="1" customHeight="1" outlineLevel="1" x14ac:dyDescent="0.3">
      <c r="A79" s="76" t="s">
        <v>136</v>
      </c>
      <c r="B79" s="33" t="s">
        <v>293</v>
      </c>
      <c r="C79" s="178">
        <f>((C31+C44+C97)*5%)</f>
        <v>54.883613814956448</v>
      </c>
      <c r="D79" s="24">
        <f>C79/J4</f>
        <v>0.77300864528107671</v>
      </c>
      <c r="E79" s="24">
        <f>C79*J3</f>
        <v>603719.7519645209</v>
      </c>
      <c r="F79" s="27" t="s">
        <v>294</v>
      </c>
    </row>
    <row r="80" spans="1:10" ht="16.5" hidden="1" customHeight="1" outlineLevel="1" x14ac:dyDescent="0.3">
      <c r="C80" s="163"/>
      <c r="F80" s="27"/>
      <c r="G80" s="17"/>
      <c r="H80" s="17"/>
      <c r="I80" s="17"/>
      <c r="J80" s="118"/>
    </row>
    <row r="81" spans="1:9" ht="16.5" customHeight="1" collapsed="1" thickBot="1" x14ac:dyDescent="0.35">
      <c r="A81" s="77" t="s">
        <v>137</v>
      </c>
      <c r="B81" s="78"/>
      <c r="C81" s="79">
        <f>+C51+C76+SUM(C78:C79)</f>
        <v>91466.738740570057</v>
      </c>
      <c r="D81" s="79">
        <f>+D51+D76+SUM(D78:D79)</f>
        <v>1288.2639259235218</v>
      </c>
      <c r="E81" s="79">
        <f>+E51+E76+E97+SUM(E78:E79)</f>
        <v>1008644968.5088339</v>
      </c>
      <c r="F81" s="78"/>
    </row>
    <row r="82" spans="1:9" ht="16.5" hidden="1" customHeight="1" outlineLevel="1" x14ac:dyDescent="0.3">
      <c r="A82" s="155"/>
      <c r="B82" s="145"/>
      <c r="C82" s="175"/>
      <c r="D82" s="144"/>
      <c r="E82" s="144"/>
      <c r="F82" s="27"/>
    </row>
    <row r="83" spans="1:9" ht="16.5" hidden="1" customHeight="1" outlineLevel="1" x14ac:dyDescent="0.3">
      <c r="A83" s="726" t="s">
        <v>196</v>
      </c>
      <c r="B83" s="33" t="s">
        <v>287</v>
      </c>
      <c r="C83" s="173">
        <f>+D83*J4</f>
        <v>2485</v>
      </c>
      <c r="D83" s="35">
        <f>2.5/100*J8</f>
        <v>35</v>
      </c>
      <c r="E83" s="24">
        <f>C83*J3</f>
        <v>27335000</v>
      </c>
      <c r="F83" s="27" t="s">
        <v>331</v>
      </c>
      <c r="G83" s="17"/>
      <c r="H83" s="17"/>
      <c r="I83" s="17"/>
    </row>
    <row r="84" spans="1:9" ht="16.5" hidden="1" customHeight="1" outlineLevel="1" x14ac:dyDescent="0.3">
      <c r="A84" s="726"/>
      <c r="B84" s="33" t="s">
        <v>138</v>
      </c>
      <c r="C84" s="173">
        <f>0.0015*C81</f>
        <v>137.2001081108551</v>
      </c>
      <c r="D84" s="35">
        <f>D81*0.15%</f>
        <v>1.9323958888852828</v>
      </c>
      <c r="E84" s="24">
        <f>D84*J3*J4</f>
        <v>1509201.1892194059</v>
      </c>
      <c r="F84" s="27" t="s">
        <v>290</v>
      </c>
      <c r="G84" s="17"/>
      <c r="H84" s="17"/>
      <c r="I84" s="17"/>
    </row>
    <row r="85" spans="1:9" ht="16.5" hidden="1" customHeight="1" outlineLevel="1" x14ac:dyDescent="0.3">
      <c r="A85" s="124"/>
      <c r="B85" s="33" t="s">
        <v>299</v>
      </c>
      <c r="C85" s="173">
        <f>+D85*J4</f>
        <v>4779.4210526315783</v>
      </c>
      <c r="D85" s="253">
        <v>67.315789473684205</v>
      </c>
      <c r="E85" s="24">
        <f>D85*J4*J5</f>
        <v>146.86762609649119</v>
      </c>
      <c r="F85" s="27" t="s">
        <v>394</v>
      </c>
    </row>
    <row r="86" spans="1:9" ht="16.5" customHeight="1" collapsed="1" thickBot="1" x14ac:dyDescent="0.35">
      <c r="A86" s="55" t="s">
        <v>195</v>
      </c>
      <c r="B86" s="56" t="s">
        <v>139</v>
      </c>
      <c r="C86" s="174">
        <f>+SUM(C83:C85)</f>
        <v>7401.6211607424339</v>
      </c>
      <c r="D86" s="49">
        <f>+C86/J4</f>
        <v>104.24818536256949</v>
      </c>
      <c r="E86" s="49">
        <f>+C86*J3</f>
        <v>81417832.768166766</v>
      </c>
      <c r="F86" s="57"/>
    </row>
    <row r="87" spans="1:9" ht="16.5" customHeight="1" x14ac:dyDescent="0.3">
      <c r="A87" s="16"/>
      <c r="B87" s="16"/>
      <c r="C87" s="163"/>
      <c r="D87" s="16"/>
      <c r="E87" s="16"/>
      <c r="F87" s="27"/>
    </row>
    <row r="88" spans="1:9" ht="16.5" customHeight="1" x14ac:dyDescent="0.3">
      <c r="A88" s="721" t="s">
        <v>321</v>
      </c>
      <c r="B88" s="195" t="s">
        <v>323</v>
      </c>
      <c r="C88" s="196">
        <f>+C81+C86</f>
        <v>98868.359901312491</v>
      </c>
      <c r="D88" s="197">
        <f>+C88/$J$4</f>
        <v>1392.5121112860913</v>
      </c>
      <c r="E88" s="198">
        <f>+C88*$J$3</f>
        <v>1087551958.9144373</v>
      </c>
      <c r="F88" s="199" t="s">
        <v>113</v>
      </c>
    </row>
    <row r="89" spans="1:9" ht="16.5" customHeight="1" x14ac:dyDescent="0.3">
      <c r="A89" s="722"/>
      <c r="B89" s="195" t="s">
        <v>322</v>
      </c>
      <c r="C89" s="196">
        <f>+C88/$C$109</f>
        <v>4943.4179950656244</v>
      </c>
      <c r="D89" s="197">
        <f>+C89/$J$4</f>
        <v>69.625605564304564</v>
      </c>
      <c r="E89" s="198">
        <f t="shared" ref="E89:E90" si="8">+C89*$J$3</f>
        <v>54377597.945721865</v>
      </c>
      <c r="F89" s="199" t="s">
        <v>303</v>
      </c>
    </row>
    <row r="90" spans="1:9" ht="16.5" customHeight="1" x14ac:dyDescent="0.3">
      <c r="A90" s="722"/>
      <c r="B90" s="195" t="s">
        <v>324</v>
      </c>
      <c r="C90" s="196">
        <f>+($J$9*$J$4)-C88</f>
        <v>531.64009868750873</v>
      </c>
      <c r="D90" s="197">
        <f>+C90/$J$4</f>
        <v>7.4878887139085739</v>
      </c>
      <c r="E90" s="198">
        <f t="shared" si="8"/>
        <v>5848041.0855625961</v>
      </c>
      <c r="F90" s="199" t="s">
        <v>303</v>
      </c>
    </row>
    <row r="91" spans="1:9" ht="16.5" customHeight="1" x14ac:dyDescent="0.3">
      <c r="A91" s="723"/>
      <c r="B91" s="200" t="s">
        <v>304</v>
      </c>
      <c r="C91" s="201">
        <f>+C90/(J9*J4)</f>
        <v>5.3484919385061239E-3</v>
      </c>
      <c r="D91" s="201">
        <f>+D90/$J$9</f>
        <v>5.3484919385061239E-3</v>
      </c>
      <c r="E91" s="201">
        <f>+E90/(J9*J4*J3)</f>
        <v>5.3484919385061239E-3</v>
      </c>
      <c r="F91" s="199" t="s">
        <v>117</v>
      </c>
    </row>
    <row r="92" spans="1:9" ht="16.5" hidden="1" customHeight="1" outlineLevel="1" x14ac:dyDescent="0.3">
      <c r="A92" s="16"/>
      <c r="B92" s="16"/>
      <c r="C92" s="163"/>
      <c r="D92" s="16"/>
      <c r="E92" s="16"/>
    </row>
    <row r="93" spans="1:9" ht="16.5" hidden="1" customHeight="1" outlineLevel="1" x14ac:dyDescent="0.3">
      <c r="A93" s="712" t="s">
        <v>132</v>
      </c>
      <c r="B93" s="33" t="s">
        <v>133</v>
      </c>
      <c r="C93" s="164">
        <f>+('1. OPEX Inputs'!H13*C117+'1. OPEX Inputs'!H13*D117+'1. OPEX Inputs'!H13*E117+F117*'1. OPEX Inputs'!H13)/J3</f>
        <v>155.81594130024803</v>
      </c>
      <c r="D93" s="24">
        <f>C93/J4</f>
        <v>2.1945907225387047</v>
      </c>
      <c r="E93" s="24">
        <f>C93*J3</f>
        <v>1713975.3543027283</v>
      </c>
      <c r="F93" s="27" t="s">
        <v>297</v>
      </c>
    </row>
    <row r="94" spans="1:9" ht="16.5" hidden="1" customHeight="1" outlineLevel="1" x14ac:dyDescent="0.3">
      <c r="A94" s="712"/>
      <c r="B94" s="33" t="s">
        <v>190</v>
      </c>
      <c r="C94" s="173">
        <f>+SUM('1. OPEX Inputs'!H15*C117+'1. OPEX Inputs'!H15*D117+'1. OPEX Inputs'!H15*E117+'1. OPEX Inputs'!H15*F117)/J3</f>
        <v>17.704965479571989</v>
      </c>
      <c r="D94" s="24">
        <f>C94/J4</f>
        <v>0.24936571097988716</v>
      </c>
      <c r="E94" s="24">
        <f>C94*J3</f>
        <v>194754.62027529188</v>
      </c>
      <c r="F94" s="27" t="s">
        <v>288</v>
      </c>
    </row>
    <row r="95" spans="1:9" ht="16.5" hidden="1" customHeight="1" outlineLevel="1" x14ac:dyDescent="0.3">
      <c r="A95" s="712"/>
      <c r="B95" s="33" t="s">
        <v>191</v>
      </c>
      <c r="C95" s="173">
        <f>((SUM('1. OPEX Inputs'!H16:H20)*C117+SUM('1. OPEX Inputs'!H16:H20)*D117+SUM('1. OPEX Inputs'!H16:H20)*E117+SUM('1. OPEX Inputs'!H16:H20)*F117))/J3</f>
        <v>44.489957037122416</v>
      </c>
      <c r="D95" s="24">
        <f>C95/J4</f>
        <v>0.62661911319890728</v>
      </c>
      <c r="E95" s="24">
        <f>C95*J3</f>
        <v>489389.52740834659</v>
      </c>
      <c r="F95" s="27" t="s">
        <v>288</v>
      </c>
    </row>
    <row r="96" spans="1:9" ht="16.5" hidden="1" customHeight="1" outlineLevel="1" x14ac:dyDescent="0.3">
      <c r="A96" s="713"/>
      <c r="B96" s="33" t="s">
        <v>192</v>
      </c>
      <c r="C96" s="173">
        <f>+(C116*C117+C116*D117+C116*E117+C116*F117)/J3</f>
        <v>10.247532779725663</v>
      </c>
      <c r="D96" s="24">
        <f>C96/J4</f>
        <v>0.14433144760176991</v>
      </c>
      <c r="E96" s="24">
        <f>C96*J3</f>
        <v>112722.86057698229</v>
      </c>
      <c r="F96" s="27" t="s">
        <v>289</v>
      </c>
    </row>
    <row r="97" spans="1:13" ht="16.5" customHeight="1" collapsed="1" thickBot="1" x14ac:dyDescent="0.35">
      <c r="A97" s="55" t="s">
        <v>193</v>
      </c>
      <c r="B97" s="56"/>
      <c r="C97" s="174">
        <f>SUM(C93:C96)</f>
        <v>228.25839659666812</v>
      </c>
      <c r="D97" s="174">
        <f>SUM(D93:D96)</f>
        <v>3.2149069943192692</v>
      </c>
      <c r="E97" s="174">
        <f>SUM(E93:E96)</f>
        <v>2510842.3625633488</v>
      </c>
      <c r="F97" s="183"/>
    </row>
    <row r="98" spans="1:13" ht="16.5" customHeight="1" x14ac:dyDescent="0.3">
      <c r="A98" s="64"/>
      <c r="B98" s="65"/>
      <c r="C98" s="120"/>
      <c r="D98" s="120"/>
      <c r="E98" s="120"/>
      <c r="F98" s="65"/>
    </row>
    <row r="99" spans="1:13" ht="16.5" customHeight="1" x14ac:dyDescent="0.3">
      <c r="F99" s="16"/>
    </row>
    <row r="100" spans="1:13" ht="16.5" customHeight="1" x14ac:dyDescent="0.3">
      <c r="A100" s="724" t="s">
        <v>325</v>
      </c>
      <c r="B100" s="195" t="s">
        <v>326</v>
      </c>
      <c r="C100" s="196">
        <f>+C88+C97</f>
        <v>99096.618297909154</v>
      </c>
      <c r="D100" s="197">
        <f>+C100/$J$4</f>
        <v>1395.7270182804107</v>
      </c>
      <c r="E100" s="198">
        <f>+C100*$J$3</f>
        <v>1090062801.2770007</v>
      </c>
      <c r="F100" s="199" t="s">
        <v>113</v>
      </c>
      <c r="M100" s="16"/>
    </row>
    <row r="101" spans="1:13" ht="16.5" customHeight="1" x14ac:dyDescent="0.3">
      <c r="A101" s="724"/>
      <c r="B101" s="195" t="s">
        <v>327</v>
      </c>
      <c r="C101" s="196">
        <f>+C100/C109</f>
        <v>4954.8309148954577</v>
      </c>
      <c r="D101" s="197">
        <f>+C101/$J$4</f>
        <v>69.786350914020531</v>
      </c>
      <c r="E101" s="198">
        <f t="shared" ref="E101:E102" si="9">+C101*$J$3</f>
        <v>54503140.063850038</v>
      </c>
      <c r="F101" s="199" t="s">
        <v>303</v>
      </c>
      <c r="M101" s="16"/>
    </row>
    <row r="102" spans="1:13" ht="16.5" customHeight="1" x14ac:dyDescent="0.3">
      <c r="A102" s="724"/>
      <c r="B102" s="195" t="s">
        <v>328</v>
      </c>
      <c r="C102" s="196">
        <f>+($J$9*$J$4)-C100</f>
        <v>303.38170209084637</v>
      </c>
      <c r="D102" s="197">
        <f>+C102/$J$4</f>
        <v>4.272981719589386</v>
      </c>
      <c r="E102" s="198">
        <f t="shared" si="9"/>
        <v>3337198.7229993101</v>
      </c>
      <c r="F102" s="199" t="s">
        <v>303</v>
      </c>
      <c r="M102" s="16"/>
    </row>
    <row r="103" spans="1:13" ht="16.5" customHeight="1" x14ac:dyDescent="0.3">
      <c r="A103" s="724"/>
      <c r="B103" s="200" t="s">
        <v>304</v>
      </c>
      <c r="C103" s="201">
        <f>+C102/SUM($J$4*$J$9)</f>
        <v>3.0521297997067038E-3</v>
      </c>
      <c r="D103" s="201">
        <f>+D102/J9</f>
        <v>3.0521297997067043E-3</v>
      </c>
      <c r="E103" s="201">
        <f>+E102/(J9*J4*J3)</f>
        <v>3.0521297997067038E-3</v>
      </c>
      <c r="F103" s="199" t="s">
        <v>117</v>
      </c>
      <c r="M103" s="16"/>
    </row>
    <row r="104" spans="1:13" s="16" customFormat="1" ht="16.5" customHeight="1" x14ac:dyDescent="0.3">
      <c r="A104" s="216"/>
      <c r="B104" s="217"/>
      <c r="C104" s="218"/>
      <c r="D104" s="218"/>
      <c r="E104" s="218"/>
      <c r="F104" s="66"/>
    </row>
    <row r="105" spans="1:13" s="16" customFormat="1" ht="16.5" customHeight="1" x14ac:dyDescent="0.3">
      <c r="A105" s="216"/>
      <c r="B105" s="217"/>
      <c r="C105" s="218"/>
      <c r="D105" s="218"/>
      <c r="E105" s="218"/>
      <c r="F105" s="66"/>
    </row>
    <row r="106" spans="1:13" ht="16.5" customHeight="1" x14ac:dyDescent="0.3">
      <c r="B106" s="149" t="s">
        <v>305</v>
      </c>
      <c r="C106" s="148">
        <v>50</v>
      </c>
      <c r="D106" s="147"/>
      <c r="F106" s="27" t="s">
        <v>309</v>
      </c>
    </row>
    <row r="107" spans="1:13" ht="16.5" customHeight="1" x14ac:dyDescent="0.3">
      <c r="B107" s="149" t="s">
        <v>306</v>
      </c>
      <c r="C107" s="148">
        <f>+C108/C106</f>
        <v>220000</v>
      </c>
      <c r="D107" s="147"/>
      <c r="F107" s="27" t="s">
        <v>310</v>
      </c>
    </row>
    <row r="108" spans="1:13" ht="16.5" customHeight="1" x14ac:dyDescent="0.3">
      <c r="B108" s="149" t="s">
        <v>330</v>
      </c>
      <c r="C108" s="148">
        <f>+J3*1000</f>
        <v>11000000</v>
      </c>
      <c r="D108" s="147"/>
      <c r="F108" s="27" t="s">
        <v>311</v>
      </c>
    </row>
    <row r="109" spans="1:13" ht="16.5" customHeight="1" x14ac:dyDescent="0.3">
      <c r="B109" s="149" t="s">
        <v>308</v>
      </c>
      <c r="C109" s="150">
        <f>1000/C106</f>
        <v>20</v>
      </c>
      <c r="D109" s="147"/>
      <c r="F109" s="27" t="s">
        <v>312</v>
      </c>
    </row>
    <row r="110" spans="1:13" ht="16.5" customHeight="1" x14ac:dyDescent="0.3">
      <c r="F110" s="16"/>
    </row>
    <row r="111" spans="1:13" ht="16.5" customHeight="1" x14ac:dyDescent="0.3">
      <c r="F111" s="16"/>
    </row>
    <row r="112" spans="1:13" ht="16.5" customHeight="1" x14ac:dyDescent="0.3">
      <c r="D112" s="119"/>
    </row>
    <row r="113" spans="1:10" ht="16.5" customHeight="1" thickBot="1" x14ac:dyDescent="0.35">
      <c r="A113" s="728" t="s">
        <v>140</v>
      </c>
      <c r="B113" s="728"/>
      <c r="C113" s="728"/>
      <c r="D113" s="122">
        <f>+D100</f>
        <v>1395.7270182804107</v>
      </c>
      <c r="E113" s="122"/>
      <c r="F113" s="121"/>
    </row>
    <row r="114" spans="1:10" s="16" customFormat="1" ht="16.5" customHeight="1" x14ac:dyDescent="0.3">
      <c r="A114" s="254"/>
      <c r="B114" s="254"/>
      <c r="C114" s="254"/>
      <c r="D114" s="255"/>
      <c r="E114" s="255"/>
      <c r="F114" s="256"/>
    </row>
    <row r="115" spans="1:10" ht="16.5" customHeight="1" x14ac:dyDescent="0.3">
      <c r="A115" s="112" t="s">
        <v>395</v>
      </c>
      <c r="B115" s="114"/>
      <c r="C115" s="117">
        <v>20344.189999999999</v>
      </c>
      <c r="D115" s="112"/>
      <c r="E115" s="115"/>
      <c r="F115" s="115"/>
    </row>
    <row r="116" spans="1:10" ht="16.5" customHeight="1" x14ac:dyDescent="0.3">
      <c r="A116" s="112" t="s">
        <v>285</v>
      </c>
      <c r="B116" s="114"/>
      <c r="C116" s="117">
        <v>44375</v>
      </c>
      <c r="D116" s="112"/>
      <c r="E116" s="115"/>
      <c r="F116" s="115"/>
    </row>
    <row r="117" spans="1:10" ht="16.5" customHeight="1" x14ac:dyDescent="0.3">
      <c r="A117" s="111" t="s">
        <v>373</v>
      </c>
      <c r="B117" s="113"/>
      <c r="C117" s="113">
        <v>0.37199437003429786</v>
      </c>
      <c r="D117" s="113">
        <v>0.78440060146887325</v>
      </c>
      <c r="E117" s="113">
        <v>0.94480736022111922</v>
      </c>
      <c r="F117" s="116">
        <v>0.43903114606685967</v>
      </c>
    </row>
    <row r="118" spans="1:10" ht="16.5" customHeight="1" x14ac:dyDescent="0.3">
      <c r="A118" s="111" t="s">
        <v>372</v>
      </c>
      <c r="B118" s="236"/>
      <c r="C118" s="237" t="s">
        <v>374</v>
      </c>
      <c r="D118" s="237" t="s">
        <v>375</v>
      </c>
      <c r="E118" s="237" t="s">
        <v>376</v>
      </c>
      <c r="F118" s="238" t="s">
        <v>377</v>
      </c>
    </row>
    <row r="119" spans="1:10" ht="16.5" customHeight="1" x14ac:dyDescent="0.3">
      <c r="G119" s="17"/>
    </row>
    <row r="120" spans="1:10" ht="16.5" customHeight="1" x14ac:dyDescent="0.3">
      <c r="A120" s="68" t="s">
        <v>141</v>
      </c>
      <c r="B120" s="68"/>
      <c r="C120" s="68"/>
      <c r="D120" s="68"/>
      <c r="E120" s="68"/>
      <c r="F120" s="68"/>
      <c r="G120" s="123"/>
    </row>
    <row r="121" spans="1:10" ht="16.5" customHeight="1" x14ac:dyDescent="0.3">
      <c r="A121" s="135" t="s">
        <v>198</v>
      </c>
      <c r="B121" s="135"/>
      <c r="C121" s="135"/>
      <c r="D121" s="135"/>
      <c r="E121" s="135"/>
      <c r="F121" s="135"/>
      <c r="G121" s="123"/>
    </row>
    <row r="122" spans="1:10" ht="16.5" customHeight="1" x14ac:dyDescent="0.3">
      <c r="A122" s="136" t="s">
        <v>199</v>
      </c>
      <c r="B122" s="136"/>
      <c r="C122" s="136"/>
      <c r="D122" s="136"/>
      <c r="E122" s="136"/>
      <c r="F122" s="136"/>
      <c r="G122" s="17"/>
    </row>
    <row r="123" spans="1:10" ht="16.5" customHeight="1" x14ac:dyDescent="0.3">
      <c r="A123" s="134" t="s">
        <v>197</v>
      </c>
      <c r="B123" s="134"/>
      <c r="C123" s="134"/>
      <c r="D123" s="134"/>
      <c r="E123" s="134"/>
      <c r="F123" s="134"/>
      <c r="G123" s="17"/>
      <c r="H123" s="17"/>
      <c r="I123" s="17"/>
    </row>
    <row r="125" spans="1:10" s="16" customFormat="1" ht="16.5" customHeight="1" x14ac:dyDescent="0.3">
      <c r="A125" s="1"/>
      <c r="B125" s="1"/>
      <c r="C125" s="1"/>
      <c r="D125" s="1"/>
      <c r="E125" s="1"/>
      <c r="G125" s="139"/>
      <c r="H125" s="139"/>
      <c r="I125" s="139"/>
      <c r="J125" s="139"/>
    </row>
    <row r="126" spans="1:10" s="16" customFormat="1" ht="16.5" customHeight="1" x14ac:dyDescent="0.3">
      <c r="A126" s="1"/>
      <c r="B126" s="1"/>
      <c r="C126" s="1"/>
      <c r="D126" s="1"/>
      <c r="E126" s="1"/>
    </row>
    <row r="127" spans="1:10" s="16" customFormat="1" ht="16.5" customHeight="1" x14ac:dyDescent="0.3">
      <c r="A127" s="1"/>
      <c r="B127" s="1"/>
      <c r="C127" s="1"/>
      <c r="D127" s="1"/>
      <c r="E127" s="1"/>
    </row>
    <row r="128" spans="1:10" s="16" customFormat="1" ht="16.5" customHeight="1" x14ac:dyDescent="0.3">
      <c r="A128" s="1"/>
      <c r="B128" s="1"/>
      <c r="C128" s="1"/>
      <c r="D128" s="1"/>
      <c r="E128" s="1"/>
    </row>
  </sheetData>
  <mergeCells count="20">
    <mergeCell ref="L3:M3"/>
    <mergeCell ref="L4:M4"/>
    <mergeCell ref="L5:M5"/>
    <mergeCell ref="A113:C113"/>
    <mergeCell ref="A13:A29"/>
    <mergeCell ref="L6:M6"/>
    <mergeCell ref="L7:M7"/>
    <mergeCell ref="L8:M8"/>
    <mergeCell ref="L9:M9"/>
    <mergeCell ref="L10:M10"/>
    <mergeCell ref="A1:F1"/>
    <mergeCell ref="A2:F2"/>
    <mergeCell ref="A88:A91"/>
    <mergeCell ref="A100:A103"/>
    <mergeCell ref="A46:A48"/>
    <mergeCell ref="A33:A42"/>
    <mergeCell ref="A53:A71"/>
    <mergeCell ref="A93:A96"/>
    <mergeCell ref="A83:A84"/>
    <mergeCell ref="A5:A10"/>
  </mergeCells>
  <phoneticPr fontId="68" type="noConversion"/>
  <conditionalFormatting sqref="C9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{ECB0B945-CA51-444C-B069-87CB2EB144EA}</x14:id>
        </ext>
      </extLst>
    </cfRule>
  </conditionalFormatting>
  <conditionalFormatting sqref="C91:D9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{44D65AF7-6418-45AC-8FAD-E50211B75CB6}</x14:id>
        </ext>
      </extLst>
    </cfRule>
  </conditionalFormatting>
  <conditionalFormatting sqref="C103:E10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{401BEFA6-D777-491D-9516-36B10E5EE7D1}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{FBDDF433-C0E8-45B8-8A88-2B5D823F3457}</x14:id>
        </ext>
      </extLst>
    </cfRule>
  </conditionalFormatting>
  <conditionalFormatting sqref="E9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{AA955303-08A2-414E-ABAF-0E6DBD2F7E03}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B0B945-CA51-444C-B069-87CB2EB144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C91</xm:sqref>
        </x14:conditionalFormatting>
        <x14:conditionalFormatting xmlns:xm="http://schemas.microsoft.com/office/excel/2006/main">
          <x14:cfRule type="dataBar" id="{44D65AF7-6418-45AC-8FAD-E50211B75C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C91:D91</xm:sqref>
        </x14:conditionalFormatting>
        <x14:conditionalFormatting xmlns:xm="http://schemas.microsoft.com/office/excel/2006/main">
          <x14:cfRule type="dataBar" id="{401BEFA6-D777-491D-9516-36B10E5EE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DDF433-C0E8-45B8-8A88-2B5D823F3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C103:E105</xm:sqref>
        </x14:conditionalFormatting>
        <x14:conditionalFormatting xmlns:xm="http://schemas.microsoft.com/office/excel/2006/main">
          <x14:cfRule type="dataBar" id="{AA955303-08A2-414E-ABAF-0E6DBD2F7E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4F6D-0E7F-499C-849B-E1DDCB962087}">
  <dimension ref="A1:M134"/>
  <sheetViews>
    <sheetView showGridLines="0" zoomScale="70" zoomScaleNormal="7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A11" sqref="A11"/>
    </sheetView>
  </sheetViews>
  <sheetFormatPr defaultColWidth="8.5546875" defaultRowHeight="14.4" outlineLevelRow="1" x14ac:dyDescent="0.3"/>
  <cols>
    <col min="1" max="1" width="21" style="291" customWidth="1"/>
    <col min="2" max="2" width="44.5546875" style="291" customWidth="1"/>
    <col min="3" max="3" width="12" style="291" bestFit="1" customWidth="1"/>
    <col min="4" max="4" width="14.44140625" style="291" bestFit="1" customWidth="1"/>
    <col min="5" max="5" width="16" style="291" customWidth="1"/>
    <col min="6" max="6" width="60.5546875" style="291" customWidth="1"/>
    <col min="7" max="7" width="11.88671875" style="291" customWidth="1"/>
    <col min="8" max="8" width="25.109375" style="291" bestFit="1" customWidth="1"/>
    <col min="9" max="9" width="8" style="291" bestFit="1" customWidth="1"/>
    <col min="10" max="10" width="12.88671875" style="291" bestFit="1" customWidth="1"/>
    <col min="11" max="11" width="14.44140625" style="291" bestFit="1" customWidth="1"/>
    <col min="12" max="12" width="35.88671875" style="291" bestFit="1" customWidth="1"/>
    <col min="13" max="16384" width="8.5546875" style="291"/>
  </cols>
  <sheetData>
    <row r="1" spans="1:13" ht="15.6" x14ac:dyDescent="0.3">
      <c r="A1" s="707" t="s">
        <v>441</v>
      </c>
      <c r="B1" s="707"/>
      <c r="C1" s="707"/>
      <c r="D1" s="707"/>
      <c r="E1" s="707"/>
      <c r="F1" s="707"/>
      <c r="H1" s="137" t="s">
        <v>110</v>
      </c>
      <c r="I1" s="137"/>
      <c r="J1" s="137"/>
      <c r="K1" s="137"/>
      <c r="L1" s="137"/>
      <c r="M1" s="137"/>
    </row>
    <row r="2" spans="1:13" ht="15.75" customHeight="1" x14ac:dyDescent="0.3">
      <c r="A2" s="708" t="s">
        <v>442</v>
      </c>
      <c r="B2" s="708"/>
      <c r="C2" s="708"/>
      <c r="D2" s="708"/>
      <c r="E2" s="708"/>
      <c r="F2" s="708"/>
      <c r="H2" s="18" t="s">
        <v>111</v>
      </c>
      <c r="I2" s="19" t="s">
        <v>145</v>
      </c>
      <c r="J2" s="19" t="s">
        <v>147</v>
      </c>
      <c r="K2" s="20" t="s">
        <v>146</v>
      </c>
      <c r="L2" s="19" t="s">
        <v>148</v>
      </c>
      <c r="M2" s="19"/>
    </row>
    <row r="3" spans="1:13" x14ac:dyDescent="0.3">
      <c r="A3" s="137" t="s">
        <v>119</v>
      </c>
      <c r="B3" s="137"/>
      <c r="C3" s="137"/>
      <c r="D3" s="137"/>
      <c r="E3" s="137"/>
      <c r="F3" s="137"/>
      <c r="H3" s="70" t="s">
        <v>112</v>
      </c>
      <c r="I3" s="71" t="s">
        <v>113</v>
      </c>
      <c r="J3" s="72">
        <v>2000</v>
      </c>
      <c r="K3" s="73" t="s">
        <v>200</v>
      </c>
      <c r="L3" s="727" t="s">
        <v>149</v>
      </c>
      <c r="M3" s="727"/>
    </row>
    <row r="4" spans="1:13" x14ac:dyDescent="0.3">
      <c r="A4" s="18" t="s">
        <v>120</v>
      </c>
      <c r="B4" s="18" t="s">
        <v>121</v>
      </c>
      <c r="C4" s="20" t="s">
        <v>123</v>
      </c>
      <c r="D4" s="20" t="s">
        <v>124</v>
      </c>
      <c r="E4" s="20" t="s">
        <v>125</v>
      </c>
      <c r="F4" s="19" t="s">
        <v>122</v>
      </c>
      <c r="H4" s="70" t="s">
        <v>114</v>
      </c>
      <c r="I4" s="71" t="s">
        <v>115</v>
      </c>
      <c r="J4" s="72">
        <v>71</v>
      </c>
      <c r="K4" s="73" t="s">
        <v>142</v>
      </c>
      <c r="L4" s="729"/>
      <c r="M4" s="729"/>
    </row>
    <row r="5" spans="1:13" hidden="1" outlineLevel="1" x14ac:dyDescent="0.3">
      <c r="A5" s="712" t="s">
        <v>187</v>
      </c>
      <c r="B5" s="30" t="s">
        <v>443</v>
      </c>
      <c r="C5" s="159">
        <v>36400</v>
      </c>
      <c r="D5" s="31">
        <f>C5/J4</f>
        <v>512.67605633802816</v>
      </c>
      <c r="E5" s="32">
        <f>C5*J3</f>
        <v>72800000</v>
      </c>
      <c r="F5" s="219" t="s">
        <v>444</v>
      </c>
      <c r="H5" s="70" t="s">
        <v>116</v>
      </c>
      <c r="I5" s="71" t="s">
        <v>117</v>
      </c>
      <c r="J5" s="292">
        <f>14.75%/12*2.5</f>
        <v>3.0729166666666665E-2</v>
      </c>
      <c r="K5" s="73" t="s">
        <v>142</v>
      </c>
      <c r="L5" s="727" t="s">
        <v>445</v>
      </c>
      <c r="M5" s="727"/>
    </row>
    <row r="6" spans="1:13" hidden="1" outlineLevel="1" x14ac:dyDescent="0.3">
      <c r="A6" s="712"/>
      <c r="B6" s="33" t="s">
        <v>151</v>
      </c>
      <c r="C6" s="160">
        <f>+SUM(C7:C9)</f>
        <v>0</v>
      </c>
      <c r="D6" s="35">
        <f>C6/J4</f>
        <v>0</v>
      </c>
      <c r="E6" s="36">
        <f>C6*$J$3</f>
        <v>0</v>
      </c>
      <c r="F6" s="27" t="s">
        <v>155</v>
      </c>
      <c r="H6" s="70" t="s">
        <v>118</v>
      </c>
      <c r="I6" s="71" t="s">
        <v>117</v>
      </c>
      <c r="J6" s="292">
        <v>0.01</v>
      </c>
      <c r="K6" s="73" t="s">
        <v>48</v>
      </c>
      <c r="L6" s="727" t="s">
        <v>446</v>
      </c>
      <c r="M6" s="727"/>
    </row>
    <row r="7" spans="1:13" hidden="1" outlineLevel="1" x14ac:dyDescent="0.3">
      <c r="A7" s="712"/>
      <c r="B7" s="37" t="s">
        <v>152</v>
      </c>
      <c r="C7" s="161">
        <v>0</v>
      </c>
      <c r="D7" s="82">
        <f>+C7/$J$4</f>
        <v>0</v>
      </c>
      <c r="E7" s="83">
        <f>C7*$J$3</f>
        <v>0</v>
      </c>
      <c r="F7" s="27" t="s">
        <v>167</v>
      </c>
      <c r="H7" s="70" t="s">
        <v>316</v>
      </c>
      <c r="I7" s="71" t="s">
        <v>117</v>
      </c>
      <c r="J7" s="292">
        <f>1-0.01</f>
        <v>0.99</v>
      </c>
      <c r="K7" s="73" t="s">
        <v>48</v>
      </c>
      <c r="L7" s="727" t="s">
        <v>447</v>
      </c>
      <c r="M7" s="727"/>
    </row>
    <row r="8" spans="1:13" hidden="1" outlineLevel="1" x14ac:dyDescent="0.3">
      <c r="A8" s="712"/>
      <c r="B8" s="37" t="s">
        <v>153</v>
      </c>
      <c r="C8" s="161">
        <v>0</v>
      </c>
      <c r="D8" s="82">
        <f>+C8/$J$4</f>
        <v>0</v>
      </c>
      <c r="E8" s="83">
        <f>C8*$J$3</f>
        <v>0</v>
      </c>
      <c r="F8" s="27" t="s">
        <v>167</v>
      </c>
      <c r="H8" s="70" t="s">
        <v>336</v>
      </c>
      <c r="I8" s="71" t="s">
        <v>313</v>
      </c>
      <c r="J8" s="293">
        <v>550</v>
      </c>
      <c r="K8" s="73"/>
      <c r="L8" s="727"/>
      <c r="M8" s="727"/>
    </row>
    <row r="9" spans="1:13" hidden="1" outlineLevel="1" x14ac:dyDescent="0.3">
      <c r="A9" s="712"/>
      <c r="B9" s="37" t="s">
        <v>154</v>
      </c>
      <c r="C9" s="161">
        <v>0</v>
      </c>
      <c r="D9" s="82">
        <f>+C9/$J$4</f>
        <v>0</v>
      </c>
      <c r="E9" s="83">
        <f>C9*$J$3</f>
        <v>0</v>
      </c>
      <c r="F9" s="27" t="s">
        <v>167</v>
      </c>
      <c r="H9" s="70" t="s">
        <v>448</v>
      </c>
      <c r="I9" s="71" t="s">
        <v>313</v>
      </c>
      <c r="J9" s="294">
        <f>J17</f>
        <v>693.13725490196077</v>
      </c>
      <c r="K9" s="73"/>
      <c r="L9" s="727"/>
      <c r="M9" s="727"/>
    </row>
    <row r="10" spans="1:13" hidden="1" outlineLevel="1" x14ac:dyDescent="0.3">
      <c r="A10" s="712"/>
      <c r="B10" s="33" t="s">
        <v>118</v>
      </c>
      <c r="C10" s="162">
        <f>+C5*$J$6</f>
        <v>364</v>
      </c>
      <c r="D10" s="38">
        <f>C10/J4</f>
        <v>5.126760563380282</v>
      </c>
      <c r="E10" s="39">
        <f>C10*J3</f>
        <v>728000</v>
      </c>
      <c r="F10" s="27" t="s">
        <v>205</v>
      </c>
      <c r="H10" s="70" t="s">
        <v>315</v>
      </c>
      <c r="I10" s="71" t="s">
        <v>115</v>
      </c>
      <c r="J10" s="294">
        <f>+C91/J9</f>
        <v>68.403524566506263</v>
      </c>
      <c r="K10" s="73"/>
      <c r="L10" s="727"/>
      <c r="M10" s="727"/>
    </row>
    <row r="11" spans="1:13" ht="15" collapsed="1" thickBot="1" x14ac:dyDescent="0.35">
      <c r="A11" s="55" t="s">
        <v>156</v>
      </c>
      <c r="B11" s="56"/>
      <c r="C11" s="184">
        <f>SUM(C5:C10)/J7</f>
        <v>37135.353535353534</v>
      </c>
      <c r="D11" s="185">
        <f>SUM(D5:D10)</f>
        <v>517.80281690140839</v>
      </c>
      <c r="E11" s="186">
        <f>SUM(E5:E10)</f>
        <v>73528000</v>
      </c>
      <c r="F11" s="295"/>
    </row>
    <row r="12" spans="1:13" x14ac:dyDescent="0.3">
      <c r="A12" s="296"/>
      <c r="B12" s="296"/>
      <c r="C12" s="297"/>
      <c r="D12" s="296"/>
      <c r="E12" s="296"/>
      <c r="F12" s="298"/>
      <c r="J12" s="291">
        <f>460+230+230+230</f>
        <v>1150</v>
      </c>
    </row>
    <row r="13" spans="1:13" hidden="1" outlineLevel="1" x14ac:dyDescent="0.3">
      <c r="A13" s="712" t="s">
        <v>188</v>
      </c>
      <c r="B13" s="33" t="s">
        <v>157</v>
      </c>
      <c r="C13" s="164">
        <v>29</v>
      </c>
      <c r="D13" s="38">
        <f>C13/J4</f>
        <v>0.40845070422535212</v>
      </c>
      <c r="E13" s="39">
        <f>C13*J3</f>
        <v>58000</v>
      </c>
      <c r="F13" s="27" t="s">
        <v>161</v>
      </c>
    </row>
    <row r="14" spans="1:13" hidden="1" outlineLevel="1" x14ac:dyDescent="0.3">
      <c r="A14" s="712"/>
      <c r="B14" s="33" t="s">
        <v>158</v>
      </c>
      <c r="C14" s="164">
        <v>29</v>
      </c>
      <c r="D14" s="38">
        <f>C14/J4</f>
        <v>0.40845070422535212</v>
      </c>
      <c r="E14" s="39">
        <f>C14*J3</f>
        <v>58000</v>
      </c>
      <c r="F14" s="27" t="s">
        <v>161</v>
      </c>
      <c r="H14" s="730"/>
      <c r="I14" s="730"/>
      <c r="J14" s="730"/>
      <c r="K14" s="730"/>
      <c r="L14" s="730"/>
    </row>
    <row r="15" spans="1:13" hidden="1" outlineLevel="1" x14ac:dyDescent="0.3">
      <c r="A15" s="712"/>
      <c r="B15" s="33" t="s">
        <v>449</v>
      </c>
      <c r="C15" s="164">
        <v>29</v>
      </c>
      <c r="D15" s="38">
        <f>C15/J4</f>
        <v>0.40845070422535212</v>
      </c>
      <c r="E15" s="39">
        <f>C15*$J$3</f>
        <v>58000</v>
      </c>
      <c r="F15" s="27" t="s">
        <v>450</v>
      </c>
      <c r="H15" s="299" t="s">
        <v>451</v>
      </c>
      <c r="I15" s="299"/>
      <c r="J15" s="300">
        <f>J16*102/100</f>
        <v>721.14</v>
      </c>
      <c r="L15" s="301" t="s">
        <v>452</v>
      </c>
    </row>
    <row r="16" spans="1:13" hidden="1" outlineLevel="1" x14ac:dyDescent="0.3">
      <c r="A16" s="712"/>
      <c r="B16" s="33" t="s">
        <v>208</v>
      </c>
      <c r="C16" s="164">
        <v>29</v>
      </c>
      <c r="D16" s="38">
        <f>C16/J4</f>
        <v>0.40845070422535212</v>
      </c>
      <c r="E16" s="39">
        <f>C16*$J$3</f>
        <v>58000</v>
      </c>
      <c r="F16" s="27"/>
      <c r="H16" s="302" t="s">
        <v>453</v>
      </c>
      <c r="I16" s="302"/>
      <c r="J16" s="303">
        <v>707</v>
      </c>
      <c r="K16" s="731" t="s">
        <v>454</v>
      </c>
      <c r="L16" s="731"/>
    </row>
    <row r="17" spans="1:12" ht="15.6" hidden="1" customHeight="1" outlineLevel="1" x14ac:dyDescent="0.3">
      <c r="A17" s="712"/>
      <c r="B17" s="50" t="s">
        <v>160</v>
      </c>
      <c r="C17" s="165">
        <f>+SUM(C13:C16)</f>
        <v>116</v>
      </c>
      <c r="D17" s="51">
        <f t="shared" ref="D17:E17" si="0">+SUM(D13:D16)</f>
        <v>1.6338028169014085</v>
      </c>
      <c r="E17" s="52">
        <f t="shared" si="0"/>
        <v>232000</v>
      </c>
      <c r="F17" s="59"/>
      <c r="H17" s="299" t="s">
        <v>455</v>
      </c>
      <c r="I17" s="299"/>
      <c r="J17" s="300">
        <f>J16/102*100</f>
        <v>693.13725490196077</v>
      </c>
      <c r="K17" s="732" t="s">
        <v>456</v>
      </c>
      <c r="L17" s="732"/>
    </row>
    <row r="18" spans="1:12" hidden="1" outlineLevel="1" x14ac:dyDescent="0.3">
      <c r="A18" s="712"/>
      <c r="B18" s="25"/>
      <c r="C18" s="166"/>
      <c r="D18" s="26"/>
      <c r="E18" s="26"/>
      <c r="F18" s="60"/>
      <c r="J18" s="17"/>
    </row>
    <row r="19" spans="1:12" hidden="1" outlineLevel="1" x14ac:dyDescent="0.3">
      <c r="A19" s="712"/>
      <c r="B19" s="50" t="s">
        <v>162</v>
      </c>
      <c r="C19" s="165">
        <v>0</v>
      </c>
      <c r="D19" s="51">
        <f>C19/J4</f>
        <v>0</v>
      </c>
      <c r="E19" s="52">
        <f>C19*J3</f>
        <v>0</v>
      </c>
      <c r="F19" s="61" t="s">
        <v>457</v>
      </c>
      <c r="H19" s="291" t="s">
        <v>451</v>
      </c>
      <c r="J19" s="17">
        <f>J20*102/100</f>
        <v>736.44</v>
      </c>
      <c r="K19" s="732" t="s">
        <v>452</v>
      </c>
      <c r="L19" s="732"/>
    </row>
    <row r="20" spans="1:12" hidden="1" outlineLevel="1" x14ac:dyDescent="0.3">
      <c r="A20" s="712"/>
      <c r="B20" s="25"/>
      <c r="C20" s="212"/>
      <c r="D20" s="26"/>
      <c r="E20" s="26"/>
      <c r="F20" s="27"/>
      <c r="H20" s="302" t="s">
        <v>453</v>
      </c>
      <c r="I20" s="302"/>
      <c r="J20" s="303">
        <v>722</v>
      </c>
      <c r="K20" s="731" t="s">
        <v>454</v>
      </c>
      <c r="L20" s="731"/>
    </row>
    <row r="21" spans="1:12" hidden="1" outlineLevel="1" x14ac:dyDescent="0.3">
      <c r="A21" s="712"/>
      <c r="B21" s="40" t="s">
        <v>165</v>
      </c>
      <c r="C21" s="168">
        <v>0</v>
      </c>
      <c r="D21" s="34">
        <v>0</v>
      </c>
      <c r="E21" s="41">
        <v>0</v>
      </c>
      <c r="F21" s="27" t="s">
        <v>458</v>
      </c>
      <c r="H21" s="291" t="s">
        <v>455</v>
      </c>
      <c r="J21" s="17">
        <f>J20/102*100</f>
        <v>707.84313725490188</v>
      </c>
      <c r="K21" s="732" t="s">
        <v>459</v>
      </c>
      <c r="L21" s="732"/>
    </row>
    <row r="22" spans="1:12" hidden="1" outlineLevel="1" x14ac:dyDescent="0.3">
      <c r="A22" s="712"/>
      <c r="B22" s="40" t="s">
        <v>166</v>
      </c>
      <c r="C22" s="168">
        <v>0</v>
      </c>
      <c r="D22" s="34">
        <v>0</v>
      </c>
      <c r="E22" s="41">
        <v>0</v>
      </c>
      <c r="F22" s="27" t="s">
        <v>460</v>
      </c>
    </row>
    <row r="23" spans="1:12" hidden="1" outlineLevel="1" x14ac:dyDescent="0.3">
      <c r="A23" s="712"/>
      <c r="B23" s="40" t="s">
        <v>163</v>
      </c>
      <c r="C23" s="168">
        <v>0</v>
      </c>
      <c r="D23" s="34">
        <v>0</v>
      </c>
      <c r="E23" s="41">
        <v>0</v>
      </c>
      <c r="F23" s="27" t="s">
        <v>461</v>
      </c>
    </row>
    <row r="24" spans="1:12" hidden="1" outlineLevel="1" x14ac:dyDescent="0.3">
      <c r="A24" s="712"/>
      <c r="B24" s="50" t="s">
        <v>164</v>
      </c>
      <c r="C24" s="165">
        <f>+IFERROR(C21*C22/C23,0)</f>
        <v>0</v>
      </c>
      <c r="D24" s="51">
        <f>C24/J4</f>
        <v>0</v>
      </c>
      <c r="E24" s="52">
        <f>C24*J3</f>
        <v>0</v>
      </c>
      <c r="F24" s="59"/>
    </row>
    <row r="25" spans="1:12" ht="10.65" hidden="1" customHeight="1" outlineLevel="1" x14ac:dyDescent="0.3">
      <c r="A25" s="712"/>
      <c r="B25" s="25"/>
      <c r="C25" s="169"/>
      <c r="D25" s="26"/>
      <c r="E25" s="26"/>
      <c r="F25" s="62"/>
    </row>
    <row r="26" spans="1:12" hidden="1" outlineLevel="1" x14ac:dyDescent="0.3">
      <c r="A26" s="712"/>
      <c r="B26" s="33" t="s">
        <v>176</v>
      </c>
      <c r="C26" s="164">
        <v>0</v>
      </c>
      <c r="D26" s="34">
        <v>0</v>
      </c>
      <c r="E26" s="42">
        <v>0</v>
      </c>
      <c r="F26" s="27" t="s">
        <v>462</v>
      </c>
    </row>
    <row r="27" spans="1:12" hidden="1" outlineLevel="1" x14ac:dyDescent="0.3">
      <c r="A27" s="712"/>
      <c r="B27" s="33" t="s">
        <v>169</v>
      </c>
      <c r="C27" s="170">
        <v>0</v>
      </c>
      <c r="D27" s="34">
        <v>0</v>
      </c>
      <c r="E27" s="43">
        <v>0</v>
      </c>
      <c r="F27" s="27" t="s">
        <v>170</v>
      </c>
    </row>
    <row r="28" spans="1:12" hidden="1" outlineLevel="1" x14ac:dyDescent="0.3">
      <c r="A28" s="712"/>
      <c r="B28" s="33" t="s">
        <v>171</v>
      </c>
      <c r="C28" s="170">
        <v>0</v>
      </c>
      <c r="D28" s="34">
        <v>0</v>
      </c>
      <c r="E28" s="43">
        <v>0</v>
      </c>
      <c r="F28" s="27" t="s">
        <v>463</v>
      </c>
    </row>
    <row r="29" spans="1:12" ht="13.65" hidden="1" customHeight="1" outlineLevel="1" x14ac:dyDescent="0.3">
      <c r="A29" s="712"/>
      <c r="B29" s="33" t="s">
        <v>172</v>
      </c>
      <c r="C29" s="170">
        <v>0</v>
      </c>
      <c r="D29" s="34">
        <v>0</v>
      </c>
      <c r="E29" s="43">
        <v>0</v>
      </c>
      <c r="F29" s="27" t="s">
        <v>173</v>
      </c>
    </row>
    <row r="30" spans="1:12" hidden="1" outlineLevel="1" x14ac:dyDescent="0.3">
      <c r="A30" s="712"/>
      <c r="B30" s="50" t="s">
        <v>174</v>
      </c>
      <c r="C30" s="165">
        <f>IFERROR(C26*C27/C29,0)</f>
        <v>0</v>
      </c>
      <c r="D30" s="51">
        <f>+C30/J4</f>
        <v>0</v>
      </c>
      <c r="E30" s="52">
        <f>+C30*J3</f>
        <v>0</v>
      </c>
      <c r="F30" s="53"/>
    </row>
    <row r="31" spans="1:12" collapsed="1" x14ac:dyDescent="0.3">
      <c r="A31" s="44"/>
      <c r="B31" s="25"/>
      <c r="C31" s="166"/>
      <c r="D31" s="26"/>
      <c r="E31" s="26"/>
      <c r="F31" s="22"/>
    </row>
    <row r="32" spans="1:12" ht="15" thickBot="1" x14ac:dyDescent="0.35">
      <c r="A32" s="55" t="s">
        <v>177</v>
      </c>
      <c r="B32" s="56"/>
      <c r="C32" s="184">
        <f>+C17+C19+C24+C30</f>
        <v>116</v>
      </c>
      <c r="D32" s="185">
        <f>+D17+D19+D24+D30</f>
        <v>1.6338028169014085</v>
      </c>
      <c r="E32" s="186">
        <f>+E17+E19+E24+E30</f>
        <v>232000</v>
      </c>
      <c r="F32" s="187"/>
    </row>
    <row r="33" spans="1:6" ht="12" customHeight="1" x14ac:dyDescent="0.3">
      <c r="A33" s="304"/>
      <c r="B33" s="45"/>
      <c r="C33" s="171"/>
      <c r="D33" s="38"/>
      <c r="E33" s="38"/>
      <c r="F33" s="23"/>
    </row>
    <row r="34" spans="1:6" hidden="1" outlineLevel="1" x14ac:dyDescent="0.3">
      <c r="A34" s="725" t="s">
        <v>464</v>
      </c>
      <c r="B34" s="45" t="s">
        <v>178</v>
      </c>
      <c r="C34" s="171">
        <f>0.56*20</f>
        <v>11.200000000000001</v>
      </c>
      <c r="D34" s="38">
        <f>+C34/J4</f>
        <v>0.15774647887323945</v>
      </c>
      <c r="E34" s="39">
        <f>+C34*$J$3</f>
        <v>22400.000000000004</v>
      </c>
      <c r="F34" s="27" t="s">
        <v>181</v>
      </c>
    </row>
    <row r="35" spans="1:6" hidden="1" outlineLevel="1" x14ac:dyDescent="0.3">
      <c r="A35" s="725"/>
      <c r="B35" s="45" t="s">
        <v>168</v>
      </c>
      <c r="C35" s="172">
        <v>1</v>
      </c>
      <c r="D35" s="84">
        <v>1</v>
      </c>
      <c r="E35" s="84">
        <v>1</v>
      </c>
      <c r="F35" s="27" t="s">
        <v>179</v>
      </c>
    </row>
    <row r="36" spans="1:6" hidden="1" outlineLevel="1" x14ac:dyDescent="0.3">
      <c r="A36" s="725"/>
      <c r="B36" s="45" t="s">
        <v>180</v>
      </c>
      <c r="C36" s="171">
        <f>1*20</f>
        <v>20</v>
      </c>
      <c r="D36" s="38">
        <f>+C36/J4</f>
        <v>0.28169014084507044</v>
      </c>
      <c r="E36" s="39">
        <f>+C36*$J$3</f>
        <v>40000</v>
      </c>
      <c r="F36" s="27" t="s">
        <v>465</v>
      </c>
    </row>
    <row r="37" spans="1:6" hidden="1" outlineLevel="1" x14ac:dyDescent="0.3">
      <c r="A37" s="725"/>
      <c r="B37" s="50" t="s">
        <v>160</v>
      </c>
      <c r="C37" s="165">
        <f>+C34*C35+C36</f>
        <v>31.200000000000003</v>
      </c>
      <c r="D37" s="51">
        <f t="shared" ref="D37:E37" si="1">+D34*D35+D36</f>
        <v>0.43943661971830988</v>
      </c>
      <c r="E37" s="52">
        <f t="shared" si="1"/>
        <v>62400</v>
      </c>
      <c r="F37" s="53"/>
    </row>
    <row r="38" spans="1:6" hidden="1" outlineLevel="1" x14ac:dyDescent="0.3">
      <c r="A38" s="725"/>
      <c r="B38" s="25"/>
      <c r="C38" s="166"/>
      <c r="D38" s="26"/>
      <c r="E38" s="46"/>
      <c r="F38" s="22"/>
    </row>
    <row r="39" spans="1:6" hidden="1" outlineLevel="1" x14ac:dyDescent="0.3">
      <c r="A39" s="725"/>
      <c r="B39" s="50" t="s">
        <v>182</v>
      </c>
      <c r="C39" s="165">
        <v>0</v>
      </c>
      <c r="D39" s="51">
        <f>+C39/J4</f>
        <v>0</v>
      </c>
      <c r="E39" s="52">
        <f>+C39*J3</f>
        <v>0</v>
      </c>
      <c r="F39" s="61" t="s">
        <v>167</v>
      </c>
    </row>
    <row r="40" spans="1:6" ht="10.65" hidden="1" customHeight="1" outlineLevel="1" x14ac:dyDescent="0.3">
      <c r="A40" s="725"/>
      <c r="B40" s="25"/>
      <c r="C40" s="166"/>
      <c r="D40" s="26"/>
      <c r="E40" s="26"/>
      <c r="F40" s="28"/>
    </row>
    <row r="41" spans="1:6" hidden="1" outlineLevel="1" x14ac:dyDescent="0.3">
      <c r="A41" s="725"/>
      <c r="B41" s="45" t="s">
        <v>183</v>
      </c>
      <c r="C41" s="171">
        <v>0</v>
      </c>
      <c r="D41" s="38">
        <f>+C41/J4</f>
        <v>0</v>
      </c>
      <c r="E41" s="39">
        <f>+C41*J3</f>
        <v>0</v>
      </c>
      <c r="F41" s="27" t="s">
        <v>167</v>
      </c>
    </row>
    <row r="42" spans="1:6" hidden="1" outlineLevel="1" x14ac:dyDescent="0.3">
      <c r="A42" s="725"/>
      <c r="B42" s="45" t="s">
        <v>466</v>
      </c>
      <c r="C42" s="173">
        <f>25.43*20</f>
        <v>508.6</v>
      </c>
      <c r="D42" s="38">
        <f>C42/$J$4</f>
        <v>7.1633802816901415</v>
      </c>
      <c r="E42" s="38">
        <f>+C42*$J$3</f>
        <v>1017200</v>
      </c>
      <c r="F42" s="27" t="s">
        <v>467</v>
      </c>
    </row>
    <row r="43" spans="1:6" hidden="1" outlineLevel="1" x14ac:dyDescent="0.3">
      <c r="A43" s="725"/>
      <c r="B43" s="45" t="s">
        <v>468</v>
      </c>
      <c r="C43" s="173">
        <f>12.93*20</f>
        <v>258.60000000000002</v>
      </c>
      <c r="D43" s="38">
        <f>C43/$J$4</f>
        <v>3.642253521126761</v>
      </c>
      <c r="E43" s="38">
        <f>+C43*$J$3</f>
        <v>517200.00000000006</v>
      </c>
      <c r="F43" s="27" t="s">
        <v>469</v>
      </c>
    </row>
    <row r="44" spans="1:6" hidden="1" outlineLevel="1" x14ac:dyDescent="0.3">
      <c r="A44" s="725"/>
      <c r="B44" s="45" t="s">
        <v>185</v>
      </c>
      <c r="C44" s="173">
        <f>5*20</f>
        <v>100</v>
      </c>
      <c r="D44" s="38">
        <f>C44/$J$4</f>
        <v>1.408450704225352</v>
      </c>
      <c r="E44" s="38">
        <f>+C44*$J$3</f>
        <v>200000</v>
      </c>
      <c r="F44" s="27" t="s">
        <v>189</v>
      </c>
    </row>
    <row r="45" spans="1:6" ht="9" customHeight="1" collapsed="1" x14ac:dyDescent="0.3">
      <c r="A45" s="33"/>
      <c r="B45" s="33"/>
      <c r="C45" s="173"/>
      <c r="D45" s="38"/>
      <c r="E45" s="38"/>
      <c r="F45" s="29"/>
    </row>
    <row r="46" spans="1:6" ht="15" thickBot="1" x14ac:dyDescent="0.35">
      <c r="A46" s="55" t="s">
        <v>207</v>
      </c>
      <c r="B46" s="56"/>
      <c r="C46" s="174">
        <f>+SUM(C41:C44)+C37+C39</f>
        <v>898.40000000000009</v>
      </c>
      <c r="D46" s="49">
        <f>+SUM(D41:D44)+D37+D39</f>
        <v>12.653521126760564</v>
      </c>
      <c r="E46" s="49">
        <f>+SUM(E41:E44)+E37+E39</f>
        <v>1796800</v>
      </c>
      <c r="F46" s="305"/>
    </row>
    <row r="47" spans="1:6" x14ac:dyDescent="0.3">
      <c r="A47" s="64"/>
      <c r="B47" s="65"/>
      <c r="C47" s="175"/>
      <c r="D47" s="66"/>
      <c r="E47" s="66"/>
      <c r="F47" s="85"/>
    </row>
    <row r="48" spans="1:6" hidden="1" outlineLevel="1" x14ac:dyDescent="0.3">
      <c r="A48" s="718" t="s">
        <v>211</v>
      </c>
      <c r="B48" s="65" t="s">
        <v>470</v>
      </c>
      <c r="C48" s="171">
        <v>0</v>
      </c>
      <c r="D48" s="86">
        <f>+C48/$J$4</f>
        <v>0</v>
      </c>
      <c r="E48" s="86">
        <f>+C48*$J$3</f>
        <v>0</v>
      </c>
      <c r="F48" s="85"/>
    </row>
    <row r="49" spans="1:10" hidden="1" outlineLevel="1" x14ac:dyDescent="0.3">
      <c r="A49" s="718"/>
      <c r="B49" s="65" t="s">
        <v>209</v>
      </c>
      <c r="C49" s="173">
        <v>29</v>
      </c>
      <c r="D49" s="86">
        <f>+C49/$J$4</f>
        <v>0.40845070422535212</v>
      </c>
      <c r="E49" s="86">
        <f>+C49*$J$3</f>
        <v>58000</v>
      </c>
      <c r="F49" s="85"/>
    </row>
    <row r="50" spans="1:10" hidden="1" outlineLevel="1" x14ac:dyDescent="0.3">
      <c r="A50" s="718"/>
      <c r="B50" s="65" t="s">
        <v>210</v>
      </c>
      <c r="C50" s="173">
        <v>29</v>
      </c>
      <c r="D50" s="86">
        <f>+C50/$J$4</f>
        <v>0.40845070422535212</v>
      </c>
      <c r="E50" s="86">
        <f>+C50*$J$3</f>
        <v>58000</v>
      </c>
      <c r="F50" s="85"/>
    </row>
    <row r="51" spans="1:10" hidden="1" outlineLevel="1" x14ac:dyDescent="0.3">
      <c r="A51" s="25"/>
      <c r="B51" s="50"/>
      <c r="C51" s="165">
        <f>+SUM(C48:C50)</f>
        <v>58</v>
      </c>
      <c r="D51" s="51">
        <f>+SUM(D48:D50)</f>
        <v>0.81690140845070425</v>
      </c>
      <c r="E51" s="52">
        <f>+SUM(E48:E50)</f>
        <v>116000</v>
      </c>
      <c r="F51" s="61"/>
    </row>
    <row r="52" spans="1:10" s="296" customFormat="1" hidden="1" outlineLevel="1" x14ac:dyDescent="0.3">
      <c r="A52" s="25"/>
      <c r="B52" s="151"/>
      <c r="C52" s="214"/>
      <c r="D52" s="214"/>
      <c r="E52" s="215"/>
      <c r="F52" s="27"/>
    </row>
    <row r="53" spans="1:10" ht="15" collapsed="1" thickBot="1" x14ac:dyDescent="0.35">
      <c r="A53" s="129" t="s">
        <v>295</v>
      </c>
      <c r="B53" s="130"/>
      <c r="C53" s="131">
        <f>+C11+C32+C46+C51</f>
        <v>38207.753535353535</v>
      </c>
      <c r="D53" s="131">
        <f>+D11+D32+D46+D51</f>
        <v>532.90704225352101</v>
      </c>
      <c r="E53" s="131">
        <f>+E11+E32+E46+E51</f>
        <v>75672800</v>
      </c>
      <c r="F53" s="130"/>
    </row>
    <row r="54" spans="1:10" ht="18" customHeight="1" x14ac:dyDescent="0.3">
      <c r="A54" s="64"/>
      <c r="B54" s="65"/>
      <c r="C54" s="175"/>
      <c r="D54" s="120"/>
      <c r="E54" s="120"/>
      <c r="F54" s="65"/>
    </row>
    <row r="55" spans="1:10" hidden="1" outlineLevel="1" x14ac:dyDescent="0.3">
      <c r="A55" s="725" t="s">
        <v>126</v>
      </c>
      <c r="B55" s="48" t="s">
        <v>127</v>
      </c>
      <c r="C55" s="173">
        <f>+'[4]Manica quot. 23MT'!F13*$J$4</f>
        <v>543.304347826087</v>
      </c>
      <c r="D55" s="24">
        <f>C55/$J$4</f>
        <v>7.6521739130434785</v>
      </c>
      <c r="E55" s="24">
        <f>C55*$J$3</f>
        <v>1086608.6956521741</v>
      </c>
      <c r="F55" s="27" t="s">
        <v>278</v>
      </c>
    </row>
    <row r="56" spans="1:10" hidden="1" outlineLevel="1" x14ac:dyDescent="0.3">
      <c r="A56" s="725"/>
      <c r="B56" s="48" t="s">
        <v>128</v>
      </c>
      <c r="C56" s="173">
        <f>+'[4]Manica quot. 23MT'!F14*$J$4</f>
        <v>95.695652173913047</v>
      </c>
      <c r="D56" s="24">
        <f>C56/J4</f>
        <v>1.3478260869565217</v>
      </c>
      <c r="E56" s="24">
        <f>C56*J3</f>
        <v>191391.30434782608</v>
      </c>
      <c r="F56" s="27" t="s">
        <v>279</v>
      </c>
    </row>
    <row r="57" spans="1:10" hidden="1" outlineLevel="1" x14ac:dyDescent="0.3">
      <c r="A57" s="725"/>
      <c r="B57" s="48" t="s">
        <v>228</v>
      </c>
      <c r="C57" s="173">
        <f>+'[4]Manica quot. 23MT'!F15*$J$4</f>
        <v>46.304347826086961</v>
      </c>
      <c r="D57" s="24">
        <f>C57/J4</f>
        <v>0.65217391304347827</v>
      </c>
      <c r="E57" s="24">
        <f>C57*J3</f>
        <v>92608.695652173919</v>
      </c>
      <c r="F57" s="27" t="s">
        <v>279</v>
      </c>
    </row>
    <row r="58" spans="1:10" hidden="1" outlineLevel="1" x14ac:dyDescent="0.3">
      <c r="A58" s="725"/>
      <c r="B58" s="48" t="s">
        <v>236</v>
      </c>
      <c r="C58" s="173">
        <f>+'[4]Manica quot. 23MT'!F23*$J$4</f>
        <v>463.04347826086956</v>
      </c>
      <c r="D58" s="24">
        <f>C58/J4</f>
        <v>6.5217391304347823</v>
      </c>
      <c r="E58" s="24">
        <f>C58*J3</f>
        <v>926086.95652173914</v>
      </c>
      <c r="F58" s="27" t="s">
        <v>280</v>
      </c>
    </row>
    <row r="59" spans="1:10" hidden="1" outlineLevel="1" x14ac:dyDescent="0.3">
      <c r="A59" s="725"/>
      <c r="B59" s="48" t="s">
        <v>129</v>
      </c>
      <c r="C59" s="173">
        <f>+'[4]Manica quot. 23MT'!F26*$J$4</f>
        <v>185.21739130434784</v>
      </c>
      <c r="D59" s="24">
        <f>C59/J4</f>
        <v>2.6086956521739131</v>
      </c>
      <c r="E59" s="24">
        <f>C59*J3</f>
        <v>370434.78260869568</v>
      </c>
      <c r="F59" s="27" t="s">
        <v>281</v>
      </c>
    </row>
    <row r="60" spans="1:10" hidden="1" outlineLevel="1" x14ac:dyDescent="0.3">
      <c r="A60" s="725"/>
      <c r="B60" s="48" t="s">
        <v>239</v>
      </c>
      <c r="C60" s="173">
        <f>+'[4]Manica quot. 23MT'!F27*$J$4</f>
        <v>287.08695652173913</v>
      </c>
      <c r="D60" s="24">
        <f>C60/J4</f>
        <v>4.0434782608695654</v>
      </c>
      <c r="E60" s="24">
        <f>C60*J3</f>
        <v>574173.91304347827</v>
      </c>
      <c r="F60" s="27" t="s">
        <v>281</v>
      </c>
    </row>
    <row r="61" spans="1:10" hidden="1" outlineLevel="1" x14ac:dyDescent="0.3">
      <c r="A61" s="725"/>
      <c r="B61" s="48" t="s">
        <v>240</v>
      </c>
      <c r="C61" s="173">
        <f>+'[4]Manica quot. 23MT'!F28*$J$4</f>
        <v>92.608695652173921</v>
      </c>
      <c r="D61" s="24">
        <f>C61/J4</f>
        <v>1.3043478260869565</v>
      </c>
      <c r="E61" s="24">
        <f>C61*J3</f>
        <v>185217.39130434784</v>
      </c>
      <c r="F61" s="27" t="s">
        <v>281</v>
      </c>
    </row>
    <row r="62" spans="1:10" hidden="1" outlineLevel="1" x14ac:dyDescent="0.3">
      <c r="A62" s="725"/>
      <c r="B62" s="48" t="s">
        <v>241</v>
      </c>
      <c r="C62" s="173">
        <f>+'[4]Manica quot. 23MT'!F29*$J$4</f>
        <v>108.04347826086958</v>
      </c>
      <c r="D62" s="24">
        <f>C62/J4</f>
        <v>1.5217391304347827</v>
      </c>
      <c r="E62" s="24">
        <f>C62*J3</f>
        <v>216086.95652173916</v>
      </c>
      <c r="F62" s="27" t="s">
        <v>281</v>
      </c>
      <c r="J62" s="306"/>
    </row>
    <row r="63" spans="1:10" ht="24" hidden="1" outlineLevel="1" x14ac:dyDescent="0.3">
      <c r="A63" s="725"/>
      <c r="B63" s="48" t="s">
        <v>244</v>
      </c>
      <c r="C63" s="173">
        <f>+'[4]Manica quot. 23MT'!F32*J4</f>
        <v>956.95652173913038</v>
      </c>
      <c r="D63" s="24">
        <f>C63/$J$4</f>
        <v>13.478260869565217</v>
      </c>
      <c r="E63" s="24">
        <f>C63*J3</f>
        <v>1913913.0434782607</v>
      </c>
      <c r="F63" s="27" t="s">
        <v>282</v>
      </c>
    </row>
    <row r="64" spans="1:10" hidden="1" outlineLevel="1" x14ac:dyDescent="0.3">
      <c r="A64" s="725"/>
      <c r="B64" s="50" t="s">
        <v>283</v>
      </c>
      <c r="C64" s="165">
        <f>+SUM(C55:C63)</f>
        <v>2778.2608695652175</v>
      </c>
      <c r="D64" s="51">
        <f>+SUM(D55:D63)</f>
        <v>39.130434782608695</v>
      </c>
      <c r="E64" s="52">
        <f>+SUM(E55:E63)</f>
        <v>5556521.7391304346</v>
      </c>
      <c r="F64" s="61" t="s">
        <v>277</v>
      </c>
    </row>
    <row r="65" spans="1:7" hidden="1" outlineLevel="1" x14ac:dyDescent="0.3">
      <c r="A65" s="725"/>
      <c r="B65" s="48"/>
      <c r="C65" s="173"/>
      <c r="D65" s="24"/>
      <c r="E65" s="24"/>
      <c r="F65" s="27"/>
      <c r="G65" s="307"/>
    </row>
    <row r="66" spans="1:7" hidden="1" outlineLevel="1" x14ac:dyDescent="0.3">
      <c r="A66" s="725"/>
      <c r="B66" s="109" t="s">
        <v>335</v>
      </c>
      <c r="C66" s="173"/>
      <c r="D66" s="24"/>
      <c r="E66" s="24"/>
      <c r="F66" s="27"/>
    </row>
    <row r="67" spans="1:7" hidden="1" outlineLevel="1" x14ac:dyDescent="0.3">
      <c r="A67" s="725"/>
      <c r="B67" s="48" t="s">
        <v>246</v>
      </c>
      <c r="C67" s="173">
        <f>+'[4]Manica quot. 23MT'!F35*$J$4</f>
        <v>54.021739130434788</v>
      </c>
      <c r="D67" s="24">
        <f t="shared" ref="D67:D75" si="2">C67/$J$4</f>
        <v>0.76086956521739135</v>
      </c>
      <c r="E67" s="24">
        <f t="shared" ref="E67:E75" si="3">C67*$J$3</f>
        <v>108043.47826086958</v>
      </c>
      <c r="F67" s="27" t="s">
        <v>247</v>
      </c>
    </row>
    <row r="68" spans="1:7" hidden="1" outlineLevel="1" x14ac:dyDescent="0.3">
      <c r="A68" s="725"/>
      <c r="B68" s="48" t="s">
        <v>248</v>
      </c>
      <c r="C68" s="173">
        <f>+'[4]Manica quot. 23MT'!F36*$J$4</f>
        <v>3.7043478260869565</v>
      </c>
      <c r="D68" s="24">
        <f t="shared" si="2"/>
        <v>5.2173913043478258E-2</v>
      </c>
      <c r="E68" s="24">
        <f t="shared" si="3"/>
        <v>7408.695652173913</v>
      </c>
      <c r="F68" s="27" t="s">
        <v>247</v>
      </c>
    </row>
    <row r="69" spans="1:7" hidden="1" outlineLevel="1" x14ac:dyDescent="0.3">
      <c r="A69" s="725"/>
      <c r="B69" s="48" t="s">
        <v>249</v>
      </c>
      <c r="C69" s="173">
        <f>+'[4]Manica quot. 23MT'!F37*$J$4</f>
        <v>61.739130434782609</v>
      </c>
      <c r="D69" s="24">
        <f t="shared" si="2"/>
        <v>0.86956521739130432</v>
      </c>
      <c r="E69" s="24">
        <f t="shared" si="3"/>
        <v>123478.26086956522</v>
      </c>
      <c r="F69" s="27" t="s">
        <v>247</v>
      </c>
    </row>
    <row r="70" spans="1:7" hidden="1" outlineLevel="1" x14ac:dyDescent="0.3">
      <c r="A70" s="725"/>
      <c r="B70" s="48" t="s">
        <v>250</v>
      </c>
      <c r="C70" s="173">
        <f>+'[4]Manica quot. 23MT'!F38*$J$4</f>
        <v>19.756521739130434</v>
      </c>
      <c r="D70" s="24">
        <f t="shared" si="2"/>
        <v>0.27826086956521739</v>
      </c>
      <c r="E70" s="24">
        <f t="shared" si="3"/>
        <v>39513.043478260872</v>
      </c>
      <c r="F70" s="27" t="s">
        <v>247</v>
      </c>
    </row>
    <row r="71" spans="1:7" hidden="1" outlineLevel="1" x14ac:dyDescent="0.3">
      <c r="A71" s="725"/>
      <c r="B71" s="48" t="s">
        <v>131</v>
      </c>
      <c r="C71" s="173">
        <f>+'[4]Manica quot. 23MT'!F39*$J$4</f>
        <v>24.695652173913043</v>
      </c>
      <c r="D71" s="24">
        <f t="shared" si="2"/>
        <v>0.34782608695652173</v>
      </c>
      <c r="E71" s="24">
        <f t="shared" si="3"/>
        <v>49391.304347826088</v>
      </c>
      <c r="F71" s="27" t="s">
        <v>247</v>
      </c>
    </row>
    <row r="72" spans="1:7" hidden="1" outlineLevel="1" x14ac:dyDescent="0.3">
      <c r="A72" s="725"/>
      <c r="B72" s="48" t="s">
        <v>251</v>
      </c>
      <c r="C72" s="173">
        <f>+'[4]Manica quot. 23MT'!F40*$J$4</f>
        <v>15.434782608695652</v>
      </c>
      <c r="D72" s="24">
        <f t="shared" si="2"/>
        <v>0.21739130434782608</v>
      </c>
      <c r="E72" s="24">
        <f t="shared" si="3"/>
        <v>30869.565217391304</v>
      </c>
      <c r="F72" s="27" t="s">
        <v>247</v>
      </c>
    </row>
    <row r="73" spans="1:7" hidden="1" outlineLevel="1" x14ac:dyDescent="0.3">
      <c r="A73" s="725"/>
      <c r="B73" s="48" t="s">
        <v>130</v>
      </c>
      <c r="C73" s="173">
        <f>+'[4]Manica quot. 23MT'!F41*$J$4</f>
        <v>24.695652173913043</v>
      </c>
      <c r="D73" s="24">
        <f t="shared" si="2"/>
        <v>0.34782608695652173</v>
      </c>
      <c r="E73" s="24">
        <f t="shared" si="3"/>
        <v>49391.304347826088</v>
      </c>
      <c r="F73" s="27" t="s">
        <v>247</v>
      </c>
    </row>
    <row r="74" spans="1:7" hidden="1" outlineLevel="1" x14ac:dyDescent="0.3">
      <c r="A74" s="75"/>
      <c r="B74" s="48" t="s">
        <v>320</v>
      </c>
      <c r="C74" s="308">
        <f>4.10869565217391*$J$4</f>
        <v>291.71739130434764</v>
      </c>
      <c r="D74" s="24">
        <f t="shared" si="2"/>
        <v>4.1086956521739104</v>
      </c>
      <c r="E74" s="24">
        <f t="shared" si="3"/>
        <v>583434.78260869533</v>
      </c>
      <c r="F74" s="27" t="s">
        <v>318</v>
      </c>
    </row>
    <row r="75" spans="1:7" hidden="1" outlineLevel="1" x14ac:dyDescent="0.3">
      <c r="A75" s="75"/>
      <c r="B75" s="48" t="s">
        <v>319</v>
      </c>
      <c r="C75" s="308">
        <f>3.26086956521739*$J$4</f>
        <v>231.52173913043467</v>
      </c>
      <c r="D75" s="24">
        <f t="shared" si="2"/>
        <v>3.2608695652173898</v>
      </c>
      <c r="E75" s="24">
        <f t="shared" si="3"/>
        <v>463043.47826086933</v>
      </c>
      <c r="F75" s="27" t="s">
        <v>329</v>
      </c>
    </row>
    <row r="76" spans="1:7" hidden="1" outlineLevel="1" x14ac:dyDescent="0.3">
      <c r="A76" s="75"/>
      <c r="B76" s="50" t="s">
        <v>283</v>
      </c>
      <c r="C76" s="165">
        <f>+SUM(C67:C75)</f>
        <v>727.28695652173883</v>
      </c>
      <c r="D76" s="51">
        <f>+SUM(D67:D75)</f>
        <v>10.243478260869562</v>
      </c>
      <c r="E76" s="51">
        <f>+SUM(E67:E75)</f>
        <v>1454573.9130434778</v>
      </c>
      <c r="F76" s="61"/>
    </row>
    <row r="77" spans="1:7" hidden="1" outlineLevel="1" x14ac:dyDescent="0.3">
      <c r="A77" s="75"/>
      <c r="B77" s="48"/>
      <c r="C77" s="173"/>
      <c r="D77" s="24"/>
      <c r="E77" s="24"/>
      <c r="F77" s="27"/>
    </row>
    <row r="78" spans="1:7" ht="15" collapsed="1" thickBot="1" x14ac:dyDescent="0.35">
      <c r="A78" s="55" t="s">
        <v>194</v>
      </c>
      <c r="B78" s="56"/>
      <c r="C78" s="174">
        <f>+C76+C64</f>
        <v>3505.5478260869563</v>
      </c>
      <c r="D78" s="49">
        <f t="shared" ref="D78:E78" si="4">+D76+D64</f>
        <v>49.373913043478254</v>
      </c>
      <c r="E78" s="49">
        <f t="shared" si="4"/>
        <v>7011095.6521739122</v>
      </c>
      <c r="F78" s="57" t="s">
        <v>277</v>
      </c>
    </row>
    <row r="79" spans="1:7" hidden="1" outlineLevel="1" x14ac:dyDescent="0.3">
      <c r="A79" s="64"/>
      <c r="B79" s="65"/>
      <c r="C79" s="175"/>
      <c r="D79" s="66"/>
      <c r="E79" s="66"/>
      <c r="F79" s="296"/>
    </row>
    <row r="80" spans="1:7" hidden="1" outlineLevel="1" x14ac:dyDescent="0.3">
      <c r="A80" s="76" t="s">
        <v>134</v>
      </c>
      <c r="B80" s="33" t="s">
        <v>393</v>
      </c>
      <c r="C80" s="178">
        <f>(C53)*J5</f>
        <v>1174.0924263468012</v>
      </c>
      <c r="D80" s="24">
        <f>C80/J4</f>
        <v>16.536513047138044</v>
      </c>
      <c r="E80" s="24">
        <f>C80*J3</f>
        <v>2348184.8526936024</v>
      </c>
      <c r="F80" s="67" t="s">
        <v>135</v>
      </c>
    </row>
    <row r="81" spans="1:10" hidden="1" outlineLevel="1" x14ac:dyDescent="0.3">
      <c r="A81" s="76" t="s">
        <v>136</v>
      </c>
      <c r="B81" s="33" t="s">
        <v>293</v>
      </c>
      <c r="C81" s="178">
        <f>((C32+C46+C100)*5%)</f>
        <v>76.940953747386075</v>
      </c>
      <c r="D81" s="24">
        <f>C81/J4</f>
        <v>1.0836754048927617</v>
      </c>
      <c r="E81" s="24">
        <f>C81*J3</f>
        <v>153881.90749477214</v>
      </c>
      <c r="F81" s="27" t="s">
        <v>294</v>
      </c>
    </row>
    <row r="82" spans="1:10" ht="3" customHeight="1" collapsed="1" x14ac:dyDescent="0.3">
      <c r="C82" s="297"/>
      <c r="F82" s="27"/>
      <c r="G82" s="17"/>
      <c r="H82" s="17"/>
      <c r="I82" s="17"/>
      <c r="J82" s="309"/>
    </row>
    <row r="83" spans="1:10" ht="15" thickBot="1" x14ac:dyDescent="0.35">
      <c r="A83" s="77" t="s">
        <v>137</v>
      </c>
      <c r="B83" s="78"/>
      <c r="C83" s="79">
        <f>+C53+C78+SUM(C80:C81)</f>
        <v>42964.33474153468</v>
      </c>
      <c r="D83" s="79">
        <f>+D53+D78+D100+SUM(D80:D81)</f>
        <v>607.2873279032234</v>
      </c>
      <c r="E83" s="79">
        <f>+E53+E78+E100+SUM(E80:E81)</f>
        <v>86234800.562257722</v>
      </c>
      <c r="F83" s="78"/>
    </row>
    <row r="84" spans="1:10" x14ac:dyDescent="0.3">
      <c r="A84" s="155"/>
      <c r="B84" s="145"/>
      <c r="C84" s="175"/>
      <c r="D84" s="144"/>
      <c r="E84" s="144"/>
      <c r="F84" s="27"/>
    </row>
    <row r="85" spans="1:10" hidden="1" outlineLevel="1" x14ac:dyDescent="0.3">
      <c r="A85" s="726" t="s">
        <v>196</v>
      </c>
      <c r="B85" s="33" t="s">
        <v>287</v>
      </c>
      <c r="C85" s="173">
        <f>+D85*J4</f>
        <v>976.25</v>
      </c>
      <c r="D85" s="35">
        <f>2.5/100*J8</f>
        <v>13.75</v>
      </c>
      <c r="E85" s="24">
        <f>C85*J3</f>
        <v>1952500</v>
      </c>
      <c r="F85" s="27" t="s">
        <v>331</v>
      </c>
      <c r="G85" s="17"/>
      <c r="H85" s="17"/>
      <c r="I85" s="17"/>
    </row>
    <row r="86" spans="1:10" hidden="1" outlineLevel="1" x14ac:dyDescent="0.3">
      <c r="A86" s="726"/>
      <c r="B86" s="33" t="s">
        <v>138</v>
      </c>
      <c r="C86" s="173">
        <f>0.0015*C83</f>
        <v>64.446502112302028</v>
      </c>
      <c r="D86" s="35">
        <f>D83*0.15%</f>
        <v>0.91093099185483517</v>
      </c>
      <c r="E86" s="24">
        <f>D86*J3*J4</f>
        <v>129352.20084338658</v>
      </c>
      <c r="F86" s="27" t="s">
        <v>290</v>
      </c>
      <c r="G86" s="17"/>
      <c r="H86" s="17"/>
      <c r="I86" s="17"/>
    </row>
    <row r="87" spans="1:10" hidden="1" outlineLevel="1" x14ac:dyDescent="0.3">
      <c r="A87" s="124"/>
      <c r="B87" s="33" t="s">
        <v>299</v>
      </c>
      <c r="C87" s="173">
        <f>+D87*J4</f>
        <v>3408</v>
      </c>
      <c r="D87" s="253">
        <v>48</v>
      </c>
      <c r="E87" s="24">
        <f>D87*J4*J5</f>
        <v>104.72499999999999</v>
      </c>
      <c r="F87" s="27" t="s">
        <v>471</v>
      </c>
    </row>
    <row r="88" spans="1:10" ht="15" collapsed="1" thickBot="1" x14ac:dyDescent="0.35">
      <c r="A88" s="55" t="s">
        <v>195</v>
      </c>
      <c r="B88" s="56" t="s">
        <v>139</v>
      </c>
      <c r="C88" s="174">
        <f>+SUM(C85:C87)</f>
        <v>4448.6965021123015</v>
      </c>
      <c r="D88" s="49">
        <f>+C88/J4</f>
        <v>62.657697212849314</v>
      </c>
      <c r="E88" s="49">
        <f>+C88*J3</f>
        <v>8897393.0042246021</v>
      </c>
      <c r="F88" s="57"/>
    </row>
    <row r="89" spans="1:10" x14ac:dyDescent="0.3">
      <c r="A89" s="296"/>
      <c r="B89" s="296"/>
      <c r="C89" s="297"/>
      <c r="D89" s="296"/>
      <c r="E89" s="296"/>
      <c r="F89" s="27"/>
    </row>
    <row r="90" spans="1:10" ht="15.6" customHeight="1" x14ac:dyDescent="0.3">
      <c r="A90" s="296"/>
      <c r="B90" s="296"/>
      <c r="C90" s="297"/>
      <c r="D90" s="296"/>
      <c r="E90" s="296"/>
      <c r="F90" s="27"/>
    </row>
    <row r="91" spans="1:10" ht="15.6" customHeight="1" x14ac:dyDescent="0.3">
      <c r="A91" s="733" t="s">
        <v>321</v>
      </c>
      <c r="B91" s="195" t="s">
        <v>323</v>
      </c>
      <c r="C91" s="196">
        <f>+C83+C88</f>
        <v>47413.031243646983</v>
      </c>
      <c r="D91" s="197">
        <f>+C91/$J$4</f>
        <v>667.78917244573211</v>
      </c>
      <c r="E91" s="198">
        <f>+C91*$J$3</f>
        <v>94826062.487293959</v>
      </c>
      <c r="F91" s="199" t="s">
        <v>113</v>
      </c>
    </row>
    <row r="92" spans="1:10" x14ac:dyDescent="0.3">
      <c r="A92" s="734"/>
      <c r="B92" s="195" t="s">
        <v>322</v>
      </c>
      <c r="C92" s="196">
        <f>+C91/$C$111</f>
        <v>2370.6515621823492</v>
      </c>
      <c r="D92" s="197">
        <f>+C92/$J$4</f>
        <v>33.389458622286611</v>
      </c>
      <c r="E92" s="198">
        <f t="shared" ref="E92:E93" si="5">+C92*$J$3</f>
        <v>4741303.1243646983</v>
      </c>
      <c r="F92" s="199" t="s">
        <v>303</v>
      </c>
    </row>
    <row r="93" spans="1:10" x14ac:dyDescent="0.3">
      <c r="A93" s="734"/>
      <c r="B93" s="195" t="s">
        <v>324</v>
      </c>
      <c r="C93" s="196">
        <f>+($J$9*$J$4)-C91</f>
        <v>1799.7138543922338</v>
      </c>
      <c r="D93" s="197">
        <f>+C93/$J$4</f>
        <v>25.348082456228646</v>
      </c>
      <c r="E93" s="198">
        <f t="shared" si="5"/>
        <v>3599427.7087844675</v>
      </c>
      <c r="F93" s="199" t="s">
        <v>303</v>
      </c>
    </row>
    <row r="94" spans="1:10" x14ac:dyDescent="0.3">
      <c r="A94" s="735"/>
      <c r="B94" s="200" t="s">
        <v>304</v>
      </c>
      <c r="C94" s="201">
        <f>+C93/(J9*J4)</f>
        <v>3.6570076528080926E-2</v>
      </c>
      <c r="D94" s="201">
        <f>+D93/$J$9</f>
        <v>3.6570076528080933E-2</v>
      </c>
      <c r="E94" s="201">
        <f>+E93/(J9*J4*J3)</f>
        <v>3.6570076528080926E-2</v>
      </c>
      <c r="F94" s="199" t="s">
        <v>117</v>
      </c>
    </row>
    <row r="95" spans="1:10" hidden="1" outlineLevel="1" x14ac:dyDescent="0.3">
      <c r="A95" s="296"/>
      <c r="B95" s="296"/>
      <c r="C95" s="297"/>
      <c r="D95" s="296"/>
      <c r="E95" s="296"/>
    </row>
    <row r="96" spans="1:10" hidden="1" outlineLevel="1" x14ac:dyDescent="0.3">
      <c r="A96" s="712" t="s">
        <v>132</v>
      </c>
      <c r="B96" s="33" t="s">
        <v>133</v>
      </c>
      <c r="C96" s="164">
        <f>587958.241213763/J3</f>
        <v>293.97912060688151</v>
      </c>
      <c r="D96" s="24">
        <f>C96/J4</f>
        <v>4.14055099446312</v>
      </c>
      <c r="E96" s="24">
        <f>C96*J3</f>
        <v>587958.24121376302</v>
      </c>
      <c r="F96" s="27" t="s">
        <v>297</v>
      </c>
    </row>
    <row r="97" spans="1:13" hidden="1" outlineLevel="1" x14ac:dyDescent="0.3">
      <c r="A97" s="712"/>
      <c r="B97" s="33" t="s">
        <v>190</v>
      </c>
      <c r="C97" s="173">
        <f>274219.405056139/J3</f>
        <v>137.1097025280695</v>
      </c>
      <c r="D97" s="24">
        <f>C97/J4</f>
        <v>1.9311225708178803</v>
      </c>
      <c r="E97" s="24">
        <f>C97*J3</f>
        <v>274219.40505613899</v>
      </c>
      <c r="F97" s="27" t="s">
        <v>288</v>
      </c>
    </row>
    <row r="98" spans="1:13" hidden="1" outlineLevel="1" x14ac:dyDescent="0.3">
      <c r="A98" s="712"/>
      <c r="B98" s="33" t="s">
        <v>191</v>
      </c>
      <c r="C98" s="173">
        <f>151715.356597734/J3</f>
        <v>75.857678298867</v>
      </c>
      <c r="D98" s="24">
        <f>C98/J4</f>
        <v>1.0684180042093945</v>
      </c>
      <c r="E98" s="24">
        <f>C98*J3</f>
        <v>151715.356597734</v>
      </c>
      <c r="F98" s="27" t="s">
        <v>288</v>
      </c>
    </row>
    <row r="99" spans="1:13" hidden="1" outlineLevel="1" x14ac:dyDescent="0.3">
      <c r="A99" s="713"/>
      <c r="B99" s="33" t="s">
        <v>192</v>
      </c>
      <c r="C99" s="173">
        <f>+(C117*C118+C117*D118+C117*E118+C117*F118)/J3</f>
        <v>17.472573513903384</v>
      </c>
      <c r="D99" s="24">
        <f>C99/J4</f>
        <v>0.24609258470286458</v>
      </c>
      <c r="E99" s="24">
        <f>C99*J3</f>
        <v>34945.147027806772</v>
      </c>
      <c r="F99" s="27" t="s">
        <v>289</v>
      </c>
    </row>
    <row r="100" spans="1:13" ht="15" collapsed="1" thickBot="1" x14ac:dyDescent="0.35">
      <c r="A100" s="55" t="s">
        <v>193</v>
      </c>
      <c r="B100" s="56"/>
      <c r="C100" s="174">
        <f>SUM(C96:C99)</f>
        <v>524.41907494772136</v>
      </c>
      <c r="D100" s="174">
        <f>SUM(D96:D99)</f>
        <v>7.3861841541932591</v>
      </c>
      <c r="E100" s="174">
        <f>SUM(E96:E99)</f>
        <v>1048838.1498954429</v>
      </c>
      <c r="F100" s="183"/>
    </row>
    <row r="101" spans="1:13" ht="18" customHeight="1" x14ac:dyDescent="0.3">
      <c r="F101" s="296"/>
    </row>
    <row r="102" spans="1:13" x14ac:dyDescent="0.3">
      <c r="A102" s="715" t="s">
        <v>325</v>
      </c>
      <c r="B102" s="195" t="s">
        <v>326</v>
      </c>
      <c r="C102" s="196">
        <f>+C91+C100</f>
        <v>47937.450318594703</v>
      </c>
      <c r="D102" s="197">
        <f>+C102/$J$4</f>
        <v>675.17535659992541</v>
      </c>
      <c r="E102" s="198">
        <f>+C102*$J$3</f>
        <v>95874900.637189403</v>
      </c>
      <c r="F102" s="199" t="s">
        <v>113</v>
      </c>
      <c r="M102" s="296"/>
    </row>
    <row r="103" spans="1:13" x14ac:dyDescent="0.3">
      <c r="A103" s="715"/>
      <c r="B103" s="195" t="s">
        <v>327</v>
      </c>
      <c r="C103" s="196">
        <f>+C102/C111</f>
        <v>2396.8725159297351</v>
      </c>
      <c r="D103" s="197">
        <f>+C103/$J$4</f>
        <v>33.758767829996266</v>
      </c>
      <c r="E103" s="198">
        <f t="shared" ref="E103:E104" si="6">+C103*$J$3</f>
        <v>4793745.0318594705</v>
      </c>
      <c r="F103" s="199" t="s">
        <v>303</v>
      </c>
      <c r="M103" s="296"/>
    </row>
    <row r="104" spans="1:13" ht="15.6" customHeight="1" x14ac:dyDescent="0.3">
      <c r="A104" s="715"/>
      <c r="B104" s="195" t="s">
        <v>328</v>
      </c>
      <c r="C104" s="196">
        <f>+($J$9*$J$4)-C102</f>
        <v>1275.2947794445136</v>
      </c>
      <c r="D104" s="197">
        <f>+C104/$J$4</f>
        <v>17.961898302035401</v>
      </c>
      <c r="E104" s="198">
        <f t="shared" si="6"/>
        <v>2550589.5588890272</v>
      </c>
      <c r="F104" s="199" t="s">
        <v>303</v>
      </c>
      <c r="M104" s="296"/>
    </row>
    <row r="105" spans="1:13" x14ac:dyDescent="0.3">
      <c r="A105" s="715"/>
      <c r="B105" s="200" t="s">
        <v>472</v>
      </c>
      <c r="C105" s="201">
        <f>+C104/SUM($J$4*$J$9)</f>
        <v>2.5913912684690395E-2</v>
      </c>
      <c r="D105" s="201">
        <f>+D104/J9</f>
        <v>2.5913912684690395E-2</v>
      </c>
      <c r="E105" s="201">
        <f>+E104/(J9*J4*J3)</f>
        <v>2.5913912684690395E-2</v>
      </c>
      <c r="F105" s="199" t="s">
        <v>117</v>
      </c>
      <c r="M105" s="296"/>
    </row>
    <row r="106" spans="1:13" s="296" customFormat="1" x14ac:dyDescent="0.3">
      <c r="A106" s="216"/>
      <c r="B106" s="217"/>
      <c r="C106" s="218"/>
      <c r="D106" s="218"/>
      <c r="E106" s="218"/>
      <c r="F106" s="66"/>
    </row>
    <row r="107" spans="1:13" s="296" customFormat="1" x14ac:dyDescent="0.3">
      <c r="A107" s="216"/>
      <c r="B107" s="217"/>
      <c r="C107" s="218"/>
      <c r="D107" s="218"/>
      <c r="E107" s="218"/>
      <c r="F107" s="66"/>
    </row>
    <row r="108" spans="1:13" x14ac:dyDescent="0.3">
      <c r="B108" s="149" t="s">
        <v>305</v>
      </c>
      <c r="C108" s="148">
        <v>50</v>
      </c>
      <c r="D108" s="147"/>
      <c r="F108" s="296"/>
    </row>
    <row r="109" spans="1:13" x14ac:dyDescent="0.3">
      <c r="B109" s="149" t="s">
        <v>306</v>
      </c>
      <c r="C109" s="148">
        <f>+C110/C108</f>
        <v>40000</v>
      </c>
      <c r="D109" s="147"/>
      <c r="F109" s="296"/>
    </row>
    <row r="110" spans="1:13" ht="18" customHeight="1" x14ac:dyDescent="0.3">
      <c r="B110" s="149" t="s">
        <v>330</v>
      </c>
      <c r="C110" s="148">
        <f>+J3*1000</f>
        <v>2000000</v>
      </c>
      <c r="D110" s="147"/>
      <c r="F110" s="296"/>
    </row>
    <row r="111" spans="1:13" ht="18" customHeight="1" x14ac:dyDescent="0.3">
      <c r="B111" s="149" t="s">
        <v>308</v>
      </c>
      <c r="C111" s="150">
        <f>1000/C108</f>
        <v>20</v>
      </c>
      <c r="D111" s="147"/>
      <c r="F111" s="296"/>
    </row>
    <row r="112" spans="1:13" ht="18" customHeight="1" x14ac:dyDescent="0.3">
      <c r="F112" s="296"/>
    </row>
    <row r="113" spans="1:10" ht="18" customHeight="1" x14ac:dyDescent="0.3">
      <c r="F113" s="296"/>
    </row>
    <row r="115" spans="1:10" ht="15" thickBot="1" x14ac:dyDescent="0.35">
      <c r="A115" s="728" t="s">
        <v>140</v>
      </c>
      <c r="B115" s="728"/>
      <c r="C115" s="728"/>
      <c r="D115" s="122">
        <f>+D102</f>
        <v>675.17535659992541</v>
      </c>
      <c r="E115" s="122"/>
      <c r="F115" s="121"/>
    </row>
    <row r="116" spans="1:10" x14ac:dyDescent="0.3">
      <c r="A116" s="69"/>
      <c r="B116" s="69"/>
      <c r="C116" s="69"/>
      <c r="D116" s="296"/>
      <c r="E116" s="310"/>
    </row>
    <row r="117" spans="1:10" ht="15.6" customHeight="1" x14ac:dyDescent="0.3">
      <c r="A117" s="112" t="s">
        <v>285</v>
      </c>
      <c r="B117" s="114"/>
      <c r="C117" s="117">
        <v>44375</v>
      </c>
      <c r="D117" s="112"/>
      <c r="E117" s="115"/>
      <c r="F117" s="115"/>
    </row>
    <row r="118" spans="1:10" x14ac:dyDescent="0.3">
      <c r="A118" s="111"/>
      <c r="B118" s="113"/>
      <c r="C118" s="113">
        <v>0.33139083074710401</v>
      </c>
      <c r="D118" s="113">
        <v>0.27054136002494389</v>
      </c>
      <c r="E118" s="113">
        <v>0.14261829117615879</v>
      </c>
      <c r="F118" s="116">
        <v>4.2945789100959968E-2</v>
      </c>
    </row>
    <row r="119" spans="1:10" ht="12.6" customHeight="1" x14ac:dyDescent="0.3">
      <c r="A119" s="69"/>
      <c r="B119" s="69"/>
      <c r="C119" s="110"/>
      <c r="D119" s="110"/>
      <c r="E119" s="110"/>
      <c r="F119" s="110"/>
    </row>
    <row r="120" spans="1:10" ht="18" customHeight="1" x14ac:dyDescent="0.3">
      <c r="G120" s="17"/>
    </row>
    <row r="121" spans="1:10" x14ac:dyDescent="0.3">
      <c r="A121" s="68" t="s">
        <v>141</v>
      </c>
      <c r="B121" s="68"/>
      <c r="C121" s="68"/>
      <c r="D121" s="68"/>
      <c r="E121" s="68"/>
      <c r="F121" s="68"/>
      <c r="G121" s="123"/>
    </row>
    <row r="122" spans="1:10" x14ac:dyDescent="0.3">
      <c r="A122" s="135" t="s">
        <v>198</v>
      </c>
      <c r="B122" s="135"/>
      <c r="C122" s="135"/>
      <c r="D122" s="135"/>
      <c r="E122" s="135"/>
      <c r="F122" s="135"/>
      <c r="G122" s="123"/>
    </row>
    <row r="123" spans="1:10" ht="15.6" customHeight="1" x14ac:dyDescent="0.3">
      <c r="A123" s="136" t="s">
        <v>199</v>
      </c>
      <c r="B123" s="136"/>
      <c r="C123" s="136"/>
      <c r="D123" s="136"/>
      <c r="E123" s="136"/>
      <c r="F123" s="136"/>
      <c r="G123" s="17"/>
    </row>
    <row r="124" spans="1:10" x14ac:dyDescent="0.3">
      <c r="A124" s="134" t="s">
        <v>197</v>
      </c>
      <c r="B124" s="134"/>
      <c r="C124" s="134"/>
      <c r="D124" s="134"/>
      <c r="E124" s="134"/>
      <c r="F124" s="134"/>
      <c r="G124" s="17"/>
      <c r="H124" s="17"/>
      <c r="I124" s="17"/>
    </row>
    <row r="126" spans="1:10" s="296" customFormat="1" ht="24" customHeight="1" x14ac:dyDescent="0.3">
      <c r="A126" s="291"/>
      <c r="B126" s="291"/>
      <c r="C126" s="291"/>
      <c r="D126" s="291"/>
      <c r="E126" s="291"/>
      <c r="G126" s="311"/>
      <c r="H126" s="311"/>
      <c r="I126" s="311"/>
      <c r="J126" s="311"/>
    </row>
    <row r="127" spans="1:10" s="296" customFormat="1" x14ac:dyDescent="0.3">
      <c r="A127" s="291"/>
      <c r="B127" s="291"/>
      <c r="C127" s="291"/>
      <c r="D127" s="291"/>
      <c r="E127" s="291"/>
    </row>
    <row r="128" spans="1:10" s="296" customFormat="1" x14ac:dyDescent="0.3">
      <c r="A128" s="291"/>
      <c r="B128" s="291"/>
      <c r="C128" s="291"/>
      <c r="D128" s="291"/>
      <c r="E128" s="291"/>
    </row>
    <row r="129" spans="1:5" s="296" customFormat="1" ht="24" customHeight="1" x14ac:dyDescent="0.3">
      <c r="A129" s="291"/>
      <c r="B129" s="291"/>
      <c r="C129" s="291"/>
      <c r="D129" s="291"/>
      <c r="E129" s="291"/>
    </row>
    <row r="131" spans="1:5" ht="15.75" customHeight="1" x14ac:dyDescent="0.3"/>
    <row r="132" spans="1:5" ht="15.75" customHeight="1" x14ac:dyDescent="0.3"/>
    <row r="133" spans="1:5" ht="15.75" customHeight="1" x14ac:dyDescent="0.3"/>
    <row r="134" spans="1:5" ht="15.75" customHeight="1" x14ac:dyDescent="0.3"/>
  </sheetData>
  <mergeCells count="26">
    <mergeCell ref="A102:A105"/>
    <mergeCell ref="A115:C115"/>
    <mergeCell ref="A34:A44"/>
    <mergeCell ref="A48:A50"/>
    <mergeCell ref="A55:A73"/>
    <mergeCell ref="A85:A86"/>
    <mergeCell ref="A91:A94"/>
    <mergeCell ref="A96:A99"/>
    <mergeCell ref="A13:A30"/>
    <mergeCell ref="H14:L14"/>
    <mergeCell ref="K16:L16"/>
    <mergeCell ref="K17:L17"/>
    <mergeCell ref="K19:L19"/>
    <mergeCell ref="K20:L20"/>
    <mergeCell ref="K21:L21"/>
    <mergeCell ref="A1:F1"/>
    <mergeCell ref="A2:F2"/>
    <mergeCell ref="L3:M3"/>
    <mergeCell ref="L4:M4"/>
    <mergeCell ref="A5:A10"/>
    <mergeCell ref="L5:M5"/>
    <mergeCell ref="L6:M6"/>
    <mergeCell ref="L7:M7"/>
    <mergeCell ref="L8:M8"/>
    <mergeCell ref="L9:M9"/>
    <mergeCell ref="L10:M10"/>
  </mergeCells>
  <conditionalFormatting sqref="C9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{5C119B4C-6027-43F0-A91B-02813CB66CD3}</x14:id>
        </ext>
      </extLst>
    </cfRule>
  </conditionalFormatting>
  <conditionalFormatting sqref="C94:D9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{8898B92C-D8EC-4DB7-8E25-7BCC9B1A72AA}</x14:id>
        </ext>
      </extLst>
    </cfRule>
  </conditionalFormatting>
  <conditionalFormatting sqref="C105:E10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{D6B7CCDF-F67A-4C00-9DB3-2A8AC337AEC0}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{785E4E51-8577-4889-BE16-95FE734474FC}</x14:id>
        </ext>
      </extLst>
    </cfRule>
  </conditionalFormatting>
  <conditionalFormatting sqref="E9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{BA2E87A5-EBB9-4B38-B1CC-E3C7BAB8CF64}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19B4C-6027-43F0-A91B-02813CB66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C94</xm:sqref>
        </x14:conditionalFormatting>
        <x14:conditionalFormatting xmlns:xm="http://schemas.microsoft.com/office/excel/2006/main">
          <x14:cfRule type="dataBar" id="{8898B92C-D8EC-4DB7-8E25-7BCC9B1A72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C94:D94</xm:sqref>
        </x14:conditionalFormatting>
        <x14:conditionalFormatting xmlns:xm="http://schemas.microsoft.com/office/excel/2006/main">
          <x14:cfRule type="dataBar" id="{D6B7CCDF-F67A-4C00-9DB3-2A8AC337A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85E4E51-8577-4889-BE16-95FE734474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C105:E107</xm:sqref>
        </x14:conditionalFormatting>
        <x14:conditionalFormatting xmlns:xm="http://schemas.microsoft.com/office/excel/2006/main">
          <x14:cfRule type="dataBar" id="{BA2E87A5-EBB9-4B38-B1CC-E3C7BAB8CF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3065-E415-4763-88F3-B4A179925400}">
  <sheetPr>
    <tabColor rgb="FF00B050"/>
  </sheetPr>
  <dimension ref="A1:K95"/>
  <sheetViews>
    <sheetView topLeftCell="A20" zoomScale="70" zoomScaleNormal="70" workbookViewId="0">
      <pane xSplit="3" topLeftCell="D1" activePane="topRight" state="frozen"/>
      <selection pane="topRight" activeCell="B79" sqref="B39:B79"/>
    </sheetView>
  </sheetViews>
  <sheetFormatPr defaultColWidth="9.109375" defaultRowHeight="14.4" outlineLevelRow="1" x14ac:dyDescent="0.3"/>
  <cols>
    <col min="1" max="1" width="14.5546875" style="312" customWidth="1"/>
    <col min="2" max="2" width="60.88671875" style="312" bestFit="1" customWidth="1"/>
    <col min="3" max="3" width="14.44140625" style="317" bestFit="1" customWidth="1"/>
    <col min="4" max="4" width="16.109375" style="314" customWidth="1"/>
    <col min="5" max="5" width="18.5546875" style="314" customWidth="1"/>
    <col min="6" max="6" width="25.33203125" style="315" customWidth="1"/>
    <col min="7" max="7" width="5.88671875" style="316" customWidth="1"/>
    <col min="8" max="8" width="16.5546875" style="312" customWidth="1"/>
    <col min="9" max="9" width="50.88671875" style="312" bestFit="1" customWidth="1"/>
    <col min="10" max="10" width="13" style="312" bestFit="1" customWidth="1"/>
    <col min="11" max="11" width="20.5546875" style="312" customWidth="1"/>
    <col min="12" max="12" width="9.109375" style="312" customWidth="1"/>
    <col min="13" max="16384" width="9.109375" style="312"/>
  </cols>
  <sheetData>
    <row r="1" spans="2:11" ht="15" thickBot="1" x14ac:dyDescent="0.35">
      <c r="C1" s="313">
        <v>46057</v>
      </c>
    </row>
    <row r="2" spans="2:11" ht="24" thickBot="1" x14ac:dyDescent="0.5">
      <c r="D2" s="692" t="s">
        <v>473</v>
      </c>
      <c r="E2" s="693"/>
      <c r="F2" s="318"/>
      <c r="G2" s="319"/>
    </row>
    <row r="3" spans="2:11" ht="15" thickBot="1" x14ac:dyDescent="0.35">
      <c r="B3" s="320"/>
      <c r="C3" s="321"/>
      <c r="D3" s="322" t="s">
        <v>474</v>
      </c>
      <c r="E3" s="322" t="s">
        <v>475</v>
      </c>
      <c r="F3" s="318"/>
      <c r="G3" s="323"/>
    </row>
    <row r="4" spans="2:11" ht="15" outlineLevel="1" thickBot="1" x14ac:dyDescent="0.35">
      <c r="B4" s="324" t="s">
        <v>476</v>
      </c>
      <c r="C4" s="325" t="s">
        <v>477</v>
      </c>
      <c r="D4" s="326">
        <f>'[2]Input Sheet_'!K13</f>
        <v>2596153.846153846</v>
      </c>
      <c r="E4" s="326">
        <f>'[2]Input Sheet_'!K12</f>
        <v>2542857.1428571427</v>
      </c>
      <c r="F4" s="327" t="s">
        <v>478</v>
      </c>
      <c r="G4" s="328"/>
    </row>
    <row r="5" spans="2:11" outlineLevel="1" x14ac:dyDescent="0.3">
      <c r="B5" s="324" t="s">
        <v>479</v>
      </c>
      <c r="C5" s="325" t="s">
        <v>477</v>
      </c>
      <c r="D5" s="326">
        <v>20000</v>
      </c>
      <c r="E5" s="326">
        <v>25000</v>
      </c>
      <c r="F5" s="327" t="s">
        <v>478</v>
      </c>
      <c r="G5" s="329"/>
      <c r="I5" s="330" t="s">
        <v>480</v>
      </c>
      <c r="J5" s="331">
        <f>'[2]Input Sheet_'!E3</f>
        <v>3600</v>
      </c>
    </row>
    <row r="6" spans="2:11" outlineLevel="1" x14ac:dyDescent="0.3">
      <c r="B6" s="324" t="s">
        <v>481</v>
      </c>
      <c r="C6" s="325" t="s">
        <v>477</v>
      </c>
      <c r="D6" s="326">
        <f>212000-146330</f>
        <v>65670</v>
      </c>
      <c r="E6" s="326">
        <v>150000</v>
      </c>
      <c r="F6" s="327" t="s">
        <v>478</v>
      </c>
      <c r="G6" s="332"/>
      <c r="I6" s="333" t="s">
        <v>482</v>
      </c>
      <c r="J6" s="334">
        <v>105</v>
      </c>
    </row>
    <row r="7" spans="2:11" ht="15" outlineLevel="1" thickBot="1" x14ac:dyDescent="0.35">
      <c r="B7" s="324" t="s">
        <v>483</v>
      </c>
      <c r="C7" s="325" t="s">
        <v>477</v>
      </c>
      <c r="D7" s="326">
        <f>SUM(D4:D6)*$J$7</f>
        <v>67045.596153846156</v>
      </c>
      <c r="E7" s="326">
        <f>SUM(E4:E6)*$J$7</f>
        <v>67946.428571428565</v>
      </c>
      <c r="F7" s="327" t="s">
        <v>478</v>
      </c>
      <c r="G7" s="328"/>
      <c r="I7" s="335" t="s">
        <v>484</v>
      </c>
      <c r="J7" s="336">
        <f>'[3]Inv Holding Period'!B14</f>
        <v>2.5000000000000001E-2</v>
      </c>
      <c r="K7" s="312" t="s">
        <v>485</v>
      </c>
    </row>
    <row r="8" spans="2:11" ht="18.899999999999999" customHeight="1" outlineLevel="1" x14ac:dyDescent="0.3">
      <c r="B8" s="324" t="s">
        <v>486</v>
      </c>
      <c r="C8" s="325" t="s">
        <v>477</v>
      </c>
      <c r="D8" s="337">
        <f>$J$17/$J$25</f>
        <v>3000</v>
      </c>
      <c r="E8" s="337">
        <v>0</v>
      </c>
      <c r="F8" s="327" t="s">
        <v>478</v>
      </c>
      <c r="G8" s="329"/>
      <c r="H8" s="694" t="s">
        <v>487</v>
      </c>
      <c r="I8" s="338" t="s">
        <v>488</v>
      </c>
      <c r="J8" s="339">
        <v>0.05</v>
      </c>
    </row>
    <row r="9" spans="2:11" ht="15.9" customHeight="1" outlineLevel="1" thickBot="1" x14ac:dyDescent="0.35">
      <c r="B9" s="324" t="s">
        <v>489</v>
      </c>
      <c r="C9" s="325" t="s">
        <v>477</v>
      </c>
      <c r="D9" s="337">
        <f>700*$J$11</f>
        <v>6666.666666666667</v>
      </c>
      <c r="E9" s="337">
        <f>700*$J$11</f>
        <v>6666.666666666667</v>
      </c>
      <c r="F9" s="327" t="s">
        <v>478</v>
      </c>
      <c r="G9" s="340"/>
      <c r="H9" s="695"/>
      <c r="I9" s="341" t="s">
        <v>490</v>
      </c>
      <c r="J9" s="342">
        <v>5.0000000000000001E-3</v>
      </c>
    </row>
    <row r="10" spans="2:11" outlineLevel="1" x14ac:dyDescent="0.3">
      <c r="B10" s="324" t="s">
        <v>491</v>
      </c>
      <c r="C10" s="325" t="s">
        <v>477</v>
      </c>
      <c r="D10" s="326">
        <v>0</v>
      </c>
      <c r="E10" s="326">
        <v>0</v>
      </c>
      <c r="F10" s="343" t="s">
        <v>492</v>
      </c>
      <c r="G10" s="329"/>
      <c r="H10" s="344"/>
      <c r="I10" s="345" t="s">
        <v>493</v>
      </c>
      <c r="J10" s="334">
        <v>0</v>
      </c>
      <c r="K10" s="312" t="s">
        <v>494</v>
      </c>
    </row>
    <row r="11" spans="2:11" outlineLevel="1" x14ac:dyDescent="0.3">
      <c r="B11" s="324" t="s">
        <v>495</v>
      </c>
      <c r="C11" s="325" t="s">
        <v>477</v>
      </c>
      <c r="D11" s="326">
        <f>((3500*20)+(12300/50))</f>
        <v>70246</v>
      </c>
      <c r="E11" s="326">
        <v>0</v>
      </c>
      <c r="F11" s="343" t="s">
        <v>496</v>
      </c>
      <c r="G11" s="328"/>
      <c r="H11" s="344"/>
      <c r="I11" s="324" t="s">
        <v>497</v>
      </c>
      <c r="J11" s="346">
        <f>(1000/J6)</f>
        <v>9.5238095238095237</v>
      </c>
    </row>
    <row r="12" spans="2:11" outlineLevel="1" x14ac:dyDescent="0.3">
      <c r="B12" s="324" t="s">
        <v>498</v>
      </c>
      <c r="C12" s="325" t="s">
        <v>477</v>
      </c>
      <c r="D12" s="326">
        <f>((3000*20)+(90000/50))</f>
        <v>61800</v>
      </c>
      <c r="E12" s="326">
        <v>0</v>
      </c>
      <c r="F12" s="343" t="s">
        <v>496</v>
      </c>
      <c r="G12" s="328"/>
      <c r="H12" s="344"/>
      <c r="I12" s="345" t="s">
        <v>499</v>
      </c>
      <c r="J12" s="347">
        <v>125</v>
      </c>
      <c r="K12" s="312" t="s">
        <v>500</v>
      </c>
    </row>
    <row r="13" spans="2:11" ht="15.6" customHeight="1" outlineLevel="1" x14ac:dyDescent="0.3">
      <c r="B13" s="324" t="s">
        <v>501</v>
      </c>
      <c r="C13" s="325" t="s">
        <v>477</v>
      </c>
      <c r="D13" s="326">
        <f>(165000/50)+10420</f>
        <v>13720</v>
      </c>
      <c r="E13" s="326">
        <v>6193.75</v>
      </c>
      <c r="F13" s="348" t="s">
        <v>478</v>
      </c>
      <c r="G13" s="328"/>
      <c r="H13" s="344"/>
      <c r="I13" s="345" t="s">
        <v>502</v>
      </c>
      <c r="J13" s="349">
        <v>2.0000000000000002E-5</v>
      </c>
    </row>
    <row r="14" spans="2:11" outlineLevel="1" x14ac:dyDescent="0.3">
      <c r="B14" s="324" t="s">
        <v>503</v>
      </c>
      <c r="C14" s="325" t="s">
        <v>477</v>
      </c>
      <c r="D14" s="326">
        <f>28200/50</f>
        <v>564</v>
      </c>
      <c r="E14" s="326">
        <v>0</v>
      </c>
      <c r="F14" s="348" t="s">
        <v>478</v>
      </c>
      <c r="G14" s="328"/>
      <c r="I14" s="324" t="s">
        <v>504</v>
      </c>
      <c r="J14" s="350">
        <v>25</v>
      </c>
      <c r="K14" s="312" t="s">
        <v>500</v>
      </c>
    </row>
    <row r="15" spans="2:11" x14ac:dyDescent="0.3">
      <c r="B15" s="324"/>
      <c r="C15" s="325"/>
      <c r="D15" s="326"/>
      <c r="E15" s="326"/>
      <c r="F15" s="348"/>
      <c r="G15" s="328"/>
      <c r="I15" s="324" t="s">
        <v>505</v>
      </c>
      <c r="J15" s="350">
        <f>1000/50</f>
        <v>20</v>
      </c>
      <c r="K15" s="312" t="s">
        <v>500</v>
      </c>
    </row>
    <row r="16" spans="2:11" ht="15" thickBot="1" x14ac:dyDescent="0.35">
      <c r="B16" s="351" t="s">
        <v>506</v>
      </c>
      <c r="C16" s="352"/>
      <c r="D16" s="353">
        <f>SUM(D4:D14)</f>
        <v>2904866.1089743585</v>
      </c>
      <c r="E16" s="353">
        <f>SUM(E4:E14)</f>
        <v>2798663.9880952379</v>
      </c>
      <c r="F16" s="348"/>
      <c r="G16" s="328"/>
      <c r="I16" s="345" t="s">
        <v>507</v>
      </c>
      <c r="J16" s="347">
        <v>25</v>
      </c>
      <c r="K16" s="312" t="s">
        <v>500</v>
      </c>
    </row>
    <row r="17" spans="2:11" ht="16.5" customHeight="1" thickBot="1" x14ac:dyDescent="0.35">
      <c r="B17" s="324"/>
      <c r="C17" s="325"/>
      <c r="D17" s="326"/>
      <c r="E17" s="326"/>
      <c r="F17" s="348"/>
      <c r="G17" s="328"/>
      <c r="I17" s="354" t="s">
        <v>508</v>
      </c>
      <c r="J17" s="355">
        <v>600000</v>
      </c>
    </row>
    <row r="18" spans="2:11" outlineLevel="1" x14ac:dyDescent="0.3">
      <c r="B18" s="324" t="s">
        <v>509</v>
      </c>
      <c r="C18" s="325" t="s">
        <v>477</v>
      </c>
      <c r="D18" s="326">
        <v>2000</v>
      </c>
      <c r="E18" s="326">
        <f>20000/50</f>
        <v>400</v>
      </c>
      <c r="F18" s="348" t="s">
        <v>478</v>
      </c>
      <c r="G18" s="332"/>
      <c r="H18" s="696"/>
      <c r="I18" s="320" t="s">
        <v>510</v>
      </c>
      <c r="J18" s="356">
        <v>50000</v>
      </c>
    </row>
    <row r="19" spans="2:11" outlineLevel="1" x14ac:dyDescent="0.3">
      <c r="B19" s="324" t="s">
        <v>511</v>
      </c>
      <c r="C19" s="325" t="s">
        <v>477</v>
      </c>
      <c r="D19" s="326">
        <v>0</v>
      </c>
      <c r="E19" s="326">
        <v>0</v>
      </c>
      <c r="F19" s="348" t="s">
        <v>512</v>
      </c>
      <c r="G19" s="357"/>
      <c r="H19" s="696"/>
      <c r="I19" s="324" t="s">
        <v>513</v>
      </c>
      <c r="J19" s="358">
        <v>375</v>
      </c>
    </row>
    <row r="20" spans="2:11" ht="15" outlineLevel="1" thickBot="1" x14ac:dyDescent="0.35">
      <c r="B20" s="324" t="s">
        <v>514</v>
      </c>
      <c r="C20" s="325" t="s">
        <v>477</v>
      </c>
      <c r="D20" s="326">
        <f>700*$J$11</f>
        <v>6666.666666666667</v>
      </c>
      <c r="E20" s="326">
        <v>0</v>
      </c>
      <c r="F20" s="348" t="s">
        <v>515</v>
      </c>
      <c r="G20" s="359"/>
      <c r="H20" s="696"/>
      <c r="I20" s="354" t="s">
        <v>516</v>
      </c>
      <c r="J20" s="360"/>
    </row>
    <row r="21" spans="2:11" outlineLevel="1" x14ac:dyDescent="0.3">
      <c r="B21" s="324" t="s">
        <v>517</v>
      </c>
      <c r="C21" s="325" t="s">
        <v>477</v>
      </c>
      <c r="D21" s="326">
        <f>1300*$J$11</f>
        <v>12380.952380952382</v>
      </c>
      <c r="E21" s="326">
        <f>900*$J$15</f>
        <v>18000</v>
      </c>
      <c r="F21" s="348" t="s">
        <v>478</v>
      </c>
      <c r="G21" s="329"/>
      <c r="H21" s="696"/>
      <c r="I21" s="697" t="s">
        <v>518</v>
      </c>
      <c r="J21" s="361">
        <v>16204.8</v>
      </c>
    </row>
    <row r="22" spans="2:11" outlineLevel="1" x14ac:dyDescent="0.3">
      <c r="B22" s="324" t="s">
        <v>519</v>
      </c>
      <c r="C22" s="325" t="s">
        <v>477</v>
      </c>
      <c r="D22" s="362">
        <f>SUM(D16:D21)/(1-$J$9)-SUM(D16:D21)</f>
        <v>14703.0840604119</v>
      </c>
      <c r="E22" s="362">
        <f>SUM(E16:E21)/(1-$J$9)-SUM(E16:E21)</f>
        <v>14156.100442689843</v>
      </c>
      <c r="F22" s="348" t="s">
        <v>478</v>
      </c>
      <c r="G22" s="329"/>
      <c r="H22" s="696"/>
      <c r="I22" s="698"/>
      <c r="J22" s="363">
        <v>2842.1052631578946</v>
      </c>
    </row>
    <row r="23" spans="2:11" outlineLevel="1" x14ac:dyDescent="0.3">
      <c r="B23" s="324" t="s">
        <v>520</v>
      </c>
      <c r="C23" s="325" t="s">
        <v>477</v>
      </c>
      <c r="D23" s="326">
        <f>(0.23*J5*20)+(3000000/1500)</f>
        <v>18560</v>
      </c>
      <c r="E23" s="326">
        <f>(0.23*J5*20)+(3500000/1500)</f>
        <v>18893.333333333332</v>
      </c>
      <c r="F23" s="348" t="s">
        <v>478</v>
      </c>
      <c r="G23" s="328"/>
      <c r="H23" s="696"/>
      <c r="I23" s="698"/>
      <c r="J23" s="363">
        <v>2857.035789473684</v>
      </c>
    </row>
    <row r="24" spans="2:11" ht="15" outlineLevel="1" thickBot="1" x14ac:dyDescent="0.35">
      <c r="B24" s="324" t="s">
        <v>521</v>
      </c>
      <c r="C24" s="325" t="s">
        <v>477</v>
      </c>
      <c r="D24" s="362">
        <f>35*$J$15</f>
        <v>700</v>
      </c>
      <c r="E24" s="362">
        <f>35*$J$15</f>
        <v>700</v>
      </c>
      <c r="F24" s="348" t="s">
        <v>478</v>
      </c>
      <c r="G24" s="328"/>
      <c r="H24" s="696"/>
      <c r="I24" s="699"/>
      <c r="J24" s="364">
        <f>+J21+J22+J23</f>
        <v>21903.941052631577</v>
      </c>
    </row>
    <row r="25" spans="2:11" outlineLevel="1" x14ac:dyDescent="0.3">
      <c r="B25" s="324" t="s">
        <v>522</v>
      </c>
      <c r="C25" s="325" t="s">
        <v>477</v>
      </c>
      <c r="D25" s="326">
        <f>(115*20)+(60000/50)+(25000/50)</f>
        <v>4000</v>
      </c>
      <c r="E25" s="326">
        <f>(400*20)+(60000/100)</f>
        <v>8600</v>
      </c>
      <c r="F25" s="348" t="s">
        <v>478</v>
      </c>
      <c r="G25" s="329"/>
      <c r="H25" s="696"/>
      <c r="I25" s="365" t="s">
        <v>523</v>
      </c>
      <c r="J25" s="366">
        <v>200</v>
      </c>
    </row>
    <row r="26" spans="2:11" outlineLevel="1" x14ac:dyDescent="0.3">
      <c r="B26" s="324" t="s">
        <v>524</v>
      </c>
      <c r="C26" s="325" t="s">
        <v>477</v>
      </c>
      <c r="D26" s="326">
        <v>0</v>
      </c>
      <c r="E26" s="326">
        <v>0</v>
      </c>
      <c r="F26" s="348" t="s">
        <v>525</v>
      </c>
      <c r="G26" s="329"/>
      <c r="K26" s="312" t="s">
        <v>526</v>
      </c>
    </row>
    <row r="27" spans="2:11" outlineLevel="1" x14ac:dyDescent="0.3">
      <c r="B27" s="324" t="s">
        <v>209</v>
      </c>
      <c r="C27" s="325" t="s">
        <v>477</v>
      </c>
      <c r="D27" s="326">
        <v>0</v>
      </c>
      <c r="E27" s="326">
        <f>400*20</f>
        <v>8000</v>
      </c>
      <c r="F27" s="348" t="s">
        <v>527</v>
      </c>
      <c r="G27" s="359"/>
    </row>
    <row r="28" spans="2:11" outlineLevel="1" x14ac:dyDescent="0.3">
      <c r="B28" s="324" t="s">
        <v>528</v>
      </c>
      <c r="C28" s="325" t="s">
        <v>477</v>
      </c>
      <c r="D28" s="326">
        <f>-3500*$J$11*85%</f>
        <v>-28333.333333333336</v>
      </c>
      <c r="E28" s="326">
        <f>-3500*$J$11*85%</f>
        <v>-28333.333333333336</v>
      </c>
      <c r="F28" s="348" t="s">
        <v>478</v>
      </c>
      <c r="G28" s="329"/>
    </row>
    <row r="29" spans="2:11" outlineLevel="1" x14ac:dyDescent="0.3">
      <c r="B29" s="324"/>
      <c r="C29" s="325"/>
      <c r="D29" s="326"/>
      <c r="E29" s="326"/>
      <c r="F29" s="348"/>
      <c r="G29" s="329"/>
    </row>
    <row r="30" spans="2:11" ht="15" thickBot="1" x14ac:dyDescent="0.35">
      <c r="B30" s="351" t="s">
        <v>529</v>
      </c>
      <c r="C30" s="352" t="s">
        <v>477</v>
      </c>
      <c r="D30" s="353">
        <f>SUM(D16:D29)</f>
        <v>2935543.4787490559</v>
      </c>
      <c r="E30" s="353">
        <f>SUM(E16:E29)</f>
        <v>2839080.0885379277</v>
      </c>
      <c r="F30" s="348"/>
      <c r="G30" s="329"/>
    </row>
    <row r="31" spans="2:11" x14ac:dyDescent="0.3">
      <c r="B31" s="324"/>
      <c r="C31" s="325"/>
      <c r="D31" s="326"/>
      <c r="E31" s="326"/>
      <c r="F31" s="348"/>
      <c r="G31" s="329"/>
      <c r="H31" s="367"/>
    </row>
    <row r="32" spans="2:11" outlineLevel="1" x14ac:dyDescent="0.3">
      <c r="B32" s="324" t="s">
        <v>530</v>
      </c>
      <c r="C32" s="325" t="s">
        <v>477</v>
      </c>
      <c r="D32" s="368">
        <v>0</v>
      </c>
      <c r="E32" s="368">
        <v>0</v>
      </c>
      <c r="F32" s="369" t="s">
        <v>531</v>
      </c>
      <c r="G32" s="340"/>
      <c r="H32" s="367"/>
    </row>
    <row r="33" spans="1:8" outlineLevel="1" x14ac:dyDescent="0.3">
      <c r="B33" s="324" t="s">
        <v>532</v>
      </c>
      <c r="C33" s="325" t="s">
        <v>477</v>
      </c>
      <c r="D33" s="326">
        <v>65000</v>
      </c>
      <c r="E33" s="326">
        <v>70000</v>
      </c>
      <c r="F33" s="348" t="s">
        <v>478</v>
      </c>
      <c r="G33" s="329"/>
      <c r="H33" s="367"/>
    </row>
    <row r="34" spans="1:8" outlineLevel="1" x14ac:dyDescent="0.3">
      <c r="B34" s="324" t="s">
        <v>533</v>
      </c>
      <c r="C34" s="325" t="s">
        <v>477</v>
      </c>
      <c r="D34" s="326">
        <f>$J$24</f>
        <v>21903.941052631577</v>
      </c>
      <c r="E34" s="326">
        <f>$J$24</f>
        <v>21903.941052631577</v>
      </c>
      <c r="F34" s="369" t="s">
        <v>478</v>
      </c>
      <c r="G34" s="329"/>
      <c r="H34" s="367"/>
    </row>
    <row r="35" spans="1:8" outlineLevel="1" x14ac:dyDescent="0.3">
      <c r="B35" s="324" t="s">
        <v>534</v>
      </c>
      <c r="C35" s="325" t="s">
        <v>477</v>
      </c>
      <c r="D35" s="326">
        <v>0</v>
      </c>
      <c r="E35" s="326">
        <v>0</v>
      </c>
      <c r="F35" s="369" t="s">
        <v>535</v>
      </c>
      <c r="G35" s="329"/>
      <c r="H35" s="367"/>
    </row>
    <row r="36" spans="1:8" ht="15" thickBot="1" x14ac:dyDescent="0.35">
      <c r="B36" s="351" t="s">
        <v>536</v>
      </c>
      <c r="C36" s="352" t="s">
        <v>477</v>
      </c>
      <c r="D36" s="353">
        <f>SUM(D32:D35)</f>
        <v>86903.941052631577</v>
      </c>
      <c r="E36" s="353">
        <f>SUM(E32:E35)</f>
        <v>91903.941052631577</v>
      </c>
      <c r="F36" s="348"/>
      <c r="G36" s="329"/>
    </row>
    <row r="37" spans="1:8" x14ac:dyDescent="0.3">
      <c r="B37" s="324"/>
      <c r="C37" s="325"/>
      <c r="D37" s="326"/>
      <c r="E37" s="326"/>
      <c r="F37" s="343"/>
      <c r="G37" s="329"/>
    </row>
    <row r="38" spans="1:8" x14ac:dyDescent="0.3">
      <c r="B38" s="370"/>
      <c r="C38" s="371"/>
      <c r="D38" s="372"/>
      <c r="E38" s="372"/>
      <c r="F38" s="348"/>
      <c r="G38" s="329"/>
    </row>
    <row r="39" spans="1:8" outlineLevel="1" x14ac:dyDescent="0.3">
      <c r="A39" s="373"/>
      <c r="B39" s="324" t="s">
        <v>537</v>
      </c>
      <c r="C39" s="325" t="s">
        <v>477</v>
      </c>
      <c r="D39" s="337">
        <f>$J$18/$J$12</f>
        <v>400</v>
      </c>
      <c r="E39" s="337">
        <f>$J$18/$J$12</f>
        <v>400</v>
      </c>
      <c r="F39" s="343" t="s">
        <v>538</v>
      </c>
      <c r="G39" s="374"/>
    </row>
    <row r="40" spans="1:8" outlineLevel="1" x14ac:dyDescent="0.3">
      <c r="A40" s="373"/>
      <c r="B40" s="324" t="s">
        <v>539</v>
      </c>
      <c r="C40" s="325" t="s">
        <v>477</v>
      </c>
      <c r="D40" s="337">
        <v>0</v>
      </c>
      <c r="E40" s="337">
        <v>0</v>
      </c>
      <c r="F40" s="327"/>
      <c r="G40" s="329"/>
    </row>
    <row r="41" spans="1:8" outlineLevel="1" x14ac:dyDescent="0.3">
      <c r="A41" s="373"/>
      <c r="B41" s="324" t="s">
        <v>540</v>
      </c>
      <c r="C41" s="375">
        <f>0.002%</f>
        <v>2.0000000000000002E-5</v>
      </c>
      <c r="D41" s="337">
        <f>$J$13*$J$5*$J$19</f>
        <v>27.000000000000004</v>
      </c>
      <c r="E41" s="337">
        <f>$J$13*$J$5*$J$19</f>
        <v>27.000000000000004</v>
      </c>
      <c r="F41" s="327" t="s">
        <v>538</v>
      </c>
      <c r="G41" s="329"/>
    </row>
    <row r="42" spans="1:8" outlineLevel="1" x14ac:dyDescent="0.3">
      <c r="A42" s="373"/>
      <c r="B42" s="324" t="s">
        <v>541</v>
      </c>
      <c r="C42" s="325" t="s">
        <v>477</v>
      </c>
      <c r="D42" s="337">
        <v>0</v>
      </c>
      <c r="E42" s="337">
        <v>0</v>
      </c>
      <c r="F42" s="327"/>
      <c r="G42" s="359"/>
    </row>
    <row r="43" spans="1:8" outlineLevel="1" x14ac:dyDescent="0.3">
      <c r="A43" s="373"/>
      <c r="B43" s="324" t="s">
        <v>542</v>
      </c>
      <c r="C43" s="325" t="s">
        <v>477</v>
      </c>
      <c r="D43" s="337">
        <f>15000/$J$16</f>
        <v>600</v>
      </c>
      <c r="E43" s="337">
        <f>15000/$J$16</f>
        <v>600</v>
      </c>
      <c r="F43" s="327" t="s">
        <v>538</v>
      </c>
      <c r="G43" s="329"/>
    </row>
    <row r="44" spans="1:8" outlineLevel="1" x14ac:dyDescent="0.3">
      <c r="A44" s="373"/>
      <c r="B44" s="324" t="s">
        <v>543</v>
      </c>
      <c r="C44" s="325" t="s">
        <v>477</v>
      </c>
      <c r="D44" s="337">
        <v>0</v>
      </c>
      <c r="E44" s="337">
        <v>0</v>
      </c>
      <c r="F44" s="327"/>
      <c r="G44" s="340"/>
    </row>
    <row r="45" spans="1:8" outlineLevel="1" x14ac:dyDescent="0.3">
      <c r="A45" s="373"/>
      <c r="B45" s="324" t="s">
        <v>544</v>
      </c>
      <c r="C45" s="325" t="s">
        <v>477</v>
      </c>
      <c r="D45" s="376">
        <f>27409*11*1/$J$12</f>
        <v>2411.9920000000002</v>
      </c>
      <c r="E45" s="376">
        <f>27409*11*1/$J$12</f>
        <v>2411.9920000000002</v>
      </c>
      <c r="F45" s="369" t="s">
        <v>538</v>
      </c>
      <c r="G45" s="377"/>
    </row>
    <row r="46" spans="1:8" outlineLevel="1" x14ac:dyDescent="0.3">
      <c r="A46" s="373"/>
      <c r="B46" s="324" t="s">
        <v>545</v>
      </c>
      <c r="C46" s="325" t="s">
        <v>477</v>
      </c>
      <c r="D46" s="337">
        <f>(45000+150000)/($J$14)</f>
        <v>7800</v>
      </c>
      <c r="E46" s="337">
        <f>(45000+150000)/($J$14)</f>
        <v>7800</v>
      </c>
      <c r="F46" s="327" t="s">
        <v>538</v>
      </c>
      <c r="G46" s="377"/>
    </row>
    <row r="47" spans="1:8" outlineLevel="1" x14ac:dyDescent="0.3">
      <c r="A47" s="373"/>
      <c r="B47" s="324" t="s">
        <v>546</v>
      </c>
      <c r="C47" s="325" t="s">
        <v>477</v>
      </c>
      <c r="D47" s="378">
        <f>15219/($J$14)</f>
        <v>608.76</v>
      </c>
      <c r="E47" s="337">
        <f>15219/($J$14)</f>
        <v>608.76</v>
      </c>
      <c r="F47" s="327" t="s">
        <v>538</v>
      </c>
      <c r="G47" s="377"/>
    </row>
    <row r="48" spans="1:8" outlineLevel="1" x14ac:dyDescent="0.3">
      <c r="A48" s="373"/>
      <c r="B48" s="324" t="s">
        <v>547</v>
      </c>
      <c r="C48" s="325" t="s">
        <v>477</v>
      </c>
      <c r="D48" s="337">
        <v>0</v>
      </c>
      <c r="E48" s="337">
        <v>0</v>
      </c>
      <c r="F48" s="327"/>
      <c r="G48" s="377"/>
    </row>
    <row r="49" spans="1:7" outlineLevel="1" x14ac:dyDescent="0.3">
      <c r="A49" s="373"/>
      <c r="B49" s="324" t="s">
        <v>548</v>
      </c>
      <c r="C49" s="325" t="s">
        <v>477</v>
      </c>
      <c r="D49" s="337">
        <v>0</v>
      </c>
      <c r="E49" s="337">
        <v>0</v>
      </c>
      <c r="F49" s="327"/>
      <c r="G49" s="379"/>
    </row>
    <row r="50" spans="1:7" outlineLevel="1" x14ac:dyDescent="0.3">
      <c r="A50" s="373"/>
      <c r="B50" s="324" t="s">
        <v>549</v>
      </c>
      <c r="C50" s="325" t="s">
        <v>477</v>
      </c>
      <c r="D50" s="337">
        <f>(40000+170462.32)/$J$14</f>
        <v>8418.4928</v>
      </c>
      <c r="E50" s="337">
        <f>(40000+170462.32)/$J$14</f>
        <v>8418.4928</v>
      </c>
      <c r="F50" s="327" t="s">
        <v>538</v>
      </c>
      <c r="G50" s="379"/>
    </row>
    <row r="51" spans="1:7" outlineLevel="1" x14ac:dyDescent="0.3">
      <c r="A51" s="373"/>
      <c r="B51" s="324" t="s">
        <v>550</v>
      </c>
      <c r="C51" s="325" t="s">
        <v>477</v>
      </c>
      <c r="D51" s="337">
        <f>30000/$J$12</f>
        <v>240</v>
      </c>
      <c r="E51" s="337">
        <f>30000/$J$12</f>
        <v>240</v>
      </c>
      <c r="F51" s="327" t="s">
        <v>538</v>
      </c>
      <c r="G51" s="380"/>
    </row>
    <row r="52" spans="1:7" outlineLevel="1" x14ac:dyDescent="0.3">
      <c r="A52" s="373"/>
      <c r="B52" s="324" t="s">
        <v>551</v>
      </c>
      <c r="C52" s="325" t="s">
        <v>477</v>
      </c>
      <c r="D52" s="378">
        <v>16000</v>
      </c>
      <c r="E52" s="337">
        <v>16000</v>
      </c>
      <c r="F52" s="327" t="s">
        <v>538</v>
      </c>
      <c r="G52" s="379"/>
    </row>
    <row r="53" spans="1:7" outlineLevel="1" x14ac:dyDescent="0.3">
      <c r="A53" s="373"/>
      <c r="B53" s="324" t="s">
        <v>552</v>
      </c>
      <c r="C53" s="325" t="s">
        <v>477</v>
      </c>
      <c r="D53" s="378">
        <f>(28280*1.17)*1.15</f>
        <v>38050.74</v>
      </c>
      <c r="E53" s="378">
        <f>(28280*1.17)*1.15</f>
        <v>38050.74</v>
      </c>
      <c r="F53" s="327" t="s">
        <v>538</v>
      </c>
      <c r="G53" s="379"/>
    </row>
    <row r="54" spans="1:7" outlineLevel="1" x14ac:dyDescent="0.3">
      <c r="A54" s="373"/>
      <c r="B54" s="324" t="s">
        <v>553</v>
      </c>
      <c r="C54" s="325" t="s">
        <v>477</v>
      </c>
      <c r="D54" s="381">
        <f>((270000*1.17)*1.15)/$J$12</f>
        <v>2906.28</v>
      </c>
      <c r="E54" s="381">
        <f>((270000*1.17)*1.15)/$J$12</f>
        <v>2906.28</v>
      </c>
      <c r="F54" s="327" t="s">
        <v>538</v>
      </c>
      <c r="G54" s="379"/>
    </row>
    <row r="55" spans="1:7" outlineLevel="1" x14ac:dyDescent="0.3">
      <c r="A55" s="373"/>
      <c r="B55" s="324" t="s">
        <v>554</v>
      </c>
      <c r="C55" s="325" t="s">
        <v>477</v>
      </c>
      <c r="D55" s="378">
        <f>20000/$J$12</f>
        <v>160</v>
      </c>
      <c r="E55" s="378">
        <f>20000/$J$12</f>
        <v>160</v>
      </c>
      <c r="F55" s="327" t="s">
        <v>538</v>
      </c>
      <c r="G55" s="377"/>
    </row>
    <row r="56" spans="1:7" outlineLevel="1" x14ac:dyDescent="0.3">
      <c r="A56" s="373"/>
      <c r="B56" s="324" t="s">
        <v>555</v>
      </c>
      <c r="C56" s="325" t="s">
        <v>477</v>
      </c>
      <c r="D56" s="337">
        <v>0</v>
      </c>
      <c r="E56" s="337">
        <v>0</v>
      </c>
      <c r="F56" s="327"/>
      <c r="G56" s="379"/>
    </row>
    <row r="57" spans="1:7" outlineLevel="1" x14ac:dyDescent="0.3">
      <c r="A57" s="373"/>
      <c r="B57" s="324" t="s">
        <v>556</v>
      </c>
      <c r="C57" s="325" t="s">
        <v>477</v>
      </c>
      <c r="D57" s="337">
        <v>0</v>
      </c>
      <c r="E57" s="337">
        <v>0</v>
      </c>
      <c r="F57" s="327"/>
      <c r="G57" s="379"/>
    </row>
    <row r="58" spans="1:7" outlineLevel="1" x14ac:dyDescent="0.3">
      <c r="A58" s="373"/>
      <c r="B58" s="324" t="s">
        <v>557</v>
      </c>
      <c r="C58" s="325" t="s">
        <v>477</v>
      </c>
      <c r="D58" s="337">
        <v>0</v>
      </c>
      <c r="E58" s="337">
        <v>0</v>
      </c>
      <c r="F58" s="327"/>
      <c r="G58" s="377"/>
    </row>
    <row r="59" spans="1:7" outlineLevel="1" x14ac:dyDescent="0.3">
      <c r="A59" s="373"/>
      <c r="B59" s="324" t="s">
        <v>210</v>
      </c>
      <c r="C59" s="325" t="s">
        <v>477</v>
      </c>
      <c r="D59" s="337">
        <v>0</v>
      </c>
      <c r="E59" s="337">
        <v>0</v>
      </c>
      <c r="F59" s="327"/>
      <c r="G59" s="377"/>
    </row>
    <row r="60" spans="1:7" outlineLevel="1" x14ac:dyDescent="0.3">
      <c r="A60" s="373"/>
      <c r="B60" s="324" t="s">
        <v>558</v>
      </c>
      <c r="C60" s="325" t="s">
        <v>477</v>
      </c>
      <c r="D60" s="337">
        <v>0</v>
      </c>
      <c r="E60" s="337">
        <v>0</v>
      </c>
      <c r="F60" s="327"/>
      <c r="G60" s="379"/>
    </row>
    <row r="61" spans="1:7" outlineLevel="1" x14ac:dyDescent="0.3">
      <c r="A61" s="373"/>
      <c r="B61" s="324" t="s">
        <v>559</v>
      </c>
      <c r="C61" s="325" t="s">
        <v>477</v>
      </c>
      <c r="D61" s="337">
        <v>0</v>
      </c>
      <c r="E61" s="337">
        <v>0</v>
      </c>
      <c r="F61" s="327"/>
      <c r="G61" s="379"/>
    </row>
    <row r="62" spans="1:7" outlineLevel="1" x14ac:dyDescent="0.3">
      <c r="A62" s="373"/>
      <c r="B62" s="324" t="s">
        <v>560</v>
      </c>
      <c r="C62" s="325" t="s">
        <v>477</v>
      </c>
      <c r="D62" s="337">
        <v>0</v>
      </c>
      <c r="E62" s="337">
        <v>0</v>
      </c>
      <c r="F62" s="327"/>
      <c r="G62" s="379"/>
    </row>
    <row r="63" spans="1:7" outlineLevel="1" x14ac:dyDescent="0.3">
      <c r="A63" s="373"/>
      <c r="B63" s="324" t="s">
        <v>561</v>
      </c>
      <c r="C63" s="325" t="s">
        <v>477</v>
      </c>
      <c r="D63" s="337">
        <v>0</v>
      </c>
      <c r="E63" s="337">
        <v>0</v>
      </c>
      <c r="F63" s="327"/>
      <c r="G63" s="377"/>
    </row>
    <row r="64" spans="1:7" outlineLevel="1" x14ac:dyDescent="0.3">
      <c r="A64" s="373"/>
      <c r="B64" s="324" t="s">
        <v>562</v>
      </c>
      <c r="C64" s="325" t="s">
        <v>477</v>
      </c>
      <c r="D64" s="337">
        <f>8100</f>
        <v>8100</v>
      </c>
      <c r="E64" s="337">
        <f>8100</f>
        <v>8100</v>
      </c>
      <c r="F64" s="327" t="s">
        <v>538</v>
      </c>
      <c r="G64" s="377"/>
    </row>
    <row r="65" spans="1:7" outlineLevel="1" x14ac:dyDescent="0.3">
      <c r="A65" s="373"/>
      <c r="B65" s="324" t="s">
        <v>563</v>
      </c>
      <c r="C65" s="325" t="s">
        <v>477</v>
      </c>
      <c r="D65" s="337">
        <f>8000/$J$14</f>
        <v>320</v>
      </c>
      <c r="E65" s="337">
        <f>8000/$J$14</f>
        <v>320</v>
      </c>
      <c r="F65" s="327" t="s">
        <v>538</v>
      </c>
      <c r="G65" s="377"/>
    </row>
    <row r="66" spans="1:7" outlineLevel="1" x14ac:dyDescent="0.3">
      <c r="A66" s="373"/>
      <c r="B66" s="324" t="s">
        <v>564</v>
      </c>
      <c r="C66" s="325" t="s">
        <v>477</v>
      </c>
      <c r="D66" s="382">
        <f>200000/$J$12*2</f>
        <v>3200</v>
      </c>
      <c r="E66" s="382">
        <f>200000/$J$12*2</f>
        <v>3200</v>
      </c>
      <c r="F66" s="327" t="s">
        <v>538</v>
      </c>
      <c r="G66" s="377"/>
    </row>
    <row r="67" spans="1:7" outlineLevel="1" x14ac:dyDescent="0.3">
      <c r="A67" s="373"/>
      <c r="B67" s="324" t="s">
        <v>565</v>
      </c>
      <c r="C67" s="325" t="s">
        <v>477</v>
      </c>
      <c r="D67" s="381">
        <f>+(((0.6*(5+3))+45))*$J$5/$J$14</f>
        <v>7171.2</v>
      </c>
      <c r="E67" s="381">
        <f>+(((0.6*(5+3))+45))*$J$5/$J$14</f>
        <v>7171.2</v>
      </c>
      <c r="F67" s="327" t="s">
        <v>538</v>
      </c>
      <c r="G67" s="377"/>
    </row>
    <row r="68" spans="1:7" outlineLevel="1" x14ac:dyDescent="0.3">
      <c r="A68" s="373"/>
      <c r="B68" s="324" t="s">
        <v>566</v>
      </c>
      <c r="C68" s="325" t="s">
        <v>477</v>
      </c>
      <c r="D68" s="378">
        <f>(54210+69261+7268+60355+6000+45857)/$J$14</f>
        <v>9718.0400000000009</v>
      </c>
      <c r="E68" s="378">
        <f>(54210+69261+7268+60355+6000+45857)/$J$14</f>
        <v>9718.0400000000009</v>
      </c>
      <c r="F68" s="327" t="s">
        <v>538</v>
      </c>
      <c r="G68" s="377"/>
    </row>
    <row r="69" spans="1:7" outlineLevel="1" x14ac:dyDescent="0.3">
      <c r="A69" s="373"/>
      <c r="B69" s="324" t="s">
        <v>567</v>
      </c>
      <c r="C69" s="325" t="s">
        <v>477</v>
      </c>
      <c r="D69" s="337">
        <v>200</v>
      </c>
      <c r="E69" s="337">
        <v>200</v>
      </c>
      <c r="F69" s="327" t="s">
        <v>538</v>
      </c>
      <c r="G69" s="377"/>
    </row>
    <row r="70" spans="1:7" outlineLevel="1" x14ac:dyDescent="0.3">
      <c r="B70" s="324" t="s">
        <v>568</v>
      </c>
      <c r="C70" s="325" t="s">
        <v>477</v>
      </c>
      <c r="D70" s="337">
        <f>20000/$J$12</f>
        <v>160</v>
      </c>
      <c r="E70" s="337">
        <f>20000/$J$12</f>
        <v>160</v>
      </c>
      <c r="F70" s="383" t="s">
        <v>538</v>
      </c>
      <c r="G70" s="377"/>
    </row>
    <row r="71" spans="1:7" outlineLevel="1" x14ac:dyDescent="0.3">
      <c r="B71" s="324" t="s">
        <v>569</v>
      </c>
      <c r="C71" s="325" t="s">
        <v>477</v>
      </c>
      <c r="D71" s="376">
        <f>230*$J$5/$J$12</f>
        <v>6624</v>
      </c>
      <c r="E71" s="376">
        <f>230*$J$5/$J$12</f>
        <v>6624</v>
      </c>
      <c r="F71" s="384" t="s">
        <v>538</v>
      </c>
      <c r="G71" s="377"/>
    </row>
    <row r="72" spans="1:7" outlineLevel="1" x14ac:dyDescent="0.3">
      <c r="B72" s="370" t="s">
        <v>570</v>
      </c>
      <c r="C72" s="371"/>
      <c r="D72" s="385">
        <f>SUM(D39:D71)</f>
        <v>113116.5048</v>
      </c>
      <c r="E72" s="385">
        <f>SUM(E39:E71)</f>
        <v>113116.5048</v>
      </c>
      <c r="F72" s="327"/>
      <c r="G72" s="379"/>
    </row>
    <row r="73" spans="1:7" outlineLevel="1" x14ac:dyDescent="0.3">
      <c r="B73" s="324"/>
      <c r="C73" s="325"/>
      <c r="D73" s="385"/>
      <c r="E73" s="385"/>
      <c r="F73" s="327"/>
      <c r="G73" s="377"/>
    </row>
    <row r="74" spans="1:7" outlineLevel="1" x14ac:dyDescent="0.3">
      <c r="B74" s="324" t="s">
        <v>571</v>
      </c>
      <c r="C74" s="325" t="s">
        <v>477</v>
      </c>
      <c r="D74" s="386">
        <f>9200/3043.9*4001.45</f>
        <v>12094.135812608823</v>
      </c>
      <c r="E74" s="386">
        <f>9200/3043.9*4001.45</f>
        <v>12094.135812608823</v>
      </c>
      <c r="F74" s="384" t="s">
        <v>538</v>
      </c>
      <c r="G74" s="377"/>
    </row>
    <row r="75" spans="1:7" outlineLevel="1" x14ac:dyDescent="0.3">
      <c r="B75" s="324" t="s">
        <v>572</v>
      </c>
      <c r="C75" s="325" t="s">
        <v>477</v>
      </c>
      <c r="D75" s="337">
        <v>18265</v>
      </c>
      <c r="E75" s="337">
        <v>18265</v>
      </c>
      <c r="F75" s="384" t="s">
        <v>538</v>
      </c>
      <c r="G75" s="379"/>
    </row>
    <row r="76" spans="1:7" outlineLevel="1" x14ac:dyDescent="0.3">
      <c r="B76" s="324" t="s">
        <v>573</v>
      </c>
      <c r="C76" s="325" t="s">
        <v>477</v>
      </c>
      <c r="D76" s="337">
        <v>300</v>
      </c>
      <c r="E76" s="337">
        <f t="shared" ref="E76:E78" si="0">D76</f>
        <v>300</v>
      </c>
      <c r="F76" s="384" t="s">
        <v>538</v>
      </c>
      <c r="G76" s="377"/>
    </row>
    <row r="77" spans="1:7" outlineLevel="1" x14ac:dyDescent="0.3">
      <c r="B77" s="324" t="s">
        <v>501</v>
      </c>
      <c r="C77" s="325" t="s">
        <v>477</v>
      </c>
      <c r="D77" s="337">
        <v>0</v>
      </c>
      <c r="E77" s="337">
        <v>0</v>
      </c>
      <c r="F77" s="384" t="s">
        <v>538</v>
      </c>
      <c r="G77" s="379"/>
    </row>
    <row r="78" spans="1:7" outlineLevel="1" x14ac:dyDescent="0.3">
      <c r="B78" s="324" t="s">
        <v>574</v>
      </c>
      <c r="C78" s="325" t="s">
        <v>477</v>
      </c>
      <c r="D78" s="337">
        <v>34000</v>
      </c>
      <c r="E78" s="337">
        <f t="shared" si="0"/>
        <v>34000</v>
      </c>
      <c r="F78" s="384" t="s">
        <v>538</v>
      </c>
      <c r="G78" s="377"/>
    </row>
    <row r="79" spans="1:7" outlineLevel="1" x14ac:dyDescent="0.3">
      <c r="B79" s="324" t="s">
        <v>575</v>
      </c>
      <c r="C79" s="325" t="s">
        <v>477</v>
      </c>
      <c r="D79" s="337">
        <v>132.22999999999999</v>
      </c>
      <c r="E79" s="337">
        <f>D79</f>
        <v>132.22999999999999</v>
      </c>
      <c r="F79" s="327" t="s">
        <v>538</v>
      </c>
      <c r="G79" s="387"/>
    </row>
    <row r="80" spans="1:7" x14ac:dyDescent="0.3">
      <c r="B80" s="370" t="s">
        <v>576</v>
      </c>
      <c r="C80" s="325" t="s">
        <v>477</v>
      </c>
      <c r="D80" s="385">
        <f>SUM(D74:D79)</f>
        <v>64791.365812608827</v>
      </c>
      <c r="E80" s="385">
        <f>SUM(E74:E79)</f>
        <v>64791.365812608827</v>
      </c>
      <c r="F80" s="327"/>
      <c r="G80" s="388"/>
    </row>
    <row r="81" spans="2:7" x14ac:dyDescent="0.3">
      <c r="B81" s="324"/>
      <c r="C81" s="325"/>
      <c r="D81" s="326"/>
      <c r="E81" s="326"/>
      <c r="F81" s="327"/>
      <c r="G81" s="389"/>
    </row>
    <row r="82" spans="2:7" ht="15" thickBot="1" x14ac:dyDescent="0.35">
      <c r="B82" s="351" t="s">
        <v>577</v>
      </c>
      <c r="C82" s="352" t="s">
        <v>477</v>
      </c>
      <c r="D82" s="353">
        <f>SUM(D80,D72,D36,D30)</f>
        <v>3200355.2904142961</v>
      </c>
      <c r="E82" s="353">
        <f>SUM(E80,E72,E36,E30)</f>
        <v>3108891.9002031679</v>
      </c>
      <c r="F82" s="327"/>
      <c r="G82" s="380"/>
    </row>
    <row r="83" spans="2:7" x14ac:dyDescent="0.3">
      <c r="D83" s="390"/>
      <c r="E83" s="390"/>
      <c r="F83" s="391"/>
      <c r="G83" s="377"/>
    </row>
    <row r="84" spans="2:7" ht="15" thickBot="1" x14ac:dyDescent="0.35">
      <c r="B84" s="351" t="s">
        <v>577</v>
      </c>
      <c r="C84" s="392" t="s">
        <v>578</v>
      </c>
      <c r="D84" s="353">
        <f>D82/$J$5</f>
        <v>888.98758067063784</v>
      </c>
      <c r="E84" s="353">
        <f>E82/$J$5</f>
        <v>863.58108338976888</v>
      </c>
      <c r="F84" s="348"/>
      <c r="G84" s="379"/>
    </row>
    <row r="85" spans="2:7" x14ac:dyDescent="0.3">
      <c r="F85" s="343"/>
      <c r="G85" s="379"/>
    </row>
    <row r="86" spans="2:7" x14ac:dyDescent="0.3">
      <c r="D86" s="390"/>
      <c r="E86" s="390"/>
      <c r="F86" s="393"/>
      <c r="G86" s="379"/>
    </row>
    <row r="87" spans="2:7" x14ac:dyDescent="0.3">
      <c r="D87" s="317"/>
      <c r="E87" s="317"/>
      <c r="F87" s="343"/>
      <c r="G87" s="379"/>
    </row>
    <row r="88" spans="2:7" x14ac:dyDescent="0.3">
      <c r="G88" s="389"/>
    </row>
    <row r="89" spans="2:7" x14ac:dyDescent="0.3">
      <c r="F89" s="393"/>
      <c r="G89" s="329"/>
    </row>
    <row r="90" spans="2:7" x14ac:dyDescent="0.3">
      <c r="F90" s="318"/>
      <c r="G90" s="340"/>
    </row>
    <row r="91" spans="2:7" x14ac:dyDescent="0.3">
      <c r="G91" s="394"/>
    </row>
    <row r="92" spans="2:7" x14ac:dyDescent="0.3">
      <c r="G92" s="359"/>
    </row>
    <row r="94" spans="2:7" x14ac:dyDescent="0.3">
      <c r="G94" s="390"/>
    </row>
    <row r="95" spans="2:7" x14ac:dyDescent="0.3">
      <c r="G95" s="312"/>
    </row>
  </sheetData>
  <mergeCells count="4">
    <mergeCell ref="D2:E2"/>
    <mergeCell ref="H8:H9"/>
    <mergeCell ref="H18:H25"/>
    <mergeCell ref="I21:I24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09B6-D7B5-46FD-8073-6966FE8A9BE9}">
  <sheetPr>
    <tabColor rgb="FF00B050"/>
  </sheetPr>
  <dimension ref="B1:O38"/>
  <sheetViews>
    <sheetView showGridLines="0" zoomScale="82" zoomScaleNormal="75" workbookViewId="0">
      <selection activeCell="B1" sqref="B1"/>
    </sheetView>
  </sheetViews>
  <sheetFormatPr defaultColWidth="9.109375" defaultRowHeight="14.4" outlineLevelRow="1" x14ac:dyDescent="0.3"/>
  <cols>
    <col min="1" max="1" width="5.109375" style="401" customWidth="1"/>
    <col min="2" max="2" width="35.33203125" style="395" customWidth="1"/>
    <col min="3" max="3" width="10.44140625" style="451" bestFit="1" customWidth="1"/>
    <col min="4" max="4" width="14" style="445" hidden="1" customWidth="1"/>
    <col min="5" max="6" width="15.44140625" style="445" customWidth="1"/>
    <col min="7" max="7" width="69.33203125" style="445" customWidth="1"/>
    <col min="8" max="8" width="32.33203125" style="401" customWidth="1"/>
    <col min="9" max="9" width="12.5546875" style="401" customWidth="1"/>
    <col min="10" max="10" width="12.88671875" style="401" bestFit="1" customWidth="1"/>
    <col min="11" max="11" width="25.5546875" style="401" hidden="1" customWidth="1"/>
    <col min="12" max="12" width="9.44140625" style="401" hidden="1" customWidth="1"/>
    <col min="13" max="13" width="10.5546875" style="402" hidden="1" customWidth="1"/>
    <col min="14" max="14" width="12.88671875" style="401" hidden="1" customWidth="1"/>
    <col min="15" max="15" width="11.44140625" style="401" hidden="1" customWidth="1"/>
    <col min="16" max="16384" width="9.109375" style="401"/>
  </cols>
  <sheetData>
    <row r="1" spans="2:15" ht="15" thickBot="1" x14ac:dyDescent="0.35">
      <c r="C1" s="396"/>
      <c r="D1" s="397"/>
      <c r="E1" s="397"/>
      <c r="F1" s="398"/>
      <c r="G1" s="399"/>
      <c r="H1" s="400"/>
    </row>
    <row r="2" spans="2:15" ht="14.4" customHeight="1" thickBot="1" x14ac:dyDescent="0.35">
      <c r="B2" s="736" t="s">
        <v>579</v>
      </c>
      <c r="C2" s="738" t="s">
        <v>145</v>
      </c>
      <c r="D2" s="740" t="s">
        <v>580</v>
      </c>
      <c r="E2" s="741"/>
      <c r="F2" s="742"/>
      <c r="G2" s="399"/>
    </row>
    <row r="3" spans="2:15" ht="29.4" thickBot="1" x14ac:dyDescent="0.35">
      <c r="B3" s="737"/>
      <c r="C3" s="739"/>
      <c r="D3" s="403" t="s">
        <v>581</v>
      </c>
      <c r="E3" s="403" t="s">
        <v>582</v>
      </c>
      <c r="F3" s="404" t="s">
        <v>583</v>
      </c>
      <c r="G3" s="399"/>
      <c r="H3" s="405" t="s">
        <v>584</v>
      </c>
      <c r="I3" s="406">
        <f>'[2]Input Sheet_'!E3</f>
        <v>3600</v>
      </c>
      <c r="J3" s="407"/>
    </row>
    <row r="4" spans="2:15" hidden="1" outlineLevel="1" x14ac:dyDescent="0.3">
      <c r="B4" s="408" t="s">
        <v>585</v>
      </c>
      <c r="C4" s="409" t="s">
        <v>477</v>
      </c>
      <c r="D4" s="410">
        <f>980000</f>
        <v>980000</v>
      </c>
      <c r="E4" s="410">
        <f>'[2]Output Sheet_'!D23</f>
        <v>1300000</v>
      </c>
      <c r="F4" s="410">
        <f>E4</f>
        <v>1300000</v>
      </c>
      <c r="G4" s="411"/>
      <c r="H4" s="412" t="s">
        <v>586</v>
      </c>
      <c r="I4" s="413">
        <f>1000/96</f>
        <v>10.416666666666666</v>
      </c>
    </row>
    <row r="5" spans="2:15" ht="14.1" hidden="1" customHeight="1" outlineLevel="1" x14ac:dyDescent="0.3">
      <c r="B5" s="414" t="s">
        <v>587</v>
      </c>
      <c r="C5" s="415" t="s">
        <v>477</v>
      </c>
      <c r="D5" s="416">
        <v>0</v>
      </c>
      <c r="E5" s="416">
        <v>15000</v>
      </c>
      <c r="F5" s="417">
        <f>E5</f>
        <v>15000</v>
      </c>
      <c r="G5" s="399"/>
      <c r="H5" s="418" t="s">
        <v>588</v>
      </c>
      <c r="I5" s="419">
        <f>'[5]Inv Holding Period'!B12</f>
        <v>2.5000000000000001E-2</v>
      </c>
      <c r="M5" s="401" t="s">
        <v>589</v>
      </c>
      <c r="N5" s="401" t="s">
        <v>590</v>
      </c>
      <c r="O5" s="401" t="s">
        <v>591</v>
      </c>
    </row>
    <row r="6" spans="2:15" ht="14.1" hidden="1" customHeight="1" outlineLevel="1" x14ac:dyDescent="0.3">
      <c r="B6" s="414" t="s">
        <v>592</v>
      </c>
      <c r="C6" s="415" t="s">
        <v>477</v>
      </c>
      <c r="D6" s="416"/>
      <c r="E6" s="416">
        <v>0</v>
      </c>
      <c r="F6" s="417">
        <f>E6</f>
        <v>0</v>
      </c>
      <c r="G6" s="399"/>
      <c r="H6" s="420" t="s">
        <v>487</v>
      </c>
      <c r="I6" s="421">
        <v>0.04</v>
      </c>
      <c r="K6" s="401" t="s">
        <v>593</v>
      </c>
      <c r="L6" s="401" t="s">
        <v>594</v>
      </c>
      <c r="M6" s="401">
        <f>1000</f>
        <v>1000</v>
      </c>
      <c r="N6" s="401">
        <f>1000+300</f>
        <v>1300</v>
      </c>
      <c r="O6" s="401">
        <f>M6</f>
        <v>1000</v>
      </c>
    </row>
    <row r="7" spans="2:15" hidden="1" outlineLevel="1" x14ac:dyDescent="0.3">
      <c r="B7" s="414" t="s">
        <v>116</v>
      </c>
      <c r="C7" s="415" t="s">
        <v>477</v>
      </c>
      <c r="D7" s="416">
        <f>SUM(D4:D5)*$I$5</f>
        <v>24500</v>
      </c>
      <c r="E7" s="416">
        <f>SUM(E4:E6)*$I$5</f>
        <v>32875</v>
      </c>
      <c r="F7" s="417">
        <f>SUM(F4:F6)*$I$5</f>
        <v>32875</v>
      </c>
      <c r="G7" s="399" t="s">
        <v>595</v>
      </c>
      <c r="H7" s="422" t="s">
        <v>596</v>
      </c>
      <c r="I7" s="423">
        <v>800000</v>
      </c>
      <c r="K7" s="401" t="s">
        <v>597</v>
      </c>
      <c r="M7" s="401">
        <f>1200</f>
        <v>1200</v>
      </c>
      <c r="N7" s="401">
        <f>1300+200</f>
        <v>1500</v>
      </c>
      <c r="O7" s="401">
        <f>M7</f>
        <v>1200</v>
      </c>
    </row>
    <row r="8" spans="2:15" ht="15" hidden="1" outlineLevel="1" thickBot="1" x14ac:dyDescent="0.35">
      <c r="B8" s="414" t="s">
        <v>489</v>
      </c>
      <c r="C8" s="415" t="s">
        <v>477</v>
      </c>
      <c r="D8" s="416">
        <f>'[5]Siedahmed- 06012026'!D7</f>
        <v>1400</v>
      </c>
      <c r="E8" s="416">
        <f>400*$I$4</f>
        <v>4166.6666666666661</v>
      </c>
      <c r="F8" s="417">
        <f>E8</f>
        <v>4166.6666666666661</v>
      </c>
      <c r="G8" s="399"/>
      <c r="H8" s="424" t="s">
        <v>598</v>
      </c>
      <c r="I8" s="425">
        <v>10000</v>
      </c>
      <c r="K8" s="401" t="s">
        <v>599</v>
      </c>
      <c r="M8" s="402">
        <f>5000/7</f>
        <v>714.28571428571433</v>
      </c>
      <c r="N8" s="402">
        <f>5000/7</f>
        <v>714.28571428571433</v>
      </c>
      <c r="O8" s="402">
        <f>5000/7</f>
        <v>714.28571428571433</v>
      </c>
    </row>
    <row r="9" spans="2:15" ht="15" hidden="1" outlineLevel="1" thickBot="1" x14ac:dyDescent="0.35">
      <c r="B9" s="414" t="s">
        <v>487</v>
      </c>
      <c r="C9" s="415" t="s">
        <v>477</v>
      </c>
      <c r="D9" s="426">
        <f>(SUM(D4:D8,D11:D20,D26)/(1-$I$6))-SUM(D4:D8,D11:D20,D26)</f>
        <v>46646.879960317397</v>
      </c>
      <c r="E9" s="410">
        <f>(SUM(E4:E8,E11:E20,E26)/(1-$I$6))-SUM(E4:E8,E11:E20,E26)</f>
        <v>60405.54228670639</v>
      </c>
      <c r="F9" s="410">
        <f>(SUM(F4:F8,F11:F20,F26)/(1-$I$6))-SUM(F4:F8,F11:F20,F26)</f>
        <v>62711.507936507929</v>
      </c>
      <c r="G9" s="399"/>
      <c r="K9" s="401" t="s">
        <v>600</v>
      </c>
      <c r="M9" s="401">
        <v>700</v>
      </c>
      <c r="N9" s="401">
        <f>800+300</f>
        <v>1100</v>
      </c>
      <c r="O9" s="401">
        <f>M9</f>
        <v>700</v>
      </c>
    </row>
    <row r="10" spans="2:15" ht="15" collapsed="1" thickBot="1" x14ac:dyDescent="0.35">
      <c r="B10" s="427" t="s">
        <v>601</v>
      </c>
      <c r="C10" s="428" t="s">
        <v>477</v>
      </c>
      <c r="D10" s="429">
        <f>SUM(D4:D9)</f>
        <v>1052546.8799603174</v>
      </c>
      <c r="E10" s="429">
        <f>SUM(E4:E9)</f>
        <v>1412447.2089533731</v>
      </c>
      <c r="F10" s="430">
        <f>SUM(F4:F9)</f>
        <v>1414753.1746031747</v>
      </c>
      <c r="G10" s="399"/>
      <c r="K10" s="401" t="s">
        <v>602</v>
      </c>
      <c r="M10" s="401">
        <v>468</v>
      </c>
      <c r="N10" s="401">
        <f>M10</f>
        <v>468</v>
      </c>
      <c r="O10" s="401">
        <f>M10</f>
        <v>468</v>
      </c>
    </row>
    <row r="11" spans="2:15" hidden="1" outlineLevel="1" x14ac:dyDescent="0.3">
      <c r="B11" s="408" t="s">
        <v>593</v>
      </c>
      <c r="C11" s="409" t="s">
        <v>477</v>
      </c>
      <c r="D11" s="410">
        <f>'[5]Siedahmed- 06012026'!D10</f>
        <v>10416.666666666666</v>
      </c>
      <c r="E11" s="410">
        <f>(1000+300)*$I$4</f>
        <v>13541.666666666666</v>
      </c>
      <c r="F11" s="431">
        <f>(1000+300)*$I$4</f>
        <v>13541.666666666666</v>
      </c>
      <c r="G11" s="399"/>
      <c r="K11" s="401" t="s">
        <v>603</v>
      </c>
      <c r="M11" s="401">
        <v>4680</v>
      </c>
      <c r="N11" s="401">
        <f>M11</f>
        <v>4680</v>
      </c>
      <c r="O11" s="401">
        <f>N11</f>
        <v>4680</v>
      </c>
    </row>
    <row r="12" spans="2:15" hidden="1" outlineLevel="1" x14ac:dyDescent="0.3">
      <c r="B12" s="432" t="s">
        <v>597</v>
      </c>
      <c r="C12" s="433" t="s">
        <v>477</v>
      </c>
      <c r="D12" s="434">
        <f>'[5]Siedahmed- 06012026'!D11</f>
        <v>12500</v>
      </c>
      <c r="E12" s="410">
        <f>(1300+200)*$I$4</f>
        <v>15625</v>
      </c>
      <c r="F12" s="431">
        <f>(1300+200)*$I$4</f>
        <v>15625</v>
      </c>
      <c r="G12" s="399"/>
      <c r="K12" s="401" t="s">
        <v>604</v>
      </c>
      <c r="M12" s="401">
        <v>4680</v>
      </c>
      <c r="N12" s="401">
        <v>4680</v>
      </c>
      <c r="O12" s="401">
        <v>4680</v>
      </c>
    </row>
    <row r="13" spans="2:15" hidden="1" outlineLevel="1" x14ac:dyDescent="0.3">
      <c r="B13" s="414" t="s">
        <v>599</v>
      </c>
      <c r="C13" s="415" t="s">
        <v>477</v>
      </c>
      <c r="D13" s="434">
        <f>'[5]Siedahmed- 06012026'!D12</f>
        <v>714.28571428571433</v>
      </c>
      <c r="E13" s="410">
        <f>5000/7</f>
        <v>714.28571428571433</v>
      </c>
      <c r="F13" s="431">
        <f>5000/7</f>
        <v>714.28571428571433</v>
      </c>
      <c r="G13" s="399"/>
      <c r="K13" s="401" t="s">
        <v>605</v>
      </c>
      <c r="M13" s="402">
        <f>(0.23*I3*20.4)+(4000000/1500)</f>
        <v>19557.866666666665</v>
      </c>
      <c r="N13" s="400">
        <f>M13</f>
        <v>19557.866666666665</v>
      </c>
      <c r="O13" s="400">
        <f>N13</f>
        <v>19557.866666666665</v>
      </c>
    </row>
    <row r="14" spans="2:15" ht="13.5" hidden="1" customHeight="1" outlineLevel="1" x14ac:dyDescent="0.3">
      <c r="B14" s="414" t="s">
        <v>606</v>
      </c>
      <c r="C14" s="415" t="s">
        <v>477</v>
      </c>
      <c r="D14" s="434">
        <f>'[5]Siedahmed- 06012026'!D13</f>
        <v>7291.6666666666661</v>
      </c>
      <c r="E14" s="410">
        <f>(800+300)*$I$4</f>
        <v>11458.333333333332</v>
      </c>
      <c r="F14" s="431">
        <f>(1000+300)*$I$4</f>
        <v>13541.666666666666</v>
      </c>
      <c r="G14" s="399"/>
      <c r="K14" s="401" t="s">
        <v>607</v>
      </c>
      <c r="M14" s="401"/>
    </row>
    <row r="15" spans="2:15" hidden="1" outlineLevel="1" x14ac:dyDescent="0.3">
      <c r="B15" s="414" t="s">
        <v>602</v>
      </c>
      <c r="C15" s="415" t="s">
        <v>477</v>
      </c>
      <c r="D15" s="434">
        <f>'[5]Siedahmed- 06012026'!D14</f>
        <v>4875</v>
      </c>
      <c r="E15" s="410">
        <f>585*$I$4</f>
        <v>6093.75</v>
      </c>
      <c r="F15" s="431">
        <v>0</v>
      </c>
      <c r="G15" s="399"/>
      <c r="K15" s="401" t="s">
        <v>608</v>
      </c>
      <c r="M15" s="401"/>
    </row>
    <row r="16" spans="2:15" hidden="1" outlineLevel="1" x14ac:dyDescent="0.3">
      <c r="B16" s="414" t="s">
        <v>603</v>
      </c>
      <c r="C16" s="415" t="s">
        <v>477</v>
      </c>
      <c r="D16" s="434">
        <f>'[5]Siedahmed- 06012026'!D15</f>
        <v>14040</v>
      </c>
      <c r="E16" s="410">
        <f>7020*1</f>
        <v>7020</v>
      </c>
      <c r="F16" s="431">
        <f>3*$I$3</f>
        <v>10800</v>
      </c>
      <c r="G16" s="399"/>
      <c r="K16" s="401" t="s">
        <v>518</v>
      </c>
      <c r="M16" s="401"/>
    </row>
    <row r="17" spans="2:14" hidden="1" outlineLevel="1" x14ac:dyDescent="0.3">
      <c r="B17" s="414" t="s">
        <v>609</v>
      </c>
      <c r="C17" s="415" t="s">
        <v>477</v>
      </c>
      <c r="D17" s="434"/>
      <c r="E17" s="410">
        <v>0</v>
      </c>
      <c r="F17" s="431">
        <f>(1000+300)*$I$4</f>
        <v>13541.666666666666</v>
      </c>
      <c r="G17" s="399"/>
      <c r="K17" s="401" t="s">
        <v>599</v>
      </c>
      <c r="M17" s="401"/>
    </row>
    <row r="18" spans="2:14" ht="13.5" hidden="1" customHeight="1" outlineLevel="1" x14ac:dyDescent="0.3">
      <c r="B18" s="414" t="s">
        <v>610</v>
      </c>
      <c r="C18" s="415" t="s">
        <v>477</v>
      </c>
      <c r="D18" s="434"/>
      <c r="E18" s="410">
        <v>0</v>
      </c>
      <c r="F18" s="431">
        <f>(1000+300)*$I$4</f>
        <v>13541.666666666666</v>
      </c>
      <c r="G18" s="399"/>
      <c r="K18" s="401" t="s">
        <v>611</v>
      </c>
      <c r="M18" s="401"/>
    </row>
    <row r="19" spans="2:14" hidden="1" outlineLevel="1" x14ac:dyDescent="0.3">
      <c r="B19" s="414" t="s">
        <v>604</v>
      </c>
      <c r="C19" s="415" t="s">
        <v>477</v>
      </c>
      <c r="D19" s="434">
        <f>'[5]Siedahmed- 06012026'!D16</f>
        <v>51480</v>
      </c>
      <c r="E19" s="410">
        <f>5850*3</f>
        <v>17550</v>
      </c>
      <c r="F19" s="431">
        <v>0</v>
      </c>
      <c r="G19" s="399"/>
      <c r="M19" s="401"/>
      <c r="N19" s="402"/>
    </row>
    <row r="20" spans="2:14" ht="14.1" hidden="1" customHeight="1" outlineLevel="1" x14ac:dyDescent="0.3">
      <c r="B20" s="414" t="s">
        <v>612</v>
      </c>
      <c r="C20" s="415" t="s">
        <v>613</v>
      </c>
      <c r="D20" s="434">
        <f>'[5]Siedahmed- 06012026'!D17</f>
        <v>5850</v>
      </c>
      <c r="E20" s="410">
        <v>7020</v>
      </c>
      <c r="F20" s="431">
        <v>55000</v>
      </c>
      <c r="G20" s="399"/>
      <c r="M20" s="401"/>
      <c r="N20" s="402"/>
    </row>
    <row r="21" spans="2:14" hidden="1" outlineLevel="1" x14ac:dyDescent="0.3">
      <c r="B21" s="414" t="s">
        <v>605</v>
      </c>
      <c r="C21" s="415" t="s">
        <v>477</v>
      </c>
      <c r="D21" s="434">
        <f>'[5]Siedahmed- 06012026'!D18</f>
        <v>19675.166666666668</v>
      </c>
      <c r="E21" s="410">
        <f>(0.23*$I$3*20.4)+(4000000/1500)</f>
        <v>19557.866666666665</v>
      </c>
      <c r="F21" s="431">
        <f t="shared" ref="F21:F25" si="0">E21</f>
        <v>19557.866666666665</v>
      </c>
      <c r="G21" s="399"/>
      <c r="M21" s="401"/>
      <c r="N21" s="402"/>
    </row>
    <row r="22" spans="2:14" hidden="1" outlineLevel="1" x14ac:dyDescent="0.3">
      <c r="B22" s="414" t="s">
        <v>607</v>
      </c>
      <c r="C22" s="415" t="s">
        <v>477</v>
      </c>
      <c r="D22" s="434">
        <f>'[5]Siedahmed- 06012026'!D19</f>
        <v>5350.1156785013072</v>
      </c>
      <c r="E22" s="410">
        <f>(250*20.4)+(3500000/5000)</f>
        <v>5800</v>
      </c>
      <c r="F22" s="431">
        <f t="shared" si="0"/>
        <v>5800</v>
      </c>
      <c r="G22" s="399"/>
      <c r="M22" s="401"/>
      <c r="N22" s="402"/>
    </row>
    <row r="23" spans="2:14" hidden="1" outlineLevel="1" x14ac:dyDescent="0.3">
      <c r="B23" s="414" t="s">
        <v>608</v>
      </c>
      <c r="C23" s="415" t="s">
        <v>477</v>
      </c>
      <c r="D23" s="434">
        <f>'[5]Siedahmed- 06012026'!D20</f>
        <v>12200</v>
      </c>
      <c r="E23" s="410">
        <f>(702+25)*20</f>
        <v>14540</v>
      </c>
      <c r="F23" s="431">
        <v>0</v>
      </c>
      <c r="G23" s="399"/>
      <c r="M23" s="401"/>
      <c r="N23" s="402"/>
    </row>
    <row r="24" spans="2:14" hidden="1" outlineLevel="1" x14ac:dyDescent="0.3">
      <c r="B24" s="414" t="s">
        <v>518</v>
      </c>
      <c r="C24" s="415" t="s">
        <v>477</v>
      </c>
      <c r="D24" s="434">
        <f>'[5]Siedahmed- 06012026'!D21</f>
        <v>10000</v>
      </c>
      <c r="E24" s="410">
        <f>(300+200)*20</f>
        <v>10000</v>
      </c>
      <c r="F24" s="431">
        <v>0</v>
      </c>
      <c r="G24" s="399"/>
      <c r="M24" s="401"/>
      <c r="N24" s="402"/>
    </row>
    <row r="25" spans="2:14" ht="13.5" hidden="1" customHeight="1" outlineLevel="1" x14ac:dyDescent="0.3">
      <c r="B25" s="414" t="s">
        <v>599</v>
      </c>
      <c r="C25" s="415" t="s">
        <v>477</v>
      </c>
      <c r="D25" s="434">
        <f>'[5]Siedahmed- 06012026'!D22</f>
        <v>400</v>
      </c>
      <c r="E25" s="410">
        <f>20000/50</f>
        <v>400</v>
      </c>
      <c r="F25" s="431">
        <f t="shared" si="0"/>
        <v>400</v>
      </c>
      <c r="G25" s="399"/>
      <c r="N25" s="402"/>
    </row>
    <row r="26" spans="2:14" ht="13.5" hidden="1" customHeight="1" outlineLevel="1" thickBot="1" x14ac:dyDescent="0.35">
      <c r="B26" s="414" t="s">
        <v>611</v>
      </c>
      <c r="C26" s="415" t="s">
        <v>477</v>
      </c>
      <c r="D26" s="434">
        <f>'[5]Siedahmed- 06012026'!D23</f>
        <v>6457.5</v>
      </c>
      <c r="E26" s="410">
        <f>SUM(E13,E15,E16,E19,E20,E23,E25)*0.35</f>
        <v>18668.312499999996</v>
      </c>
      <c r="F26" s="431">
        <f>SUM(F13,F15,F16,F19,F20,F23,F25)*0.25</f>
        <v>16728.571428571428</v>
      </c>
      <c r="G26" s="399"/>
    </row>
    <row r="27" spans="2:14" ht="13.5" customHeight="1" collapsed="1" thickBot="1" x14ac:dyDescent="0.35">
      <c r="B27" s="427" t="s">
        <v>614</v>
      </c>
      <c r="C27" s="428" t="s">
        <v>477</v>
      </c>
      <c r="D27" s="429">
        <f>SUM(D11:D26)</f>
        <v>161250.40139278703</v>
      </c>
      <c r="E27" s="429">
        <f>SUM(E11:E26)</f>
        <v>147989.21488095238</v>
      </c>
      <c r="F27" s="430">
        <f>SUM(F11:F26)</f>
        <v>178792.39047619046</v>
      </c>
      <c r="G27" s="399"/>
    </row>
    <row r="28" spans="2:14" hidden="1" outlineLevel="1" x14ac:dyDescent="0.3">
      <c r="B28" s="414" t="s">
        <v>615</v>
      </c>
      <c r="C28" s="415" t="s">
        <v>477</v>
      </c>
      <c r="D28" s="434">
        <f>'[5]Siedahmed- 06012026'!D25</f>
        <v>24869.791666666664</v>
      </c>
      <c r="E28" s="410">
        <f>2447.62*$I$4</f>
        <v>25496.041666666664</v>
      </c>
      <c r="F28" s="431">
        <f>E28</f>
        <v>25496.041666666664</v>
      </c>
      <c r="G28" s="399"/>
    </row>
    <row r="29" spans="2:14" hidden="1" outlineLevel="1" x14ac:dyDescent="0.3">
      <c r="B29" s="414" t="s">
        <v>501</v>
      </c>
      <c r="C29" s="415" t="s">
        <v>616</v>
      </c>
      <c r="D29" s="434">
        <f>'[5]Siedahmed- 06012026'!D26</f>
        <v>6800</v>
      </c>
      <c r="E29" s="410">
        <f>340*20</f>
        <v>6800</v>
      </c>
      <c r="F29" s="431">
        <f t="shared" ref="F29:F30" si="1">E29</f>
        <v>6800</v>
      </c>
      <c r="G29" s="399"/>
    </row>
    <row r="30" spans="2:14" hidden="1" outlineLevel="1" x14ac:dyDescent="0.3">
      <c r="B30" s="414" t="s">
        <v>617</v>
      </c>
      <c r="C30" s="415" t="s">
        <v>477</v>
      </c>
      <c r="D30" s="434">
        <f>'[5]Siedahmed- 06012026'!D27</f>
        <v>2083.333333333333</v>
      </c>
      <c r="E30" s="410">
        <f>200*$I$4</f>
        <v>2083.333333333333</v>
      </c>
      <c r="F30" s="431">
        <f t="shared" si="1"/>
        <v>2083.333333333333</v>
      </c>
      <c r="G30" s="399"/>
    </row>
    <row r="31" spans="2:14" hidden="1" outlineLevel="1" x14ac:dyDescent="0.3">
      <c r="B31" s="435" t="s">
        <v>618</v>
      </c>
      <c r="C31" s="415" t="s">
        <v>477</v>
      </c>
      <c r="D31" s="436"/>
      <c r="E31" s="436">
        <f>1000*$I$4</f>
        <v>10416.666666666666</v>
      </c>
      <c r="F31" s="437">
        <f>1000*$I$4</f>
        <v>10416.666666666666</v>
      </c>
      <c r="G31" s="399"/>
    </row>
    <row r="32" spans="2:14" ht="15" hidden="1" outlineLevel="1" thickBot="1" x14ac:dyDescent="0.35">
      <c r="B32" s="435" t="s">
        <v>619</v>
      </c>
      <c r="C32" s="415" t="s">
        <v>477</v>
      </c>
      <c r="D32" s="436"/>
      <c r="E32" s="436">
        <f>2164*$I$4</f>
        <v>22541.666666666664</v>
      </c>
      <c r="F32" s="437">
        <f>2164*$I$4</f>
        <v>22541.666666666664</v>
      </c>
      <c r="G32" s="399"/>
    </row>
    <row r="33" spans="2:7" ht="15" collapsed="1" thickBot="1" x14ac:dyDescent="0.35">
      <c r="B33" s="427" t="s">
        <v>620</v>
      </c>
      <c r="C33" s="428" t="s">
        <v>477</v>
      </c>
      <c r="D33" s="429">
        <f>SUM(D28:D30)</f>
        <v>33753.125</v>
      </c>
      <c r="E33" s="429">
        <f>SUM(E28:E32)</f>
        <v>67337.708333333328</v>
      </c>
      <c r="F33" s="430">
        <f>SUM(F28:F32)</f>
        <v>67337.708333333328</v>
      </c>
      <c r="G33" s="399"/>
    </row>
    <row r="34" spans="2:7" ht="15" thickBot="1" x14ac:dyDescent="0.35">
      <c r="B34" s="427"/>
      <c r="C34" s="428"/>
      <c r="D34" s="429"/>
      <c r="E34" s="429"/>
      <c r="F34" s="430"/>
      <c r="G34" s="399"/>
    </row>
    <row r="35" spans="2:7" ht="15" thickBot="1" x14ac:dyDescent="0.35">
      <c r="B35" s="427" t="s">
        <v>621</v>
      </c>
      <c r="C35" s="428" t="s">
        <v>477</v>
      </c>
      <c r="D35" s="429">
        <f>D10+D27+D33</f>
        <v>1247550.4063531044</v>
      </c>
      <c r="E35" s="429">
        <f>E10+E27+E33</f>
        <v>1627774.1321676588</v>
      </c>
      <c r="F35" s="430">
        <f>F10+F27+F33</f>
        <v>1660883.2734126984</v>
      </c>
      <c r="G35" s="399"/>
    </row>
    <row r="36" spans="2:7" ht="15" thickBot="1" x14ac:dyDescent="0.35">
      <c r="B36" s="438" t="s">
        <v>622</v>
      </c>
      <c r="C36" s="439" t="s">
        <v>578</v>
      </c>
      <c r="D36" s="440">
        <f>D35/$I$3</f>
        <v>346.54177954252901</v>
      </c>
      <c r="E36" s="440">
        <f>E35/$I$3</f>
        <v>452.15948115768299</v>
      </c>
      <c r="F36" s="441">
        <f>F35/$I$3</f>
        <v>461.35646483686065</v>
      </c>
      <c r="G36" s="399"/>
    </row>
    <row r="37" spans="2:7" ht="15" thickBot="1" x14ac:dyDescent="0.35">
      <c r="B37" s="414" t="s">
        <v>623</v>
      </c>
      <c r="C37" s="442"/>
      <c r="D37" s="443">
        <f>D36*$C$37</f>
        <v>0</v>
      </c>
      <c r="E37" s="443">
        <f>E36*$C$37</f>
        <v>0</v>
      </c>
      <c r="F37" s="444">
        <f>F36*$C$37</f>
        <v>0</v>
      </c>
    </row>
    <row r="38" spans="2:7" ht="15" thickBot="1" x14ac:dyDescent="0.35">
      <c r="B38" s="446" t="s">
        <v>624</v>
      </c>
      <c r="C38" s="447"/>
      <c r="D38" s="448">
        <f>SUM(D36:D37)</f>
        <v>346.54177954252901</v>
      </c>
      <c r="E38" s="449">
        <f>SUM(E36:E37)</f>
        <v>452.15948115768299</v>
      </c>
      <c r="F38" s="450">
        <f>SUM(F36:F37)</f>
        <v>461.35646483686065</v>
      </c>
    </row>
  </sheetData>
  <mergeCells count="3">
    <mergeCell ref="B2:B3"/>
    <mergeCell ref="C2:C3"/>
    <mergeCell ref="D2:F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2C77-E018-417A-AE7B-EAA110349390}">
  <sheetPr>
    <tabColor rgb="FF00B050"/>
  </sheetPr>
  <dimension ref="A1:X96"/>
  <sheetViews>
    <sheetView zoomScale="70" zoomScaleNormal="70" workbookViewId="0">
      <pane xSplit="3" topLeftCell="D1" activePane="topRight" state="frozen"/>
      <selection pane="topRight" activeCell="D33" sqref="D33"/>
    </sheetView>
  </sheetViews>
  <sheetFormatPr defaultColWidth="9.109375" defaultRowHeight="14.4" outlineLevelRow="3" x14ac:dyDescent="0.3"/>
  <cols>
    <col min="1" max="1" width="14.5546875" style="312" customWidth="1"/>
    <col min="2" max="2" width="60.88671875" style="312" bestFit="1" customWidth="1"/>
    <col min="3" max="3" width="11.88671875" style="317" customWidth="1"/>
    <col min="4" max="5" width="16.109375" style="314" customWidth="1"/>
    <col min="6" max="7" width="16.109375" style="316" customWidth="1"/>
    <col min="8" max="8" width="5.88671875" style="316" customWidth="1"/>
    <col min="9" max="9" width="17.88671875" style="314" customWidth="1"/>
    <col min="10" max="10" width="16.5546875" style="314" customWidth="1"/>
    <col min="11" max="12" width="16.5546875" style="316" customWidth="1"/>
    <col min="13" max="13" width="71.44140625" style="312" bestFit="1" customWidth="1"/>
    <col min="14" max="14" width="16.5546875" style="312" customWidth="1"/>
    <col min="15" max="15" width="50.88671875" style="312" bestFit="1" customWidth="1"/>
    <col min="16" max="16" width="13" style="312" bestFit="1" customWidth="1"/>
    <col min="17" max="17" width="20.5546875" style="312" customWidth="1"/>
    <col min="18" max="19" width="9.109375" style="312" customWidth="1"/>
    <col min="20" max="20" width="50.44140625" style="312" customWidth="1"/>
    <col min="21" max="21" width="17.44140625" style="312" bestFit="1" customWidth="1"/>
    <col min="22" max="22" width="16.44140625" style="312" customWidth="1"/>
    <col min="23" max="23" width="18" style="312" customWidth="1"/>
    <col min="24" max="24" width="16.44140625" style="312" customWidth="1"/>
    <col min="25" max="16384" width="9.109375" style="312"/>
  </cols>
  <sheetData>
    <row r="1" spans="2:24" ht="15" thickBot="1" x14ac:dyDescent="0.35">
      <c r="C1" s="313">
        <v>46057</v>
      </c>
    </row>
    <row r="2" spans="2:24" ht="24" thickBot="1" x14ac:dyDescent="0.5">
      <c r="D2" s="692" t="s">
        <v>625</v>
      </c>
      <c r="E2" s="743"/>
      <c r="F2" s="743"/>
      <c r="G2" s="693"/>
      <c r="H2" s="319"/>
      <c r="I2" s="744" t="s">
        <v>626</v>
      </c>
      <c r="J2" s="745"/>
      <c r="K2" s="745"/>
      <c r="L2" s="746"/>
    </row>
    <row r="3" spans="2:24" ht="18.600000000000001" thickBot="1" x14ac:dyDescent="0.4">
      <c r="D3" s="747" t="s">
        <v>627</v>
      </c>
      <c r="E3" s="748"/>
      <c r="F3" s="749" t="s">
        <v>628</v>
      </c>
      <c r="G3" s="750"/>
      <c r="H3" s="452"/>
      <c r="I3" s="747" t="s">
        <v>627</v>
      </c>
      <c r="J3" s="748"/>
      <c r="K3" s="749" t="s">
        <v>628</v>
      </c>
      <c r="L3" s="750"/>
    </row>
    <row r="4" spans="2:24" ht="16.2" thickBot="1" x14ac:dyDescent="0.35">
      <c r="B4" s="320"/>
      <c r="C4" s="321"/>
      <c r="D4" s="322" t="s">
        <v>629</v>
      </c>
      <c r="E4" s="322" t="s">
        <v>630</v>
      </c>
      <c r="F4" s="453" t="s">
        <v>629</v>
      </c>
      <c r="G4" s="454" t="s">
        <v>630</v>
      </c>
      <c r="H4" s="323"/>
      <c r="I4" s="322" t="s">
        <v>629</v>
      </c>
      <c r="J4" s="322" t="s">
        <v>630</v>
      </c>
      <c r="K4" s="453" t="s">
        <v>629</v>
      </c>
      <c r="L4" s="454" t="s">
        <v>630</v>
      </c>
      <c r="T4" s="455" t="s">
        <v>631</v>
      </c>
      <c r="U4" s="456" t="s">
        <v>632</v>
      </c>
      <c r="V4" s="456" t="s">
        <v>633</v>
      </c>
      <c r="W4" s="312" t="s">
        <v>634</v>
      </c>
    </row>
    <row r="5" spans="2:24" ht="16.2" hidden="1" outlineLevel="1" thickBot="1" x14ac:dyDescent="0.35">
      <c r="B5" s="324" t="s">
        <v>476</v>
      </c>
      <c r="C5" s="325" t="s">
        <v>477</v>
      </c>
      <c r="D5" s="326">
        <f>'[2]Input Sheet_'!K15</f>
        <v>13795000</v>
      </c>
      <c r="E5" s="326">
        <f>'[2]Input Sheet_'!K14</f>
        <v>12237500</v>
      </c>
      <c r="F5" s="326">
        <f>D5</f>
        <v>13795000</v>
      </c>
      <c r="G5" s="326">
        <f>E5</f>
        <v>12237500</v>
      </c>
      <c r="H5" s="328"/>
      <c r="I5" s="457">
        <f>'[2]Input Sheet_'!K17</f>
        <v>3003750</v>
      </c>
      <c r="J5" s="457">
        <f>'[2]Input Sheet_'!K16</f>
        <v>1891250</v>
      </c>
      <c r="K5" s="457">
        <f>I5</f>
        <v>3003750</v>
      </c>
      <c r="L5" s="457">
        <f>(130000)*22.25</f>
        <v>2892500</v>
      </c>
      <c r="M5" s="312" t="s">
        <v>635</v>
      </c>
      <c r="T5" s="458"/>
      <c r="U5" s="459"/>
      <c r="V5" s="459"/>
    </row>
    <row r="6" spans="2:24" ht="15.6" hidden="1" outlineLevel="1" x14ac:dyDescent="0.3">
      <c r="B6" s="324" t="s">
        <v>479</v>
      </c>
      <c r="C6" s="325" t="s">
        <v>477</v>
      </c>
      <c r="D6" s="326">
        <f>7000*22.25</f>
        <v>155750</v>
      </c>
      <c r="E6" s="326">
        <f>7000*22.25</f>
        <v>155750</v>
      </c>
      <c r="F6" s="326">
        <f>7000*22.25</f>
        <v>155750</v>
      </c>
      <c r="G6" s="326">
        <f>7000*22.25</f>
        <v>155750</v>
      </c>
      <c r="H6" s="329"/>
      <c r="I6" s="457">
        <f>1000*22.25</f>
        <v>22250</v>
      </c>
      <c r="J6" s="457">
        <f>1000*22.25</f>
        <v>22250</v>
      </c>
      <c r="K6" s="457">
        <f>1000*22.25</f>
        <v>22250</v>
      </c>
      <c r="L6" s="457">
        <f>1000*22.25</f>
        <v>22250</v>
      </c>
      <c r="M6" s="460" t="s">
        <v>478</v>
      </c>
      <c r="N6" s="459"/>
      <c r="O6" s="461" t="s">
        <v>480</v>
      </c>
      <c r="P6" s="331">
        <f>'[2]Input Sheet_'!E3</f>
        <v>3600</v>
      </c>
      <c r="T6" s="458" t="s">
        <v>636</v>
      </c>
      <c r="U6" s="462">
        <f>5000*$P$6</f>
        <v>18000000</v>
      </c>
      <c r="V6" s="462">
        <f>U6*12</f>
        <v>216000000</v>
      </c>
    </row>
    <row r="7" spans="2:24" ht="15.6" hidden="1" outlineLevel="1" x14ac:dyDescent="0.3">
      <c r="B7" s="324" t="s">
        <v>483</v>
      </c>
      <c r="C7" s="325" t="s">
        <v>477</v>
      </c>
      <c r="D7" s="362">
        <f>$P$9*SUM(D5:D6)</f>
        <v>348768.75</v>
      </c>
      <c r="E7" s="362">
        <f>$P$9*SUM(E5:E6)</f>
        <v>309831.25</v>
      </c>
      <c r="F7" s="362">
        <f>$P$10*SUM(F5:F6)</f>
        <v>465025</v>
      </c>
      <c r="G7" s="362">
        <f>$P$10*SUM(G5:G6)</f>
        <v>413108.33333333331</v>
      </c>
      <c r="H7" s="332"/>
      <c r="I7" s="362">
        <f>$P$9*SUM(I5:I6)</f>
        <v>75650</v>
      </c>
      <c r="J7" s="362">
        <f>$P$9*SUM(J5:J6)</f>
        <v>47837.5</v>
      </c>
      <c r="K7" s="362">
        <f>$P$10*SUM(K5:K6)</f>
        <v>100866.66666666667</v>
      </c>
      <c r="L7" s="362">
        <f>$P$10*SUM(L5:L6)</f>
        <v>97158.333333333328</v>
      </c>
      <c r="M7" s="312" t="s">
        <v>637</v>
      </c>
      <c r="N7" s="463"/>
      <c r="O7" s="329" t="s">
        <v>638</v>
      </c>
      <c r="P7" s="334">
        <f>'[3]Siedahmed 8-1-26'!H4</f>
        <v>160</v>
      </c>
      <c r="T7" s="458" t="s">
        <v>639</v>
      </c>
      <c r="U7" s="464">
        <v>800000</v>
      </c>
      <c r="V7" s="462">
        <f>U7*9</f>
        <v>7200000</v>
      </c>
      <c r="W7" s="312" t="s">
        <v>640</v>
      </c>
    </row>
    <row r="8" spans="2:24" ht="15.6" hidden="1" outlineLevel="1" x14ac:dyDescent="0.3">
      <c r="B8" s="324" t="s">
        <v>481</v>
      </c>
      <c r="C8" s="325" t="s">
        <v>477</v>
      </c>
      <c r="D8" s="326">
        <v>0</v>
      </c>
      <c r="E8" s="326">
        <v>0</v>
      </c>
      <c r="F8" s="326">
        <v>0</v>
      </c>
      <c r="G8" s="465">
        <v>0</v>
      </c>
      <c r="H8" s="328"/>
      <c r="I8" s="326">
        <v>0</v>
      </c>
      <c r="J8" s="326">
        <v>0</v>
      </c>
      <c r="K8" s="326">
        <v>0</v>
      </c>
      <c r="L8" s="465">
        <v>0</v>
      </c>
      <c r="M8" s="312" t="s">
        <v>641</v>
      </c>
      <c r="N8" s="463"/>
      <c r="O8" s="466" t="s">
        <v>642</v>
      </c>
      <c r="P8" s="334">
        <v>100</v>
      </c>
      <c r="T8" s="458"/>
      <c r="U8" s="464"/>
      <c r="V8" s="464"/>
    </row>
    <row r="9" spans="2:24" ht="15.6" hidden="1" outlineLevel="1" x14ac:dyDescent="0.3">
      <c r="B9" s="324" t="s">
        <v>491</v>
      </c>
      <c r="C9" s="325" t="s">
        <v>477</v>
      </c>
      <c r="D9" s="326">
        <v>0</v>
      </c>
      <c r="E9" s="326">
        <v>0</v>
      </c>
      <c r="F9" s="368">
        <v>0</v>
      </c>
      <c r="G9" s="334">
        <v>0</v>
      </c>
      <c r="H9" s="329"/>
      <c r="I9" s="326">
        <v>0</v>
      </c>
      <c r="J9" s="326">
        <v>0</v>
      </c>
      <c r="K9" s="368">
        <v>0</v>
      </c>
      <c r="L9" s="334">
        <v>0</v>
      </c>
      <c r="N9" s="463"/>
      <c r="O9" s="329" t="s">
        <v>643</v>
      </c>
      <c r="P9" s="467">
        <f>'[3]Inv Holding Period'!B14</f>
        <v>2.5000000000000001E-2</v>
      </c>
      <c r="Q9" s="312" t="s">
        <v>485</v>
      </c>
      <c r="T9" s="458" t="s">
        <v>644</v>
      </c>
      <c r="U9" s="464">
        <v>2720000</v>
      </c>
      <c r="V9" s="462">
        <f>U9*9</f>
        <v>24480000</v>
      </c>
      <c r="W9" s="312" t="s">
        <v>640</v>
      </c>
    </row>
    <row r="10" spans="2:24" ht="16.2" collapsed="1" thickBot="1" x14ac:dyDescent="0.35">
      <c r="B10" s="351" t="s">
        <v>506</v>
      </c>
      <c r="C10" s="352"/>
      <c r="D10" s="353">
        <f>SUM(D5:D9)</f>
        <v>14299518.75</v>
      </c>
      <c r="E10" s="353">
        <f>SUM(E5:E9)</f>
        <v>12703081.25</v>
      </c>
      <c r="F10" s="468">
        <f>SUM(F5:F9)</f>
        <v>14415775</v>
      </c>
      <c r="G10" s="469">
        <f>SUM(G5:G9)</f>
        <v>12806358.333333334</v>
      </c>
      <c r="H10" s="340"/>
      <c r="I10" s="353">
        <f>SUM(I5:I9)</f>
        <v>3101650</v>
      </c>
      <c r="J10" s="353">
        <f>SUM(J5:J9)</f>
        <v>1961337.5</v>
      </c>
      <c r="K10" s="468">
        <f>SUM(K5:K9)</f>
        <v>3126866.6666666665</v>
      </c>
      <c r="L10" s="469">
        <f>SUM(L5:L9)</f>
        <v>3011908.3333333335</v>
      </c>
      <c r="N10" s="463"/>
      <c r="O10" s="329" t="s">
        <v>645</v>
      </c>
      <c r="P10" s="467">
        <f>'[3]Inv Holding Period'!B15</f>
        <v>3.3333333333333333E-2</v>
      </c>
      <c r="Q10" s="312" t="s">
        <v>485</v>
      </c>
      <c r="T10" s="458"/>
      <c r="U10" s="470"/>
      <c r="V10" s="470"/>
    </row>
    <row r="11" spans="2:24" ht="16.2" thickBot="1" x14ac:dyDescent="0.35">
      <c r="B11" s="324"/>
      <c r="C11" s="325"/>
      <c r="D11" s="326"/>
      <c r="E11" s="326"/>
      <c r="F11" s="368"/>
      <c r="G11" s="334"/>
      <c r="H11" s="329"/>
      <c r="I11" s="326"/>
      <c r="J11" s="326"/>
      <c r="K11" s="368"/>
      <c r="L11" s="334"/>
      <c r="N11" s="463"/>
      <c r="O11" s="312" t="s">
        <v>646</v>
      </c>
      <c r="P11" s="471">
        <v>0.1</v>
      </c>
      <c r="T11" s="472" t="s">
        <v>647</v>
      </c>
      <c r="U11" s="473">
        <f>SUM(U6:U9)</f>
        <v>21520000</v>
      </c>
      <c r="V11" s="473">
        <f>SUM(V6:V9)</f>
        <v>247680000</v>
      </c>
    </row>
    <row r="12" spans="2:24" ht="21.6" hidden="1" outlineLevel="1" thickBot="1" x14ac:dyDescent="0.45">
      <c r="B12" s="324" t="s">
        <v>648</v>
      </c>
      <c r="C12" s="325" t="s">
        <v>477</v>
      </c>
      <c r="D12" s="326">
        <v>0</v>
      </c>
      <c r="E12" s="326">
        <v>0</v>
      </c>
      <c r="F12" s="326">
        <v>0</v>
      </c>
      <c r="G12" s="326">
        <v>0</v>
      </c>
      <c r="H12" s="328"/>
      <c r="I12" s="326">
        <v>0</v>
      </c>
      <c r="J12" s="326">
        <v>0</v>
      </c>
      <c r="K12" s="326">
        <v>0</v>
      </c>
      <c r="L12" s="326">
        <v>0</v>
      </c>
      <c r="M12" s="312" t="s">
        <v>641</v>
      </c>
      <c r="N12" s="463"/>
      <c r="O12" s="312" t="s">
        <v>649</v>
      </c>
      <c r="P12" s="471">
        <v>0.1</v>
      </c>
      <c r="T12" s="458"/>
      <c r="U12" s="751" t="s">
        <v>650</v>
      </c>
      <c r="V12" s="752"/>
      <c r="W12" s="751" t="s">
        <v>651</v>
      </c>
      <c r="X12" s="752"/>
    </row>
    <row r="13" spans="2:24" ht="16.2" hidden="1" outlineLevel="1" thickBot="1" x14ac:dyDescent="0.35">
      <c r="B13" s="324" t="s">
        <v>652</v>
      </c>
      <c r="C13" s="325" t="s">
        <v>477</v>
      </c>
      <c r="D13" s="326">
        <f>55000/$P$20</f>
        <v>1100</v>
      </c>
      <c r="E13" s="326">
        <f t="shared" ref="E13:G13" si="0">55000/$P$20</f>
        <v>1100</v>
      </c>
      <c r="F13" s="326">
        <f t="shared" si="0"/>
        <v>1100</v>
      </c>
      <c r="G13" s="326">
        <f t="shared" si="0"/>
        <v>1100</v>
      </c>
      <c r="H13" s="328"/>
      <c r="I13" s="326">
        <f>55000/$P$20</f>
        <v>1100</v>
      </c>
      <c r="J13" s="326">
        <f t="shared" ref="J13:L13" si="1">55000/$P$20</f>
        <v>1100</v>
      </c>
      <c r="K13" s="326">
        <f t="shared" si="1"/>
        <v>1100</v>
      </c>
      <c r="L13" s="326">
        <f t="shared" si="1"/>
        <v>1100</v>
      </c>
      <c r="M13" s="312" t="s">
        <v>478</v>
      </c>
      <c r="N13" s="474"/>
      <c r="O13" s="312" t="s">
        <v>653</v>
      </c>
      <c r="P13" s="346">
        <v>22.25</v>
      </c>
      <c r="T13" s="458"/>
      <c r="U13" s="475" t="s">
        <v>654</v>
      </c>
      <c r="V13" s="476" t="s">
        <v>655</v>
      </c>
      <c r="W13" s="475" t="s">
        <v>654</v>
      </c>
      <c r="X13" s="476" t="s">
        <v>655</v>
      </c>
    </row>
    <row r="14" spans="2:24" ht="15.6" hidden="1" customHeight="1" outlineLevel="1" x14ac:dyDescent="0.3">
      <c r="B14" s="324" t="s">
        <v>656</v>
      </c>
      <c r="C14" s="325" t="s">
        <v>477</v>
      </c>
      <c r="D14" s="326">
        <f t="shared" ref="D14:L15" si="2">2000*$P$21</f>
        <v>26000</v>
      </c>
      <c r="E14" s="326">
        <f t="shared" si="2"/>
        <v>26000</v>
      </c>
      <c r="F14" s="326">
        <f t="shared" si="2"/>
        <v>26000</v>
      </c>
      <c r="G14" s="326">
        <f t="shared" si="2"/>
        <v>26000</v>
      </c>
      <c r="H14" s="328"/>
      <c r="I14" s="326">
        <f t="shared" si="2"/>
        <v>26000</v>
      </c>
      <c r="J14" s="326">
        <f t="shared" si="2"/>
        <v>26000</v>
      </c>
      <c r="K14" s="326">
        <f t="shared" si="2"/>
        <v>26000</v>
      </c>
      <c r="L14" s="326">
        <f t="shared" si="2"/>
        <v>26000</v>
      </c>
      <c r="M14" s="312" t="s">
        <v>478</v>
      </c>
      <c r="N14" s="694" t="s">
        <v>487</v>
      </c>
      <c r="O14" s="320" t="s">
        <v>657</v>
      </c>
      <c r="P14" s="339">
        <v>0.15</v>
      </c>
      <c r="T14" s="458"/>
      <c r="U14" s="477"/>
      <c r="V14" s="478"/>
      <c r="W14" s="477"/>
      <c r="X14" s="478"/>
    </row>
    <row r="15" spans="2:24" ht="15.6" hidden="1" outlineLevel="1" x14ac:dyDescent="0.3">
      <c r="B15" s="324" t="s">
        <v>658</v>
      </c>
      <c r="C15" s="325" t="s">
        <v>477</v>
      </c>
      <c r="D15" s="326">
        <f t="shared" si="2"/>
        <v>26000</v>
      </c>
      <c r="E15" s="326">
        <f t="shared" si="2"/>
        <v>26000</v>
      </c>
      <c r="F15" s="326">
        <f t="shared" si="2"/>
        <v>26000</v>
      </c>
      <c r="G15" s="326">
        <f t="shared" si="2"/>
        <v>26000</v>
      </c>
      <c r="H15" s="328"/>
      <c r="I15" s="326">
        <f t="shared" si="2"/>
        <v>26000</v>
      </c>
      <c r="J15" s="326">
        <f t="shared" si="2"/>
        <v>26000</v>
      </c>
      <c r="K15" s="326">
        <f t="shared" si="2"/>
        <v>26000</v>
      </c>
      <c r="L15" s="326">
        <f t="shared" si="2"/>
        <v>26000</v>
      </c>
      <c r="M15" s="312" t="s">
        <v>478</v>
      </c>
      <c r="N15" s="753"/>
      <c r="O15" s="324" t="s">
        <v>659</v>
      </c>
      <c r="P15" s="471">
        <v>0.2</v>
      </c>
      <c r="T15" s="458"/>
      <c r="U15" s="477"/>
      <c r="V15" s="478"/>
      <c r="W15" s="477"/>
      <c r="X15" s="478"/>
    </row>
    <row r="16" spans="2:24" ht="16.2" hidden="1" outlineLevel="1" thickBot="1" x14ac:dyDescent="0.35">
      <c r="B16" s="324" t="s">
        <v>660</v>
      </c>
      <c r="C16" s="325" t="s">
        <v>477</v>
      </c>
      <c r="D16" s="326">
        <v>0</v>
      </c>
      <c r="E16" s="326">
        <f>2000*$P$21</f>
        <v>26000</v>
      </c>
      <c r="F16" s="368">
        <v>0</v>
      </c>
      <c r="G16" s="326">
        <f>2000*$P$21</f>
        <v>26000</v>
      </c>
      <c r="H16" s="328"/>
      <c r="I16" s="326">
        <v>0</v>
      </c>
      <c r="J16" s="326">
        <f>2000*$P$21</f>
        <v>26000</v>
      </c>
      <c r="K16" s="368">
        <v>0</v>
      </c>
      <c r="L16" s="326">
        <f>2000*$P$21</f>
        <v>26000</v>
      </c>
      <c r="M16" s="312" t="s">
        <v>478</v>
      </c>
      <c r="N16" s="753"/>
      <c r="O16" s="354" t="s">
        <v>661</v>
      </c>
      <c r="P16" s="479">
        <v>0.12</v>
      </c>
      <c r="T16" s="458"/>
      <c r="U16" s="477"/>
      <c r="V16" s="478"/>
      <c r="W16" s="477"/>
      <c r="X16" s="478"/>
    </row>
    <row r="17" spans="2:24" ht="15.6" hidden="1" outlineLevel="1" x14ac:dyDescent="0.3">
      <c r="B17" s="324" t="s">
        <v>662</v>
      </c>
      <c r="C17" s="325" t="s">
        <v>477</v>
      </c>
      <c r="D17" s="326">
        <v>0</v>
      </c>
      <c r="E17" s="326">
        <f>(4000*$P$21)/3</f>
        <v>17333.333333333332</v>
      </c>
      <c r="F17" s="368">
        <v>0</v>
      </c>
      <c r="G17" s="326">
        <f>(4000*$P$21)/3</f>
        <v>17333.333333333332</v>
      </c>
      <c r="H17" s="328"/>
      <c r="I17" s="326">
        <v>0</v>
      </c>
      <c r="J17" s="326">
        <f>(4000*$P$21)/3</f>
        <v>17333.333333333332</v>
      </c>
      <c r="K17" s="368">
        <v>0</v>
      </c>
      <c r="L17" s="326">
        <f>(4000*$P$21)/3</f>
        <v>17333.333333333332</v>
      </c>
      <c r="M17" s="312" t="s">
        <v>478</v>
      </c>
      <c r="N17" s="753"/>
      <c r="O17" s="320" t="s">
        <v>663</v>
      </c>
      <c r="P17" s="339">
        <v>0.1</v>
      </c>
      <c r="T17" s="458" t="s">
        <v>664</v>
      </c>
      <c r="U17" s="480">
        <f>U25</f>
        <v>1232.0000000000002</v>
      </c>
      <c r="V17" s="481">
        <v>0</v>
      </c>
      <c r="W17" s="480">
        <f>W25</f>
        <v>952.00000000000011</v>
      </c>
      <c r="X17" s="481">
        <v>0</v>
      </c>
    </row>
    <row r="18" spans="2:24" ht="16.5" hidden="1" customHeight="1" outlineLevel="1" thickBot="1" x14ac:dyDescent="0.35">
      <c r="B18" s="324" t="s">
        <v>665</v>
      </c>
      <c r="C18" s="325" t="s">
        <v>477</v>
      </c>
      <c r="D18" s="326">
        <f>(3000*$P$21)+((7000*$P$21)*0.15)</f>
        <v>52650</v>
      </c>
      <c r="E18" s="326">
        <f>(3000*$P$21)+((7000*$P$21)*0.15)</f>
        <v>52650</v>
      </c>
      <c r="F18" s="326">
        <f>(3000*$P$21)+((7000*$P$21)*0.15)</f>
        <v>52650</v>
      </c>
      <c r="G18" s="326">
        <f>(3000*$P$21)+((7000*$P$21)*0.15)</f>
        <v>52650</v>
      </c>
      <c r="H18" s="328"/>
      <c r="I18" s="326">
        <f>(3000*$P$21)+((7000*$P$21)*0.15)</f>
        <v>52650</v>
      </c>
      <c r="J18" s="326">
        <f>(3000*$P$21)+((7000*$P$21)*0.15)</f>
        <v>52650</v>
      </c>
      <c r="K18" s="326">
        <f>(3000*$P$21)+((7000*$P$21)*0.15)</f>
        <v>52650</v>
      </c>
      <c r="L18" s="326">
        <f>(3000*$P$21)+((7000*$P$21)*0.15)</f>
        <v>52650</v>
      </c>
      <c r="M18" s="312" t="s">
        <v>478</v>
      </c>
      <c r="N18" s="695"/>
      <c r="O18" s="324" t="s">
        <v>666</v>
      </c>
      <c r="P18" s="471">
        <v>0.13</v>
      </c>
      <c r="T18" s="458" t="s">
        <v>667</v>
      </c>
      <c r="U18" s="482">
        <f>$V$11/$X$25*$U$25</f>
        <v>139716923.07692307</v>
      </c>
      <c r="V18" s="478">
        <v>0</v>
      </c>
      <c r="W18" s="482">
        <f>$V$11/$X$25*$W$25</f>
        <v>107963076.92307691</v>
      </c>
      <c r="X18" s="478"/>
    </row>
    <row r="19" spans="2:24" ht="16.2" hidden="1" outlineLevel="1" thickBot="1" x14ac:dyDescent="0.35">
      <c r="B19" s="324" t="s">
        <v>668</v>
      </c>
      <c r="C19" s="325" t="s">
        <v>477</v>
      </c>
      <c r="D19" s="362">
        <f>SUM(D10,D12:D18)/(1-$P$14)-SUM(D10,D12:D18)</f>
        <v>2542106.25</v>
      </c>
      <c r="E19" s="362">
        <f>SUM(E10,E12:E18)/(1-$P$15)-SUM(E10,E12:E18)</f>
        <v>3213041.1458333321</v>
      </c>
      <c r="F19" s="362">
        <f>SUM(F10,F12:F18)/(1-$P$14)-SUM(F10,F12:F18)</f>
        <v>2562622.0588235296</v>
      </c>
      <c r="G19" s="362">
        <f>SUM(G10,G12:G18)/(1-$P$15)-SUM(G10,G12:G18)</f>
        <v>3238860.416666666</v>
      </c>
      <c r="H19" s="332"/>
      <c r="I19" s="483">
        <f>SUM(I10,I12:I18)/(1-$P$17)-SUM(I10,I12:I18)</f>
        <v>356377.77777777752</v>
      </c>
      <c r="J19" s="484">
        <f>SUM(J10,J12:J18)/(1-$P$19)-SUM(J10,J12:J18)</f>
        <v>287784.65909090918</v>
      </c>
      <c r="K19" s="483">
        <f>SUM(K10,K12:K18)/(1-$P$17)-SUM(K10,K12:K18)</f>
        <v>359179.62962962966</v>
      </c>
      <c r="L19" s="485">
        <f>SUM(L10,L12:L18)/(1-$P$19)-SUM(L10,L12:L18)</f>
        <v>431044.31818181835</v>
      </c>
      <c r="M19" s="486"/>
      <c r="N19" s="754"/>
      <c r="O19" s="354" t="s">
        <v>669</v>
      </c>
      <c r="P19" s="479">
        <v>0.12</v>
      </c>
      <c r="T19" s="458" t="s">
        <v>670</v>
      </c>
      <c r="U19" s="477">
        <f>U18/U17</f>
        <v>113406.59340659338</v>
      </c>
      <c r="V19" s="478">
        <f>U19</f>
        <v>113406.59340659338</v>
      </c>
      <c r="W19" s="477">
        <f>W18/W17</f>
        <v>113406.59340659338</v>
      </c>
      <c r="X19" s="478">
        <f>W19</f>
        <v>113406.59340659338</v>
      </c>
    </row>
    <row r="20" spans="2:24" ht="15.6" hidden="1" outlineLevel="1" x14ac:dyDescent="0.3">
      <c r="B20" s="324"/>
      <c r="C20" s="325"/>
      <c r="D20" s="326"/>
      <c r="E20" s="487"/>
      <c r="F20" s="368"/>
      <c r="G20" s="471"/>
      <c r="H20" s="357"/>
      <c r="I20" s="326"/>
      <c r="J20" s="487"/>
      <c r="K20" s="368"/>
      <c r="L20" s="471"/>
      <c r="N20" s="755"/>
      <c r="O20" s="329" t="s">
        <v>493</v>
      </c>
      <c r="P20" s="334">
        <v>50</v>
      </c>
      <c r="T20" s="458" t="s">
        <v>671</v>
      </c>
      <c r="U20" s="488">
        <f>U19/$P$6</f>
        <v>31.501831501831496</v>
      </c>
      <c r="V20" s="489">
        <f>U20</f>
        <v>31.501831501831496</v>
      </c>
      <c r="W20" s="488">
        <f>W19/$P$6</f>
        <v>31.501831501831496</v>
      </c>
      <c r="X20" s="489">
        <f>W20</f>
        <v>31.501831501831496</v>
      </c>
    </row>
    <row r="21" spans="2:24" ht="16.2" collapsed="1" thickBot="1" x14ac:dyDescent="0.35">
      <c r="B21" s="351" t="s">
        <v>672</v>
      </c>
      <c r="C21" s="352" t="s">
        <v>477</v>
      </c>
      <c r="D21" s="353">
        <f>SUM(D10:D19)</f>
        <v>16947375</v>
      </c>
      <c r="E21" s="353">
        <f>SUM(E10:E19)</f>
        <v>16065205.729166666</v>
      </c>
      <c r="F21" s="353">
        <f>SUM(F10:F19)</f>
        <v>17084147.05882353</v>
      </c>
      <c r="G21" s="353">
        <f>SUM(G10:G19)</f>
        <v>16194302.083333334</v>
      </c>
      <c r="H21" s="359"/>
      <c r="I21" s="353">
        <f>SUM(I10:I19)</f>
        <v>3563777.7777777775</v>
      </c>
      <c r="J21" s="353">
        <f>SUM(J10:J19)</f>
        <v>2398205.4924242422</v>
      </c>
      <c r="K21" s="353">
        <f>SUM(K10:K19)</f>
        <v>3591796.2962962962</v>
      </c>
      <c r="L21" s="353">
        <f>SUM(L10:L19)</f>
        <v>3592035.9848484853</v>
      </c>
      <c r="N21" s="755"/>
      <c r="O21" s="312" t="s">
        <v>497</v>
      </c>
      <c r="P21" s="490">
        <f>ROUND(1000/77,0)</f>
        <v>13</v>
      </c>
      <c r="T21" s="491"/>
      <c r="U21" s="491"/>
      <c r="V21" s="492"/>
      <c r="W21" s="491"/>
      <c r="X21" s="492"/>
    </row>
    <row r="22" spans="2:24" x14ac:dyDescent="0.3">
      <c r="B22" s="324"/>
      <c r="C22" s="325"/>
      <c r="D22" s="326"/>
      <c r="E22" s="326"/>
      <c r="F22" s="368"/>
      <c r="G22" s="334"/>
      <c r="H22" s="329"/>
      <c r="I22" s="326"/>
      <c r="J22" s="326"/>
      <c r="K22" s="368"/>
      <c r="L22" s="334"/>
      <c r="N22" s="755"/>
      <c r="O22" s="329" t="s">
        <v>499</v>
      </c>
      <c r="P22" s="334">
        <v>100</v>
      </c>
    </row>
    <row r="23" spans="2:24" hidden="1" outlineLevel="1" x14ac:dyDescent="0.3">
      <c r="B23" s="324" t="s">
        <v>673</v>
      </c>
      <c r="C23" s="325" t="s">
        <v>477</v>
      </c>
      <c r="D23" s="326">
        <f>U19</f>
        <v>113406.59340659338</v>
      </c>
      <c r="E23" s="326">
        <f>V19</f>
        <v>113406.59340659338</v>
      </c>
      <c r="F23" s="368">
        <f>U19</f>
        <v>113406.59340659338</v>
      </c>
      <c r="G23" s="326">
        <f>X19</f>
        <v>113406.59340659338</v>
      </c>
      <c r="H23" s="329"/>
      <c r="I23" s="457">
        <f>W19</f>
        <v>113406.59340659338</v>
      </c>
      <c r="J23" s="457">
        <f>I23</f>
        <v>113406.59340659338</v>
      </c>
      <c r="K23" s="493">
        <f>I23</f>
        <v>113406.59340659338</v>
      </c>
      <c r="L23" s="368">
        <f>K23</f>
        <v>113406.59340659338</v>
      </c>
      <c r="M23" s="312" t="s">
        <v>674</v>
      </c>
      <c r="N23" s="755"/>
      <c r="O23" s="329" t="s">
        <v>502</v>
      </c>
      <c r="P23" s="349">
        <v>2.0000000000000002E-5</v>
      </c>
      <c r="X23" s="312" t="s">
        <v>675</v>
      </c>
    </row>
    <row r="24" spans="2:24" hidden="1" outlineLevel="1" x14ac:dyDescent="0.3">
      <c r="B24" s="324" t="s">
        <v>676</v>
      </c>
      <c r="C24" s="325" t="s">
        <v>477</v>
      </c>
      <c r="D24" s="326">
        <f>(0.23*$P$6*20)+(4500000/1500)</f>
        <v>19560</v>
      </c>
      <c r="E24" s="326">
        <f>(0.23*$P$6*20)+(4500000/1500)</f>
        <v>19560</v>
      </c>
      <c r="F24" s="326">
        <f>(0.23*$P$6*20)+(4500000/1500)</f>
        <v>19560</v>
      </c>
      <c r="G24" s="326">
        <f>(0.23*$P$6*20)+(4500000/1500)</f>
        <v>19560</v>
      </c>
      <c r="H24" s="328"/>
      <c r="I24" s="326">
        <f>(0.23*$P$6*20)+(4500000/1500)</f>
        <v>19560</v>
      </c>
      <c r="J24" s="326">
        <f>(0.23*$P$6*20)+(4500000/1500)</f>
        <v>19560</v>
      </c>
      <c r="K24" s="326">
        <f>(0.23*$P$6*20)+(4500000/1500)</f>
        <v>19560</v>
      </c>
      <c r="L24" s="326">
        <f>(0.23*$P$6*20)+(4500000/1500)</f>
        <v>19560</v>
      </c>
      <c r="M24" s="312" t="s">
        <v>538</v>
      </c>
      <c r="N24" s="755"/>
      <c r="O24" s="312" t="s">
        <v>504</v>
      </c>
      <c r="P24" s="494">
        <f>(800/40)</f>
        <v>20</v>
      </c>
      <c r="T24" s="312" t="s">
        <v>677</v>
      </c>
      <c r="U24" s="312">
        <v>1100</v>
      </c>
      <c r="W24" s="312">
        <v>850</v>
      </c>
      <c r="X24" s="312">
        <f>SUM(U24:W24)</f>
        <v>1950</v>
      </c>
    </row>
    <row r="25" spans="2:24" hidden="1" outlineLevel="1" x14ac:dyDescent="0.3">
      <c r="B25" s="324" t="s">
        <v>678</v>
      </c>
      <c r="C25" s="325" t="s">
        <v>477</v>
      </c>
      <c r="D25" s="326">
        <f>(630+150)*$P$25</f>
        <v>15600</v>
      </c>
      <c r="E25" s="326">
        <f>(630+150)*$P$25</f>
        <v>15600</v>
      </c>
      <c r="F25" s="326">
        <f>(630+150)*$P$25</f>
        <v>15600</v>
      </c>
      <c r="G25" s="326">
        <f>(630+150)*$P$25</f>
        <v>15600</v>
      </c>
      <c r="H25" s="328"/>
      <c r="I25" s="326">
        <f>(630+150)*$P$25</f>
        <v>15600</v>
      </c>
      <c r="J25" s="326">
        <f>(630+150)*$P$25</f>
        <v>15600</v>
      </c>
      <c r="K25" s="326">
        <f>(630+150)*$P$25</f>
        <v>15600</v>
      </c>
      <c r="L25" s="326">
        <f>(630+150)*$P$25</f>
        <v>15600</v>
      </c>
      <c r="M25" s="312" t="s">
        <v>538</v>
      </c>
      <c r="N25" s="755"/>
      <c r="O25" s="312" t="s">
        <v>505</v>
      </c>
      <c r="P25" s="494">
        <f>1000/50</f>
        <v>20</v>
      </c>
      <c r="T25" s="312" t="s">
        <v>679</v>
      </c>
      <c r="U25" s="312">
        <f>(U24*(1+$P$16))</f>
        <v>1232.0000000000002</v>
      </c>
      <c r="W25" s="312">
        <f>(W24*(1+$P$19))</f>
        <v>952.00000000000011</v>
      </c>
      <c r="X25" s="312">
        <f>SUM(U25:W25)</f>
        <v>2184.0000000000005</v>
      </c>
    </row>
    <row r="26" spans="2:24" ht="15" hidden="1" outlineLevel="1" thickBot="1" x14ac:dyDescent="0.35">
      <c r="B26" s="324" t="s">
        <v>680</v>
      </c>
      <c r="C26" s="325" t="s">
        <v>477</v>
      </c>
      <c r="D26" s="326">
        <v>0</v>
      </c>
      <c r="E26" s="326">
        <v>0</v>
      </c>
      <c r="F26" s="368">
        <v>0</v>
      </c>
      <c r="G26" s="334">
        <v>0</v>
      </c>
      <c r="H26" s="329"/>
      <c r="I26" s="326">
        <v>0</v>
      </c>
      <c r="J26" s="326">
        <v>0</v>
      </c>
      <c r="K26" s="368">
        <v>0</v>
      </c>
      <c r="L26" s="334">
        <v>0</v>
      </c>
      <c r="M26" s="495" t="s">
        <v>681</v>
      </c>
      <c r="N26" s="756"/>
      <c r="O26" s="329" t="s">
        <v>682</v>
      </c>
      <c r="P26" s="334">
        <v>25</v>
      </c>
    </row>
    <row r="27" spans="2:24" ht="15" hidden="1" outlineLevel="1" thickBot="1" x14ac:dyDescent="0.35">
      <c r="B27" s="324" t="s">
        <v>683</v>
      </c>
      <c r="C27" s="325" t="s">
        <v>477</v>
      </c>
      <c r="D27" s="326">
        <f>0.1*-4500000</f>
        <v>-450000</v>
      </c>
      <c r="E27" s="326">
        <f>0.1*-4500000</f>
        <v>-450000</v>
      </c>
      <c r="F27" s="326">
        <f>0.1*-4500000</f>
        <v>-450000</v>
      </c>
      <c r="G27" s="326">
        <f>0.1*-4500000</f>
        <v>-450000</v>
      </c>
      <c r="H27" s="329"/>
      <c r="I27" s="457">
        <f>-0.07*(1000000)</f>
        <v>-70000</v>
      </c>
      <c r="J27" s="457">
        <f>-0.07*(1000000)</f>
        <v>-70000</v>
      </c>
      <c r="K27" s="457">
        <f>-0.07*(1000000)</f>
        <v>-70000</v>
      </c>
      <c r="L27" s="326">
        <f>-0.07*(1000000)</f>
        <v>-70000</v>
      </c>
      <c r="M27" s="312" t="s">
        <v>538</v>
      </c>
      <c r="O27" s="496"/>
      <c r="P27" s="360"/>
    </row>
    <row r="28" spans="2:24" hidden="1" outlineLevel="1" x14ac:dyDescent="0.3">
      <c r="B28" s="370" t="s">
        <v>684</v>
      </c>
      <c r="C28" s="325" t="s">
        <v>477</v>
      </c>
      <c r="D28" s="372">
        <f>SUM(D21,D23:D27)</f>
        <v>16645941.593406592</v>
      </c>
      <c r="E28" s="372">
        <f>SUM(E21,E23:E27)</f>
        <v>15763772.322573259</v>
      </c>
      <c r="F28" s="372">
        <f>SUM(F21,F23:F27)</f>
        <v>16782713.652230121</v>
      </c>
      <c r="G28" s="372">
        <f>SUM(G21,G23:G27)</f>
        <v>15892868.676739927</v>
      </c>
      <c r="H28" s="359"/>
      <c r="I28" s="372">
        <f>SUM(I21,I23:I27)</f>
        <v>3642344.3711843709</v>
      </c>
      <c r="J28" s="372">
        <f>SUM(J21,J23:J27)</f>
        <v>2476772.0858308356</v>
      </c>
      <c r="K28" s="372">
        <f>SUM(K21,K23:K27)</f>
        <v>3670362.8897028896</v>
      </c>
      <c r="L28" s="372">
        <f>SUM(L21,L23:L27)</f>
        <v>3670602.5782550788</v>
      </c>
      <c r="M28" s="312" t="s">
        <v>538</v>
      </c>
      <c r="O28" s="320" t="s">
        <v>510</v>
      </c>
      <c r="P28" s="356">
        <v>50000</v>
      </c>
      <c r="U28" s="367"/>
    </row>
    <row r="29" spans="2:24" hidden="1" outlineLevel="1" x14ac:dyDescent="0.3">
      <c r="B29" s="324" t="s">
        <v>530</v>
      </c>
      <c r="C29" s="325" t="s">
        <v>477</v>
      </c>
      <c r="D29" s="368">
        <f>450*$P$25</f>
        <v>9000</v>
      </c>
      <c r="E29" s="368">
        <f>450*$P$25</f>
        <v>9000</v>
      </c>
      <c r="F29" s="368">
        <v>0</v>
      </c>
      <c r="G29" s="334">
        <v>0</v>
      </c>
      <c r="H29" s="329"/>
      <c r="I29" s="368">
        <f>450*$P$25</f>
        <v>9000</v>
      </c>
      <c r="J29" s="368">
        <f>450*$P$25</f>
        <v>9000</v>
      </c>
      <c r="K29" s="368">
        <v>0</v>
      </c>
      <c r="L29" s="334">
        <v>0</v>
      </c>
      <c r="M29" s="312" t="s">
        <v>538</v>
      </c>
      <c r="O29" s="324" t="s">
        <v>685</v>
      </c>
      <c r="P29" s="358">
        <v>3750</v>
      </c>
      <c r="U29" s="367"/>
    </row>
    <row r="30" spans="2:24" hidden="1" outlineLevel="1" x14ac:dyDescent="0.3">
      <c r="B30" s="324" t="s">
        <v>532</v>
      </c>
      <c r="C30" s="325" t="s">
        <v>477</v>
      </c>
      <c r="D30" s="326">
        <v>115000</v>
      </c>
      <c r="E30" s="326">
        <f>D30</f>
        <v>115000</v>
      </c>
      <c r="F30" s="368">
        <v>0</v>
      </c>
      <c r="G30" s="334">
        <v>0</v>
      </c>
      <c r="H30" s="329"/>
      <c r="I30" s="326">
        <v>115000</v>
      </c>
      <c r="J30" s="326">
        <f>I30</f>
        <v>115000</v>
      </c>
      <c r="K30" s="368">
        <v>0</v>
      </c>
      <c r="L30" s="334">
        <v>0</v>
      </c>
      <c r="M30" s="312" t="s">
        <v>538</v>
      </c>
      <c r="O30" s="324" t="s">
        <v>686</v>
      </c>
      <c r="P30" s="358">
        <v>2200</v>
      </c>
    </row>
    <row r="31" spans="2:24" hidden="1" outlineLevel="1" x14ac:dyDescent="0.3">
      <c r="B31" s="324" t="s">
        <v>533</v>
      </c>
      <c r="C31" s="325" t="s">
        <v>477</v>
      </c>
      <c r="D31" s="326">
        <v>0</v>
      </c>
      <c r="E31" s="326">
        <v>0</v>
      </c>
      <c r="F31" s="368">
        <v>0</v>
      </c>
      <c r="G31" s="334">
        <v>0</v>
      </c>
      <c r="H31" s="329"/>
      <c r="I31" s="326">
        <v>0</v>
      </c>
      <c r="J31" s="326">
        <v>0</v>
      </c>
      <c r="K31" s="368">
        <v>0</v>
      </c>
      <c r="L31" s="334">
        <v>0</v>
      </c>
      <c r="M31" s="460" t="s">
        <v>687</v>
      </c>
      <c r="O31" s="324" t="s">
        <v>688</v>
      </c>
      <c r="P31" s="358">
        <v>2000</v>
      </c>
      <c r="U31" s="367"/>
    </row>
    <row r="32" spans="2:24" hidden="1" outlineLevel="1" x14ac:dyDescent="0.3">
      <c r="B32" s="324" t="s">
        <v>534</v>
      </c>
      <c r="C32" s="325" t="s">
        <v>477</v>
      </c>
      <c r="D32" s="326">
        <v>0</v>
      </c>
      <c r="E32" s="326">
        <v>0</v>
      </c>
      <c r="F32" s="368">
        <v>0</v>
      </c>
      <c r="G32" s="334">
        <v>0</v>
      </c>
      <c r="H32" s="329"/>
      <c r="I32" s="326">
        <v>0</v>
      </c>
      <c r="J32" s="326">
        <v>0</v>
      </c>
      <c r="K32" s="368">
        <v>0</v>
      </c>
      <c r="L32" s="334">
        <v>0</v>
      </c>
      <c r="M32" s="460" t="s">
        <v>687</v>
      </c>
      <c r="N32" s="367"/>
      <c r="O32" s="324" t="s">
        <v>689</v>
      </c>
      <c r="P32" s="358">
        <v>800</v>
      </c>
    </row>
    <row r="33" spans="1:16" ht="15" collapsed="1" thickBot="1" x14ac:dyDescent="0.35">
      <c r="B33" s="351" t="s">
        <v>536</v>
      </c>
      <c r="C33" s="352" t="s">
        <v>477</v>
      </c>
      <c r="D33" s="353">
        <f>SUM(D28:D32)</f>
        <v>16769941.593406592</v>
      </c>
      <c r="E33" s="353">
        <f>SUM(E28:E32)</f>
        <v>15887772.322573259</v>
      </c>
      <c r="F33" s="468">
        <f>SUM(F28:F32)</f>
        <v>16782713.652230121</v>
      </c>
      <c r="G33" s="469">
        <f>SUM(G28:G32)</f>
        <v>15892868.676739927</v>
      </c>
      <c r="H33" s="340"/>
      <c r="I33" s="353">
        <f>SUM(I28:I32)</f>
        <v>3766344.3711843709</v>
      </c>
      <c r="J33" s="353">
        <f>SUM(J28:J32)</f>
        <v>2600772.0858308356</v>
      </c>
      <c r="K33" s="468">
        <f>SUM(K28:K32)</f>
        <v>3670362.8897028896</v>
      </c>
      <c r="L33" s="469">
        <f>SUM(L28:L32)</f>
        <v>3670602.5782550788</v>
      </c>
      <c r="N33" s="367"/>
      <c r="O33" s="324" t="s">
        <v>690</v>
      </c>
      <c r="P33" s="494">
        <v>100</v>
      </c>
    </row>
    <row r="34" spans="1:16" x14ac:dyDescent="0.3">
      <c r="B34" s="324"/>
      <c r="C34" s="325"/>
      <c r="D34" s="326"/>
      <c r="E34" s="326"/>
      <c r="F34" s="368"/>
      <c r="G34" s="334"/>
      <c r="H34" s="329"/>
      <c r="I34" s="326"/>
      <c r="J34" s="326"/>
      <c r="K34" s="368"/>
      <c r="L34" s="334"/>
      <c r="M34" s="367"/>
      <c r="N34" s="367"/>
      <c r="O34" s="324" t="s">
        <v>691</v>
      </c>
      <c r="P34" s="494">
        <v>40</v>
      </c>
    </row>
    <row r="35" spans="1:16" ht="15" thickBot="1" x14ac:dyDescent="0.35">
      <c r="B35" s="324"/>
      <c r="C35" s="325"/>
      <c r="D35" s="326"/>
      <c r="E35" s="326"/>
      <c r="F35" s="368"/>
      <c r="G35" s="334"/>
      <c r="H35" s="329"/>
      <c r="I35" s="326"/>
      <c r="J35" s="326"/>
      <c r="K35" s="368"/>
      <c r="L35" s="334"/>
      <c r="N35" s="367"/>
      <c r="O35" s="354" t="s">
        <v>516</v>
      </c>
      <c r="P35" s="360"/>
    </row>
    <row r="36" spans="1:16" hidden="1" outlineLevel="2" x14ac:dyDescent="0.3">
      <c r="B36" s="324" t="s">
        <v>692</v>
      </c>
      <c r="C36" s="325" t="s">
        <v>477</v>
      </c>
      <c r="D36" s="326">
        <v>0</v>
      </c>
      <c r="E36" s="326">
        <v>0</v>
      </c>
      <c r="F36" s="368">
        <f>450*$P$25</f>
        <v>9000</v>
      </c>
      <c r="G36" s="368">
        <f>450*$P$25</f>
        <v>9000</v>
      </c>
      <c r="H36" s="329"/>
      <c r="I36" s="326">
        <v>0</v>
      </c>
      <c r="J36" s="326">
        <v>0</v>
      </c>
      <c r="K36" s="368">
        <f>450*$P$25</f>
        <v>9000</v>
      </c>
      <c r="L36" s="368">
        <f>450*$P$25</f>
        <v>9000</v>
      </c>
      <c r="M36" s="312" t="s">
        <v>538</v>
      </c>
      <c r="N36" s="367"/>
      <c r="O36" s="697" t="s">
        <v>518</v>
      </c>
      <c r="P36" s="361">
        <f>16204.8*1.17</f>
        <v>18959.615999999998</v>
      </c>
    </row>
    <row r="37" spans="1:16" hidden="1" outlineLevel="2" x14ac:dyDescent="0.3">
      <c r="B37" s="324" t="s">
        <v>693</v>
      </c>
      <c r="C37" s="325" t="s">
        <v>477</v>
      </c>
      <c r="D37" s="326">
        <v>0</v>
      </c>
      <c r="E37" s="326">
        <v>0</v>
      </c>
      <c r="F37" s="368">
        <f>850000/$P$26</f>
        <v>34000</v>
      </c>
      <c r="G37" s="368">
        <f>850000/$P$26</f>
        <v>34000</v>
      </c>
      <c r="H37" s="329"/>
      <c r="I37" s="326">
        <v>0</v>
      </c>
      <c r="J37" s="326">
        <v>0</v>
      </c>
      <c r="K37" s="368">
        <f>850000/$P$26</f>
        <v>34000</v>
      </c>
      <c r="L37" s="368">
        <f>850000/$P$26</f>
        <v>34000</v>
      </c>
      <c r="M37" s="312" t="s">
        <v>538</v>
      </c>
      <c r="O37" s="698"/>
      <c r="P37" s="363"/>
    </row>
    <row r="38" spans="1:16" hidden="1" outlineLevel="2" x14ac:dyDescent="0.3">
      <c r="A38" s="373"/>
      <c r="B38" s="324" t="s">
        <v>599</v>
      </c>
      <c r="C38" s="325" t="s">
        <v>477</v>
      </c>
      <c r="D38" s="326">
        <v>0</v>
      </c>
      <c r="E38" s="326">
        <v>0</v>
      </c>
      <c r="F38" s="368">
        <f>55000/$P$26</f>
        <v>2200</v>
      </c>
      <c r="G38" s="368">
        <f>55000/$P$26</f>
        <v>2200</v>
      </c>
      <c r="H38" s="329"/>
      <c r="I38" s="326">
        <v>0</v>
      </c>
      <c r="J38" s="326">
        <v>0</v>
      </c>
      <c r="K38" s="368">
        <f>55000/$P$26</f>
        <v>2200</v>
      </c>
      <c r="L38" s="368">
        <f>55000/$P$26</f>
        <v>2200</v>
      </c>
      <c r="M38" s="312" t="s">
        <v>538</v>
      </c>
      <c r="O38" s="698"/>
      <c r="P38" s="363">
        <f>15%*SUM(P36+P37)</f>
        <v>2843.9423999999995</v>
      </c>
    </row>
    <row r="39" spans="1:16" ht="15" hidden="1" outlineLevel="2" thickBot="1" x14ac:dyDescent="0.35">
      <c r="A39" s="373"/>
      <c r="B39" s="324" t="s">
        <v>694</v>
      </c>
      <c r="C39" s="325" t="s">
        <v>578</v>
      </c>
      <c r="D39" s="326">
        <v>0</v>
      </c>
      <c r="E39" s="326">
        <v>0</v>
      </c>
      <c r="F39" s="368">
        <f>809*$P$6</f>
        <v>2912400</v>
      </c>
      <c r="G39" s="368">
        <f>809*$P$6</f>
        <v>2912400</v>
      </c>
      <c r="H39" s="329"/>
      <c r="I39" s="326">
        <v>0</v>
      </c>
      <c r="J39" s="326">
        <v>0</v>
      </c>
      <c r="K39" s="368">
        <f>809*$P$6</f>
        <v>2912400</v>
      </c>
      <c r="L39" s="368">
        <f>809*$P$6</f>
        <v>2912400</v>
      </c>
      <c r="M39" s="312" t="s">
        <v>538</v>
      </c>
      <c r="O39" s="699"/>
      <c r="P39" s="364">
        <f>+P36+P37+P38</f>
        <v>21803.558399999998</v>
      </c>
    </row>
    <row r="40" spans="1:16" hidden="1" outlineLevel="2" x14ac:dyDescent="0.3">
      <c r="A40" s="373"/>
      <c r="B40" s="324" t="s">
        <v>695</v>
      </c>
      <c r="C40" s="325" t="s">
        <v>477</v>
      </c>
      <c r="D40" s="326">
        <v>0</v>
      </c>
      <c r="E40" s="326">
        <v>0</v>
      </c>
      <c r="F40" s="497">
        <f>SUM(F33,F36:F38)/(1-$P$16)-SUM(F33,F36:F38)</f>
        <v>2294715.4980313815</v>
      </c>
      <c r="G40" s="497">
        <f>SUM(G33,G36:G38)/(1-$P$16)-SUM(G33,G36:G38)</f>
        <v>2173373.0013736263</v>
      </c>
      <c r="H40" s="374"/>
      <c r="I40" s="326">
        <v>0</v>
      </c>
      <c r="J40" s="326">
        <v>0</v>
      </c>
      <c r="K40" s="497">
        <f>SUM(K33,K36:K38)/(1-$P$19)-SUM(K33,K36:K38)</f>
        <v>506667.66677766712</v>
      </c>
      <c r="L40" s="497">
        <f>SUM(L33,L36:L38)/(1-$P$16)-SUM(L33,L36:L38)</f>
        <v>506700.35158023797</v>
      </c>
      <c r="M40" s="312" t="s">
        <v>538</v>
      </c>
    </row>
    <row r="41" spans="1:16" hidden="1" outlineLevel="2" x14ac:dyDescent="0.3">
      <c r="A41" s="373"/>
      <c r="B41" s="324" t="s">
        <v>696</v>
      </c>
      <c r="C41" s="325" t="s">
        <v>477</v>
      </c>
      <c r="D41" s="326">
        <v>0</v>
      </c>
      <c r="E41" s="326">
        <v>0</v>
      </c>
      <c r="F41" s="368">
        <f>(115000*50)/20</f>
        <v>287500</v>
      </c>
      <c r="G41" s="334">
        <f>(115000*50)/20</f>
        <v>287500</v>
      </c>
      <c r="H41" s="329"/>
      <c r="I41" s="326">
        <v>0</v>
      </c>
      <c r="J41" s="326">
        <v>0</v>
      </c>
      <c r="K41" s="368">
        <f>(115000*50)/20</f>
        <v>287500</v>
      </c>
      <c r="L41" s="334">
        <f>(115000*50)/20</f>
        <v>287500</v>
      </c>
      <c r="M41" s="312" t="s">
        <v>538</v>
      </c>
    </row>
    <row r="42" spans="1:16" collapsed="1" x14ac:dyDescent="0.3">
      <c r="A42" s="373"/>
      <c r="B42" s="324"/>
      <c r="C42" s="498"/>
      <c r="D42" s="326"/>
      <c r="E42" s="326"/>
      <c r="F42" s="368"/>
      <c r="G42" s="334"/>
      <c r="H42" s="329"/>
      <c r="I42" s="326"/>
      <c r="J42" s="326"/>
      <c r="K42" s="368"/>
      <c r="L42" s="334"/>
    </row>
    <row r="43" spans="1:16" ht="15" thickBot="1" x14ac:dyDescent="0.35">
      <c r="A43" s="373"/>
      <c r="B43" s="351" t="s">
        <v>697</v>
      </c>
      <c r="C43" s="352" t="s">
        <v>477</v>
      </c>
      <c r="D43" s="353">
        <f>SUM(D33:D41)</f>
        <v>16769941.593406592</v>
      </c>
      <c r="E43" s="353">
        <f>SUM(E33:E41)</f>
        <v>15887772.322573259</v>
      </c>
      <c r="F43" s="353">
        <f>SUM(F33:F41)</f>
        <v>22322529.150261503</v>
      </c>
      <c r="G43" s="353">
        <f>SUM(G33:G41)</f>
        <v>21311341.678113554</v>
      </c>
      <c r="H43" s="359"/>
      <c r="I43" s="353">
        <f>SUM(I33:I41)</f>
        <v>3766344.3711843709</v>
      </c>
      <c r="J43" s="353">
        <f>SUM(J33:J41)</f>
        <v>2600772.0858308356</v>
      </c>
      <c r="K43" s="353">
        <f>SUM(K33:K41)</f>
        <v>7422130.5564805567</v>
      </c>
      <c r="L43" s="353">
        <f>SUM(L33:L41)</f>
        <v>7422402.9298353167</v>
      </c>
    </row>
    <row r="44" spans="1:16" x14ac:dyDescent="0.3">
      <c r="A44" s="373"/>
      <c r="B44" s="324"/>
      <c r="C44" s="325"/>
      <c r="D44" s="326"/>
      <c r="E44" s="326"/>
      <c r="F44" s="368"/>
      <c r="G44" s="334"/>
      <c r="H44" s="329"/>
      <c r="I44" s="326"/>
      <c r="J44" s="326"/>
      <c r="K44" s="368"/>
      <c r="L44" s="334"/>
    </row>
    <row r="45" spans="1:16" x14ac:dyDescent="0.3">
      <c r="A45" s="373"/>
      <c r="B45" s="370"/>
      <c r="C45" s="371"/>
      <c r="D45" s="372"/>
      <c r="E45" s="372"/>
      <c r="F45" s="499"/>
      <c r="G45" s="500"/>
      <c r="H45" s="340"/>
      <c r="I45" s="372"/>
      <c r="J45" s="372"/>
      <c r="K45" s="499"/>
      <c r="L45" s="500"/>
    </row>
    <row r="46" spans="1:16" hidden="1" outlineLevel="3" x14ac:dyDescent="0.3">
      <c r="A46" s="373"/>
      <c r="B46" s="324" t="s">
        <v>537</v>
      </c>
      <c r="C46" s="325" t="s">
        <v>477</v>
      </c>
      <c r="D46" s="337">
        <f>$P$28/$P$33</f>
        <v>500</v>
      </c>
      <c r="E46" s="337">
        <f>$P$28/$P$33</f>
        <v>500</v>
      </c>
      <c r="F46" s="337">
        <f>$P$28/$P$34</f>
        <v>1250</v>
      </c>
      <c r="G46" s="337">
        <f>$P$28/$P$34</f>
        <v>1250</v>
      </c>
      <c r="H46" s="377"/>
      <c r="I46" s="337">
        <f>$P$28/$P$33</f>
        <v>500</v>
      </c>
      <c r="J46" s="337">
        <f>$P$28/$P$33</f>
        <v>500</v>
      </c>
      <c r="K46" s="337">
        <f>$P$28/$P$34</f>
        <v>1250</v>
      </c>
      <c r="L46" s="337">
        <f>$P$28/$P$34</f>
        <v>1250</v>
      </c>
      <c r="M46" s="312" t="s">
        <v>538</v>
      </c>
    </row>
    <row r="47" spans="1:16" hidden="1" outlineLevel="3" x14ac:dyDescent="0.3">
      <c r="A47" s="373"/>
      <c r="B47" s="324" t="s">
        <v>698</v>
      </c>
      <c r="C47" s="325" t="s">
        <v>124</v>
      </c>
      <c r="D47" s="337">
        <v>0</v>
      </c>
      <c r="E47" s="337">
        <v>0</v>
      </c>
      <c r="F47" s="337">
        <f>(23*$P$6)/$P$34</f>
        <v>2070</v>
      </c>
      <c r="G47" s="337">
        <f>(23*$P$6)/$P$34</f>
        <v>2070</v>
      </c>
      <c r="H47" s="377"/>
      <c r="I47" s="337">
        <v>0</v>
      </c>
      <c r="J47" s="337">
        <v>0</v>
      </c>
      <c r="K47" s="337">
        <f>(23*$P$6)/$P$34</f>
        <v>2070</v>
      </c>
      <c r="L47" s="337">
        <f>(23*$P$6)/$P$34</f>
        <v>2070</v>
      </c>
      <c r="M47" s="312" t="s">
        <v>538</v>
      </c>
    </row>
    <row r="48" spans="1:16" hidden="1" outlineLevel="3" x14ac:dyDescent="0.3">
      <c r="A48" s="373"/>
      <c r="B48" s="324" t="s">
        <v>699</v>
      </c>
      <c r="C48" s="325" t="s">
        <v>124</v>
      </c>
      <c r="D48" s="337">
        <v>0</v>
      </c>
      <c r="E48" s="337">
        <v>0</v>
      </c>
      <c r="F48" s="337">
        <f>(4*$P$6)/$P$24</f>
        <v>720</v>
      </c>
      <c r="G48" s="337">
        <f>(4*$P$6)/$P$24</f>
        <v>720</v>
      </c>
      <c r="H48" s="377"/>
      <c r="I48" s="337">
        <v>0</v>
      </c>
      <c r="J48" s="337">
        <v>0</v>
      </c>
      <c r="K48" s="337">
        <f>(4*$P$6)/$P$24</f>
        <v>720</v>
      </c>
      <c r="L48" s="337">
        <f>(4*$P$6)/$P$24</f>
        <v>720</v>
      </c>
      <c r="M48" s="312" t="s">
        <v>538</v>
      </c>
    </row>
    <row r="49" spans="1:13" hidden="1" outlineLevel="3" x14ac:dyDescent="0.3">
      <c r="A49" s="373"/>
      <c r="B49" s="324" t="s">
        <v>539</v>
      </c>
      <c r="C49" s="325" t="s">
        <v>477</v>
      </c>
      <c r="D49" s="337"/>
      <c r="E49" s="337"/>
      <c r="F49" s="337">
        <f>850000/$P$24</f>
        <v>42500</v>
      </c>
      <c r="G49" s="337">
        <f>850000/$P$24</f>
        <v>42500</v>
      </c>
      <c r="H49" s="377"/>
      <c r="I49" s="337"/>
      <c r="J49" s="337"/>
      <c r="K49" s="337">
        <f>850000/$P$24</f>
        <v>42500</v>
      </c>
      <c r="L49" s="337">
        <f>850000/$P$24</f>
        <v>42500</v>
      </c>
      <c r="M49" s="312" t="s">
        <v>538</v>
      </c>
    </row>
    <row r="50" spans="1:13" hidden="1" outlineLevel="3" x14ac:dyDescent="0.3">
      <c r="A50" s="373"/>
      <c r="B50" s="324" t="s">
        <v>540</v>
      </c>
      <c r="C50" s="375">
        <f>0.002%</f>
        <v>2.0000000000000002E-5</v>
      </c>
      <c r="D50" s="337">
        <f>$P$30*$P$23*$P$6</f>
        <v>158.4</v>
      </c>
      <c r="E50" s="337">
        <f>$P$30*$P$23*$P$6</f>
        <v>158.4</v>
      </c>
      <c r="F50" s="501">
        <f>$P$29*$P$23*$P$6</f>
        <v>270.00000000000006</v>
      </c>
      <c r="G50" s="501">
        <f>$P$29*$P$23*$P$6</f>
        <v>270.00000000000006</v>
      </c>
      <c r="H50" s="379"/>
      <c r="I50" s="502">
        <f>$P$32*$P$23*$P$6</f>
        <v>57.6</v>
      </c>
      <c r="J50" s="502">
        <f>$P$32*$P$23*$P$6</f>
        <v>57.6</v>
      </c>
      <c r="K50" s="503">
        <f>$P$31*$P$23*$P$6</f>
        <v>144</v>
      </c>
      <c r="L50" s="501">
        <f>$P$31*$P$23*$P$6</f>
        <v>144</v>
      </c>
      <c r="M50" s="312" t="s">
        <v>538</v>
      </c>
    </row>
    <row r="51" spans="1:13" hidden="1" outlineLevel="3" x14ac:dyDescent="0.3">
      <c r="A51" s="373"/>
      <c r="B51" s="324" t="s">
        <v>541</v>
      </c>
      <c r="C51" s="325" t="s">
        <v>477</v>
      </c>
      <c r="D51" s="337">
        <v>0</v>
      </c>
      <c r="E51" s="337">
        <v>0</v>
      </c>
      <c r="F51" s="501">
        <v>0</v>
      </c>
      <c r="G51" s="504">
        <v>0</v>
      </c>
      <c r="H51" s="379"/>
      <c r="I51" s="337">
        <v>0</v>
      </c>
      <c r="J51" s="337">
        <v>0</v>
      </c>
      <c r="K51" s="501">
        <v>0</v>
      </c>
      <c r="L51" s="504">
        <v>0</v>
      </c>
      <c r="M51" s="312" t="s">
        <v>700</v>
      </c>
    </row>
    <row r="52" spans="1:13" hidden="1" outlineLevel="3" x14ac:dyDescent="0.3">
      <c r="A52" s="373"/>
      <c r="B52" s="324" t="s">
        <v>542</v>
      </c>
      <c r="C52" s="325" t="s">
        <v>477</v>
      </c>
      <c r="D52" s="337">
        <f>15000/$P$26</f>
        <v>600</v>
      </c>
      <c r="E52" s="337">
        <f>15000/$P$26</f>
        <v>600</v>
      </c>
      <c r="F52" s="382">
        <f>15000/$P$26</f>
        <v>600</v>
      </c>
      <c r="G52" s="382">
        <f>15000/$P$26</f>
        <v>600</v>
      </c>
      <c r="H52" s="380"/>
      <c r="I52" s="337">
        <f>15000/$P$26</f>
        <v>600</v>
      </c>
      <c r="J52" s="337">
        <f>15000/$P$26</f>
        <v>600</v>
      </c>
      <c r="K52" s="382">
        <f>15000/$P$26</f>
        <v>600</v>
      </c>
      <c r="L52" s="382">
        <f>15000/$P$26</f>
        <v>600</v>
      </c>
      <c r="M52" s="495" t="s">
        <v>701</v>
      </c>
    </row>
    <row r="53" spans="1:13" hidden="1" outlineLevel="3" x14ac:dyDescent="0.3">
      <c r="A53" s="373"/>
      <c r="B53" s="324" t="s">
        <v>543</v>
      </c>
      <c r="C53" s="325" t="s">
        <v>477</v>
      </c>
      <c r="D53" s="337">
        <v>0</v>
      </c>
      <c r="E53" s="337">
        <v>0</v>
      </c>
      <c r="F53" s="501">
        <v>0</v>
      </c>
      <c r="G53" s="504">
        <v>0</v>
      </c>
      <c r="H53" s="379"/>
      <c r="I53" s="337">
        <v>0</v>
      </c>
      <c r="J53" s="337">
        <v>0</v>
      </c>
      <c r="K53" s="501">
        <v>0</v>
      </c>
      <c r="L53" s="504">
        <v>0</v>
      </c>
      <c r="M53" s="460" t="s">
        <v>702</v>
      </c>
    </row>
    <row r="54" spans="1:13" hidden="1" outlineLevel="3" x14ac:dyDescent="0.3">
      <c r="A54" s="373"/>
      <c r="B54" s="324" t="s">
        <v>544</v>
      </c>
      <c r="C54" s="325" t="s">
        <v>477</v>
      </c>
      <c r="D54" s="378">
        <f>27409*11*1/$P$33</f>
        <v>3014.99</v>
      </c>
      <c r="E54" s="337">
        <f>D54</f>
        <v>3014.99</v>
      </c>
      <c r="F54" s="501">
        <v>0</v>
      </c>
      <c r="G54" s="504">
        <v>0</v>
      </c>
      <c r="H54" s="379"/>
      <c r="I54" s="378">
        <f>27409*11*1/$P$33</f>
        <v>3014.99</v>
      </c>
      <c r="J54" s="337">
        <f>I54</f>
        <v>3014.99</v>
      </c>
      <c r="K54" s="501">
        <v>0</v>
      </c>
      <c r="L54" s="504">
        <v>0</v>
      </c>
      <c r="M54" s="312" t="s">
        <v>538</v>
      </c>
    </row>
    <row r="55" spans="1:13" hidden="1" outlineLevel="3" x14ac:dyDescent="0.3">
      <c r="A55" s="373"/>
      <c r="B55" s="324" t="s">
        <v>545</v>
      </c>
      <c r="C55" s="325" t="s">
        <v>477</v>
      </c>
      <c r="D55" s="337">
        <f>(45000+150000)/($P$24)</f>
        <v>9750</v>
      </c>
      <c r="E55" s="337">
        <f>(45000+150000)/($P$24)</f>
        <v>9750</v>
      </c>
      <c r="F55" s="501">
        <v>0</v>
      </c>
      <c r="G55" s="504">
        <v>0</v>
      </c>
      <c r="H55" s="379"/>
      <c r="I55" s="337">
        <f>(45000+150000)/($P$24)</f>
        <v>9750</v>
      </c>
      <c r="J55" s="337">
        <f>(45000+150000)/($P$24)</f>
        <v>9750</v>
      </c>
      <c r="K55" s="501">
        <v>0</v>
      </c>
      <c r="L55" s="504">
        <v>0</v>
      </c>
      <c r="M55" s="312" t="s">
        <v>538</v>
      </c>
    </row>
    <row r="56" spans="1:13" hidden="1" outlineLevel="3" x14ac:dyDescent="0.3">
      <c r="A56" s="373"/>
      <c r="B56" s="324" t="s">
        <v>546</v>
      </c>
      <c r="C56" s="325" t="s">
        <v>477</v>
      </c>
      <c r="D56" s="378">
        <f>15219/($P$24)</f>
        <v>760.95</v>
      </c>
      <c r="E56" s="337">
        <f>15219/($P$24)</f>
        <v>760.95</v>
      </c>
      <c r="F56" s="337">
        <v>0</v>
      </c>
      <c r="G56" s="337">
        <v>0</v>
      </c>
      <c r="H56" s="377"/>
      <c r="I56" s="378">
        <f>15219/($P$24)</f>
        <v>760.95</v>
      </c>
      <c r="J56" s="337">
        <f>15219/($P$24)</f>
        <v>760.95</v>
      </c>
      <c r="K56" s="337">
        <v>0</v>
      </c>
      <c r="L56" s="337">
        <v>0</v>
      </c>
      <c r="M56" s="312" t="s">
        <v>538</v>
      </c>
    </row>
    <row r="57" spans="1:13" hidden="1" outlineLevel="3" x14ac:dyDescent="0.3">
      <c r="A57" s="373"/>
      <c r="B57" s="324" t="s">
        <v>547</v>
      </c>
      <c r="C57" s="325" t="s">
        <v>477</v>
      </c>
      <c r="D57" s="337">
        <v>0</v>
      </c>
      <c r="E57" s="337">
        <v>0</v>
      </c>
      <c r="F57" s="501">
        <v>0</v>
      </c>
      <c r="G57" s="504">
        <v>0</v>
      </c>
      <c r="H57" s="379"/>
      <c r="I57" s="337">
        <v>0</v>
      </c>
      <c r="J57" s="337">
        <v>0</v>
      </c>
      <c r="K57" s="501">
        <v>0</v>
      </c>
      <c r="L57" s="504">
        <v>0</v>
      </c>
      <c r="M57" s="460" t="s">
        <v>703</v>
      </c>
    </row>
    <row r="58" spans="1:13" hidden="1" outlineLevel="3" x14ac:dyDescent="0.3">
      <c r="A58" s="373"/>
      <c r="B58" s="324" t="s">
        <v>548</v>
      </c>
      <c r="C58" s="325" t="s">
        <v>477</v>
      </c>
      <c r="D58" s="337">
        <v>0</v>
      </c>
      <c r="E58" s="337">
        <v>0</v>
      </c>
      <c r="F58" s="501">
        <v>0</v>
      </c>
      <c r="G58" s="504">
        <v>0</v>
      </c>
      <c r="H58" s="379"/>
      <c r="I58" s="337">
        <v>0</v>
      </c>
      <c r="J58" s="337">
        <v>0</v>
      </c>
      <c r="K58" s="501">
        <v>0</v>
      </c>
      <c r="L58" s="504">
        <v>0</v>
      </c>
      <c r="M58" s="460" t="s">
        <v>703</v>
      </c>
    </row>
    <row r="59" spans="1:13" hidden="1" outlineLevel="3" x14ac:dyDescent="0.3">
      <c r="A59" s="373"/>
      <c r="B59" s="324" t="s">
        <v>549</v>
      </c>
      <c r="C59" s="325" t="s">
        <v>477</v>
      </c>
      <c r="D59" s="337">
        <f>(40000+170462.32)/$P$24</f>
        <v>10523.116</v>
      </c>
      <c r="E59" s="337">
        <f>(40000+170462.32)/$P$24</f>
        <v>10523.116</v>
      </c>
      <c r="F59" s="337">
        <v>0</v>
      </c>
      <c r="G59" s="337">
        <v>0</v>
      </c>
      <c r="H59" s="377"/>
      <c r="I59" s="337">
        <f>(40000+170462.32)/$P$24</f>
        <v>10523.116</v>
      </c>
      <c r="J59" s="337">
        <f>(40000+170462.32)/$P$24</f>
        <v>10523.116</v>
      </c>
      <c r="K59" s="337">
        <v>0</v>
      </c>
      <c r="L59" s="337">
        <v>0</v>
      </c>
      <c r="M59" s="312" t="s">
        <v>538</v>
      </c>
    </row>
    <row r="60" spans="1:13" hidden="1" outlineLevel="3" x14ac:dyDescent="0.3">
      <c r="A60" s="373"/>
      <c r="B60" s="324" t="s">
        <v>550</v>
      </c>
      <c r="C60" s="325" t="s">
        <v>477</v>
      </c>
      <c r="D60" s="337">
        <f>30000/$P$33</f>
        <v>300</v>
      </c>
      <c r="E60" s="337">
        <f>30000/$P$33</f>
        <v>300</v>
      </c>
      <c r="F60" s="337">
        <v>0</v>
      </c>
      <c r="G60" s="337">
        <v>0</v>
      </c>
      <c r="H60" s="377"/>
      <c r="I60" s="337">
        <f>30000/$P$33</f>
        <v>300</v>
      </c>
      <c r="J60" s="337">
        <f>30000/$P$33</f>
        <v>300</v>
      </c>
      <c r="K60" s="337">
        <v>0</v>
      </c>
      <c r="L60" s="337">
        <v>0</v>
      </c>
      <c r="M60" s="312" t="s">
        <v>538</v>
      </c>
    </row>
    <row r="61" spans="1:13" hidden="1" outlineLevel="3" x14ac:dyDescent="0.3">
      <c r="A61" s="373"/>
      <c r="B61" s="324" t="s">
        <v>551</v>
      </c>
      <c r="C61" s="325" t="s">
        <v>477</v>
      </c>
      <c r="D61" s="378">
        <v>0</v>
      </c>
      <c r="E61" s="337">
        <v>0</v>
      </c>
      <c r="F61" s="501">
        <v>0</v>
      </c>
      <c r="G61" s="504">
        <v>0</v>
      </c>
      <c r="H61" s="379"/>
      <c r="I61" s="378">
        <v>0</v>
      </c>
      <c r="J61" s="337">
        <v>0</v>
      </c>
      <c r="K61" s="501">
        <v>0</v>
      </c>
      <c r="L61" s="504">
        <v>0</v>
      </c>
      <c r="M61" s="460" t="s">
        <v>704</v>
      </c>
    </row>
    <row r="62" spans="1:13" hidden="1" outlineLevel="3" x14ac:dyDescent="0.3">
      <c r="A62" s="373"/>
      <c r="B62" s="324" t="s">
        <v>552</v>
      </c>
      <c r="C62" s="325" t="s">
        <v>477</v>
      </c>
      <c r="D62" s="378">
        <v>0</v>
      </c>
      <c r="E62" s="337">
        <v>0</v>
      </c>
      <c r="F62" s="501">
        <v>0</v>
      </c>
      <c r="G62" s="504">
        <v>0</v>
      </c>
      <c r="H62" s="379"/>
      <c r="I62" s="378">
        <v>0</v>
      </c>
      <c r="J62" s="337">
        <v>0</v>
      </c>
      <c r="K62" s="501">
        <v>0</v>
      </c>
      <c r="L62" s="504">
        <v>0</v>
      </c>
      <c r="M62" s="312" t="s">
        <v>705</v>
      </c>
    </row>
    <row r="63" spans="1:13" hidden="1" outlineLevel="3" x14ac:dyDescent="0.3">
      <c r="A63" s="373"/>
      <c r="B63" s="324" t="s">
        <v>553</v>
      </c>
      <c r="C63" s="325" t="s">
        <v>477</v>
      </c>
      <c r="D63" s="337">
        <f>((270000*1.17)*1.15)/$P$33</f>
        <v>3632.85</v>
      </c>
      <c r="E63" s="337">
        <f>((270000*1.17)*1.15)/$P$33</f>
        <v>3632.85</v>
      </c>
      <c r="F63" s="501">
        <v>0</v>
      </c>
      <c r="G63" s="504">
        <v>0</v>
      </c>
      <c r="H63" s="379"/>
      <c r="I63" s="337">
        <f>((270000*1.17)*1.15)/$P$33</f>
        <v>3632.85</v>
      </c>
      <c r="J63" s="337">
        <f>((270000*1.17)*1.15)/$P$33</f>
        <v>3632.85</v>
      </c>
      <c r="K63" s="501">
        <v>0</v>
      </c>
      <c r="L63" s="504">
        <v>0</v>
      </c>
      <c r="M63" s="312" t="s">
        <v>538</v>
      </c>
    </row>
    <row r="64" spans="1:13" hidden="1" outlineLevel="3" x14ac:dyDescent="0.3">
      <c r="A64" s="373"/>
      <c r="B64" s="324" t="s">
        <v>554</v>
      </c>
      <c r="C64" s="325" t="s">
        <v>477</v>
      </c>
      <c r="D64" s="378">
        <f>20000/$P$33</f>
        <v>200</v>
      </c>
      <c r="E64" s="337">
        <f>20000/$P$33</f>
        <v>200</v>
      </c>
      <c r="F64" s="337">
        <v>0</v>
      </c>
      <c r="G64" s="337">
        <v>0</v>
      </c>
      <c r="H64" s="377"/>
      <c r="I64" s="378">
        <f>20000/$P$33</f>
        <v>200</v>
      </c>
      <c r="J64" s="337">
        <f>20000/$P$33</f>
        <v>200</v>
      </c>
      <c r="K64" s="337">
        <v>0</v>
      </c>
      <c r="L64" s="337">
        <v>0</v>
      </c>
      <c r="M64" s="312" t="s">
        <v>538</v>
      </c>
    </row>
    <row r="65" spans="1:13" hidden="1" outlineLevel="3" x14ac:dyDescent="0.3">
      <c r="A65" s="373"/>
      <c r="B65" s="324" t="s">
        <v>555</v>
      </c>
      <c r="C65" s="325" t="s">
        <v>477</v>
      </c>
      <c r="D65" s="337">
        <v>0</v>
      </c>
      <c r="E65" s="337">
        <v>0</v>
      </c>
      <c r="F65" s="337">
        <f>500000/$P$24</f>
        <v>25000</v>
      </c>
      <c r="G65" s="337">
        <f>500000/$P$24</f>
        <v>25000</v>
      </c>
      <c r="H65" s="377"/>
      <c r="I65" s="337">
        <v>0</v>
      </c>
      <c r="J65" s="337">
        <v>0</v>
      </c>
      <c r="K65" s="337">
        <f>500000/$P$24</f>
        <v>25000</v>
      </c>
      <c r="L65" s="337">
        <f>500000/$P$24</f>
        <v>25000</v>
      </c>
      <c r="M65" s="312" t="s">
        <v>538</v>
      </c>
    </row>
    <row r="66" spans="1:13" hidden="1" outlineLevel="3" x14ac:dyDescent="0.3">
      <c r="A66" s="373"/>
      <c r="B66" s="324" t="s">
        <v>556</v>
      </c>
      <c r="C66" s="325" t="s">
        <v>477</v>
      </c>
      <c r="D66" s="337">
        <v>0</v>
      </c>
      <c r="E66" s="337">
        <v>0</v>
      </c>
      <c r="F66" s="337">
        <f>230000/$P$24</f>
        <v>11500</v>
      </c>
      <c r="G66" s="337">
        <f>230000/$P$24</f>
        <v>11500</v>
      </c>
      <c r="H66" s="377"/>
      <c r="I66" s="337">
        <v>0</v>
      </c>
      <c r="J66" s="337">
        <v>0</v>
      </c>
      <c r="K66" s="337">
        <f>230000/$P$24</f>
        <v>11500</v>
      </c>
      <c r="L66" s="337">
        <f>230000/$P$24</f>
        <v>11500</v>
      </c>
      <c r="M66" s="312" t="s">
        <v>538</v>
      </c>
    </row>
    <row r="67" spans="1:13" hidden="1" outlineLevel="3" x14ac:dyDescent="0.3">
      <c r="A67" s="373"/>
      <c r="B67" s="324" t="s">
        <v>557</v>
      </c>
      <c r="C67" s="325" t="s">
        <v>477</v>
      </c>
      <c r="D67" s="337">
        <v>0</v>
      </c>
      <c r="E67" s="337">
        <v>0</v>
      </c>
      <c r="F67" s="337">
        <f>220000/$P$24</f>
        <v>11000</v>
      </c>
      <c r="G67" s="337">
        <f>220000/$P$24</f>
        <v>11000</v>
      </c>
      <c r="H67" s="377"/>
      <c r="I67" s="337">
        <v>0</v>
      </c>
      <c r="J67" s="337">
        <v>0</v>
      </c>
      <c r="K67" s="337">
        <f>220000/$P$24</f>
        <v>11000</v>
      </c>
      <c r="L67" s="337">
        <f>220000/$P$24</f>
        <v>11000</v>
      </c>
      <c r="M67" s="312" t="s">
        <v>538</v>
      </c>
    </row>
    <row r="68" spans="1:13" hidden="1" outlineLevel="3" x14ac:dyDescent="0.3">
      <c r="A68" s="373"/>
      <c r="B68" s="324" t="s">
        <v>210</v>
      </c>
      <c r="C68" s="325" t="s">
        <v>477</v>
      </c>
      <c r="D68" s="337">
        <v>0</v>
      </c>
      <c r="E68" s="337">
        <v>0</v>
      </c>
      <c r="F68" s="337">
        <v>12000</v>
      </c>
      <c r="G68" s="505">
        <v>12000</v>
      </c>
      <c r="H68" s="377"/>
      <c r="I68" s="337">
        <v>0</v>
      </c>
      <c r="J68" s="337">
        <v>0</v>
      </c>
      <c r="K68" s="337">
        <v>12000</v>
      </c>
      <c r="L68" s="505">
        <v>12000</v>
      </c>
      <c r="M68" s="312" t="s">
        <v>538</v>
      </c>
    </row>
    <row r="69" spans="1:13" hidden="1" outlineLevel="3" x14ac:dyDescent="0.3">
      <c r="B69" s="324" t="s">
        <v>558</v>
      </c>
      <c r="C69" s="325" t="s">
        <v>477</v>
      </c>
      <c r="D69" s="337">
        <v>0</v>
      </c>
      <c r="E69" s="337">
        <v>0</v>
      </c>
      <c r="F69" s="337">
        <f>3700*$P$13</f>
        <v>82325</v>
      </c>
      <c r="G69" s="337">
        <f>3700*$P$13</f>
        <v>82325</v>
      </c>
      <c r="H69" s="377"/>
      <c r="I69" s="337">
        <v>0</v>
      </c>
      <c r="J69" s="337">
        <v>0</v>
      </c>
      <c r="K69" s="337">
        <f>3700*$P$13</f>
        <v>82325</v>
      </c>
      <c r="L69" s="337">
        <f>3700*$P$13</f>
        <v>82325</v>
      </c>
      <c r="M69" s="312" t="s">
        <v>538</v>
      </c>
    </row>
    <row r="70" spans="1:13" hidden="1" outlineLevel="3" x14ac:dyDescent="0.3">
      <c r="B70" s="324" t="s">
        <v>706</v>
      </c>
      <c r="C70" s="325" t="s">
        <v>477</v>
      </c>
      <c r="D70" s="337">
        <v>0</v>
      </c>
      <c r="E70" s="337">
        <v>0</v>
      </c>
      <c r="F70" s="337">
        <f>4025000/$P$24</f>
        <v>201250</v>
      </c>
      <c r="G70" s="337">
        <f>4025000/$P$24</f>
        <v>201250</v>
      </c>
      <c r="H70" s="377"/>
      <c r="I70" s="337">
        <v>0</v>
      </c>
      <c r="J70" s="337">
        <v>0</v>
      </c>
      <c r="K70" s="337">
        <f>4025000/$P$24</f>
        <v>201250</v>
      </c>
      <c r="L70" s="337">
        <f>4025000/$P$24</f>
        <v>201250</v>
      </c>
      <c r="M70" s="312" t="s">
        <v>538</v>
      </c>
    </row>
    <row r="71" spans="1:13" hidden="1" outlineLevel="3" x14ac:dyDescent="0.3">
      <c r="B71" s="324" t="s">
        <v>560</v>
      </c>
      <c r="C71" s="325" t="s">
        <v>477</v>
      </c>
      <c r="D71" s="337">
        <v>0</v>
      </c>
      <c r="E71" s="337">
        <v>0</v>
      </c>
      <c r="F71" s="378">
        <f>155000/$P$24</f>
        <v>7750</v>
      </c>
      <c r="G71" s="378">
        <f>155000/$P$24</f>
        <v>7750</v>
      </c>
      <c r="H71" s="377"/>
      <c r="I71" s="337">
        <v>0</v>
      </c>
      <c r="J71" s="337">
        <v>0</v>
      </c>
      <c r="K71" s="378">
        <f>155000/$P$24</f>
        <v>7750</v>
      </c>
      <c r="L71" s="378">
        <f>155000/$P$24</f>
        <v>7750</v>
      </c>
      <c r="M71" s="312" t="s">
        <v>707</v>
      </c>
    </row>
    <row r="72" spans="1:13" hidden="1" outlineLevel="3" x14ac:dyDescent="0.3">
      <c r="B72" s="324" t="s">
        <v>561</v>
      </c>
      <c r="C72" s="325"/>
      <c r="D72" s="337">
        <v>0</v>
      </c>
      <c r="E72" s="337">
        <v>0</v>
      </c>
      <c r="F72" s="337">
        <v>0</v>
      </c>
      <c r="G72" s="505">
        <v>0</v>
      </c>
      <c r="H72" s="377"/>
      <c r="I72" s="337">
        <v>0</v>
      </c>
      <c r="J72" s="337">
        <v>0</v>
      </c>
      <c r="K72" s="337">
        <v>0</v>
      </c>
      <c r="L72" s="505">
        <v>0</v>
      </c>
      <c r="M72" s="495" t="s">
        <v>708</v>
      </c>
    </row>
    <row r="73" spans="1:13" hidden="1" outlineLevel="3" x14ac:dyDescent="0.3">
      <c r="B73" s="324" t="s">
        <v>562</v>
      </c>
      <c r="C73" s="325" t="s">
        <v>477</v>
      </c>
      <c r="D73" s="337">
        <f>8100</f>
        <v>8100</v>
      </c>
      <c r="E73" s="337">
        <f>8100</f>
        <v>8100</v>
      </c>
      <c r="F73" s="501">
        <v>0</v>
      </c>
      <c r="G73" s="504">
        <v>0</v>
      </c>
      <c r="H73" s="379"/>
      <c r="I73" s="337">
        <f>8100</f>
        <v>8100</v>
      </c>
      <c r="J73" s="337">
        <f>8100</f>
        <v>8100</v>
      </c>
      <c r="K73" s="501">
        <v>0</v>
      </c>
      <c r="L73" s="504">
        <v>0</v>
      </c>
      <c r="M73" s="312" t="s">
        <v>538</v>
      </c>
    </row>
    <row r="74" spans="1:13" hidden="1" outlineLevel="3" x14ac:dyDescent="0.3">
      <c r="B74" s="324" t="s">
        <v>563</v>
      </c>
      <c r="C74" s="325" t="s">
        <v>477</v>
      </c>
      <c r="D74" s="337">
        <f>8000/$P$24</f>
        <v>400</v>
      </c>
      <c r="E74" s="337">
        <f>8000/$P$24</f>
        <v>400</v>
      </c>
      <c r="F74" s="337">
        <f>8000/$P$24</f>
        <v>400</v>
      </c>
      <c r="G74" s="337">
        <f>8000/$P$24</f>
        <v>400</v>
      </c>
      <c r="H74" s="377"/>
      <c r="I74" s="337">
        <f>8000/$P$24</f>
        <v>400</v>
      </c>
      <c r="J74" s="337">
        <f>8000/$P$24</f>
        <v>400</v>
      </c>
      <c r="K74" s="337">
        <f>8000/$P$24</f>
        <v>400</v>
      </c>
      <c r="L74" s="337">
        <f>8000/$P$24</f>
        <v>400</v>
      </c>
      <c r="M74" s="312" t="s">
        <v>538</v>
      </c>
    </row>
    <row r="75" spans="1:13" hidden="1" outlineLevel="3" x14ac:dyDescent="0.3">
      <c r="B75" s="324" t="s">
        <v>564</v>
      </c>
      <c r="C75" s="325" t="s">
        <v>477</v>
      </c>
      <c r="D75" s="337">
        <f>200000/($P$33*1)</f>
        <v>2000</v>
      </c>
      <c r="E75" s="337">
        <f>200000/($P$33*1)</f>
        <v>2000</v>
      </c>
      <c r="F75" s="337">
        <f>200000/($P$34*1)</f>
        <v>5000</v>
      </c>
      <c r="G75" s="337">
        <f>200000/($P$34*1)</f>
        <v>5000</v>
      </c>
      <c r="H75" s="377"/>
      <c r="I75" s="337">
        <f>200000/($P$33*1)</f>
        <v>2000</v>
      </c>
      <c r="J75" s="337">
        <f>200000/($P$33*1)</f>
        <v>2000</v>
      </c>
      <c r="K75" s="337">
        <f>200000/($P$34*1)</f>
        <v>5000</v>
      </c>
      <c r="L75" s="337">
        <f>200000/($P$34*1)</f>
        <v>5000</v>
      </c>
      <c r="M75" s="312" t="s">
        <v>538</v>
      </c>
    </row>
    <row r="76" spans="1:13" hidden="1" outlineLevel="3" x14ac:dyDescent="0.3">
      <c r="B76" s="324" t="s">
        <v>565</v>
      </c>
      <c r="C76" s="325" t="s">
        <v>477</v>
      </c>
      <c r="D76" s="381">
        <f>+(((0.6*(5+3))+45))*$P$6/$P$24</f>
        <v>8964</v>
      </c>
      <c r="E76" s="381">
        <f>+(((0.6*(5+3))+45))*$P$6/$P$24</f>
        <v>8964</v>
      </c>
      <c r="F76" s="501">
        <v>10000</v>
      </c>
      <c r="G76" s="504">
        <f>F76</f>
        <v>10000</v>
      </c>
      <c r="H76" s="379"/>
      <c r="I76" s="381">
        <f>+(((0.6*(5+3))+45))*$P$6/$P$24</f>
        <v>8964</v>
      </c>
      <c r="J76" s="381">
        <f>+(((0.6*(5+3))+45))*$P$6/$P$24</f>
        <v>8964</v>
      </c>
      <c r="K76" s="501">
        <v>10000</v>
      </c>
      <c r="L76" s="504">
        <f>K76</f>
        <v>10000</v>
      </c>
      <c r="M76" s="312" t="s">
        <v>538</v>
      </c>
    </row>
    <row r="77" spans="1:13" hidden="1" outlineLevel="3" x14ac:dyDescent="0.3">
      <c r="B77" s="324" t="s">
        <v>566</v>
      </c>
      <c r="C77" s="325" t="s">
        <v>477</v>
      </c>
      <c r="D77" s="378">
        <f>(54210+69261+7268+60355+6000+45857)/$P$24</f>
        <v>12147.55</v>
      </c>
      <c r="E77" s="378">
        <f t="shared" ref="E77:G77" si="3">(54210+69261+7268+60355+6000+45857)/$P$24</f>
        <v>12147.55</v>
      </c>
      <c r="F77" s="378">
        <f t="shared" si="3"/>
        <v>12147.55</v>
      </c>
      <c r="G77" s="378">
        <f t="shared" si="3"/>
        <v>12147.55</v>
      </c>
      <c r="H77" s="377"/>
      <c r="I77" s="378">
        <f>(54210+69261+7268+60355+6000+45857)/$P$24</f>
        <v>12147.55</v>
      </c>
      <c r="J77" s="378">
        <f t="shared" ref="J77:L77" si="4">(54210+69261+7268+60355+6000+45857)/$P$24</f>
        <v>12147.55</v>
      </c>
      <c r="K77" s="378">
        <f t="shared" si="4"/>
        <v>12147.55</v>
      </c>
      <c r="L77" s="378">
        <f t="shared" si="4"/>
        <v>12147.55</v>
      </c>
      <c r="M77" s="312" t="s">
        <v>538</v>
      </c>
    </row>
    <row r="78" spans="1:13" hidden="1" outlineLevel="3" x14ac:dyDescent="0.3">
      <c r="B78" s="324" t="s">
        <v>567</v>
      </c>
      <c r="C78" s="325" t="s">
        <v>477</v>
      </c>
      <c r="D78" s="337">
        <v>200</v>
      </c>
      <c r="E78" s="337">
        <v>200</v>
      </c>
      <c r="F78" s="501">
        <v>200</v>
      </c>
      <c r="G78" s="504">
        <v>200</v>
      </c>
      <c r="H78" s="379"/>
      <c r="I78" s="337">
        <v>200</v>
      </c>
      <c r="J78" s="337">
        <v>200</v>
      </c>
      <c r="K78" s="501">
        <v>200</v>
      </c>
      <c r="L78" s="504">
        <v>200</v>
      </c>
      <c r="M78" s="312" t="s">
        <v>538</v>
      </c>
    </row>
    <row r="79" spans="1:13" hidden="1" outlineLevel="3" x14ac:dyDescent="0.3">
      <c r="B79" s="324" t="s">
        <v>568</v>
      </c>
      <c r="C79" s="325" t="s">
        <v>477</v>
      </c>
      <c r="D79" s="337">
        <f>20000/$P$33</f>
        <v>200</v>
      </c>
      <c r="E79" s="337">
        <f t="shared" ref="E79" si="5">20000/$P$33</f>
        <v>200</v>
      </c>
      <c r="F79" s="337">
        <f>20000/$P$34</f>
        <v>500</v>
      </c>
      <c r="G79" s="337">
        <f>20000/$P$34</f>
        <v>500</v>
      </c>
      <c r="H79" s="377"/>
      <c r="I79" s="337">
        <f>20000/$P$33</f>
        <v>200</v>
      </c>
      <c r="J79" s="337">
        <f t="shared" ref="J79" si="6">20000/$P$33</f>
        <v>200</v>
      </c>
      <c r="K79" s="337">
        <f>20000/$P$34</f>
        <v>500</v>
      </c>
      <c r="L79" s="337">
        <f>20000/$P$34</f>
        <v>500</v>
      </c>
      <c r="M79" s="312" t="s">
        <v>538</v>
      </c>
    </row>
    <row r="80" spans="1:13" hidden="1" outlineLevel="3" x14ac:dyDescent="0.3">
      <c r="B80" s="324" t="s">
        <v>569</v>
      </c>
      <c r="C80" s="325" t="s">
        <v>477</v>
      </c>
      <c r="D80" s="376">
        <f>230*$P$6/$P$33</f>
        <v>8280</v>
      </c>
      <c r="E80" s="376">
        <f>230*$P$6/$P$33</f>
        <v>8280</v>
      </c>
      <c r="F80" s="376">
        <f>230*$P$6/$P$34</f>
        <v>20700</v>
      </c>
      <c r="G80" s="376">
        <f>230*$P$6/$P$34</f>
        <v>20700</v>
      </c>
      <c r="H80" s="387"/>
      <c r="I80" s="376">
        <f>230*$P$6/$P$33</f>
        <v>8280</v>
      </c>
      <c r="J80" s="376">
        <f>230*$P$6/$P$33</f>
        <v>8280</v>
      </c>
      <c r="K80" s="376">
        <f>230*$P$6/$P$34</f>
        <v>20700</v>
      </c>
      <c r="L80" s="376">
        <f>230*$P$6/$P$34</f>
        <v>20700</v>
      </c>
      <c r="M80" s="312" t="s">
        <v>538</v>
      </c>
    </row>
    <row r="81" spans="2:13" collapsed="1" x14ac:dyDescent="0.3">
      <c r="B81" s="370" t="s">
        <v>570</v>
      </c>
      <c r="C81" s="371"/>
      <c r="D81" s="385">
        <f>SUM(D46:D80)</f>
        <v>69731.856</v>
      </c>
      <c r="E81" s="385">
        <f>SUM(E46:E80)</f>
        <v>69731.856</v>
      </c>
      <c r="F81" s="385">
        <f>SUM(F46:F80)</f>
        <v>447182.55</v>
      </c>
      <c r="G81" s="385">
        <f>SUM(G46:G80)</f>
        <v>447182.55</v>
      </c>
      <c r="H81" s="388"/>
      <c r="I81" s="385">
        <f>SUM(I46:I80)</f>
        <v>69631.055999999997</v>
      </c>
      <c r="J81" s="385">
        <f>SUM(J46:J80)</f>
        <v>69631.055999999997</v>
      </c>
      <c r="K81" s="385">
        <f>SUM(K46:K80)</f>
        <v>447056.55</v>
      </c>
      <c r="L81" s="385">
        <f>SUM(L46:L80)</f>
        <v>447056.55</v>
      </c>
    </row>
    <row r="82" spans="2:13" x14ac:dyDescent="0.3">
      <c r="B82" s="324"/>
      <c r="C82" s="325"/>
      <c r="D82" s="385"/>
      <c r="E82" s="385"/>
      <c r="F82" s="506"/>
      <c r="G82" s="507"/>
      <c r="H82" s="389"/>
      <c r="I82" s="385"/>
      <c r="J82" s="385"/>
      <c r="K82" s="506"/>
      <c r="L82" s="507"/>
    </row>
    <row r="83" spans="2:13" hidden="1" outlineLevel="3" x14ac:dyDescent="0.3">
      <c r="B83" s="324" t="s">
        <v>571</v>
      </c>
      <c r="C83" s="325" t="s">
        <v>477</v>
      </c>
      <c r="D83" s="386">
        <f>21954.8/3043.9*4001.45</f>
        <v>28861.340536811324</v>
      </c>
      <c r="E83" s="386">
        <f>21954.8/3043.9*4001.45</f>
        <v>28861.340536811324</v>
      </c>
      <c r="F83" s="382">
        <f>9200/3043.9*4001.45</f>
        <v>12094.135812608823</v>
      </c>
      <c r="G83" s="382">
        <f>9200/3043.9*4001.45</f>
        <v>12094.135812608823</v>
      </c>
      <c r="H83" s="380"/>
      <c r="I83" s="382">
        <f>D83</f>
        <v>28861.340536811324</v>
      </c>
      <c r="J83" s="382">
        <f t="shared" ref="J83:L83" si="7">E83</f>
        <v>28861.340536811324</v>
      </c>
      <c r="K83" s="382">
        <f t="shared" si="7"/>
        <v>12094.135812608823</v>
      </c>
      <c r="L83" s="382">
        <f t="shared" si="7"/>
        <v>12094.135812608823</v>
      </c>
      <c r="M83" s="495" t="s">
        <v>709</v>
      </c>
    </row>
    <row r="84" spans="2:13" hidden="1" outlineLevel="3" x14ac:dyDescent="0.3">
      <c r="B84" s="324" t="s">
        <v>572</v>
      </c>
      <c r="C84" s="325" t="s">
        <v>477</v>
      </c>
      <c r="D84" s="337">
        <v>18265</v>
      </c>
      <c r="E84" s="337">
        <v>18265</v>
      </c>
      <c r="F84" s="337">
        <f>D84</f>
        <v>18265</v>
      </c>
      <c r="G84" s="337">
        <f>E84</f>
        <v>18265</v>
      </c>
      <c r="H84" s="377"/>
      <c r="I84" s="337">
        <v>18265</v>
      </c>
      <c r="J84" s="337">
        <v>18265</v>
      </c>
      <c r="K84" s="337">
        <f>I84</f>
        <v>18265</v>
      </c>
      <c r="L84" s="337">
        <f>J84</f>
        <v>18265</v>
      </c>
      <c r="M84" s="312" t="s">
        <v>538</v>
      </c>
    </row>
    <row r="85" spans="2:13" hidden="1" outlineLevel="3" x14ac:dyDescent="0.3">
      <c r="B85" s="324" t="s">
        <v>573</v>
      </c>
      <c r="C85" s="325" t="s">
        <v>477</v>
      </c>
      <c r="D85" s="337">
        <v>3300</v>
      </c>
      <c r="E85" s="337">
        <f t="shared" ref="E85:E87" si="8">D85</f>
        <v>3300</v>
      </c>
      <c r="F85" s="501">
        <v>300</v>
      </c>
      <c r="G85" s="501">
        <v>300</v>
      </c>
      <c r="H85" s="379"/>
      <c r="I85" s="337">
        <v>3300</v>
      </c>
      <c r="J85" s="337">
        <f t="shared" ref="J85:J87" si="9">I85</f>
        <v>3300</v>
      </c>
      <c r="K85" s="501">
        <v>300</v>
      </c>
      <c r="L85" s="501">
        <v>300</v>
      </c>
      <c r="M85" s="312" t="s">
        <v>538</v>
      </c>
    </row>
    <row r="86" spans="2:13" hidden="1" outlineLevel="3" x14ac:dyDescent="0.3">
      <c r="B86" s="324" t="s">
        <v>501</v>
      </c>
      <c r="C86" s="325" t="s">
        <v>477</v>
      </c>
      <c r="D86" s="337">
        <v>4510</v>
      </c>
      <c r="E86" s="337">
        <f t="shared" si="8"/>
        <v>4510</v>
      </c>
      <c r="F86" s="501">
        <f>D86</f>
        <v>4510</v>
      </c>
      <c r="G86" s="501">
        <f>E86</f>
        <v>4510</v>
      </c>
      <c r="H86" s="379"/>
      <c r="I86" s="337">
        <v>4510</v>
      </c>
      <c r="J86" s="337">
        <f t="shared" si="9"/>
        <v>4510</v>
      </c>
      <c r="K86" s="501">
        <f>I86</f>
        <v>4510</v>
      </c>
      <c r="L86" s="501">
        <f>J86</f>
        <v>4510</v>
      </c>
      <c r="M86" s="312" t="s">
        <v>538</v>
      </c>
    </row>
    <row r="87" spans="2:13" hidden="1" outlineLevel="3" x14ac:dyDescent="0.3">
      <c r="B87" s="324" t="s">
        <v>574</v>
      </c>
      <c r="C87" s="325" t="s">
        <v>477</v>
      </c>
      <c r="D87" s="337">
        <v>0</v>
      </c>
      <c r="E87" s="337">
        <f t="shared" si="8"/>
        <v>0</v>
      </c>
      <c r="F87" s="501">
        <v>12000</v>
      </c>
      <c r="G87" s="501">
        <v>12000</v>
      </c>
      <c r="H87" s="379"/>
      <c r="I87" s="337">
        <v>0</v>
      </c>
      <c r="J87" s="337">
        <f t="shared" si="9"/>
        <v>0</v>
      </c>
      <c r="K87" s="501">
        <v>12000</v>
      </c>
      <c r="L87" s="501">
        <v>12000</v>
      </c>
      <c r="M87" s="495" t="s">
        <v>710</v>
      </c>
    </row>
    <row r="88" spans="2:13" hidden="1" outlineLevel="3" x14ac:dyDescent="0.3">
      <c r="B88" s="324" t="s">
        <v>575</v>
      </c>
      <c r="C88" s="325" t="s">
        <v>477</v>
      </c>
      <c r="D88" s="337">
        <v>132.22999999999999</v>
      </c>
      <c r="E88" s="337">
        <f>D88</f>
        <v>132.22999999999999</v>
      </c>
      <c r="F88" s="501">
        <f>D88</f>
        <v>132.22999999999999</v>
      </c>
      <c r="G88" s="501">
        <f>E88</f>
        <v>132.22999999999999</v>
      </c>
      <c r="H88" s="379"/>
      <c r="I88" s="337">
        <v>132.22999999999999</v>
      </c>
      <c r="J88" s="337">
        <f>I88</f>
        <v>132.22999999999999</v>
      </c>
      <c r="K88" s="501">
        <f>I88</f>
        <v>132.22999999999999</v>
      </c>
      <c r="L88" s="501">
        <f>J88</f>
        <v>132.22999999999999</v>
      </c>
      <c r="M88" s="312" t="s">
        <v>538</v>
      </c>
    </row>
    <row r="89" spans="2:13" collapsed="1" x14ac:dyDescent="0.3">
      <c r="B89" s="370" t="s">
        <v>576</v>
      </c>
      <c r="C89" s="325" t="s">
        <v>477</v>
      </c>
      <c r="D89" s="385">
        <f>SUM(D83:D88)</f>
        <v>55068.570536811327</v>
      </c>
      <c r="E89" s="385">
        <f>SUM(E83:E88)</f>
        <v>55068.570536811327</v>
      </c>
      <c r="F89" s="506">
        <f>SUM(F83:F88)</f>
        <v>47301.365812608827</v>
      </c>
      <c r="G89" s="507">
        <f>SUM(G83:G88)</f>
        <v>47301.365812608827</v>
      </c>
      <c r="H89" s="389"/>
      <c r="I89" s="385">
        <f>SUM(I83:I88)</f>
        <v>55068.570536811327</v>
      </c>
      <c r="J89" s="385">
        <f>SUM(J83:J88)</f>
        <v>55068.570536811327</v>
      </c>
      <c r="K89" s="506">
        <f>SUM(K83:K88)</f>
        <v>47301.365812608827</v>
      </c>
      <c r="L89" s="507">
        <f>SUM(L83:L88)</f>
        <v>47301.365812608827</v>
      </c>
      <c r="M89" s="312" t="s">
        <v>538</v>
      </c>
    </row>
    <row r="90" spans="2:13" x14ac:dyDescent="0.3">
      <c r="B90" s="324"/>
      <c r="C90" s="325"/>
      <c r="D90" s="326"/>
      <c r="E90" s="326"/>
      <c r="F90" s="368"/>
      <c r="G90" s="334"/>
      <c r="H90" s="329"/>
      <c r="I90" s="326"/>
      <c r="J90" s="326"/>
      <c r="K90" s="368"/>
      <c r="L90" s="334"/>
    </row>
    <row r="91" spans="2:13" ht="15" thickBot="1" x14ac:dyDescent="0.35">
      <c r="B91" s="351" t="s">
        <v>577</v>
      </c>
      <c r="C91" s="352" t="s">
        <v>477</v>
      </c>
      <c r="D91" s="353">
        <f>SUM(D89,D81,D43)</f>
        <v>16894742.019943401</v>
      </c>
      <c r="E91" s="353">
        <f>SUM(E89,E81,E43)</f>
        <v>16012572.749110071</v>
      </c>
      <c r="F91" s="468">
        <f>SUM(F89,F81,F43)</f>
        <v>22817013.066074111</v>
      </c>
      <c r="G91" s="469">
        <f>SUM(G89,G81,G43)</f>
        <v>21805825.593926162</v>
      </c>
      <c r="H91" s="340"/>
      <c r="I91" s="353">
        <f>SUM(I89,I81,I43)</f>
        <v>3891043.9977211822</v>
      </c>
      <c r="J91" s="353">
        <f>SUM(J89,J81,J43)</f>
        <v>2725471.7123676469</v>
      </c>
      <c r="K91" s="468">
        <f>SUM(K89,K81,K43)</f>
        <v>7916488.4722931655</v>
      </c>
      <c r="L91" s="469">
        <f>SUM(L89,L81,L43)</f>
        <v>7916760.8456479255</v>
      </c>
    </row>
    <row r="92" spans="2:13" x14ac:dyDescent="0.3">
      <c r="D92" s="390"/>
      <c r="E92" s="390"/>
      <c r="F92" s="394"/>
      <c r="G92" s="394"/>
      <c r="H92" s="394"/>
      <c r="I92" s="390"/>
      <c r="J92" s="390"/>
      <c r="K92" s="394"/>
      <c r="L92" s="394"/>
    </row>
    <row r="93" spans="2:13" ht="15" thickBot="1" x14ac:dyDescent="0.35">
      <c r="B93" s="351" t="s">
        <v>577</v>
      </c>
      <c r="C93" s="392" t="s">
        <v>578</v>
      </c>
      <c r="D93" s="353">
        <f>D91/$P$6</f>
        <v>4692.9838944287221</v>
      </c>
      <c r="E93" s="353">
        <f>E91/$P$6</f>
        <v>4447.9368747527978</v>
      </c>
      <c r="F93" s="353">
        <f>F91/$P$6</f>
        <v>6338.0591850205865</v>
      </c>
      <c r="G93" s="353">
        <f>G91/$P$6</f>
        <v>6057.1737760906008</v>
      </c>
      <c r="H93" s="359"/>
      <c r="I93" s="353">
        <f>I91/$P$6</f>
        <v>1080.8455549225507</v>
      </c>
      <c r="J93" s="353">
        <f>J91/$P$6</f>
        <v>757.0754756576797</v>
      </c>
      <c r="K93" s="353">
        <f>K91/$P$6</f>
        <v>2199.0245756369904</v>
      </c>
      <c r="L93" s="353">
        <f>L91/$P$6</f>
        <v>2199.1002349022015</v>
      </c>
    </row>
    <row r="95" spans="2:13" x14ac:dyDescent="0.3">
      <c r="D95" s="390"/>
      <c r="E95" s="390"/>
      <c r="F95" s="390"/>
      <c r="G95" s="390"/>
      <c r="H95" s="390"/>
      <c r="I95" s="390"/>
      <c r="J95" s="390"/>
      <c r="K95" s="390"/>
      <c r="L95" s="390"/>
    </row>
    <row r="96" spans="2:13" x14ac:dyDescent="0.3">
      <c r="D96" s="317"/>
      <c r="E96" s="317"/>
      <c r="F96" s="312"/>
      <c r="G96" s="312"/>
      <c r="H96" s="312"/>
      <c r="I96" s="317"/>
      <c r="J96" s="317"/>
      <c r="K96" s="312"/>
      <c r="L96" s="312"/>
    </row>
  </sheetData>
  <mergeCells count="11">
    <mergeCell ref="U12:V12"/>
    <mergeCell ref="W12:X12"/>
    <mergeCell ref="N14:N18"/>
    <mergeCell ref="N19:N26"/>
    <mergeCell ref="O36:O39"/>
    <mergeCell ref="D2:G2"/>
    <mergeCell ref="I2:L2"/>
    <mergeCell ref="D3:E3"/>
    <mergeCell ref="F3:G3"/>
    <mergeCell ref="I3:J3"/>
    <mergeCell ref="K3:L3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88A-FF3C-4251-98BE-726EB1C8ADE6}">
  <dimension ref="B1:F44"/>
  <sheetViews>
    <sheetView zoomScale="60" zoomScaleNormal="60" workbookViewId="0">
      <selection activeCell="B36" sqref="B36:B37"/>
    </sheetView>
  </sheetViews>
  <sheetFormatPr defaultColWidth="8.6640625" defaultRowHeight="14.4" outlineLevelRow="1" x14ac:dyDescent="0.3"/>
  <cols>
    <col min="1" max="1" width="2.6640625" style="511" customWidth="1"/>
    <col min="2" max="2" width="56.44140625" style="511" bestFit="1" customWidth="1"/>
    <col min="3" max="3" width="17.33203125" style="511" hidden="1" customWidth="1"/>
    <col min="4" max="4" width="25.88671875" style="511" hidden="1" customWidth="1"/>
    <col min="5" max="5" width="14.5546875" style="511" bestFit="1" customWidth="1"/>
    <col min="6" max="6" width="10" style="524" bestFit="1" customWidth="1"/>
    <col min="7" max="16384" width="8.6640625" style="511"/>
  </cols>
  <sheetData>
    <row r="1" spans="2:6" ht="15" thickBot="1" x14ac:dyDescent="0.35">
      <c r="B1" s="508"/>
      <c r="C1" s="509" t="s">
        <v>711</v>
      </c>
      <c r="D1" s="509" t="s">
        <v>711</v>
      </c>
      <c r="E1" s="510" t="s">
        <v>712</v>
      </c>
      <c r="F1" s="510">
        <v>585</v>
      </c>
    </row>
    <row r="2" spans="2:6" ht="21" thickBot="1" x14ac:dyDescent="0.4">
      <c r="B2" s="512" t="s">
        <v>713</v>
      </c>
      <c r="C2" s="513">
        <f>$F$1</f>
        <v>585</v>
      </c>
      <c r="D2" s="513">
        <f>$F$1</f>
        <v>585</v>
      </c>
      <c r="E2" s="513"/>
      <c r="F2" s="514"/>
    </row>
    <row r="3" spans="2:6" s="519" customFormat="1" ht="41.4" x14ac:dyDescent="0.3">
      <c r="B3" s="515" t="s">
        <v>714</v>
      </c>
      <c r="C3" s="516" t="s">
        <v>715</v>
      </c>
      <c r="D3" s="516" t="s">
        <v>716</v>
      </c>
      <c r="E3" s="517" t="s">
        <v>717</v>
      </c>
      <c r="F3" s="518" t="s">
        <v>718</v>
      </c>
    </row>
    <row r="4" spans="2:6" hidden="1" outlineLevel="1" x14ac:dyDescent="0.3">
      <c r="B4" s="520" t="s">
        <v>719</v>
      </c>
      <c r="C4" s="521">
        <f>110*5*1000</f>
        <v>550000</v>
      </c>
      <c r="D4" s="521">
        <f>105*5*1000</f>
        <v>525000</v>
      </c>
      <c r="E4" s="522">
        <v>510000</v>
      </c>
      <c r="F4" s="523">
        <f>E4/$F$1</f>
        <v>871.79487179487182</v>
      </c>
    </row>
    <row r="5" spans="2:6" ht="15.45" hidden="1" customHeight="1" outlineLevel="1" x14ac:dyDescent="0.3">
      <c r="B5" s="520" t="s">
        <v>720</v>
      </c>
      <c r="C5" s="521">
        <v>5000</v>
      </c>
      <c r="D5" s="521">
        <v>5000</v>
      </c>
      <c r="E5" s="525">
        <v>0</v>
      </c>
      <c r="F5" s="523">
        <f>E5/$F$1</f>
        <v>0</v>
      </c>
    </row>
    <row r="6" spans="2:6" hidden="1" outlineLevel="1" x14ac:dyDescent="0.3">
      <c r="B6" s="520" t="s">
        <v>721</v>
      </c>
      <c r="C6" s="521">
        <f>(225+100)*12.5</f>
        <v>4062.5</v>
      </c>
      <c r="D6" s="521">
        <f>(225+100)*12.5</f>
        <v>4062.5</v>
      </c>
      <c r="E6" s="525">
        <v>3750</v>
      </c>
      <c r="F6" s="523">
        <f>E6/$F$1</f>
        <v>6.4102564102564106</v>
      </c>
    </row>
    <row r="7" spans="2:6" hidden="1" outlineLevel="1" x14ac:dyDescent="0.3">
      <c r="B7" s="520" t="s">
        <v>722</v>
      </c>
      <c r="C7" s="521">
        <f>67.5*12.5</f>
        <v>843.75</v>
      </c>
      <c r="D7" s="521">
        <f>67.5*12.5</f>
        <v>843.75</v>
      </c>
      <c r="E7" s="525">
        <v>1250</v>
      </c>
      <c r="F7" s="523">
        <f>E7/$F$1</f>
        <v>2.1367521367521367</v>
      </c>
    </row>
    <row r="8" spans="2:6" ht="18" customHeight="1" collapsed="1" x14ac:dyDescent="0.3">
      <c r="B8" s="526" t="s">
        <v>723</v>
      </c>
      <c r="C8" s="527">
        <f>SUM(C4:C7)</f>
        <v>559906.25</v>
      </c>
      <c r="D8" s="527">
        <f t="shared" ref="D8:F8" si="0">SUM(D4:D7)</f>
        <v>534906.25</v>
      </c>
      <c r="E8" s="528">
        <f t="shared" si="0"/>
        <v>515000</v>
      </c>
      <c r="F8" s="529">
        <f t="shared" si="0"/>
        <v>880.34188034188048</v>
      </c>
    </row>
    <row r="9" spans="2:6" hidden="1" outlineLevel="1" x14ac:dyDescent="0.3">
      <c r="B9" s="520" t="s">
        <v>487</v>
      </c>
      <c r="C9" s="530" t="e">
        <f>(C8/(1-#REF!))-C8</f>
        <v>#REF!</v>
      </c>
      <c r="D9" s="530" t="e">
        <f>(D8/(1-#REF!))-D8</f>
        <v>#REF!</v>
      </c>
      <c r="E9" s="531">
        <v>50934.065934065962</v>
      </c>
      <c r="F9" s="532">
        <f>E9/$F$1</f>
        <v>87.066779374471736</v>
      </c>
    </row>
    <row r="10" spans="2:6" hidden="1" outlineLevel="1" x14ac:dyDescent="0.3">
      <c r="B10" s="520" t="s">
        <v>724</v>
      </c>
      <c r="C10" s="530"/>
      <c r="D10" s="530"/>
      <c r="E10" s="533">
        <v>0</v>
      </c>
      <c r="F10" s="534">
        <f>E10/$F$1</f>
        <v>0</v>
      </c>
    </row>
    <row r="11" spans="2:6" hidden="1" outlineLevel="1" x14ac:dyDescent="0.3">
      <c r="B11" s="520" t="s">
        <v>725</v>
      </c>
      <c r="C11" s="535">
        <v>10326.980293333334</v>
      </c>
      <c r="D11" s="535">
        <v>10326.980293333334</v>
      </c>
      <c r="E11" s="531">
        <v>20000</v>
      </c>
      <c r="F11" s="532">
        <f>E11/$F$1</f>
        <v>34.188034188034187</v>
      </c>
    </row>
    <row r="12" spans="2:6" hidden="1" outlineLevel="1" x14ac:dyDescent="0.3">
      <c r="B12" s="520" t="s">
        <v>520</v>
      </c>
      <c r="C12" s="536">
        <v>5000</v>
      </c>
      <c r="D12" s="536">
        <v>5000</v>
      </c>
      <c r="E12" s="531">
        <v>5000</v>
      </c>
      <c r="F12" s="532">
        <f>E12/$F$1</f>
        <v>8.5470085470085468</v>
      </c>
    </row>
    <row r="13" spans="2:6" ht="18" customHeight="1" collapsed="1" x14ac:dyDescent="0.3">
      <c r="B13" s="526" t="s">
        <v>726</v>
      </c>
      <c r="C13" s="527" t="e">
        <f>C8+C12+C9</f>
        <v>#REF!</v>
      </c>
      <c r="D13" s="527" t="e">
        <f>D8+D12+D9</f>
        <v>#REF!</v>
      </c>
      <c r="E13" s="528">
        <f>SUM(E8:E12)</f>
        <v>590934.06593406596</v>
      </c>
      <c r="F13" s="537">
        <f>SUM(F8:F12)</f>
        <v>1010.1437024513949</v>
      </c>
    </row>
    <row r="14" spans="2:6" hidden="1" outlineLevel="1" x14ac:dyDescent="0.3">
      <c r="B14" s="520" t="s">
        <v>727</v>
      </c>
      <c r="C14" s="536"/>
      <c r="D14" s="536"/>
      <c r="E14" s="531">
        <v>0</v>
      </c>
      <c r="F14" s="538">
        <f t="shared" ref="F14:F19" si="1">E14/$F$1</f>
        <v>0</v>
      </c>
    </row>
    <row r="15" spans="2:6" ht="15.9" hidden="1" customHeight="1" outlineLevel="1" x14ac:dyDescent="0.3">
      <c r="B15" s="520" t="s">
        <v>728</v>
      </c>
      <c r="C15" s="536">
        <v>2000</v>
      </c>
      <c r="D15" s="536">
        <v>2000</v>
      </c>
      <c r="E15" s="531">
        <f>1000</f>
        <v>1000</v>
      </c>
      <c r="F15" s="538">
        <f t="shared" si="1"/>
        <v>1.7094017094017093</v>
      </c>
    </row>
    <row r="16" spans="2:6" hidden="1" outlineLevel="1" x14ac:dyDescent="0.3">
      <c r="B16" s="520" t="s">
        <v>729</v>
      </c>
      <c r="C16" s="536"/>
      <c r="D16" s="536"/>
      <c r="E16" s="531">
        <f>500*5/27</f>
        <v>92.592592592592595</v>
      </c>
      <c r="F16" s="538">
        <f t="shared" si="1"/>
        <v>0.15827793605571383</v>
      </c>
    </row>
    <row r="17" spans="2:6" hidden="1" outlineLevel="1" x14ac:dyDescent="0.3">
      <c r="B17" s="520" t="s">
        <v>730</v>
      </c>
      <c r="C17" s="536"/>
      <c r="D17" s="536"/>
      <c r="E17" s="531">
        <v>0</v>
      </c>
      <c r="F17" s="538">
        <f t="shared" si="1"/>
        <v>0</v>
      </c>
    </row>
    <row r="18" spans="2:6" hidden="1" outlineLevel="1" x14ac:dyDescent="0.3">
      <c r="B18" s="520" t="s">
        <v>731</v>
      </c>
      <c r="C18" s="536">
        <f>2500/27</f>
        <v>92.592592592592595</v>
      </c>
      <c r="D18" s="536">
        <f>2500/27</f>
        <v>92.592592592592595</v>
      </c>
      <c r="E18" s="531">
        <v>0</v>
      </c>
      <c r="F18" s="538">
        <f t="shared" si="1"/>
        <v>0</v>
      </c>
    </row>
    <row r="19" spans="2:6" hidden="1" outlineLevel="1" x14ac:dyDescent="0.3">
      <c r="B19" s="520" t="s">
        <v>732</v>
      </c>
      <c r="C19" s="536"/>
      <c r="D19" s="536"/>
      <c r="E19" s="531">
        <f>40*20</f>
        <v>800</v>
      </c>
      <c r="F19" s="538">
        <f t="shared" si="1"/>
        <v>1.3675213675213675</v>
      </c>
    </row>
    <row r="20" spans="2:6" ht="18" customHeight="1" collapsed="1" x14ac:dyDescent="0.3">
      <c r="B20" s="526" t="s">
        <v>733</v>
      </c>
      <c r="C20" s="539" t="e">
        <f>C13+#REF!+C15</f>
        <v>#REF!</v>
      </c>
      <c r="D20" s="539" t="e">
        <f>D13+#REF!+D15</f>
        <v>#REF!</v>
      </c>
      <c r="E20" s="540">
        <f>SUM(E13:E19)</f>
        <v>592826.65852665855</v>
      </c>
      <c r="F20" s="541">
        <f>SUM(F13:F19)</f>
        <v>1013.3789034643737</v>
      </c>
    </row>
    <row r="21" spans="2:6" ht="15.45" customHeight="1" thickBot="1" x14ac:dyDescent="0.35">
      <c r="B21" s="520" t="s">
        <v>734</v>
      </c>
      <c r="C21" s="528">
        <v>1630</v>
      </c>
      <c r="D21" s="528">
        <v>1630</v>
      </c>
      <c r="E21" s="531">
        <v>15000</v>
      </c>
      <c r="F21" s="538">
        <f t="shared" ref="F21:F34" si="2">E21/$F$1</f>
        <v>25.641025641025642</v>
      </c>
    </row>
    <row r="22" spans="2:6" ht="15.45" hidden="1" customHeight="1" outlineLevel="1" x14ac:dyDescent="0.3">
      <c r="B22" s="520" t="s">
        <v>735</v>
      </c>
      <c r="C22" s="542">
        <v>2000</v>
      </c>
      <c r="D22" s="542">
        <v>2000</v>
      </c>
      <c r="E22" s="531">
        <v>2000</v>
      </c>
      <c r="F22" s="538">
        <f t="shared" si="2"/>
        <v>3.4188034188034186</v>
      </c>
    </row>
    <row r="23" spans="2:6" ht="15.45" hidden="1" customHeight="1" outlineLevel="1" x14ac:dyDescent="0.3">
      <c r="B23" s="520" t="s">
        <v>736</v>
      </c>
      <c r="C23" s="542">
        <v>4000</v>
      </c>
      <c r="D23" s="542">
        <v>4000</v>
      </c>
      <c r="E23" s="531">
        <f>15000/27</f>
        <v>555.55555555555554</v>
      </c>
      <c r="F23" s="538">
        <f t="shared" si="2"/>
        <v>0.94966761633428298</v>
      </c>
    </row>
    <row r="24" spans="2:6" hidden="1" outlineLevel="1" x14ac:dyDescent="0.3">
      <c r="B24" s="520" t="s">
        <v>737</v>
      </c>
      <c r="C24" s="542"/>
      <c r="D24" s="542"/>
      <c r="E24" s="531">
        <f>20000/27</f>
        <v>740.74074074074076</v>
      </c>
      <c r="F24" s="538">
        <f t="shared" si="2"/>
        <v>1.2662234884457106</v>
      </c>
    </row>
    <row r="25" spans="2:6" hidden="1" outlineLevel="1" x14ac:dyDescent="0.3">
      <c r="B25" s="520" t="s">
        <v>738</v>
      </c>
      <c r="C25" s="542"/>
      <c r="D25" s="542"/>
      <c r="E25" s="531">
        <f>10000/27</f>
        <v>370.37037037037038</v>
      </c>
      <c r="F25" s="538">
        <f t="shared" si="2"/>
        <v>0.63311174422285532</v>
      </c>
    </row>
    <row r="26" spans="2:6" hidden="1" outlineLevel="1" x14ac:dyDescent="0.3">
      <c r="B26" s="520" t="s">
        <v>739</v>
      </c>
      <c r="C26" s="528">
        <v>4000</v>
      </c>
      <c r="D26" s="528">
        <v>4000</v>
      </c>
      <c r="E26" s="531">
        <f>30000/27</f>
        <v>1111.1111111111111</v>
      </c>
      <c r="F26" s="538">
        <f t="shared" si="2"/>
        <v>1.899335232668566</v>
      </c>
    </row>
    <row r="27" spans="2:6" hidden="1" outlineLevel="1" x14ac:dyDescent="0.3">
      <c r="B27" s="520" t="s">
        <v>740</v>
      </c>
      <c r="C27" s="542">
        <v>370</v>
      </c>
      <c r="D27" s="542">
        <v>370</v>
      </c>
      <c r="E27" s="531">
        <v>316</v>
      </c>
      <c r="F27" s="538">
        <f t="shared" si="2"/>
        <v>0.54017094017094014</v>
      </c>
    </row>
    <row r="28" spans="2:6" hidden="1" outlineLevel="1" x14ac:dyDescent="0.3">
      <c r="B28" s="520" t="s">
        <v>741</v>
      </c>
      <c r="C28" s="542">
        <v>4000</v>
      </c>
      <c r="D28" s="542">
        <v>4000</v>
      </c>
      <c r="E28" s="531">
        <v>4000</v>
      </c>
      <c r="F28" s="538">
        <f t="shared" si="2"/>
        <v>6.8376068376068373</v>
      </c>
    </row>
    <row r="29" spans="2:6" hidden="1" outlineLevel="1" x14ac:dyDescent="0.3">
      <c r="B29" s="520" t="s">
        <v>742</v>
      </c>
      <c r="C29" s="536">
        <v>1480</v>
      </c>
      <c r="D29" s="536">
        <v>1480</v>
      </c>
      <c r="E29" s="531">
        <f>E30*5%</f>
        <v>2000</v>
      </c>
      <c r="F29" s="538">
        <f t="shared" si="2"/>
        <v>3.4188034188034186</v>
      </c>
    </row>
    <row r="30" spans="2:6" hidden="1" outlineLevel="1" x14ac:dyDescent="0.3">
      <c r="B30" s="520" t="s">
        <v>743</v>
      </c>
      <c r="C30" s="543">
        <v>50000</v>
      </c>
      <c r="D30" s="543">
        <v>50000</v>
      </c>
      <c r="E30" s="531">
        <f>8000*5</f>
        <v>40000</v>
      </c>
      <c r="F30" s="538">
        <f t="shared" si="2"/>
        <v>68.376068376068375</v>
      </c>
    </row>
    <row r="31" spans="2:6" hidden="1" outlineLevel="1" x14ac:dyDescent="0.3">
      <c r="B31" s="520" t="s">
        <v>744</v>
      </c>
      <c r="C31" s="536">
        <v>30684.21</v>
      </c>
      <c r="D31" s="536">
        <v>30684.21</v>
      </c>
      <c r="E31" s="531">
        <v>32748.684210526317</v>
      </c>
      <c r="F31" s="538">
        <f t="shared" si="2"/>
        <v>55.980656770130459</v>
      </c>
    </row>
    <row r="32" spans="2:6" hidden="1" outlineLevel="1" x14ac:dyDescent="0.3">
      <c r="B32" s="520" t="s">
        <v>745</v>
      </c>
      <c r="C32" s="536">
        <f t="shared" ref="C32:D32" si="3">50000/19</f>
        <v>2631.5789473684213</v>
      </c>
      <c r="D32" s="536">
        <f t="shared" si="3"/>
        <v>2631.5789473684213</v>
      </c>
      <c r="E32" s="531">
        <v>3138.1578947368416</v>
      </c>
      <c r="F32" s="538">
        <f t="shared" si="2"/>
        <v>5.3643724696356268</v>
      </c>
    </row>
    <row r="33" spans="2:6" ht="15.45" hidden="1" customHeight="1" outlineLevel="1" x14ac:dyDescent="0.3">
      <c r="B33" s="520" t="s">
        <v>746</v>
      </c>
      <c r="C33" s="544"/>
      <c r="D33" s="544"/>
      <c r="E33" s="531">
        <v>1680.7973684210524</v>
      </c>
      <c r="F33" s="538">
        <f t="shared" si="2"/>
        <v>2.8731578947368419</v>
      </c>
    </row>
    <row r="34" spans="2:6" ht="15.45" hidden="1" customHeight="1" outlineLevel="1" thickBot="1" x14ac:dyDescent="0.35">
      <c r="B34" s="545" t="s">
        <v>747</v>
      </c>
      <c r="C34" s="546"/>
      <c r="D34" s="546"/>
      <c r="E34" s="547">
        <v>4384.8</v>
      </c>
      <c r="F34" s="548">
        <f t="shared" si="2"/>
        <v>7.4953846153846158</v>
      </c>
    </row>
    <row r="35" spans="2:6" ht="15.45" customHeight="1" collapsed="1" thickBot="1" x14ac:dyDescent="0.35">
      <c r="B35" s="549" t="s">
        <v>748</v>
      </c>
      <c r="C35" s="550"/>
      <c r="D35" s="550"/>
      <c r="E35" s="551">
        <f>SUM(E20:E34)</f>
        <v>700872.87577812059</v>
      </c>
      <c r="F35" s="552">
        <f>SUM(F20:F34)</f>
        <v>1198.0732919284114</v>
      </c>
    </row>
    <row r="36" spans="2:6" ht="15.45" hidden="1" customHeight="1" outlineLevel="1" x14ac:dyDescent="0.3">
      <c r="B36" s="553" t="s">
        <v>749</v>
      </c>
      <c r="C36" s="554"/>
      <c r="D36" s="554"/>
      <c r="E36" s="555">
        <v>19140</v>
      </c>
      <c r="F36" s="556">
        <f>E36/$F$1</f>
        <v>32.717948717948715</v>
      </c>
    </row>
    <row r="37" spans="2:6" ht="15.45" hidden="1" customHeight="1" outlineLevel="1" thickBot="1" x14ac:dyDescent="0.35">
      <c r="B37" s="557" t="s">
        <v>750</v>
      </c>
      <c r="C37" s="546"/>
      <c r="D37" s="546"/>
      <c r="E37" s="547">
        <v>7656</v>
      </c>
      <c r="F37" s="548">
        <f>E37/$F$1</f>
        <v>13.087179487179487</v>
      </c>
    </row>
    <row r="38" spans="2:6" ht="15.45" customHeight="1" collapsed="1" thickBot="1" x14ac:dyDescent="0.35">
      <c r="B38" s="558" t="s">
        <v>751</v>
      </c>
      <c r="C38" s="559"/>
      <c r="D38" s="559"/>
      <c r="E38" s="560">
        <f>SUM(E35:E37)</f>
        <v>727668.87577812059</v>
      </c>
      <c r="F38" s="561">
        <f>SUM(F35:F37)</f>
        <v>1243.8784201335397</v>
      </c>
    </row>
    <row r="39" spans="2:6" ht="15.45" customHeight="1" x14ac:dyDescent="0.3">
      <c r="B39" s="562" t="s">
        <v>752</v>
      </c>
      <c r="C39" s="554"/>
      <c r="D39" s="554"/>
      <c r="E39" s="563">
        <v>765600</v>
      </c>
      <c r="F39" s="564">
        <f>E39/$F$1</f>
        <v>1308.7179487179487</v>
      </c>
    </row>
    <row r="40" spans="2:6" ht="18" customHeight="1" x14ac:dyDescent="0.3">
      <c r="B40" s="565" t="s">
        <v>304</v>
      </c>
      <c r="C40" s="566" t="e">
        <f>SUM(C20:C33)</f>
        <v>#REF!</v>
      </c>
      <c r="D40" s="566" t="e">
        <f>SUM(D20:D33)</f>
        <v>#REF!</v>
      </c>
      <c r="E40" s="567">
        <f>E39-E38</f>
        <v>37931.124221879407</v>
      </c>
      <c r="F40" s="568">
        <f>F39-F38</f>
        <v>64.839528584408981</v>
      </c>
    </row>
    <row r="41" spans="2:6" ht="18" customHeight="1" x14ac:dyDescent="0.3">
      <c r="B41" s="565" t="s">
        <v>753</v>
      </c>
      <c r="C41" s="566"/>
      <c r="D41" s="566"/>
      <c r="E41" s="569">
        <f>E40/E39</f>
        <v>4.9544310634638725E-2</v>
      </c>
      <c r="F41" s="570">
        <f>F40/F39</f>
        <v>4.9544310634638523E-2</v>
      </c>
    </row>
    <row r="42" spans="2:6" x14ac:dyDescent="0.3">
      <c r="B42" s="520" t="s">
        <v>754</v>
      </c>
      <c r="C42" s="571"/>
      <c r="D42" s="571"/>
      <c r="E42" s="572">
        <v>29648.3472</v>
      </c>
      <c r="F42" s="573">
        <f>E42/$F$1</f>
        <v>50.680935384615388</v>
      </c>
    </row>
    <row r="43" spans="2:6" ht="15" thickBot="1" x14ac:dyDescent="0.35">
      <c r="B43" s="545" t="s">
        <v>755</v>
      </c>
      <c r="C43" s="574"/>
      <c r="D43" s="574"/>
      <c r="E43" s="575">
        <v>11008.8</v>
      </c>
      <c r="F43" s="576">
        <f>E43/$F$1</f>
        <v>18.818461538461538</v>
      </c>
    </row>
    <row r="44" spans="2:6" ht="18" customHeight="1" thickBot="1" x14ac:dyDescent="0.35">
      <c r="B44" s="549" t="s">
        <v>756</v>
      </c>
      <c r="C44" s="577" t="e">
        <f>SUM(C40:C40)</f>
        <v>#REF!</v>
      </c>
      <c r="D44" s="577" t="e">
        <f>SUM(D40:D40)</f>
        <v>#REF!</v>
      </c>
      <c r="E44" s="578">
        <f>E38+E42+E43</f>
        <v>768326.0229781206</v>
      </c>
      <c r="F44" s="579">
        <f>F38+F42+F43</f>
        <v>1313.3778170566168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2F8D-933D-4D97-9981-FECAE158AFE3}">
  <sheetPr>
    <tabColor rgb="FF00B050"/>
  </sheetPr>
  <dimension ref="A1:AT115"/>
  <sheetViews>
    <sheetView showGridLines="0" topLeftCell="A3" zoomScale="70" zoomScaleNormal="70" workbookViewId="0">
      <selection activeCell="B43" sqref="B43"/>
    </sheetView>
  </sheetViews>
  <sheetFormatPr defaultColWidth="5.44140625" defaultRowHeight="14.4" outlineLevelRow="1" x14ac:dyDescent="0.3"/>
  <cols>
    <col min="1" max="1" width="5.44140625" style="583"/>
    <col min="2" max="2" width="35.44140625" style="580" bestFit="1" customWidth="1"/>
    <col min="3" max="3" width="9.6640625" style="580" bestFit="1" customWidth="1"/>
    <col min="4" max="4" width="8.44140625" style="580" bestFit="1" customWidth="1"/>
    <col min="5" max="5" width="13.88671875" style="581" bestFit="1" customWidth="1"/>
    <col min="6" max="6" width="4.6640625" style="582" bestFit="1" customWidth="1"/>
    <col min="7" max="7" width="3" style="582" bestFit="1" customWidth="1"/>
    <col min="8" max="8" width="5.44140625" style="583"/>
    <col min="9" max="9" width="25.109375" style="583" bestFit="1" customWidth="1"/>
    <col min="10" max="10" width="8.5546875" style="583" bestFit="1" customWidth="1"/>
    <col min="11" max="11" width="9.44140625" style="583" bestFit="1" customWidth="1"/>
    <col min="12" max="12" width="11.109375" style="583" bestFit="1" customWidth="1"/>
    <col min="13" max="13" width="5.44140625" style="583"/>
    <col min="14" max="14" width="20.109375" style="583" bestFit="1" customWidth="1"/>
    <col min="15" max="15" width="7.88671875" style="583" bestFit="1" customWidth="1"/>
    <col min="16" max="22" width="5.44140625" style="583"/>
    <col min="23" max="23" width="6.6640625" style="584" bestFit="1" customWidth="1"/>
    <col min="24" max="24" width="7" style="584" bestFit="1" customWidth="1"/>
    <col min="25" max="25" width="5.5546875" style="584" bestFit="1" customWidth="1"/>
    <col min="26" max="26" width="9" style="584" bestFit="1" customWidth="1"/>
    <col min="27" max="27" width="4.33203125" style="583" bestFit="1" customWidth="1"/>
    <col min="28" max="28" width="26.88671875" style="583" bestFit="1" customWidth="1"/>
    <col min="29" max="29" width="10.5546875" style="583" bestFit="1" customWidth="1"/>
    <col min="30" max="46" width="5.44140625" style="583"/>
    <col min="47" max="16384" width="5.44140625" style="691"/>
  </cols>
  <sheetData>
    <row r="1" spans="2:29" x14ac:dyDescent="0.3">
      <c r="W1" s="583"/>
      <c r="X1" s="583"/>
    </row>
    <row r="2" spans="2:29" s="583" customFormat="1" x14ac:dyDescent="0.3">
      <c r="B2" s="585" t="s">
        <v>757</v>
      </c>
      <c r="C2" s="586"/>
      <c r="D2" s="586"/>
      <c r="E2" s="587"/>
      <c r="F2" s="582"/>
      <c r="G2" s="582"/>
      <c r="W2" s="588" t="s">
        <v>758</v>
      </c>
      <c r="X2" s="588">
        <f>156</f>
        <v>156</v>
      </c>
      <c r="AB2" s="589" t="s">
        <v>759</v>
      </c>
      <c r="AC2" s="590">
        <v>185</v>
      </c>
    </row>
    <row r="3" spans="2:29" s="583" customFormat="1" x14ac:dyDescent="0.3">
      <c r="B3" s="591" t="s">
        <v>760</v>
      </c>
      <c r="C3" s="592">
        <f>'[6]Cnt 1_114mt'!C3</f>
        <v>153.0847</v>
      </c>
      <c r="E3" s="593"/>
      <c r="F3" s="582"/>
      <c r="G3" s="582"/>
      <c r="I3" s="594"/>
      <c r="W3" s="588" t="s">
        <v>761</v>
      </c>
      <c r="X3" s="595">
        <v>190</v>
      </c>
      <c r="AB3" s="596" t="s">
        <v>762</v>
      </c>
      <c r="AC3" s="597">
        <f>L12</f>
        <v>194.71881242713877</v>
      </c>
    </row>
    <row r="4" spans="2:29" s="583" customFormat="1" x14ac:dyDescent="0.3">
      <c r="B4" s="591" t="s">
        <v>763</v>
      </c>
      <c r="C4" s="598">
        <f>'[6]Cnt 1_114mt'!C4</f>
        <v>153.0847</v>
      </c>
      <c r="E4" s="593"/>
      <c r="F4" s="582"/>
      <c r="G4" s="582"/>
      <c r="I4" s="599" t="s">
        <v>764</v>
      </c>
      <c r="J4" s="600">
        <f>C10</f>
        <v>76</v>
      </c>
      <c r="W4" s="601" t="s">
        <v>413</v>
      </c>
      <c r="X4" s="601">
        <f>AVERAGE(X2:X3)</f>
        <v>173</v>
      </c>
      <c r="AB4" s="602" t="s">
        <v>765</v>
      </c>
      <c r="AC4" s="603">
        <f>(AC3-AC2)/AC2</f>
        <v>5.2534121227777147E-2</v>
      </c>
    </row>
    <row r="5" spans="2:29" s="583" customFormat="1" x14ac:dyDescent="0.3">
      <c r="B5" s="604" t="s">
        <v>766</v>
      </c>
      <c r="C5" s="605">
        <v>0.05</v>
      </c>
      <c r="E5" s="593"/>
      <c r="F5" s="582"/>
      <c r="G5" s="582"/>
      <c r="I5" s="606" t="s">
        <v>767</v>
      </c>
      <c r="J5" s="606" t="s">
        <v>768</v>
      </c>
      <c r="K5" s="607" t="s">
        <v>769</v>
      </c>
      <c r="L5" s="606" t="s">
        <v>770</v>
      </c>
    </row>
    <row r="6" spans="2:29" s="583" customFormat="1" x14ac:dyDescent="0.3">
      <c r="B6" s="604" t="s">
        <v>771</v>
      </c>
      <c r="C6" s="608">
        <f>'[6]Finance costs'!I4</f>
        <v>3000</v>
      </c>
      <c r="E6" s="593"/>
      <c r="F6" s="582"/>
      <c r="G6" s="582"/>
      <c r="I6" s="597" t="s">
        <v>772</v>
      </c>
      <c r="J6" s="597">
        <f>J11-SUM(J7:J10)</f>
        <v>1096.2509359183134</v>
      </c>
      <c r="K6" s="609">
        <f>E41</f>
        <v>1200</v>
      </c>
      <c r="L6" s="610">
        <f>E40-E15-E42</f>
        <v>1422.612322213394</v>
      </c>
      <c r="W6" s="583">
        <v>200000</v>
      </c>
    </row>
    <row r="7" spans="2:29" s="583" customFormat="1" x14ac:dyDescent="0.3">
      <c r="B7" s="611"/>
      <c r="C7" s="612"/>
      <c r="D7" s="612"/>
      <c r="E7" s="613"/>
      <c r="F7" s="582"/>
      <c r="G7" s="582"/>
      <c r="I7" s="614" t="s">
        <v>773</v>
      </c>
      <c r="J7" s="597">
        <f>E44</f>
        <v>56.103751415019985</v>
      </c>
      <c r="K7" s="609"/>
      <c r="L7" s="610"/>
      <c r="Z7" s="583" t="s">
        <v>774</v>
      </c>
    </row>
    <row r="8" spans="2:29" s="583" customFormat="1" x14ac:dyDescent="0.3">
      <c r="B8" s="615" t="s">
        <v>775</v>
      </c>
      <c r="E8" s="616" t="s">
        <v>776</v>
      </c>
      <c r="F8" s="582"/>
      <c r="G8" s="582"/>
      <c r="I8" s="597" t="s">
        <v>777</v>
      </c>
      <c r="J8" s="597">
        <f>E42</f>
        <v>12.5</v>
      </c>
      <c r="K8" s="609">
        <v>0</v>
      </c>
      <c r="L8" s="597">
        <v>0</v>
      </c>
      <c r="W8" s="583" t="s">
        <v>778</v>
      </c>
      <c r="X8" s="617">
        <v>1700</v>
      </c>
      <c r="Y8" s="617">
        <v>200</v>
      </c>
      <c r="Z8" s="618">
        <f>X8*Y8</f>
        <v>340000</v>
      </c>
      <c r="AA8" s="619">
        <v>0.5</v>
      </c>
      <c r="AB8" s="583">
        <v>156</v>
      </c>
      <c r="AC8" s="620">
        <f>Z8*AB8</f>
        <v>53040000</v>
      </c>
    </row>
    <row r="9" spans="2:29" s="583" customFormat="1" ht="13.8" x14ac:dyDescent="0.3">
      <c r="B9" s="602"/>
      <c r="C9" s="621"/>
      <c r="D9" s="621"/>
      <c r="E9" s="622"/>
      <c r="I9" s="597" t="s">
        <v>779</v>
      </c>
      <c r="J9" s="597">
        <f>E15</f>
        <v>60.145312666666669</v>
      </c>
      <c r="K9" s="609">
        <v>0</v>
      </c>
      <c r="L9" s="597">
        <v>0</v>
      </c>
      <c r="AB9" s="583">
        <v>190</v>
      </c>
      <c r="AC9" s="620">
        <f>Z8*AB9</f>
        <v>64600000</v>
      </c>
    </row>
    <row r="10" spans="2:29" s="583" customFormat="1" x14ac:dyDescent="0.3">
      <c r="B10" s="623" t="s">
        <v>764</v>
      </c>
      <c r="C10" s="624">
        <f>'[6]FIFO '!M10</f>
        <v>76</v>
      </c>
      <c r="D10" s="625"/>
      <c r="E10" s="626" t="s">
        <v>780</v>
      </c>
      <c r="F10" s="582"/>
      <c r="G10" s="582"/>
      <c r="I10" s="627" t="s">
        <v>781</v>
      </c>
      <c r="J10" s="627">
        <f>2%*J11</f>
        <v>25</v>
      </c>
      <c r="K10" s="628">
        <f>K11-K6</f>
        <v>-103.74906408168658</v>
      </c>
      <c r="L10" s="629">
        <f>L11-L6</f>
        <v>-222.61232221339401</v>
      </c>
      <c r="N10" s="630" t="s">
        <v>782</v>
      </c>
      <c r="O10" s="631">
        <f>L10+K10</f>
        <v>-326.36138629508059</v>
      </c>
    </row>
    <row r="11" spans="2:29" s="583" customFormat="1" x14ac:dyDescent="0.3">
      <c r="B11" s="632" t="s">
        <v>783</v>
      </c>
      <c r="C11" s="633" t="s">
        <v>784</v>
      </c>
      <c r="D11" s="633" t="s">
        <v>785</v>
      </c>
      <c r="E11" s="634" t="s">
        <v>124</v>
      </c>
      <c r="F11" s="582"/>
      <c r="G11" s="582"/>
      <c r="H11" s="635">
        <f>J10/J11</f>
        <v>0.02</v>
      </c>
      <c r="I11" s="597" t="s">
        <v>786</v>
      </c>
      <c r="J11" s="636">
        <f>E52</f>
        <v>1250</v>
      </c>
      <c r="K11" s="637">
        <f>J6</f>
        <v>1096.2509359183134</v>
      </c>
      <c r="L11" s="610">
        <f>E41</f>
        <v>1200</v>
      </c>
      <c r="N11" s="638"/>
      <c r="O11" s="639">
        <f>O10/1200</f>
        <v>-0.27196782191256719</v>
      </c>
    </row>
    <row r="12" spans="2:29" s="583" customFormat="1" ht="14.1" hidden="1" customHeight="1" outlineLevel="1" x14ac:dyDescent="0.3">
      <c r="B12" s="640" t="s">
        <v>787</v>
      </c>
      <c r="C12" s="641">
        <f>'[6]FIFO '!N10</f>
        <v>18780.721238938051</v>
      </c>
      <c r="D12" s="642">
        <f>C12*10</f>
        <v>187807.2123893805</v>
      </c>
      <c r="E12" s="643">
        <f>D12/$C$4</f>
        <v>1226.8189596307175</v>
      </c>
      <c r="F12" s="582"/>
      <c r="G12" s="582"/>
      <c r="I12" s="644" t="s">
        <v>315</v>
      </c>
      <c r="J12" s="644"/>
      <c r="K12" s="622"/>
      <c r="L12" s="645">
        <f>((L6+(K10*-1))*C3)/L11</f>
        <v>194.71881242713877</v>
      </c>
    </row>
    <row r="13" spans="2:29" s="583" customFormat="1" ht="14.1" hidden="1" customHeight="1" outlineLevel="1" x14ac:dyDescent="0.3">
      <c r="B13" s="640" t="s">
        <v>479</v>
      </c>
      <c r="C13" s="642">
        <v>100</v>
      </c>
      <c r="D13" s="642">
        <f>C13*10</f>
        <v>1000</v>
      </c>
      <c r="E13" s="646">
        <f>D13/$C$4</f>
        <v>6.532331447884733</v>
      </c>
      <c r="F13" s="582"/>
      <c r="G13" s="582"/>
      <c r="I13" s="588" t="s">
        <v>781</v>
      </c>
      <c r="J13" s="647">
        <f>(J11-SUM(J6:J9))/J11</f>
        <v>1.9999999999999817E-2</v>
      </c>
      <c r="K13" s="648">
        <f t="shared" ref="K13:L13" si="0">(K11-SUM(K6:K9))/K11</f>
        <v>-9.4639886436929249E-2</v>
      </c>
      <c r="L13" s="647">
        <f t="shared" si="0"/>
        <v>-0.18551026851116167</v>
      </c>
    </row>
    <row r="14" spans="2:29" s="583" customFormat="1" hidden="1" outlineLevel="1" x14ac:dyDescent="0.3">
      <c r="B14" s="649" t="s">
        <v>788</v>
      </c>
      <c r="C14" s="642">
        <f>SUM(C12:C13)*'[6]Finance costs'!$C$6</f>
        <v>625.42389103982293</v>
      </c>
      <c r="D14" s="642">
        <f>C14*10</f>
        <v>6254.2389103982296</v>
      </c>
      <c r="E14" s="646">
        <f>D14/$C$4</f>
        <v>40.854761516978705</v>
      </c>
      <c r="F14" s="582"/>
      <c r="G14" s="582"/>
      <c r="K14" s="650"/>
      <c r="L14" s="650"/>
      <c r="N14" s="650"/>
    </row>
    <row r="15" spans="2:29" s="583" customFormat="1" hidden="1" outlineLevel="1" x14ac:dyDescent="0.3">
      <c r="B15" s="649" t="s">
        <v>779</v>
      </c>
      <c r="C15" s="642">
        <f>D15/10</f>
        <v>920.73271459828663</v>
      </c>
      <c r="D15" s="642">
        <f>E15*$C$3</f>
        <v>9207.3271459828666</v>
      </c>
      <c r="E15" s="646">
        <f>'[6]Finance costs'!C12+'[6]Finance costs'!C16</f>
        <v>60.145312666666669</v>
      </c>
      <c r="F15" s="582"/>
      <c r="G15" s="582"/>
      <c r="I15" s="589" t="s">
        <v>789</v>
      </c>
      <c r="J15" s="651"/>
      <c r="K15" s="652"/>
      <c r="L15" s="653">
        <f>L6</f>
        <v>1422.612322213394</v>
      </c>
    </row>
    <row r="16" spans="2:29" s="583" customFormat="1" hidden="1" outlineLevel="1" x14ac:dyDescent="0.3">
      <c r="B16" s="640" t="s">
        <v>790</v>
      </c>
      <c r="C16" s="654"/>
      <c r="D16" s="642">
        <f>C16*10</f>
        <v>0</v>
      </c>
      <c r="E16" s="646">
        <f>D16/$C$4</f>
        <v>0</v>
      </c>
      <c r="F16" s="582"/>
      <c r="G16" s="582"/>
      <c r="I16" s="596" t="s">
        <v>791</v>
      </c>
      <c r="J16" s="650"/>
      <c r="L16" s="637">
        <f>-K10</f>
        <v>103.74906408168658</v>
      </c>
      <c r="N16" s="655"/>
    </row>
    <row r="17" spans="2:29" s="583" customFormat="1" hidden="1" outlineLevel="1" x14ac:dyDescent="0.3">
      <c r="B17" s="640" t="s">
        <v>792</v>
      </c>
      <c r="C17" s="654"/>
      <c r="D17" s="642">
        <f>C17*10</f>
        <v>0</v>
      </c>
      <c r="E17" s="646">
        <f>D17/$C$4</f>
        <v>0</v>
      </c>
      <c r="F17" s="582"/>
      <c r="G17" s="582"/>
      <c r="I17" s="596"/>
      <c r="J17" s="650"/>
      <c r="K17" s="656"/>
      <c r="L17" s="657"/>
      <c r="N17" s="656"/>
    </row>
    <row r="18" spans="2:29" s="583" customFormat="1" ht="14.1" hidden="1" customHeight="1" outlineLevel="1" x14ac:dyDescent="0.3">
      <c r="B18" s="640" t="s">
        <v>793</v>
      </c>
      <c r="C18" s="654"/>
      <c r="D18" s="642">
        <f>C18*10</f>
        <v>0</v>
      </c>
      <c r="E18" s="646">
        <f>D18/$C$4</f>
        <v>0</v>
      </c>
      <c r="F18" s="582"/>
      <c r="G18" s="582"/>
      <c r="I18" s="596" t="s">
        <v>794</v>
      </c>
      <c r="L18" s="658">
        <f>L15+L16</f>
        <v>1526.3613862950806</v>
      </c>
      <c r="N18" s="659"/>
    </row>
    <row r="19" spans="2:29" s="583" customFormat="1" hidden="1" outlineLevel="1" x14ac:dyDescent="0.3">
      <c r="B19" s="640" t="s">
        <v>795</v>
      </c>
      <c r="C19" s="642">
        <v>20</v>
      </c>
      <c r="D19" s="642">
        <f>C19*10</f>
        <v>200</v>
      </c>
      <c r="E19" s="646">
        <f>D19/$C$4</f>
        <v>1.3064662895769465</v>
      </c>
      <c r="F19" s="582"/>
      <c r="G19" s="582"/>
      <c r="I19" s="596" t="s">
        <v>796</v>
      </c>
      <c r="L19" s="660">
        <f>L18*C3</f>
        <v>233662.57491256652</v>
      </c>
      <c r="N19" s="656"/>
      <c r="AB19" s="661" t="s">
        <v>797</v>
      </c>
      <c r="AC19" s="656">
        <f>L11</f>
        <v>1200</v>
      </c>
    </row>
    <row r="20" spans="2:29" s="583" customFormat="1" collapsed="1" x14ac:dyDescent="0.3">
      <c r="B20" s="632" t="s">
        <v>798</v>
      </c>
      <c r="C20" s="662">
        <f>SUM(C12:C19)</f>
        <v>20446.87784457616</v>
      </c>
      <c r="D20" s="663">
        <f>SUM(D12:D19)</f>
        <v>204468.77844576159</v>
      </c>
      <c r="E20" s="664">
        <f>SUM(E12:E19)</f>
        <v>1335.6578315518245</v>
      </c>
      <c r="F20" s="582"/>
      <c r="G20" s="582"/>
      <c r="I20" s="596" t="s">
        <v>799</v>
      </c>
      <c r="L20" s="665">
        <f>L19/L11</f>
        <v>194.71881242713877</v>
      </c>
    </row>
    <row r="21" spans="2:29" s="583" customFormat="1" ht="14.1" hidden="1" customHeight="1" outlineLevel="1" x14ac:dyDescent="0.3">
      <c r="B21" s="666" t="s">
        <v>800</v>
      </c>
      <c r="C21" s="642"/>
      <c r="D21" s="642">
        <f t="shared" ref="D21:D26" si="1">C21*10</f>
        <v>0</v>
      </c>
      <c r="E21" s="646">
        <f t="shared" ref="E21:E26" si="2">D21/$C$4</f>
        <v>0</v>
      </c>
      <c r="F21" s="582"/>
      <c r="G21" s="582"/>
      <c r="I21" s="602"/>
      <c r="J21" s="621"/>
      <c r="K21" s="621"/>
      <c r="L21" s="622"/>
    </row>
    <row r="22" spans="2:29" s="583" customFormat="1" hidden="1" outlineLevel="1" x14ac:dyDescent="0.3">
      <c r="B22" s="666" t="s">
        <v>725</v>
      </c>
      <c r="C22" s="642">
        <v>175</v>
      </c>
      <c r="D22" s="642">
        <f t="shared" si="1"/>
        <v>1750</v>
      </c>
      <c r="E22" s="646">
        <f>D22/$C$4</f>
        <v>11.431580033798284</v>
      </c>
      <c r="F22" s="582"/>
      <c r="G22" s="582"/>
    </row>
    <row r="23" spans="2:29" s="583" customFormat="1" hidden="1" outlineLevel="1" x14ac:dyDescent="0.3">
      <c r="B23" s="666" t="s">
        <v>801</v>
      </c>
      <c r="C23" s="667">
        <f>SUM(C20:C22)/(1-$C$5)-SUM(C20:C22)</f>
        <v>1085.3619918197983</v>
      </c>
      <c r="D23" s="642">
        <f t="shared" si="1"/>
        <v>10853.619918197983</v>
      </c>
      <c r="E23" s="646">
        <f t="shared" si="2"/>
        <v>70.899442715032805</v>
      </c>
      <c r="F23" s="582"/>
      <c r="G23" s="582"/>
    </row>
    <row r="24" spans="2:29" s="583" customFormat="1" ht="14.1" hidden="1" customHeight="1" outlineLevel="1" x14ac:dyDescent="0.3">
      <c r="B24" s="666" t="s">
        <v>802</v>
      </c>
      <c r="C24" s="642"/>
      <c r="D24" s="642">
        <f t="shared" si="1"/>
        <v>0</v>
      </c>
      <c r="E24" s="646">
        <f t="shared" si="2"/>
        <v>0</v>
      </c>
      <c r="F24" s="582"/>
      <c r="G24" s="582"/>
      <c r="J24" s="668"/>
    </row>
    <row r="25" spans="2:29" s="583" customFormat="1" hidden="1" outlineLevel="1" x14ac:dyDescent="0.3">
      <c r="B25" s="666" t="s">
        <v>803</v>
      </c>
      <c r="C25" s="642"/>
      <c r="D25" s="642">
        <f t="shared" si="1"/>
        <v>0</v>
      </c>
      <c r="E25" s="646">
        <f t="shared" si="2"/>
        <v>0</v>
      </c>
      <c r="F25" s="582"/>
      <c r="G25" s="582"/>
      <c r="K25" s="668"/>
    </row>
    <row r="26" spans="2:29" s="583" customFormat="1" hidden="1" outlineLevel="1" x14ac:dyDescent="0.3">
      <c r="B26" s="666" t="s">
        <v>804</v>
      </c>
      <c r="C26" s="642">
        <v>53</v>
      </c>
      <c r="D26" s="642">
        <f t="shared" si="1"/>
        <v>530</v>
      </c>
      <c r="E26" s="646">
        <f t="shared" si="2"/>
        <v>3.4621356673789085</v>
      </c>
      <c r="F26" s="582"/>
      <c r="G26" s="582"/>
    </row>
    <row r="27" spans="2:29" s="583" customFormat="1" collapsed="1" x14ac:dyDescent="0.3">
      <c r="B27" s="632" t="s">
        <v>726</v>
      </c>
      <c r="C27" s="663">
        <f>SUM(C20:C26)</f>
        <v>21760.239836395958</v>
      </c>
      <c r="D27" s="663">
        <f>SUM(D20:D26)</f>
        <v>217602.39836395957</v>
      </c>
      <c r="E27" s="664">
        <f>SUM(E20:E26)</f>
        <v>1421.4509899680347</v>
      </c>
      <c r="F27" s="582"/>
      <c r="G27" s="582"/>
    </row>
    <row r="28" spans="2:29" s="583" customFormat="1" ht="14.1" hidden="1" customHeight="1" outlineLevel="1" x14ac:dyDescent="0.3">
      <c r="B28" s="640" t="s">
        <v>520</v>
      </c>
      <c r="C28" s="640">
        <v>78</v>
      </c>
      <c r="D28" s="642">
        <f>C28*10</f>
        <v>780</v>
      </c>
      <c r="E28" s="646">
        <f>D28/$C$4</f>
        <v>5.0952185293500918</v>
      </c>
      <c r="F28" s="582"/>
      <c r="G28" s="582"/>
    </row>
    <row r="29" spans="2:29" s="583" customFormat="1" hidden="1" outlineLevel="1" x14ac:dyDescent="0.3">
      <c r="B29" s="640" t="s">
        <v>805</v>
      </c>
      <c r="C29" s="640">
        <v>0</v>
      </c>
      <c r="D29" s="642">
        <f>C29*10</f>
        <v>0</v>
      </c>
      <c r="E29" s="646">
        <f>D29/$C$4</f>
        <v>0</v>
      </c>
      <c r="F29" s="582"/>
      <c r="G29" s="582"/>
    </row>
    <row r="30" spans="2:29" s="583" customFormat="1" hidden="1" outlineLevel="1" x14ac:dyDescent="0.3">
      <c r="B30" s="640" t="s">
        <v>518</v>
      </c>
      <c r="C30" s="640"/>
      <c r="D30" s="642">
        <f>C30*10</f>
        <v>0</v>
      </c>
      <c r="E30" s="646">
        <f>D30/$C$4</f>
        <v>0</v>
      </c>
      <c r="F30" s="582"/>
      <c r="G30" s="582"/>
    </row>
    <row r="31" spans="2:29" s="583" customFormat="1" hidden="1" outlineLevel="1" x14ac:dyDescent="0.3">
      <c r="B31" s="640" t="s">
        <v>806</v>
      </c>
      <c r="C31" s="640">
        <v>24</v>
      </c>
      <c r="D31" s="642">
        <f>C31*10</f>
        <v>240</v>
      </c>
      <c r="E31" s="646">
        <f>D31/$C$4</f>
        <v>1.567759547492336</v>
      </c>
      <c r="F31" s="582"/>
      <c r="G31" s="582"/>
    </row>
    <row r="32" spans="2:29" s="583" customFormat="1" hidden="1" outlineLevel="1" x14ac:dyDescent="0.3">
      <c r="B32" s="640" t="s">
        <v>803</v>
      </c>
      <c r="C32" s="640"/>
      <c r="D32" s="642">
        <f>C32*10</f>
        <v>0</v>
      </c>
      <c r="E32" s="646">
        <f>D32/$C$4</f>
        <v>0</v>
      </c>
      <c r="F32" s="582"/>
      <c r="G32" s="582"/>
      <c r="I32" s="583" t="s">
        <v>807</v>
      </c>
    </row>
    <row r="33" spans="2:11" s="583" customFormat="1" collapsed="1" x14ac:dyDescent="0.3">
      <c r="B33" s="632" t="s">
        <v>536</v>
      </c>
      <c r="C33" s="663">
        <f>SUM(C27:C32)</f>
        <v>21862.239836395958</v>
      </c>
      <c r="D33" s="663">
        <f>SUM(D27:D32)</f>
        <v>218622.39836395957</v>
      </c>
      <c r="E33" s="664">
        <f>SUM(E27:E32)</f>
        <v>1428.1139680448773</v>
      </c>
      <c r="F33" s="582"/>
      <c r="G33" s="582"/>
      <c r="I33" s="583" t="s">
        <v>808</v>
      </c>
    </row>
    <row r="34" spans="2:11" s="583" customFormat="1" hidden="1" outlineLevel="1" x14ac:dyDescent="0.3">
      <c r="B34" s="666" t="s">
        <v>809</v>
      </c>
      <c r="C34" s="669">
        <f>0.1%*C33</f>
        <v>21.862239836395958</v>
      </c>
      <c r="D34" s="642">
        <f>C34*10</f>
        <v>218.62239836395958</v>
      </c>
      <c r="E34" s="646">
        <f>D34/$C$4</f>
        <v>1.4281139680448769</v>
      </c>
      <c r="F34" s="582"/>
      <c r="G34" s="582"/>
      <c r="I34" s="583" t="s">
        <v>810</v>
      </c>
    </row>
    <row r="35" spans="2:11" s="583" customFormat="1" hidden="1" outlineLevel="1" x14ac:dyDescent="0.3">
      <c r="B35" s="666" t="s">
        <v>811</v>
      </c>
      <c r="C35" s="666">
        <v>17</v>
      </c>
      <c r="D35" s="642">
        <f>C35*10</f>
        <v>170</v>
      </c>
      <c r="E35" s="646">
        <f>D35/$C$4</f>
        <v>1.1104963461404047</v>
      </c>
      <c r="F35" s="582"/>
      <c r="G35" s="582"/>
    </row>
    <row r="36" spans="2:11" s="583" customFormat="1" hidden="1" outlineLevel="1" x14ac:dyDescent="0.3">
      <c r="B36" s="666" t="s">
        <v>812</v>
      </c>
      <c r="C36" s="666">
        <v>550</v>
      </c>
      <c r="D36" s="642">
        <f>C36*10</f>
        <v>5500</v>
      </c>
      <c r="E36" s="646">
        <f>D36/$C$4</f>
        <v>35.927822963366033</v>
      </c>
      <c r="F36" s="582"/>
      <c r="G36" s="582"/>
    </row>
    <row r="37" spans="2:11" s="583" customFormat="1" hidden="1" outlineLevel="1" x14ac:dyDescent="0.3">
      <c r="B37" s="666" t="s">
        <v>813</v>
      </c>
      <c r="C37" s="666">
        <v>22</v>
      </c>
      <c r="D37" s="642">
        <f t="shared" ref="D37:D39" si="3">C37*10</f>
        <v>220</v>
      </c>
      <c r="E37" s="646">
        <f t="shared" ref="E37:E39" si="4">D37/$C$4</f>
        <v>1.4371129185346414</v>
      </c>
      <c r="F37" s="582"/>
      <c r="G37" s="582"/>
    </row>
    <row r="38" spans="2:11" s="583" customFormat="1" hidden="1" outlineLevel="1" x14ac:dyDescent="0.3">
      <c r="B38" s="666" t="s">
        <v>814</v>
      </c>
      <c r="C38" s="670">
        <f>D38/10</f>
        <v>362.50456960000002</v>
      </c>
      <c r="D38" s="642">
        <f>E38*C4</f>
        <v>3625.0456960000001</v>
      </c>
      <c r="E38" s="671">
        <v>23.68</v>
      </c>
      <c r="F38" s="582"/>
      <c r="G38" s="582"/>
    </row>
    <row r="39" spans="2:11" s="583" customFormat="1" hidden="1" outlineLevel="1" x14ac:dyDescent="0.3">
      <c r="B39" s="666" t="s">
        <v>815</v>
      </c>
      <c r="C39" s="666">
        <v>54.5</v>
      </c>
      <c r="D39" s="642">
        <f t="shared" si="3"/>
        <v>545</v>
      </c>
      <c r="E39" s="646">
        <f t="shared" si="4"/>
        <v>3.5601206390971796</v>
      </c>
      <c r="F39" s="582"/>
      <c r="G39" s="582"/>
    </row>
    <row r="40" spans="2:11" s="583" customFormat="1" collapsed="1" x14ac:dyDescent="0.3">
      <c r="B40" s="632" t="s">
        <v>816</v>
      </c>
      <c r="C40" s="663">
        <f>SUM(C33:C39)</f>
        <v>22890.106645832355</v>
      </c>
      <c r="D40" s="663">
        <f>SUM(D33:D39)</f>
        <v>228901.0664583235</v>
      </c>
      <c r="E40" s="664">
        <f>SUM(E33:E39)</f>
        <v>1495.2576348800608</v>
      </c>
      <c r="F40" s="582"/>
      <c r="G40" s="582"/>
      <c r="J40" s="656"/>
      <c r="K40" s="620"/>
    </row>
    <row r="41" spans="2:11" s="583" customFormat="1" x14ac:dyDescent="0.3">
      <c r="B41" s="632" t="s">
        <v>817</v>
      </c>
      <c r="C41" s="663">
        <f>D41/100</f>
        <v>1837.0163999999997</v>
      </c>
      <c r="D41" s="663">
        <f>E41*$C$3</f>
        <v>183701.63999999998</v>
      </c>
      <c r="E41" s="664">
        <v>1200</v>
      </c>
      <c r="F41" s="582"/>
      <c r="G41" s="582"/>
    </row>
    <row r="42" spans="2:11" s="583" customFormat="1" x14ac:dyDescent="0.3">
      <c r="B42" s="632" t="s">
        <v>818</v>
      </c>
      <c r="C42" s="663">
        <f>D42/100</f>
        <v>19.1355875</v>
      </c>
      <c r="D42" s="663">
        <f>E42*$C$3</f>
        <v>1913.5587499999999</v>
      </c>
      <c r="E42" s="664">
        <f>1%*E52</f>
        <v>12.5</v>
      </c>
      <c r="F42" s="582"/>
      <c r="G42" s="582"/>
    </row>
    <row r="43" spans="2:11" s="583" customFormat="1" x14ac:dyDescent="0.3">
      <c r="B43" s="632"/>
      <c r="C43" s="663"/>
      <c r="D43" s="663"/>
      <c r="E43" s="664"/>
      <c r="F43" s="582"/>
      <c r="G43" s="582"/>
    </row>
    <row r="44" spans="2:11" s="583" customFormat="1" x14ac:dyDescent="0.3">
      <c r="B44" s="672" t="s">
        <v>819</v>
      </c>
      <c r="C44" s="672"/>
      <c r="D44" s="672"/>
      <c r="E44" s="673">
        <f>[6]Freight!N62</f>
        <v>56.103751415019985</v>
      </c>
      <c r="F44" s="582"/>
      <c r="G44" s="582"/>
    </row>
    <row r="45" spans="2:11" s="583" customFormat="1" x14ac:dyDescent="0.3">
      <c r="B45" s="632" t="s">
        <v>820</v>
      </c>
      <c r="C45" s="674">
        <f>C40+C44</f>
        <v>22890.106645832355</v>
      </c>
      <c r="D45" s="674">
        <f>D40+D44</f>
        <v>228901.0664583235</v>
      </c>
      <c r="E45" s="675">
        <f>E40+E44</f>
        <v>1551.3613862950808</v>
      </c>
      <c r="F45" s="582"/>
      <c r="G45" s="582"/>
    </row>
    <row r="46" spans="2:11" s="583" customFormat="1" x14ac:dyDescent="0.3">
      <c r="B46" s="611"/>
      <c r="C46" s="612"/>
      <c r="D46" s="612"/>
      <c r="E46" s="676"/>
      <c r="F46" s="582"/>
      <c r="G46" s="582"/>
      <c r="I46" s="677"/>
    </row>
    <row r="47" spans="2:11" s="583" customFormat="1" ht="15" customHeight="1" x14ac:dyDescent="0.3">
      <c r="B47" s="678" t="s">
        <v>817</v>
      </c>
      <c r="C47" s="679"/>
      <c r="D47" s="679"/>
      <c r="E47" s="680">
        <v>1200</v>
      </c>
      <c r="F47" s="582"/>
      <c r="G47" s="582" t="s">
        <v>821</v>
      </c>
    </row>
    <row r="48" spans="2:11" s="583" customFormat="1" ht="15" customHeight="1" x14ac:dyDescent="0.3">
      <c r="B48" s="678" t="s">
        <v>822</v>
      </c>
      <c r="C48" s="679"/>
      <c r="D48" s="679"/>
      <c r="E48" s="681">
        <f>E47-E45</f>
        <v>-351.36138629508082</v>
      </c>
      <c r="F48" s="582"/>
      <c r="G48" s="582"/>
    </row>
    <row r="49" spans="1:7" s="583" customFormat="1" ht="15" customHeight="1" x14ac:dyDescent="0.3">
      <c r="B49" s="611" t="s">
        <v>823</v>
      </c>
      <c r="C49" s="612"/>
      <c r="D49" s="612"/>
      <c r="E49" s="682">
        <f>E48/E47</f>
        <v>-0.29280115524590067</v>
      </c>
      <c r="F49" s="582"/>
      <c r="G49" s="582"/>
    </row>
    <row r="50" spans="1:7" s="583" customFormat="1" ht="15" customHeight="1" x14ac:dyDescent="0.3">
      <c r="B50" s="611"/>
      <c r="C50" s="612"/>
      <c r="D50" s="612"/>
      <c r="E50" s="683"/>
      <c r="F50" s="582"/>
      <c r="G50" s="582"/>
    </row>
    <row r="51" spans="1:7" s="583" customFormat="1" ht="15" customHeight="1" x14ac:dyDescent="0.3">
      <c r="A51" s="684"/>
      <c r="B51" s="685"/>
      <c r="C51" s="686"/>
      <c r="D51" s="686"/>
      <c r="E51" s="613"/>
    </row>
    <row r="52" spans="1:7" s="583" customFormat="1" ht="13.8" x14ac:dyDescent="0.3">
      <c r="A52" s="684"/>
      <c r="B52" s="678" t="s">
        <v>824</v>
      </c>
      <c r="D52" s="686"/>
      <c r="E52" s="680">
        <f>[6]Contracts!D28</f>
        <v>1250</v>
      </c>
      <c r="F52" s="583" t="s">
        <v>825</v>
      </c>
    </row>
    <row r="53" spans="1:7" s="583" customFormat="1" ht="13.8" x14ac:dyDescent="0.3">
      <c r="A53" s="687"/>
      <c r="B53" s="678" t="s">
        <v>826</v>
      </c>
      <c r="D53" s="688"/>
      <c r="E53" s="681">
        <f>E52-E45</f>
        <v>-301.36138629508082</v>
      </c>
    </row>
    <row r="54" spans="1:7" s="583" customFormat="1" ht="27.6" x14ac:dyDescent="0.3">
      <c r="A54" s="684"/>
      <c r="B54" s="689" t="s">
        <v>827</v>
      </c>
      <c r="C54" s="621"/>
      <c r="D54" s="690"/>
      <c r="E54" s="682">
        <f>E53/E52</f>
        <v>-0.24108910903606465</v>
      </c>
    </row>
    <row r="55" spans="1:7" s="583" customFormat="1" ht="13.8" x14ac:dyDescent="0.3">
      <c r="A55" s="684"/>
      <c r="B55" s="620"/>
      <c r="D55" s="620"/>
      <c r="E55" s="620"/>
    </row>
    <row r="56" spans="1:7" s="583" customFormat="1" ht="13.8" x14ac:dyDescent="0.3">
      <c r="B56" s="620"/>
      <c r="D56" s="620"/>
      <c r="E56" s="620"/>
    </row>
    <row r="57" spans="1:7" s="583" customFormat="1" ht="13.8" x14ac:dyDescent="0.3">
      <c r="B57" s="612"/>
      <c r="C57" s="612"/>
      <c r="D57" s="612"/>
      <c r="E57" s="620"/>
    </row>
    <row r="58" spans="1:7" s="583" customFormat="1" ht="13.8" x14ac:dyDescent="0.3">
      <c r="B58" s="612"/>
      <c r="C58" s="612"/>
      <c r="D58" s="612"/>
      <c r="E58" s="620"/>
    </row>
    <row r="59" spans="1:7" s="583" customFormat="1" ht="13.8" x14ac:dyDescent="0.3">
      <c r="B59" s="612"/>
      <c r="C59" s="612"/>
      <c r="D59" s="612"/>
      <c r="E59" s="620"/>
    </row>
    <row r="60" spans="1:7" s="583" customFormat="1" ht="13.8" x14ac:dyDescent="0.3">
      <c r="B60" s="612"/>
      <c r="C60" s="612"/>
      <c r="D60" s="612"/>
      <c r="E60" s="620"/>
    </row>
    <row r="61" spans="1:7" s="583" customFormat="1" ht="13.8" x14ac:dyDescent="0.3">
      <c r="B61" s="612"/>
      <c r="C61" s="612"/>
      <c r="D61" s="612"/>
      <c r="E61" s="620"/>
    </row>
    <row r="62" spans="1:7" s="583" customFormat="1" ht="13.8" x14ac:dyDescent="0.3">
      <c r="B62" s="612"/>
      <c r="C62" s="612"/>
      <c r="D62" s="612"/>
      <c r="E62" s="620"/>
    </row>
    <row r="63" spans="1:7" s="583" customFormat="1" ht="13.8" x14ac:dyDescent="0.3">
      <c r="B63" s="612"/>
      <c r="C63" s="612"/>
      <c r="D63" s="612"/>
      <c r="E63" s="620"/>
    </row>
    <row r="64" spans="1:7" s="583" customFormat="1" ht="13.8" x14ac:dyDescent="0.3">
      <c r="B64" s="612"/>
      <c r="C64" s="612"/>
      <c r="D64" s="612"/>
      <c r="E64" s="620"/>
    </row>
    <row r="65" spans="2:5" s="583" customFormat="1" ht="13.8" x14ac:dyDescent="0.3">
      <c r="B65" s="612"/>
      <c r="C65" s="612"/>
      <c r="D65" s="612"/>
      <c r="E65" s="620"/>
    </row>
    <row r="66" spans="2:5" s="583" customFormat="1" ht="13.8" x14ac:dyDescent="0.3">
      <c r="B66" s="612"/>
      <c r="C66" s="612"/>
      <c r="D66" s="612"/>
      <c r="E66" s="620"/>
    </row>
    <row r="67" spans="2:5" s="583" customFormat="1" ht="13.8" x14ac:dyDescent="0.3">
      <c r="B67" s="612"/>
      <c r="C67" s="612"/>
      <c r="D67" s="612"/>
      <c r="E67" s="620"/>
    </row>
    <row r="68" spans="2:5" s="583" customFormat="1" ht="13.8" x14ac:dyDescent="0.3">
      <c r="B68" s="612"/>
      <c r="C68" s="612"/>
      <c r="D68" s="612"/>
      <c r="E68" s="620"/>
    </row>
    <row r="69" spans="2:5" s="583" customFormat="1" ht="13.8" x14ac:dyDescent="0.3">
      <c r="B69" s="612"/>
      <c r="C69" s="612"/>
      <c r="D69" s="612"/>
      <c r="E69" s="620"/>
    </row>
    <row r="70" spans="2:5" s="583" customFormat="1" ht="13.8" x14ac:dyDescent="0.3">
      <c r="B70" s="612"/>
      <c r="C70" s="612"/>
      <c r="D70" s="612"/>
      <c r="E70" s="620"/>
    </row>
    <row r="71" spans="2:5" s="583" customFormat="1" ht="13.8" x14ac:dyDescent="0.3">
      <c r="B71" s="612"/>
      <c r="C71" s="612"/>
      <c r="D71" s="612"/>
      <c r="E71" s="620"/>
    </row>
    <row r="72" spans="2:5" s="583" customFormat="1" ht="13.8" x14ac:dyDescent="0.3">
      <c r="B72" s="612"/>
      <c r="C72" s="612"/>
      <c r="D72" s="612"/>
      <c r="E72" s="620"/>
    </row>
    <row r="73" spans="2:5" s="583" customFormat="1" ht="13.8" x14ac:dyDescent="0.3">
      <c r="B73" s="612"/>
      <c r="C73" s="612"/>
      <c r="D73" s="612"/>
      <c r="E73" s="620"/>
    </row>
    <row r="74" spans="2:5" s="583" customFormat="1" ht="13.8" x14ac:dyDescent="0.3">
      <c r="B74" s="612"/>
      <c r="C74" s="612"/>
      <c r="D74" s="612"/>
      <c r="E74" s="620"/>
    </row>
    <row r="75" spans="2:5" s="583" customFormat="1" ht="13.8" x14ac:dyDescent="0.3">
      <c r="B75" s="612"/>
      <c r="C75" s="612"/>
      <c r="D75" s="612"/>
      <c r="E75" s="620"/>
    </row>
    <row r="76" spans="2:5" s="583" customFormat="1" ht="13.8" x14ac:dyDescent="0.3">
      <c r="B76" s="612"/>
      <c r="C76" s="612"/>
      <c r="D76" s="612"/>
      <c r="E76" s="620"/>
    </row>
    <row r="77" spans="2:5" s="583" customFormat="1" ht="13.8" x14ac:dyDescent="0.3">
      <c r="B77" s="612"/>
      <c r="C77" s="612"/>
      <c r="D77" s="612"/>
      <c r="E77" s="620"/>
    </row>
    <row r="78" spans="2:5" s="583" customFormat="1" ht="13.8" x14ac:dyDescent="0.3">
      <c r="B78" s="612"/>
      <c r="C78" s="612"/>
      <c r="D78" s="612"/>
      <c r="E78" s="620"/>
    </row>
    <row r="79" spans="2:5" s="583" customFormat="1" ht="13.8" x14ac:dyDescent="0.3">
      <c r="B79" s="612"/>
      <c r="C79" s="612"/>
      <c r="D79" s="612"/>
      <c r="E79" s="620"/>
    </row>
    <row r="80" spans="2:5" s="583" customFormat="1" ht="13.8" x14ac:dyDescent="0.3">
      <c r="B80" s="612"/>
      <c r="C80" s="612"/>
      <c r="D80" s="612"/>
      <c r="E80" s="620"/>
    </row>
    <row r="81" spans="2:5" s="583" customFormat="1" ht="13.8" x14ac:dyDescent="0.3">
      <c r="B81" s="612"/>
      <c r="C81" s="612"/>
      <c r="D81" s="612"/>
      <c r="E81" s="620"/>
    </row>
    <row r="82" spans="2:5" s="583" customFormat="1" ht="13.8" x14ac:dyDescent="0.3">
      <c r="B82" s="612"/>
      <c r="C82" s="612"/>
      <c r="D82" s="612"/>
      <c r="E82" s="620"/>
    </row>
    <row r="83" spans="2:5" s="583" customFormat="1" ht="13.8" x14ac:dyDescent="0.3">
      <c r="B83" s="612"/>
      <c r="C83" s="612"/>
      <c r="D83" s="612"/>
      <c r="E83" s="620"/>
    </row>
    <row r="84" spans="2:5" s="583" customFormat="1" ht="13.8" x14ac:dyDescent="0.3">
      <c r="B84" s="580"/>
      <c r="C84" s="580"/>
      <c r="D84" s="580"/>
      <c r="E84" s="581"/>
    </row>
    <row r="85" spans="2:5" s="583" customFormat="1" ht="13.8" x14ac:dyDescent="0.3">
      <c r="B85" s="580"/>
      <c r="C85" s="580"/>
      <c r="D85" s="580"/>
      <c r="E85" s="581"/>
    </row>
    <row r="86" spans="2:5" s="583" customFormat="1" ht="13.8" x14ac:dyDescent="0.3">
      <c r="B86" s="580"/>
      <c r="C86" s="580"/>
      <c r="D86" s="580"/>
      <c r="E86" s="581"/>
    </row>
    <row r="87" spans="2:5" s="583" customFormat="1" ht="13.8" x14ac:dyDescent="0.3">
      <c r="B87" s="580"/>
      <c r="C87" s="580"/>
      <c r="D87" s="580"/>
      <c r="E87" s="581"/>
    </row>
    <row r="88" spans="2:5" s="583" customFormat="1" ht="13.8" x14ac:dyDescent="0.3">
      <c r="B88" s="580"/>
      <c r="C88" s="580"/>
      <c r="D88" s="580"/>
      <c r="E88" s="581"/>
    </row>
    <row r="89" spans="2:5" s="583" customFormat="1" ht="13.8" x14ac:dyDescent="0.3">
      <c r="B89" s="580"/>
      <c r="C89" s="580"/>
      <c r="D89" s="580"/>
      <c r="E89" s="581"/>
    </row>
    <row r="90" spans="2:5" s="583" customFormat="1" ht="13.8" x14ac:dyDescent="0.3">
      <c r="B90" s="580"/>
      <c r="C90" s="580"/>
      <c r="D90" s="580"/>
      <c r="E90" s="581"/>
    </row>
    <row r="91" spans="2:5" s="583" customFormat="1" ht="13.8" x14ac:dyDescent="0.3">
      <c r="B91" s="580"/>
      <c r="C91" s="580"/>
      <c r="D91" s="580"/>
      <c r="E91" s="581"/>
    </row>
    <row r="92" spans="2:5" s="583" customFormat="1" ht="13.8" x14ac:dyDescent="0.3">
      <c r="B92" s="580"/>
      <c r="C92" s="580"/>
      <c r="D92" s="580"/>
      <c r="E92" s="581"/>
    </row>
    <row r="93" spans="2:5" s="583" customFormat="1" ht="13.8" x14ac:dyDescent="0.3">
      <c r="B93" s="580"/>
      <c r="C93" s="580"/>
      <c r="D93" s="580"/>
      <c r="E93" s="581"/>
    </row>
    <row r="94" spans="2:5" s="583" customFormat="1" ht="13.8" x14ac:dyDescent="0.3">
      <c r="B94" s="580"/>
      <c r="C94" s="580"/>
      <c r="D94" s="580"/>
      <c r="E94" s="581"/>
    </row>
    <row r="95" spans="2:5" s="583" customFormat="1" ht="13.8" x14ac:dyDescent="0.3">
      <c r="B95" s="580"/>
      <c r="C95" s="580"/>
      <c r="D95" s="580"/>
      <c r="E95" s="581"/>
    </row>
    <row r="96" spans="2:5" s="583" customFormat="1" ht="13.8" x14ac:dyDescent="0.3">
      <c r="B96" s="580"/>
      <c r="C96" s="580"/>
      <c r="D96" s="580"/>
      <c r="E96" s="581"/>
    </row>
    <row r="97" spans="2:5" s="583" customFormat="1" ht="13.8" x14ac:dyDescent="0.3">
      <c r="B97" s="580"/>
      <c r="C97" s="580"/>
      <c r="D97" s="580"/>
      <c r="E97" s="581"/>
    </row>
    <row r="98" spans="2:5" s="583" customFormat="1" ht="13.8" x14ac:dyDescent="0.3">
      <c r="B98" s="580"/>
      <c r="C98" s="580"/>
      <c r="D98" s="580"/>
      <c r="E98" s="581"/>
    </row>
    <row r="99" spans="2:5" s="583" customFormat="1" ht="13.8" x14ac:dyDescent="0.3">
      <c r="B99" s="580"/>
      <c r="C99" s="580"/>
      <c r="D99" s="580"/>
      <c r="E99" s="581"/>
    </row>
    <row r="100" spans="2:5" s="583" customFormat="1" ht="13.8" x14ac:dyDescent="0.3">
      <c r="B100" s="580"/>
      <c r="C100" s="580"/>
      <c r="D100" s="580"/>
      <c r="E100" s="581"/>
    </row>
    <row r="101" spans="2:5" s="583" customFormat="1" ht="13.8" x14ac:dyDescent="0.3">
      <c r="B101" s="580"/>
      <c r="C101" s="580"/>
      <c r="D101" s="580"/>
      <c r="E101" s="581"/>
    </row>
    <row r="102" spans="2:5" s="583" customFormat="1" ht="13.8" x14ac:dyDescent="0.3">
      <c r="B102" s="580"/>
      <c r="C102" s="580"/>
      <c r="D102" s="580"/>
      <c r="E102" s="581"/>
    </row>
    <row r="103" spans="2:5" s="583" customFormat="1" ht="13.8" x14ac:dyDescent="0.3">
      <c r="B103" s="580"/>
      <c r="C103" s="580"/>
      <c r="D103" s="580"/>
      <c r="E103" s="581"/>
    </row>
    <row r="104" spans="2:5" s="583" customFormat="1" ht="13.8" x14ac:dyDescent="0.3">
      <c r="B104" s="580"/>
      <c r="C104" s="580"/>
      <c r="D104" s="580"/>
      <c r="E104" s="581"/>
    </row>
    <row r="105" spans="2:5" s="583" customFormat="1" ht="13.8" x14ac:dyDescent="0.3">
      <c r="B105" s="580"/>
      <c r="C105" s="580"/>
      <c r="D105" s="580"/>
      <c r="E105" s="581"/>
    </row>
    <row r="106" spans="2:5" s="583" customFormat="1" ht="13.8" x14ac:dyDescent="0.3">
      <c r="B106" s="580"/>
      <c r="C106" s="580"/>
      <c r="D106" s="580"/>
      <c r="E106" s="581"/>
    </row>
    <row r="107" spans="2:5" s="583" customFormat="1" ht="13.8" x14ac:dyDescent="0.3">
      <c r="B107" s="580"/>
      <c r="C107" s="580"/>
      <c r="D107" s="580"/>
      <c r="E107" s="581"/>
    </row>
    <row r="108" spans="2:5" s="583" customFormat="1" ht="13.8" x14ac:dyDescent="0.3">
      <c r="B108" s="580"/>
      <c r="C108" s="580"/>
      <c r="D108" s="580"/>
      <c r="E108" s="581"/>
    </row>
    <row r="109" spans="2:5" s="583" customFormat="1" ht="13.8" x14ac:dyDescent="0.3">
      <c r="B109" s="580"/>
      <c r="C109" s="580"/>
      <c r="D109" s="580"/>
      <c r="E109" s="581"/>
    </row>
    <row r="110" spans="2:5" s="583" customFormat="1" ht="13.8" x14ac:dyDescent="0.3">
      <c r="B110" s="580"/>
      <c r="C110" s="580"/>
      <c r="D110" s="580"/>
      <c r="E110" s="581"/>
    </row>
    <row r="111" spans="2:5" s="583" customFormat="1" ht="13.8" x14ac:dyDescent="0.3">
      <c r="B111" s="580"/>
      <c r="C111" s="580"/>
      <c r="D111" s="580"/>
      <c r="E111" s="581"/>
    </row>
    <row r="112" spans="2:5" s="583" customFormat="1" ht="13.8" x14ac:dyDescent="0.3">
      <c r="B112" s="580"/>
      <c r="C112" s="580"/>
      <c r="D112" s="580"/>
      <c r="E112" s="581"/>
    </row>
    <row r="113" spans="2:7" s="583" customFormat="1" ht="13.8" x14ac:dyDescent="0.3">
      <c r="B113" s="580"/>
      <c r="C113" s="580"/>
      <c r="D113" s="580"/>
      <c r="E113" s="581"/>
    </row>
    <row r="114" spans="2:7" s="583" customFormat="1" ht="13.8" x14ac:dyDescent="0.3">
      <c r="B114" s="580"/>
      <c r="C114" s="580"/>
      <c r="D114" s="580"/>
      <c r="E114" s="581"/>
    </row>
    <row r="115" spans="2:7" s="583" customFormat="1" x14ac:dyDescent="0.3">
      <c r="B115" s="580"/>
      <c r="C115" s="580"/>
      <c r="D115" s="580"/>
      <c r="E115" s="581"/>
      <c r="F115" s="582"/>
      <c r="G115" s="582"/>
    </row>
  </sheetData>
  <conditionalFormatting sqref="AC4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A78A-E723-46D5-AC94-6A1AC1958181}">
  <dimension ref="A1:J61"/>
  <sheetViews>
    <sheetView showGridLines="0" zoomScale="90" zoomScaleNormal="90" workbookViewId="0">
      <selection activeCell="H35" sqref="H35:J35"/>
    </sheetView>
  </sheetViews>
  <sheetFormatPr defaultColWidth="8.5546875" defaultRowHeight="13.8" x14ac:dyDescent="0.3"/>
  <cols>
    <col min="1" max="1" width="4" style="89" customWidth="1"/>
    <col min="2" max="2" width="36" style="89" customWidth="1"/>
    <col min="3" max="3" width="14" style="89" customWidth="1"/>
    <col min="4" max="4" width="22.44140625" style="89" bestFit="1" customWidth="1"/>
    <col min="5" max="5" width="22.109375" style="89" customWidth="1"/>
    <col min="6" max="7" width="14" style="89" customWidth="1"/>
    <col min="8" max="16384" width="8.5546875" style="89"/>
  </cols>
  <sheetData>
    <row r="1" spans="1:8" ht="30" customHeight="1" x14ac:dyDescent="0.3">
      <c r="A1" s="770" t="s">
        <v>212</v>
      </c>
      <c r="B1" s="770"/>
      <c r="C1" s="770"/>
      <c r="D1" s="770"/>
      <c r="E1" s="770"/>
      <c r="F1" s="770"/>
      <c r="G1" s="770"/>
    </row>
    <row r="2" spans="1:8" ht="13.5" customHeight="1" x14ac:dyDescent="0.3">
      <c r="A2" s="771" t="s">
        <v>213</v>
      </c>
      <c r="B2" s="771"/>
      <c r="C2" s="771"/>
      <c r="D2" s="771"/>
      <c r="E2" s="771"/>
      <c r="F2" s="771"/>
      <c r="G2" s="771"/>
    </row>
    <row r="3" spans="1:8" ht="9.75" customHeight="1" x14ac:dyDescent="0.3"/>
    <row r="4" spans="1:8" ht="18" customHeight="1" x14ac:dyDescent="0.3">
      <c r="A4" s="772" t="s">
        <v>214</v>
      </c>
      <c r="B4" s="772"/>
      <c r="C4" s="772"/>
      <c r="D4" s="772"/>
      <c r="E4" s="772"/>
      <c r="F4" s="772"/>
      <c r="G4" s="772"/>
    </row>
    <row r="5" spans="1:8" ht="15" customHeight="1" x14ac:dyDescent="0.3">
      <c r="A5" s="90"/>
      <c r="B5" s="91" t="s">
        <v>215</v>
      </c>
      <c r="C5" s="87">
        <v>2000</v>
      </c>
      <c r="D5" s="92" t="s">
        <v>113</v>
      </c>
      <c r="E5" s="758" t="s">
        <v>272</v>
      </c>
      <c r="F5" s="759"/>
      <c r="G5" s="760"/>
    </row>
    <row r="6" spans="1:8" ht="15" customHeight="1" x14ac:dyDescent="0.3">
      <c r="A6" s="90"/>
      <c r="B6" s="91" t="s">
        <v>216</v>
      </c>
      <c r="C6" s="87">
        <v>19</v>
      </c>
      <c r="D6" s="92" t="s">
        <v>113</v>
      </c>
      <c r="E6" s="758" t="s">
        <v>273</v>
      </c>
      <c r="F6" s="759"/>
      <c r="G6" s="760"/>
    </row>
    <row r="7" spans="1:8" ht="15" customHeight="1" x14ac:dyDescent="0.3">
      <c r="A7" s="90"/>
      <c r="B7" s="91" t="s">
        <v>217</v>
      </c>
      <c r="C7" s="88">
        <v>80</v>
      </c>
      <c r="D7" s="92" t="s">
        <v>218</v>
      </c>
      <c r="E7" s="758" t="s">
        <v>274</v>
      </c>
      <c r="F7" s="759"/>
      <c r="G7" s="760"/>
    </row>
    <row r="8" spans="1:8" ht="15" customHeight="1" x14ac:dyDescent="0.3">
      <c r="A8" s="90"/>
      <c r="B8" s="91" t="s">
        <v>219</v>
      </c>
      <c r="C8" s="87">
        <v>16</v>
      </c>
      <c r="D8" s="92"/>
      <c r="E8" s="758" t="s">
        <v>275</v>
      </c>
      <c r="F8" s="759"/>
      <c r="G8" s="760"/>
    </row>
    <row r="9" spans="1:8" ht="15" customHeight="1" x14ac:dyDescent="0.3">
      <c r="A9" s="90"/>
      <c r="B9" s="91" t="s">
        <v>220</v>
      </c>
      <c r="C9" s="87">
        <v>5</v>
      </c>
      <c r="D9" s="92" t="s">
        <v>124</v>
      </c>
      <c r="E9" s="758" t="s">
        <v>276</v>
      </c>
      <c r="F9" s="759"/>
      <c r="G9" s="760"/>
    </row>
    <row r="10" spans="1:8" ht="7.5" customHeight="1" x14ac:dyDescent="0.3"/>
    <row r="11" spans="1:8" ht="27.6" x14ac:dyDescent="0.3">
      <c r="A11" s="93" t="s">
        <v>221</v>
      </c>
      <c r="B11" s="93" t="s">
        <v>222</v>
      </c>
      <c r="C11" s="93" t="s">
        <v>223</v>
      </c>
      <c r="D11" s="93" t="s">
        <v>224</v>
      </c>
      <c r="E11" s="93" t="s">
        <v>225</v>
      </c>
      <c r="F11" s="93" t="s">
        <v>401</v>
      </c>
      <c r="G11" s="93" t="s">
        <v>301</v>
      </c>
      <c r="H11" s="89">
        <v>19</v>
      </c>
    </row>
    <row r="12" spans="1:8" ht="18" customHeight="1" x14ac:dyDescent="0.3">
      <c r="A12" s="769" t="s">
        <v>226</v>
      </c>
      <c r="B12" s="769"/>
      <c r="C12" s="769"/>
      <c r="D12" s="769"/>
      <c r="E12" s="769"/>
      <c r="F12" s="769"/>
      <c r="G12" s="769"/>
    </row>
    <row r="13" spans="1:8" x14ac:dyDescent="0.3">
      <c r="A13" s="94">
        <v>1</v>
      </c>
      <c r="B13" s="95" t="s">
        <v>127</v>
      </c>
      <c r="C13" s="96">
        <v>176</v>
      </c>
      <c r="D13" s="95" t="s">
        <v>227</v>
      </c>
      <c r="E13" s="97">
        <f>+C13</f>
        <v>176</v>
      </c>
      <c r="F13" s="97">
        <f>E13/C6</f>
        <v>9.2631578947368425</v>
      </c>
      <c r="G13" s="97">
        <f>E13*C7</f>
        <v>14080</v>
      </c>
    </row>
    <row r="14" spans="1:8" x14ac:dyDescent="0.3">
      <c r="A14" s="94">
        <v>2</v>
      </c>
      <c r="B14" s="95" t="s">
        <v>128</v>
      </c>
      <c r="C14" s="96">
        <v>31</v>
      </c>
      <c r="D14" s="95" t="s">
        <v>227</v>
      </c>
      <c r="E14" s="97">
        <f t="shared" ref="E14:E15" si="0">+C14</f>
        <v>31</v>
      </c>
      <c r="F14" s="97">
        <f>E14/C6</f>
        <v>1.631578947368421</v>
      </c>
      <c r="G14" s="97">
        <f>E14*C7</f>
        <v>2480</v>
      </c>
    </row>
    <row r="15" spans="1:8" ht="15" customHeight="1" x14ac:dyDescent="0.3">
      <c r="A15" s="94">
        <v>3</v>
      </c>
      <c r="B15" s="95" t="s">
        <v>228</v>
      </c>
      <c r="C15" s="96">
        <v>15</v>
      </c>
      <c r="D15" s="95" t="s">
        <v>227</v>
      </c>
      <c r="E15" s="97">
        <f t="shared" si="0"/>
        <v>15</v>
      </c>
      <c r="F15" s="97">
        <f>E15/C6</f>
        <v>0.78947368421052633</v>
      </c>
      <c r="G15" s="97">
        <f>E15*C7</f>
        <v>1200</v>
      </c>
    </row>
    <row r="16" spans="1:8" ht="15" customHeight="1" x14ac:dyDescent="0.3">
      <c r="A16" s="765" t="s">
        <v>229</v>
      </c>
      <c r="B16" s="765"/>
      <c r="C16" s="765"/>
      <c r="D16" s="765"/>
      <c r="E16" s="98">
        <f>SUM(E13:E15)</f>
        <v>222</v>
      </c>
      <c r="F16" s="98">
        <f>E16/C6</f>
        <v>11.684210526315789</v>
      </c>
      <c r="G16" s="98">
        <f>E16*C7</f>
        <v>17760</v>
      </c>
    </row>
    <row r="17" spans="1:9" ht="18" customHeight="1" x14ac:dyDescent="0.3">
      <c r="A17" s="769" t="s">
        <v>230</v>
      </c>
      <c r="B17" s="769"/>
      <c r="C17" s="769"/>
      <c r="D17" s="769"/>
      <c r="E17" s="769"/>
      <c r="F17" s="769"/>
      <c r="G17" s="769"/>
    </row>
    <row r="18" spans="1:9" ht="15" customHeight="1" x14ac:dyDescent="0.3">
      <c r="A18" s="94">
        <v>4</v>
      </c>
      <c r="B18" s="95" t="s">
        <v>231</v>
      </c>
      <c r="C18" s="96">
        <v>140</v>
      </c>
      <c r="D18" s="95" t="s">
        <v>227</v>
      </c>
      <c r="E18" s="97">
        <f t="shared" ref="E18:E20" si="1">+C18</f>
        <v>140</v>
      </c>
      <c r="F18" s="97">
        <f>E18/C6</f>
        <v>7.3684210526315788</v>
      </c>
      <c r="G18" s="97">
        <f>E18*C7</f>
        <v>11200</v>
      </c>
    </row>
    <row r="19" spans="1:9" ht="15" customHeight="1" x14ac:dyDescent="0.3">
      <c r="A19" s="94">
        <v>5</v>
      </c>
      <c r="B19" s="95" t="s">
        <v>232</v>
      </c>
      <c r="C19" s="96">
        <v>10</v>
      </c>
      <c r="D19" s="95" t="s">
        <v>227</v>
      </c>
      <c r="E19" s="97">
        <f t="shared" si="1"/>
        <v>10</v>
      </c>
      <c r="F19" s="97">
        <f>E19/C6</f>
        <v>0.52631578947368418</v>
      </c>
      <c r="G19" s="97">
        <f>E19*C7</f>
        <v>800</v>
      </c>
    </row>
    <row r="20" spans="1:9" ht="15" customHeight="1" x14ac:dyDescent="0.3">
      <c r="A20" s="94">
        <v>6</v>
      </c>
      <c r="B20" s="95" t="s">
        <v>233</v>
      </c>
      <c r="C20" s="96">
        <v>65</v>
      </c>
      <c r="D20" s="95" t="s">
        <v>227</v>
      </c>
      <c r="E20" s="97">
        <f t="shared" si="1"/>
        <v>65</v>
      </c>
      <c r="F20" s="97">
        <f>E20/C6</f>
        <v>3.4210526315789473</v>
      </c>
      <c r="G20" s="97">
        <f>E20*C7</f>
        <v>5200</v>
      </c>
    </row>
    <row r="21" spans="1:9" ht="15" customHeight="1" x14ac:dyDescent="0.3">
      <c r="A21" s="765" t="s">
        <v>234</v>
      </c>
      <c r="B21" s="765"/>
      <c r="C21" s="765"/>
      <c r="D21" s="765"/>
      <c r="E21" s="98">
        <f>SUM(E18:E20)</f>
        <v>215</v>
      </c>
      <c r="F21" s="98">
        <f>E21/C6</f>
        <v>11.315789473684211</v>
      </c>
      <c r="G21" s="98">
        <f>E21*C7</f>
        <v>17200</v>
      </c>
    </row>
    <row r="22" spans="1:9" ht="18" customHeight="1" x14ac:dyDescent="0.3">
      <c r="A22" s="769" t="s">
        <v>235</v>
      </c>
      <c r="B22" s="769"/>
      <c r="C22" s="769"/>
      <c r="D22" s="769"/>
      <c r="E22" s="769"/>
      <c r="F22" s="769"/>
      <c r="G22" s="769"/>
    </row>
    <row r="23" spans="1:9" ht="15" customHeight="1" x14ac:dyDescent="0.3">
      <c r="A23" s="94">
        <v>7</v>
      </c>
      <c r="B23" s="95" t="s">
        <v>236</v>
      </c>
      <c r="C23" s="96">
        <v>100</v>
      </c>
      <c r="D23" s="95" t="s">
        <v>227</v>
      </c>
      <c r="E23" s="97">
        <f>+C23</f>
        <v>100</v>
      </c>
      <c r="F23" s="97">
        <f>E23/C6</f>
        <v>5.2631578947368425</v>
      </c>
      <c r="G23" s="97">
        <f>E23*C7</f>
        <v>8000</v>
      </c>
    </row>
    <row r="24" spans="1:9" ht="15" customHeight="1" x14ac:dyDescent="0.3">
      <c r="A24" s="765" t="s">
        <v>237</v>
      </c>
      <c r="B24" s="765"/>
      <c r="C24" s="765"/>
      <c r="D24" s="765"/>
      <c r="E24" s="98">
        <f>E23</f>
        <v>100</v>
      </c>
      <c r="F24" s="98">
        <f>E24/C6</f>
        <v>5.2631578947368425</v>
      </c>
      <c r="G24" s="98">
        <f>E24*C7</f>
        <v>8000</v>
      </c>
    </row>
    <row r="25" spans="1:9" ht="18" customHeight="1" x14ac:dyDescent="0.3">
      <c r="A25" s="769" t="s">
        <v>238</v>
      </c>
      <c r="B25" s="769"/>
      <c r="C25" s="769"/>
      <c r="D25" s="769"/>
      <c r="E25" s="769"/>
      <c r="F25" s="769"/>
      <c r="G25" s="769"/>
    </row>
    <row r="26" spans="1:9" ht="15" customHeight="1" x14ac:dyDescent="0.3">
      <c r="A26" s="94">
        <v>8</v>
      </c>
      <c r="B26" s="95" t="s">
        <v>129</v>
      </c>
      <c r="C26" s="96">
        <v>60</v>
      </c>
      <c r="D26" s="95" t="s">
        <v>227</v>
      </c>
      <c r="E26" s="97">
        <f t="shared" ref="E26:E29" si="2">+C26</f>
        <v>60</v>
      </c>
      <c r="F26" s="97">
        <f>E26/C6</f>
        <v>3.1578947368421053</v>
      </c>
      <c r="G26" s="97">
        <f>E26*C7</f>
        <v>4800</v>
      </c>
    </row>
    <row r="27" spans="1:9" ht="15" customHeight="1" x14ac:dyDescent="0.3">
      <c r="A27" s="94">
        <v>9</v>
      </c>
      <c r="B27" s="95" t="s">
        <v>239</v>
      </c>
      <c r="C27" s="96">
        <v>93</v>
      </c>
      <c r="D27" s="95" t="s">
        <v>227</v>
      </c>
      <c r="E27" s="97">
        <f t="shared" si="2"/>
        <v>93</v>
      </c>
      <c r="F27" s="97">
        <f>E27/C6</f>
        <v>4.8947368421052628</v>
      </c>
      <c r="G27" s="97">
        <f>E27*C7</f>
        <v>7440</v>
      </c>
    </row>
    <row r="28" spans="1:9" ht="15" customHeight="1" x14ac:dyDescent="0.3">
      <c r="A28" s="94">
        <v>10</v>
      </c>
      <c r="B28" s="95" t="s">
        <v>240</v>
      </c>
      <c r="C28" s="96">
        <v>30</v>
      </c>
      <c r="D28" s="95" t="s">
        <v>227</v>
      </c>
      <c r="E28" s="97">
        <f t="shared" si="2"/>
        <v>30</v>
      </c>
      <c r="F28" s="97">
        <f>E28/C6</f>
        <v>1.5789473684210527</v>
      </c>
      <c r="G28" s="97">
        <f>E28*C7</f>
        <v>2400</v>
      </c>
    </row>
    <row r="29" spans="1:9" x14ac:dyDescent="0.3">
      <c r="A29" s="94">
        <v>11</v>
      </c>
      <c r="B29" s="95" t="s">
        <v>241</v>
      </c>
      <c r="C29" s="96">
        <v>35</v>
      </c>
      <c r="D29" s="95" t="s">
        <v>227</v>
      </c>
      <c r="E29" s="97">
        <f t="shared" si="2"/>
        <v>35</v>
      </c>
      <c r="F29" s="97">
        <f>E29/C6</f>
        <v>1.8421052631578947</v>
      </c>
      <c r="G29" s="97">
        <f>E29*C7</f>
        <v>2800</v>
      </c>
    </row>
    <row r="30" spans="1:9" ht="15" customHeight="1" x14ac:dyDescent="0.3">
      <c r="A30" s="765" t="s">
        <v>242</v>
      </c>
      <c r="B30" s="765"/>
      <c r="C30" s="765"/>
      <c r="D30" s="765"/>
      <c r="E30" s="98">
        <f>SUM(E26:E29)</f>
        <v>218</v>
      </c>
      <c r="F30" s="98">
        <f>E30/C6</f>
        <v>11.473684210526315</v>
      </c>
      <c r="G30" s="98">
        <f>E30*C7</f>
        <v>17440</v>
      </c>
    </row>
    <row r="31" spans="1:9" ht="18" customHeight="1" x14ac:dyDescent="0.3">
      <c r="A31" s="769" t="s">
        <v>243</v>
      </c>
      <c r="B31" s="769"/>
      <c r="C31" s="769"/>
      <c r="D31" s="769"/>
      <c r="E31" s="769"/>
      <c r="F31" s="769"/>
      <c r="G31" s="769"/>
      <c r="I31" s="259"/>
    </row>
    <row r="32" spans="1:9" ht="27.6" x14ac:dyDescent="0.3">
      <c r="A32" s="94">
        <v>12</v>
      </c>
      <c r="B32" s="95" t="s">
        <v>244</v>
      </c>
      <c r="C32" s="96">
        <v>240</v>
      </c>
      <c r="D32" s="95" t="s">
        <v>227</v>
      </c>
      <c r="E32" s="97">
        <f>+C32</f>
        <v>240</v>
      </c>
      <c r="F32" s="97">
        <f>E32/C6</f>
        <v>12.631578947368421</v>
      </c>
      <c r="G32" s="97">
        <f>E32*C7</f>
        <v>19200</v>
      </c>
      <c r="I32" s="259"/>
    </row>
    <row r="33" spans="1:10" ht="15" customHeight="1" x14ac:dyDescent="0.3">
      <c r="A33" s="765" t="s">
        <v>245</v>
      </c>
      <c r="B33" s="765"/>
      <c r="C33" s="765"/>
      <c r="D33" s="765"/>
      <c r="E33" s="98">
        <f>E32</f>
        <v>240</v>
      </c>
      <c r="F33" s="98">
        <f>E33/C6</f>
        <v>12.631578947368421</v>
      </c>
      <c r="G33" s="98">
        <f>E33*C7</f>
        <v>19200</v>
      </c>
    </row>
    <row r="34" spans="1:10" ht="25.65" customHeight="1" x14ac:dyDescent="0.3">
      <c r="A34" s="141" t="s">
        <v>296</v>
      </c>
      <c r="B34" s="141"/>
      <c r="C34" s="141"/>
      <c r="D34" s="141"/>
      <c r="E34" s="142" t="s">
        <v>333</v>
      </c>
      <c r="F34" s="142" t="s">
        <v>401</v>
      </c>
      <c r="G34" s="141" t="s">
        <v>302</v>
      </c>
    </row>
    <row r="35" spans="1:10" x14ac:dyDescent="0.3">
      <c r="A35" s="94">
        <v>13</v>
      </c>
      <c r="B35" s="101" t="s">
        <v>246</v>
      </c>
      <c r="C35" s="102">
        <v>175</v>
      </c>
      <c r="D35" s="101" t="s">
        <v>247</v>
      </c>
      <c r="E35" s="102">
        <f>+C35/10</f>
        <v>17.5</v>
      </c>
      <c r="F35" s="102">
        <f>+E35/$C$6</f>
        <v>0.92105263157894735</v>
      </c>
      <c r="G35" s="102">
        <f>C35</f>
        <v>175</v>
      </c>
      <c r="H35" s="89" t="s">
        <v>332</v>
      </c>
    </row>
    <row r="36" spans="1:10" ht="15" customHeight="1" x14ac:dyDescent="0.3">
      <c r="A36" s="94">
        <v>14</v>
      </c>
      <c r="B36" s="101" t="s">
        <v>248</v>
      </c>
      <c r="C36" s="102">
        <v>12</v>
      </c>
      <c r="D36" s="101" t="s">
        <v>247</v>
      </c>
      <c r="E36" s="102">
        <f t="shared" ref="E36:E41" si="3">+C36/10</f>
        <v>1.2</v>
      </c>
      <c r="F36" s="102">
        <f t="shared" ref="F36:F41" si="4">+E36/$C$6</f>
        <v>6.3157894736842107E-2</v>
      </c>
      <c r="G36" s="102">
        <f t="shared" ref="G36:G41" si="5">C36</f>
        <v>12</v>
      </c>
      <c r="H36" s="89">
        <f>+C35/125</f>
        <v>1.4</v>
      </c>
    </row>
    <row r="37" spans="1:10" ht="15" customHeight="1" x14ac:dyDescent="0.3">
      <c r="A37" s="94">
        <v>15</v>
      </c>
      <c r="B37" s="101" t="s">
        <v>249</v>
      </c>
      <c r="C37" s="102">
        <v>200</v>
      </c>
      <c r="D37" s="101" t="s">
        <v>247</v>
      </c>
      <c r="E37" s="102">
        <f t="shared" si="3"/>
        <v>20</v>
      </c>
      <c r="F37" s="102">
        <f t="shared" si="4"/>
        <v>1.0526315789473684</v>
      </c>
      <c r="G37" s="102">
        <f t="shared" si="5"/>
        <v>200</v>
      </c>
    </row>
    <row r="38" spans="1:10" ht="15" customHeight="1" x14ac:dyDescent="0.3">
      <c r="A38" s="94">
        <v>16</v>
      </c>
      <c r="B38" s="101" t="s">
        <v>250</v>
      </c>
      <c r="C38" s="102">
        <v>64</v>
      </c>
      <c r="D38" s="101" t="s">
        <v>247</v>
      </c>
      <c r="E38" s="102">
        <f t="shared" si="3"/>
        <v>6.4</v>
      </c>
      <c r="F38" s="102">
        <f t="shared" si="4"/>
        <v>0.33684210526315789</v>
      </c>
      <c r="G38" s="102">
        <f t="shared" si="5"/>
        <v>64</v>
      </c>
    </row>
    <row r="39" spans="1:10" ht="15" customHeight="1" x14ac:dyDescent="0.3">
      <c r="A39" s="94">
        <v>17</v>
      </c>
      <c r="B39" s="101" t="s">
        <v>131</v>
      </c>
      <c r="C39" s="102">
        <v>80</v>
      </c>
      <c r="D39" s="101" t="s">
        <v>247</v>
      </c>
      <c r="E39" s="102">
        <f t="shared" si="3"/>
        <v>8</v>
      </c>
      <c r="F39" s="102">
        <f t="shared" si="4"/>
        <v>0.42105263157894735</v>
      </c>
      <c r="G39" s="102">
        <f t="shared" si="5"/>
        <v>80</v>
      </c>
    </row>
    <row r="40" spans="1:10" ht="15" customHeight="1" x14ac:dyDescent="0.3">
      <c r="A40" s="94">
        <v>18</v>
      </c>
      <c r="B40" s="101" t="s">
        <v>251</v>
      </c>
      <c r="C40" s="102">
        <v>50</v>
      </c>
      <c r="D40" s="101" t="s">
        <v>247</v>
      </c>
      <c r="E40" s="102">
        <f t="shared" si="3"/>
        <v>5</v>
      </c>
      <c r="F40" s="102">
        <f t="shared" si="4"/>
        <v>0.26315789473684209</v>
      </c>
      <c r="G40" s="102">
        <f t="shared" si="5"/>
        <v>50</v>
      </c>
    </row>
    <row r="41" spans="1:10" ht="15" customHeight="1" x14ac:dyDescent="0.3">
      <c r="A41" s="94">
        <v>19</v>
      </c>
      <c r="B41" s="101" t="s">
        <v>130</v>
      </c>
      <c r="C41" s="102">
        <v>80</v>
      </c>
      <c r="D41" s="101" t="s">
        <v>247</v>
      </c>
      <c r="E41" s="102">
        <f t="shared" si="3"/>
        <v>8</v>
      </c>
      <c r="F41" s="102">
        <f t="shared" si="4"/>
        <v>0.42105263157894735</v>
      </c>
      <c r="G41" s="102">
        <f t="shared" si="5"/>
        <v>80</v>
      </c>
    </row>
    <row r="42" spans="1:10" ht="15" customHeight="1" x14ac:dyDescent="0.3">
      <c r="A42" s="766" t="s">
        <v>252</v>
      </c>
      <c r="B42" s="766"/>
      <c r="C42" s="766"/>
      <c r="D42" s="766"/>
      <c r="E42" s="99">
        <f>E35+E36+E37+E38+E39+E40+E41</f>
        <v>66.099999999999994</v>
      </c>
      <c r="F42" s="99">
        <f>E42/C6</f>
        <v>3.4789473684210521</v>
      </c>
      <c r="G42" s="99">
        <f>G35+G36+G37+G38+G39+G40+G41</f>
        <v>661</v>
      </c>
    </row>
    <row r="43" spans="1:10" ht="18" customHeight="1" x14ac:dyDescent="0.3">
      <c r="A43" s="767" t="s">
        <v>253</v>
      </c>
      <c r="B43" s="767"/>
      <c r="C43" s="767"/>
      <c r="D43" s="767"/>
      <c r="E43" s="767"/>
      <c r="F43" s="767"/>
      <c r="G43" s="767"/>
    </row>
    <row r="44" spans="1:10" ht="27.6" x14ac:dyDescent="0.3">
      <c r="A44" s="94">
        <v>20</v>
      </c>
      <c r="B44" s="103" t="s">
        <v>254</v>
      </c>
      <c r="C44" s="104">
        <f>C9</f>
        <v>5</v>
      </c>
      <c r="D44" s="103" t="s">
        <v>255</v>
      </c>
      <c r="E44" s="104">
        <f>C9*C6</f>
        <v>95</v>
      </c>
      <c r="F44" s="104">
        <f>C9</f>
        <v>5</v>
      </c>
      <c r="G44" s="104">
        <f>C9*C5</f>
        <v>10000</v>
      </c>
    </row>
    <row r="45" spans="1:10" ht="7.5" customHeight="1" x14ac:dyDescent="0.3"/>
    <row r="46" spans="1:10" x14ac:dyDescent="0.3">
      <c r="A46" s="764" t="s">
        <v>256</v>
      </c>
      <c r="B46" s="764"/>
      <c r="C46" s="764"/>
      <c r="D46" s="764"/>
      <c r="E46" s="764"/>
      <c r="F46" s="764"/>
      <c r="G46" s="764"/>
    </row>
    <row r="47" spans="1:10" ht="15.75" customHeight="1" x14ac:dyDescent="0.3">
      <c r="A47" s="768" t="s">
        <v>257</v>
      </c>
      <c r="B47" s="768"/>
      <c r="C47" s="768"/>
      <c r="D47" s="768"/>
      <c r="E47" s="105">
        <f>E16+E21+E24+E30+E33</f>
        <v>995</v>
      </c>
      <c r="F47" s="105">
        <f>E47/C6</f>
        <v>52.368421052631582</v>
      </c>
      <c r="G47" s="105">
        <f>E47*C7</f>
        <v>79600</v>
      </c>
      <c r="H47" s="259"/>
    </row>
    <row r="48" spans="1:10" ht="15.75" customHeight="1" x14ac:dyDescent="0.3">
      <c r="A48" s="761" t="s">
        <v>258</v>
      </c>
      <c r="B48" s="761"/>
      <c r="C48" s="761"/>
      <c r="D48" s="761"/>
      <c r="E48" s="106">
        <f>E42</f>
        <v>66.099999999999994</v>
      </c>
      <c r="F48" s="106">
        <f>E48/C6</f>
        <v>3.4789473684210521</v>
      </c>
      <c r="G48" s="106">
        <f>G42</f>
        <v>661</v>
      </c>
      <c r="J48" s="259"/>
    </row>
    <row r="49" spans="1:7" ht="15.75" customHeight="1" thickBot="1" x14ac:dyDescent="0.35">
      <c r="A49" s="762" t="s">
        <v>259</v>
      </c>
      <c r="B49" s="762"/>
      <c r="C49" s="762"/>
      <c r="D49" s="762"/>
      <c r="E49" s="107">
        <f>E44</f>
        <v>95</v>
      </c>
      <c r="F49" s="107">
        <f>E49/C6</f>
        <v>5</v>
      </c>
      <c r="G49" s="107">
        <f>G44</f>
        <v>10000</v>
      </c>
    </row>
    <row r="50" spans="1:7" ht="18" customHeight="1" thickBot="1" x14ac:dyDescent="0.35">
      <c r="A50" s="763" t="s">
        <v>260</v>
      </c>
      <c r="B50" s="763"/>
      <c r="C50" s="763"/>
      <c r="D50" s="763"/>
      <c r="E50" s="100">
        <f>E47+E48+E49</f>
        <v>1156.0999999999999</v>
      </c>
      <c r="F50" s="100">
        <f>E50/C6</f>
        <v>60.847368421052629</v>
      </c>
      <c r="G50" s="100">
        <f>SUM(G47:G49)</f>
        <v>90261</v>
      </c>
    </row>
    <row r="52" spans="1:7" ht="18" customHeight="1" x14ac:dyDescent="0.3">
      <c r="A52" s="764" t="s">
        <v>261</v>
      </c>
      <c r="B52" s="764"/>
      <c r="C52" s="764"/>
      <c r="D52" s="764"/>
      <c r="E52" s="764"/>
      <c r="F52" s="764"/>
      <c r="G52" s="764"/>
    </row>
    <row r="53" spans="1:7" ht="13.5" customHeight="1" x14ac:dyDescent="0.3">
      <c r="A53" s="757" t="s">
        <v>262</v>
      </c>
      <c r="B53" s="757"/>
      <c r="C53" s="757"/>
      <c r="D53" s="757"/>
      <c r="E53" s="757"/>
      <c r="F53" s="757"/>
      <c r="G53" s="757"/>
    </row>
    <row r="54" spans="1:7" ht="13.5" customHeight="1" x14ac:dyDescent="0.3">
      <c r="A54" s="757" t="s">
        <v>263</v>
      </c>
      <c r="B54" s="757"/>
      <c r="C54" s="757"/>
      <c r="D54" s="757"/>
      <c r="E54" s="757"/>
      <c r="F54" s="757"/>
      <c r="G54" s="757"/>
    </row>
    <row r="55" spans="1:7" ht="13.5" customHeight="1" x14ac:dyDescent="0.3">
      <c r="A55" s="757" t="s">
        <v>264</v>
      </c>
      <c r="B55" s="757"/>
      <c r="C55" s="757"/>
      <c r="D55" s="757"/>
      <c r="E55" s="757"/>
      <c r="F55" s="757"/>
      <c r="G55" s="757"/>
    </row>
    <row r="56" spans="1:7" ht="13.5" customHeight="1" x14ac:dyDescent="0.3">
      <c r="A56" s="757" t="s">
        <v>265</v>
      </c>
      <c r="B56" s="757"/>
      <c r="C56" s="757"/>
      <c r="D56" s="757"/>
      <c r="E56" s="757"/>
      <c r="F56" s="757"/>
      <c r="G56" s="757"/>
    </row>
    <row r="57" spans="1:7" ht="13.5" customHeight="1" x14ac:dyDescent="0.3">
      <c r="A57" s="757" t="s">
        <v>266</v>
      </c>
      <c r="B57" s="757"/>
      <c r="C57" s="757"/>
      <c r="D57" s="757"/>
      <c r="E57" s="757"/>
      <c r="F57" s="757"/>
      <c r="G57" s="757"/>
    </row>
    <row r="58" spans="1:7" ht="13.5" customHeight="1" x14ac:dyDescent="0.3">
      <c r="A58" s="757" t="s">
        <v>267</v>
      </c>
      <c r="B58" s="757"/>
      <c r="C58" s="757"/>
      <c r="D58" s="757"/>
      <c r="E58" s="757"/>
      <c r="F58" s="757"/>
      <c r="G58" s="757"/>
    </row>
    <row r="59" spans="1:7" ht="13.5" customHeight="1" x14ac:dyDescent="0.3">
      <c r="A59" s="757" t="s">
        <v>268</v>
      </c>
      <c r="B59" s="757"/>
      <c r="C59" s="757"/>
      <c r="D59" s="757"/>
      <c r="E59" s="757"/>
      <c r="F59" s="757"/>
      <c r="G59" s="757"/>
    </row>
    <row r="60" spans="1:7" ht="13.5" customHeight="1" x14ac:dyDescent="0.3">
      <c r="A60" s="757" t="s">
        <v>269</v>
      </c>
      <c r="B60" s="757"/>
      <c r="C60" s="757"/>
      <c r="D60" s="757"/>
      <c r="E60" s="757"/>
      <c r="F60" s="757"/>
      <c r="G60" s="757"/>
    </row>
    <row r="61" spans="1:7" ht="13.5" customHeight="1" x14ac:dyDescent="0.3">
      <c r="A61" s="757" t="s">
        <v>270</v>
      </c>
      <c r="B61" s="757"/>
      <c r="C61" s="757"/>
      <c r="D61" s="757"/>
      <c r="E61" s="757"/>
      <c r="F61" s="757"/>
      <c r="G61" s="757"/>
    </row>
  </sheetData>
  <mergeCells count="35">
    <mergeCell ref="A31:G31"/>
    <mergeCell ref="A1:G1"/>
    <mergeCell ref="A2:G2"/>
    <mergeCell ref="A4:G4"/>
    <mergeCell ref="A12:G12"/>
    <mergeCell ref="A16:D16"/>
    <mergeCell ref="A17:G17"/>
    <mergeCell ref="A21:D21"/>
    <mergeCell ref="A22:G22"/>
    <mergeCell ref="A24:D24"/>
    <mergeCell ref="A25:G25"/>
    <mergeCell ref="A30:D30"/>
    <mergeCell ref="A53:G53"/>
    <mergeCell ref="A54:G54"/>
    <mergeCell ref="A33:D33"/>
    <mergeCell ref="A42:D42"/>
    <mergeCell ref="A43:G43"/>
    <mergeCell ref="A46:G46"/>
    <mergeCell ref="A47:D47"/>
    <mergeCell ref="A61:G61"/>
    <mergeCell ref="E5:G5"/>
    <mergeCell ref="E6:G6"/>
    <mergeCell ref="E7:G7"/>
    <mergeCell ref="E8:G8"/>
    <mergeCell ref="E9:G9"/>
    <mergeCell ref="A55:G55"/>
    <mergeCell ref="A56:G56"/>
    <mergeCell ref="A57:G57"/>
    <mergeCell ref="A58:G58"/>
    <mergeCell ref="A59:G59"/>
    <mergeCell ref="A60:G60"/>
    <mergeCell ref="A48:D48"/>
    <mergeCell ref="A49:D49"/>
    <mergeCell ref="A50:D50"/>
    <mergeCell ref="A52:G52"/>
  </mergeCells>
  <pageMargins left="0.75" right="0.75" top="1" bottom="1" header="0.511811023622047" footer="0.511811023622047"/>
  <pageSetup paperSize="9" orientation="portrait" horizontalDpi="300" verticalDpi="300"/>
  <ignoredErrors>
    <ignoredError sqref="F42" formula="1"/>
  </ignoredErrors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4634-B28D-44C2-B39D-4B640C647B04}">
  <sheetPr>
    <tabColor rgb="FF2F5496"/>
  </sheetPr>
  <dimension ref="B2:I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H10" sqref="H10"/>
    </sheetView>
  </sheetViews>
  <sheetFormatPr defaultColWidth="8.88671875" defaultRowHeight="14.4" x14ac:dyDescent="0.3"/>
  <cols>
    <col min="1" max="1" width="3" style="262" customWidth="1"/>
    <col min="2" max="2" width="39.88671875" style="262" bestFit="1" customWidth="1"/>
    <col min="3" max="3" width="30" style="262" customWidth="1"/>
    <col min="4" max="4" width="9.5546875" style="262" hidden="1" customWidth="1"/>
    <col min="5" max="7" width="14" style="262" hidden="1" customWidth="1"/>
    <col min="8" max="8" width="14" style="262" customWidth="1"/>
    <col min="9" max="9" width="54.109375" style="262" bestFit="1" customWidth="1"/>
    <col min="10" max="16" width="14" style="262" customWidth="1"/>
    <col min="17" max="17" width="16" style="262" customWidth="1"/>
    <col min="18" max="16384" width="8.88671875" style="262"/>
  </cols>
  <sheetData>
    <row r="2" spans="2:9" ht="21.9" customHeight="1" x14ac:dyDescent="0.3">
      <c r="B2" s="260" t="s">
        <v>404</v>
      </c>
      <c r="C2" s="260"/>
      <c r="D2" s="261" t="s">
        <v>405</v>
      </c>
    </row>
    <row r="3" spans="2:9" ht="21.9" customHeight="1" x14ac:dyDescent="0.3">
      <c r="B3" s="260" t="s">
        <v>406</v>
      </c>
      <c r="C3" s="260"/>
      <c r="D3" s="261" t="s">
        <v>407</v>
      </c>
    </row>
    <row r="6" spans="2:9" x14ac:dyDescent="0.3">
      <c r="B6" s="263" t="s">
        <v>121</v>
      </c>
      <c r="C6" s="263" t="s">
        <v>408</v>
      </c>
      <c r="D6" s="264" t="s">
        <v>409</v>
      </c>
      <c r="E6" s="264" t="s">
        <v>410</v>
      </c>
      <c r="F6" s="264" t="s">
        <v>411</v>
      </c>
      <c r="G6" s="264" t="s">
        <v>412</v>
      </c>
      <c r="H6" s="264" t="s">
        <v>413</v>
      </c>
      <c r="I6" s="263" t="s">
        <v>284</v>
      </c>
    </row>
    <row r="7" spans="2:9" x14ac:dyDescent="0.3">
      <c r="B7" s="773" t="s">
        <v>414</v>
      </c>
      <c r="C7" s="774"/>
      <c r="D7" s="774"/>
      <c r="E7" s="774"/>
      <c r="F7" s="774"/>
      <c r="G7" s="774"/>
      <c r="H7" s="774"/>
      <c r="I7" s="775"/>
    </row>
    <row r="8" spans="2:9" x14ac:dyDescent="0.3">
      <c r="B8" s="265" t="s">
        <v>415</v>
      </c>
      <c r="C8" s="266" t="s">
        <v>416</v>
      </c>
      <c r="D8" s="267">
        <v>390000</v>
      </c>
      <c r="E8" s="267">
        <v>390000</v>
      </c>
      <c r="F8" s="267">
        <v>390000</v>
      </c>
      <c r="G8" s="268">
        <f>+SUM(D8:F8)</f>
        <v>1170000</v>
      </c>
      <c r="H8" s="269">
        <f>125000*4</f>
        <v>500000</v>
      </c>
      <c r="I8" s="270"/>
    </row>
    <row r="9" spans="2:9" x14ac:dyDescent="0.3">
      <c r="B9" s="265" t="s">
        <v>417</v>
      </c>
      <c r="C9" s="266" t="s">
        <v>416</v>
      </c>
      <c r="D9" s="267">
        <v>12420</v>
      </c>
      <c r="E9" s="267">
        <v>23340</v>
      </c>
      <c r="F9" s="267">
        <v>19900</v>
      </c>
      <c r="G9" s="268">
        <f t="shared" ref="G9:G13" si="0">+SUM(D9:F9)</f>
        <v>55660</v>
      </c>
      <c r="H9" s="269">
        <f t="shared" ref="H9:H12" si="1">+AVERAGE(D9:F9)</f>
        <v>18553.333333333332</v>
      </c>
      <c r="I9" s="270"/>
    </row>
    <row r="10" spans="2:9" x14ac:dyDescent="0.3">
      <c r="B10" s="265" t="s">
        <v>418</v>
      </c>
      <c r="C10" s="266" t="s">
        <v>416</v>
      </c>
      <c r="D10" s="267">
        <f>+AVERAGE(E10:F10)</f>
        <v>34442.875</v>
      </c>
      <c r="E10" s="267">
        <v>32450</v>
      </c>
      <c r="F10" s="267">
        <v>36435.75</v>
      </c>
      <c r="G10" s="268">
        <f t="shared" si="0"/>
        <v>103328.625</v>
      </c>
      <c r="H10" s="269">
        <f t="shared" si="1"/>
        <v>34442.875</v>
      </c>
      <c r="I10" s="270"/>
    </row>
    <row r="11" spans="2:9" x14ac:dyDescent="0.3">
      <c r="B11" s="265" t="s">
        <v>419</v>
      </c>
      <c r="C11" s="266" t="s">
        <v>420</v>
      </c>
      <c r="D11" s="267">
        <v>1500</v>
      </c>
      <c r="E11" s="267">
        <v>1500</v>
      </c>
      <c r="F11" s="267">
        <v>1500</v>
      </c>
      <c r="G11" s="268">
        <f t="shared" si="0"/>
        <v>4500</v>
      </c>
      <c r="H11" s="269">
        <f t="shared" si="1"/>
        <v>1500</v>
      </c>
      <c r="I11" s="270" t="s">
        <v>421</v>
      </c>
    </row>
    <row r="12" spans="2:9" x14ac:dyDescent="0.3">
      <c r="B12" s="271" t="s">
        <v>422</v>
      </c>
      <c r="C12" s="272" t="s">
        <v>423</v>
      </c>
      <c r="D12" s="267">
        <v>121475.53000000001</v>
      </c>
      <c r="E12" s="267">
        <v>124418.82</v>
      </c>
      <c r="F12" s="267">
        <v>114811.29999999999</v>
      </c>
      <c r="G12" s="268">
        <f t="shared" si="0"/>
        <v>360705.65</v>
      </c>
      <c r="H12" s="273">
        <f t="shared" si="1"/>
        <v>120235.21666666667</v>
      </c>
      <c r="I12" s="274" t="s">
        <v>424</v>
      </c>
    </row>
    <row r="13" spans="2:9" x14ac:dyDescent="0.3">
      <c r="B13" s="275" t="s">
        <v>425</v>
      </c>
      <c r="C13" s="276"/>
      <c r="D13" s="277">
        <f>+SUM(D8:D12)</f>
        <v>559838.40500000003</v>
      </c>
      <c r="E13" s="277">
        <f t="shared" ref="E13:F13" si="2">+SUM(E8:E12)</f>
        <v>571708.82000000007</v>
      </c>
      <c r="F13" s="277">
        <f t="shared" si="2"/>
        <v>562647.05000000005</v>
      </c>
      <c r="G13" s="278">
        <f t="shared" si="0"/>
        <v>1694194.2750000001</v>
      </c>
      <c r="H13" s="279">
        <f>+SUM(H8:H12)</f>
        <v>674731.42499999993</v>
      </c>
      <c r="I13" s="280"/>
    </row>
    <row r="14" spans="2:9" x14ac:dyDescent="0.3">
      <c r="B14" s="773" t="s">
        <v>426</v>
      </c>
      <c r="C14" s="774"/>
      <c r="D14" s="774"/>
      <c r="E14" s="774"/>
      <c r="F14" s="774"/>
      <c r="G14" s="774"/>
      <c r="H14" s="774"/>
      <c r="I14" s="775"/>
    </row>
    <row r="15" spans="2:9" x14ac:dyDescent="0.3">
      <c r="B15" s="265" t="s">
        <v>427</v>
      </c>
      <c r="C15" s="266" t="s">
        <v>416</v>
      </c>
      <c r="D15" s="267">
        <f>400*3*63.89</f>
        <v>76668</v>
      </c>
      <c r="E15" s="267">
        <f t="shared" ref="E15:F15" si="3">400*3*63.89</f>
        <v>76668</v>
      </c>
      <c r="F15" s="267">
        <f t="shared" si="3"/>
        <v>76668</v>
      </c>
      <c r="G15" s="268">
        <f>+SUM(D15:F15)</f>
        <v>230004</v>
      </c>
      <c r="H15" s="268">
        <f>+AVERAGE(D15:F15)</f>
        <v>76668</v>
      </c>
      <c r="I15" s="270" t="s">
        <v>428</v>
      </c>
    </row>
    <row r="16" spans="2:9" x14ac:dyDescent="0.3">
      <c r="B16" s="265" t="s">
        <v>429</v>
      </c>
      <c r="C16" s="266" t="s">
        <v>416</v>
      </c>
      <c r="D16" s="267">
        <v>105000</v>
      </c>
      <c r="E16" s="267">
        <v>105000</v>
      </c>
      <c r="F16" s="267">
        <v>105000</v>
      </c>
      <c r="G16" s="268">
        <f>+SUM(D16:F16)</f>
        <v>315000</v>
      </c>
      <c r="H16" s="268">
        <f t="shared" ref="H16:H20" si="4">+AVERAGE(D16:F16)</f>
        <v>105000</v>
      </c>
      <c r="I16" s="270" t="s">
        <v>430</v>
      </c>
    </row>
    <row r="17" spans="2:9" x14ac:dyDescent="0.3">
      <c r="B17" s="265" t="s">
        <v>431</v>
      </c>
      <c r="C17" s="266" t="s">
        <v>416</v>
      </c>
      <c r="D17" s="267">
        <v>16225</v>
      </c>
      <c r="E17" s="267">
        <v>10200</v>
      </c>
      <c r="F17" s="267">
        <v>32725</v>
      </c>
      <c r="G17" s="268">
        <f t="shared" ref="G17:G22" si="5">+SUM(D17:F17)</f>
        <v>59150</v>
      </c>
      <c r="H17" s="268">
        <f t="shared" si="4"/>
        <v>19716.666666666668</v>
      </c>
      <c r="I17" s="270" t="s">
        <v>432</v>
      </c>
    </row>
    <row r="18" spans="2:9" x14ac:dyDescent="0.3">
      <c r="B18" s="265" t="s">
        <v>433</v>
      </c>
      <c r="C18" s="266" t="s">
        <v>416</v>
      </c>
      <c r="D18" s="267">
        <v>5300</v>
      </c>
      <c r="E18" s="267">
        <v>0</v>
      </c>
      <c r="F18" s="267">
        <v>4600</v>
      </c>
      <c r="G18" s="268">
        <f t="shared" si="5"/>
        <v>9900</v>
      </c>
      <c r="H18" s="268">
        <f t="shared" si="4"/>
        <v>3300</v>
      </c>
      <c r="I18" s="270"/>
    </row>
    <row r="19" spans="2:9" x14ac:dyDescent="0.3">
      <c r="B19" s="265" t="s">
        <v>434</v>
      </c>
      <c r="C19" s="266" t="s">
        <v>416</v>
      </c>
      <c r="D19" s="267">
        <v>32480</v>
      </c>
      <c r="E19" s="267">
        <v>76800</v>
      </c>
      <c r="F19" s="267">
        <v>34987</v>
      </c>
      <c r="G19" s="268">
        <f t="shared" si="5"/>
        <v>144267</v>
      </c>
      <c r="H19" s="268">
        <f t="shared" si="4"/>
        <v>48089</v>
      </c>
      <c r="I19" s="270" t="s">
        <v>435</v>
      </c>
    </row>
    <row r="20" spans="2:9" x14ac:dyDescent="0.3">
      <c r="B20" s="265" t="s">
        <v>436</v>
      </c>
      <c r="C20" s="266" t="s">
        <v>416</v>
      </c>
      <c r="D20" s="267">
        <v>19069</v>
      </c>
      <c r="E20" s="267">
        <v>4650</v>
      </c>
      <c r="F20" s="267">
        <v>25930</v>
      </c>
      <c r="G20" s="268">
        <f t="shared" si="5"/>
        <v>49649</v>
      </c>
      <c r="H20" s="268">
        <f t="shared" si="4"/>
        <v>16549.666666666668</v>
      </c>
      <c r="I20" s="270" t="s">
        <v>437</v>
      </c>
    </row>
    <row r="21" spans="2:9" x14ac:dyDescent="0.3">
      <c r="B21" s="281" t="s">
        <v>425</v>
      </c>
      <c r="C21" s="266"/>
      <c r="D21" s="282">
        <f>+SUM(D15:D20)</f>
        <v>254742</v>
      </c>
      <c r="E21" s="282">
        <f t="shared" ref="E21:F21" si="6">+SUM(E15:E20)</f>
        <v>273318</v>
      </c>
      <c r="F21" s="282">
        <f t="shared" si="6"/>
        <v>279910</v>
      </c>
      <c r="G21" s="283">
        <f>+SUM(D21:F21)</f>
        <v>807970</v>
      </c>
      <c r="H21" s="283">
        <f>+SUM(H15:H20)</f>
        <v>269323.33333333331</v>
      </c>
      <c r="I21" s="270"/>
    </row>
    <row r="22" spans="2:9" x14ac:dyDescent="0.3">
      <c r="B22" s="281" t="s">
        <v>438</v>
      </c>
      <c r="C22" s="266" t="s">
        <v>416</v>
      </c>
      <c r="D22" s="279"/>
      <c r="E22" s="279"/>
      <c r="F22" s="279"/>
      <c r="G22" s="282">
        <f t="shared" si="5"/>
        <v>0</v>
      </c>
      <c r="H22" s="278"/>
      <c r="I22" s="270" t="s">
        <v>439</v>
      </c>
    </row>
    <row r="23" spans="2:9" x14ac:dyDescent="0.3">
      <c r="B23" s="281" t="s">
        <v>440</v>
      </c>
      <c r="C23" s="284"/>
      <c r="D23" s="278">
        <f>+D13+D21+D22</f>
        <v>814580.40500000003</v>
      </c>
      <c r="E23" s="278">
        <f t="shared" ref="E23:F23" si="7">+E13+E21+E22</f>
        <v>845026.82000000007</v>
      </c>
      <c r="F23" s="278">
        <f t="shared" si="7"/>
        <v>842557.05</v>
      </c>
      <c r="G23" s="278">
        <f>D23*12</f>
        <v>9774964.8599999994</v>
      </c>
      <c r="H23" s="278">
        <f>+H21+H13</f>
        <v>944054.7583333333</v>
      </c>
      <c r="I23" s="284"/>
    </row>
    <row r="24" spans="2:9" x14ac:dyDescent="0.3">
      <c r="H24" s="285">
        <f>+SUM(H16:H20)</f>
        <v>192655.33333333334</v>
      </c>
    </row>
  </sheetData>
  <mergeCells count="2">
    <mergeCell ref="B7:I7"/>
    <mergeCell ref="B14:I1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4D79452E16E429790D7159921BFD4" ma:contentTypeVersion="15" ma:contentTypeDescription="Create a new document." ma:contentTypeScope="" ma:versionID="6de626a6e322ab90390895eb239f197c">
  <xsd:schema xmlns:xsd="http://www.w3.org/2001/XMLSchema" xmlns:xs="http://www.w3.org/2001/XMLSchema" xmlns:p="http://schemas.microsoft.com/office/2006/metadata/properties" xmlns:ns2="14d0f99c-018e-458e-988a-95c94a917cac" xmlns:ns3="d21c09d9-333c-4036-bb8f-2f668fc795a9" targetNamespace="http://schemas.microsoft.com/office/2006/metadata/properties" ma:root="true" ma:fieldsID="c1e65e059b0bde533d2f02cfd9aa8e09" ns2:_="" ns3:_="">
    <xsd:import namespace="14d0f99c-018e-458e-988a-95c94a917cac"/>
    <xsd:import namespace="d21c09d9-333c-4036-bb8f-2f668fc795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d0f99c-018e-458e-988a-95c94a917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52d380-b19f-4b7e-b79e-5eab235fb2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c09d9-333c-4036-bb8f-2f668fc795a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fd88e5c3-9894-43b3-9f61-d1755a124c9b}" ma:internalName="TaxCatchAll" ma:showField="CatchAllData" ma:web="d21c09d9-333c-4036-bb8f-2f668fc795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d0f99c-018e-458e-988a-95c94a917cac">
      <Terms xmlns="http://schemas.microsoft.com/office/infopath/2007/PartnerControls"/>
    </lcf76f155ced4ddcb4097134ff3c332f>
    <TaxCatchAll xmlns="d21c09d9-333c-4036-bb8f-2f668fc795a9" xsi:nil="true"/>
  </documentManagement>
</p:properties>
</file>

<file path=customXml/itemProps1.xml><?xml version="1.0" encoding="utf-8"?>
<ds:datastoreItem xmlns:ds="http://schemas.openxmlformats.org/officeDocument/2006/customXml" ds:itemID="{729895D5-D35F-49EB-A273-957F2394FE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8BF4EB-BA38-48EE-BCD9-3132336507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d0f99c-018e-458e-988a-95c94a917cac"/>
    <ds:schemaRef ds:uri="d21c09d9-333c-4036-bb8f-2f668fc795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DBB5-2326-470F-BFDE-DEA2C7A9293A}">
  <ds:schemaRefs>
    <ds:schemaRef ds:uri="http://schemas.microsoft.com/office/2006/metadata/properties"/>
    <ds:schemaRef ds:uri="http://schemas.microsoft.com/office/infopath/2007/PartnerControls"/>
    <ds:schemaRef ds:uri="14d0f99c-018e-458e-988a-95c94a917cac"/>
    <ds:schemaRef ds:uri="d21c09d9-333c-4036-bb8f-2f668fc795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Meeting Summary</vt:lpstr>
      <vt:lpstr>Peanuts – Nacala</vt:lpstr>
      <vt:lpstr>Sesame – Nacala</vt:lpstr>
      <vt:lpstr>Soy Beans – Nacala</vt:lpstr>
      <vt:lpstr>Sudan Pigeon Peas</vt:lpstr>
      <vt:lpstr>Sorghum Sudan</vt:lpstr>
      <vt:lpstr>Gum Arabic Sudan</vt:lpstr>
      <vt:lpstr>Chad Sesame</vt:lpstr>
      <vt:lpstr>Ethiopia Sesame</vt:lpstr>
      <vt:lpstr>Manica quotation</vt:lpstr>
      <vt:lpstr>1. OPEX 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Osama Burhan</cp:lastModifiedBy>
  <cp:revision>0</cp:revision>
  <dcterms:created xsi:type="dcterms:W3CDTF">2026-04-21T12:27:17Z</dcterms:created>
  <dcterms:modified xsi:type="dcterms:W3CDTF">2026-08-06T12:30:10Z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0x0101001FC4D79452E16E429790D7159921BFD4</vt:lpwstr>
  </property>
  <property fmtid="{D5CDD505-2E9C-101B-9397-08002B2CF9AE}" pid="3" name="MediaServiceImageTags">
    <vt:lpwstr/>
  </property>
</Properties>
</file>